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ared\00. Staff Desktops\00. Mike Desktop\10. Full Banking Analysis\"/>
    </mc:Choice>
  </mc:AlternateContent>
  <xr:revisionPtr revIDLastSave="0" documentId="13_ncr:1_{B501064A-DC5E-4F7A-88C5-D148F9226453}" xr6:coauthVersionLast="47" xr6:coauthVersionMax="47" xr10:uidLastSave="{00000000-0000-0000-0000-000000000000}"/>
  <bookViews>
    <workbookView xWindow="28680" yWindow="-1065" windowWidth="29040" windowHeight="15720" activeTab="1" xr2:uid="{00000000-000D-0000-FFFF-FFFF00000000}"/>
  </bookViews>
  <sheets>
    <sheet name="Transaction Summary" sheetId="2" r:id="rId1"/>
    <sheet name="Monthly Breakdown" sheetId="3" r:id="rId2"/>
    <sheet name="Transaction Details" sheetId="1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3" l="1"/>
  <c r="B49" i="3"/>
  <c r="C47" i="3"/>
  <c r="C46" i="3"/>
  <c r="C45" i="3"/>
  <c r="C44" i="3"/>
  <c r="C43" i="3"/>
  <c r="C42" i="3"/>
  <c r="C41" i="3"/>
  <c r="C40" i="3"/>
  <c r="C39" i="3"/>
  <c r="C38" i="3"/>
  <c r="C37" i="3"/>
  <c r="B48" i="3"/>
  <c r="B47" i="3"/>
  <c r="B46" i="3"/>
  <c r="B45" i="3"/>
  <c r="B44" i="3"/>
  <c r="B43" i="3"/>
  <c r="B42" i="3"/>
  <c r="B41" i="3"/>
  <c r="B40" i="3"/>
  <c r="B39" i="3"/>
  <c r="B38" i="3"/>
  <c r="B37" i="3"/>
  <c r="B33" i="3"/>
  <c r="B32" i="3"/>
  <c r="C30" i="3"/>
  <c r="C29" i="3"/>
  <c r="C28" i="3"/>
  <c r="C27" i="3"/>
  <c r="C26" i="3"/>
  <c r="C25" i="3"/>
  <c r="C24" i="3"/>
  <c r="C23" i="3"/>
  <c r="C22" i="3"/>
  <c r="C21" i="3"/>
  <c r="B31" i="3"/>
  <c r="B30" i="3"/>
  <c r="B29" i="3"/>
  <c r="B28" i="3"/>
  <c r="B27" i="3"/>
  <c r="B26" i="3"/>
  <c r="B25" i="3"/>
  <c r="B24" i="3"/>
  <c r="B23" i="3"/>
  <c r="B22" i="3"/>
  <c r="B21" i="3"/>
  <c r="B17" i="3"/>
  <c r="B16" i="3"/>
  <c r="C14" i="3"/>
  <c r="C13" i="3"/>
  <c r="C12" i="3"/>
  <c r="C11" i="3"/>
  <c r="C10" i="3"/>
  <c r="C9" i="3"/>
  <c r="C8" i="3"/>
  <c r="B15" i="3"/>
  <c r="B14" i="3"/>
  <c r="B13" i="3"/>
  <c r="B12" i="3"/>
  <c r="B11" i="3"/>
  <c r="B10" i="3"/>
  <c r="B9" i="3"/>
  <c r="B8" i="3"/>
  <c r="D70" i="2"/>
  <c r="C58" i="2"/>
  <c r="B58" i="2"/>
  <c r="D58" i="2" s="1"/>
  <c r="C57" i="2"/>
  <c r="B57" i="2"/>
  <c r="D57" i="2" s="1"/>
  <c r="C56" i="2"/>
  <c r="C59" i="2" s="1"/>
  <c r="B56" i="2"/>
  <c r="B59" i="2" s="1"/>
  <c r="D59" i="2" s="1"/>
  <c r="B50" i="2"/>
  <c r="B49" i="2"/>
  <c r="C49" i="2" s="1"/>
  <c r="B48" i="2"/>
  <c r="B47" i="2"/>
  <c r="B44" i="2"/>
  <c r="B43" i="2"/>
  <c r="B45" i="2" s="1"/>
  <c r="B40" i="2"/>
  <c r="B37" i="2"/>
  <c r="B36" i="2"/>
  <c r="C36" i="2" s="1"/>
  <c r="B35" i="2"/>
  <c r="C35" i="2" s="1"/>
  <c r="B34" i="2"/>
  <c r="B31" i="2"/>
  <c r="C31" i="2" s="1"/>
  <c r="B30" i="2"/>
  <c r="B29" i="2"/>
  <c r="C29" i="2" s="1"/>
  <c r="B26" i="2"/>
  <c r="C26" i="2" s="1"/>
  <c r="B25" i="2"/>
  <c r="B24" i="2"/>
  <c r="C24" i="2" s="1"/>
  <c r="B23" i="2"/>
  <c r="C23" i="2" s="1"/>
  <c r="B22" i="2"/>
  <c r="B21" i="2"/>
  <c r="C21" i="2" s="1"/>
  <c r="B20" i="2"/>
  <c r="C20" i="2" s="1"/>
  <c r="B19" i="2"/>
  <c r="C19" i="2" s="1"/>
  <c r="B18" i="2"/>
  <c r="C18" i="2" s="1"/>
  <c r="B17" i="2"/>
  <c r="C17" i="2" s="1"/>
  <c r="B16" i="2"/>
  <c r="B10" i="2"/>
  <c r="B9" i="2"/>
  <c r="B11" i="2" s="1"/>
  <c r="D114" i="1"/>
  <c r="D113" i="1"/>
  <c r="D112" i="1"/>
  <c r="C48" i="2" l="1"/>
  <c r="C25" i="2"/>
  <c r="C50" i="2"/>
  <c r="C30" i="2"/>
  <c r="D56" i="2"/>
  <c r="C37" i="2"/>
  <c r="C40" i="2"/>
  <c r="C45" i="2"/>
  <c r="C44" i="2"/>
  <c r="C22" i="2"/>
  <c r="B27" i="2"/>
  <c r="C27" i="2" s="1"/>
  <c r="B38" i="2"/>
  <c r="C38" i="2" s="1"/>
  <c r="B51" i="2"/>
  <c r="C51" i="2" s="1"/>
  <c r="C47" i="2"/>
  <c r="B41" i="2"/>
  <c r="C41" i="2" s="1"/>
  <c r="B32" i="2"/>
  <c r="C32" i="2" s="1"/>
  <c r="C16" i="2"/>
  <c r="C43" i="2"/>
  <c r="C34" i="2"/>
  <c r="B52" i="2" l="1"/>
  <c r="C52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<sst xmlns="http://schemas.openxmlformats.org/spreadsheetml/2006/main" count="508" uniqueCount="161">
  <si>
    <t>XXXX-XXXXXX-01004</t>
  </si>
  <si>
    <t>Date</t>
  </si>
  <si>
    <t>Description</t>
  </si>
  <si>
    <t>Amount</t>
  </si>
  <si>
    <t>Category</t>
  </si>
  <si>
    <t>UBER</t>
  </si>
  <si>
    <t>ONLINE PAYMENT - THANK YOU</t>
  </si>
  <si>
    <t>Total</t>
  </si>
  <si>
    <t>Charges</t>
  </si>
  <si>
    <t>DWG CAPITAL PARTNERS</t>
  </si>
  <si>
    <t>Amex Business Platinum  |  Transaction Detail</t>
  </si>
  <si>
    <t>Account Holder</t>
  </si>
  <si>
    <t>John Dunning</t>
  </si>
  <si>
    <t>Account</t>
  </si>
  <si>
    <t>Statement Period</t>
  </si>
  <si>
    <t>Feb 21, 2026 – May 29, 2026</t>
  </si>
  <si>
    <t>Entity</t>
  </si>
  <si>
    <t>DWG Capital Partners</t>
  </si>
  <si>
    <t>Merchant</t>
  </si>
  <si>
    <t>B/P</t>
  </si>
  <si>
    <t>Reimb.</t>
  </si>
  <si>
    <t>Notes</t>
  </si>
  <si>
    <t>INTUIT QUICKBOOKS</t>
  </si>
  <si>
    <t>Software &amp; Subscriptions</t>
  </si>
  <si>
    <t>B</t>
  </si>
  <si>
    <t>ANTHROPIC</t>
  </si>
  <si>
    <t>BESTBUYCOM</t>
  </si>
  <si>
    <t>DELBAR OLD MILTON LLC</t>
  </si>
  <si>
    <t>Alpharetta GA</t>
  </si>
  <si>
    <t>TRAININNG LLC</t>
  </si>
  <si>
    <t>Training</t>
  </si>
  <si>
    <t>UBER EATS</t>
  </si>
  <si>
    <t>P?</t>
  </si>
  <si>
    <t>Transportation</t>
  </si>
  <si>
    <t>AMERICAN AIRLINES</t>
  </si>
  <si>
    <t>Dunning seat upgrade</t>
  </si>
  <si>
    <t>CLAUDE.AI SUBSCRIPTION</t>
  </si>
  <si>
    <t>LUGG</t>
  </si>
  <si>
    <t>CAMPAIGNER SVC</t>
  </si>
  <si>
    <t>Email marketing</t>
  </si>
  <si>
    <t>NIMBUS HEALTH FIRST</t>
  </si>
  <si>
    <t>Marked w/ receipt; verify</t>
  </si>
  <si>
    <t>TST* BLUEYS KITCHEN</t>
  </si>
  <si>
    <t>Payment</t>
  </si>
  <si>
    <t>Payment received</t>
  </si>
  <si>
    <t>CAMDEN &amp; MERIDEW PC</t>
  </si>
  <si>
    <t>Legal services</t>
  </si>
  <si>
    <t>WWW.PERPLEXITY.AI</t>
  </si>
  <si>
    <t>MERCEDES BAR &amp; GRILLE</t>
  </si>
  <si>
    <t>Marina del Rey</t>
  </si>
  <si>
    <t>PIPEDRIVE INC</t>
  </si>
  <si>
    <t>CRM</t>
  </si>
  <si>
    <t>AIRBNB</t>
  </si>
  <si>
    <t>SF lodging</t>
  </si>
  <si>
    <t>AMEX TRAVEL POINTS CREDIT</t>
  </si>
  <si>
    <t>Credit</t>
  </si>
  <si>
    <t>Points redemption</t>
  </si>
  <si>
    <t>Biswas ticket</t>
  </si>
  <si>
    <t>SOUTHWEST AIRLINES</t>
  </si>
  <si>
    <t>Hall — fee</t>
  </si>
  <si>
    <t>BUDGET RENT A CAR</t>
  </si>
  <si>
    <t>SF rental</t>
  </si>
  <si>
    <t>GATESIDE MARKET (SFO)</t>
  </si>
  <si>
    <t>Airport</t>
  </si>
  <si>
    <t>TST* ZOLA</t>
  </si>
  <si>
    <t>Palo Alto</t>
  </si>
  <si>
    <t>Dunning fees</t>
  </si>
  <si>
    <t>COTOGNA AND QUINCE</t>
  </si>
  <si>
    <t>SF</t>
  </si>
  <si>
    <t>TFK - PALO ALTO</t>
  </si>
  <si>
    <t>USFP - 425 BROADWAY</t>
  </si>
  <si>
    <t>Parking SF</t>
  </si>
  <si>
    <t>EXPEDIA</t>
  </si>
  <si>
    <t>NICOLASBOUCHER.ONLINE</t>
  </si>
  <si>
    <t>Course/training</t>
  </si>
  <si>
    <t>Dunning</t>
  </si>
  <si>
    <t>Hall</t>
  </si>
  <si>
    <t>LINKEDIN JOB</t>
  </si>
  <si>
    <t>Recruiting</t>
  </si>
  <si>
    <t>Background check</t>
  </si>
  <si>
    <t>MONTWAY AUTO TRANSPORT</t>
  </si>
  <si>
    <t>Vehicle transport</t>
  </si>
  <si>
    <t>ONENOTARY</t>
  </si>
  <si>
    <t>Notary</t>
  </si>
  <si>
    <t>STEVEN BULLOCK PHOTOGRAPHER</t>
  </si>
  <si>
    <t>Marked w/ receipt</t>
  </si>
  <si>
    <t>UNITED AIRLINES</t>
  </si>
  <si>
    <t>Hall seat upgrade</t>
  </si>
  <si>
    <t>DELTA AIR LINES</t>
  </si>
  <si>
    <t>MERCEDES BENZ OF AUSTIN</t>
  </si>
  <si>
    <t>Vehicle</t>
  </si>
  <si>
    <t>AMEX MEMBERSHIP FEE</t>
  </si>
  <si>
    <t>Annual fee</t>
  </si>
  <si>
    <t>Dunning refund</t>
  </si>
  <si>
    <t>AMEXTRAVEL.COM (Holiday Inn)</t>
  </si>
  <si>
    <t>SHINOLA/DETROIT</t>
  </si>
  <si>
    <t>Clothing/goods</t>
  </si>
  <si>
    <t>CASABLANCA RESTAURANT</t>
  </si>
  <si>
    <t>TST* GREAT WHITE - VENICE</t>
  </si>
  <si>
    <t>VENICE LIQUOR</t>
  </si>
  <si>
    <t>Totals</t>
  </si>
  <si>
    <t>Credits &amp; Payments</t>
  </si>
  <si>
    <t>Net Balance</t>
  </si>
  <si>
    <t>Amex Business Platinum  |  Statement Summary</t>
  </si>
  <si>
    <t>TOTALS</t>
  </si>
  <si>
    <t>SPEND BY CATEGORY</t>
  </si>
  <si>
    <t>% of Charges</t>
  </si>
  <si>
    <t>Total Charges</t>
  </si>
  <si>
    <t>SPEND BY MONTH</t>
  </si>
  <si>
    <t>Month</t>
  </si>
  <si>
    <t>Credits</t>
  </si>
  <si>
    <t>Net</t>
  </si>
  <si>
    <t>Type</t>
  </si>
  <si>
    <t>Online payment received</t>
  </si>
  <si>
    <t>Amex Travel — Points credit</t>
  </si>
  <si>
    <t>Southwest Airlines refund (Dunning)</t>
  </si>
  <si>
    <t>Refund</t>
  </si>
  <si>
    <t>Total Credits &amp; Payments</t>
  </si>
  <si>
    <t>Team Lunch</t>
  </si>
  <si>
    <t>Personal</t>
  </si>
  <si>
    <t>Team Dinner</t>
  </si>
  <si>
    <t>DWG Team Travel</t>
  </si>
  <si>
    <t>Accounting</t>
  </si>
  <si>
    <t>DWG Capital Group</t>
  </si>
  <si>
    <t>Auto (One-Time)</t>
  </si>
  <si>
    <t>Annual AMEX Fee</t>
  </si>
  <si>
    <t>DWGCP Car</t>
  </si>
  <si>
    <t>Notary Services</t>
  </si>
  <si>
    <t>DWGCP HR</t>
  </si>
  <si>
    <t>Background Check: Soumi</t>
  </si>
  <si>
    <t>DWGCP Professional Training</t>
  </si>
  <si>
    <t>Background Check: Max</t>
  </si>
  <si>
    <t>DWGCP Team Travel</t>
  </si>
  <si>
    <t>DWGCP Investor Meeting</t>
  </si>
  <si>
    <t>Travel Meal</t>
  </si>
  <si>
    <t>JAL Legal Case</t>
  </si>
  <si>
    <t>Personal Health</t>
  </si>
  <si>
    <t>DWGCP Investor Dinner</t>
  </si>
  <si>
    <t>Employee Tech Onboarding</t>
  </si>
  <si>
    <t>DWGCP / DWG Operating</t>
  </si>
  <si>
    <t xml:space="preserve">  Subtotal — Operating</t>
  </si>
  <si>
    <t>Technology &amp; Software</t>
  </si>
  <si>
    <t xml:space="preserve">  Subtotal — Technology</t>
  </si>
  <si>
    <t>Meals &amp; Ground Transport</t>
  </si>
  <si>
    <t xml:space="preserve">  Subtotal — Meals &amp; Transport</t>
  </si>
  <si>
    <t>One-Time / Capital</t>
  </si>
  <si>
    <t xml:space="preserve">  Subtotal — Capital</t>
  </si>
  <si>
    <t>Personal — Reimburse to Company</t>
  </si>
  <si>
    <t xml:space="preserve">  Subtotal — Personal</t>
  </si>
  <si>
    <t>Credits, Refunds &amp; Payments</t>
  </si>
  <si>
    <t xml:space="preserve">  Subtotal — Credits/Payments</t>
  </si>
  <si>
    <t>GRAND TOTAL</t>
  </si>
  <si>
    <t>PAYMENTS, CREDITS &amp; REFUNDS DETAIL</t>
  </si>
  <si>
    <t>Amex Travel — Points redemption</t>
  </si>
  <si>
    <t>Employee Bonus</t>
  </si>
  <si>
    <t>Helping move</t>
  </si>
  <si>
    <t>Statement Period (Past 3 Mon)</t>
  </si>
  <si>
    <t>February 2026 - May 2026</t>
  </si>
  <si>
    <t>Amex Business Platinum  |  Monthly Breakdown</t>
  </si>
  <si>
    <t>Period</t>
  </si>
  <si>
    <t>% of Month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</si>
</sst>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&quot;$&quot;#,##0.00;\(&quot;$&quot;#,##0.00\);\-"/>
    <numFmt numFmtId="166" formatCode="&quot;$&quot;#,##0.00"/>
    <numFmt numFmtId="167" formatCode="&quot;$&quot;#,##0.00;\(&quot;$&quot;#,##0.00\)"/>
    <numFmt numFmtId="168" formatCode="0.0%;\(0.0%\);\-"/>
    <numFmt numFmtId="169" formatCode="0.0%"/>
  </numFmts>
  <fonts count="15" x14ac:knownFonts="1">
    <font>
      <sz val="11"/>
      <color indexed="8"/>
      <name val="Aptos Narrow"/>
      <family val="2"/>
      <scheme val="minor"/>
    </font>
    <font>
      <b/>
      <sz val="16"/>
      <color rgb="FFFFFFFF"/>
      <name val="Calibri"/>
      <family val="2"/>
    </font>
    <font>
      <i/>
      <sz val="11"/>
      <color rgb="FFFFFFFF"/>
      <name val="Calibri"/>
      <family val="2"/>
    </font>
    <font>
      <b/>
      <sz val="9"/>
      <color rgb="FF6B6B6B"/>
      <name val="Aptos Narrow"/>
      <family val="2"/>
      <scheme val="minor"/>
    </font>
    <font>
      <sz val="10"/>
      <color indexed="8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indexed="8"/>
      <name val="Calibri"/>
      <family val="2"/>
    </font>
    <font>
      <b/>
      <sz val="10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i/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rgb="FF6B6B6B"/>
      <name val="Aptos Narrow"/>
      <family val="2"/>
      <scheme val="minor"/>
    </font>
    <font>
      <b/>
      <i/>
      <sz val="9"/>
      <color rgb="FF6B6B6B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C2C2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2" borderId="0" xfId="0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  <xf numFmtId="164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/>
    <xf numFmtId="165" fontId="6" fillId="3" borderId="1" xfId="0" applyNumberFormat="1" applyFont="1" applyFill="1" applyBorder="1"/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/>
    <xf numFmtId="165" fontId="6" fillId="3" borderId="2" xfId="0" applyNumberFormat="1" applyFont="1" applyFill="1" applyBorder="1"/>
    <xf numFmtId="0" fontId="6" fillId="3" borderId="2" xfId="0" applyFont="1" applyFill="1" applyBorder="1" applyAlignment="1">
      <alignment horizontal="center"/>
    </xf>
    <xf numFmtId="164" fontId="6" fillId="4" borderId="3" xfId="0" applyNumberFormat="1" applyFont="1" applyFill="1" applyBorder="1" applyAlignment="1">
      <alignment horizontal="left"/>
    </xf>
    <xf numFmtId="0" fontId="6" fillId="4" borderId="3" xfId="0" applyFont="1" applyFill="1" applyBorder="1"/>
    <xf numFmtId="165" fontId="6" fillId="4" borderId="3" xfId="0" applyNumberFormat="1" applyFont="1" applyFill="1" applyBorder="1"/>
    <xf numFmtId="0" fontId="6" fillId="4" borderId="3" xfId="0" applyFont="1" applyFill="1" applyBorder="1" applyAlignment="1">
      <alignment horizontal="center"/>
    </xf>
    <xf numFmtId="164" fontId="6" fillId="3" borderId="3" xfId="0" applyNumberFormat="1" applyFont="1" applyFill="1" applyBorder="1" applyAlignment="1">
      <alignment horizontal="left"/>
    </xf>
    <xf numFmtId="0" fontId="6" fillId="3" borderId="3" xfId="0" applyFont="1" applyFill="1" applyBorder="1"/>
    <xf numFmtId="165" fontId="6" fillId="3" borderId="3" xfId="0" applyNumberFormat="1" applyFont="1" applyFill="1" applyBorder="1"/>
    <xf numFmtId="0" fontId="6" fillId="3" borderId="3" xfId="0" applyFont="1" applyFill="1" applyBorder="1" applyAlignment="1">
      <alignment horizontal="center"/>
    </xf>
    <xf numFmtId="164" fontId="6" fillId="3" borderId="2" xfId="0" applyNumberFormat="1" applyFont="1" applyFill="1" applyBorder="1"/>
    <xf numFmtId="164" fontId="6" fillId="3" borderId="3" xfId="0" applyNumberFormat="1" applyFont="1" applyFill="1" applyBorder="1"/>
    <xf numFmtId="164" fontId="6" fillId="4" borderId="3" xfId="0" applyNumberFormat="1" applyFont="1" applyFill="1" applyBorder="1"/>
    <xf numFmtId="166" fontId="5" fillId="2" borderId="0" xfId="0" applyNumberFormat="1" applyFont="1" applyFill="1"/>
    <xf numFmtId="0" fontId="7" fillId="0" borderId="0" xfId="0" applyFont="1" applyAlignment="1">
      <alignment horizontal="right"/>
    </xf>
    <xf numFmtId="167" fontId="7" fillId="0" borderId="0" xfId="0" applyNumberFormat="1" applyFont="1"/>
    <xf numFmtId="0" fontId="8" fillId="5" borderId="0" xfId="0" applyFont="1" applyFill="1"/>
    <xf numFmtId="0" fontId="8" fillId="5" borderId="0" xfId="0" applyFont="1" applyFill="1" applyAlignment="1">
      <alignment horizontal="right"/>
    </xf>
    <xf numFmtId="167" fontId="8" fillId="5" borderId="0" xfId="0" applyNumberFormat="1" applyFont="1" applyFill="1"/>
    <xf numFmtId="0" fontId="10" fillId="2" borderId="0" xfId="0" applyFont="1" applyFill="1"/>
    <xf numFmtId="0" fontId="11" fillId="4" borderId="0" xfId="0" applyFont="1" applyFill="1"/>
    <xf numFmtId="0" fontId="4" fillId="4" borderId="0" xfId="0" applyFont="1" applyFill="1"/>
    <xf numFmtId="166" fontId="4" fillId="4" borderId="0" xfId="0" applyNumberFormat="1" applyFont="1" applyFill="1" applyAlignment="1">
      <alignment horizontal="right"/>
    </xf>
    <xf numFmtId="0" fontId="4" fillId="0" borderId="0" xfId="0" applyFont="1" applyAlignment="1">
      <alignment horizontal="right"/>
    </xf>
    <xf numFmtId="167" fontId="4" fillId="0" borderId="0" xfId="0" applyNumberFormat="1" applyFont="1" applyAlignment="1">
      <alignment horizontal="right"/>
    </xf>
    <xf numFmtId="167" fontId="8" fillId="5" borderId="0" xfId="0" applyNumberFormat="1" applyFont="1" applyFill="1" applyAlignment="1">
      <alignment horizontal="right"/>
    </xf>
    <xf numFmtId="0" fontId="3" fillId="0" borderId="0" xfId="0" applyFont="1" applyAlignment="1">
      <alignment horizontal="right"/>
    </xf>
    <xf numFmtId="165" fontId="4" fillId="4" borderId="0" xfId="0" applyNumberFormat="1" applyFont="1" applyFill="1" applyAlignment="1">
      <alignment horizontal="right"/>
    </xf>
    <xf numFmtId="168" fontId="4" fillId="4" borderId="0" xfId="0" applyNumberFormat="1" applyFont="1" applyFill="1" applyAlignment="1">
      <alignment horizontal="right"/>
    </xf>
    <xf numFmtId="165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0" fontId="7" fillId="5" borderId="0" xfId="0" applyFont="1" applyFill="1"/>
    <xf numFmtId="0" fontId="7" fillId="5" borderId="0" xfId="0" applyFont="1" applyFill="1" applyAlignment="1">
      <alignment horizontal="right"/>
    </xf>
    <xf numFmtId="166" fontId="7" fillId="5" borderId="0" xfId="0" applyNumberFormat="1" applyFont="1" applyFill="1" applyAlignment="1">
      <alignment horizontal="right"/>
    </xf>
    <xf numFmtId="168" fontId="7" fillId="5" borderId="0" xfId="0" applyNumberFormat="1" applyFont="1" applyFill="1" applyAlignment="1">
      <alignment horizontal="right"/>
    </xf>
    <xf numFmtId="17" fontId="4" fillId="0" borderId="0" xfId="0" applyNumberFormat="1" applyFont="1"/>
    <xf numFmtId="17" fontId="4" fillId="4" borderId="0" xfId="0" applyNumberFormat="1" applyFont="1" applyFill="1"/>
    <xf numFmtId="167" fontId="7" fillId="5" borderId="0" xfId="0" applyNumberFormat="1" applyFont="1" applyFill="1" applyAlignment="1">
      <alignment horizontal="right"/>
    </xf>
    <xf numFmtId="164" fontId="4" fillId="4" borderId="0" xfId="0" applyNumberFormat="1" applyFont="1" applyFill="1"/>
    <xf numFmtId="167" fontId="4" fillId="4" borderId="0" xfId="0" applyNumberFormat="1" applyFont="1" applyFill="1" applyAlignment="1">
      <alignment horizontal="right"/>
    </xf>
    <xf numFmtId="164" fontId="4" fillId="0" borderId="0" xfId="0" applyNumberFormat="1" applyFont="1"/>
    <xf numFmtId="0" fontId="0" fillId="5" borderId="0" xfId="0" applyFill="1"/>
    <xf numFmtId="0" fontId="12" fillId="0" borderId="0" xfId="0" applyFont="1"/>
    <xf numFmtId="165" fontId="7" fillId="5" borderId="0" xfId="0" applyNumberFormat="1" applyFont="1" applyFill="1" applyAlignment="1">
      <alignment horizontal="right"/>
    </xf>
    <xf numFmtId="167" fontId="10" fillId="2" borderId="0" xfId="0" applyNumberFormat="1" applyFont="1" applyFill="1" applyAlignment="1">
      <alignment horizontal="right"/>
    </xf>
    <xf numFmtId="169" fontId="10" fillId="2" borderId="0" xfId="0" applyNumberFormat="1" applyFont="1" applyFill="1" applyAlignment="1">
      <alignment horizontal="right"/>
    </xf>
    <xf numFmtId="17" fontId="13" fillId="2" borderId="0" xfId="0" applyNumberFormat="1" applyFont="1" applyFill="1"/>
    <xf numFmtId="167" fontId="5" fillId="2" borderId="0" xfId="0" applyNumberFormat="1" applyFont="1" applyFill="1" applyAlignment="1">
      <alignment horizontal="right"/>
    </xf>
    <xf numFmtId="49" fontId="0" fillId="0" borderId="0" xfId="0" applyNumberFormat="1"/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4" fillId="6" borderId="0" xfId="0" applyFont="1" applyFill="1"/>
    <xf numFmtId="0" fontId="14" fillId="6" borderId="0" xfId="0" applyFont="1" applyFill="1" applyAlignment="1">
      <alignment horizontal="right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9367FAB-772E-4EF1-BDB8-06F3B9BBAF3A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4702b291-982a-497d-864f-6542579b18a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0"/>
  <sheetViews>
    <sheetView topLeftCell="A53" zoomScale="136" zoomScaleNormal="136" workbookViewId="0">
      <selection activeCell="C46" sqref="C46"/>
    </sheetView>
  </sheetViews>
  <sheetFormatPr defaultColWidth="26.28515625" defaultRowHeight="15" x14ac:dyDescent="0.25"/>
  <cols>
    <col min="1" max="1" width="45.7109375" customWidth="1"/>
    <col min="2" max="2" width="39.5703125" customWidth="1"/>
    <col min="3" max="4" width="24.7109375" customWidth="1"/>
  </cols>
  <sheetData>
    <row r="1" spans="1:4" ht="21" x14ac:dyDescent="0.35">
      <c r="A1" s="1" t="s">
        <v>9</v>
      </c>
      <c r="B1" s="3"/>
      <c r="C1" s="3"/>
      <c r="D1" s="69" t="e" vm="1">
        <v>#VALUE!</v>
      </c>
    </row>
    <row r="2" spans="1:4" ht="38.25" customHeight="1" x14ac:dyDescent="0.25">
      <c r="A2" s="65" t="s">
        <v>103</v>
      </c>
      <c r="B2" s="3"/>
      <c r="C2" s="3"/>
      <c r="D2" s="69"/>
    </row>
    <row r="4" spans="1:4" x14ac:dyDescent="0.25">
      <c r="A4" s="5" t="s">
        <v>11</v>
      </c>
      <c r="B4" s="6" t="s">
        <v>12</v>
      </c>
    </row>
    <row r="5" spans="1:4" x14ac:dyDescent="0.25">
      <c r="A5" s="5" t="s">
        <v>13</v>
      </c>
      <c r="B5" s="6" t="s">
        <v>0</v>
      </c>
    </row>
    <row r="6" spans="1:4" x14ac:dyDescent="0.25">
      <c r="A6" s="5" t="s">
        <v>156</v>
      </c>
      <c r="B6" s="6" t="s">
        <v>157</v>
      </c>
    </row>
    <row r="8" spans="1:4" x14ac:dyDescent="0.25">
      <c r="A8" s="35" t="s">
        <v>104</v>
      </c>
      <c r="B8" s="3"/>
      <c r="C8" s="3"/>
    </row>
    <row r="9" spans="1:4" x14ac:dyDescent="0.25">
      <c r="A9" s="36" t="s">
        <v>8</v>
      </c>
      <c r="B9" s="38">
        <f>'Transaction Details'!D112</f>
        <v>28501.699999999997</v>
      </c>
      <c r="C9" s="38"/>
    </row>
    <row r="10" spans="1:4" x14ac:dyDescent="0.25">
      <c r="A10" s="6" t="s">
        <v>101</v>
      </c>
      <c r="B10" s="40">
        <f>'Transaction Details'!D113</f>
        <v>-18477.34</v>
      </c>
    </row>
    <row r="11" spans="1:4" x14ac:dyDescent="0.25">
      <c r="A11" s="32" t="s">
        <v>102</v>
      </c>
      <c r="B11" s="41">
        <f>B9+B10</f>
        <v>10024.359999999997</v>
      </c>
      <c r="C11" s="41"/>
    </row>
    <row r="13" spans="1:4" x14ac:dyDescent="0.25">
      <c r="A13" s="35" t="s">
        <v>105</v>
      </c>
      <c r="B13" s="3"/>
      <c r="C13" s="3"/>
    </row>
    <row r="14" spans="1:4" x14ac:dyDescent="0.25">
      <c r="A14" s="67" t="s">
        <v>4</v>
      </c>
      <c r="B14" s="68" t="s">
        <v>3</v>
      </c>
      <c r="C14" s="68" t="s">
        <v>106</v>
      </c>
    </row>
    <row r="15" spans="1:4" x14ac:dyDescent="0.25">
      <c r="A15" s="58" t="s">
        <v>139</v>
      </c>
    </row>
    <row r="16" spans="1:4" x14ac:dyDescent="0.25">
      <c r="A16" s="6" t="s">
        <v>132</v>
      </c>
      <c r="B16" s="45">
        <f>SUMIFS('Transaction Details'!D:D,'Transaction Details'!C:C,A16)</f>
        <v>5640.9400000000005</v>
      </c>
      <c r="C16" s="46">
        <f t="shared" ref="C16:C27" si="0">IFERROR(B16/$B$9,0)</f>
        <v>0.19791591378759868</v>
      </c>
    </row>
    <row r="17" spans="1:3" x14ac:dyDescent="0.25">
      <c r="A17" s="37" t="s">
        <v>154</v>
      </c>
      <c r="B17" s="43">
        <f>SUMIFS('Transaction Details'!D:D,'Transaction Details'!C:C,A17)</f>
        <v>141.24</v>
      </c>
      <c r="C17" s="44">
        <f t="shared" si="0"/>
        <v>4.9554938828210255E-3</v>
      </c>
    </row>
    <row r="18" spans="1:3" x14ac:dyDescent="0.25">
      <c r="A18" s="6" t="s">
        <v>126</v>
      </c>
      <c r="B18" s="45">
        <f>SUMIFS('Transaction Details'!D:D,'Transaction Details'!C:C,A18)</f>
        <v>2608</v>
      </c>
      <c r="C18" s="46">
        <f t="shared" si="0"/>
        <v>9.1503313837420233E-2</v>
      </c>
    </row>
    <row r="19" spans="1:3" x14ac:dyDescent="0.25">
      <c r="A19" s="37" t="s">
        <v>130</v>
      </c>
      <c r="B19" s="43">
        <f>SUMIFS('Transaction Details'!D:D,'Transaction Details'!C:C,A19)</f>
        <v>1484</v>
      </c>
      <c r="C19" s="44">
        <f t="shared" si="0"/>
        <v>5.2067069683562742E-2</v>
      </c>
    </row>
    <row r="20" spans="1:3" x14ac:dyDescent="0.25">
      <c r="A20" s="6" t="s">
        <v>137</v>
      </c>
      <c r="B20" s="45">
        <f>SUMIFS('Transaction Details'!D:D,'Transaction Details'!C:C,A20)</f>
        <v>1000</v>
      </c>
      <c r="C20" s="46">
        <f t="shared" si="0"/>
        <v>3.5085626471403467E-2</v>
      </c>
    </row>
    <row r="21" spans="1:3" x14ac:dyDescent="0.25">
      <c r="A21" s="37" t="s">
        <v>133</v>
      </c>
      <c r="B21" s="43">
        <f>SUMIFS('Transaction Details'!D:D,'Transaction Details'!C:C,A21)</f>
        <v>533.23</v>
      </c>
      <c r="C21" s="44">
        <f t="shared" si="0"/>
        <v>1.8708708603346471E-2</v>
      </c>
    </row>
    <row r="22" spans="1:3" x14ac:dyDescent="0.25">
      <c r="A22" s="6" t="s">
        <v>128</v>
      </c>
      <c r="B22" s="45">
        <f>SUMIFS('Transaction Details'!D:D,'Transaction Details'!C:C,A22)</f>
        <v>78.489999999999995</v>
      </c>
      <c r="C22" s="46">
        <f t="shared" si="0"/>
        <v>2.7538708217404576E-3</v>
      </c>
    </row>
    <row r="23" spans="1:3" x14ac:dyDescent="0.25">
      <c r="A23" s="6" t="s">
        <v>123</v>
      </c>
      <c r="B23" s="45">
        <f>SUMIFS('Transaction Details'!D:D,'Transaction Details'!C:C,A23)</f>
        <v>1200</v>
      </c>
      <c r="C23" s="46">
        <f t="shared" si="0"/>
        <v>4.2102751765684156E-2</v>
      </c>
    </row>
    <row r="24" spans="1:3" x14ac:dyDescent="0.25">
      <c r="A24" s="37" t="s">
        <v>135</v>
      </c>
      <c r="B24" s="43">
        <f>SUMIFS('Transaction Details'!D:D,'Transaction Details'!C:C,A24)</f>
        <v>109.54</v>
      </c>
      <c r="C24" s="44">
        <f t="shared" si="0"/>
        <v>3.8432795236775356E-3</v>
      </c>
    </row>
    <row r="25" spans="1:3" x14ac:dyDescent="0.25">
      <c r="A25" s="6" t="s">
        <v>127</v>
      </c>
      <c r="B25" s="45">
        <f>SUMIFS('Transaction Details'!D:D,'Transaction Details'!C:C,A25)</f>
        <v>35</v>
      </c>
      <c r="C25" s="46">
        <f t="shared" si="0"/>
        <v>1.2279969264991212E-3</v>
      </c>
    </row>
    <row r="26" spans="1:3" x14ac:dyDescent="0.25">
      <c r="A26" s="37" t="s">
        <v>125</v>
      </c>
      <c r="B26" s="43">
        <f>SUMIFS('Transaction Details'!D:D,'Transaction Details'!C:C,A26)</f>
        <v>895</v>
      </c>
      <c r="C26" s="44">
        <f t="shared" si="0"/>
        <v>3.1401635691906099E-2</v>
      </c>
    </row>
    <row r="27" spans="1:3" x14ac:dyDescent="0.25">
      <c r="A27" s="47" t="s">
        <v>140</v>
      </c>
      <c r="B27" s="59">
        <f>SUM(B16:B26)</f>
        <v>13725.44</v>
      </c>
      <c r="C27" s="50">
        <f t="shared" si="0"/>
        <v>0.48156566099565995</v>
      </c>
    </row>
    <row r="28" spans="1:3" x14ac:dyDescent="0.25">
      <c r="A28" s="58" t="s">
        <v>141</v>
      </c>
    </row>
    <row r="29" spans="1:3" x14ac:dyDescent="0.25">
      <c r="A29" s="6" t="s">
        <v>23</v>
      </c>
      <c r="B29" s="45">
        <f>SUMIFS('Transaction Details'!D:D,'Transaction Details'!C:C,A29)</f>
        <v>3027.8400000000006</v>
      </c>
      <c r="C29" s="46">
        <f>IFERROR(B29/$B$9,0)</f>
        <v>0.10623366325517429</v>
      </c>
    </row>
    <row r="30" spans="1:3" x14ac:dyDescent="0.25">
      <c r="A30" s="37" t="s">
        <v>138</v>
      </c>
      <c r="B30" s="43">
        <f>SUMIFS('Transaction Details'!D:D,'Transaction Details'!C:C,A30)</f>
        <v>1572.28</v>
      </c>
      <c r="C30" s="44">
        <f>IFERROR(B30/$B$9,0)</f>
        <v>5.5164428788458238E-2</v>
      </c>
    </row>
    <row r="31" spans="1:3" x14ac:dyDescent="0.25">
      <c r="A31" s="6" t="s">
        <v>78</v>
      </c>
      <c r="B31" s="45">
        <f>SUMIFS('Transaction Details'!D:D,'Transaction Details'!C:C,A31)</f>
        <v>1841.1100000000001</v>
      </c>
      <c r="C31" s="46">
        <f>IFERROR(B31/$B$9,0)</f>
        <v>6.459649775276563E-2</v>
      </c>
    </row>
    <row r="32" spans="1:3" x14ac:dyDescent="0.25">
      <c r="A32" s="47" t="s">
        <v>142</v>
      </c>
      <c r="B32" s="59">
        <f>SUM(B29:B31)</f>
        <v>6441.2300000000014</v>
      </c>
      <c r="C32" s="50">
        <f>IFERROR(B32/$B$9,0)</f>
        <v>0.22599458979639819</v>
      </c>
    </row>
    <row r="33" spans="1:3" x14ac:dyDescent="0.25">
      <c r="A33" s="58" t="s">
        <v>143</v>
      </c>
    </row>
    <row r="34" spans="1:3" x14ac:dyDescent="0.25">
      <c r="A34" s="6" t="s">
        <v>118</v>
      </c>
      <c r="B34" s="45">
        <f>SUMIFS('Transaction Details'!D:D,'Transaction Details'!C:C,A34)</f>
        <v>719.40000000000009</v>
      </c>
      <c r="C34" s="46">
        <f>IFERROR(B34/$B$9,0)</f>
        <v>2.5240599683527654E-2</v>
      </c>
    </row>
    <row r="35" spans="1:3" x14ac:dyDescent="0.25">
      <c r="A35" s="37" t="s">
        <v>120</v>
      </c>
      <c r="B35" s="43">
        <f>SUMIFS('Transaction Details'!D:D,'Transaction Details'!C:C,A35)</f>
        <v>65.569999999999993</v>
      </c>
      <c r="C35" s="44">
        <f>IFERROR(B35/$B$9,0)</f>
        <v>2.300564527729925E-3</v>
      </c>
    </row>
    <row r="36" spans="1:3" x14ac:dyDescent="0.25">
      <c r="A36" s="6" t="s">
        <v>134</v>
      </c>
      <c r="B36" s="45">
        <f>SUMIFS('Transaction Details'!D:D,'Transaction Details'!C:C,A36)</f>
        <v>69.11</v>
      </c>
      <c r="C36" s="46">
        <f>IFERROR(B36/$B$9,0)</f>
        <v>2.4247676454386934E-3</v>
      </c>
    </row>
    <row r="37" spans="1:3" x14ac:dyDescent="0.25">
      <c r="A37" s="37" t="s">
        <v>33</v>
      </c>
      <c r="B37" s="43">
        <f>SUMIFS('Transaction Details'!D:D,'Transaction Details'!C:C,A37)</f>
        <v>163.32</v>
      </c>
      <c r="C37" s="44">
        <f>IFERROR(B37/$B$9,0)</f>
        <v>5.7301845153096137E-3</v>
      </c>
    </row>
    <row r="38" spans="1:3" x14ac:dyDescent="0.25">
      <c r="A38" s="47" t="s">
        <v>144</v>
      </c>
      <c r="B38" s="59">
        <f>SUM(B34:B37)</f>
        <v>1017.4000000000001</v>
      </c>
      <c r="C38" s="50">
        <f>IFERROR(B38/$B$9,0)</f>
        <v>3.5696116372005884E-2</v>
      </c>
    </row>
    <row r="39" spans="1:3" x14ac:dyDescent="0.25">
      <c r="A39" s="58" t="s">
        <v>145</v>
      </c>
    </row>
    <row r="40" spans="1:3" x14ac:dyDescent="0.25">
      <c r="A40" s="6" t="s">
        <v>124</v>
      </c>
      <c r="B40" s="45">
        <f>SUMIFS('Transaction Details'!D:D,'Transaction Details'!C:C,A40)</f>
        <v>6900.58</v>
      </c>
      <c r="C40" s="46">
        <f>IFERROR(B40/$B$9,0)</f>
        <v>0.24211117231603732</v>
      </c>
    </row>
    <row r="41" spans="1:3" x14ac:dyDescent="0.25">
      <c r="A41" s="47" t="s">
        <v>146</v>
      </c>
      <c r="B41" s="59">
        <f>SUM(B40:B40)</f>
        <v>6900.58</v>
      </c>
      <c r="C41" s="50">
        <f>IFERROR(B41/$B$9,0)</f>
        <v>0.24211117231603732</v>
      </c>
    </row>
    <row r="42" spans="1:3" x14ac:dyDescent="0.25">
      <c r="A42" s="58" t="s">
        <v>147</v>
      </c>
    </row>
    <row r="43" spans="1:3" x14ac:dyDescent="0.25">
      <c r="A43" s="6" t="s">
        <v>119</v>
      </c>
      <c r="B43" s="45">
        <f>SUMIFS('Transaction Details'!D:D,'Transaction Details'!C:C,A43)</f>
        <v>217.04999999999998</v>
      </c>
      <c r="C43" s="46">
        <f>IFERROR(B43/$B$9,0)</f>
        <v>7.6153352256181214E-3</v>
      </c>
    </row>
    <row r="44" spans="1:3" x14ac:dyDescent="0.25">
      <c r="A44" s="37" t="s">
        <v>136</v>
      </c>
      <c r="B44" s="43">
        <f>SUMIFS('Transaction Details'!D:D,'Transaction Details'!C:C,A44)</f>
        <v>200</v>
      </c>
      <c r="C44" s="44">
        <f>IFERROR(B44/$B$9,0)</f>
        <v>7.0171252942806926E-3</v>
      </c>
    </row>
    <row r="45" spans="1:3" x14ac:dyDescent="0.25">
      <c r="A45" s="47" t="s">
        <v>148</v>
      </c>
      <c r="B45" s="59">
        <f>SUM(B43:B44)</f>
        <v>417.04999999999995</v>
      </c>
      <c r="C45" s="50">
        <f>IFERROR(B45/$B$9,0)</f>
        <v>1.4632460519898813E-2</v>
      </c>
    </row>
    <row r="46" spans="1:3" x14ac:dyDescent="0.25">
      <c r="A46" s="58" t="s">
        <v>149</v>
      </c>
    </row>
    <row r="47" spans="1:3" x14ac:dyDescent="0.25">
      <c r="A47" s="6" t="s">
        <v>116</v>
      </c>
      <c r="B47" s="45">
        <f>SUMIFS('Transaction Details'!D:D,'Transaction Details'!C:C,A47)</f>
        <v>-462.4</v>
      </c>
      <c r="C47" s="46">
        <f>IFERROR(B47/$B$9,0)</f>
        <v>-1.6223593680376961E-2</v>
      </c>
    </row>
    <row r="48" spans="1:3" x14ac:dyDescent="0.25">
      <c r="A48" s="37" t="s">
        <v>55</v>
      </c>
      <c r="B48" s="43">
        <f>SUMIFS('Transaction Details'!D:D,'Transaction Details'!C:C,A48)</f>
        <v>-601.80999999999995</v>
      </c>
      <c r="C48" s="44">
        <f>IFERROR(B48/$B$9,0)</f>
        <v>-2.1114880866755316E-2</v>
      </c>
    </row>
    <row r="49" spans="1:4" x14ac:dyDescent="0.25">
      <c r="A49" s="6" t="s">
        <v>56</v>
      </c>
      <c r="B49" s="45">
        <f>SUMIFS('Transaction Details'!D:D,'Transaction Details'!C:C,A49)</f>
        <v>-350</v>
      </c>
      <c r="C49" s="46">
        <f>IFERROR(B49/$B$9,0)</f>
        <v>-1.2279969264991213E-2</v>
      </c>
    </row>
    <row r="50" spans="1:4" x14ac:dyDescent="0.25">
      <c r="A50" s="37" t="s">
        <v>43</v>
      </c>
      <c r="B50" s="43">
        <f>SUMIFS('Transaction Details'!D:D,'Transaction Details'!C:C,A50)</f>
        <v>-17063.13</v>
      </c>
      <c r="C50" s="44">
        <f>IFERROR(B50/$B$9,0)</f>
        <v>-0.59867060561299867</v>
      </c>
    </row>
    <row r="51" spans="1:4" x14ac:dyDescent="0.25">
      <c r="A51" s="47" t="s">
        <v>150</v>
      </c>
      <c r="B51" s="59">
        <f>SUM(B47:B50)</f>
        <v>-18477.34</v>
      </c>
      <c r="C51" s="50">
        <f>IFERROR(B51/$B$9,0)</f>
        <v>-0.64828904942512211</v>
      </c>
    </row>
    <row r="52" spans="1:4" x14ac:dyDescent="0.25">
      <c r="A52" s="35" t="s">
        <v>151</v>
      </c>
      <c r="B52" s="60">
        <f>B27+B32+B38+B41+B45+B51</f>
        <v>10024.36</v>
      </c>
      <c r="C52" s="61">
        <f>B52/B9</f>
        <v>0.35171095057487806</v>
      </c>
    </row>
    <row r="54" spans="1:4" x14ac:dyDescent="0.25">
      <c r="A54" s="35" t="s">
        <v>108</v>
      </c>
      <c r="B54" s="3"/>
      <c r="C54" s="3"/>
      <c r="D54" s="3"/>
    </row>
    <row r="55" spans="1:4" x14ac:dyDescent="0.25">
      <c r="A55" s="5" t="s">
        <v>109</v>
      </c>
      <c r="B55" s="42" t="s">
        <v>8</v>
      </c>
      <c r="C55" s="42" t="s">
        <v>110</v>
      </c>
      <c r="D55" s="42" t="s">
        <v>111</v>
      </c>
    </row>
    <row r="56" spans="1:4" x14ac:dyDescent="0.25">
      <c r="A56" s="52">
        <v>46082</v>
      </c>
      <c r="B56" s="43">
        <f>SUMIFS('Transaction Details'!D:D,'Transaction Details'!A:A,"&gt;="&amp;DATE(2026,3,1),'Transaction Details'!A:A,"&lt;"&amp;DATE(2026,4,1),'Transaction Details'!D:D,"&gt;0")</f>
        <v>10350.309999999998</v>
      </c>
      <c r="C56" s="43">
        <f>SUMIFS('Transaction Details'!D:D,'Transaction Details'!A:A,"&gt;="&amp;DATE(2026,3,1),'Transaction Details'!A:A,"&lt;"&amp;DATE(2026,4,1),'Transaction Details'!D:D,"&lt;0")</f>
        <v>-462.4</v>
      </c>
      <c r="D56" s="43">
        <f>B56+C56</f>
        <v>9887.909999999998</v>
      </c>
    </row>
    <row r="57" spans="1:4" x14ac:dyDescent="0.25">
      <c r="A57" s="51">
        <v>46113</v>
      </c>
      <c r="B57" s="45">
        <f>SUMIFS('Transaction Details'!D:D,'Transaction Details'!A:A,"&gt;="&amp;DATE(2026,4,1),'Transaction Details'!A:A,"&lt;"&amp;DATE(2026,5,1),'Transaction Details'!D:D,"&gt;0")</f>
        <v>11104.010000000002</v>
      </c>
      <c r="C57" s="45">
        <f>SUMIFS('Transaction Details'!D:D,'Transaction Details'!A:A,"&gt;="&amp;DATE(2026,4,1),'Transaction Details'!A:A,"&lt;"&amp;DATE(2026,5,1),'Transaction Details'!D:D,"&lt;0")</f>
        <v>-1591.53</v>
      </c>
      <c r="D57" s="45">
        <f>B57+C57</f>
        <v>9512.4800000000014</v>
      </c>
    </row>
    <row r="58" spans="1:4" x14ac:dyDescent="0.25">
      <c r="A58" s="52">
        <v>46143</v>
      </c>
      <c r="B58" s="43">
        <f>SUMIFS('Transaction Details'!D:D,'Transaction Details'!A:A,"&gt;="&amp;DATE(2026,5,1),'Transaction Details'!A:A,"&lt;"&amp;DATE(2026,6,1),'Transaction Details'!D:D,"&gt;0")</f>
        <v>7047.3799999999983</v>
      </c>
      <c r="C58" s="43">
        <f>SUMIFS('Transaction Details'!D:D,'Transaction Details'!A:A,"&gt;="&amp;DATE(2026,5,1),'Transaction Details'!A:A,"&lt;"&amp;DATE(2026,6,1),'Transaction Details'!D:D,"&lt;0")</f>
        <v>-16423.41</v>
      </c>
      <c r="D58" s="43">
        <f>B58+C58</f>
        <v>-9376.0300000000025</v>
      </c>
    </row>
    <row r="59" spans="1:4" x14ac:dyDescent="0.25">
      <c r="A59" s="47" t="s">
        <v>7</v>
      </c>
      <c r="B59" s="49">
        <f>SUM(B56:B58)</f>
        <v>28501.699999999997</v>
      </c>
      <c r="C59" s="53">
        <f>SUM(C56:C58)</f>
        <v>-18477.34</v>
      </c>
      <c r="D59" s="53">
        <f>B59+C59</f>
        <v>10024.359999999997</v>
      </c>
    </row>
    <row r="61" spans="1:4" x14ac:dyDescent="0.25">
      <c r="A61" s="35" t="s">
        <v>152</v>
      </c>
      <c r="B61" s="3"/>
      <c r="C61" s="3"/>
      <c r="D61" s="3"/>
    </row>
    <row r="62" spans="1:4" x14ac:dyDescent="0.25">
      <c r="A62" s="5" t="s">
        <v>1</v>
      </c>
      <c r="B62" s="5" t="s">
        <v>2</v>
      </c>
      <c r="C62" s="5" t="s">
        <v>112</v>
      </c>
      <c r="D62" s="42" t="s">
        <v>3</v>
      </c>
    </row>
    <row r="63" spans="1:4" x14ac:dyDescent="0.25">
      <c r="A63" s="54">
        <v>46155</v>
      </c>
      <c r="B63" s="37" t="s">
        <v>113</v>
      </c>
      <c r="C63" s="37" t="s">
        <v>43</v>
      </c>
      <c r="D63" s="55">
        <v>-15821.6</v>
      </c>
    </row>
    <row r="64" spans="1:4" x14ac:dyDescent="0.25">
      <c r="A64" s="56">
        <v>46125</v>
      </c>
      <c r="B64" s="6" t="s">
        <v>113</v>
      </c>
      <c r="C64" s="6" t="s">
        <v>43</v>
      </c>
      <c r="D64" s="40">
        <v>-1241.53</v>
      </c>
    </row>
    <row r="65" spans="1:4" x14ac:dyDescent="0.25">
      <c r="A65" s="54">
        <v>46145</v>
      </c>
      <c r="B65" s="37" t="s">
        <v>114</v>
      </c>
      <c r="C65" s="37" t="s">
        <v>55</v>
      </c>
      <c r="D65" s="55">
        <v>-601.80999999999995</v>
      </c>
    </row>
    <row r="66" spans="1:4" x14ac:dyDescent="0.25">
      <c r="A66" s="56">
        <v>46118</v>
      </c>
      <c r="B66" s="6" t="s">
        <v>153</v>
      </c>
      <c r="C66" s="6" t="s">
        <v>56</v>
      </c>
      <c r="D66" s="40">
        <v>-200</v>
      </c>
    </row>
    <row r="67" spans="1:4" x14ac:dyDescent="0.25">
      <c r="A67" s="54">
        <v>46119</v>
      </c>
      <c r="B67" s="37" t="s">
        <v>153</v>
      </c>
      <c r="C67" s="37" t="s">
        <v>56</v>
      </c>
      <c r="D67" s="55">
        <v>-150</v>
      </c>
    </row>
    <row r="68" spans="1:4" x14ac:dyDescent="0.25">
      <c r="A68" s="56">
        <v>46104</v>
      </c>
      <c r="B68" s="6" t="s">
        <v>115</v>
      </c>
      <c r="C68" s="6" t="s">
        <v>116</v>
      </c>
      <c r="D68" s="40">
        <v>-393.4</v>
      </c>
    </row>
    <row r="69" spans="1:4" x14ac:dyDescent="0.25">
      <c r="A69" s="54">
        <v>46104</v>
      </c>
      <c r="B69" s="37" t="s">
        <v>115</v>
      </c>
      <c r="C69" s="37" t="s">
        <v>116</v>
      </c>
      <c r="D69" s="55">
        <v>-69</v>
      </c>
    </row>
    <row r="70" spans="1:4" x14ac:dyDescent="0.25">
      <c r="A70" s="47" t="s">
        <v>117</v>
      </c>
      <c r="B70" s="57"/>
      <c r="C70" s="57"/>
      <c r="D70" s="53">
        <f>SUM(D63:D69)</f>
        <v>-18477.340000000004</v>
      </c>
    </row>
  </sheetData>
  <mergeCells count="1"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2781A-732C-42BB-82B3-A49DD09C8935}">
  <dimension ref="A1:D50"/>
  <sheetViews>
    <sheetView tabSelected="1" topLeftCell="A26" zoomScale="154" zoomScaleNormal="154" workbookViewId="0">
      <selection activeCell="B8" sqref="B8"/>
    </sheetView>
  </sheetViews>
  <sheetFormatPr defaultRowHeight="15" x14ac:dyDescent="0.25"/>
  <cols>
    <col min="1" max="1" width="43.85546875" customWidth="1"/>
    <col min="2" max="2" width="22.5703125" customWidth="1"/>
    <col min="3" max="3" width="24.28515625" customWidth="1"/>
    <col min="4" max="4" width="14.7109375" customWidth="1"/>
  </cols>
  <sheetData>
    <row r="1" spans="1:4" ht="21" x14ac:dyDescent="0.35">
      <c r="A1" s="1" t="s">
        <v>9</v>
      </c>
      <c r="B1" s="3"/>
      <c r="C1" s="3"/>
      <c r="D1" s="69" t="e" vm="1">
        <v>#VALUE!</v>
      </c>
    </row>
    <row r="2" spans="1:4" ht="36.75" customHeight="1" x14ac:dyDescent="0.25">
      <c r="A2" s="66" t="s">
        <v>158</v>
      </c>
      <c r="B2" s="3"/>
      <c r="C2" s="3"/>
      <c r="D2" s="69"/>
    </row>
    <row r="4" spans="1:4" x14ac:dyDescent="0.25">
      <c r="A4" s="5" t="s">
        <v>159</v>
      </c>
      <c r="B4" s="6" t="s">
        <v>157</v>
      </c>
    </row>
    <row r="6" spans="1:4" ht="15.75" x14ac:dyDescent="0.25">
      <c r="A6" s="62">
        <v>46107</v>
      </c>
      <c r="B6" s="3"/>
      <c r="C6" s="3"/>
    </row>
    <row r="7" spans="1:4" x14ac:dyDescent="0.25">
      <c r="A7" s="5" t="s">
        <v>4</v>
      </c>
      <c r="B7" s="42" t="s">
        <v>3</v>
      </c>
      <c r="C7" s="42" t="s">
        <v>160</v>
      </c>
    </row>
    <row r="8" spans="1:4" x14ac:dyDescent="0.25">
      <c r="A8" s="6" t="s">
        <v>124</v>
      </c>
      <c r="B8" s="45">
        <f>SUMIFS('Transaction Details'!D:D,'Transaction Details'!C:C,A8,'Transaction Details'!A:A,"&gt;="&amp;DATE(2026,3,1),'Transaction Details'!A:A,"&lt;"&amp;DATE(2026,4,1))</f>
        <v>6900.58</v>
      </c>
      <c r="C8" s="46">
        <f t="shared" ref="C8:C14" si="0">IFERROR(B8/$B$15,0)</f>
        <v>0.66670273643977829</v>
      </c>
    </row>
    <row r="9" spans="1:4" x14ac:dyDescent="0.25">
      <c r="A9" s="37" t="s">
        <v>132</v>
      </c>
      <c r="B9" s="43">
        <f>SUMIFS('Transaction Details'!D:D,'Transaction Details'!C:C,A9,'Transaction Details'!A:A,"&gt;="&amp;DATE(2026,3,1),'Transaction Details'!A:A,"&lt;"&amp;DATE(2026,4,1))</f>
        <v>1446.5500000000002</v>
      </c>
      <c r="C9" s="44">
        <f t="shared" si="0"/>
        <v>0.13975909900283184</v>
      </c>
    </row>
    <row r="10" spans="1:4" x14ac:dyDescent="0.25">
      <c r="A10" s="6" t="s">
        <v>125</v>
      </c>
      <c r="B10" s="45">
        <f>SUMIFS('Transaction Details'!D:D,'Transaction Details'!C:C,A10,'Transaction Details'!A:A,"&gt;="&amp;DATE(2026,3,1),'Transaction Details'!A:A,"&lt;"&amp;DATE(2026,4,1))</f>
        <v>895</v>
      </c>
      <c r="C10" s="46">
        <f t="shared" si="0"/>
        <v>8.6470840003825988E-2</v>
      </c>
    </row>
    <row r="11" spans="1:4" x14ac:dyDescent="0.25">
      <c r="A11" s="37" t="s">
        <v>78</v>
      </c>
      <c r="B11" s="43">
        <f>SUMIFS('Transaction Details'!D:D,'Transaction Details'!C:C,A11,'Transaction Details'!A:A,"&gt;="&amp;DATE(2026,3,1),'Transaction Details'!A:A,"&lt;"&amp;DATE(2026,4,1))</f>
        <v>560</v>
      </c>
      <c r="C11" s="44">
        <f t="shared" si="0"/>
        <v>5.4104659667198386E-2</v>
      </c>
    </row>
    <row r="12" spans="1:4" x14ac:dyDescent="0.25">
      <c r="A12" s="6" t="s">
        <v>118</v>
      </c>
      <c r="B12" s="45">
        <f>SUMIFS('Transaction Details'!D:D,'Transaction Details'!C:C,A12,'Transaction Details'!A:A,"&gt;="&amp;DATE(2026,3,1),'Transaction Details'!A:A,"&lt;"&amp;DATE(2026,4,1))</f>
        <v>265.56</v>
      </c>
      <c r="C12" s="46">
        <f t="shared" si="0"/>
        <v>2.5657202537895007E-2</v>
      </c>
    </row>
    <row r="13" spans="1:4" x14ac:dyDescent="0.25">
      <c r="A13" s="37" t="s">
        <v>119</v>
      </c>
      <c r="B13" s="43">
        <f>SUMIFS('Transaction Details'!D:D,'Transaction Details'!C:C,A13,'Transaction Details'!A:A,"&gt;="&amp;DATE(2026,3,1),'Transaction Details'!A:A,"&lt;"&amp;DATE(2026,4,1))</f>
        <v>217.04999999999998</v>
      </c>
      <c r="C13" s="44">
        <f t="shared" si="0"/>
        <v>2.0970386394223946E-2</v>
      </c>
    </row>
    <row r="14" spans="1:4" x14ac:dyDescent="0.25">
      <c r="A14" s="6" t="s">
        <v>120</v>
      </c>
      <c r="B14" s="45">
        <f>SUMIFS('Transaction Details'!D:D,'Transaction Details'!C:C,A14,'Transaction Details'!A:A,"&gt;="&amp;DATE(2026,3,1),'Transaction Details'!A:A,"&lt;"&amp;DATE(2026,4,1))</f>
        <v>65.569999999999993</v>
      </c>
      <c r="C14" s="46">
        <f t="shared" si="0"/>
        <v>6.3350759542467822E-3</v>
      </c>
    </row>
    <row r="15" spans="1:4" x14ac:dyDescent="0.25">
      <c r="A15" s="47" t="s">
        <v>107</v>
      </c>
      <c r="B15" s="53">
        <f>SUMIFS('Transaction Details'!D:D,'Transaction Details'!A:A,"&gt;="&amp;DATE(2026,3,1),'Transaction Details'!A:A,"&lt;"&amp;DATE(2026,4,1),'Transaction Details'!D:D,"&gt;0")</f>
        <v>10350.309999999998</v>
      </c>
      <c r="C15" s="48"/>
    </row>
    <row r="16" spans="1:4" x14ac:dyDescent="0.25">
      <c r="A16" s="6" t="s">
        <v>101</v>
      </c>
      <c r="B16" s="45">
        <f>SUMIFS('Transaction Details'!D:D,'Transaction Details'!A:A,"&gt;="&amp;DATE(2026,3,1),'Transaction Details'!A:A,"&lt;"&amp;DATE(2026,4,1),'Transaction Details'!D:D,"&lt;0")</f>
        <v>-462.4</v>
      </c>
      <c r="C16" s="39"/>
    </row>
    <row r="17" spans="1:3" x14ac:dyDescent="0.25">
      <c r="A17" s="7" t="s">
        <v>111</v>
      </c>
      <c r="B17" s="63">
        <f>B15+B16</f>
        <v>9887.909999999998</v>
      </c>
      <c r="C17" s="9"/>
    </row>
    <row r="18" spans="1:3" x14ac:dyDescent="0.25">
      <c r="A18" s="64"/>
    </row>
    <row r="19" spans="1:3" ht="15.75" x14ac:dyDescent="0.25">
      <c r="A19" s="62">
        <v>46113</v>
      </c>
      <c r="B19" s="3"/>
      <c r="C19" s="3"/>
    </row>
    <row r="20" spans="1:3" x14ac:dyDescent="0.25">
      <c r="A20" s="5" t="s">
        <v>4</v>
      </c>
      <c r="B20" s="42" t="s">
        <v>3</v>
      </c>
      <c r="C20" s="42" t="s">
        <v>160</v>
      </c>
    </row>
    <row r="21" spans="1:3" x14ac:dyDescent="0.25">
      <c r="A21" s="6" t="s">
        <v>126</v>
      </c>
      <c r="B21" s="45">
        <f>SUMIFS('Transaction Details'!D:D,'Transaction Details'!C:C,A21,'Transaction Details'!A:A,"&gt;="&amp;DATE(2026,4,1),'Transaction Details'!A:A,"&lt;"&amp;DATE(2026,5,1))</f>
        <v>2608</v>
      </c>
      <c r="C21" s="46">
        <f t="shared" ref="C21:C30" si="1">IFERROR(B21/$B$31,0)</f>
        <v>0.23487010548441506</v>
      </c>
    </row>
    <row r="22" spans="1:3" x14ac:dyDescent="0.25">
      <c r="A22" s="37" t="s">
        <v>132</v>
      </c>
      <c r="B22" s="43">
        <f>SUMIFS('Transaction Details'!D:D,'Transaction Details'!C:C,A22,'Transaction Details'!A:A,"&gt;="&amp;DATE(2026,4,1),'Transaction Details'!A:A,"&lt;"&amp;DATE(2026,5,1))</f>
        <v>2260.5899999999997</v>
      </c>
      <c r="C22" s="44">
        <f t="shared" si="1"/>
        <v>0.20358321002952981</v>
      </c>
    </row>
    <row r="23" spans="1:3" x14ac:dyDescent="0.25">
      <c r="A23" s="6" t="s">
        <v>23</v>
      </c>
      <c r="B23" s="45">
        <f>SUMIFS('Transaction Details'!D:D,'Transaction Details'!C:C,A23,'Transaction Details'!A:A,"&gt;="&amp;DATE(2026,4,1),'Transaction Details'!A:A,"&lt;"&amp;DATE(2026,5,1))</f>
        <v>1774.4399999999998</v>
      </c>
      <c r="C23" s="46">
        <f t="shared" si="1"/>
        <v>0.15980172928518613</v>
      </c>
    </row>
    <row r="24" spans="1:3" x14ac:dyDescent="0.25">
      <c r="A24" s="37" t="s">
        <v>78</v>
      </c>
      <c r="B24" s="43">
        <f>SUMIFS('Transaction Details'!D:D,'Transaction Details'!C:C,A24,'Transaction Details'!A:A,"&gt;="&amp;DATE(2026,4,1),'Transaction Details'!A:A,"&lt;"&amp;DATE(2026,5,1))</f>
        <v>1281.1100000000001</v>
      </c>
      <c r="C24" s="44">
        <f t="shared" si="1"/>
        <v>0.11537363529031402</v>
      </c>
    </row>
    <row r="25" spans="1:3" x14ac:dyDescent="0.25">
      <c r="A25" s="6" t="s">
        <v>130</v>
      </c>
      <c r="B25" s="45">
        <f>SUMIFS('Transaction Details'!D:D,'Transaction Details'!C:C,A25,'Transaction Details'!A:A,"&gt;="&amp;DATE(2026,4,1),'Transaction Details'!A:A,"&lt;"&amp;DATE(2026,5,1))</f>
        <v>1235</v>
      </c>
      <c r="C25" s="46">
        <f t="shared" si="1"/>
        <v>0.11122108139311832</v>
      </c>
    </row>
    <row r="26" spans="1:3" x14ac:dyDescent="0.25">
      <c r="A26" s="37" t="s">
        <v>123</v>
      </c>
      <c r="B26" s="43">
        <f>SUMIFS('Transaction Details'!D:D,'Transaction Details'!C:C,A26,'Transaction Details'!A:A,"&gt;="&amp;DATE(2026,4,1),'Transaction Details'!A:A,"&lt;"&amp;DATE(2026,5,1))</f>
        <v>1200</v>
      </c>
      <c r="C26" s="44">
        <f t="shared" si="1"/>
        <v>0.10806906694068177</v>
      </c>
    </row>
    <row r="27" spans="1:3" x14ac:dyDescent="0.25">
      <c r="A27" s="6" t="s">
        <v>133</v>
      </c>
      <c r="B27" s="45">
        <f>SUMIFS('Transaction Details'!D:D,'Transaction Details'!C:C,A27,'Transaction Details'!A:A,"&gt;="&amp;DATE(2026,4,1),'Transaction Details'!A:A,"&lt;"&amp;DATE(2026,5,1))</f>
        <v>533.23</v>
      </c>
      <c r="C27" s="46">
        <f t="shared" si="1"/>
        <v>4.8021390470649787E-2</v>
      </c>
    </row>
    <row r="28" spans="1:3" x14ac:dyDescent="0.25">
      <c r="A28" s="37" t="s">
        <v>33</v>
      </c>
      <c r="B28" s="43">
        <f>SUMIFS('Transaction Details'!D:D,'Transaction Details'!C:C,A28,'Transaction Details'!A:A,"&gt;="&amp;DATE(2026,4,1),'Transaction Details'!A:A,"&lt;"&amp;DATE(2026,5,1))</f>
        <v>98.15</v>
      </c>
      <c r="C28" s="44">
        <f t="shared" si="1"/>
        <v>8.8391491001899303E-3</v>
      </c>
    </row>
    <row r="29" spans="1:3" x14ac:dyDescent="0.25">
      <c r="A29" s="6" t="s">
        <v>128</v>
      </c>
      <c r="B29" s="45">
        <f>SUMIFS('Transaction Details'!D:D,'Transaction Details'!C:C,A29,'Transaction Details'!A:A,"&gt;="&amp;DATE(2026,4,1),'Transaction Details'!A:A,"&lt;"&amp;DATE(2026,5,1))</f>
        <v>78.489999999999995</v>
      </c>
      <c r="C29" s="46">
        <f t="shared" si="1"/>
        <v>7.0686175534784264E-3</v>
      </c>
    </row>
    <row r="30" spans="1:3" x14ac:dyDescent="0.25">
      <c r="A30" s="37" t="s">
        <v>127</v>
      </c>
      <c r="B30" s="43">
        <f>SUMIFS('Transaction Details'!D:D,'Transaction Details'!C:C,A30,'Transaction Details'!A:A,"&gt;="&amp;DATE(2026,4,1),'Transaction Details'!A:A,"&lt;"&amp;DATE(2026,5,1))</f>
        <v>35</v>
      </c>
      <c r="C30" s="44">
        <f t="shared" si="1"/>
        <v>3.1520144524365516E-3</v>
      </c>
    </row>
    <row r="31" spans="1:3" x14ac:dyDescent="0.25">
      <c r="A31" s="47" t="s">
        <v>107</v>
      </c>
      <c r="B31" s="53">
        <f>SUMIFS('Transaction Details'!D:D,'Transaction Details'!A:A,"&gt;="&amp;DATE(2026,4,1),'Transaction Details'!A:A,"&lt;"&amp;DATE(2026,5,1),'Transaction Details'!D:D,"&gt;0")</f>
        <v>11104.010000000002</v>
      </c>
      <c r="C31" s="48"/>
    </row>
    <row r="32" spans="1:3" x14ac:dyDescent="0.25">
      <c r="A32" s="6" t="s">
        <v>101</v>
      </c>
      <c r="B32" s="45">
        <f>SUMIFS('Transaction Details'!D:D,'Transaction Details'!A:A,"&gt;="&amp;DATE(2026,4,1),'Transaction Details'!A:A,"&lt;"&amp;DATE(2026,5,1),'Transaction Details'!D:D,"&lt;0")</f>
        <v>-1591.53</v>
      </c>
      <c r="C32" s="39"/>
    </row>
    <row r="33" spans="1:3" x14ac:dyDescent="0.25">
      <c r="A33" s="7" t="s">
        <v>111</v>
      </c>
      <c r="B33" s="63">
        <f>B31+B32</f>
        <v>9512.4800000000014</v>
      </c>
      <c r="C33" s="9"/>
    </row>
    <row r="35" spans="1:3" ht="15.75" x14ac:dyDescent="0.25">
      <c r="A35" s="62">
        <v>46143</v>
      </c>
      <c r="B35" s="3"/>
      <c r="C35" s="3"/>
    </row>
    <row r="36" spans="1:3" x14ac:dyDescent="0.25">
      <c r="A36" s="5" t="s">
        <v>4</v>
      </c>
      <c r="B36" s="42" t="s">
        <v>3</v>
      </c>
      <c r="C36" s="42" t="s">
        <v>160</v>
      </c>
    </row>
    <row r="37" spans="1:3" x14ac:dyDescent="0.25">
      <c r="A37" s="6" t="s">
        <v>132</v>
      </c>
      <c r="B37" s="45">
        <f>SUMIFS('Transaction Details'!D:D,'Transaction Details'!C:C,A37,'Transaction Details'!A:A,"&gt;="&amp;DATE(2026,5,1),'Transaction Details'!A:A,"&lt;"&amp;DATE(2026,6,1))</f>
        <v>1933.8000000000002</v>
      </c>
      <c r="C37" s="46">
        <f t="shared" ref="C37:C47" si="2">IFERROR(B37/$B$48,0)</f>
        <v>0.27439984788673244</v>
      </c>
    </row>
    <row r="38" spans="1:3" x14ac:dyDescent="0.25">
      <c r="A38" s="37" t="s">
        <v>138</v>
      </c>
      <c r="B38" s="43">
        <f>SUMIFS('Transaction Details'!D:D,'Transaction Details'!C:C,A38,'Transaction Details'!A:A,"&gt;="&amp;DATE(2026,5,1),'Transaction Details'!A:A,"&lt;"&amp;DATE(2026,6,1))</f>
        <v>1572.28</v>
      </c>
      <c r="C38" s="44">
        <f t="shared" si="2"/>
        <v>0.22310135114042387</v>
      </c>
    </row>
    <row r="39" spans="1:3" x14ac:dyDescent="0.25">
      <c r="A39" s="6" t="s">
        <v>23</v>
      </c>
      <c r="B39" s="45">
        <f>SUMIFS('Transaction Details'!D:D,'Transaction Details'!C:C,A39,'Transaction Details'!A:A,"&gt;="&amp;DATE(2026,5,1),'Transaction Details'!A:A,"&lt;"&amp;DATE(2026,6,1))</f>
        <v>1253.4000000000001</v>
      </c>
      <c r="C39" s="46">
        <f t="shared" si="2"/>
        <v>0.17785332988997335</v>
      </c>
    </row>
    <row r="40" spans="1:3" x14ac:dyDescent="0.25">
      <c r="A40" s="37" t="s">
        <v>137</v>
      </c>
      <c r="B40" s="43">
        <f>SUMIFS('Transaction Details'!D:D,'Transaction Details'!C:C,A40,'Transaction Details'!A:A,"&gt;="&amp;DATE(2026,5,1),'Transaction Details'!A:A,"&lt;"&amp;DATE(2026,6,1))</f>
        <v>1000</v>
      </c>
      <c r="C40" s="44">
        <f t="shared" si="2"/>
        <v>0.14189670487471942</v>
      </c>
    </row>
    <row r="41" spans="1:3" x14ac:dyDescent="0.25">
      <c r="A41" s="6" t="s">
        <v>118</v>
      </c>
      <c r="B41" s="45">
        <f>SUMIFS('Transaction Details'!D:D,'Transaction Details'!C:C,A41,'Transaction Details'!A:A,"&gt;="&amp;DATE(2026,5,1),'Transaction Details'!A:A,"&lt;"&amp;DATE(2026,6,1))</f>
        <v>453.84000000000003</v>
      </c>
      <c r="C41" s="46">
        <f t="shared" si="2"/>
        <v>6.4398400540342668E-2</v>
      </c>
    </row>
    <row r="42" spans="1:3" x14ac:dyDescent="0.25">
      <c r="A42" s="37" t="s">
        <v>130</v>
      </c>
      <c r="B42" s="43">
        <f>SUMIFS('Transaction Details'!D:D,'Transaction Details'!C:C,A42,'Transaction Details'!A:A,"&gt;="&amp;DATE(2026,5,1),'Transaction Details'!A:A,"&lt;"&amp;DATE(2026,6,1))</f>
        <v>249</v>
      </c>
      <c r="C42" s="44">
        <f t="shared" si="2"/>
        <v>3.5332279513805138E-2</v>
      </c>
    </row>
    <row r="43" spans="1:3" x14ac:dyDescent="0.25">
      <c r="A43" s="6" t="s">
        <v>136</v>
      </c>
      <c r="B43" s="45">
        <f>SUMIFS('Transaction Details'!D:D,'Transaction Details'!C:C,A43,'Transaction Details'!A:A,"&gt;="&amp;DATE(2026,5,1),'Transaction Details'!A:A,"&lt;"&amp;DATE(2026,6,1))</f>
        <v>200</v>
      </c>
      <c r="C43" s="46">
        <f t="shared" si="2"/>
        <v>2.8379340974943885E-2</v>
      </c>
    </row>
    <row r="44" spans="1:3" x14ac:dyDescent="0.25">
      <c r="A44" s="37" t="s">
        <v>154</v>
      </c>
      <c r="B44" s="43">
        <f>SUMIFS('Transaction Details'!D:D,'Transaction Details'!C:C,A44,'Transaction Details'!A:A,"&gt;="&amp;DATE(2026,5,1),'Transaction Details'!A:A,"&lt;"&amp;DATE(2026,6,1))</f>
        <v>141.24</v>
      </c>
      <c r="C44" s="44">
        <f t="shared" si="2"/>
        <v>2.0041490596505375E-2</v>
      </c>
    </row>
    <row r="45" spans="1:3" x14ac:dyDescent="0.25">
      <c r="A45" s="6" t="s">
        <v>135</v>
      </c>
      <c r="B45" s="45">
        <f>SUMIFS('Transaction Details'!D:D,'Transaction Details'!C:C,A45,'Transaction Details'!A:A,"&gt;="&amp;DATE(2026,5,1),'Transaction Details'!A:A,"&lt;"&amp;DATE(2026,6,1))</f>
        <v>109.54</v>
      </c>
      <c r="C45" s="46">
        <f t="shared" si="2"/>
        <v>1.5543365051976768E-2</v>
      </c>
    </row>
    <row r="46" spans="1:3" x14ac:dyDescent="0.25">
      <c r="A46" s="37" t="s">
        <v>134</v>
      </c>
      <c r="B46" s="43">
        <f>SUMIFS('Transaction Details'!D:D,'Transaction Details'!C:C,A46,'Transaction Details'!A:A,"&gt;="&amp;DATE(2026,5,1),'Transaction Details'!A:A,"&lt;"&amp;DATE(2026,6,1))</f>
        <v>69.11</v>
      </c>
      <c r="C46" s="44">
        <f t="shared" si="2"/>
        <v>9.8064812738918594E-3</v>
      </c>
    </row>
    <row r="47" spans="1:3" x14ac:dyDescent="0.25">
      <c r="A47" s="6" t="s">
        <v>33</v>
      </c>
      <c r="B47" s="45">
        <f>SUMIFS('Transaction Details'!D:D,'Transaction Details'!C:C,A47,'Transaction Details'!A:A,"&gt;="&amp;DATE(2026,5,1),'Transaction Details'!A:A,"&lt;"&amp;DATE(2026,6,1))</f>
        <v>65.17</v>
      </c>
      <c r="C47" s="46">
        <f t="shared" si="2"/>
        <v>9.2474082566854649E-3</v>
      </c>
    </row>
    <row r="48" spans="1:3" x14ac:dyDescent="0.25">
      <c r="A48" s="47" t="s">
        <v>107</v>
      </c>
      <c r="B48" s="53">
        <f>SUMIFS('Transaction Details'!D:D,'Transaction Details'!A:A,"&gt;="&amp;DATE(2026,5,1),'Transaction Details'!A:A,"&lt;"&amp;DATE(2026,6,1),'Transaction Details'!D:D,"&gt;0")</f>
        <v>7047.3799999999983</v>
      </c>
      <c r="C48" s="48"/>
    </row>
    <row r="49" spans="1:3" x14ac:dyDescent="0.25">
      <c r="A49" s="6" t="s">
        <v>101</v>
      </c>
      <c r="B49" s="45">
        <f>SUMIFS('Transaction Details'!D:D,'Transaction Details'!A:A,"&gt;="&amp;DATE(2026,5,1),'Transaction Details'!A:A,"&lt;"&amp;DATE(2026,6,1),'Transaction Details'!D:D,"&lt;0")</f>
        <v>-16423.41</v>
      </c>
      <c r="C49" s="39"/>
    </row>
    <row r="50" spans="1:3" x14ac:dyDescent="0.25">
      <c r="A50" s="7" t="s">
        <v>111</v>
      </c>
      <c r="B50" s="63">
        <f>B48+B49</f>
        <v>-9376.0300000000025</v>
      </c>
      <c r="C50" s="9"/>
    </row>
  </sheetData>
  <mergeCells count="1">
    <mergeCell ref="D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4"/>
  <sheetViews>
    <sheetView zoomScale="95" zoomScaleNormal="95" workbookViewId="0">
      <pane ySplit="9" topLeftCell="A56" activePane="bottomLeft" state="frozen"/>
      <selection pane="bottomLeft" activeCell="C11" sqref="C11"/>
    </sheetView>
  </sheetViews>
  <sheetFormatPr defaultColWidth="26.28515625" defaultRowHeight="15" x14ac:dyDescent="0.25"/>
  <cols>
    <col min="1" max="1" width="15.28515625" customWidth="1"/>
    <col min="2" max="2" width="43.85546875" customWidth="1"/>
    <col min="3" max="3" width="33.28515625" customWidth="1"/>
    <col min="4" max="4" width="21.140625" customWidth="1"/>
    <col min="5" max="5" width="12.85546875" customWidth="1"/>
    <col min="6" max="6" width="15.7109375" customWidth="1"/>
    <col min="7" max="7" width="38.140625" customWidth="1"/>
  </cols>
  <sheetData>
    <row r="1" spans="1:9" ht="21" x14ac:dyDescent="0.35">
      <c r="A1" s="2" t="s">
        <v>9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4" t="s">
        <v>10</v>
      </c>
      <c r="B2" s="3"/>
      <c r="C2" s="3"/>
      <c r="D2" s="3"/>
      <c r="E2" s="3"/>
      <c r="F2" s="3"/>
      <c r="G2" s="3"/>
      <c r="H2" s="3"/>
      <c r="I2" s="3"/>
    </row>
    <row r="4" spans="1:9" x14ac:dyDescent="0.25">
      <c r="A4" s="5" t="s">
        <v>11</v>
      </c>
      <c r="B4" s="6" t="s">
        <v>12</v>
      </c>
    </row>
    <row r="5" spans="1:9" x14ac:dyDescent="0.25">
      <c r="A5" s="5" t="s">
        <v>13</v>
      </c>
      <c r="B5" s="6" t="s">
        <v>0</v>
      </c>
    </row>
    <row r="6" spans="1:9" x14ac:dyDescent="0.25">
      <c r="A6" s="5" t="s">
        <v>14</v>
      </c>
      <c r="B6" s="6" t="s">
        <v>15</v>
      </c>
    </row>
    <row r="7" spans="1:9" x14ac:dyDescent="0.25">
      <c r="A7" s="5" t="s">
        <v>16</v>
      </c>
      <c r="B7" s="6" t="s">
        <v>17</v>
      </c>
    </row>
    <row r="8" spans="1:9" ht="60" customHeight="1" x14ac:dyDescent="0.25"/>
    <row r="9" spans="1:9" ht="60" customHeight="1" x14ac:dyDescent="0.25">
      <c r="A9" s="8" t="s">
        <v>1</v>
      </c>
      <c r="B9" s="8" t="s">
        <v>18</v>
      </c>
      <c r="C9" s="8" t="s">
        <v>4</v>
      </c>
      <c r="D9" s="9" t="s">
        <v>3</v>
      </c>
      <c r="E9" s="10" t="s">
        <v>19</v>
      </c>
      <c r="F9" s="10" t="s">
        <v>20</v>
      </c>
      <c r="G9" s="8" t="s">
        <v>21</v>
      </c>
    </row>
    <row r="10" spans="1:9" ht="60" customHeight="1" x14ac:dyDescent="0.25">
      <c r="A10" s="11">
        <v>46170</v>
      </c>
      <c r="B10" s="12" t="s">
        <v>22</v>
      </c>
      <c r="C10" s="12" t="s">
        <v>23</v>
      </c>
      <c r="D10" s="13">
        <v>4.25</v>
      </c>
      <c r="E10" s="14" t="s">
        <v>24</v>
      </c>
      <c r="F10" s="14"/>
      <c r="G10" s="12"/>
    </row>
    <row r="11" spans="1:9" ht="60" customHeight="1" x14ac:dyDescent="0.25">
      <c r="A11" s="18">
        <v>46169</v>
      </c>
      <c r="B11" s="19" t="s">
        <v>25</v>
      </c>
      <c r="C11" s="19" t="s">
        <v>23</v>
      </c>
      <c r="D11" s="20">
        <v>11.51</v>
      </c>
      <c r="E11" s="21" t="s">
        <v>24</v>
      </c>
      <c r="F11" s="21"/>
      <c r="G11" s="19"/>
    </row>
    <row r="12" spans="1:9" ht="60" customHeight="1" x14ac:dyDescent="0.25">
      <c r="A12" s="22">
        <v>46169</v>
      </c>
      <c r="B12" s="23" t="s">
        <v>26</v>
      </c>
      <c r="C12" s="23" t="s">
        <v>138</v>
      </c>
      <c r="D12" s="24">
        <v>108.24</v>
      </c>
      <c r="E12" s="25" t="s">
        <v>24</v>
      </c>
      <c r="F12" s="25"/>
      <c r="G12" s="23"/>
    </row>
    <row r="13" spans="1:9" ht="60" customHeight="1" x14ac:dyDescent="0.25">
      <c r="A13" s="18">
        <v>46169</v>
      </c>
      <c r="B13" s="19" t="s">
        <v>26</v>
      </c>
      <c r="C13" s="19" t="s">
        <v>138</v>
      </c>
      <c r="D13" s="20">
        <v>1464.04</v>
      </c>
      <c r="E13" s="21" t="s">
        <v>24</v>
      </c>
      <c r="F13" s="21"/>
      <c r="G13" s="19"/>
    </row>
    <row r="14" spans="1:9" ht="60" customHeight="1" x14ac:dyDescent="0.25">
      <c r="A14" s="22">
        <v>46168</v>
      </c>
      <c r="B14" s="23" t="s">
        <v>25</v>
      </c>
      <c r="C14" s="23" t="s">
        <v>23</v>
      </c>
      <c r="D14" s="24">
        <v>10.62</v>
      </c>
      <c r="E14" s="25" t="s">
        <v>24</v>
      </c>
      <c r="F14" s="25"/>
      <c r="G14" s="23"/>
    </row>
    <row r="15" spans="1:9" ht="60" customHeight="1" x14ac:dyDescent="0.25">
      <c r="A15" s="18">
        <v>46168</v>
      </c>
      <c r="B15" s="19" t="s">
        <v>25</v>
      </c>
      <c r="C15" s="19" t="s">
        <v>23</v>
      </c>
      <c r="D15" s="20">
        <v>10.67</v>
      </c>
      <c r="E15" s="21" t="s">
        <v>24</v>
      </c>
      <c r="F15" s="21"/>
      <c r="G15" s="19"/>
    </row>
    <row r="16" spans="1:9" ht="60" customHeight="1" x14ac:dyDescent="0.25">
      <c r="A16" s="22">
        <v>46168</v>
      </c>
      <c r="B16" s="23" t="s">
        <v>27</v>
      </c>
      <c r="C16" s="23" t="s">
        <v>137</v>
      </c>
      <c r="D16" s="24">
        <v>1000</v>
      </c>
      <c r="E16" s="25" t="s">
        <v>24</v>
      </c>
      <c r="F16" s="25"/>
      <c r="G16" s="23" t="s">
        <v>28</v>
      </c>
    </row>
    <row r="17" spans="1:7" ht="60" customHeight="1" x14ac:dyDescent="0.25">
      <c r="A17" s="18">
        <v>46168</v>
      </c>
      <c r="B17" s="19" t="s">
        <v>29</v>
      </c>
      <c r="C17" s="19" t="s">
        <v>130</v>
      </c>
      <c r="D17" s="20">
        <v>249</v>
      </c>
      <c r="E17" s="21" t="s">
        <v>24</v>
      </c>
      <c r="F17" s="21"/>
      <c r="G17" s="19" t="s">
        <v>30</v>
      </c>
    </row>
    <row r="18" spans="1:7" ht="60" customHeight="1" x14ac:dyDescent="0.25">
      <c r="A18" s="22">
        <v>46167</v>
      </c>
      <c r="B18" s="23" t="s">
        <v>31</v>
      </c>
      <c r="C18" s="23" t="s">
        <v>118</v>
      </c>
      <c r="D18" s="24">
        <v>35.42</v>
      </c>
      <c r="E18" s="25" t="s">
        <v>32</v>
      </c>
      <c r="F18" s="25"/>
      <c r="G18" s="23"/>
    </row>
    <row r="19" spans="1:7" ht="60" customHeight="1" x14ac:dyDescent="0.25">
      <c r="A19" s="18">
        <v>46166</v>
      </c>
      <c r="B19" s="19" t="s">
        <v>5</v>
      </c>
      <c r="C19" s="19" t="s">
        <v>33</v>
      </c>
      <c r="D19" s="20">
        <v>28.2</v>
      </c>
      <c r="E19" s="21" t="s">
        <v>24</v>
      </c>
      <c r="F19" s="21"/>
      <c r="G19" s="19"/>
    </row>
    <row r="20" spans="1:7" ht="60" customHeight="1" x14ac:dyDescent="0.25">
      <c r="A20" s="22">
        <v>46165</v>
      </c>
      <c r="B20" s="23" t="s">
        <v>34</v>
      </c>
      <c r="C20" s="23" t="s">
        <v>132</v>
      </c>
      <c r="D20" s="24">
        <v>49.46</v>
      </c>
      <c r="E20" s="25" t="s">
        <v>24</v>
      </c>
      <c r="F20" s="25"/>
      <c r="G20" s="23" t="s">
        <v>35</v>
      </c>
    </row>
    <row r="21" spans="1:7" ht="60" customHeight="1" x14ac:dyDescent="0.25">
      <c r="A21" s="18">
        <v>46165</v>
      </c>
      <c r="B21" s="19" t="s">
        <v>36</v>
      </c>
      <c r="C21" s="19" t="s">
        <v>23</v>
      </c>
      <c r="D21" s="20">
        <v>105.4</v>
      </c>
      <c r="E21" s="21" t="s">
        <v>24</v>
      </c>
      <c r="F21" s="21"/>
      <c r="G21" s="19"/>
    </row>
    <row r="22" spans="1:7" ht="60" customHeight="1" x14ac:dyDescent="0.25">
      <c r="A22" s="22">
        <v>46164</v>
      </c>
      <c r="B22" s="23" t="s">
        <v>37</v>
      </c>
      <c r="C22" s="23" t="s">
        <v>154</v>
      </c>
      <c r="D22" s="24">
        <v>141.24</v>
      </c>
      <c r="E22" s="25" t="s">
        <v>24</v>
      </c>
      <c r="F22" s="25"/>
      <c r="G22" s="23" t="s">
        <v>155</v>
      </c>
    </row>
    <row r="23" spans="1:7" ht="60" customHeight="1" x14ac:dyDescent="0.25">
      <c r="A23" s="18">
        <v>46162</v>
      </c>
      <c r="B23" s="19" t="s">
        <v>38</v>
      </c>
      <c r="C23" s="19" t="s">
        <v>23</v>
      </c>
      <c r="D23" s="20">
        <v>584</v>
      </c>
      <c r="E23" s="21" t="s">
        <v>24</v>
      </c>
      <c r="F23" s="21"/>
      <c r="G23" s="19" t="s">
        <v>39</v>
      </c>
    </row>
    <row r="24" spans="1:7" ht="60" customHeight="1" x14ac:dyDescent="0.25">
      <c r="A24" s="22">
        <v>46161</v>
      </c>
      <c r="B24" s="23" t="s">
        <v>25</v>
      </c>
      <c r="C24" s="23" t="s">
        <v>23</v>
      </c>
      <c r="D24" s="24">
        <v>10.98</v>
      </c>
      <c r="E24" s="25" t="s">
        <v>24</v>
      </c>
      <c r="F24" s="25"/>
      <c r="G24" s="23"/>
    </row>
    <row r="25" spans="1:7" ht="60" customHeight="1" x14ac:dyDescent="0.25">
      <c r="A25" s="18">
        <v>46161</v>
      </c>
      <c r="B25" s="19" t="s">
        <v>5</v>
      </c>
      <c r="C25" s="19" t="s">
        <v>33</v>
      </c>
      <c r="D25" s="20">
        <v>5.76</v>
      </c>
      <c r="E25" s="21" t="s">
        <v>24</v>
      </c>
      <c r="F25" s="21"/>
      <c r="G25" s="19"/>
    </row>
    <row r="26" spans="1:7" ht="60" customHeight="1" x14ac:dyDescent="0.25">
      <c r="A26" s="22">
        <v>46158</v>
      </c>
      <c r="B26" s="23" t="s">
        <v>25</v>
      </c>
      <c r="C26" s="23" t="s">
        <v>23</v>
      </c>
      <c r="D26" s="24">
        <v>11.06</v>
      </c>
      <c r="E26" s="25" t="s">
        <v>24</v>
      </c>
      <c r="F26" s="25"/>
      <c r="G26" s="23"/>
    </row>
    <row r="27" spans="1:7" ht="60" customHeight="1" x14ac:dyDescent="0.25">
      <c r="A27" s="18">
        <v>46158</v>
      </c>
      <c r="B27" s="19" t="s">
        <v>25</v>
      </c>
      <c r="C27" s="19" t="s">
        <v>23</v>
      </c>
      <c r="D27" s="20">
        <v>11.68</v>
      </c>
      <c r="E27" s="21" t="s">
        <v>24</v>
      </c>
      <c r="F27" s="21"/>
      <c r="G27" s="19"/>
    </row>
    <row r="28" spans="1:7" ht="60" customHeight="1" x14ac:dyDescent="0.25">
      <c r="A28" s="22">
        <v>46158</v>
      </c>
      <c r="B28" s="23" t="s">
        <v>40</v>
      </c>
      <c r="C28" s="23" t="s">
        <v>136</v>
      </c>
      <c r="D28" s="24">
        <v>200</v>
      </c>
      <c r="E28" s="25" t="s">
        <v>32</v>
      </c>
      <c r="F28" s="25"/>
      <c r="G28" s="23" t="s">
        <v>41</v>
      </c>
    </row>
    <row r="29" spans="1:7" ht="60" customHeight="1" x14ac:dyDescent="0.25">
      <c r="A29" s="18">
        <v>46156</v>
      </c>
      <c r="B29" s="19" t="s">
        <v>25</v>
      </c>
      <c r="C29" s="19" t="s">
        <v>23</v>
      </c>
      <c r="D29" s="20">
        <v>12.13</v>
      </c>
      <c r="E29" s="21" t="s">
        <v>24</v>
      </c>
      <c r="F29" s="21"/>
      <c r="G29" s="19"/>
    </row>
    <row r="30" spans="1:7" ht="60" customHeight="1" x14ac:dyDescent="0.25">
      <c r="A30" s="22">
        <v>46156</v>
      </c>
      <c r="B30" s="23" t="s">
        <v>42</v>
      </c>
      <c r="C30" s="23" t="s">
        <v>118</v>
      </c>
      <c r="D30" s="24">
        <v>99.44</v>
      </c>
      <c r="E30" s="25" t="s">
        <v>32</v>
      </c>
      <c r="F30" s="25"/>
      <c r="G30" s="23"/>
    </row>
    <row r="31" spans="1:7" ht="60" customHeight="1" x14ac:dyDescent="0.25">
      <c r="A31" s="18">
        <v>46155</v>
      </c>
      <c r="B31" s="19" t="s">
        <v>25</v>
      </c>
      <c r="C31" s="19" t="s">
        <v>23</v>
      </c>
      <c r="D31" s="20">
        <v>11.66</v>
      </c>
      <c r="E31" s="21" t="s">
        <v>24</v>
      </c>
      <c r="F31" s="21"/>
      <c r="G31" s="19"/>
    </row>
    <row r="32" spans="1:7" ht="60" customHeight="1" x14ac:dyDescent="0.25">
      <c r="A32" s="22">
        <v>46155</v>
      </c>
      <c r="B32" s="23" t="s">
        <v>25</v>
      </c>
      <c r="C32" s="23" t="s">
        <v>23</v>
      </c>
      <c r="D32" s="24">
        <v>12.19</v>
      </c>
      <c r="E32" s="25" t="s">
        <v>24</v>
      </c>
      <c r="F32" s="25"/>
      <c r="G32" s="23"/>
    </row>
    <row r="33" spans="1:7" ht="60" customHeight="1" x14ac:dyDescent="0.25">
      <c r="A33" s="18">
        <v>46155</v>
      </c>
      <c r="B33" s="19" t="s">
        <v>25</v>
      </c>
      <c r="C33" s="19" t="s">
        <v>23</v>
      </c>
      <c r="D33" s="20">
        <v>12.21</v>
      </c>
      <c r="E33" s="21" t="s">
        <v>24</v>
      </c>
      <c r="F33" s="21"/>
      <c r="G33" s="19"/>
    </row>
    <row r="34" spans="1:7" ht="60" customHeight="1" x14ac:dyDescent="0.25">
      <c r="A34" s="22">
        <v>46155</v>
      </c>
      <c r="B34" s="23" t="s">
        <v>25</v>
      </c>
      <c r="C34" s="23" t="s">
        <v>23</v>
      </c>
      <c r="D34" s="24">
        <v>13.5</v>
      </c>
      <c r="E34" s="25" t="s">
        <v>24</v>
      </c>
      <c r="F34" s="25"/>
      <c r="G34" s="23"/>
    </row>
    <row r="35" spans="1:7" ht="60" customHeight="1" x14ac:dyDescent="0.25">
      <c r="A35" s="18">
        <v>46155</v>
      </c>
      <c r="B35" s="19" t="s">
        <v>25</v>
      </c>
      <c r="C35" s="19" t="s">
        <v>23</v>
      </c>
      <c r="D35" s="20">
        <v>15.8</v>
      </c>
      <c r="E35" s="21" t="s">
        <v>24</v>
      </c>
      <c r="F35" s="21"/>
      <c r="G35" s="19"/>
    </row>
    <row r="36" spans="1:7" ht="60" customHeight="1" x14ac:dyDescent="0.25">
      <c r="A36" s="22">
        <v>46155</v>
      </c>
      <c r="B36" s="23" t="s">
        <v>6</v>
      </c>
      <c r="C36" s="23" t="s">
        <v>43</v>
      </c>
      <c r="D36" s="24">
        <v>-15821.6</v>
      </c>
      <c r="E36" s="25"/>
      <c r="F36" s="25"/>
      <c r="G36" s="23" t="s">
        <v>44</v>
      </c>
    </row>
    <row r="37" spans="1:7" ht="60" customHeight="1" x14ac:dyDescent="0.25">
      <c r="A37" s="18">
        <v>46154</v>
      </c>
      <c r="B37" s="19" t="s">
        <v>25</v>
      </c>
      <c r="C37" s="19" t="s">
        <v>23</v>
      </c>
      <c r="D37" s="20">
        <v>11.46</v>
      </c>
      <c r="E37" s="21" t="s">
        <v>24</v>
      </c>
      <c r="F37" s="21"/>
      <c r="G37" s="19"/>
    </row>
    <row r="38" spans="1:7" ht="60" customHeight="1" x14ac:dyDescent="0.25">
      <c r="A38" s="22">
        <v>46154</v>
      </c>
      <c r="B38" s="23" t="s">
        <v>25</v>
      </c>
      <c r="C38" s="23" t="s">
        <v>23</v>
      </c>
      <c r="D38" s="24">
        <v>11.53</v>
      </c>
      <c r="E38" s="25" t="s">
        <v>24</v>
      </c>
      <c r="F38" s="25"/>
      <c r="G38" s="23"/>
    </row>
    <row r="39" spans="1:7" ht="60" customHeight="1" x14ac:dyDescent="0.25">
      <c r="A39" s="18">
        <v>46154</v>
      </c>
      <c r="B39" s="19" t="s">
        <v>25</v>
      </c>
      <c r="C39" s="19" t="s">
        <v>23</v>
      </c>
      <c r="D39" s="20">
        <v>11.94</v>
      </c>
      <c r="E39" s="21" t="s">
        <v>24</v>
      </c>
      <c r="F39" s="21"/>
      <c r="G39" s="19"/>
    </row>
    <row r="40" spans="1:7" ht="60" customHeight="1" x14ac:dyDescent="0.25">
      <c r="A40" s="22">
        <v>46154</v>
      </c>
      <c r="B40" s="23" t="s">
        <v>25</v>
      </c>
      <c r="C40" s="23" t="s">
        <v>23</v>
      </c>
      <c r="D40" s="24">
        <v>13.46</v>
      </c>
      <c r="E40" s="25" t="s">
        <v>24</v>
      </c>
      <c r="F40" s="25"/>
      <c r="G40" s="23"/>
    </row>
    <row r="41" spans="1:7" ht="60" customHeight="1" x14ac:dyDescent="0.25">
      <c r="A41" s="18">
        <v>46154</v>
      </c>
      <c r="B41" s="19" t="s">
        <v>45</v>
      </c>
      <c r="C41" s="19" t="s">
        <v>135</v>
      </c>
      <c r="D41" s="20">
        <v>109.54</v>
      </c>
      <c r="E41" s="21" t="s">
        <v>24</v>
      </c>
      <c r="F41" s="21"/>
      <c r="G41" s="19" t="s">
        <v>46</v>
      </c>
    </row>
    <row r="42" spans="1:7" ht="60" customHeight="1" x14ac:dyDescent="0.25">
      <c r="A42" s="22">
        <v>46153</v>
      </c>
      <c r="B42" s="23" t="s">
        <v>25</v>
      </c>
      <c r="C42" s="23" t="s">
        <v>23</v>
      </c>
      <c r="D42" s="24">
        <v>10.75</v>
      </c>
      <c r="E42" s="25" t="s">
        <v>24</v>
      </c>
      <c r="F42" s="25"/>
      <c r="G42" s="23"/>
    </row>
    <row r="43" spans="1:7" ht="60" customHeight="1" x14ac:dyDescent="0.25">
      <c r="A43" s="18">
        <v>46153</v>
      </c>
      <c r="B43" s="19" t="s">
        <v>25</v>
      </c>
      <c r="C43" s="19" t="s">
        <v>23</v>
      </c>
      <c r="D43" s="20">
        <v>10.94</v>
      </c>
      <c r="E43" s="21" t="s">
        <v>24</v>
      </c>
      <c r="F43" s="21"/>
      <c r="G43" s="19"/>
    </row>
    <row r="44" spans="1:7" ht="60" customHeight="1" x14ac:dyDescent="0.25">
      <c r="A44" s="22">
        <v>46149</v>
      </c>
      <c r="B44" s="23" t="s">
        <v>47</v>
      </c>
      <c r="C44" s="23" t="s">
        <v>23</v>
      </c>
      <c r="D44" s="24">
        <v>21.28</v>
      </c>
      <c r="E44" s="25" t="s">
        <v>24</v>
      </c>
      <c r="F44" s="25"/>
      <c r="G44" s="23"/>
    </row>
    <row r="45" spans="1:7" ht="60" customHeight="1" x14ac:dyDescent="0.25">
      <c r="A45" s="18">
        <v>46147</v>
      </c>
      <c r="B45" s="19" t="s">
        <v>48</v>
      </c>
      <c r="C45" s="19" t="s">
        <v>118</v>
      </c>
      <c r="D45" s="20">
        <v>172.58</v>
      </c>
      <c r="E45" s="21" t="s">
        <v>32</v>
      </c>
      <c r="F45" s="21"/>
      <c r="G45" s="19" t="s">
        <v>49</v>
      </c>
    </row>
    <row r="46" spans="1:7" ht="60" customHeight="1" x14ac:dyDescent="0.25">
      <c r="A46" s="22">
        <v>46146</v>
      </c>
      <c r="B46" s="23" t="s">
        <v>50</v>
      </c>
      <c r="C46" s="23" t="s">
        <v>23</v>
      </c>
      <c r="D46" s="24">
        <v>249.8</v>
      </c>
      <c r="E46" s="25" t="s">
        <v>24</v>
      </c>
      <c r="F46" s="25"/>
      <c r="G46" s="23" t="s">
        <v>51</v>
      </c>
    </row>
    <row r="47" spans="1:7" ht="60" customHeight="1" x14ac:dyDescent="0.25">
      <c r="A47" s="18">
        <v>46146</v>
      </c>
      <c r="B47" s="19" t="s">
        <v>42</v>
      </c>
      <c r="C47" s="19" t="s">
        <v>118</v>
      </c>
      <c r="D47" s="20">
        <v>146.4</v>
      </c>
      <c r="E47" s="21" t="s">
        <v>32</v>
      </c>
      <c r="F47" s="21"/>
      <c r="G47" s="19"/>
    </row>
    <row r="48" spans="1:7" ht="60" customHeight="1" x14ac:dyDescent="0.25">
      <c r="A48" s="22">
        <v>46145</v>
      </c>
      <c r="B48" s="23" t="s">
        <v>52</v>
      </c>
      <c r="C48" s="23" t="s">
        <v>132</v>
      </c>
      <c r="D48" s="24">
        <v>1080.1500000000001</v>
      </c>
      <c r="E48" s="25" t="s">
        <v>24</v>
      </c>
      <c r="F48" s="25"/>
      <c r="G48" s="23" t="s">
        <v>53</v>
      </c>
    </row>
    <row r="49" spans="1:7" ht="60" customHeight="1" x14ac:dyDescent="0.25">
      <c r="A49" s="18">
        <v>46145</v>
      </c>
      <c r="B49" s="19" t="s">
        <v>54</v>
      </c>
      <c r="C49" s="19" t="s">
        <v>55</v>
      </c>
      <c r="D49" s="20">
        <v>-601.80999999999995</v>
      </c>
      <c r="E49" s="21"/>
      <c r="F49" s="21"/>
      <c r="G49" s="19" t="s">
        <v>56</v>
      </c>
    </row>
    <row r="50" spans="1:7" ht="60" customHeight="1" x14ac:dyDescent="0.25">
      <c r="A50" s="22">
        <v>46145</v>
      </c>
      <c r="B50" s="23" t="s">
        <v>34</v>
      </c>
      <c r="C50" s="23" t="s">
        <v>132</v>
      </c>
      <c r="D50" s="24">
        <v>601.80999999999995</v>
      </c>
      <c r="E50" s="25" t="s">
        <v>24</v>
      </c>
      <c r="F50" s="25"/>
      <c r="G50" s="23" t="s">
        <v>57</v>
      </c>
    </row>
    <row r="51" spans="1:7" ht="60" customHeight="1" x14ac:dyDescent="0.25">
      <c r="A51" s="18">
        <v>46144</v>
      </c>
      <c r="B51" s="19" t="s">
        <v>22</v>
      </c>
      <c r="C51" s="19" t="s">
        <v>23</v>
      </c>
      <c r="D51" s="20">
        <v>60.61</v>
      </c>
      <c r="E51" s="21" t="s">
        <v>24</v>
      </c>
      <c r="F51" s="21"/>
      <c r="G51" s="19"/>
    </row>
    <row r="52" spans="1:7" ht="60" customHeight="1" x14ac:dyDescent="0.25">
      <c r="A52" s="22">
        <v>46144</v>
      </c>
      <c r="B52" s="23" t="s">
        <v>58</v>
      </c>
      <c r="C52" s="23" t="s">
        <v>132</v>
      </c>
      <c r="D52" s="24">
        <v>5</v>
      </c>
      <c r="E52" s="25" t="s">
        <v>24</v>
      </c>
      <c r="F52" s="25"/>
      <c r="G52" s="23" t="s">
        <v>59</v>
      </c>
    </row>
    <row r="53" spans="1:7" ht="60" customHeight="1" x14ac:dyDescent="0.25">
      <c r="A53" s="18">
        <v>46143</v>
      </c>
      <c r="B53" s="19" t="s">
        <v>25</v>
      </c>
      <c r="C53" s="19" t="s">
        <v>23</v>
      </c>
      <c r="D53" s="20">
        <v>13.97</v>
      </c>
      <c r="E53" s="21" t="s">
        <v>24</v>
      </c>
      <c r="F53" s="21"/>
      <c r="G53" s="19"/>
    </row>
    <row r="54" spans="1:7" ht="60" customHeight="1" x14ac:dyDescent="0.25">
      <c r="A54" s="22">
        <v>46143</v>
      </c>
      <c r="B54" s="23" t="s">
        <v>60</v>
      </c>
      <c r="C54" s="23" t="s">
        <v>132</v>
      </c>
      <c r="D54" s="24">
        <v>197.38</v>
      </c>
      <c r="E54" s="25" t="s">
        <v>24</v>
      </c>
      <c r="F54" s="25"/>
      <c r="G54" s="23" t="s">
        <v>61</v>
      </c>
    </row>
    <row r="55" spans="1:7" ht="60" customHeight="1" x14ac:dyDescent="0.25">
      <c r="A55" s="18">
        <v>46143</v>
      </c>
      <c r="B55" s="19" t="s">
        <v>62</v>
      </c>
      <c r="C55" s="19" t="s">
        <v>134</v>
      </c>
      <c r="D55" s="20">
        <v>40.29</v>
      </c>
      <c r="E55" s="21" t="s">
        <v>24</v>
      </c>
      <c r="F55" s="21"/>
      <c r="G55" s="19" t="s">
        <v>63</v>
      </c>
    </row>
    <row r="56" spans="1:7" ht="60" customHeight="1" x14ac:dyDescent="0.25">
      <c r="A56" s="22">
        <v>46143</v>
      </c>
      <c r="B56" s="23" t="s">
        <v>64</v>
      </c>
      <c r="C56" s="23" t="s">
        <v>134</v>
      </c>
      <c r="D56" s="24">
        <v>28.82</v>
      </c>
      <c r="E56" s="25" t="s">
        <v>24</v>
      </c>
      <c r="F56" s="25"/>
      <c r="G56" s="23" t="s">
        <v>65</v>
      </c>
    </row>
    <row r="57" spans="1:7" ht="60" customHeight="1" x14ac:dyDescent="0.25">
      <c r="A57" s="18">
        <v>46143</v>
      </c>
      <c r="B57" s="19" t="s">
        <v>5</v>
      </c>
      <c r="C57" s="19" t="s">
        <v>33</v>
      </c>
      <c r="D57" s="20">
        <v>31.21</v>
      </c>
      <c r="E57" s="21" t="s">
        <v>24</v>
      </c>
      <c r="F57" s="21"/>
      <c r="G57" s="19"/>
    </row>
    <row r="58" spans="1:7" ht="60" customHeight="1" x14ac:dyDescent="0.25">
      <c r="A58" s="22">
        <v>46142</v>
      </c>
      <c r="B58" s="23" t="s">
        <v>34</v>
      </c>
      <c r="C58" s="23" t="s">
        <v>132</v>
      </c>
      <c r="D58" s="24">
        <v>33.08</v>
      </c>
      <c r="E58" s="25" t="s">
        <v>24</v>
      </c>
      <c r="F58" s="25"/>
      <c r="G58" s="23" t="s">
        <v>66</v>
      </c>
    </row>
    <row r="59" spans="1:7" ht="60" customHeight="1" x14ac:dyDescent="0.25">
      <c r="A59" s="18">
        <v>46142</v>
      </c>
      <c r="B59" s="19" t="s">
        <v>67</v>
      </c>
      <c r="C59" s="19" t="s">
        <v>133</v>
      </c>
      <c r="D59" s="20">
        <v>92.54</v>
      </c>
      <c r="E59" s="21" t="s">
        <v>24</v>
      </c>
      <c r="F59" s="21"/>
      <c r="G59" s="19" t="s">
        <v>68</v>
      </c>
    </row>
    <row r="60" spans="1:7" ht="60" customHeight="1" x14ac:dyDescent="0.25">
      <c r="A60" s="22">
        <v>46142</v>
      </c>
      <c r="B60" s="23" t="s">
        <v>69</v>
      </c>
      <c r="C60" s="23" t="s">
        <v>133</v>
      </c>
      <c r="D60" s="24">
        <v>440.69</v>
      </c>
      <c r="E60" s="25" t="s">
        <v>24</v>
      </c>
      <c r="F60" s="25"/>
      <c r="G60" s="23"/>
    </row>
    <row r="61" spans="1:7" ht="60" customHeight="1" x14ac:dyDescent="0.25">
      <c r="A61" s="18">
        <v>46142</v>
      </c>
      <c r="B61" s="19" t="s">
        <v>70</v>
      </c>
      <c r="C61" s="19" t="s">
        <v>33</v>
      </c>
      <c r="D61" s="20">
        <v>20</v>
      </c>
      <c r="E61" s="21" t="s">
        <v>24</v>
      </c>
      <c r="F61" s="21"/>
      <c r="G61" s="19" t="s">
        <v>71</v>
      </c>
    </row>
    <row r="62" spans="1:7" ht="60" customHeight="1" x14ac:dyDescent="0.25">
      <c r="A62" s="27">
        <v>46141</v>
      </c>
      <c r="B62" s="23" t="s">
        <v>25</v>
      </c>
      <c r="C62" s="23" t="s">
        <v>23</v>
      </c>
      <c r="D62" s="24">
        <v>15.81</v>
      </c>
      <c r="E62" s="25" t="s">
        <v>24</v>
      </c>
      <c r="F62" s="25"/>
      <c r="G62" s="23"/>
    </row>
    <row r="63" spans="1:7" ht="60" customHeight="1" x14ac:dyDescent="0.25">
      <c r="A63" s="28">
        <v>46140</v>
      </c>
      <c r="B63" s="19" t="s">
        <v>72</v>
      </c>
      <c r="C63" s="19" t="s">
        <v>132</v>
      </c>
      <c r="D63" s="20">
        <v>315.20999999999998</v>
      </c>
      <c r="E63" s="21" t="s">
        <v>24</v>
      </c>
      <c r="F63" s="21"/>
      <c r="G63" s="19"/>
    </row>
    <row r="64" spans="1:7" ht="60" customHeight="1" x14ac:dyDescent="0.25">
      <c r="A64" s="27">
        <v>46140</v>
      </c>
      <c r="B64" s="23" t="s">
        <v>73</v>
      </c>
      <c r="C64" s="23" t="s">
        <v>130</v>
      </c>
      <c r="D64" s="24">
        <v>997</v>
      </c>
      <c r="E64" s="25" t="s">
        <v>24</v>
      </c>
      <c r="F64" s="25"/>
      <c r="G64" s="23" t="s">
        <v>74</v>
      </c>
    </row>
    <row r="65" spans="1:7" ht="60" customHeight="1" x14ac:dyDescent="0.25">
      <c r="A65" s="28">
        <v>46140</v>
      </c>
      <c r="B65" s="19" t="s">
        <v>5</v>
      </c>
      <c r="C65" s="19" t="s">
        <v>33</v>
      </c>
      <c r="D65" s="20">
        <v>35.520000000000003</v>
      </c>
      <c r="E65" s="21" t="s">
        <v>24</v>
      </c>
      <c r="F65" s="21"/>
      <c r="G65" s="19"/>
    </row>
    <row r="66" spans="1:7" ht="60" customHeight="1" x14ac:dyDescent="0.25">
      <c r="A66" s="27">
        <v>46139</v>
      </c>
      <c r="B66" s="23" t="s">
        <v>34</v>
      </c>
      <c r="C66" s="23" t="s">
        <v>132</v>
      </c>
      <c r="D66" s="24">
        <v>401.8</v>
      </c>
      <c r="E66" s="25" t="s">
        <v>24</v>
      </c>
      <c r="F66" s="25"/>
      <c r="G66" s="23" t="s">
        <v>75</v>
      </c>
    </row>
    <row r="67" spans="1:7" ht="60" customHeight="1" x14ac:dyDescent="0.25">
      <c r="A67" s="28">
        <v>46139</v>
      </c>
      <c r="B67" s="19" t="s">
        <v>58</v>
      </c>
      <c r="C67" s="19" t="s">
        <v>132</v>
      </c>
      <c r="D67" s="20">
        <v>314.39999999999998</v>
      </c>
      <c r="E67" s="21" t="s">
        <v>24</v>
      </c>
      <c r="F67" s="21"/>
      <c r="G67" s="19" t="s">
        <v>76</v>
      </c>
    </row>
    <row r="68" spans="1:7" ht="60" customHeight="1" x14ac:dyDescent="0.25">
      <c r="A68" s="27">
        <v>46138</v>
      </c>
      <c r="B68" s="23" t="s">
        <v>25</v>
      </c>
      <c r="C68" s="23" t="s">
        <v>23</v>
      </c>
      <c r="D68" s="24">
        <v>47.43</v>
      </c>
      <c r="E68" s="25" t="s">
        <v>24</v>
      </c>
      <c r="F68" s="25"/>
      <c r="G68" s="23"/>
    </row>
    <row r="69" spans="1:7" ht="60" customHeight="1" x14ac:dyDescent="0.25">
      <c r="A69" s="28">
        <v>46136</v>
      </c>
      <c r="B69" s="19" t="s">
        <v>77</v>
      </c>
      <c r="C69" s="19" t="s">
        <v>78</v>
      </c>
      <c r="D69" s="20">
        <v>158.1</v>
      </c>
      <c r="E69" s="21" t="s">
        <v>24</v>
      </c>
      <c r="F69" s="21"/>
      <c r="G69" s="19" t="s">
        <v>78</v>
      </c>
    </row>
    <row r="70" spans="1:7" ht="60" customHeight="1" x14ac:dyDescent="0.25">
      <c r="A70" s="27">
        <v>46135</v>
      </c>
      <c r="B70" s="23" t="s">
        <v>36</v>
      </c>
      <c r="C70" s="23" t="s">
        <v>23</v>
      </c>
      <c r="D70" s="24">
        <v>105.4</v>
      </c>
      <c r="E70" s="25" t="s">
        <v>24</v>
      </c>
      <c r="F70" s="25"/>
      <c r="G70" s="23"/>
    </row>
    <row r="71" spans="1:7" ht="60" customHeight="1" x14ac:dyDescent="0.25">
      <c r="A71" s="28">
        <v>46134</v>
      </c>
      <c r="B71" s="19" t="s">
        <v>131</v>
      </c>
      <c r="C71" s="19" t="s">
        <v>23</v>
      </c>
      <c r="D71" s="20">
        <v>119.99</v>
      </c>
      <c r="E71" s="21" t="s">
        <v>24</v>
      </c>
      <c r="F71" s="21"/>
      <c r="G71" s="19" t="s">
        <v>79</v>
      </c>
    </row>
    <row r="72" spans="1:7" ht="60" customHeight="1" x14ac:dyDescent="0.25">
      <c r="A72" s="27">
        <v>46133</v>
      </c>
      <c r="B72" s="23" t="s">
        <v>77</v>
      </c>
      <c r="C72" s="23" t="s">
        <v>78</v>
      </c>
      <c r="D72" s="24">
        <v>562.79</v>
      </c>
      <c r="E72" s="25" t="s">
        <v>24</v>
      </c>
      <c r="F72" s="25"/>
      <c r="G72" s="23" t="s">
        <v>78</v>
      </c>
    </row>
    <row r="73" spans="1:7" ht="60" customHeight="1" x14ac:dyDescent="0.25">
      <c r="A73" s="28">
        <v>46133</v>
      </c>
      <c r="B73" s="19" t="s">
        <v>5</v>
      </c>
      <c r="C73" s="19" t="s">
        <v>33</v>
      </c>
      <c r="D73" s="20">
        <v>20</v>
      </c>
      <c r="E73" s="21" t="s">
        <v>24</v>
      </c>
      <c r="F73" s="21"/>
      <c r="G73" s="19"/>
    </row>
    <row r="74" spans="1:7" ht="60" customHeight="1" x14ac:dyDescent="0.25">
      <c r="A74" s="27">
        <v>46133</v>
      </c>
      <c r="B74" s="23" t="s">
        <v>5</v>
      </c>
      <c r="C74" s="23" t="s">
        <v>33</v>
      </c>
      <c r="D74" s="24">
        <v>22.63</v>
      </c>
      <c r="E74" s="25" t="s">
        <v>24</v>
      </c>
      <c r="F74" s="25"/>
      <c r="G74" s="23"/>
    </row>
    <row r="75" spans="1:7" ht="60" customHeight="1" x14ac:dyDescent="0.25">
      <c r="A75" s="28">
        <v>46132</v>
      </c>
      <c r="B75" s="19" t="s">
        <v>38</v>
      </c>
      <c r="C75" s="19" t="s">
        <v>23</v>
      </c>
      <c r="D75" s="20">
        <v>584</v>
      </c>
      <c r="E75" s="21" t="s">
        <v>24</v>
      </c>
      <c r="F75" s="21"/>
      <c r="G75" s="19" t="s">
        <v>39</v>
      </c>
    </row>
    <row r="76" spans="1:7" ht="60" customHeight="1" x14ac:dyDescent="0.25">
      <c r="A76" s="27">
        <v>46132</v>
      </c>
      <c r="B76" s="23" t="s">
        <v>29</v>
      </c>
      <c r="C76" s="23" t="s">
        <v>130</v>
      </c>
      <c r="D76" s="24">
        <v>238</v>
      </c>
      <c r="E76" s="25" t="s">
        <v>24</v>
      </c>
      <c r="F76" s="25"/>
      <c r="G76" s="23" t="s">
        <v>30</v>
      </c>
    </row>
    <row r="77" spans="1:7" ht="60" customHeight="1" x14ac:dyDescent="0.25">
      <c r="A77" s="28">
        <v>46126</v>
      </c>
      <c r="B77" s="19" t="s">
        <v>80</v>
      </c>
      <c r="C77" s="19" t="s">
        <v>126</v>
      </c>
      <c r="D77" s="20">
        <v>1419</v>
      </c>
      <c r="E77" s="21" t="s">
        <v>24</v>
      </c>
      <c r="F77" s="21"/>
      <c r="G77" s="19" t="s">
        <v>81</v>
      </c>
    </row>
    <row r="78" spans="1:7" ht="60" customHeight="1" x14ac:dyDescent="0.25">
      <c r="A78" s="27">
        <v>46126</v>
      </c>
      <c r="B78" s="23" t="s">
        <v>129</v>
      </c>
      <c r="C78" s="23" t="s">
        <v>128</v>
      </c>
      <c r="D78" s="24">
        <v>78.489999999999995</v>
      </c>
      <c r="E78" s="25" t="s">
        <v>24</v>
      </c>
      <c r="F78" s="25"/>
      <c r="G78" s="23" t="s">
        <v>79</v>
      </c>
    </row>
    <row r="79" spans="1:7" ht="60" customHeight="1" x14ac:dyDescent="0.25">
      <c r="A79" s="28">
        <v>46126</v>
      </c>
      <c r="B79" s="19" t="s">
        <v>47</v>
      </c>
      <c r="C79" s="19" t="s">
        <v>23</v>
      </c>
      <c r="D79" s="20">
        <v>21.28</v>
      </c>
      <c r="E79" s="21" t="s">
        <v>24</v>
      </c>
      <c r="F79" s="21"/>
      <c r="G79" s="19"/>
    </row>
    <row r="80" spans="1:7" ht="60" customHeight="1" x14ac:dyDescent="0.25">
      <c r="A80" s="27">
        <v>46125</v>
      </c>
      <c r="B80" s="23" t="s">
        <v>6</v>
      </c>
      <c r="C80" s="23" t="s">
        <v>43</v>
      </c>
      <c r="D80" s="24">
        <v>-1241.53</v>
      </c>
      <c r="E80" s="25"/>
      <c r="F80" s="25"/>
      <c r="G80" s="23" t="s">
        <v>44</v>
      </c>
    </row>
    <row r="81" spans="1:7" ht="60" customHeight="1" x14ac:dyDescent="0.25">
      <c r="A81" s="28">
        <v>46122</v>
      </c>
      <c r="B81" s="19" t="s">
        <v>77</v>
      </c>
      <c r="C81" s="19" t="s">
        <v>78</v>
      </c>
      <c r="D81" s="20">
        <v>560.22</v>
      </c>
      <c r="E81" s="21" t="s">
        <v>24</v>
      </c>
      <c r="F81" s="21"/>
      <c r="G81" s="19" t="s">
        <v>78</v>
      </c>
    </row>
    <row r="82" spans="1:7" ht="60" customHeight="1" x14ac:dyDescent="0.25">
      <c r="A82" s="27">
        <v>46122</v>
      </c>
      <c r="B82" s="23" t="s">
        <v>82</v>
      </c>
      <c r="C82" s="23" t="s">
        <v>127</v>
      </c>
      <c r="D82" s="24">
        <v>35</v>
      </c>
      <c r="E82" s="25" t="s">
        <v>24</v>
      </c>
      <c r="F82" s="25"/>
      <c r="G82" s="23" t="s">
        <v>83</v>
      </c>
    </row>
    <row r="83" spans="1:7" ht="60" customHeight="1" x14ac:dyDescent="0.25">
      <c r="A83" s="28">
        <v>46121</v>
      </c>
      <c r="B83" s="19" t="s">
        <v>50</v>
      </c>
      <c r="C83" s="19" t="s">
        <v>23</v>
      </c>
      <c r="D83" s="20">
        <v>69.39</v>
      </c>
      <c r="E83" s="21" t="s">
        <v>24</v>
      </c>
      <c r="F83" s="21"/>
      <c r="G83" s="19" t="s">
        <v>51</v>
      </c>
    </row>
    <row r="84" spans="1:7" ht="60" customHeight="1" x14ac:dyDescent="0.25">
      <c r="A84" s="27">
        <v>46121</v>
      </c>
      <c r="B84" s="23" t="s">
        <v>50</v>
      </c>
      <c r="C84" s="23" t="s">
        <v>23</v>
      </c>
      <c r="D84" s="24">
        <v>166.53</v>
      </c>
      <c r="E84" s="25" t="s">
        <v>24</v>
      </c>
      <c r="F84" s="25"/>
      <c r="G84" s="23" t="s">
        <v>51</v>
      </c>
    </row>
    <row r="85" spans="1:7" ht="60" customHeight="1" x14ac:dyDescent="0.25">
      <c r="A85" s="28">
        <v>46120</v>
      </c>
      <c r="B85" s="19" t="s">
        <v>84</v>
      </c>
      <c r="C85" s="19" t="s">
        <v>123</v>
      </c>
      <c r="D85" s="20">
        <v>200</v>
      </c>
      <c r="E85" s="21" t="s">
        <v>24</v>
      </c>
      <c r="F85" s="21"/>
      <c r="G85" s="19" t="s">
        <v>85</v>
      </c>
    </row>
    <row r="86" spans="1:7" ht="60" customHeight="1" x14ac:dyDescent="0.25">
      <c r="A86" s="27">
        <v>46119</v>
      </c>
      <c r="B86" s="23" t="s">
        <v>54</v>
      </c>
      <c r="C86" s="23" t="s">
        <v>56</v>
      </c>
      <c r="D86" s="24">
        <v>-150</v>
      </c>
      <c r="E86" s="25"/>
      <c r="F86" s="25"/>
      <c r="G86" s="23" t="s">
        <v>56</v>
      </c>
    </row>
    <row r="87" spans="1:7" ht="60" customHeight="1" x14ac:dyDescent="0.25">
      <c r="A87" s="28">
        <v>46119</v>
      </c>
      <c r="B87" s="19" t="s">
        <v>80</v>
      </c>
      <c r="C87" s="19" t="s">
        <v>126</v>
      </c>
      <c r="D87" s="20">
        <v>1189</v>
      </c>
      <c r="E87" s="21" t="s">
        <v>24</v>
      </c>
      <c r="F87" s="21"/>
      <c r="G87" s="19" t="s">
        <v>81</v>
      </c>
    </row>
    <row r="88" spans="1:7" ht="60" customHeight="1" x14ac:dyDescent="0.25">
      <c r="A88" s="27">
        <v>46119</v>
      </c>
      <c r="B88" s="23" t="s">
        <v>34</v>
      </c>
      <c r="C88" s="23" t="s">
        <v>132</v>
      </c>
      <c r="D88" s="24">
        <v>452.2</v>
      </c>
      <c r="E88" s="25" t="s">
        <v>24</v>
      </c>
      <c r="F88" s="25"/>
      <c r="G88" s="23" t="s">
        <v>76</v>
      </c>
    </row>
    <row r="89" spans="1:7" ht="60" customHeight="1" x14ac:dyDescent="0.25">
      <c r="A89" s="28">
        <v>46119</v>
      </c>
      <c r="B89" s="19" t="s">
        <v>86</v>
      </c>
      <c r="C89" s="19" t="s">
        <v>132</v>
      </c>
      <c r="D89" s="20">
        <v>21.49</v>
      </c>
      <c r="E89" s="21" t="s">
        <v>24</v>
      </c>
      <c r="F89" s="21"/>
      <c r="G89" s="19" t="s">
        <v>87</v>
      </c>
    </row>
    <row r="90" spans="1:7" ht="60" customHeight="1" x14ac:dyDescent="0.25">
      <c r="A90" s="27">
        <v>46118</v>
      </c>
      <c r="B90" s="23" t="s">
        <v>52</v>
      </c>
      <c r="C90" s="23" t="s">
        <v>132</v>
      </c>
      <c r="D90" s="24">
        <v>263.29000000000002</v>
      </c>
      <c r="E90" s="25" t="s">
        <v>24</v>
      </c>
      <c r="F90" s="25"/>
      <c r="G90" s="23" t="s">
        <v>53</v>
      </c>
    </row>
    <row r="91" spans="1:7" ht="60" customHeight="1" x14ac:dyDescent="0.25">
      <c r="A91" s="28">
        <v>46118</v>
      </c>
      <c r="B91" s="19" t="s">
        <v>54</v>
      </c>
      <c r="C91" s="19" t="s">
        <v>56</v>
      </c>
      <c r="D91" s="20">
        <v>-200</v>
      </c>
      <c r="E91" s="21"/>
      <c r="F91" s="21"/>
      <c r="G91" s="19" t="s">
        <v>56</v>
      </c>
    </row>
    <row r="92" spans="1:7" ht="60" customHeight="1" x14ac:dyDescent="0.25">
      <c r="A92" s="27">
        <v>46118</v>
      </c>
      <c r="B92" s="23" t="s">
        <v>38</v>
      </c>
      <c r="C92" s="23" t="s">
        <v>23</v>
      </c>
      <c r="D92" s="24">
        <v>584</v>
      </c>
      <c r="E92" s="25" t="s">
        <v>24</v>
      </c>
      <c r="F92" s="25"/>
      <c r="G92" s="23" t="s">
        <v>39</v>
      </c>
    </row>
    <row r="93" spans="1:7" ht="60" customHeight="1" x14ac:dyDescent="0.25">
      <c r="A93" s="28">
        <v>46118</v>
      </c>
      <c r="B93" s="19" t="s">
        <v>88</v>
      </c>
      <c r="C93" s="19" t="s">
        <v>132</v>
      </c>
      <c r="D93" s="20">
        <v>459.12</v>
      </c>
      <c r="E93" s="21" t="s">
        <v>24</v>
      </c>
      <c r="F93" s="21"/>
      <c r="G93" s="19" t="s">
        <v>76</v>
      </c>
    </row>
    <row r="94" spans="1:7" ht="60" customHeight="1" x14ac:dyDescent="0.25">
      <c r="A94" s="27">
        <v>46114</v>
      </c>
      <c r="B94" s="23" t="s">
        <v>22</v>
      </c>
      <c r="C94" s="23" t="s">
        <v>23</v>
      </c>
      <c r="D94" s="24">
        <v>60.61</v>
      </c>
      <c r="E94" s="25" t="s">
        <v>24</v>
      </c>
      <c r="F94" s="25"/>
      <c r="G94" s="23" t="s">
        <v>122</v>
      </c>
    </row>
    <row r="95" spans="1:7" ht="60" customHeight="1" x14ac:dyDescent="0.25">
      <c r="A95" s="28">
        <v>46113</v>
      </c>
      <c r="B95" s="19" t="s">
        <v>84</v>
      </c>
      <c r="C95" s="19" t="s">
        <v>123</v>
      </c>
      <c r="D95" s="20">
        <v>1000</v>
      </c>
      <c r="E95" s="21" t="s">
        <v>24</v>
      </c>
      <c r="F95" s="21"/>
      <c r="G95" s="19" t="s">
        <v>85</v>
      </c>
    </row>
    <row r="96" spans="1:7" ht="60" customHeight="1" x14ac:dyDescent="0.25">
      <c r="A96" s="27">
        <v>46112</v>
      </c>
      <c r="B96" s="23" t="s">
        <v>77</v>
      </c>
      <c r="C96" s="23" t="s">
        <v>78</v>
      </c>
      <c r="D96" s="24">
        <v>40.4</v>
      </c>
      <c r="E96" s="25" t="s">
        <v>24</v>
      </c>
      <c r="F96" s="25"/>
      <c r="G96" s="23"/>
    </row>
    <row r="97" spans="1:7" ht="60" customHeight="1" x14ac:dyDescent="0.25">
      <c r="A97" s="28">
        <v>46112</v>
      </c>
      <c r="B97" s="19" t="s">
        <v>77</v>
      </c>
      <c r="C97" s="19" t="s">
        <v>78</v>
      </c>
      <c r="D97" s="20">
        <v>519.6</v>
      </c>
      <c r="E97" s="21" t="s">
        <v>24</v>
      </c>
      <c r="F97" s="21"/>
      <c r="G97" s="19"/>
    </row>
    <row r="98" spans="1:7" ht="60" customHeight="1" x14ac:dyDescent="0.25">
      <c r="A98" s="27">
        <v>46112</v>
      </c>
      <c r="B98" s="23" t="s">
        <v>89</v>
      </c>
      <c r="C98" s="23" t="s">
        <v>124</v>
      </c>
      <c r="D98" s="24">
        <v>6900.58</v>
      </c>
      <c r="E98" s="25" t="s">
        <v>24</v>
      </c>
      <c r="F98" s="25"/>
      <c r="G98" s="23" t="s">
        <v>90</v>
      </c>
    </row>
    <row r="99" spans="1:7" ht="60" customHeight="1" x14ac:dyDescent="0.25">
      <c r="A99" s="28">
        <v>46104</v>
      </c>
      <c r="B99" s="19" t="s">
        <v>91</v>
      </c>
      <c r="C99" s="19" t="s">
        <v>125</v>
      </c>
      <c r="D99" s="20">
        <v>895</v>
      </c>
      <c r="E99" s="21" t="s">
        <v>24</v>
      </c>
      <c r="F99" s="21"/>
      <c r="G99" s="19" t="s">
        <v>92</v>
      </c>
    </row>
    <row r="100" spans="1:7" ht="60" customHeight="1" x14ac:dyDescent="0.25">
      <c r="A100" s="27">
        <v>46104</v>
      </c>
      <c r="B100" s="23" t="s">
        <v>58</v>
      </c>
      <c r="C100" s="23" t="s">
        <v>116</v>
      </c>
      <c r="D100" s="24">
        <v>-393.4</v>
      </c>
      <c r="E100" s="25" t="s">
        <v>24</v>
      </c>
      <c r="F100" s="25"/>
      <c r="G100" s="23" t="s">
        <v>93</v>
      </c>
    </row>
    <row r="101" spans="1:7" ht="60" customHeight="1" x14ac:dyDescent="0.25">
      <c r="A101" s="28">
        <v>46104</v>
      </c>
      <c r="B101" s="19" t="s">
        <v>58</v>
      </c>
      <c r="C101" s="19" t="s">
        <v>116</v>
      </c>
      <c r="D101" s="20">
        <v>-69</v>
      </c>
      <c r="E101" s="21" t="s">
        <v>24</v>
      </c>
      <c r="F101" s="21"/>
      <c r="G101" s="19" t="s">
        <v>93</v>
      </c>
    </row>
    <row r="102" spans="1:7" ht="60" customHeight="1" x14ac:dyDescent="0.25">
      <c r="A102" s="27">
        <v>46104</v>
      </c>
      <c r="B102" s="23" t="s">
        <v>58</v>
      </c>
      <c r="C102" s="23" t="s">
        <v>132</v>
      </c>
      <c r="D102" s="24">
        <v>835.8</v>
      </c>
      <c r="E102" s="25" t="s">
        <v>24</v>
      </c>
      <c r="F102" s="25"/>
      <c r="G102" s="23" t="s">
        <v>121</v>
      </c>
    </row>
    <row r="103" spans="1:7" ht="60" customHeight="1" x14ac:dyDescent="0.25">
      <c r="A103" s="28">
        <v>46103</v>
      </c>
      <c r="B103" s="19" t="s">
        <v>94</v>
      </c>
      <c r="C103" s="19" t="s">
        <v>132</v>
      </c>
      <c r="D103" s="20">
        <v>148.35</v>
      </c>
      <c r="E103" s="21" t="s">
        <v>24</v>
      </c>
      <c r="F103" s="21"/>
      <c r="G103" s="19" t="s">
        <v>121</v>
      </c>
    </row>
    <row r="104" spans="1:7" ht="60" customHeight="1" x14ac:dyDescent="0.25">
      <c r="A104" s="27">
        <v>46103</v>
      </c>
      <c r="B104" s="23" t="s">
        <v>58</v>
      </c>
      <c r="C104" s="23" t="s">
        <v>132</v>
      </c>
      <c r="D104" s="24">
        <v>69</v>
      </c>
      <c r="E104" s="25" t="s">
        <v>24</v>
      </c>
      <c r="F104" s="25"/>
      <c r="G104" s="23" t="s">
        <v>121</v>
      </c>
    </row>
    <row r="105" spans="1:7" ht="60" customHeight="1" x14ac:dyDescent="0.25">
      <c r="A105" s="28">
        <v>46103</v>
      </c>
      <c r="B105" s="19" t="s">
        <v>58</v>
      </c>
      <c r="C105" s="19" t="s">
        <v>132</v>
      </c>
      <c r="D105" s="20">
        <v>393.4</v>
      </c>
      <c r="E105" s="21" t="s">
        <v>24</v>
      </c>
      <c r="F105" s="21"/>
      <c r="G105" s="19" t="s">
        <v>121</v>
      </c>
    </row>
    <row r="106" spans="1:7" ht="60" customHeight="1" x14ac:dyDescent="0.25">
      <c r="A106" s="27">
        <v>46102</v>
      </c>
      <c r="B106" s="23" t="s">
        <v>95</v>
      </c>
      <c r="C106" s="23" t="s">
        <v>119</v>
      </c>
      <c r="D106" s="24">
        <v>192.07</v>
      </c>
      <c r="E106" s="25" t="s">
        <v>32</v>
      </c>
      <c r="F106" s="25"/>
      <c r="G106" s="23" t="s">
        <v>96</v>
      </c>
    </row>
    <row r="107" spans="1:7" ht="60" customHeight="1" x14ac:dyDescent="0.25">
      <c r="A107" s="28">
        <v>46101</v>
      </c>
      <c r="B107" s="19" t="s">
        <v>97</v>
      </c>
      <c r="C107" s="19" t="s">
        <v>120</v>
      </c>
      <c r="D107" s="20">
        <v>65.569999999999993</v>
      </c>
      <c r="E107" s="21" t="s">
        <v>32</v>
      </c>
      <c r="F107" s="21"/>
      <c r="G107" s="19" t="s">
        <v>120</v>
      </c>
    </row>
    <row r="108" spans="1:7" ht="60" customHeight="1" x14ac:dyDescent="0.25">
      <c r="A108" s="27">
        <v>46101</v>
      </c>
      <c r="B108" s="23" t="s">
        <v>42</v>
      </c>
      <c r="C108" s="23" t="s">
        <v>118</v>
      </c>
      <c r="D108" s="24">
        <v>92.96</v>
      </c>
      <c r="E108" s="25" t="s">
        <v>32</v>
      </c>
      <c r="F108" s="25"/>
      <c r="G108" s="23" t="s">
        <v>118</v>
      </c>
    </row>
    <row r="109" spans="1:7" x14ac:dyDescent="0.25">
      <c r="A109" s="28">
        <v>46100</v>
      </c>
      <c r="B109" s="19" t="s">
        <v>98</v>
      </c>
      <c r="C109" s="19" t="s">
        <v>118</v>
      </c>
      <c r="D109" s="20">
        <v>172.6</v>
      </c>
      <c r="E109" s="21" t="s">
        <v>32</v>
      </c>
      <c r="F109" s="21"/>
      <c r="G109" s="19" t="s">
        <v>118</v>
      </c>
    </row>
    <row r="110" spans="1:7" x14ac:dyDescent="0.25">
      <c r="A110" s="26">
        <v>46100</v>
      </c>
      <c r="B110" s="15" t="s">
        <v>99</v>
      </c>
      <c r="C110" s="15" t="s">
        <v>119</v>
      </c>
      <c r="D110" s="16">
        <v>24.98</v>
      </c>
      <c r="E110" s="17" t="s">
        <v>32</v>
      </c>
      <c r="F110" s="17"/>
      <c r="G110" s="15" t="s">
        <v>119</v>
      </c>
    </row>
    <row r="112" spans="1:7" x14ac:dyDescent="0.25">
      <c r="A112" s="7" t="s">
        <v>100</v>
      </c>
      <c r="B112" s="3"/>
      <c r="C112" s="9" t="s">
        <v>8</v>
      </c>
      <c r="D112" s="29">
        <f>SUMIF(D10:D110,"&gt;0")</f>
        <v>28501.699999999997</v>
      </c>
      <c r="E112" s="3"/>
      <c r="F112" s="3"/>
      <c r="G112" s="3"/>
    </row>
    <row r="113" spans="3:4" x14ac:dyDescent="0.25">
      <c r="C113" s="30" t="s">
        <v>101</v>
      </c>
      <c r="D113" s="31">
        <f>SUMIF(D10:D110,"&lt;0")</f>
        <v>-18477.34</v>
      </c>
    </row>
    <row r="114" spans="3:4" x14ac:dyDescent="0.25">
      <c r="C114" s="33" t="s">
        <v>102</v>
      </c>
      <c r="D114" s="34">
        <f>D112+D113</f>
        <v>10024.359999999997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 Summary</vt:lpstr>
      <vt:lpstr>Monthly Breakdown</vt:lpstr>
      <vt:lpstr>Transaction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Judd Dunning</cp:lastModifiedBy>
  <dcterms:created xsi:type="dcterms:W3CDTF">2026-05-29T15:03:58Z</dcterms:created>
  <dcterms:modified xsi:type="dcterms:W3CDTF">2026-06-11T19:42:36Z</dcterms:modified>
</cp:coreProperties>
</file>