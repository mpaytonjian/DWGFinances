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Monthly Breakdown" sheetId="2" state="visible" r:id="rId4"/>
    <sheet name="Transfer In" sheetId="3" state="visible" r:id="rId5"/>
    <sheet name="Transfer Out" sheetId="4" state="visible" r:id="rId6"/>
    <sheet name="Wire In" sheetId="5" state="visible" r:id="rId7"/>
    <sheet name="Wire Out" sheetId="6" state="visible" r:id="rId8"/>
    <sheet name="Commission" sheetId="7" state="visible" r:id="rId9"/>
    <sheet name="Transaction Overview" sheetId="8" state="visible" r:id="rId10"/>
    <sheet name="Mapping" sheetId="9" state="visible" r:id="rId11"/>
    <sheet name="Chase1168_2025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<sst xmlns="http://schemas.openxmlformats.org/spreadsheetml/2006/main" count="8068" uniqueCount="1882">
  <si>
    <t xml:space="preserve">Chase 1168 — DWG Capital Group 2025 Activity</t>
  </si>
  <si>
    <t xml:space="preserve">Category Summary  |  Jan 2025 – Dec 2025</t>
  </si>
  <si>
    <t xml:space="preserve">Entity</t>
  </si>
  <si>
    <t xml:space="preserve">DWG Capital Group</t>
  </si>
  <si>
    <t xml:space="preserve">Account</t>
  </si>
  <si>
    <t xml:space="preserve">Business Checking — Chase 1168</t>
  </si>
  <si>
    <t xml:space="preserve">Period</t>
  </si>
  <si>
    <t xml:space="preserve">Jan 2025 – Dec 2025</t>
  </si>
  <si>
    <t xml:space="preserve">TOTALS</t>
  </si>
  <si>
    <t xml:space="preserve">Total Inflows</t>
  </si>
  <si>
    <t xml:space="preserve">Total Outflows</t>
  </si>
  <si>
    <t xml:space="preserve">Net Change</t>
  </si>
  <si>
    <t xml:space="preserve">Category</t>
  </si>
  <si>
    <t xml:space="preserve">Inflows</t>
  </si>
  <si>
    <t xml:space="preserve">Outflows</t>
  </si>
  <si>
    <t xml:space="preserve">Net</t>
  </si>
  <si>
    <t xml:space="preserve">Deal-Specific</t>
  </si>
  <si>
    <t xml:space="preserve">Deal Specific: Moab</t>
  </si>
  <si>
    <t xml:space="preserve">Deal Specific: Moab (Reimbursement)</t>
  </si>
  <si>
    <t xml:space="preserve">Deal Specific: TBD</t>
  </si>
  <si>
    <t xml:space="preserve">Subtotal — Deal-Specific</t>
  </si>
  <si>
    <t xml:space="preserve">Commissions — Incoming</t>
  </si>
  <si>
    <t xml:space="preserve">Incoming Commission: Aspen</t>
  </si>
  <si>
    <t xml:space="preserve">Incoming Commission: Charlmont</t>
  </si>
  <si>
    <t xml:space="preserve">Incoming Commission: 115 Penn</t>
  </si>
  <si>
    <t xml:space="preserve">Incoming Commission: 2055 Laguna Canyon</t>
  </si>
  <si>
    <t xml:space="preserve">Incoming Commission: 20635 N 29th Pl, Phoenix AZ (Deer Valley)</t>
  </si>
  <si>
    <t xml:space="preserve">Incoming Commission: 315 York</t>
  </si>
  <si>
    <t xml:space="preserve">Incoming Commission: 3811 E Bankhead</t>
  </si>
  <si>
    <t xml:space="preserve">Incoming Commission: Edge Builder</t>
  </si>
  <si>
    <t xml:space="preserve">Subtotal — Commissions — Incoming</t>
  </si>
  <si>
    <t xml:space="preserve">Commissions — Outgoing</t>
  </si>
  <si>
    <t xml:space="preserve">Commission Paid: Brian Bowis (Charlmont)</t>
  </si>
  <si>
    <t xml:space="preserve">Subtotal — Commissions — Outgoing</t>
  </si>
  <si>
    <t xml:space="preserve">MAG Pass-Through</t>
  </si>
  <si>
    <t xml:space="preserve">Due to Andrew  – MAG Pass-Through 30%</t>
  </si>
  <si>
    <t xml:space="preserve">Due to Andrew – MAG Pass-Through 30%</t>
  </si>
  <si>
    <t xml:space="preserve">Due to Dax – MAG Pass-Through 70%</t>
  </si>
  <si>
    <t xml:space="preserve">MAG - Admeer Advisory Transfer</t>
  </si>
  <si>
    <t xml:space="preserve">MAG Capital Partners Pass-Through Wire – 70/30 Split</t>
  </si>
  <si>
    <t xml:space="preserve">Subtotal — MAG Pass-Through</t>
  </si>
  <si>
    <t xml:space="preserve">Poseidon Asset Group</t>
  </si>
  <si>
    <t xml:space="preserve">Poseidon Asset Group (Incoming)</t>
  </si>
  <si>
    <t xml:space="preserve">Transfer From Poseidon Asset Group</t>
  </si>
  <si>
    <t xml:space="preserve">Transfer to Poseidon</t>
  </si>
  <si>
    <t xml:space="preserve">Subtotal — Poseidon Asset Group</t>
  </si>
  <si>
    <t xml:space="preserve">Intercompany &amp; Savings Transfers</t>
  </si>
  <si>
    <t xml:space="preserve">DWG Capital Partners - Outgoing</t>
  </si>
  <si>
    <t xml:space="preserve">Internal Transfer</t>
  </si>
  <si>
    <t xml:space="preserve">Transfer From Butler Weldments</t>
  </si>
  <si>
    <t xml:space="preserve">Transfer From DWG Capital Partners</t>
  </si>
  <si>
    <t xml:space="preserve">Transfer to Breese Marketing</t>
  </si>
  <si>
    <t xml:space="preserve">Transfer to DWG Capital Group_Costar</t>
  </si>
  <si>
    <t xml:space="preserve">Transfer to DWG Savings</t>
  </si>
  <si>
    <t xml:space="preserve">Transfer to DWG Capital Partners</t>
  </si>
  <si>
    <t xml:space="preserve">Transfer to DWG Holdings</t>
  </si>
  <si>
    <t xml:space="preserve">Transfer to DWGCG_Costar</t>
  </si>
  <si>
    <t xml:space="preserve">Transfer to Ecomm_PosPrtnrs</t>
  </si>
  <si>
    <t xml:space="preserve">Transfer to Judd Sol Prop</t>
  </si>
  <si>
    <t xml:space="preserve">Transfer to Kalkaska</t>
  </si>
  <si>
    <t xml:space="preserve">Transfer to Stryten</t>
  </si>
  <si>
    <t xml:space="preserve">Transfer to TGAIF Fund</t>
  </si>
  <si>
    <t xml:space="preserve">Transfer to Theut Glass</t>
  </si>
  <si>
    <t xml:space="preserve">Subtotal — Intercompany &amp; Savings Transfers</t>
  </si>
  <si>
    <t xml:space="preserve">Payroll &amp; Contractors</t>
  </si>
  <si>
    <t xml:space="preserve">Andres Alarcon Payroll</t>
  </si>
  <si>
    <t xml:space="preserve">Ashley Sarshar - Payroll</t>
  </si>
  <si>
    <t xml:space="preserve">DWG HR</t>
  </si>
  <si>
    <t xml:space="preserve">Max Rodriguez - Payroll</t>
  </si>
  <si>
    <t xml:space="preserve">Mike Paytonjian - Payroll</t>
  </si>
  <si>
    <t xml:space="preserve">Online Payroll Payment Reversed</t>
  </si>
  <si>
    <t xml:space="preserve">Rami Frankl - Payroll</t>
  </si>
  <si>
    <t xml:space="preserve">Ruth Alcancia - Forward Bridge Payment</t>
  </si>
  <si>
    <t xml:space="preserve">Ryan Billings - Payroll</t>
  </si>
  <si>
    <t xml:space="preserve">Suad - Payroll</t>
  </si>
  <si>
    <t xml:space="preserve">Upwork - Sergei M.</t>
  </si>
  <si>
    <t xml:space="preserve">Subtotal — Payroll &amp; Contractors</t>
  </si>
  <si>
    <t xml:space="preserve">P2P Payments (Zelle/Venmo/PayPal)</t>
  </si>
  <si>
    <t xml:space="preserve">PayPal</t>
  </si>
  <si>
    <t xml:space="preserve">Paypal</t>
  </si>
  <si>
    <t xml:space="preserve">Venmo</t>
  </si>
  <si>
    <t xml:space="preserve">Zelle - Aaron Frankel</t>
  </si>
  <si>
    <t xml:space="preserve">Zelle - Adolfo V.</t>
  </si>
  <si>
    <t xml:space="preserve">Zelle - DWG Investor ***</t>
  </si>
  <si>
    <t xml:space="preserve">Zelle - Estella M.</t>
  </si>
  <si>
    <t xml:space="preserve">Zelle - Francisco Bautista</t>
  </si>
  <si>
    <t xml:space="preserve">Zelle - Jeff Fajardo</t>
  </si>
  <si>
    <t xml:space="preserve">Zelle - Jeff Seider</t>
  </si>
  <si>
    <t xml:space="preserve">Zelle - Joe Saunders</t>
  </si>
  <si>
    <t xml:space="preserve">Zelle - Meg Maran</t>
  </si>
  <si>
    <t xml:space="preserve">Zelle - Menashe</t>
  </si>
  <si>
    <t xml:space="preserve">Zelle - Natalie C.</t>
  </si>
  <si>
    <t xml:space="preserve">Zelle - Sentha</t>
  </si>
  <si>
    <t xml:space="preserve">Zelle/P2P</t>
  </si>
  <si>
    <t xml:space="preserve">Subtotal — P2P Payments (Zelle/Venmo/PayPal)</t>
  </si>
  <si>
    <t xml:space="preserve">Owner / Family Distributions</t>
  </si>
  <si>
    <t xml:space="preserve">Transfer to Angela Dunning</t>
  </si>
  <si>
    <t xml:space="preserve">Transfer to Ava Perez-Dunning</t>
  </si>
  <si>
    <t xml:space="preserve">Transfer to TX Personal Joint</t>
  </si>
  <si>
    <t xml:space="preserve">Subtotal — Owner / Family Distributions</t>
  </si>
  <si>
    <t xml:space="preserve">Credit Card &amp; Loan Payments</t>
  </si>
  <si>
    <t xml:space="preserve">American Express Credit Card PMT</t>
  </si>
  <si>
    <t xml:space="preserve">SBA EIDL Loan</t>
  </si>
  <si>
    <t xml:space="preserve">SBC EIDL Loan</t>
  </si>
  <si>
    <t xml:space="preserve">Subtotal — Credit Card &amp; Loan Payments</t>
  </si>
  <si>
    <t xml:space="preserve">Taxes</t>
  </si>
  <si>
    <t xml:space="preserve">Subtotal — Taxes</t>
  </si>
  <si>
    <t xml:space="preserve">DWG Operating</t>
  </si>
  <si>
    <t xml:space="preserve">AI Subscriptions</t>
  </si>
  <si>
    <t xml:space="preserve">Bank &amp; Wire Fees</t>
  </si>
  <si>
    <t xml:space="preserve">Bank Fees</t>
  </si>
  <si>
    <t xml:space="preserve">Bill Payment</t>
  </si>
  <si>
    <t xml:space="preserve">DWG Listing Platform</t>
  </si>
  <si>
    <t xml:space="preserve">DWG Listing Platform: RCM</t>
  </si>
  <si>
    <t xml:space="preserve">DWG Marketing</t>
  </si>
  <si>
    <t xml:space="preserve">DWG Subscription</t>
  </si>
  <si>
    <t xml:space="preserve">DWGCP Business Development</t>
  </si>
  <si>
    <t xml:space="preserve">Donation</t>
  </si>
  <si>
    <t xml:space="preserve">Go Daddy</t>
  </si>
  <si>
    <t xml:space="preserve">Office/Miscellaneous Reimbursement - Ashley S.</t>
  </si>
  <si>
    <t xml:space="preserve">Office/Miscellaneous Reimbursement - Mike P.</t>
  </si>
  <si>
    <t xml:space="preserve">Sandy PR Payment</t>
  </si>
  <si>
    <t xml:space="preserve">Software/Accounting</t>
  </si>
  <si>
    <t xml:space="preserve">Wire Fee</t>
  </si>
  <si>
    <t xml:space="preserve">Subtotal — DWG Operating</t>
  </si>
  <si>
    <t xml:space="preserve">Business Travel</t>
  </si>
  <si>
    <t xml:space="preserve">2024/2025 Canada Trip</t>
  </si>
  <si>
    <t xml:space="preserve">2025 Costa Rica Trip</t>
  </si>
  <si>
    <t xml:space="preserve">Miami Investor Event</t>
  </si>
  <si>
    <t xml:space="preserve">San Francisco Investor Meeting</t>
  </si>
  <si>
    <t xml:space="preserve">Travel</t>
  </si>
  <si>
    <t xml:space="preserve">Subtotal — Business Travel</t>
  </si>
  <si>
    <t xml:space="preserve">Personal — Owner</t>
  </si>
  <si>
    <t xml:space="preserve">Personal - Food &amp; Dining</t>
  </si>
  <si>
    <t xml:space="preserve">Personal - California Mortgage PMT</t>
  </si>
  <si>
    <t xml:space="preserve">Personal - Car &amp; Auto</t>
  </si>
  <si>
    <t xml:space="preserve">Personal - Clothing</t>
  </si>
  <si>
    <t xml:space="preserve">Personal - Entertainment</t>
  </si>
  <si>
    <t xml:space="preserve">Personal - Health (incl. Ins.)</t>
  </si>
  <si>
    <t xml:space="preserve">Personal - House</t>
  </si>
  <si>
    <t xml:space="preserve">Personal - Insurance</t>
  </si>
  <si>
    <t xml:space="preserve">Personal - Investments</t>
  </si>
  <si>
    <t xml:space="preserve">Personal - Life Insurance</t>
  </si>
  <si>
    <t xml:space="preserve">Personal - Paypal</t>
  </si>
  <si>
    <t xml:space="preserve">Personal - Subscriptions</t>
  </si>
  <si>
    <t xml:space="preserve">Texas - House Utilities</t>
  </si>
  <si>
    <t xml:space="preserve">Subtotal — Personal — Owner</t>
  </si>
  <si>
    <t xml:space="preserve">Uncategorized — Review</t>
  </si>
  <si>
    <t xml:space="preserve">???</t>
  </si>
  <si>
    <t xml:space="preserve">ATM/Cash</t>
  </si>
  <si>
    <t xml:space="preserve">Check - TBD</t>
  </si>
  <si>
    <t xml:space="preserve">DWG - TBD</t>
  </si>
  <si>
    <t xml:space="preserve">Paypal - TBD</t>
  </si>
  <si>
    <t xml:space="preserve">Withdrawal - TBD</t>
  </si>
  <si>
    <t xml:space="preserve">Zelle - TBD</t>
  </si>
  <si>
    <t xml:space="preserve">Subtotal — Uncategorized — Review</t>
  </si>
  <si>
    <t xml:space="preserve">Monthly Breakdown  |  Jan 2025 – Dec 2025</t>
  </si>
  <si>
    <t xml:space="preserve">Total</t>
  </si>
  <si>
    <t xml:space="preserve">Intercompany Transfers — In  |  Jan 2025 – Dec 2025</t>
  </si>
  <si>
    <t xml:space="preserve">SUMMARY</t>
  </si>
  <si>
    <t xml:space="preserve"># Transactions</t>
  </si>
  <si>
    <t xml:space="preserve">Intercompany Transfers — Out  |  Jan 2025 – Dec 2025</t>
  </si>
  <si>
    <t xml:space="preserve">Wire Transfers — In  |  Jan 2025 – Dec 2025</t>
  </si>
  <si>
    <t xml:space="preserve">Wire Transfers — Out  |  Jan 2025 – Dec 2025</t>
  </si>
  <si>
    <t xml:space="preserve">Commissions Statement  |  Jan 2025 – Dec 2025</t>
  </si>
  <si>
    <t xml:space="preserve">Details</t>
  </si>
  <si>
    <t xml:space="preserve">Posting Date</t>
  </si>
  <si>
    <t xml:space="preserve">Description</t>
  </si>
  <si>
    <t xml:space="preserve">Amount</t>
  </si>
  <si>
    <t xml:space="preserve">Type</t>
  </si>
  <si>
    <t xml:space="preserve">Balance</t>
  </si>
  <si>
    <t xml:space="preserve">Month</t>
  </si>
  <si>
    <t xml:space="preserve">Combined Category</t>
  </si>
  <si>
    <t xml:space="preserve">Group</t>
  </si>
  <si>
    <t xml:space="preserve">Raw Category</t>
  </si>
  <si>
    <t xml:space="preserve">Bank Fee</t>
  </si>
  <si>
    <t xml:space="preserve">DWG Commission - Aspen</t>
  </si>
  <si>
    <t xml:space="preserve">Deal Specific: Charlmont Closing</t>
  </si>
  <si>
    <t xml:space="preserve">Meals/Dining</t>
  </si>
  <si>
    <t xml:space="preserve">Personal - Car</t>
  </si>
  <si>
    <t xml:space="preserve">Personal - Car (Mercedes)</t>
  </si>
  <si>
    <t xml:space="preserve">Personal - Car Insurance</t>
  </si>
  <si>
    <t xml:space="preserve">Personal - Food</t>
  </si>
  <si>
    <t xml:space="preserve">Personal - Health</t>
  </si>
  <si>
    <t xml:space="preserve">Personal - Health Insurance</t>
  </si>
  <si>
    <t xml:space="preserve">Transfer to DWG Capital Group_Savings</t>
  </si>
  <si>
    <t xml:space="preserve">Wire to Brian Bowis (Charlmont)</t>
  </si>
  <si>
    <t xml:space="preserve">DEBIT</t>
  </si>
  <si>
    <t xml:space="preserve">ONLINE FX INTERNATIONAL WIRE FEE</t>
  </si>
  <si>
    <t xml:space="preserve">FEE_TRANSACTION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</si>
  <si>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49416,78/EXCH/3532.5557/CNTR/156111 34/INT/ANDRES_52763ATHOTMAIL.C TRN: 6879000365RE 12/31</t>
  </si>
  <si>
    <t xml:space="preserve">WIRE_OUTGOING</t>
  </si>
  <si>
    <t xml:space="preserve">ORIG CO NAME:GEICO                  ORIG ID:3530075853 DESC DATE:251230 CO ENTRY DESCR:PREM COLL SEC:PPD    TRACE#:021000020954890 EED:251231   IND ID:                             IND NAME:ANGELA TRN: 3650954890TC</t>
  </si>
  <si>
    <t xml:space="preserve">ACH_DEBIT</t>
  </si>
  <si>
    <t xml:space="preserve">ORIG CO NAME:SBA EIDL LOAN          ORIG ID:7300000118 DESC DATE:251229 CO ENTRY DESCR:PAYMENT   SEC:CCD    TRACE#:041036049540812 EED:251230   IND ID:0000                         IND NAME:JOHN DUNNING               1871308204                                                                        ACH TRANSACTION TRN: 3649540812TC</t>
  </si>
  <si>
    <t xml:space="preserve">ORIG CO NAME:TXU ENERGY             ORIG ID:1001020329 DESC DATE:       CO ENTRY DESCR:TXUE_ACH  SEC:WEB    TRACE#:021000025255110 EED:251229   IND ID:900062431557                 IND NAME:DWG CAPITAL GROUP          17333702810000000000000000000003592 4192821                                       DIRECT DEBITING TRN: 3635255110TC</t>
  </si>
  <si>
    <t xml:space="preserve">Basic Online Payroll Payment 11200477377 to ########4122</t>
  </si>
  <si>
    <t xml:space="preserve">BASIC_PAYROLL</t>
  </si>
  <si>
    <t xml:space="preserve">ORIG CO NAME:BANNER LIFE            ORIG ID:1521236145 DESC DATE:251228 CO ENTRY DESCR:PREM DEBITSEC:PPD    TRACE#:091000014535049 EED:251229   IND ID:                             IND NAME:ANGELA L DUNNING TRN: 3634535049TC</t>
  </si>
  <si>
    <t xml:space="preserve">ORIG CO NAME:BANNER LIFE            ORIG ID:1521236145 DESC DATE:251228 CO ENTRY DESCR:PREM DEBITSEC:PPD    TRACE#:091000014535050 EED:251229   IND ID:                             IND NAME:JOHN  DUNNING TRN: 3634535050TC</t>
  </si>
  <si>
    <t xml:space="preserve">ORIG CO NAME:INTUIT *               ORIG ID:0000756346 DESC DATE:251227 CO ENTRY DESCR:QBooks OnlSEC:CCD    TRACE#:021000023968943 EED:251229   IND ID:9445751                      IND NAME:DWG CAPITAL GROUP                                                                                            800-446-8848 TRN: 3633968943TC</t>
  </si>
  <si>
    <t xml:space="preserve">ORIG CO NAME:VENMO                  ORIG ID:3264681992 DESC DATE:251227 CO ENTRY DESCR:PAYMENT   SEC:WEB    TRACE#:021000024517263 EED:251229   IND ID:1047213591622                IND NAME:JUDD DUNNING                                                                                                 251227PPZSDJ TRN: 3634517263TC</t>
  </si>
  <si>
    <t xml:space="preserve">ORIG CO NAME:AMERICAN EXPRESS       ORIG ID:2005032111 DESC DATE:251229 CO ENTRY DESCR:ACH PMT   SEC:CCD    TRACE#:021000024677083 EED:251229   IND ID:W9796                        IND NAME:John Dunning                                                                                                 ER AM TRN: 3634677083TC</t>
  </si>
  <si>
    <t xml:space="preserve">ORIG CO NAME:GEICO                  ORIG ID:3530075853 DESC DATE:251228 CO ENTRY DESCR:PREM COLL SEC:PPD    TRACE#:021000024725505 EED:251229   IND ID:                             IND NAME:ANGELA DUNNING TRN: 3634725505TC</t>
  </si>
  <si>
    <t xml:space="preserve">ORIG CO NAME:AMERICAN EXPRESS       ORIG ID:2005032111 DESC DATE:251229 CO ENTRY DESCR:ACH PMT   SEC:CCD    TRACE#:021000025220488 EED:251229   IND ID:W4770                        IND NAME:John Dunning                                                                                                 ER AM TRN: 3635220488TC</t>
  </si>
  <si>
    <t xml:space="preserve">PAYPAL *RUTHALCANCI 402-935-7733 CA          12/29</t>
  </si>
  <si>
    <t xml:space="preserve">DEBIT_CARD</t>
  </si>
  <si>
    <t xml:space="preserve">Online Payment 27487596823 To MERCEDES BENZ FINANCIAL 12/29</t>
  </si>
  <si>
    <t xml:space="preserve">BILLPAY</t>
  </si>
  <si>
    <t xml:space="preserve">Online Payment 27487600858 To MERCEDES BENZ FINANCIAL SVCS 12/29</t>
  </si>
  <si>
    <t xml:space="preserve">Online Payment 27487611605 To MERCEDES BENZ FINANCIAL 12/29</t>
  </si>
  <si>
    <t xml:space="preserve">Online Payment 27487593185 To PENTAGON FEDERAL CREDIT UNION 12/29</t>
  </si>
  <si>
    <t xml:space="preserve">Online Transfer to CHK ...6975 transaction#: 27487581801 12/29</t>
  </si>
  <si>
    <t xml:space="preserve">ACCT_XFER</t>
  </si>
  <si>
    <t xml:space="preserve">Zelle payment to Natalie Cordova JPM99c008mdl</t>
  </si>
  <si>
    <t xml:space="preserve">CHASE_TO_PARTNERFI</t>
  </si>
  <si>
    <t xml:space="preserve">Zelle payment to Jeffrey Seider JPM99c008xu7</t>
  </si>
  <si>
    <t xml:space="preserve">Zelle payment to Jeffrey Seider JPM99c008wzt</t>
  </si>
  <si>
    <t xml:space="preserve">Zelle payment to Jeffrey Seider JPM99c008weh</t>
  </si>
  <si>
    <t xml:space="preserve">DISNEY PLUS ECOM LAKE BUENA VI FL    018046  12/26</t>
  </si>
  <si>
    <t xml:space="preserve">ORIG CO NAME:VENMO                  ORIG ID:3264681992 DESC DATE:251224 CO ENTRY DESCR:PAYMENT   SEC:WEB    TRACE#:021000025850697 EED:251224   IND ID:1047159886455                IND NAME:JUDD DUNNING                                                                                                 251224PPZHFX TRN: 3585850697TC</t>
  </si>
  <si>
    <t xml:space="preserve">ORIG CO NAME:ROBINHOOD              ORIG ID:5326394001 DESC DATE:       CO ENTRY DESCR:DEBITS    SEC:WEB    TRACE#:021000022717681 EED:251224   IND ID:465626935                    IND NAME:Judd Dunning TRN: 3582717681TC</t>
  </si>
  <si>
    <t xml:space="preserve">ORIG CO NAME:PRINCIPAL-CCAPNL       ORIG ID:9INDPNLEFT DESC DATE:121925 CO ENTRY DESCR:PRIN FINANSEC:PPD    TRACE#:091000010909550 EED:251223   IND ID:                             IND NAME:JOHN B DUNNING TRN: 3570909550TC</t>
  </si>
  <si>
    <t xml:space="preserve">Zelle payment to Ashley Sarshar 27426767896</t>
  </si>
  <si>
    <t xml:space="preserve">QUICKPAY_DEBIT</t>
  </si>
  <si>
    <t xml:space="preserve">Zelle payment to Ashley Sarshar 27426159817</t>
  </si>
  <si>
    <t xml:space="preserve">Online Transfer to CHK ...1117 transaction#: 27426095666 12/22</t>
  </si>
  <si>
    <t xml:space="preserve">Basic Online Payroll Payment 11199534819 to ########4122</t>
  </si>
  <si>
    <t xml:space="preserve">Experian* ProtectMyID 866-5849446 CA         12/22</t>
  </si>
  <si>
    <t xml:space="preserve">PAYPAL *BAFILEGIRL6 402-935-7733 CA          12/22</t>
  </si>
  <si>
    <t xml:space="preserve">PAYPAL *RUTHALCANCI 402-935-7733 CA          12/20</t>
  </si>
  <si>
    <t xml:space="preserve">Online Transfer to CHK ...1117 transaction#: 27395193487 12/19</t>
  </si>
  <si>
    <t xml:space="preserve">DNH*GODADDY#3973381977 480-5058855 AZ        12/18</t>
  </si>
  <si>
    <t xml:space="preserve">DNH*GODADDY#3973381166 480-5058855 AZ        12/18</t>
  </si>
  <si>
    <t xml:space="preserve">ORIG CO NAME:VENMO                  ORIG ID:3264681992 DESC DATE:251218 CO ENTRY DESCR:PAYMENT   SEC:WEB    TRACE#:021000020278817 EED:251218   IND ID:1047022783088                IND NAME:JUDD DUNNING                                                                                                 251218PPZ9XP TRN: 3520278817TC</t>
  </si>
  <si>
    <t xml:space="preserve">Zelle payment to Michael Paytonjian JPM99byvd5kp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</si>
  <si>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PAYMENTS/OCMT/COP27 67904,70/EXCH/3690.5396/CNTR/351015 02/INT/ANDRES_52763ATHOTMAIL.C TRN: 4330900352RE 12/18</t>
  </si>
  <si>
    <t xml:space="preserve">ORIG CO NAME:VENMO                  ORIG ID:3264681992 DESC DATE:251217 CO ENTRY DESCR:PAYMENT   SEC:WEB    TRACE#:021000028480136 EED:251217   IND ID:1046996393513                IND NAME:JUDD DUNNING                                                                                                 251217PPZVTK TRN: 3518480136TC</t>
  </si>
  <si>
    <t xml:space="preserve">ONLINE INTERNATIONAL WIRE TRANSFER A/C: FOREIGN CUR BUS ACCT BK 1 COLUMBUS NEWARK DE 197132107 US ORG: 00000000283681168 DWG CAPITAL GROUP BEN:/00714849981 MARIA FERNANDA ALARCON PIEDRAHITA REF: HAPPY HOLIDAYS TAXID1017222855/TEL573207819186/SAV/GIFT OR DONATION/OC MT/COP5535809,40/EXCH/3690.5396/CNT R/38271807/INT/ANDRES_52763ATH TRN: 3804000351RE 12/17</t>
  </si>
  <si>
    <t xml:space="preserve">ONLINE DOMESTIC WIRE FEE</t>
  </si>
  <si>
    <t xml:space="preserve">ORIG CO NAME:VENMO                  ORIG ID:3264681992 DESC DATE:251216 CO ENTRY DESCR:PAYMENT   SEC:WEB    TRACE#:021000028405248 EED:251216   IND ID:1046983023197                IND NAME:JUDD DUNNING                                                                                                 251216PPZP1V TRN: 3508405248TC</t>
  </si>
  <si>
    <t xml:space="preserve">Online Transfer to CHK ...6975 transaction#: 27352110897 12/16</t>
  </si>
  <si>
    <t xml:space="preserve">INDEED USI25-07286075 AUSTIN TX      132928  12/16</t>
  </si>
  <si>
    <t xml:space="preserve">ORIG CO NAME:LEASEDIRECT            ORIG ID:138190450  DESC DATE:251215 CO ENTRY DESCR:15746_1   SEC:CCD    TRACE#:043000091771929 EED:251216   IND ID:1556926                      IND NAME:DWG CAPITAL GROUP          INV# 593215173 DUE 12/15/25 REC# 10 10465018                                      15747 TRN: 3501771929TC</t>
  </si>
  <si>
    <t xml:space="preserve">ONLINE DOMESTIC WIRE TRANSFER A/C: ADMEER ADVISORY, LLC DANA POINT CA 92629-3313 US REF: CANDY BARS TRN: 3026235350ES 12/16</t>
  </si>
  <si>
    <t xml:space="preserve">Basic Online Payroll Payment 11198602630 to ########4122</t>
  </si>
  <si>
    <t xml:space="preserve">ORIG CO NAME:VENMO                  ORIG ID:3264681992 DESC DATE:251213 CO ENTRY DESCR:PAYMENT   SEC:WEB    TRACE#:021000026340396 EED:251215   IND ID:1046902728984                IND NAME:JUDD DUNNING                                                                                                 251213PPZ41O TRN: 3496340396TC</t>
  </si>
  <si>
    <t xml:space="preserve">ORIG CO NAME:VENMO                  ORIG ID:3264681992 DESC DATE:251214 CO ENTRY DESCR:PAYMENT   SEC:WEB    TRACE#:021000027449172 EED:251215   IND ID:1046904979431                IND NAME:JUDD DUNNING                                                                                                 251214PPZ5QP TRN: 3497449172TC</t>
  </si>
  <si>
    <t xml:space="preserve">Zelle payment to Jeffrey Seider JPM99byel6f8</t>
  </si>
  <si>
    <t xml:space="preserve">Zelle payment to Estella Martinez JPM99byelhnm</t>
  </si>
  <si>
    <t xml:space="preserve">ORIG CO NAME:VENMO                  ORIG ID:3264681992 DESC DATE:251212 CO ENTRY DESCR:PAYMENT   SEC:WEB    TRACE#:021000028996964 EED:251212   IND ID:1046884283240                IND NAME:JUDD DUNNING                                                                                                 251212PPZ287 TRN: 3468996964TC</t>
  </si>
  <si>
    <t xml:space="preserve">ORIG CO NAME:VENMO                  ORIG ID:3264681992 DESC DATE:251212 CO ENTRY DESCR:PAYMENT   SEC:WEB    TRACE#:021000028160474 EED:251212   IND ID:1046871008005                IND NAME:JUDD DUNNING                                                                                                 251212PPZZEK TRN: 3468160474TC</t>
  </si>
  <si>
    <t xml:space="preserve">Online Transfer to CHK ...1117 transaction#: 27302571456 12/12</t>
  </si>
  <si>
    <t xml:space="preserve">ORIG CO NAME:VENMO                  ORIG ID:3264681992 DESC DATE:251211 CO ENTRY DESCR:PAYMENT   SEC:WEB    TRACE#:021000027104602 EED:251211   IND ID:1046838954639                IND NAME:JUDD DUNNING                                                                                                 251211PPZIP5 TRN: 3457104602TC</t>
  </si>
  <si>
    <t xml:space="preserve">ORIG CO NAME:GM Financial           ORIG ID:I522190781 DESC DATE:251211 CO ENTRY DESCR:GMF Pymt  SEC:PPD    TRACE#:091000015147599 EED:251211   IND ID:                             IND NAME:ANGELA DUNNING TRN: 3455147599TC</t>
  </si>
  <si>
    <t xml:space="preserve">ORIG CO NAME:ALLSTATE V&amp;P INS       ORIG ID:1360719665 DESC DATE:DEC 25 CO ENTRY DESCR:INS PREM  SEC:PPD    TRACE#:021000025692455 EED:251211   IND ID:                             IND NAME:DUNNING TRN: 3455692455TC</t>
  </si>
  <si>
    <t xml:space="preserve">HLU*HULUPLUS hulu.com/bill CA                12/11</t>
  </si>
  <si>
    <t xml:space="preserve">Indeed USI25-07181461 800-4625842 TX         12/09</t>
  </si>
  <si>
    <t xml:space="preserve">STARBUCKS STORE 09809 MONTGOMERY AL          12/09</t>
  </si>
  <si>
    <t xml:space="preserve">CREDIT</t>
  </si>
  <si>
    <t xml:space="preserve">Basic Online Payroll Payment 11198349886 to (########8562) - Reversed</t>
  </si>
  <si>
    <t xml:space="preserve">MISC_CREDIT</t>
  </si>
  <si>
    <t xml:space="preserve">ORIG CO NAME:VENMO                  ORIG ID:3264681992 DESC DATE:251209 CO ENTRY DESCR:PAYMENT   SEC:WEB    TRACE#:021000025345215 EED:251209   IND ID:1046812136664                IND NAME:JUDD DUNNING                                                                                                 251209PPZ7CV TRN: 3435345215TC</t>
  </si>
  <si>
    <t xml:space="preserve">ONLINE DOMESTIC WIRE TRANSFER A/C: ADMEER ADVISORY, LLC DANA POINT CA 92629-3313 US REF: CANDY BARS TRN: 3438675343ES 12/09</t>
  </si>
  <si>
    <t xml:space="preserve">ONLINE DOMESTIC WIRE TRANSFER VIA: BK AMER NYC/026009593 A/C: BRIAN HENRY BOWIS NEWPORT BEACH CA 92661 US IMAD: 1209MMQFMP2K021929 TRN: 3389255343ES 12/09</t>
  </si>
  <si>
    <t xml:space="preserve">Online Transfer to CHK ...7899 transaction#: 27260474195 12/09</t>
  </si>
  <si>
    <t xml:space="preserve">UPWORK * -872796059 866-262-4478 CA          12/08</t>
  </si>
  <si>
    <t xml:space="preserve">ONLINE DOMESTIC WIRE TRANSFER VIA: BK AMER NYC/026009593 A/C: BRIAN HENRY BOWIS NEWPORT BEACH CA 92661 US IMAD: 1208MMQFMP2M028185 TRN: 3778895342ES 12/08</t>
  </si>
  <si>
    <t xml:space="preserve">Zelle payment to Menashe 27253818627</t>
  </si>
  <si>
    <t xml:space="preserve">ORIG CO NAME:VENMO                  ORIG ID:3264681992 DESC DATE:251208 CO ENTRY DESCR:PAYMENT   SEC:WEB    TRACE#:021000028372390 EED:251208   IND ID:1046766302724                IND NAME:JUDD DUNNING                                                                                                 251208PPZPGE TRN: 3428372390TC</t>
  </si>
  <si>
    <t xml:space="preserve">Basic Online Payroll Payment 11197628822 to ########4122</t>
  </si>
  <si>
    <t xml:space="preserve">Online Transfer to CHK ...1117 transaction#: 27244081613 12/08</t>
  </si>
  <si>
    <t xml:space="preserve">Online Transfer to CHK ...3922 transaction#: 27244098055 12/08</t>
  </si>
  <si>
    <t xml:space="preserve">WWW.PERPLEXITY.AI WWW.PERPLEXIT CA           12/07</t>
  </si>
  <si>
    <t xml:space="preserve">PAYPAL *RUTHALCANCI 402-935-7733 CA          12/07</t>
  </si>
  <si>
    <t xml:space="preserve">Online Transfer to CHK ...1117 transaction#: 27228456762 12/08</t>
  </si>
  <si>
    <t xml:space="preserve">Zelle payment to Jeffrey Seider JPM99bxarb8u</t>
  </si>
  <si>
    <t xml:space="preserve">DOMESTIC INCOMING WIRE FEE</t>
  </si>
  <si>
    <t xml:space="preserve">ONLINE INTERNATIONAL WIRE TRANSFER A/C: FOREIGN CUR BUS ACCT BK 1 COLUMBUS NEWARK DE 197132107 US ORG: 00000000283681168 DWG CAPITAL GROUP BEN:/00714849981 MARIA FERNANDA ALARCON PIEDRAHITA REF: TAXID1017222855/TEL573207819186/SAV/CONSULTANCY EXPENSES/OCMT/COP27383 75,48/EXCH/3651.1673/CNTR/84181818/INT/ANDRES_52763ATHOTMAIL.COM TRN: 9015400339RE 12/05</t>
  </si>
  <si>
    <t xml:space="preserve">DNH*GODADDY#3961982485 480-5058855 AZ        12/04</t>
  </si>
  <si>
    <t xml:space="preserve">PP*APPLE.COM/BILL 800-275-2273 CA            12/04</t>
  </si>
  <si>
    <t xml:space="preserve">FEDWIRE CREDIT VIA: EAST-WEST BANK/322070381 B/O: CHICAGO TITLE COMPANY RIVERSIDE CA 92505-3313 REF: CHASE NYC/CTR/BNF=DWG CAPITAL GROUP LOS ANGELES CA 90066-3638 US/AC-00 0000002836 RFB=FSD3385P00004391 OBI =/URI/FN-FBSC2510438 NON-FEE REIMBU R SEMENT CHARLMONT VILLAGE TOWNHOME S PROPADDR-1625 EAST G STR IMAD: 1205MMQFMP27003973 TRN: 1301821339FF</t>
  </si>
  <si>
    <t xml:space="preserve">WIRE_INCOMING</t>
  </si>
  <si>
    <t xml:space="preserve">FEDWIRE CREDIT VIA: EAST-WEST BANK/322070381 B/O: CHICAGO TITLE COMPANY RIVERSIDE CA 92505-3313 REF: CHASE NYC/CTR/BNF=DWG CAPITAL GROUP LOS ANGELES CA 90066-3638 US/AC-00 0000002836 RFB=FSD3385P00004322 OBI =/URI/FN-FBSC2510438 BROKERAGE FEE C HARLMONT VILLAGE TOWNHOMES PROPAD DR -1625EAST G STREET, ONTA IMAD: 1205MMQFMP27003909 TRN: 1286401339FF</t>
  </si>
  <si>
    <t xml:space="preserve">Basic Online Payroll Payment 11198349886 to ########8562</t>
  </si>
  <si>
    <t xml:space="preserve">Online Transfer to CHK ...1117 transaction#: 27206053886 12/04</t>
  </si>
  <si>
    <t xml:space="preserve">PAYPAL *PRAGERUNIVE P 833-772-4378 CA        12/03</t>
  </si>
  <si>
    <t xml:space="preserve">Online Transfer from CHK ...9335 transaction#: 27206012968</t>
  </si>
  <si>
    <t xml:space="preserve">Zelle payment to Natalie Cordova JPM99bwygrp7</t>
  </si>
  <si>
    <t xml:space="preserve">Online Transfer to CHK ...1117 transaction#: 27190448427 12/03</t>
  </si>
  <si>
    <t xml:space="preserve">PP*APPLE.COM/BILL 800-275-2273 CA            12/03</t>
  </si>
  <si>
    <t xml:space="preserve">DNH*GODADDY#3960512450 480-5058855 AZ        12/02</t>
  </si>
  <si>
    <t xml:space="preserve">PAYPAL *DIRECTV 800-531-5000 CA              12/02</t>
  </si>
  <si>
    <t xml:space="preserve">ORIG CO NAME:TXU ENERGY             ORIG ID:1001020329 DESC DATE:       CO ENTRY DESCR:TXUE_ACH  SEC:WEB    TRACE#:021000023979093 EED:251202   IND ID:900062431557                 IND NAME:DWG CAPITAL GROUP          17333702810000000000000000000003510 2443464                                       DIRECT DEBITING TRN: 3363979093TC</t>
  </si>
  <si>
    <t xml:space="preserve">ORIG CO NAME:VENMO                  ORIG ID:3264681992 DESC DATE:251202 CO ENTRY DESCR:PAYMENT   SEC:WEB    TRACE#:021000024046040 EED:251202   IND ID:1046630368433                IND NAME:JUDD DUNNING                                                                                                 251202PPZMWT TRN: 3364046040TC</t>
  </si>
  <si>
    <t xml:space="preserve">Indeed USI25-06944946 800-4625842 TX         12/02</t>
  </si>
  <si>
    <t xml:space="preserve">PP*APPLE.COM/BILL 800-275-2273 CA            12/02</t>
  </si>
  <si>
    <t xml:space="preserve">UPWORK * -870662156 866-262-4478 CA          12/01</t>
  </si>
  <si>
    <t xml:space="preserve">PAYPAL *HULU 877-801-5441 CA                 12/01</t>
  </si>
  <si>
    <t xml:space="preserve">PAYPAL *GOOGLE LLC GO 650-253-0000 CA        12/01</t>
  </si>
  <si>
    <t xml:space="preserve">STANDARD ACH PMNTS INITIAL FEE QTY = 8</t>
  </si>
  <si>
    <t xml:space="preserve">Online Payment 27169136243 To PENTAGON FEDERAL CREDIT UNION 12/01</t>
  </si>
  <si>
    <t xml:space="preserve">Online Payment 27169110766 To MERCEDES BENZ FINANCIAL SVCS 12/01</t>
  </si>
  <si>
    <t xml:space="preserve">Online Payment 27169068840 To MERCEDES BENZ FINANCIAL 12/01</t>
  </si>
  <si>
    <t xml:space="preserve">Online Payment 27169056999 To MERCEDES BENZ FINANCIAL 12/01</t>
  </si>
  <si>
    <t xml:space="preserve">Basic Online Payroll Payment 11196778300 to ########4122</t>
  </si>
  <si>
    <t xml:space="preserve">ORIG CO NAME:GEICO                  ORIG ID:3530075853 DESC DATE:251130 CO ENTRY DESCR:PREM COLL SEC:PPD    TRACE#:021000020932244 EED:251201   IND ID:                             IND NAME:ANGELA TRN: 3350932244TC</t>
  </si>
  <si>
    <t xml:space="preserve">ORIG CO NAME:BLUESHIELDCA           ORIG ID:7529219311 DESC DATE:251130 CO ENTRY DESCR:BILL PAY  SEC:CCD    TRACE#:031101111124833 EED:251201   IND ID:15720676401                  IND NAME:ANGELA DUNNING TRN: 3351124833TC</t>
  </si>
  <si>
    <t xml:space="preserve">Online Transfer to CHK ...1117 transaction#: 27139566934 12/01</t>
  </si>
  <si>
    <t xml:space="preserve">Online Transfer to CHK ...6975 transaction#: 27139549051 12/01</t>
  </si>
  <si>
    <t xml:space="preserve">ORIG CO NAME:GEICO                  ORIG ID:3530075853 DESC DATE:251128 CO ENTRY DESCR:PREM COLL SEC:PPD    TRACE#:021000025874967 EED:251201   IND ID:                             IND NAME:ANGELA DUNNING TRN: 3355874967TC</t>
  </si>
  <si>
    <t xml:space="preserve">ORIG CO NAME:SBA EIDL LOAN          ORIG ID:7300000118 DESC DATE:251128 CO ENTRY DESCR:PAYMENT   SEC:CCD    TRACE#:041036042712034 EED:251201   IND ID:0000                         IND NAME:JOHN DUNNING               1871308204                                                                        ACH TRANSACTION TRN: 3352712034TC</t>
  </si>
  <si>
    <t xml:space="preserve">WI SPA LOS ANGELES CA                        11/28</t>
  </si>
  <si>
    <t xml:space="preserve">PAYPAL *LINKEDIN 402-935-7733 CA             11/28</t>
  </si>
  <si>
    <t xml:space="preserve">Online Transfer from CHK ...9335 transaction#: 27139556362</t>
  </si>
  <si>
    <t xml:space="preserve">Online Transfer from CHK ...9335 transaction#: 27139532703</t>
  </si>
  <si>
    <t xml:space="preserve">NON-CHASE ATM FEE-WITH</t>
  </si>
  <si>
    <t xml:space="preserve">CVS/PHARMACY #09 09493 MAR VISTA CA  746968  11/28</t>
  </si>
  <si>
    <t xml:space="preserve">NON-CHASE ATM WITHDRAW               297801  11/282700 WILS</t>
  </si>
  <si>
    <t xml:space="preserve">ATM</t>
  </si>
  <si>
    <t xml:space="preserve">ORIG CO NAME:BANNER LIFE            ORIG ID:1521236145 DESC DATE:251127 CO ENTRY DESCR:PREM DEBITSEC:PPD    TRACE#:091000017979429 EED:251128   IND ID:                             IND NAME:ANGELA L DUNNING TRN: 3327979429TC</t>
  </si>
  <si>
    <t xml:space="preserve">ORIG CO NAME:BANNER LIFE            ORIG ID:1521236145 DESC DATE:251127 CO ENTRY DESCR:PREM DEBITSEC:PPD    TRACE#:091000017979430 EED:251128   IND ID:                             IND NAME:JOHN  DUNNING TRN: 3327979430TC</t>
  </si>
  <si>
    <t xml:space="preserve">ORIG CO NAME:INTUIT *               ORIG ID:0000756346 DESC DATE:251127 CO ENTRY DESCR:QBooks OnlSEC:CCD    TRACE#:021000027160543 EED:251128   IND ID:8598978                      IND NAME:DWG CAPITAL GROUP                                                                                            800-446-8848 TRN: 3327160543TC</t>
  </si>
  <si>
    <t xml:space="preserve">PAYPAL *GRUBHUBFOOD T 877-585-7878 IL        11/28</t>
  </si>
  <si>
    <t xml:space="preserve">PP*APPLE.COM/BILL 800-275-2273 CA            11/27</t>
  </si>
  <si>
    <t xml:space="preserve">PP*APPLE.COM/BILL 800-275-2273 CA            11/26</t>
  </si>
  <si>
    <t xml:space="preserve">PP*CONSUMRRPTS 800-333-0663 NY               11/26</t>
  </si>
  <si>
    <t xml:space="preserve">PAYPAL *GRUBHUBFOOD L 877-585-7878 IL        11/27</t>
  </si>
  <si>
    <t xml:space="preserve">Disney Plus 888-9057888 CA                   11/26</t>
  </si>
  <si>
    <t xml:space="preserve">Zelle payment to Rosie Vazquez JPM99bw16t5s</t>
  </si>
  <si>
    <t xml:space="preserve">PAYPAL *EPOCH TIMES T 833-699-1888 NY        11/25</t>
  </si>
  <si>
    <t xml:space="preserve">ORIG CO NAME:VENMO                  ORIG ID:3264681992 DESC DATE:251125 CO ENTRY DESCR:PAYMENT   SEC:WEB    TRACE#:021000027507829 EED:251125   IND ID:1046452214277                IND NAME:JUDD DUNNING                                                                                                 251125PPZJAC TRN: 3297507829TC</t>
  </si>
  <si>
    <t xml:space="preserve">Zelle payment to Jeffrey Seider JPM99bw0z6q5</t>
  </si>
  <si>
    <t xml:space="preserve">Zelle payment to Jeff Fajardo JPM99bw0yayv</t>
  </si>
  <si>
    <t xml:space="preserve">PAYPAL *CANVA 416-131-8870 DE                11/25</t>
  </si>
  <si>
    <t xml:space="preserve">UPWORK * -868532179 866-262-4478 CA          11/24</t>
  </si>
  <si>
    <t xml:space="preserve">PP*APPLE.COM/BILL 800-275-2273 CA            11/24</t>
  </si>
  <si>
    <t xml:space="preserve">ORIG CO NAME:VENMO                  ORIG ID:3264681992 DESC DATE:251124 CO ENTRY DESCR:PAYMENT   SEC:WEB    TRACE#:021000024770992 EED:251124   IND ID:1046413761762                IND NAME:JUDD DUNNING                                                                                                 251124PPZZL9 TRN: 3284770992TC</t>
  </si>
  <si>
    <t xml:space="preserve">ORIG CO NAME:VENMO                  ORIG ID:3264681992 DESC DATE:251124 CO ENTRY DESCR:PAYMENT   SEC:WEB    TRACE#:021000024765692 EED:251124   IND ID:1046411565924                IND NAME:JUDD DUNNING                                                                                                 251124PPZZL9 TRN: 3284765692TC</t>
  </si>
  <si>
    <t xml:space="preserve">Basic Online Payroll Payment 11195910527 to ########4122</t>
  </si>
  <si>
    <t xml:space="preserve">ORIG CO NAME:VENMO                  ORIG ID:3264681992 DESC DATE:251123 CO ENTRY DESCR:PAYMENT   SEC:WEB    TRACE#:021000025767841 EED:251124   IND ID:1046410022406                IND NAME:JUDD DUNNING                                                                                                 251123PPZYO1 TRN: 3285767841TC</t>
  </si>
  <si>
    <t xml:space="preserve">ORIG CO NAME:VENMO                  ORIG ID:3264681992 DESC DATE:251123 CO ENTRY DESCR:PAYMENT   SEC:WEB    TRACE#:021000025873166 EED:251124   IND ID:1046405877547                IND NAME:JUDD DUNNING                                                                                                 251123PPZYMF TRN: 3285873166TC</t>
  </si>
  <si>
    <t xml:space="preserve">PP*APPLE.COM/BILL 800-275-2273 CA            11/23</t>
  </si>
  <si>
    <t xml:space="preserve">Experian* ProtectMyID 866-5849446 CA         11/22</t>
  </si>
  <si>
    <t xml:space="preserve">PAYPAL *UBER 866-576-1039 CA                 11/22</t>
  </si>
  <si>
    <t xml:space="preserve">PAYPAL *GRUBHUBFOOD C 877-585-7878 IL        11/22</t>
  </si>
  <si>
    <t xml:space="preserve">PP*APPLE.COM/BILL 800-275-2273 CA            11/22</t>
  </si>
  <si>
    <t xml:space="preserve">ORIG CO NAME:VENMO                  ORIG ID:3264681992 DESC DATE:251121 CO ENTRY DESCR:PAYMENT   SEC:WEB    TRACE#:021000021103864 EED:251121   IND ID:1046360279260                IND NAME:JUDD DUNNING                                                                                                 251121PPZV04 TRN: 3251103864TC</t>
  </si>
  <si>
    <t xml:space="preserve">ORIG CO NAME:VENMO                  ORIG ID:3264681992 DESC DATE:251121 CO ENTRY DESCR:PAYMENT   SEC:WEB    TRACE#:021000021109089 EED:251121   IND ID:1046361409006                IND NAME:JUDD DUNNING                                                                                                 251121PPZV04 TRN: 3251109089TC</t>
  </si>
  <si>
    <t xml:space="preserve">Online Transfer to CHK ...1117 transaction#: 27047057340 11/21</t>
  </si>
  <si>
    <t xml:space="preserve">Online Transfer to CHK ...0709 transaction#: 27047055589 11/21</t>
  </si>
  <si>
    <t xml:space="preserve">Zelle payment to Michael Paytonjian JPM99bvitzuv</t>
  </si>
  <si>
    <t xml:space="preserve">ORIG CO NAME:PENTAGON FEDERAL       ORIG ID:1530197038 DESC DATE:112025 CO ENTRY DESCR:MTG PYMT  SEC:PPD    TRACE#:256078449840164 EED:251121   IND ID:                             IND NAME:JOHN DUNNING TRN: 3259840164TC</t>
  </si>
  <si>
    <t xml:space="preserve">ORIG CO NAME:PRINCIPAL-CCAPNL       ORIG ID:9INDPNLEFT DESC DATE:111925 CO ENTRY DESCR:PRIN FINANSEC:PPD    TRACE#:091000016529609 EED:251121   IND ID:                             IND NAME:JOHN B DUNNING TRN: 3256529609TC</t>
  </si>
  <si>
    <t xml:space="preserve">PAYPAL *RUTHALCANCI 402-935-7733 CA          11/21</t>
  </si>
  <si>
    <t xml:space="preserve">PAYPAL *BEENVERIFIE 786-482-6776 NY          11/21</t>
  </si>
  <si>
    <t xml:space="preserve">Online Transfer from CHK ...9335 transaction#: 27047021636</t>
  </si>
  <si>
    <t xml:space="preserve">ORIG CO NAME:VENMO                  ORIG ID:3264681992 DESC DATE:251120 CO ENTRY DESCR:PAYMENT   SEC:WEB    TRACE#:021000024072647 EED:251120   IND ID:1046333801332                IND NAME:JUDD DUNNING                                                                                                 251120PPZH9W TRN: 3244072647TC</t>
  </si>
  <si>
    <t xml:space="preserve">ORIG CO NAME:VENMO                  ORIG ID:3264681992 DESC DATE:251120 CO ENTRY DESCR:PAYMENT   SEC:WEB    TRACE#:021000024096444 EED:251120   IND ID:1046330944559                IND NAME:JUDD DUNNING                                                                                                 251120PPZH9U TRN: 3244096444TC</t>
  </si>
  <si>
    <t xml:space="preserve">Online Transfer to CHK ...1117 transaction#: 27030460003 11/20</t>
  </si>
  <si>
    <t xml:space="preserve">ORIG CO NAME:AMERICAN EXPRESS       ORIG ID:2005032111 DESC DATE:251120 CO ENTRY DESCR:ACH PMT   SEC:CCD    TRACE#:021000025626442 EED:251120   IND ID:W9068                        IND NAME:John Dunning                                                                                                 ER AM TRN: 3245626442TC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</si>
  <si>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PAYMENTS/OCMT/COP26 55142,20/EXCH/3540.1896/CNTR/532103 55/INT/ANDRES_52763ATHOTMAIL.C TRN: 4424800324RE 11/20</t>
  </si>
  <si>
    <t xml:space="preserve">Online Transfer to CHK ...1117 transaction#: 27023994927 11/20</t>
  </si>
  <si>
    <t xml:space="preserve">Online Payment 27023969838 To LOS ANGELES MUNICIPAL SERVICE 11/20</t>
  </si>
  <si>
    <t xml:space="preserve">PP*APPLE.COM/BILL 800-275-2273 CA            11/20</t>
  </si>
  <si>
    <t xml:space="preserve">PAYPAL *THEREALDEAL O 212-260-1332 NY        11/19</t>
  </si>
  <si>
    <t xml:space="preserve">PAYPAL *GRUBHUBFOOD A 877-585-7878 IL        11/20</t>
  </si>
  <si>
    <t xml:space="preserve">PAYPAL *LINKEDIN 402-935-7733 CA             11/19</t>
  </si>
  <si>
    <t xml:space="preserve">Zelle payment to Kandis Rowe JPM99bva2iu9</t>
  </si>
  <si>
    <t xml:space="preserve">PAYPAL *FOXCORP 888-596-3938 CA              11/19</t>
  </si>
  <si>
    <t xml:space="preserve">DNH*GODADDY#3949928723 480-5058855 AZ        11/18</t>
  </si>
  <si>
    <t xml:space="preserve">DNH*GODADDY#3949928689 480-5058855 AZ        11/18</t>
  </si>
  <si>
    <t xml:space="preserve">Zelle payment to Menashe 27007573483</t>
  </si>
  <si>
    <t xml:space="preserve">Zelle payment to Jeff Fajardo JPM99bv5y8n0</t>
  </si>
  <si>
    <t xml:space="preserve">Zelle payment to Jeff Fajardo JPM99bv5yg5q</t>
  </si>
  <si>
    <t xml:space="preserve">ORIG CO NAME:LEASEDIRECT            ORIG ID:138190450  DESC DATE:251117 CO ENTRY DESCR:15146_1   SEC:CCD    TRACE#:043000098245293 EED:251118   IND ID:1556926                      IND NAME:DWG CAPITAL GROUP          INV# 592680384 DUE 11/15/25 REC# 10 10338595                                      15147 TRN: 3228245293TC</t>
  </si>
  <si>
    <t xml:space="preserve">ORIG CO NAME:BLUESHIELDCA           ORIG ID:7529219311 DESC DATE:251117 CO ENTRY DESCR:BILL PAY  SEC:CCD    TRACE#:031101117644338 EED:251118   IND ID:15215328731                  IND NAME:JOHN DUNNING TRN: 3227644338TC</t>
  </si>
  <si>
    <t xml:space="preserve">PP*APPLE.COM/BILL 800-275-2273 CA            11/17</t>
  </si>
  <si>
    <t xml:space="preserve">UPWORK * -866372688 866-262-4478 CA          11/17</t>
  </si>
  <si>
    <t xml:space="preserve">ORIG CO NAME:VENMO                  ORIG ID:3264681992 DESC DATE:251117 CO ENTRY DESCR:PAYMENT   SEC:WEB    TRACE#:021000023031868 EED:251117   IND ID:1046262787315                IND NAME:JUDD DUNNING                                                                                                 251117PPZLXL TRN: 3213031868TC</t>
  </si>
  <si>
    <t xml:space="preserve">Zelle payment to Jeff Fajardo JPM99bv2lgnp</t>
  </si>
  <si>
    <t xml:space="preserve">Online Transfer to CHK ...1117 transaction#: 26997501218 11/17</t>
  </si>
  <si>
    <t xml:space="preserve">Online Transfer to CHK ...7899 transaction#: 26997497908 11/17</t>
  </si>
  <si>
    <t xml:space="preserve">Online Payment 26997477555 To MERCEDES BENZ FINANCIAL 11/17</t>
  </si>
  <si>
    <t xml:space="preserve">Online Payment 26997488223 To MERCEDES BENZ FINANCIAL 11/17</t>
  </si>
  <si>
    <t xml:space="preserve">Basic Online Payroll Payment 11194824245 to ########4122</t>
  </si>
  <si>
    <t xml:space="preserve">Zelle payment to Jeffrey Seider JPM99buyogp2</t>
  </si>
  <si>
    <t xml:space="preserve">Online Transfer to CHK ...3922 transaction#: 26986349970 11/17</t>
  </si>
  <si>
    <t xml:space="preserve">PAYPAL *GRUBHUBFOOD N 877-585-7878 IL        11/16</t>
  </si>
  <si>
    <t xml:space="preserve">PAYPAL *BAFILEGIRL6 402-935-7733 CA          11/16</t>
  </si>
  <si>
    <t xml:space="preserve">PP*APPLE.COM/BILL 800-275-2273 CA            11/16</t>
  </si>
  <si>
    <t xml:space="preserve">PAYPAL *LINKEDIN 402-935-7733 CA             11/17</t>
  </si>
  <si>
    <t xml:space="preserve">PP*APPLE.COM/BILL 800-275-2273 CA            11/15</t>
  </si>
  <si>
    <t xml:space="preserve">PP*GOOGLE GOOGLE ONE 855-836-3987 CA         11/14</t>
  </si>
  <si>
    <t xml:space="preserve">PP*APPLE.COM/BILL 800-275-2273 CA            11/14</t>
  </si>
  <si>
    <t xml:space="preserve">PAYPAL *GRUBHUBFOOD N 877-585-7878 IL        11/15</t>
  </si>
  <si>
    <t xml:space="preserve">PAYPAL *GRUBHUBFOOD S 877-585-7878 IL        11/15</t>
  </si>
  <si>
    <t xml:space="preserve">Online Transfer from CHK ...9335 transaction#: 26986352426</t>
  </si>
  <si>
    <t xml:space="preserve">Online Transfer from CHK ...9335 transaction#: 26997500273</t>
  </si>
  <si>
    <t xml:space="preserve">PP*APPLE.COM/BILL 800-275-2273 CA            11/13</t>
  </si>
  <si>
    <t xml:space="preserve">ORIG CO NAME:VENMO                  ORIG ID:3264681992 DESC DATE:251113 CO ENTRY DESCR:PAYMENT   SEC:WEB    TRACE#:021000020915464 EED:251113   IND ID:1046178338423                IND NAME:JUDD DUNNING                                                                                                 251113PPZ2JS TRN: 3170915464TC</t>
  </si>
  <si>
    <t xml:space="preserve">Online Transfer to CHK ...1117 transaction#: 26948042394 11/13</t>
  </si>
  <si>
    <t xml:space="preserve">Zelle payment to Jeffrey Seider JPM99bui99xh</t>
  </si>
  <si>
    <t xml:space="preserve">PAYPAL *HULU 877-801-5441 CA                 11/12</t>
  </si>
  <si>
    <t xml:space="preserve">ORIG CO NAME:VENMO                  ORIG ID:3264681992 DESC DATE:251112 CO ENTRY DESCR:PAYMENT   SEC:WEB    TRACE#:021000026760671 EED:251112   IND ID:1046141567691                IND NAME:JUDD DUNNING                                                                                                 251112PPZHS9 TRN: 3166760671TC</t>
  </si>
  <si>
    <t xml:space="preserve">ORIG CO NAME:ALLSTATE V&amp;P INS       ORIG ID:1360719665 DESC DATE:NOV 25 CO ENTRY DESCR:INS PREM  SEC:PPD    TRACE#:021000028877165 EED:251112   IND ID:                             IND NAME:DUNNING TRN: 3168877165TC</t>
  </si>
  <si>
    <t xml:space="preserve">PP*SPOTIFY*P3C55B66FC 203-318-9708 NY        11/12</t>
  </si>
  <si>
    <t xml:space="preserve">ORIG CO NAME:GM Financial           ORIG ID:I522190781 DESC DATE:251112 CO ENTRY DESCR:GMF Pymt  SEC:PPD    TRACE#:091000017475888 EED:251112   IND ID:                             IND NAME:ANGELA DUNNING TRN: 3167475888TC</t>
  </si>
  <si>
    <t xml:space="preserve">HLU*HULUPLUS hulu.com/bill CA                11/11</t>
  </si>
  <si>
    <t xml:space="preserve">PAYPAL *GRUBHUBFOOD S 877-585-7878 IL        11/12</t>
  </si>
  <si>
    <t xml:space="preserve">UPWORK * -864203870 866-262-4478 CA          11/10</t>
  </si>
  <si>
    <t xml:space="preserve">ORIG CO NAME:VENMO                  ORIG ID:3264681992 DESC DATE:251108 CO ENTRY DESCR:PAYMENT   SEC:WEB    TRACE#:021000027090114 EED:251110   IND ID:1046066126684                IND NAME:JUDD DUNNING                                                                                                 251108PPZZOY TRN: 3147090114TC</t>
  </si>
  <si>
    <t xml:space="preserve">Zelle payment to Jeffrey Seider JPM99bu6zt3e</t>
  </si>
  <si>
    <t xml:space="preserve">PAYPAL *BAFILEGIRL6 402-935-7733 CA          11/10</t>
  </si>
  <si>
    <t xml:space="preserve">Zelle payment to Natalie Cordova JPM99bu5ycdb</t>
  </si>
  <si>
    <t xml:space="preserve">Online Transfer to CHK ...1117 transaction#: 26903952731 11/10</t>
  </si>
  <si>
    <t xml:space="preserve">Zelle payment to Estella Martinez JPM99bu50zmk</t>
  </si>
  <si>
    <t xml:space="preserve">PAYPAL *BED BATH BE 800-843-2446 UT          11/10</t>
  </si>
  <si>
    <t xml:space="preserve">PP*APPLE.COM/BILL 800-275-2273 CA            11/09</t>
  </si>
  <si>
    <t xml:space="preserve">PP*APPLE.COM/BILL 800-275-2273 CA            11/08</t>
  </si>
  <si>
    <t xml:space="preserve">ORIG CO NAME:TXWORKFORCECOMM        ORIG ID:2146000320 DESC DATE:251107 CO ENTRY DESCR:DEBIT     SEC:CCD    TRACE#:021000024872254 EED:251110   IND ID:(512)463-2325                IND NAME:TWC-203092024                                                                                                TWC UI TAX TRN: 3144872254TC</t>
  </si>
  <si>
    <t xml:space="preserve">PAYPAL *GRUBHUBFOOD L 877-585-7878 IL        11/09</t>
  </si>
  <si>
    <t xml:space="preserve">PAYPAL *DROPBOX 855-337-6726 CA              11/09</t>
  </si>
  <si>
    <t xml:space="preserve">WWW.PERPLEXITY.AI WWW.PERPLEXIT CA           11/07</t>
  </si>
  <si>
    <t xml:space="preserve">PP*APPLE.COM/BILL 800-275-2273 CA            11/07</t>
  </si>
  <si>
    <t xml:space="preserve">Basic Online Payroll Payment 11194053436 to ########4122</t>
  </si>
  <si>
    <t xml:space="preserve">PAYPAL *UBER 866-576-1039 CA                 11/07</t>
  </si>
  <si>
    <t xml:space="preserve">ORIG CO NAME:VENMO                  ORIG ID:3264681992 DESC DATE:251106 CO ENTRY DESCR:PAYMENT   SEC:WEB    TRACE#:021000026468332 EED:251106   IND ID:1046027739904                IND NAME:JUDD DUNNING                                                                                                 251106PPZOR3 TRN: 3106468332TC</t>
  </si>
  <si>
    <t xml:space="preserve">ORIG CO NAME:VENMO                  ORIG ID:3264681992 DESC DATE:251106 CO ENTRY DESCR:PAYMENT   SEC:WEB    TRACE#:021000025147078 EED:251106   IND ID:1046019811525                IND NAME:JUDD DUNNING                                                                                                 251106PPZL5P TRN: 3105147078TC</t>
  </si>
  <si>
    <t xml:space="preserve">ORIG CO NAME:VENMO                  ORIG ID:3264681992 DESC DATE:251106 CO ENTRY DESCR:PAYMENT   SEC:WEB    TRACE#:021000025163731 EED:251106   IND ID:1046014766979                IND NAME:JUDD DUNNING                                                                                                 251106PPZL5R TRN: 3105163731TC</t>
  </si>
  <si>
    <t xml:space="preserve">Zelle payment to Jeffrey Seider JPM99btpnkvu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</si>
  <si>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PAYMENTS/OCMT/COP27 44952,08/EXCH/3659.9361/CNTR/596440 62/INT/ANDRES_52763ATHOTMAIL.C TRN: 4929100310RE 11/06</t>
  </si>
  <si>
    <t xml:space="preserve">PP*APPLE.COM/BILL 800-275-2273 CA            11/06</t>
  </si>
  <si>
    <t xml:space="preserve">PP*APPLE.COM/BILL 800-275-2273 CA            11/05</t>
  </si>
  <si>
    <t xml:space="preserve">ORIG CO NAME:VENMO                  ORIG ID:3264681992 DESC DATE:251105 CO ENTRY DESCR:PAYMENT   SEC:WEB    TRACE#:021000025294405 EED:251105   IND ID:1046001565579                IND NAME:JUDD DUNNING                                                                                                 251105PPZDCP TRN: 3095294405TC</t>
  </si>
  <si>
    <t xml:space="preserve">ORIG CO NAME:VENMO                  ORIG ID:3264681992 DESC DATE:251105 CO ENTRY DESCR:PAYMENT   SEC:WEB    TRACE#:021000022522429 EED:251105   IND ID:1045992255727                IND NAME:JUDD DUNNING                                                                                                 251105PPZA7K TRN: 3092522429TC</t>
  </si>
  <si>
    <t xml:space="preserve">Online Transfer to CHK ...1117 transaction#: 26851521144 11/05</t>
  </si>
  <si>
    <t xml:space="preserve">UPWORK * -862473714 866-262-4478 CA          11/05</t>
  </si>
  <si>
    <t xml:space="preserve">ORIG CO NAME:VENMO                  ORIG ID:3264681992 DESC DATE:251105 CO ENTRY DESCR:PAYMENT   SEC:WEB    TRACE#:021000020648083 EED:251105   IND ID:1045983625092                IND NAME:JUDD DUNNING                                                                                                 251105PPZ4G9 TRN: 3090648083TC</t>
  </si>
  <si>
    <t xml:space="preserve">Online Transfer from CHK ...9335 transaction#: 26851553614</t>
  </si>
  <si>
    <t xml:space="preserve">INDEED USI25-06384325 AUSTIN TX      132149  11/04</t>
  </si>
  <si>
    <t xml:space="preserve">UPWORK * -862014018 866-262-4478 CA          11/03</t>
  </si>
  <si>
    <t xml:space="preserve">PAYPAL *SANDYPR COM 402-935-7733 CA          11/03</t>
  </si>
  <si>
    <t xml:space="preserve">PAYPAL *PRAGERUNIVE P 833-772-4378 CA        11/03</t>
  </si>
  <si>
    <t xml:space="preserve">PP*APPLE.COM/BILL 800-275-2273 CA            11/03</t>
  </si>
  <si>
    <t xml:space="preserve">STD ACH PMNTS VOLUME FEE QTY = 2</t>
  </si>
  <si>
    <t xml:space="preserve">STANDARD ACH PMNTS INITIAL FEE QTY = 10</t>
  </si>
  <si>
    <t xml:space="preserve">RTP/Same Day - High Value</t>
  </si>
  <si>
    <t xml:space="preserve">ORIG CO NAME:VENMO                  ORIG ID:3264681992 DESC DATE:251103 CO ENTRY DESCR:PAYMENT   SEC:WEB    TRACE#:021000021030388 EED:251103   IND ID:1045956463007                IND NAME:JUDD DUNNING                                                                                                 251103PPZTA1 TRN: 3071030388TC</t>
  </si>
  <si>
    <t xml:space="preserve">Online Transfer to CHK ...1117 transaction#: 26826976865 11/03</t>
  </si>
  <si>
    <t xml:space="preserve">Basic Online Payroll Payment 11193071986 to ########4122</t>
  </si>
  <si>
    <t xml:space="preserve">PAYPAL *DIRECTV 800-531-5000 CA              11/02</t>
  </si>
  <si>
    <t xml:space="preserve">PP*APPLE.COM/BILL 800-275-2273 CA            11/02</t>
  </si>
  <si>
    <t xml:space="preserve">PAYPAL *RUTHALCANCI 402-935-7733 CA          11/02</t>
  </si>
  <si>
    <t xml:space="preserve">Online Transfer to CHK ...1117 transaction#: 26805748908 11/03</t>
  </si>
  <si>
    <t xml:space="preserve">PAYPAL *HULU 877-801-5441 CA                 11/01</t>
  </si>
  <si>
    <t xml:space="preserve">PAYPAL *GOOGLE LLC GO 650-253-0000 CA        11/01</t>
  </si>
  <si>
    <t xml:space="preserve">ORIG CO NAME:BLUESHIELDCA           ORIG ID:7529219311 DESC DATE:251031 CO ENTRY DESCR:BILL PAY  SEC:CCD    TRACE#:031101116324450 EED:251103   IND ID:15712360471                  IND NAME:ANGELA DUNNING TRN: 3076324450TC</t>
  </si>
  <si>
    <t xml:space="preserve">Online Transfer from CHK ...9335 transaction#: 26805756804</t>
  </si>
  <si>
    <t xml:space="preserve">Online Transfer to CHK ...1117 transaction#: 26790501746 10/31</t>
  </si>
  <si>
    <t xml:space="preserve">Online Transfer to CHK ...6975 transaction#: 26790509294 10/31</t>
  </si>
  <si>
    <t xml:space="preserve">ORIG CO NAME:GEICO                  ORIG ID:3530075853 DESC DATE:251030 CO ENTRY DESCR:PREM COLL SEC:PPD    TRACE#:021000021808358 EED:251031   IND ID:                             IND NAME:ANGELA TRN: 3041808358TC</t>
  </si>
  <si>
    <t xml:space="preserve">PP*APPLE.COM/BILL 800-275-2273 CA            10/31</t>
  </si>
  <si>
    <t xml:space="preserve">ORIG CO NAME:SBA EIDL LOAN          ORIG ID:7300000118 DESC DATE:251029 CO ENTRY DESCR:PAYMENT   SEC:CCD    TRACE#:041036043276194 EED:251030   IND ID:0000                         IND NAME:JOHN DUNNING               1871308204                                                                        ACH TRANSACTION TRN: 3033276194TC</t>
  </si>
  <si>
    <t xml:space="preserve">ORIG CO NAME:VENMO                  ORIG ID:3264681992 DESC DATE:251029 CO ENTRY DESCR:PAYMENT   SEC:WEB    TRACE#:021000021050460 EED:251029   IND ID:1045822639891                IND NAME:JUDD DUNNING                                                                                                 251029PPZTPK TRN: 3021050460TC</t>
  </si>
  <si>
    <t xml:space="preserve">ORIG CO NAME:TXU ENERGY             ORIG ID:1001020329 DESC DATE:       CO ENTRY DESCR:TXUE_ACH  SEC:WEB    TRACE#:021000021006874 EED:251029   IND ID:900062431557                 IND NAME:DWG CAPITAL GROUP          17333702810000000000000000000003501 3291265                                       DIRECT DEBITING TRN: 3021006874TC</t>
  </si>
  <si>
    <t xml:space="preserve">ORIG CO NAME:GEICO                  ORIG ID:3530075853 DESC DATE:251028 CO ENTRY DESCR:PREM COLL SEC:PPD    TRACE#:021000023330588 EED:251029   IND ID:                             IND NAME:ANGELA DUNNING TRN: 3023330588TC</t>
  </si>
  <si>
    <t xml:space="preserve">PAYPAL *EPOCH TIMES T 833-699-1888 NY        10/28</t>
  </si>
  <si>
    <t xml:space="preserve">Online Payment 26745736867 To PENTAGON FEDERAL CREDIT UNION 10/28</t>
  </si>
  <si>
    <t xml:space="preserve">Online Payment 26745734261 To MERCEDES BENZ FINANCIAL 10/28</t>
  </si>
  <si>
    <t xml:space="preserve">Online Payment 26745718353 To MERCEDES BENZ FINANCIAL SVCS 10/28</t>
  </si>
  <si>
    <t xml:space="preserve">Online Payment 26745723315 To MERCEDES BENZ FINANCIAL 10/28</t>
  </si>
  <si>
    <t xml:space="preserve">Online Transfer to CHK ...6975 transaction#: 26745685885 10/28</t>
  </si>
  <si>
    <t xml:space="preserve">Online Transfer to CHK ...1117 transaction#: 26745678520 10/28</t>
  </si>
  <si>
    <t xml:space="preserve">Online Transfer to CHK ...7899 transaction#: 26745659787 10/28</t>
  </si>
  <si>
    <t xml:space="preserve">ORIG CO NAME:VENMO                  ORIG ID:3264681992 DESC DATE:251027 CO ENTRY DESCR:PAYMENT   SEC:WEB    TRACE#:021000029011676 EED:251028   IND ID:1045797988305                IND NAME:JUDD DUNNING                                                                                                 251028PPZDJM TRN: 3019011676TC</t>
  </si>
  <si>
    <t xml:space="preserve">ORIG CO NAME:BANNER LIFE            ORIG ID:1521236145 DESC DATE:251027 CO ENTRY DESCR:PREM DEBITSEC:PPD    TRACE#:091000014623588 EED:251028   IND ID:                             IND NAME:ANGELA L DUNNING TRN: 3014623588TC</t>
  </si>
  <si>
    <t xml:space="preserve">ORIG CO NAME:BANNER LIFE            ORIG ID:1521236145 DESC DATE:251027 CO ENTRY DESCR:PREM DEBITSEC:PPD    TRACE#:091000014623589 EED:251028   IND ID:                             IND NAME:JOHN  DUNNING TRN: 3014623589TC</t>
  </si>
  <si>
    <t xml:space="preserve">Online Transfer from CHK ...9335 transaction#: 26745657866</t>
  </si>
  <si>
    <t xml:space="preserve">ORIG CO NAME:AMERICAN EXPRESS       ORIG ID:2005032111 DESC DATE:251027 CO ENTRY DESCR:ACH PMT   SEC:CCD    TRACE#:021000024159159 EED:251027   IND ID:W4048                        IND NAME:John Dunning                                                                                                 ER AM TRN: 3004159159TC</t>
  </si>
  <si>
    <t xml:space="preserve">Zelle payment to Rami Frankl 26736506438</t>
  </si>
  <si>
    <t xml:space="preserve">ORIG CO NAME:INTUIT *               ORIG ID:0000756346 DESC DATE:251027 CO ENTRY DESCR:QBooks OnlSEC:CCD    TRACE#:021000024121828 EED:251027   IND ID:7671335                      IND NAME:DWG CAPITAL GROUP                                                                                            800-446-8848 TRN: 3004121828TC</t>
  </si>
  <si>
    <t xml:space="preserve">Basic Online Payroll Payment 11192247763 to ########4122</t>
  </si>
  <si>
    <t xml:space="preserve">ORIG CO NAME:VENMO                  ORIG ID:3264681992 DESC DATE:251026 CO ENTRY DESCR:PAYMENT   SEC:WEB    TRACE#:021000026929691 EED:251027   IND ID:1045755030766                IND NAME:JUDD DUNNING                                                                                                 251027PPZ4G2 TRN: 3006929691TC</t>
  </si>
  <si>
    <t xml:space="preserve">PP*APPLE.COM/BILL 800-275-2273 CA            10/27</t>
  </si>
  <si>
    <t xml:space="preserve">Online Transfer to CHK ...1117 transaction#: 26726374041 10/27</t>
  </si>
  <si>
    <t xml:space="preserve">DISNEY PLUS ECOM LAKE BUENA VI FL    027311  10/26</t>
  </si>
  <si>
    <t xml:space="preserve">PP*APPLE.COM/BILL 800-275-2273 CA            10/26</t>
  </si>
  <si>
    <t xml:space="preserve">Zelle payment to Jeff Fajardo JPM99bs6bd9j</t>
  </si>
  <si>
    <t xml:space="preserve">PAYPAL *CANVA 416-131-8870 DE                10/25</t>
  </si>
  <si>
    <t xml:space="preserve">Online Transfer to CHK ...1117 transaction#: 26703923651 10/24</t>
  </si>
  <si>
    <t xml:space="preserve">PP*APPLE.COM/BILL 800-275-2273 CA            10/24</t>
  </si>
  <si>
    <t xml:space="preserve">Experian* ProtectMyID 866-5849446 CA         10/23</t>
  </si>
  <si>
    <t xml:space="preserve">PAYPAL *LINKEDIN 402-935-7733 CA             10/23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</si>
  <si>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PAYMENTS/OCMT/COP27 94473,00/EXCH/3725.9640/CNTR/249276 08/INT/ANDRES_52763ATHOTMAIL.C TRN: 6531000296RE 10/23</t>
  </si>
  <si>
    <t xml:space="preserve">PP*APPLE.COM/BILL 800-275-2273 CA            10/22</t>
  </si>
  <si>
    <t xml:space="preserve">ORIG CO NAME:VENMO                  ORIG ID:3264681992 DESC DATE:251022 CO ENTRY DESCR:PAYMENT   SEC:WEB    TRACE#:021000026110007 EED:251022   IND ID:1045683568841                IND NAME:JUDD DUNNING                                                                                                 251022PPZDJZ TRN: 2956110007TC</t>
  </si>
  <si>
    <t xml:space="preserve">ORIG CO NAME:VENMO                  ORIG ID:3264681992 DESC DATE:251021 CO ENTRY DESCR:PAYMENT   SEC:WEB    TRACE#:021000026301453 EED:251021   IND ID:1045648871557                IND NAME:JUDD DUNNING                                                                                                 251021PPZXXA TRN: 2946301453TC</t>
  </si>
  <si>
    <t xml:space="preserve">ORIG CO NAME:PRINCIPAL-CCAPNL       ORIG ID:9INDPNLEFT DESC DATE:101925 CO ENTRY DESCR:PRIN FINANSEC:PPD    TRACE#:091000012173356 EED:251021   IND ID:                             IND NAME:JOHN B DUNNING TRN: 2942173356TC</t>
  </si>
  <si>
    <t xml:space="preserve">UPWORK * -857680736 866-262-4478 CA          10/20</t>
  </si>
  <si>
    <t xml:space="preserve">PAYPAL *BEENVERIFIE 786-482-6776 NY          10/21</t>
  </si>
  <si>
    <t xml:space="preserve">Basic Online Payroll Payment 11191198741 to ########4122</t>
  </si>
  <si>
    <t xml:space="preserve">ORIG CO NAME:VENMO                  ORIG ID:3264681992 DESC DATE:251019 CO ENTRY DESCR:PAYMENT   SEC:WEB    TRACE#:021000026308755 EED:251020   IND ID:1045607450468                IND NAME:JUDD DUNNING                                                                                                 251019PPZO0L TRN: 2936308755TC</t>
  </si>
  <si>
    <t xml:space="preserve">Zelle payment to Jeff Fajardo JPM99brl3uf8</t>
  </si>
  <si>
    <t xml:space="preserve">Online Transfer to CHK ...6975 transaction#: 26651035781 10/20</t>
  </si>
  <si>
    <t xml:space="preserve">Online Transfer to CHK ...6975 transaction#: 26651034417 10/20</t>
  </si>
  <si>
    <t xml:space="preserve">Online Transfer to CHK ...1117 transaction#: 26650936452 10/20</t>
  </si>
  <si>
    <t xml:space="preserve">PP*APPLE.COM/BILL 800-275-2273 CA            10/20</t>
  </si>
  <si>
    <t xml:space="preserve">PAYPAL *THEREALDEAL O 212-260-1332 NY        10/19</t>
  </si>
  <si>
    <t xml:space="preserve">PAYPAL *FOXCORP 888-596-3938 CA              10/19</t>
  </si>
  <si>
    <t xml:space="preserve">DNH*GODADDY#3925969922 480-5058855 AZ        10/18</t>
  </si>
  <si>
    <t xml:space="preserve">DNH*GODADDY#3925969829 480-5058855 AZ        10/18</t>
  </si>
  <si>
    <t xml:space="preserve">PP*APPLE.COM/BILL 800-275-2273 CA            10/18</t>
  </si>
  <si>
    <t xml:space="preserve">PAYPAL *RUTHALCANCI 402-935-7733 CA          10/18</t>
  </si>
  <si>
    <t xml:space="preserve">ORIG CO NAME:VENMO                  ORIG ID:3264681992 DESC DATE:251017 CO ENTRY DESCR:PAYMENT   SEC:WEB    TRACE#:021000020577749 EED:251017   IND ID:1045581609920                IND NAME:JUDD DUNNING                                                                                                 251017PPZKLY TRN: 2900577749TC</t>
  </si>
  <si>
    <t xml:space="preserve">Zelle payment to Francisco Bautista  26616165701</t>
  </si>
  <si>
    <t xml:space="preserve">PAYPAL *NICKOBOYLE2 4029357733               10/16</t>
  </si>
  <si>
    <t xml:space="preserve">PAYPAL *LINKEDIN 402-935-7733 CA             10/17</t>
  </si>
  <si>
    <t xml:space="preserve">ORIG CO NAME:VENMO                  ORIG ID:3264681992 DESC DATE:251016 CO ENTRY DESCR:PAYMENT   SEC:WEB    TRACE#:021000029405550 EED:251016   IND ID:1045561062849                IND NAME:JUDD DUNNING                                                                                                 251016PPZB7C TRN: 2899405550TC</t>
  </si>
  <si>
    <t xml:space="preserve">Zelle payment to Jeffrey Seider JPM99br5vz7k</t>
  </si>
  <si>
    <t xml:space="preserve">Zelle payment to Jeffrey Seider JPM99br5w14s</t>
  </si>
  <si>
    <t xml:space="preserve">Online Transfer to CHK ...1117 transaction#: 26609843786 10/16</t>
  </si>
  <si>
    <t xml:space="preserve">ORIG CO NAME:LEASEDIRECT            ORIG ID:138190450  DESC DATE:251015 CO ENTRY DESCR:14449_1   SEC:CCD    TRACE#:043000094788173 EED:251016   IND ID:1556926                      IND NAME:DWG CAPITAL GROUP          INV# 592317315 DUE 10/15/25 REC# 10 10231224                                      14450 TRN: 2894788173TC</t>
  </si>
  <si>
    <t xml:space="preserve">PP*APPLE.COM/BILL 800-275-2273 CA            10/16</t>
  </si>
  <si>
    <t xml:space="preserve">PAYPAL *UBER 866-576-1039 CA                 10/16</t>
  </si>
  <si>
    <t xml:space="preserve">PP*APPLE.COM/BILL 800-275-2273 CA            10/15</t>
  </si>
  <si>
    <t xml:space="preserve">PP*GOOGLE GOOGLE ONE 855-836-3987 CA         10/15</t>
  </si>
  <si>
    <t xml:space="preserve">PP*APPLE.COM/BILL 800-275-2273 CA            10/14</t>
  </si>
  <si>
    <t xml:space="preserve">Online Transfer to CHK ...1117 transaction#: 26583611322 10/14</t>
  </si>
  <si>
    <t xml:space="preserve">ORIG CO NAME:VENMO                  ORIG ID:3264681992 DESC DATE:251013 CO ENTRY DESCR:PAYMENT   SEC:WEB    TRACE#:021000024563458 EED:251014   IND ID:1045499456008                IND NAME:JUDD DUNNING                                                                                                 251013PPZGEJ TRN: 2874563458TC</t>
  </si>
  <si>
    <t xml:space="preserve">ORIG CO NAME:VENMO                  ORIG ID:3264681992 DESC DATE:251013 CO ENTRY DESCR:PAYMENT   SEC:WEB    TRACE#:021000024563581 EED:251014   IND ID:1045499455072                IND NAME:JUDD DUNNING                                                                                                 251013PPZGEJ TRN: 2874563581TC</t>
  </si>
  <si>
    <t xml:space="preserve">ORIG CO NAME:VENMO                  ORIG ID:3264681992 DESC DATE:251012 CO ENTRY DESCR:PAYMENT   SEC:WEB    TRACE#:021000023036849 EED:251014   IND ID:1045467495738                IND NAME:JUDD DUNNING                                                                                                 251012PPZAHF TRN: 2873036849TC</t>
  </si>
  <si>
    <t xml:space="preserve">Zelle payment to Jeff Fajardo JPM99bquepdp</t>
  </si>
  <si>
    <t xml:space="preserve">Zelle payment to Jeff Fajardo JPM99bquf0i7</t>
  </si>
  <si>
    <t xml:space="preserve">Zelle payment to Jeff Fajardo JPM99bquej4v</t>
  </si>
  <si>
    <t xml:space="preserve">Online Transfer to CHK ...1117 transaction#: 26575731814 10/14</t>
  </si>
  <si>
    <t xml:space="preserve">Zelle payment to Jeffrey Seider JPM99bqr82a5</t>
  </si>
  <si>
    <t xml:space="preserve">Zelle payment to Jeff Fajardo JPM99bqr85fz</t>
  </si>
  <si>
    <t xml:space="preserve">PAYPAL *UBER 866-576-1039 CA                 10/13</t>
  </si>
  <si>
    <t xml:space="preserve">PAYPAL *HULU 877-801-5441 CA                 10/12</t>
  </si>
  <si>
    <t xml:space="preserve">PP*SPOTIFY*P3B68DC4B2 203-318-9708 NY        10/12</t>
  </si>
  <si>
    <t xml:space="preserve">PP*APPLE.COM/BILL 800-275-2273 CA            10/12</t>
  </si>
  <si>
    <t xml:space="preserve">ORIG CO NAME:BANNER LIFE            ORIG ID:1521236145 DESC DATE:251010 CO ENTRY DESCR:PREM DEBITSEC:PPD    TRACE#:091000013173466 EED:251014   IND ID:                             IND NAME:ANGELA L DUNNING TRN: 2873173466TC</t>
  </si>
  <si>
    <t xml:space="preserve">ORIG CO NAME:GM Financial           ORIG ID:I522190781 DESC DATE:251014 CO ENTRY DESCR:GMF Pymt  SEC:PPD    TRACE#:091000013458110 EED:251014   IND ID:                             IND NAME:ANGELA DUNNING TRN: 2873458110TC</t>
  </si>
  <si>
    <t xml:space="preserve">ORIG CO NAME:ALLSTATE V&amp;P INS       ORIG ID:1360719665 DESC DATE:OCT 25 CO ENTRY DESCR:INS PREM  SEC:PPD    TRACE#:021000025312002 EED:251014   IND ID:                             IND NAME:DUNNING TRN: 2875312002TC</t>
  </si>
  <si>
    <t xml:space="preserve">HLU*HULUPLUS hulu.com/bill CA                10/11</t>
  </si>
  <si>
    <t xml:space="preserve">PAYPAL *AVAST 541-554-6727 AZ                10/12</t>
  </si>
  <si>
    <t xml:space="preserve">Online Transfer from CHK ...9335 transaction#: 26575788785</t>
  </si>
  <si>
    <t xml:space="preserve">Basic Online Payroll Payment 11190490719 to ########4122</t>
  </si>
  <si>
    <t xml:space="preserve">PAYPAL *AVAST 541-554-6727 AZ                10/10</t>
  </si>
  <si>
    <t xml:space="preserve">PAYPAL *UBER 866-576-1039 CA                 10/10</t>
  </si>
  <si>
    <t xml:space="preserve">PP*APPLE.COM/BILL 800-275-2273 CA            10/10</t>
  </si>
  <si>
    <t xml:space="preserve">Online Transfer to CHK ...1117 transaction#: 26525916775 10/09</t>
  </si>
  <si>
    <t xml:space="preserve">Zelle payment to jeff Fajardo JPM99bqa35h7</t>
  </si>
  <si>
    <t xml:space="preserve">Zelle payment to jeff Fajardo JPM99bqa33ir</t>
  </si>
  <si>
    <t xml:space="preserve">Online Transfer to CHK ...1117 transaction#: 26525858310 10/09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</si>
  <si>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PAYMENTS/OCMT/COP27 86616,00/EXCH/3715.4880/CNTR/186391 37/INT/ANDRES_52763ATHOTMAIL.C TRN: 3283800282RE 10/09</t>
  </si>
  <si>
    <t xml:space="preserve">ORIG CO NAME:VENMO                  ORIG ID:3264681992 DESC DATE:251008 CO ENTRY DESCR:PAYMENT   SEC:WEB    TRACE#:021000027273220 EED:251008   IND ID:1045389723874                IND NAME:JUDD DUNNING                                                                                                 251008PPZMID TRN: 2817273220TC</t>
  </si>
  <si>
    <t xml:space="preserve">ORIG CO NAME:VENMO                  ORIG ID:3264681992 DESC DATE:251008 CO ENTRY DESCR:PAYMENT   SEC:WEB    TRACE#:021000027876547 EED:251008   IND ID:1045371779844                IND NAME:JUDD DUNNING                                                                                                 251008PPZDU5 TRN: 2817876547TC</t>
  </si>
  <si>
    <t xml:space="preserve">PP*APPLE.COM/BILL 800-275-2273 CA            10/08</t>
  </si>
  <si>
    <t xml:space="preserve">WWW.PERPLEXITY.AI WWW.PERPLEXIT CA           10/07</t>
  </si>
  <si>
    <t xml:space="preserve">PAYPAL *GRUBHUBFOOD L 877-585-7878 IL        10/07</t>
  </si>
  <si>
    <t xml:space="preserve">PAYPAL *FANDANGO 866-857-5191 CA             10/07</t>
  </si>
  <si>
    <t xml:space="preserve">Online Transfer to CHK ...0709 transaction#: 26491667901 10/06</t>
  </si>
  <si>
    <t xml:space="preserve">Basic Online Payroll Payment 11189456900 to ########4122</t>
  </si>
  <si>
    <t xml:space="preserve">ORIG CO NAME:VENMO                  ORIG ID:3264681992 DESC DATE:251004 CO ENTRY DESCR:PAYMENT   SEC:WEB    TRACE#:021000027916763 EED:251006   IND ID:1045296524285                IND NAME:JUDD DUNNING                                                                                                 251004PPZSAY TRN: 2797916763TC</t>
  </si>
  <si>
    <t xml:space="preserve">ORIG CO NAME:VENMO                  ORIG ID:3264681992 DESC DATE:251005 CO ENTRY DESCR:PAYMENT   SEC:WEB    TRACE#:021000028892854 EED:251006   IND ID:1045318294298                IND NAME:JUDD DUNNING                                                                                                 251005PPZTXU TRN: 2798892854TC</t>
  </si>
  <si>
    <t xml:space="preserve">Zelle payment to Jeff Fajardo JPM99bpt1gap</t>
  </si>
  <si>
    <t xml:space="preserve">PP*APPLE.COM/BILL 800-275-2273 CA            10/05</t>
  </si>
  <si>
    <t xml:space="preserve">PAYPAL *SANDYPR COM 402-935-7733 CA          10/03</t>
  </si>
  <si>
    <t xml:space="preserve">PAYPAL *PRAGERUNIVE P 833-772-4378 CA        10/03</t>
  </si>
  <si>
    <t xml:space="preserve">PP*APPLE.COM/BILL 800-275-2273 CA            10/04</t>
  </si>
  <si>
    <t xml:space="preserve">PAYPAL *DIRECTV 800-531-5000 TX              10/04</t>
  </si>
  <si>
    <t xml:space="preserve">Online Transfer to CHK ...5153 transaction#: 26458362558 10/03</t>
  </si>
  <si>
    <t xml:space="preserve">Online Transfer to CHK ...5369 transaction#: 26458360462 10/03</t>
  </si>
  <si>
    <t xml:space="preserve">Zelle payment to Jeffrey Seider JPM99bpkpryb</t>
  </si>
  <si>
    <t xml:space="preserve">Zelle payment to Estella Martinez JPM99bpko76g</t>
  </si>
  <si>
    <t xml:space="preserve">ORIG CO NAME:VENMO                  ORIG ID:3264681992 DESC DATE:251003 CO ENTRY DESCR:PAYMENT   SEC:WEB    TRACE#:021000028588869 EED:251003   IND ID:1045258271388                IND NAME:JUDD DUNNING                                                                                                 251003PPZIO3 TRN: 2768588869TC</t>
  </si>
  <si>
    <t xml:space="preserve">ORIG CO NAME:LEASEDIRECT            ORIG ID:138190450  DESC DATE:251002 CO ENTRY DESCR:14329_1   SEC:CCD    TRACE#:043000095193982 EED:251003   IND ID:1556926                      IND NAME:DWG CAPITAL GROUP          INV# 592117759 DUE 10/02/25 REC# 10 10207864                                      14330 TRN: 2765193982TC</t>
  </si>
  <si>
    <t xml:space="preserve">PP*APPLE.COM/BILL 800-275-2273 CA            10/03</t>
  </si>
  <si>
    <t xml:space="preserve">ORIG CO NAME:VENMO                  ORIG ID:3264681992 DESC DATE:251002 CO ENTRY DESCR:PAYMENT   SEC:WEB    TRACE#:021000022300299 EED:251002   IND ID:1045250674942                IND NAME:JUDD DUNNING                                                                                                 251002PPZHCC TRN: 2752300299TC</t>
  </si>
  <si>
    <t xml:space="preserve">ORIG CO NAME:VENMO                  ORIG ID:3264681992 DESC DATE:251002 CO ENTRY DESCR:PAYMENT   SEC:WEB    TRACE#:021000022244955 EED:251002   IND ID:1045249552055                IND NAME:JUDD DUNNING                                                                                                 251002PPZHCF TRN: 2752244955TC</t>
  </si>
  <si>
    <t xml:space="preserve">Online Transfer to CHK ...1117 transaction#: 26444487991 10/02</t>
  </si>
  <si>
    <t xml:space="preserve">INDEED USI25-05412393 AUSTIN TX      142452  10/02</t>
  </si>
  <si>
    <t xml:space="preserve">PP*APPLE.COM/BILL 800-275-2273 CA            10/02</t>
  </si>
  <si>
    <t xml:space="preserve">PAYPAL *HULU 877-801-5441 CA                 10/02</t>
  </si>
  <si>
    <t xml:space="preserve">PAYPAL *GOOGLE LLC GO 650-253-0000 CA        10/01</t>
  </si>
  <si>
    <t xml:space="preserve">PAYPAL *BABBEL BABBEL. 35314369001           09/29</t>
  </si>
  <si>
    <t xml:space="preserve">FOREIGN EXCHANGE RATE ADJUSTMENT FEE         09/29BARBER SH</t>
  </si>
  <si>
    <t xml:space="preserve">DOMESTIC WIRE FEE</t>
  </si>
  <si>
    <t xml:space="preserve">ORIG CO NAME:VENMO                  ORIG ID:3264681992 DESC DATE:251001 CO ENTRY DESCR:PAYMENT   SEC:WEB    TRACE#:021000025616153 EED:251001   IND ID:1045234163574                IND NAME:JUDD DUNNING                                                                                                 251001PPZ6YN TRN: 2745616153TC</t>
  </si>
  <si>
    <t xml:space="preserve">DOMESTIC WIRE TRANSFER A/C: OFFSET CAPITAL, LLC BOSTON MA 02129-2499 US REF: CHARLMONT APARTMENTS OFFSET ADD. LOAN DEPOSIT TRN: 4211375274ES 10/01</t>
  </si>
  <si>
    <t xml:space="preserve">ORIG CO NAME:TXU ENERGY             ORIG ID:1001020329 DESC DATE:       CO ENTRY DESCR:TXUE_ACH  SEC:WEB    TRACE#:021000026843652 EED:251001   IND ID:900062431557                 IND NAME:DWG CAPITAL GROUP          17333702810000000000000000000003540 9440681                                       DIRECT DEBITING TRN: 2746843652TC</t>
  </si>
  <si>
    <t xml:space="preserve">ORIG CO NAME:VENMO                  ORIG ID:3264681992 DESC DATE:251001 CO ENTRY DESCR:PAYMENT   SEC:WEB    TRACE#:021000023570572 EED:251001   IND ID:1045207876015                IND NAME:JUDD DUNNING                                                                                                 251001PPZX53 TRN: 2743570572TC</t>
  </si>
  <si>
    <t xml:space="preserve">ORIG CO NAME:GEICO                  ORIG ID:3530075853 DESC DATE:250930 CO ENTRY DESCR:PREM COLL SEC:PPD    TRACE#:021000020534237 EED:251001   IND ID:                             IND NAME:ANGELA TRN: 2740534237TC</t>
  </si>
  <si>
    <t xml:space="preserve">ORIG CO NAME:BLUESHIELDCA           ORIG ID:7529219311 DESC DATE:250930 CO ENTRY DESCR:BILL PAY  SEC:CCD    TRACE#:031101111334583 EED:251001   IND ID:15704366991                  IND NAME:ANGELA DUNNING TRN: 2741334583TC</t>
  </si>
  <si>
    <t xml:space="preserve">Zelle payment to Jeff Fajardo JPM99bp70ud4</t>
  </si>
  <si>
    <t xml:space="preserve">PAYPAL *EPOCH TIMES T 833-699-1888 NY        09/30</t>
  </si>
  <si>
    <t xml:space="preserve">PP*APPLE.COM/BILL 800-275-2273 CA            10/01</t>
  </si>
  <si>
    <t xml:space="preserve">BARBER SHOP HEREDIA                          09/29 CR Colon   10000.00 X 0.002005000 (EXCHG RTE)</t>
  </si>
  <si>
    <t xml:space="preserve">Online Transfer from CHK ...9335 transaction#: 26428342076</t>
  </si>
  <si>
    <t xml:space="preserve">ORIG CO NAME:VENMO                  ORIG ID:3264681992 DESC DATE:250930 CO ENTRY DESCR:PAYMENT   SEC:WEB    TRACE#:021000020359136 EED:250930   IND ID:1045203497236                IND NAME:JUDD DUNNING                                                                                                 250930PPZVQM TRN: 2730359136TC</t>
  </si>
  <si>
    <t xml:space="preserve">Online Transfer to CHK ...9082 transaction#: 26407952224 09/30</t>
  </si>
  <si>
    <t xml:space="preserve">ORIG CO NAME:SBA EIDL LOAN          ORIG ID:7300000118 DESC DATE:250929 CO ENTRY DESCR:PAYMENT   SEC:CCD    TRACE#:041036043092668 EED:250930   IND ID:0000                         IND NAME:JOHN DUNNING               1871308204                                                                        ACH TRANSACTION TRN: 2733092668TC</t>
  </si>
  <si>
    <t xml:space="preserve">PAYPAL *WAYFAIR 866-263-8325 MA              09/29</t>
  </si>
  <si>
    <t xml:space="preserve">Online Transfer to CHK ...3922 transaction#: 26399295464 09/29</t>
  </si>
  <si>
    <t xml:space="preserve">Basic Online Payroll Payment 11188626220 to ########4122</t>
  </si>
  <si>
    <t xml:space="preserve">ORIG CO NAME:VENMO                  ORIG ID:3264681992 DESC DATE:250928 CO ENTRY DESCR:PAYMENT   SEC:WEB    TRACE#:021000027283059 EED:250929   IND ID:1045133387278                IND NAME:JUDD DUNNING                                                                                                 250928PPZDM3 TRN: 2727283059TC</t>
  </si>
  <si>
    <t xml:space="preserve">ORIG CO NAME:BANNER LIFE            ORIG ID:1521236145 DESC DATE:250928 CO ENTRY DESCR:PREM DEBITSEC:PPD    TRACE#:091000016190478 EED:250929   IND ID:                             IND NAME:ANGELA L DUNNING TRN: 2726190478TC</t>
  </si>
  <si>
    <t xml:space="preserve">ORIG CO NAME:BANNER LIFE            ORIG ID:1521236145 DESC DATE:250928 CO ENTRY DESCR:PREM DEBITSEC:PPD    TRACE#:091000016190479 EED:250929   IND ID:                             IND NAME:JOHN  DUNNING TRN: 2726190479TC</t>
  </si>
  <si>
    <t xml:space="preserve">ORIG CO NAME:VENMO                  ORIG ID:3264681992 DESC DATE:250928 CO ENTRY DESCR:PAYMENT   SEC:WEB    TRACE#:021000027283072 EED:250929   IND ID:1045133388951                IND NAME:JUDD DUNNING                                                                                                 250928PPZDM3 TRN: 2727283072TC</t>
  </si>
  <si>
    <t xml:space="preserve">ORIG CO NAME:INTUIT *               ORIG ID:0000756346 DESC DATE:250927 CO ENTRY DESCR:QBooks OnlSEC:CCD    TRACE#:021000025770102 EED:250929   IND ID:6491903                      IND NAME:DWG CAPITAL GROUP                                                                                            800-446-8848 TRN: 2725770102TC</t>
  </si>
  <si>
    <t xml:space="preserve">ORIG CO NAME:AMERICAN EXPRESS       ORIG ID:2005032111 DESC DATE:250929 CO ENTRY DESCR:ACH PMT   SEC:CCD    TRACE#:021000027372076 EED:250929   IND ID:W1024                        IND NAME:John Dunning                                                                                                 ER AM TRN: 2727372076TC</t>
  </si>
  <si>
    <t xml:space="preserve">ORIG CO NAME:VENMO                  ORIG ID:3264681992 DESC DATE:250928 CO ENTRY DESCR:PAYMENT   SEC:WEB    TRACE#:021000027283014 EED:250929   IND ID:1045133385177                IND NAME:JUDD DUNNING                                                                                                 250928PPZDM3 TRN: 2727283014TC</t>
  </si>
  <si>
    <t xml:space="preserve">ORIG CO NAME:GEICO                  ORIG ID:3530075853 DESC DATE:250928 CO ENTRY DESCR:PREM COLL SEC:PPD    TRACE#:021000026634689 EED:250929   IND ID:                             IND NAME:ANGELA DUNNING TRN: 2726634689TC</t>
  </si>
  <si>
    <t xml:space="preserve">Zelle payment to Jeff Fajardo JPM99boufvvy</t>
  </si>
  <si>
    <t xml:space="preserve">PP*APPLE.COM/BILL 800-275-2273 CA            09/27</t>
  </si>
  <si>
    <t xml:space="preserve">PAYPAL *GRUBHUBFOOD N 877-585-7878 IL        09/27</t>
  </si>
  <si>
    <t xml:space="preserve">Zelle payment to Jeffrey Seider JPM99bon09n8</t>
  </si>
  <si>
    <t xml:space="preserve">Online Transfer to CHK ...7899 transaction#: 26362286376 09/26</t>
  </si>
  <si>
    <t xml:space="preserve">Online Transfer to CHK ...1117 transaction#: 26362241272 09/26</t>
  </si>
  <si>
    <t xml:space="preserve">Online Payment 26362182073 To MERCEDES BENZ FINANCIAL 09/26</t>
  </si>
  <si>
    <t xml:space="preserve">Online Payment 26362199418 To MERCEDES BENZ FINANCIAL SVCS 09/26</t>
  </si>
  <si>
    <t xml:space="preserve">Online Payment 26362196191 To PENTAGON FEDERAL CREDIT UNION 09/26</t>
  </si>
  <si>
    <t xml:space="preserve">Online Payment 26362140462 To MERCEDES BENZ FINANCIAL 09/26</t>
  </si>
  <si>
    <t xml:space="preserve">Online Transfer to CHK ...1117 transaction#: 26362138416 09/26</t>
  </si>
  <si>
    <t xml:space="preserve">Zelle payment to Jeff Fajardo JPM99bompolm</t>
  </si>
  <si>
    <t xml:space="preserve">Disney Plus 888-9057888 CA                   09/26</t>
  </si>
  <si>
    <t xml:space="preserve">PAYPAL *GRUBHUBFOOD L 877-585-7878 IL        09/26</t>
  </si>
  <si>
    <t xml:space="preserve">ORIG CO NAME:VENMO                  ORIG ID:3264681992 DESC DATE:250925 CO ENTRY DESCR:PAYMENT   SEC:WEB    TRACE#:021000022568511 EED:250925   IND ID:1045094134827                IND NAME:JUDD DUNNING                                                                                                 250925PPZ1BQ TRN: 2682568511TC</t>
  </si>
  <si>
    <t xml:space="preserve">ORIG CO NAME:VENMO                  ORIG ID:3264681992 DESC DATE:250925 CO ENTRY DESCR:PAYMENT   SEC:WEB    TRACE#:021000022401416 EED:250925   IND ID:1045086588673                IND NAME:JUDD DUNNING                                                                                                 250925PPZXFS TRN: 2682401416TC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</si>
  <si>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PAYMENTS/OCMT/COP27 82694,78/EXCH/3710.2597/CNTR/893098 41/INT/ANDRES_52763ATHOTMAIL.C TRN: 8266700268RE 09/25</t>
  </si>
  <si>
    <t xml:space="preserve">PAYPAL *CANVA 416-131-8870 DE                09/25</t>
  </si>
  <si>
    <t xml:space="preserve">PP*APPLE.COM/BILL 800-275-2273 CA            09/25</t>
  </si>
  <si>
    <t xml:space="preserve">PAYPAL *LINKEDIN 402-935-7733 CA             09/24</t>
  </si>
  <si>
    <t xml:space="preserve">PP*APPLE.COM/BILL 800-275-2273 CA            09/24</t>
  </si>
  <si>
    <t xml:space="preserve">Online Transfer to CHK ...1117 transaction#: 26330021112 09/23</t>
  </si>
  <si>
    <t xml:space="preserve">ORIG CO NAME:VENMO                  ORIG ID:3264681992 DESC DATE:250923 CO ENTRY DESCR:PAYMENT   SEC:WEB    TRACE#:021000029546890 EED:250923   IND ID:1045045213840                IND NAME:JUDD DUNNING                                                                                                 250923PPZCSE TRN: 2669546890TC</t>
  </si>
  <si>
    <t xml:space="preserve">ONLINE DOMESTIC WIRE TRANSFER VIA: ZIONS BANCORP/124000054 A/C: GT TITLE SERVICES INC SALT LAKE CITY UT 84133 US REF: FILE NO. SL63337M MESA ROAD (E7)/TIME/19:08 IMAD: 0923MMQFMP2M024852 TRN: 3456355266ES 09/23</t>
  </si>
  <si>
    <t xml:space="preserve">ONLINE DOMESTIC WIRE TRANSFER VIA: ZIONS BANCORP/124000054 A/C: GT TITLE SERVICES INC SALT LAKE CITY UT 84133 US REF: FILE NO. SL63337M MESA ROAD (E4)/TIME/18:46 IMAD: 0923MMQFMP2N022189 TRN: 3442695266ES 09/23</t>
  </si>
  <si>
    <t xml:space="preserve">ORIG CO NAME:VENMO                  ORIG ID:3264681992 DESC DATE:250923 CO ENTRY DESCR:PAYMENT   SEC:WEB    TRACE#:021000024711669 EED:250923   IND ID:1045032770149                IND NAME:JUDD DUNNING                                                                                                 250923PPZ7B3 TRN: 2664711669TC</t>
  </si>
  <si>
    <t xml:space="preserve">ORIG CO NAME:ROBINHOOD              ORIG ID:5326394001 DESC DATE:       CO ENTRY DESCR:DEBITS    SEC:WEB    TRACE#:021000024632199 EED:250923   IND ID:465626935                    IND NAME:Judd Dunning TRN: 2664632199TC</t>
  </si>
  <si>
    <t xml:space="preserve">ORIG CO NAME:PRINCIPAL-CCAPNL       ORIG ID:9INDPNLEFT DESC DATE:091925 CO ENTRY DESCR:PRIN FINANSEC:PPD    TRACE#:091000013079786 EED:250923   IND ID:                             IND NAME:JOHN B DUNNING TRN: 2663079786TC</t>
  </si>
  <si>
    <t xml:space="preserve">ORIG CO NAME:ROBINHOOD              ORIG ID:5326394001 DESC DATE:       CO ENTRY DESCR:DEBITS    SEC:WEB    TRACE#:021000024581615 EED:250923   IND ID:465626935                    IND NAME:Judd Dunning TRN: 2664581615TC</t>
  </si>
  <si>
    <t xml:space="preserve">PAYPAL *OHR HATORAH 818-822-3446 CA          09/23</t>
  </si>
  <si>
    <t xml:space="preserve">UPWORK * -848867071 866-262-4478 CA          09/22</t>
  </si>
  <si>
    <t xml:space="preserve">Online Transfer to CHK ...1117 transaction#: 26320064034 09/22</t>
  </si>
  <si>
    <t xml:space="preserve">Online Transfer to CHK ...3922 transaction#: 26315056206 09/22</t>
  </si>
  <si>
    <t xml:space="preserve">Basic Online Payroll Payment 11187803617 to ########4122</t>
  </si>
  <si>
    <t xml:space="preserve">Experian* ProtectMyID 866-5849446 CA         09/22</t>
  </si>
  <si>
    <t xml:space="preserve">ORIG CO NAME:VENMO                  ORIG ID:3264681992 DESC DATE:250921 CO ENTRY DESCR:PAYMENT   SEC:WEB    TRACE#:021000028122350 EED:250922   IND ID:1044992010361                IND NAME:JUDD DUNNING                                                                                                 250921PPZXTU TRN: 2658122350TC</t>
  </si>
  <si>
    <t xml:space="preserve">ORIG CO NAME:VENMO                  ORIG ID:3264681992 DESC DATE:250921 CO ENTRY DESCR:PAYMENT   SEC:WEB    TRACE#:021000028076928 EED:250922   IND ID:1044989175732                IND NAME:JUDD DUNNING                                                                                                 250921PPZXTC TRN: 2658076928TC</t>
  </si>
  <si>
    <t xml:space="preserve">ORIG CO NAME:VENMO                  ORIG ID:3264681992 DESC DATE:250920 CO ENTRY DESCR:PAYMENT   SEC:WEB    TRACE#:021000027573893 EED:250922   IND ID:1044971523014                IND NAME:JUDD DUNNING                                                                                                 250920PPZUMN TRN: 2657573893TC</t>
  </si>
  <si>
    <t xml:space="preserve">Online Transfer to CHK ...1117 transaction#: 26302109823 09/22</t>
  </si>
  <si>
    <t xml:space="preserve">PAYPAL *HULU 877-801-5441 CA                 09/21</t>
  </si>
  <si>
    <t xml:space="preserve">Online Payment 26299364012 To MERCEDES BENZ FINANCIAL 09/22</t>
  </si>
  <si>
    <t xml:space="preserve">Online Transfer to CHK ...1117 transaction#: 26290707850 09/22</t>
  </si>
  <si>
    <t xml:space="preserve">PP*APPLE.COM/BILL 800-275-2273 CA            09/20</t>
  </si>
  <si>
    <t xml:space="preserve">PAYPAL *BEENVERIFIE 786-482-6776 NY          09/21</t>
  </si>
  <si>
    <t xml:space="preserve">PAYPAL *THEREALDEAL O 212-260-1332 NY        09/19</t>
  </si>
  <si>
    <t xml:space="preserve">BOOK TRANSFER B/O: GI CAPITAL GROUP RICHMOND CA 94804-5637 US TRN: 1408300265ES</t>
  </si>
  <si>
    <t xml:space="preserve">ORIG CO NAME:VENMO                  ORIG ID:3264681992 DESC DATE:250919 CO ENTRY DESCR:PAYMENT   SEC:WEB    TRACE#:021000022868390 EED:250919   IND ID:1044960911313                IND NAME:JUDD DUNNING                                                                                                 250919PPZR49 TRN: 2622868390TC</t>
  </si>
  <si>
    <t xml:space="preserve">PAYPAL *FOXCORP 888-596-3938 CA              09/19</t>
  </si>
  <si>
    <t xml:space="preserve">DNH*GODADDY#3895774282 480-5058855 AZ        09/18</t>
  </si>
  <si>
    <t xml:space="preserve">DNH*GODADDY#3895774123 480-5058855 AZ        09/18</t>
  </si>
  <si>
    <t xml:space="preserve">FEDWIRE CREDIT VIA: EAST-WEST BANK/322070381 B/O: CHICAGO TITLE COMPANY RIVERSIDE CA 92505-3313 REF: CHASE NYC/CTR/BNF=DWG CAPITAL GROUP LOS ANGELES CA 90066-3638 US/AC-00 0000002836 RFB=FSD3333P00004158 OBI =/URI/FN-FBSC2508133 PO-01520854 CO M MISSION DUE 2055 LAGUNA CANYON RD P ROPADDR-2055 LAGUNA CANY IMAD: 0919MMQFMP27003978 TRN: 1188711262FF</t>
  </si>
  <si>
    <t xml:space="preserve">FEDWIRE CREDIT VIA: BANK OF AMERICA, N.A./026009593 B/O: CT SOCAL COMM FBSC/CT BS FXBC RIVERSIDE CA 92505 REF: CHASE NYC/CTR/BNF=DWG CAPITAL GROUP LOS ANGELES CA 90066-3638 US/AC-00 0000002836 RFB=NOTPROVIDED OBI=/URI/FN-FBSC2508331 COMMISSION 2063 5/N 2 9TH PL PHOENIX AZ PROPADDR-20/635 N 29TH PL, PHOENI IMAD: 0919B6B7HU4R013552 TRN: 0781391262FF</t>
  </si>
  <si>
    <t xml:space="preserve">Online Transfer to CHK ...1117 transaction#: 26264155297 09/18</t>
  </si>
  <si>
    <t xml:space="preserve">PP*APPLE.COM/BILL 800-275-2273 CA            09/18</t>
  </si>
  <si>
    <t xml:space="preserve">PAYPAL *ELICITDESIG 805-506-5150 CA          09/17</t>
  </si>
  <si>
    <t xml:space="preserve">PAYPAL *CAROLINAACOST 402-935-7733 CA        09/17</t>
  </si>
  <si>
    <t xml:space="preserve">PAYPAL *RUTHALCANCI 402-935-7733 CA          09/17</t>
  </si>
  <si>
    <t xml:space="preserve">ORIG CO NAME:VENMO                  ORIG ID:3264681992 DESC DATE:250917 CO ENTRY DESCR:PAYMENT   SEC:WEB    TRACE#:021000023447058 EED:250917   IND ID:1044907028184                IND NAME:JUDD DUNNING                                                                                                 250917PPZ1HW TRN: 2603447058TC</t>
  </si>
  <si>
    <t xml:space="preserve">ORIG CO NAME:VENMO                  ORIG ID:3264681992 DESC DATE:250917 CO ENTRY DESCR:PAYMENT   SEC:WEB    TRACE#:021000023456902 EED:250917   IND ID:1044906393306                IND NAME:JUDD DUNNING                                                                                                 250917PPZ1HW TRN: 2603456902TC</t>
  </si>
  <si>
    <t xml:space="preserve">PAYPAL *LINKEDIN 402-935-7733 CA             09/17</t>
  </si>
  <si>
    <t xml:space="preserve">Online Payment 26249980156 To LOS ANGELES MUNICIPAL SERVICE 09/16</t>
  </si>
  <si>
    <t xml:space="preserve">ORIG CO NAME:LEASEDIRECT            ORIG ID:138190450  DESC DATE:250915 CO ENTRY DESCR:14049_1   SEC:CCD    TRACE#:043000090011482 EED:250916   IND ID:1556926                      IND NAME:DWG CAPITAL GROUP          INV# 591754392 DUE 09/15/25 REC# 10 10133372                                      14050 TRN: 2590011482TC</t>
  </si>
  <si>
    <t xml:space="preserve">Online Transfer to CHK ...1117 transaction#: 26241892299 09/16</t>
  </si>
  <si>
    <t xml:space="preserve">PP*APPLE.COM/BILL 800-275-2273 CA            09/16</t>
  </si>
  <si>
    <t xml:space="preserve">FEDWIRE CREDIT VIA: BANK OF AMERICA, N.A./026009593 B/O: CLTIC NCS FXFC JACKSONVILLE FL 32204 USA REF: CHASE NYC/CTR/BNF=DWG CAPITAL GROUP LOS ANGELES CA 90066-3638 US/AC-00 0000002836 RFB=NOTPROVIDED OBI=/URI/FN-932505552 COMMISSION FOR 11 5/P EN N PROPADDR-115 PENN STREET, E/L SEGU NDO, CA 90245-3908 IMAD: 0916B6B7HU2R014989 TRN: 0948371259FF</t>
  </si>
  <si>
    <t xml:space="preserve">Upwork -846666234REF 650-8534100 CA          09/15</t>
  </si>
  <si>
    <t xml:space="preserve">Basic Online Payroll Payment 11186904372 to ########4122</t>
  </si>
  <si>
    <t xml:space="preserve">ORIG CO NAME:VENMO                  ORIG ID:3264681992 DESC DATE:250914 CO ENTRY DESCR:PAYMENT   SEC:WEB    TRACE#:021000029356099 EED:250915   IND ID:1044844221654                IND NAME:JUDD DUNNING                                                                                                 250914PPZIAM TRN: 2589356099TC</t>
  </si>
  <si>
    <t xml:space="preserve">Online Transfer to CHK ...1117 transaction#: 26227236840 09/15</t>
  </si>
  <si>
    <t xml:space="preserve">PP*APPLE.COM/BILL 800-275-2273 CA            09/15</t>
  </si>
  <si>
    <t xml:space="preserve">PP*GOOGLE GOOGLE ONE 855-836-3987 CA         09/15</t>
  </si>
  <si>
    <t xml:space="preserve">PP*APPLE.COM/BILL 800-275-2273 CA            09/14</t>
  </si>
  <si>
    <t xml:space="preserve">PP*APPLE.COM/BILL 800-275-2273 CA            09/13</t>
  </si>
  <si>
    <t xml:space="preserve">PAYPAL *HULU 877-801-5441 CA                 09/12</t>
  </si>
  <si>
    <t xml:space="preserve">Online Transfer from CHK ...9335 transaction#: 26227231150</t>
  </si>
  <si>
    <t xml:space="preserve">ORIG CO NAME:VENMO                  ORIG ID:3264681992 DESC DATE:250912 CO ENTRY DESCR:PAYMENT   SEC:WEB    TRACE#:021000020788630 EED:250912   IND ID:1044819071786                IND NAME:JUDD DUNNING                                                                                                 250912PPZEQH TRN: 2550788630TC</t>
  </si>
  <si>
    <t xml:space="preserve">ORIG CO NAME:VENMO                  ORIG ID:3264681992 DESC DATE:250912 CO ENTRY DESCR:PAYMENT   SEC:WEB    TRACE#:021000020787871 EED:250912   IND ID:1044818898851                IND NAME:JUDD DUNNING                                                                                                 250912PPZEQH TRN: 2550787871TC</t>
  </si>
  <si>
    <t xml:space="preserve">Online Transfer to CHK ...7753 transaction#: 26201896204 09/12</t>
  </si>
  <si>
    <t xml:space="preserve">ORIG CO NAME:VENMO                  ORIG ID:3264681992 DESC DATE:250912 CO ENTRY DESCR:PAYMENT   SEC:WEB    TRACE#:021000023649741 EED:250912   IND ID:1044797866522                IND NAME:JUDD DUNNING                                                                                                 250912PPZ6N5 TRN: 2553649741TC</t>
  </si>
  <si>
    <t xml:space="preserve">Zelle payment to Jeffrey Seider JPM99bmx8jma</t>
  </si>
  <si>
    <t xml:space="preserve">PP*SPOTIFY*P3A74F6144 203-318-9708 NY        09/12</t>
  </si>
  <si>
    <t xml:space="preserve">ORIG CO NAME:VENMO                  ORIG ID:3264681992 DESC DATE:250911 CO ENTRY DESCR:PAYMENT   SEC:WEB    TRACE#:021000020016734 EED:250911   IND ID:1044796977190                IND NAME:JUDD DUNNING                                                                                                 250911PPZ5R1 TRN: 2540016734TC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</si>
  <si>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PAYMENTS/OCMT/COP28 23267,45/EXCH/3764.3566/CNTR/302272 72/INT/ANDRES_52763ATHOTMAIL.C TRN: 6065700254RE 09/11</t>
  </si>
  <si>
    <t xml:space="preserve">ORIG CO NAME:GM Financial           ORIG ID:I522190781 DESC DATE:250911 CO ENTRY DESCR:GMF Pymt  SEC:PPD    TRACE#:091000019577071 EED:250911   IND ID:                             IND NAME:ANGELA DUNNING TRN: 2549577071TC</t>
  </si>
  <si>
    <t xml:space="preserve">ORIG CO NAME:ALLSTATE V&amp;P INS       ORIG ID:1360719665 DESC DATE:SEP 25 CO ENTRY DESCR:INS PREM  SEC:PPD    TRACE#:021000021532635 EED:250911   IND ID:                             IND NAME:DUNNING TRN: 2541532635TC</t>
  </si>
  <si>
    <t xml:space="preserve">HLU*HULUPLUS hulu.com/bill CA                09/11</t>
  </si>
  <si>
    <t xml:space="preserve">FOREIGN EXCHANGE RATE ADJUSTMENT FEE         09/08MEGA SUPE</t>
  </si>
  <si>
    <t xml:space="preserve">FOREIGN EXCHANGE RATE ADJUSTMENT FEE         09/08MINI SUPE</t>
  </si>
  <si>
    <t xml:space="preserve">FOREIGN EXCHANGE RATE ADJUSTMENT FEE         09/08SUPER MAY</t>
  </si>
  <si>
    <t xml:space="preserve">FOREIGN EXCHANGE RATE ADJUSTMENT FEE         09/08EL BODEGO</t>
  </si>
  <si>
    <t xml:space="preserve">PP*APPLE.COM/BILL 800-275-2273 CA            09/10</t>
  </si>
  <si>
    <t xml:space="preserve">EL BODEGON DE LA CHAMA HEREDIA               09/08 CR Colon   30800.00 X 0.001987338 (EXCHG RTE)</t>
  </si>
  <si>
    <t xml:space="preserve">SUPER MAYORISTA HEREDIA                      09/08 CR Colon   24950.00 X 0.001987174 (EXCHG RTE)</t>
  </si>
  <si>
    <t xml:space="preserve">MINI SUPER PURA VIDA N2 HEREDIA              09/08 CR Colon   20000.00 X 0.001987500 (EXCHG RTE)</t>
  </si>
  <si>
    <t xml:space="preserve">MEGA SUPER HEREDIA HEREDIA                   09/08 CR Colon   14410.00 X 0.001987509 (EXCHG RTE)</t>
  </si>
  <si>
    <t xml:space="preserve">FOREIGN EXCHANGE RATE ADJUSTMENT FEE         09/05GLOBAL VI</t>
  </si>
  <si>
    <t xml:space="preserve">FOREIGN EXCHANGE RATE ADJUSTMENT FEE         09/08URBAN SNK</t>
  </si>
  <si>
    <t xml:space="preserve">Online Transfer to CHK ...1117 transaction#: 26165909390 09/09</t>
  </si>
  <si>
    <t xml:space="preserve">URBAN SNKRS HEREDIA                          09/08 CR Colon   28000.00 X 0.001987143 (EXCHG RTE)</t>
  </si>
  <si>
    <t xml:space="preserve">UPWORK * -844478908 866-262-4478 CA          09/08</t>
  </si>
  <si>
    <t xml:space="preserve">GLOBAL VIA RUTA 27 SAN JOSE                  09/05 CR Colon   620.00 X 0.001983871 (EXCHG RTE)</t>
  </si>
  <si>
    <t xml:space="preserve">FOREIGN EXCHANGE RATE ADJUSTMENT FEE         09/04SHOP &amp; GO</t>
  </si>
  <si>
    <t xml:space="preserve">FOREIGN EXCHANGE RATE ADJUSTMENT FEE         09/05CAFE BOHI</t>
  </si>
  <si>
    <t xml:space="preserve">FOREIGN EXCHANGE RATE ADJUSTMENT FEE         09/05KARMA CAF</t>
  </si>
  <si>
    <t xml:space="preserve">FOREIGN EXCHANGE RATE ADJUSTMENT FEE         09/05FARMACIA</t>
  </si>
  <si>
    <t xml:space="preserve">Basic Online Payroll Payment 11185883165 to ########4122</t>
  </si>
  <si>
    <t xml:space="preserve">ORIG CO NAME:VENMO                  ORIG ID:3264681992 DESC DATE:250907 CO ENTRY DESCR:PAYMENT   SEC:WEB    TRACE#:021000028645949 EED:250908   IND ID:1044689864784                IND NAME:JUDD DUNNING                                                                                                 250907PPZ2DW TRN: 2518645949TC</t>
  </si>
  <si>
    <t xml:space="preserve">PP*APPLE.COM/BILL 800-275-2273 CA            09/08</t>
  </si>
  <si>
    <t xml:space="preserve">PAYPAL *RUTHALCANCI 402-935-7733 CA          09/07</t>
  </si>
  <si>
    <t xml:space="preserve">PAYPAL *UBER 866-576-1039 CA                 09/07</t>
  </si>
  <si>
    <t xml:space="preserve">PP*APPLE.COM/BILL 800-275-2273 CA            09/07</t>
  </si>
  <si>
    <t xml:space="preserve">GLOBAL VIA RUTA 27 SAN JOSE                  09/05 CR Colon   820.00 X 0.001975610 (EXCHG RTE)</t>
  </si>
  <si>
    <t xml:space="preserve">FARMACIA LA ECONOMICA J PUNTARENAS           09/05 CR Colon   75424.59 X 0.001977737 (EXCHG RTE)</t>
  </si>
  <si>
    <t xml:space="preserve">KARMA CAFE Y RESTAURANT GARABITO             09/05 CR Colon   14800.00 X 0.001977703 (EXCHG RTE)</t>
  </si>
  <si>
    <t xml:space="preserve">CAFE BOHIO JACO GARABITO                     09/05 CR Colon   3200.00 X 0.001978125 (EXCHG RTE)</t>
  </si>
  <si>
    <t xml:space="preserve">SHOP &amp; GO GARABITO                           09/04 CR Colon   2500.00 X 0.001980000 (EXCHG RTE)</t>
  </si>
  <si>
    <t xml:space="preserve">PP*APPLE.COM/BILL 800-275-2273 CA            09/05</t>
  </si>
  <si>
    <t xml:space="preserve">FOREIGN EXCHANGE RATE ADJUSTMENT FEE         09/03PANADERIA</t>
  </si>
  <si>
    <t xml:space="preserve">FOREIGN EXCHANGE RATE ADJUSTMENT FEE         09/04PANADERIA</t>
  </si>
  <si>
    <t xml:space="preserve">FOREIGN EXCHANGE RATE ADJUSTMENT FEE         09/04KARMA CAF</t>
  </si>
  <si>
    <t xml:space="preserve">Online Transfer to CHK ...1117 transaction#: 26125672034 09/05</t>
  </si>
  <si>
    <t xml:space="preserve">INDEED USI25-05043810 AUSTIN TX      082183  09/05</t>
  </si>
  <si>
    <t xml:space="preserve">ONLINE DOMESTIC WIRE TRANSFER A/C: GI CAPITAL GROUP RICHMOND CA 94804-5637 US TRN: 3404825248ES 09/05</t>
  </si>
  <si>
    <t xml:space="preserve">KARMA CAFE Y RESTAURANT GARABITO             09/04 CR Colon   30800.00 X 0.001978571 (EXCHG RTE)</t>
  </si>
  <si>
    <t xml:space="preserve">PANADERIA TOSSO PUNTARENAS                   09/04 CR Colon   4900.00 X 0.001977551 (EXCHG RTE)</t>
  </si>
  <si>
    <t xml:space="preserve">PANADERIA TOSSO PUNTARENAS                   09/03 CR Colon   2850.00 X 0.001992982 (EXCHG RTE)</t>
  </si>
  <si>
    <t xml:space="preserve">PP*APPLE.COM/BILL 800-275-2273 CA            09/04</t>
  </si>
  <si>
    <t xml:space="preserve">Online Transfer from CHK ...9335 transaction#: 26125670571</t>
  </si>
  <si>
    <t xml:space="preserve">ONLINE DOMESTIC WIRE TRANSFER A/C: MITCHELL ASSET GROUP INC DALLAS TX 75219-3216 US TRN: 3322655247ES 09/04</t>
  </si>
  <si>
    <t xml:space="preserve">PAYPAL *FACE AID 402-935-7733 CA             09/04</t>
  </si>
  <si>
    <t xml:space="preserve">PAYPAL *SANDYPR COM 402-935-7733 CA          09/03</t>
  </si>
  <si>
    <t xml:space="preserve">PAYPAL *PRAGERUNIVE P 833-772-4378 CA        09/03</t>
  </si>
  <si>
    <t xml:space="preserve">FOREIGN EXCHANGE RATE ADJUSTMENT FEE         09/02UBALDOS C</t>
  </si>
  <si>
    <t xml:space="preserve">FOREIGN EXCHANGE RATE ADJUSTMENT FEE         08/31RESTAURAN</t>
  </si>
  <si>
    <t xml:space="preserve">FOREIGN EXCHANGE RATE ADJUSTMENT FEE         09/02KARMA CAF</t>
  </si>
  <si>
    <t xml:space="preserve">Online Transfer to CHK ...1117 transaction#: 26095018368 09/03</t>
  </si>
  <si>
    <t xml:space="preserve">Online Transfer to CHK ...0709 transaction#: 26094984854 09/03</t>
  </si>
  <si>
    <t xml:space="preserve">KARMA CAFE Y RESTAURANT GARABITO             09/02 CR Colon   39100.00 X 0.001993350 (EXCHG RTE)</t>
  </si>
  <si>
    <t xml:space="preserve">PP*APPLE.COM/BILL 800-275-2273 CA            09/03</t>
  </si>
  <si>
    <t xml:space="preserve">PAYPAL *DIRECTV 800-531-5000 TX              09/03</t>
  </si>
  <si>
    <t xml:space="preserve">PAYPAL *FACE AID 402-935-7733 CA             09/03</t>
  </si>
  <si>
    <t xml:space="preserve">PAYPAL *EPOCH TIMES T 833-699-1888 NY        09/02</t>
  </si>
  <si>
    <t xml:space="preserve">UBALDOS CAFE PUNTARENAS                      09/02 CR Colon   2000.00 X 0.001990000 (EXCHG RTE)</t>
  </si>
  <si>
    <t xml:space="preserve">RESTAURANTE VIDA HERMOS PUNTARENAS           08/31 CR Colon   7201.00 X 0.001988613 (EXCHG RTE)</t>
  </si>
  <si>
    <t xml:space="preserve">FOREIGN EXCHANGE RATE ADJUSTMENT FEE         08/30GLOBAL VI</t>
  </si>
  <si>
    <t xml:space="preserve">STD ACH PMNTS VOLUME FEE QTY = 4</t>
  </si>
  <si>
    <t xml:space="preserve">FOREIGN EXCHANGE RATE ADJUSTMENT FEE         08/31KARMA CAF</t>
  </si>
  <si>
    <t xml:space="preserve">FOREIGN EXCHANGE RATE ADJUSTMENT FEE         09/01KARMA CAF</t>
  </si>
  <si>
    <t xml:space="preserve">NON-CHASE ATM WITHDRAW               009303  09/02PUN-BAC-</t>
  </si>
  <si>
    <t xml:space="preserve">INDEED USI25-04897539 AUSTIN TX      022297  09/02</t>
  </si>
  <si>
    <t xml:space="preserve">ORIG CO NAME:GEICO                  ORIG ID:3530075853 DESC DATE:250830 CO ENTRY DESCR:PREM COLL SEC:PPD    TRACE#:021000028929869 EED:250902   IND ID:                             IND NAME:ANGELA TRN: 2458929869TC</t>
  </si>
  <si>
    <t xml:space="preserve">ORIG CO NAME:BLUESHIELDCA           ORIG ID:7529219311 DESC DATE:250831 CO ENTRY DESCR:BILL PAY  SEC:CCD    TRACE#:031101118161285 EED:250902   IND ID:15696436521                  IND NAME:ANGELA DUNNING TRN: 2458161285TC</t>
  </si>
  <si>
    <t xml:space="preserve">ORIG CO NAME:VENMO                  ORIG ID:3264681992 DESC DATE:250831 CO ENTRY DESCR:PAYMENT   SEC:WEB    TRACE#:021000028434154 EED:250902   IND ID:1044532398793                IND NAME:JUDD DUNNING                                                                                                 250831PPZTQZ TRN: 2458434154TC</t>
  </si>
  <si>
    <t xml:space="preserve">KARMA CAFE Y RESTAURANT GARABITO             09/01 CR Colon   18700.00 X 0.001988235 (EXCHG RTE)</t>
  </si>
  <si>
    <t xml:space="preserve">PAYPAL *MATTSWANNCR 402-935-7733 CA          09/02</t>
  </si>
  <si>
    <t xml:space="preserve">PP*APPLE.COM/BILL 800-275-2273 CA            09/02</t>
  </si>
  <si>
    <t xml:space="preserve">PAYPAL *JUNESEEFELDT 402-935-7733 CA         09/02</t>
  </si>
  <si>
    <t xml:space="preserve">Zelle payment to estela martinez JPM99blmce7x</t>
  </si>
  <si>
    <t xml:space="preserve">UPWORK * -842252416 866-262-4478 CA          09/01</t>
  </si>
  <si>
    <t xml:space="preserve">PAYPAL *HULU 877-801-5441 CA                 09/01</t>
  </si>
  <si>
    <t xml:space="preserve">PAYPAL *GOOGLE LLC GO 650-253-0000 CA        09/01</t>
  </si>
  <si>
    <t xml:space="preserve">Online Transfer to CHK ...1117 transaction#: 26059022499 09/02</t>
  </si>
  <si>
    <t xml:space="preserve">Online Transfer to CHK ...1117 transaction#: 26056697513 09/02</t>
  </si>
  <si>
    <t xml:space="preserve">RESTAURANTE JARAH PUNTARENAS                 08/31 CR Colon   26001.00 X 0.001988770 (EXCHG RTE)</t>
  </si>
  <si>
    <t xml:space="preserve">NON-CHASE ATM WITHDRAW               007234  08/31PUN-BAC-</t>
  </si>
  <si>
    <t xml:space="preserve">KARMA CAFE Y RESTAURANT GARABITO             08/31 CR Colon   11300.00 X 0.001989381 (EXCHG RTE)</t>
  </si>
  <si>
    <t xml:space="preserve">RESTAURANTE SEA SALT PUNTARENAS              08/31 CR Colon   10000.00 X 0.001989000 (EXCHG RTE)</t>
  </si>
  <si>
    <t xml:space="preserve">GLOBAL VIA RUTA 27 SAN JOSE                  08/30 CR Colon   820.00 X 0.001987805 (EXCHG RTE)</t>
  </si>
  <si>
    <t xml:space="preserve">GLOBAL EXCHANGE CASA DE ALAJUELA             08/30</t>
  </si>
  <si>
    <t xml:space="preserve">PP*APPLE.COM/BILL 800-275-2273 CA            08/31</t>
  </si>
  <si>
    <t xml:space="preserve">ORIG CO NAME:SBA EIDL LOAN          ORIG ID:7300000118 DESC DATE:250829 CO ENTRY DESCR:PAYMENT   SEC:CCD    TRACE#:041036040080300 EED:250902   IND ID:0000                         IND NAME:JOHN DUNNING               1871308204                                                                        ACH TRANSACTION TRN: 2450080300TC</t>
  </si>
  <si>
    <t xml:space="preserve">PAYPAL *DJTHEDJFLA 402-935-7733 CA           08/30</t>
  </si>
  <si>
    <t xml:space="preserve">Online Payment 26034221844 To PENTAGON FEDERAL CREDIT UNION 09/02</t>
  </si>
  <si>
    <t xml:space="preserve">Indeed USI25-04655945 800-4625842 TX         08/29</t>
  </si>
  <si>
    <t xml:space="preserve">FEDWIRE CREDIT VIA: FIRST AMERICAN TRUST, FSB/122241255 B/O: FIRST AMERICAN TITLE INSURANCE COMP92707 REF: CHASE NYC/CTR/BNF=DWG CAPITAL GROUP LOS ANGELES CA 90066-3638 US/AC-00 0000002836 RFB=GT0019350308 OBI=/UR I/LOAN FINANCING COMMISSION MAGC P - PATCO NCS-2B9V-PHX1 IMAD: 0902L1B78J1C003621 TRN: 1601491245FF</t>
  </si>
  <si>
    <t xml:space="preserve">Online Transfer to CHK ...6975 transaction#: 26034168068 08/29</t>
  </si>
  <si>
    <t xml:space="preserve">Online Transfer to CHK ...7899 transaction#: 26034125502 08/29</t>
  </si>
  <si>
    <t xml:space="preserve">ORIG CO NAME:TXU ENERGY             ORIG ID:1001020329 DESC DATE:       CO ENTRY DESCR:TXUE_ACH  SEC:WEB    TRACE#:021000027664169 EED:250829   IND ID:900062431557                 IND NAME:DWG CAPITAL GROUP          17333702810000000000000000000003579 5379304                                       DIRECT DEBITING TRN: 2417664169TC</t>
  </si>
  <si>
    <t xml:space="preserve">Basic Online Payroll Payment 11185129552 to ########4122</t>
  </si>
  <si>
    <t xml:space="preserve">ORIG CO NAME:GEICO                  ORIG ID:3530075853 DESC DATE:250828 CO ENTRY DESCR:PREM COLL SEC:PPD    TRACE#:021000024052479 EED:250829   IND ID:                             IND NAME:ANGELA DUNNING TRN: 2414052479TC</t>
  </si>
  <si>
    <t xml:space="preserve">RING PREMIUM PLAN RING.COM CA                08/29</t>
  </si>
  <si>
    <t xml:space="preserve">CVS/PHARMACY #08847 LOS ANGELES CA   025400  08/28</t>
  </si>
  <si>
    <t xml:space="preserve">PAYPAL *UBER 866-576-1039 CA                 08/29</t>
  </si>
  <si>
    <t xml:space="preserve">VENICE LIQUOR LOS ANGELES CA                 08/28</t>
  </si>
  <si>
    <t xml:space="preserve">TST* THE BUTCHER'S DAUG VENICE CA            08/29</t>
  </si>
  <si>
    <t xml:space="preserve">Online Transfer from CHK ...9335 transaction#: 26034115251</t>
  </si>
  <si>
    <t xml:space="preserve">Zelle payment to jeff seider JPM99bl2p3xk</t>
  </si>
  <si>
    <t xml:space="preserve">Zelle payment to Aaron Frankel JPM99bl2np70</t>
  </si>
  <si>
    <t xml:space="preserve">Online Transfer to CHK ...1117 transaction#: 26012643460 08/28</t>
  </si>
  <si>
    <t xml:space="preserve">ORIG CO NAME:BANNER LIFE            ORIG ID:1521236145 DESC DATE:250827 CO ENTRY DESCR:PREM DEBITSEC:PPD    TRACE#:091000015413715 EED:250828   IND ID:                             IND NAME:ANGELA L DUNNING TRN: 2405413715TC</t>
  </si>
  <si>
    <t xml:space="preserve">ORIG CO NAME:BANNER LIFE            ORIG ID:1521236145 DESC DATE:250827 CO ENTRY DESCR:PREM DEBITSEC:PPD    TRACE#:091000015413716 EED:250828   IND ID:                             IND NAME:JOHN  DUNNING TRN: 2405413716TC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</si>
  <si>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PAYMENTS/OCMT/COP29 00346,08/EXCH/3867.1281/CNTR/773494 28/INT/ANDRES_52763ATHOTMAIL.C TRN: 8594200240RE 08/28</t>
  </si>
  <si>
    <t xml:space="preserve">CITY OF SANTA MONICA SANTA MONICA CA         08/27</t>
  </si>
  <si>
    <t xml:space="preserve">STARBUCKS STORE 0646 SAN BERNARDIN CA        08/27</t>
  </si>
  <si>
    <t xml:space="preserve">Zelle payment to jeff Fajardo JPM99bkxrqxy</t>
  </si>
  <si>
    <t xml:space="preserve">Zelle payment to jeff seider JPM99bkxrvij</t>
  </si>
  <si>
    <t xml:space="preserve">ORIG CO NAME:INTUIT *               ORIG ID:0000756346 DESC DATE:250827 CO ENTRY DESCR:QBooks OnlSEC:CCD    TRACE#:021000022067362 EED:250827   IND ID:4678724                      IND NAME:DWG CAPITAL GROUP                                                                                            800-446-8848 TRN: 2392067362TC</t>
  </si>
  <si>
    <t xml:space="preserve">ORIG CO NAME:VENMO                  ORIG ID:3264681992 DESC DATE:250827 CO ENTRY DESCR:PAYMENT   SEC:WEB    TRACE#:021000022344439 EED:250827   IND ID:1044445587832                IND NAME:JUDD DUNNING                                                                                                 250827PPZZLG TRN: 2392344439TC</t>
  </si>
  <si>
    <t xml:space="preserve">ORIG CO NAME:VENMO                  ORIG ID:3264681992 DESC DATE:250827 CO ENTRY DESCR:PAYMENT   SEC:WEB    TRACE#:021000022344392 EED:250827   IND ID:1044445597004                IND NAME:JUDD DUNNING                                                                                                 250827PPZZLG TRN: 2392344392TC</t>
  </si>
  <si>
    <t xml:space="preserve">ORIG CO NAME:VENMO                  ORIG ID:3264681992 DESC DATE:250827 CO ENTRY DESCR:PAYMENT   SEC:WEB    TRACE#:021000022344318 EED:250827   IND ID:1044445600748                IND NAME:JUDD DUNNING                                                                                                 250827PPZZLG TRN: 2392344318TC</t>
  </si>
  <si>
    <t xml:space="preserve">ORIG CO NAME:VENMO                  ORIG ID:3264681992 DESC DATE:250827 CO ENTRY DESCR:PAYMENT   SEC:WEB    TRACE#:021000022344262 EED:250827   IND ID:1044445561413                IND NAME:JUDD DUNNING                                                                                                 250827PPZZLG TRN: 2392344262TC</t>
  </si>
  <si>
    <t xml:space="preserve">ORIG CO NAME:VENMO                  ORIG ID:3264681992 DESC DATE:250827 CO ENTRY DESCR:PAYMENT   SEC:WEB    TRACE#:021000022344171 EED:250827   IND ID:1044445555919                IND NAME:JUDD DUNNING                                                                                                 250827PPZZLG TRN: 2392344171TC</t>
  </si>
  <si>
    <t xml:space="preserve">ORIG CO NAME:VENMO                  ORIG ID:3264681992 DESC DATE:250827 CO ENTRY DESCR:PAYMENT   SEC:WEB    TRACE#:021000022344150 EED:250827   IND ID:1044445567639                IND NAME:JUDD DUNNING                                                                                                 250827PPZZLG TRN: 2392344150TC</t>
  </si>
  <si>
    <t xml:space="preserve">ORIG CO NAME:VENMO                  ORIG ID:3264681992 DESC DATE:250827 CO ENTRY DESCR:PAYMENT   SEC:WEB    TRACE#:021000022344145 EED:250827   IND ID:1044445577429                IND NAME:JUDD DUNNING                                                                                                 250827PPZZLG TRN: 2392344145TC</t>
  </si>
  <si>
    <t xml:space="preserve">ORIG CO NAME:VENMO                  ORIG ID:3264681992 DESC DATE:250827 CO ENTRY DESCR:PAYMENT   SEC:WEB    TRACE#:021000022343942 EED:250827   IND ID:1044445517355                IND NAME:JUDD DUNNING                                                                                                 250827PPZZLG TRN: 2392343942TC</t>
  </si>
  <si>
    <t xml:space="preserve">ORIG CO NAME:VENMO                  ORIG ID:3264681992 DESC DATE:250827 CO ENTRY DESCR:PAYMENT   SEC:WEB    TRACE#:021000022343988 EED:250827   IND ID:1044445538664                IND NAME:JUDD DUNNING                                                                                                 250827PPZZLG TRN: 2392343988TC</t>
  </si>
  <si>
    <t xml:space="preserve">PP*APPLE.COM/BILL 800-275-2273 CA            08/27</t>
  </si>
  <si>
    <t xml:space="preserve">PAYPAL *LINKEDIN 402-935-7733 CA             08/26</t>
  </si>
  <si>
    <t xml:space="preserve">Online Transfer to CHK ...1117 transaction#: 25989102624 08/26</t>
  </si>
  <si>
    <t xml:space="preserve">DISNEY PLUS ECOM LAKE BUENA VI FL    076249  08/26</t>
  </si>
  <si>
    <t xml:space="preserve">CLAW MLS 310-358-1100 CA                     08/25</t>
  </si>
  <si>
    <t xml:space="preserve">PP*APPLE.COM/BILL 800-275-2273 CA            08/26</t>
  </si>
  <si>
    <t xml:space="preserve">UPWORK * -840070392 866-262-4478 CA          08/25</t>
  </si>
  <si>
    <t xml:space="preserve">Basic Online Payroll Payment 11184329207 to ########4122</t>
  </si>
  <si>
    <t xml:space="preserve">ORIG CO NAME:VENMO                  ORIG ID:3264681992 DESC DATE:250824 CO ENTRY DESCR:PAYMENT   SEC:WEB    TRACE#:021000026212013 EED:250825   IND ID:1044396561088                IND NAME:JUDD DUNNING                                                                                                 250825PPZGOZ TRN: 2376212013TC</t>
  </si>
  <si>
    <t xml:space="preserve">PAYPAL *CANVA 416-131-8870 DE                08/25</t>
  </si>
  <si>
    <t xml:space="preserve">Online Transfer to CHK ...1117 transaction#: 25966607553 08/25</t>
  </si>
  <si>
    <t xml:space="preserve">PP*APPLE.COM/BILL 800-275-2273 CA            08/25</t>
  </si>
  <si>
    <t xml:space="preserve">WWW.PERPLEXITY.AI WWW.PERPLEXIT CA           08/23</t>
  </si>
  <si>
    <t xml:space="preserve">PAYPAL *GRUBHUBFOOD L 877-585-7878 IL        08/25</t>
  </si>
  <si>
    <t xml:space="preserve">SXM*SIRIUSXM.COM/ACCT 888-635-5144 NY        08/22</t>
  </si>
  <si>
    <t xml:space="preserve">Experian* ProtectMyID 866-5849446 CA         08/22</t>
  </si>
  <si>
    <t xml:space="preserve">Zelle payment to Jeffrey Seider JPM99bkao8a1</t>
  </si>
  <si>
    <t xml:space="preserve">Online Transfer to CHK ...1117 transaction#: 25936284809 08/22</t>
  </si>
  <si>
    <t xml:space="preserve">PAYPAL *UBER 866-576-1039 CA                 08/22</t>
  </si>
  <si>
    <t xml:space="preserve">ORIG CO NAME:VENMO                  ORIG ID:3264681992 DESC DATE:250821 CO ENTRY DESCR:PAYMENT   SEC:WEB    TRACE#:021000024673797 EED:250821   IND ID:1044335433966                IND NAME:JUDD DUNNING                                                                                                 250821PPZ5EH TRN: 2334673797TC</t>
  </si>
  <si>
    <t xml:space="preserve">ORIG CO NAME:VENMO                  ORIG ID:3264681992 DESC DATE:250821 CO ENTRY DESCR:PAYMENT   SEC:WEB    TRACE#:021000026332898 EED:250821   IND ID:1044317375624                IND NAME:JUDD DUNNING                                                                                                 250821PPZWGF TRN: 2336332898TC</t>
  </si>
  <si>
    <t xml:space="preserve">ORIG CO NAME:PRINCIPAL-CCAPNL       ORIG ID:9INDPNLEFT DESC DATE:081925 CO ENTRY DESCR:PRIN FINANSEC:PPD    TRACE#:091000018305598 EED:250821   IND ID:                             IND NAME:JOHN B DUNNING TRN: 2338305598TC</t>
  </si>
  <si>
    <t xml:space="preserve">PP*APPLE.COM/BILL 800-275-2273 CA            08/21</t>
  </si>
  <si>
    <t xml:space="preserve">PAYPAL *BEENVERIFIE 786-482-6776 NY          08/21</t>
  </si>
  <si>
    <t xml:space="preserve">Zelle payment to Jeffrey Seider JPM99bk567b7</t>
  </si>
  <si>
    <t xml:space="preserve">Online Transfer to CHK ...1117 transaction#: 25921308693 08/20</t>
  </si>
  <si>
    <t xml:space="preserve">PP*APPLE.COM/BILL 800-275-2273 CA            08/20</t>
  </si>
  <si>
    <t xml:space="preserve">PAYPAL *THEREALDEAL O 212-260-1332 NY        08/19</t>
  </si>
  <si>
    <t xml:space="preserve">PAYPAL *FOXCORP 888-596-3938 CA              08/19</t>
  </si>
  <si>
    <t xml:space="preserve">UPWORK * -837900727 866-262-4478 CA          08/18</t>
  </si>
  <si>
    <t xml:space="preserve">DNH*GODADDY#3858226967 480-5058855 AZ        08/18</t>
  </si>
  <si>
    <t xml:space="preserve">DNH*GODADDY#3858226931 480-5058855 AZ        08/18</t>
  </si>
  <si>
    <t xml:space="preserve">Online Transfer to CHK ...1117 transaction#: 25898320989 08/18</t>
  </si>
  <si>
    <t xml:space="preserve">ORIG CO NAME:VENMO                  ORIG ID:3264681992 DESC DATE:250818 CO ENTRY DESCR:PAYMENT   SEC:WEB    TRACE#:021000022903731 EED:250818   IND ID:1044254295034                IND NAME:JUDD DUNNING                                                                                                 250818PPZ4EY TRN: 2302903731TC</t>
  </si>
  <si>
    <t xml:space="preserve">Basic Online Payroll Payment 11183441816 to ########4122</t>
  </si>
  <si>
    <t xml:space="preserve">ORIG CO NAME:VENMO                  ORIG ID:3264681992 DESC DATE:250817 CO ENTRY DESCR:PAYMENT   SEC:WEB    TRACE#:021000025940933 EED:250818   IND ID:1044252656754                IND NAME:JUDD DUNNING                                                                                                 250817PPZ3TE TRN: 2305940933TC</t>
  </si>
  <si>
    <t xml:space="preserve">PP*APPLE.COM/BILL 800-275-2273 CA            08/18</t>
  </si>
  <si>
    <t xml:space="preserve">PP*APPLE.COM/BILL 800-275-2273 CA            08/16</t>
  </si>
  <si>
    <t xml:space="preserve">ORIG CO NAME:LEASEDIRECT            ORIG ID:138190450  DESC DATE:250815 CO ENTRY DESCR:13669_1   SEC:CCD    TRACE#:043000094347272 EED:250818   IND ID:1556926                      IND NAME:DWG CAPITAL GROUP          INV# 591164777 DUE 08/15/25 REC# 10 10020087                                      13670 TRN: 2304347272TC</t>
  </si>
  <si>
    <t xml:space="preserve">PAYPAL *LINKEDIN 402-935-7733 CA             08/17</t>
  </si>
  <si>
    <t xml:space="preserve">ORIG CO NAME:VENMO                  ORIG ID:3264681992 DESC DATE:250815 CO ENTRY DESCR:PAYMENT   SEC:WEB    TRACE#:021000023197179 EED:250815   IND ID:1044192435762                IND NAME:JUDD DUNNING                                                                                                 250815PPZTDJ TRN: 2273197179TC</t>
  </si>
  <si>
    <t xml:space="preserve">RESTORE.COM RESTORE.COM TX                   08/15</t>
  </si>
  <si>
    <t xml:space="preserve">PAYPAL *RUTHALCANCI 402-935-7733 CA          08/15</t>
  </si>
  <si>
    <t xml:space="preserve">PP*GOOGLE GOOGLE ONE 855-836-3987 CA         08/15</t>
  </si>
  <si>
    <t xml:space="preserve">PP*APPLE.COM/BILL 800-275-2273 CA            08/14</t>
  </si>
  <si>
    <t xml:space="preserve">Online Transfer to CHK ...7753 transaction#: 25850197100 08/14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</si>
  <si>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PAYMENTS/OCMT/COP28 94657,03/EXCH/3859.5427/CNTR/290900 32/INT/ANDRES_52763ATHOTMAIL.C TRN: 5423300226RE 08/14</t>
  </si>
  <si>
    <t xml:space="preserve">Zelle payment to Jeffrey Seider JPM99bjbqncu</t>
  </si>
  <si>
    <t xml:space="preserve">Online Transfer to CHK ...0709 transaction#: 25839662641 08/13</t>
  </si>
  <si>
    <t xml:space="preserve">Online Payment 25829728130 To MERCEDES BENZ FINANCIAL SVCS 08/13</t>
  </si>
  <si>
    <t xml:space="preserve">Online Payment 25829709212 To MERCEDES BENZ FINANCIAL 08/13</t>
  </si>
  <si>
    <t xml:space="preserve">PAYPAL *HULU 877-801-5441 CA                 08/12</t>
  </si>
  <si>
    <t xml:space="preserve">ORIG CO NAME:VENMO                  ORIG ID:3264681992 DESC DATE:250812 CO ENTRY DESCR:PAYMENT   SEC:WEB    TRACE#:021000021979236 EED:250812   IND ID:1044135578600                IND NAME:JUDD DUNNING                                                                                                 250812PPZ4DI TRN: 2241979236TC</t>
  </si>
  <si>
    <t xml:space="preserve">Online Transfer to CHK ...1117 transaction#: 25826286791 08/12</t>
  </si>
  <si>
    <t xml:space="preserve">Zelle payment to Jeffrey Seider JPM99bj5yrzo</t>
  </si>
  <si>
    <t xml:space="preserve">ORIG CO NAME:ALLSTATE V&amp;P INS       ORIG ID:1360719665 DESC DATE:AUG 25 CO ENTRY DESCR:INS PREM  SEC:PPD    TRACE#:021000025772325 EED:250812   IND ID:                             IND NAME:DUNNING TRN: 2245772325TC</t>
  </si>
  <si>
    <t xml:space="preserve">PP*SPOTIFY*P3974F8BB4 203-318-9708 NY        08/12</t>
  </si>
  <si>
    <t xml:space="preserve">SQ *ESTEBAN'S PLACE BE Miami Beach FL        08/11</t>
  </si>
  <si>
    <t xml:space="preserve">UPWORK * -835767648 866-262-4478 CA          08/11</t>
  </si>
  <si>
    <t xml:space="preserve">Basic Online Payroll Payment 11182585116 to ########4122</t>
  </si>
  <si>
    <t xml:space="preserve">HLU*HULUPLUS hulu.com/bill CA                08/11</t>
  </si>
  <si>
    <t xml:space="preserve">ORIG CO NAME:GM Financial           ORIG ID:I522190781 DESC DATE:250811 CO ENTRY DESCR:GMF Pymt  SEC:PPD    TRACE#:091000019180298 EED:250811   IND ID:                             IND NAME:ANGELA DUNNING TRN: 2239180298TC</t>
  </si>
  <si>
    <t xml:space="preserve">PP*APPLE.COM/BILL 800-275-2273 CA            08/10</t>
  </si>
  <si>
    <t xml:space="preserve">Zelle payment to Jeff Fajardo JPM99bin2146</t>
  </si>
  <si>
    <t xml:space="preserve">PP*APPLE.COM/BILL 800-275-2273 CA            08/08</t>
  </si>
  <si>
    <t xml:space="preserve">LOOPNET 888-414-1318 DC                      08/06</t>
  </si>
  <si>
    <t xml:space="preserve">PAYPAL *RUTHALCANCI 402-935-7733 CA          08/06</t>
  </si>
  <si>
    <t xml:space="preserve">SQ *ALANA'S COFFEE ROA Los Angeles CA        08/05</t>
  </si>
  <si>
    <t xml:space="preserve">PAYPAL *EPOCH TIMES T 833-699-1888 NY        08/05</t>
  </si>
  <si>
    <t xml:space="preserve">PP*APPLE.COM/BILL 800-275-2273 CA            08/05</t>
  </si>
  <si>
    <t xml:space="preserve">ORIG CO NAME:VENMO                  ORIG ID:3264681992 DESC DATE:250805 CO ENTRY DESCR:PAYMENT   SEC:WEB    TRACE#:021000023379012 EED:250805   IND ID:1043988520353                IND NAME:JUDD DUNNING                                                                                                 250805PPZRIU TRN: 2173379012TC</t>
  </si>
  <si>
    <t xml:space="preserve">ONLINE DOMESTIC WIRE TRANSFER A/C: MITCHELL ASSET GROUP INC DALLAS TX 75219-3216 US TRN: 3575805217ES 08/05</t>
  </si>
  <si>
    <t xml:space="preserve">ORIG CO NAME:AMERICAN EXPRESS       ORIG ID:2005032111 DESC DATE:250805 CO ENTRY DESCR:ACH PMT   SEC:CCD    TRACE#:021000025139200 EED:250805   IND ID:W3954                        IND NAME:John Dunning                                                                                                 ER AM TRN: 2175139200TC</t>
  </si>
  <si>
    <t xml:space="preserve">ONLINE DOMESTIC WIRE TRANSFER A/C: GI CAPITAL GROUP RICHMOND CA 94804-5637 US TRN: 3011315217ES 08/05</t>
  </si>
  <si>
    <t xml:space="preserve">SQ *AWAN Venice CA                           08/04</t>
  </si>
  <si>
    <t xml:space="preserve">TST*CHULITA Venice CA                        08/04</t>
  </si>
  <si>
    <t xml:space="preserve">UPWORK * -833592048 866-262-4478 CA          08/04</t>
  </si>
  <si>
    <t xml:space="preserve">Zelle payment to Estella Martinez JPM99bi9dqmf</t>
  </si>
  <si>
    <t xml:space="preserve">ORIG CO NAME:VENMO                  ORIG ID:3264681992 DESC DATE:250804 CO ENTRY DESCR:PAYMENT   SEC:WEB    TRACE#:021000025300872 EED:250804   IND ID:1043965581648                IND NAME:JUDD DUNNING                                                                                                 250804PPZI94 TRN: 2165300872TC</t>
  </si>
  <si>
    <t xml:space="preserve">ORIG CO NAME:VENMO                  ORIG ID:3264681992 DESC DATE:250804 CO ENTRY DESCR:PAYMENT   SEC:WEB    TRACE#:021000023449065 EED:250804   IND ID:1043956716420                IND NAME:JUDD DUNNING                                                                                                 250804PPZDO7 TRN: 2163449065TC</t>
  </si>
  <si>
    <t xml:space="preserve">ORIG CO NAME:VENMO                  ORIG ID:3264681992 DESC DATE:250804 CO ENTRY DESCR:PAYMENT   SEC:WEB    TRACE#:021000023444143 EED:250804   IND ID:1043955802143                IND NAME:JUDD DUNNING                                                                                                 250804PPZDO7 TRN: 2163444143TC</t>
  </si>
  <si>
    <t xml:space="preserve">Basic Online Payroll Payment 11181619707 to ########4122</t>
  </si>
  <si>
    <t xml:space="preserve">ORIG CO NAME:VENMO                  ORIG ID:3264681992 DESC DATE:250802 CO ENTRY DESCR:PAYMENT   SEC:WEB    TRACE#:021000027719947 EED:250804   IND ID:1043926678847                IND NAME:JUDD DUNNING                                                                                                 250802PPZB6E TRN: 2167719947TC</t>
  </si>
  <si>
    <t xml:space="preserve">ORIG CO NAME:VENMO                  ORIG ID:3264681992 DESC DATE:250803 CO ENTRY DESCR:PAYMENT   SEC:WEB    TRACE#:021000029044648 EED:250804   IND ID:1043936404471                IND NAME:JUDD DUNNING                                                                                                 250803PPZCYY TRN: 2169044648TC</t>
  </si>
  <si>
    <t xml:space="preserve">SP WSL POP UP SHOPS 148-44772890 CA          08/03</t>
  </si>
  <si>
    <t xml:space="preserve">PAYPAL *UBER 866-576-1039 CA                 08/04</t>
  </si>
  <si>
    <t xml:space="preserve">6129 MOLLER RETA CULVER CITY CA      899526  08/03</t>
  </si>
  <si>
    <t xml:space="preserve">PAYPAL *SANDYPR COM 402-935-7733 CA          08/03</t>
  </si>
  <si>
    <t xml:space="preserve">PAYPAL *PRAGERUNIVE P 833-772-4378 CA        08/03</t>
  </si>
  <si>
    <t xml:space="preserve">PP*APPLE.COM/BILL 800-275-2273 CA            08/03</t>
  </si>
  <si>
    <t xml:space="preserve">Online Transfer to CHK ...6975 transaction#: 25713138357 08/04</t>
  </si>
  <si>
    <t xml:space="preserve">PAYPAL *DIRECTV 800-531-5000 TX              08/04</t>
  </si>
  <si>
    <t xml:space="preserve">INDEED USI25-04296679 AUSTIN TX      022147  08/02</t>
  </si>
  <si>
    <t xml:space="preserve">PP*APPLE.COM/BILL 800-275-2273 CA            08/02</t>
  </si>
  <si>
    <t xml:space="preserve">PAYPAL *HULU 877-801-5441 CA                 08/02</t>
  </si>
  <si>
    <t xml:space="preserve">PAYPAL *GOOGLE LLC GO 650-253-0000 CA        08/01</t>
  </si>
  <si>
    <t xml:space="preserve">STD ACH PMNTS VOLUME FEE QTY = 10</t>
  </si>
  <si>
    <t xml:space="preserve">ORIG CO NAME:VENMO                  ORIG ID:3264681992 DESC DATE:250801 CO ENTRY DESCR:PAYMENT   SEC:WEB    TRACE#:021000027192020 EED:250801   IND ID:1043884318620                IND NAME:JUDD DUNNING                                                                                                 250801PPZ1LG TRN: 2137192020TC</t>
  </si>
  <si>
    <t xml:space="preserve">ORIG CO NAME:VENMO                  ORIG ID:3264681992 DESC DATE:250801 CO ENTRY DESCR:PAYMENT   SEC:WEB    TRACE#:021000027188777 EED:250801   IND ID:1043886151299                IND NAME:JUDD DUNNING                                                                                                 250801PPZ1LG TRN: 2137188777TC</t>
  </si>
  <si>
    <t xml:space="preserve">ORIG CO NAME:VENMO                  ORIG ID:3264681992 DESC DATE:250801 CO ENTRY DESCR:PAYMENT   SEC:WEB    TRACE#:021000027188764 EED:250801   IND ID:1043886149540                IND NAME:JUDD DUNNING                                                                                                 250801PPZ1LG TRN: 2137188764TC</t>
  </si>
  <si>
    <t xml:space="preserve">ORIG CO NAME:VENMO                  ORIG ID:3264681992 DESC DATE:250801 CO ENTRY DESCR:PAYMENT   SEC:WEB    TRACE#:021000027188867 EED:250801   IND ID:1043886151584                IND NAME:JUDD DUNNING                                                                                                 250801PPZ1LG TRN: 2137188867TC</t>
  </si>
  <si>
    <t xml:space="preserve">ORIG CO NAME:BLUESHIELDCA           ORIG ID:7529219311 DESC DATE:250731 CO ENTRY DESCR:BILL PAY  SEC:CCD    TRACE#:031101115357690 EED:250801   IND ID:15688263761                  IND NAME:ANGELA DUNNING TRN: 2135357690TC</t>
  </si>
  <si>
    <t xml:space="preserve">ORIG CO NAME:TXU ENERGY             ORIG ID:1001020329 DESC DATE:       CO ENTRY DESCR:TXUE_ACH  SEC:WEB    TRACE#:021000021631397 EED:250731   IND ID:900062431557                 IND NAME:DWG CAPITAL GROUP          17333702810000000000000000000003505 2950605                                       DIRECT DEBITING TRN: 2121631397TC</t>
  </si>
  <si>
    <t xml:space="preserve">ORIG CO NAME:GEICO                  ORIG ID:3530075853 DESC DATE:250730 CO ENTRY DESCR:PREM COLL SEC:PPD    TRACE#:021000023110725 EED:250731   IND ID:                             IND NAME:ANGELA TRN: 2123110725TC</t>
  </si>
  <si>
    <t xml:space="preserve">ONLINE INTERNATIONAL WIRE TRANSFER A/C: FOREIGN CUR BUS ACCT BK 1 COLUMBUS NEWARK DE 197132107 US ORG: 00000000283681168 DWG CAPITAL GROUP BEN:/00714849981 MARIA FERNANDA ALARCON PIEDRAHITA REF: TAXID1017222855/TEL573207819186/SAV/SALARY/PAYROLL PAYMENTS/OCMT/COP30 12090,08/EXCH/4016.1201/CNTR/474078 26/INT/ANDRES_52763ATHOTMAIL.C TRN: 7442100212RE 07/31</t>
  </si>
  <si>
    <t xml:space="preserve">PAYPAL *FIREMENFUND D 402-935-7733 CA        07/31</t>
  </si>
  <si>
    <t xml:space="preserve">Online Payment 25666134597 To PENTAGON FEDERAL CREDIT UNION 07/31</t>
  </si>
  <si>
    <t xml:space="preserve">Online Payment 25666140748 To MERCEDES BENZ FINANCIAL 07/31</t>
  </si>
  <si>
    <t xml:space="preserve">PP*APPLE.COM/BILL 800-275-2273 CA            07/31</t>
  </si>
  <si>
    <t xml:space="preserve">Zelle payment to Francisco Bautista  25666025002</t>
  </si>
  <si>
    <t xml:space="preserve">ORIG CO NAME:VENMO                  ORIG ID:3264681992 DESC DATE:250730 CO ENTRY DESCR:PAYMENT   SEC:WEB    TRACE#:021000021767376 EED:250730   IND ID:1043849889018                IND NAME:JUDD DUNNING                                                                                                 250730PPZNJE TRN: 2111767376TC</t>
  </si>
  <si>
    <t xml:space="preserve">ORIG CO NAME:SBA EIDL LOAN          ORIG ID:7300000118 DESC DATE:250729 CO ENTRY DESCR:PAYMENT   SEC:CCD    TRACE#:041036048087088 EED:250730   IND ID:0000                         IND NAME:JOHN DUNNING               1871308204                                                                        ACH TRANSACTION TRN: 2118087088TC</t>
  </si>
  <si>
    <t xml:space="preserve">Online Transfer to CHK ...1117 transaction#: 25655989311 07/30</t>
  </si>
  <si>
    <t xml:space="preserve">Zelle payment to jeff seider JPM99bhf08k8</t>
  </si>
  <si>
    <t xml:space="preserve">ORIG CO NAME:GEICO                  ORIG ID:3530075853 DESC DATE:250728 CO ENTRY DESCR:PREM COLL SEC:PPD    TRACE#:021000026809970 EED:250729   IND ID:                             IND NAME:ANGELA DUNNING TRN: 2106809970TC</t>
  </si>
  <si>
    <t xml:space="preserve">UPWORK * -831380922 866-262-4478 CA          07/28</t>
  </si>
  <si>
    <t xml:space="preserve">BOOK TRANSFER CREDIT B/O: EASTMAN PARK INDUSTRIAL, LLC DALLAS TX 75219-3216 US REF: LOAN COMMISSION 9952 EASTMAN PARK DRIVE (KODAK) TRN: 3084975210ES</t>
  </si>
  <si>
    <t xml:space="preserve">Online Transfer to CHK ...1117 transaction#: 25641512442 07/28</t>
  </si>
  <si>
    <t xml:space="preserve">Basic Online Payroll Payment 11180834649 to ########4122</t>
  </si>
  <si>
    <t xml:space="preserve">ORIG CO NAME:BANNER LIFE            ORIG ID:1521236145 DESC DATE:250727 CO ENTRY DESCR:PREM DEBITSEC:PPD    TRACE#:091000013101950 EED:250728   IND ID:                             IND NAME:ANGELA L DUNNING TRN: 2093101950TC</t>
  </si>
  <si>
    <t xml:space="preserve">ORIG CO NAME:BANNER LIFE            ORIG ID:1521236145 DESC DATE:250727 CO ENTRY DESCR:PREM DEBITSEC:PPD    TRACE#:091000013101951 EED:250728   IND ID:                             IND NAME:JOHN  DUNNING TRN: 2093101951TC</t>
  </si>
  <si>
    <t xml:space="preserve">ORIG CO NAME:INTUIT *               ORIG ID:0000756346 DESC DATE:250727 CO ENTRY DESCR:QBooks OnlSEC:CCD    TRACE#:021000022629070 EED:250728   IND ID:2765077                      IND NAME:DWG CAPITAL GROUP                                                                                            800-446-8848 TRN: 2092629070TC</t>
  </si>
  <si>
    <t xml:space="preserve">Zelle payment to mike paytonjian JPM99bh5kks4</t>
  </si>
  <si>
    <t xml:space="preserve">PP*APPLE.COM/BILL 800-275-2273 CA            07/27</t>
  </si>
  <si>
    <t xml:space="preserve">Zelle payment to jeff seider JPM99bh40b99</t>
  </si>
  <si>
    <t xml:space="preserve">Online Transfer to CHK ...1117 transaction#: 25621756173 07/28</t>
  </si>
  <si>
    <t xml:space="preserve">Disney Plus 888-9057888 CA                   07/26</t>
  </si>
  <si>
    <t xml:space="preserve">PAYPAL *LINKEDIN 402-935-7733 CA             07/27</t>
  </si>
  <si>
    <t xml:space="preserve">Zelle payment to Richard JPM99bh23bb6</t>
  </si>
  <si>
    <t xml:space="preserve">Online Transfer to CHK ...7899 transaction#: 25615653457 07/25</t>
  </si>
  <si>
    <t xml:space="preserve">Online Transfer to CHK ...6975 transaction#: 25615597656 07/25</t>
  </si>
  <si>
    <t xml:space="preserve">PAYPAL *CANVA 416-131-8870 DE                07/25</t>
  </si>
  <si>
    <t xml:space="preserve">Online Transfer from CHK ...9335 transaction#: 25615617302</t>
  </si>
  <si>
    <t xml:space="preserve">Online Transfer to CHK ...1117 transaction#: 25596612709 07/24</t>
  </si>
  <si>
    <t xml:space="preserve">PP*APPLE.COM/BILL 800-275-2273 CA            07/24</t>
  </si>
  <si>
    <t xml:space="preserve">ORIG CO NAME:VENMO                  ORIG ID:3264681992 DESC DATE:250723 CO ENTRY DESCR:PAYMENT   SEC:WEB    TRACE#:021000021553403 EED:250723   IND ID:1043708379014                IND NAME:JUDD DUNNING                                                                                                 250723PPZD21 TRN: 2041553403TC</t>
  </si>
  <si>
    <t xml:space="preserve">WWW.PERPLEXITY.AI WWW.PERPLEXIT CA           07/23</t>
  </si>
  <si>
    <t xml:space="preserve">Online Transfer to CHK ...1117 transaction#: 25576008777 07/22</t>
  </si>
  <si>
    <t xml:space="preserve">INDEED USI25-03900028 AUSTIN TX      352046  07/22</t>
  </si>
  <si>
    <t xml:space="preserve">SXM*SIRIUSXM.COM/ACCT 888-635-5144 NY        07/22</t>
  </si>
  <si>
    <t xml:space="preserve">ORIG CO NAME:VENMO                  ORIG ID:3264681992 DESC DATE:250722 CO ENTRY DESCR:PAYMENT   SEC:WEB    TRACE#:021000024916669 EED:250722   IND ID:1043674943377                IND NAME:JUDD DUNNING                                                                                                 250722PPZVA4 TRN: 2034916669TC</t>
  </si>
  <si>
    <t xml:space="preserve">ORIG CO NAME:VENMO                  ORIG ID:3264681992 DESC DATE:250722 CO ENTRY DESCR:PAYMENT   SEC:WEB    TRACE#:021000024917650 EED:250722   IND ID:1043674924137                IND NAME:JUDD DUNNING                                                                                                 250722PPZVA4 TRN: 2034917650TC</t>
  </si>
  <si>
    <t xml:space="preserve">ORIG CO NAME:PRINCIPAL-CCAPNL       ORIG ID:9INDPNLEFT DESC DATE:071925 CO ENTRY DESCR:PRIN FINANSEC:PPD    TRACE#:091000012201526 EED:250722   IND ID:                             IND NAME:JOHN B DUNNING TRN: 2032201526TC</t>
  </si>
  <si>
    <t xml:space="preserve">Experian* ProtectMyID 866-5849446 CA         07/21</t>
  </si>
  <si>
    <t xml:space="preserve">UPWORK * -829237721 866-262-4478 CA          07/21</t>
  </si>
  <si>
    <t xml:space="preserve">Online Transfer from CHK ...9335 transaction#: 25575997996</t>
  </si>
  <si>
    <t xml:space="preserve">Basic Online Payroll Payment 11179996480 to ########4122</t>
  </si>
  <si>
    <t xml:space="preserve">ORIG CO NAME:VENMO                  ORIG ID:3264681992 DESC DATE:250719 CO ENTRY DESCR:PAYMENT   SEC:WEB    TRACE#:021000029206290 EED:250721   IND ID:1043624580282                IND NAME:JUDD DUNNING                                                                                                 250719PPZJRU TRN: 2029206290TC</t>
  </si>
  <si>
    <t xml:space="preserve">ORIG CO NAME:VENMO                  ORIG ID:3264681992 DESC DATE:250720 CO ENTRY DESCR:PAYMENT   SEC:WEB    TRACE#:021000029894489 EED:250721   IND ID:1043650918704                IND NAME:JUDD DUNNING                                                                                                 250720PPZMFO TRN: 2029894489TC</t>
  </si>
  <si>
    <t xml:space="preserve">ORIG CO NAME:VENMO                  ORIG ID:3264681992 DESC DATE:250719 CO ENTRY DESCR:PAYMENT   SEC:WEB    TRACE#:021000029206130 EED:250721   IND ID:1043624567763                IND NAME:JUDD DUNNING                                                                                                 250719PPZJRU TRN: 2029206130TC</t>
  </si>
  <si>
    <t xml:space="preserve">ORIG CO NAME:VENMO                  ORIG ID:3264681992 DESC DATE:250720 CO ENTRY DESCR:PAYMENT   SEC:WEB    TRACE#:021000029907848 EED:250721   IND ID:1043630494953                IND NAME:JUDD DUNNING                                                                                                 250720PPZM8K TRN: 2029907848TC</t>
  </si>
  <si>
    <t xml:space="preserve">ORIG CO NAME:VENMO                  ORIG ID:3264681992 DESC DATE:250720 CO ENTRY DESCR:PAYMENT   SEC:WEB    TRACE#:021000029907804 EED:250721   IND ID:1043630481567                IND NAME:JUDD DUNNING                                                                                                 250720PPZM8K TRN: 2029907804TC</t>
  </si>
  <si>
    <t xml:space="preserve">Online Transfer to CHK ...1117 transaction#: 25558040698 07/21</t>
  </si>
  <si>
    <t xml:space="preserve">PAYPAL *UBER 866-576-1039 CA                 07/20</t>
  </si>
  <si>
    <t xml:space="preserve">PP*APPLE.COM/BILL 800-275-2273 CA            07/20</t>
  </si>
  <si>
    <t xml:space="preserve">PAYPAL *BEENVERIFIE 786-482-6776 NY          07/21</t>
  </si>
  <si>
    <t xml:space="preserve">PAYPAL *THEREALDEAL O 212-260-1332 NY        07/19</t>
  </si>
  <si>
    <t xml:space="preserve">RING PREMIUM PLAN RING.COM CA                07/19</t>
  </si>
  <si>
    <t xml:space="preserve">PAYPAL *FOXCORP 888-596-3938 CA              07/19</t>
  </si>
  <si>
    <t xml:space="preserve">DNH*GODADDY#3822186140 480-5058855 AZ        07/18</t>
  </si>
  <si>
    <t xml:space="preserve">DNH*GODADDY#3822186099 480-5058855 AZ        07/18</t>
  </si>
  <si>
    <t xml:space="preserve">DNH*GODADDY#3791442191 480-5058855 AZ        07/17</t>
  </si>
  <si>
    <t xml:space="preserve">ORIG CO NAME:VENMO                  ORIG ID:3264681992 DESC DATE:250718 CO ENTRY DESCR:PAYMENT   SEC:WEB    TRACE#:021000024640030 EED:250718   IND ID:1043601854842                IND NAME:JUDD DUNNING                                                                                                 250718PPZFR8 TRN: 1994640030TC</t>
  </si>
  <si>
    <t xml:space="preserve">Zelle payment to Jeff Fajardo JPM99bg6kzzl</t>
  </si>
  <si>
    <t xml:space="preserve">Online Payment 25532127611 To MERCEDES BENZ FINANCIAL SVCS 07/18</t>
  </si>
  <si>
    <t xml:space="preserve">Online Payment 25532128110 To LOS ANGELES MUNICIPAL SERVICE 07/18</t>
  </si>
  <si>
    <t xml:space="preserve">Online Transfer to CHK ...1117 transaction#: 25532010124 07/18</t>
  </si>
  <si>
    <t xml:space="preserve">ORIG CO NAME:AMERICAN EXPRESS       ORIG ID:2005032111 DESC DATE:250718 CO ENTRY DESCR:ACH PMT   SEC:CCD    TRACE#:021000022223782 EED:250718   IND ID:W6760                        IND NAME:John Dunning                                                                                                 ER AM TRN: 1992223782TC</t>
  </si>
  <si>
    <t xml:space="preserve">CITY OF SANTA MONICA SANTA MONICA CA         07/17</t>
  </si>
  <si>
    <t xml:space="preserve">TST*BLUEYS KITCHEN MAR Los Angeles CA        07/17</t>
  </si>
  <si>
    <t xml:space="preserve">PP*APPLE.COM/BILL 800-275-2273 CA            07/18</t>
  </si>
  <si>
    <t xml:space="preserve">CVS/PHARMACY #09493 LOS ANGELES CA           07/16</t>
  </si>
  <si>
    <t xml:space="preserve">INDEED USI25-03844568 AUSTIN TX      022611  07/17</t>
  </si>
  <si>
    <t xml:space="preserve">Zelle payment to Jay 25516557426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</si>
  <si>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ENTS/OCMT/COP2899247,55/EXCH/3865.6 634/CNTR/26173300/INT/ANDRES_527 TRN: 4331800198RE 07/17</t>
  </si>
  <si>
    <t xml:space="preserve">Zelle payment to Jeff Fajardo JPM99bfztuvj</t>
  </si>
  <si>
    <t xml:space="preserve">Zelle payment to Jeffrey Seider JPM99bfzu0od</t>
  </si>
  <si>
    <t xml:space="preserve">Zelle payment to Jay 25511219227</t>
  </si>
  <si>
    <t xml:space="preserve">SQ *VERSAILLES CUBAN F Los Angeles CA        07/16</t>
  </si>
  <si>
    <t xml:space="preserve">CTLP*FIRST CLASS VENDI BELLGARDENS CA        07/16</t>
  </si>
  <si>
    <t xml:space="preserve">PP*APPLE.COM/BILL 800-275-2273 CA            07/17</t>
  </si>
  <si>
    <t xml:space="preserve">PAYPAL *LINKEDIN 402-935-7733 CA             07/17</t>
  </si>
  <si>
    <t xml:space="preserve">ORIG CO NAME:LEASEDIRECT            ORIG ID:138190450  DESC DATE:250715 CO ENTRY DESCR:13329_1   SEC:CCD    TRACE#:043000095439679 EED:250716   IND ID:1556926                      IND NAME:DWG CAPITAL GROUP          INV# 590618241 DUE 07/15/25 REC# 22 97462                                         13330 TRN: 1975439679TC</t>
  </si>
  <si>
    <t xml:space="preserve">RABADI SERVICE STATION LOS ANGELES CA349900  07/15</t>
  </si>
  <si>
    <t xml:space="preserve">TST*DOOMIES HOME COOKI Los Angeles CA        07/16</t>
  </si>
  <si>
    <t xml:space="preserve">HWB TAPIN2 1 LOS ANGELES CA                  07/15</t>
  </si>
  <si>
    <t xml:space="preserve">HOLLYWOOD BOWL 410-6882489 CA                07/15</t>
  </si>
  <si>
    <t xml:space="preserve">SQ *PAYA THAI LA LLC. LOS ANGELES CA         07/15</t>
  </si>
  <si>
    <t xml:space="preserve">PP*APPLE.COM/BILL 800-275-2273 CA            07/16</t>
  </si>
  <si>
    <t xml:space="preserve">TST*SUTADONYA - SANTA Los Angeles CA         07/15</t>
  </si>
  <si>
    <t xml:space="preserve">SQ *ALANA'S COFFEE ROA Los Angeles CA        07/15</t>
  </si>
  <si>
    <t xml:space="preserve">Online Transfer from CHK ...9335 transaction#: 25507535073</t>
  </si>
  <si>
    <t xml:space="preserve">RESTORE.COM RESTORE.COM TX                   07/15</t>
  </si>
  <si>
    <t xml:space="preserve">TST*CANTALINIS Playa del Rey CA              07/14</t>
  </si>
  <si>
    <t xml:space="preserve">PP*APPLE.COM/BILL 800-275-2273 CA            07/15</t>
  </si>
  <si>
    <t xml:space="preserve">PP*GOOGLE GOOGLE ONE 855-836-3987 CA         07/15</t>
  </si>
  <si>
    <t xml:space="preserve">UPWORK * -827070191 866-262-4478 CA          07/14</t>
  </si>
  <si>
    <t xml:space="preserve">PP*APPLE.COM/BILL 800-275-2273 CA            07/14</t>
  </si>
  <si>
    <t xml:space="preserve">ORIG CO NAME:VENMO                  ORIG ID:3264681992 DESC DATE:250714 CO ENTRY DESCR:PAYMENT   SEC:WEB    TRACE#:021000020172240 EED:250714   IND ID:1043523129314                IND NAME:JUDD DUNNING                                                                                                 250714PPZEY7 TRN: 1950172240TC</t>
  </si>
  <si>
    <t xml:space="preserve">Basic Online Payroll Payment 11179120811 to ########4122</t>
  </si>
  <si>
    <t xml:space="preserve">Zelle payment to Jeff Fajardo JPM99bfo2pkt</t>
  </si>
  <si>
    <t xml:space="preserve">Zelle payment to Jeffrey Seider JPM99bfo2pfx</t>
  </si>
  <si>
    <t xml:space="preserve">Online Transfer to CHK ...1117 transaction#: 25474633803 07/14</t>
  </si>
  <si>
    <t xml:space="preserve">PAYPAL *RUTHALCANCI 402-935-7733 CA          07/14</t>
  </si>
  <si>
    <t xml:space="preserve">CHIPOTLE 1460 SAN FRANCISCO CA               07/13</t>
  </si>
  <si>
    <t xml:space="preserve">BOCCONCINO SAN FRANCISCO CA                  07/12</t>
  </si>
  <si>
    <t xml:space="preserve">PEET'S #00502 SAN FRANCISCO CA               07/12</t>
  </si>
  <si>
    <t xml:space="preserve">WALGREENS STORE 459 SAN FRANCISCO CA 947655  07/12</t>
  </si>
  <si>
    <t xml:space="preserve">SXM*SIRIUSXM.COM/ACCT 888-635-5144 NY        07/13</t>
  </si>
  <si>
    <t xml:space="preserve">PP*APPLE.COM/BILL 800-275-2273 CA            07/13</t>
  </si>
  <si>
    <t xml:space="preserve">PAYPAL *HULU 877-801-5441 CA                 07/12</t>
  </si>
  <si>
    <t xml:space="preserve">PP*SPOTIFY*P3881CAE83 203-318-9708 NY        07/12</t>
  </si>
  <si>
    <t xml:space="preserve">SAVOR SAN FRANCISCO CA               071235  07/11</t>
  </si>
  <si>
    <t xml:space="preserve">TST*SIGHTGLASS COFFE San Francisco CA        07/11</t>
  </si>
  <si>
    <t xml:space="preserve">Online Transfer to CHK ...0709 transaction#: 25449052578 07/11</t>
  </si>
  <si>
    <t xml:space="preserve">ORIG CO NAME:BANNER LIFE            ORIG ID:1521236145 DESC DATE:250710 CO ENTRY DESCR:PREM DEBITSEC:PPD    TRACE#:091000011270336 EED:250711   IND ID:                             IND NAME:ANGELA L DUNNING TRN: 1921270336TC</t>
  </si>
  <si>
    <t xml:space="preserve">ORIG CO NAME:GM Financial           ORIG ID:I522190781 DESC DATE:250711 CO ENTRY DESCR:GMF Pymt  SEC:PPD    TRACE#:091000019287391 EED:250711   IND ID:                             IND NAME:ANGELA DUNNING TRN: 1929287391TC</t>
  </si>
  <si>
    <t xml:space="preserve">ORIG CO NAME:ALLSTATE V&amp;P INS       ORIG ID:1360719665 DESC DATE:JUL 25 CO ENTRY DESCR:INS PREM  SEC:PPD    TRACE#:021000020973368 EED:250711   IND ID:                             IND NAME:DUNNING TRN: 1920973368TC</t>
  </si>
  <si>
    <t xml:space="preserve">HLU*HULUPLUS hulu.com/bill CA                07/11</t>
  </si>
  <si>
    <t xml:space="preserve">PAYPAL *LINKEDIN 402-935-7733 CA             07/10</t>
  </si>
  <si>
    <t xml:space="preserve">INDEED USI25-03772775 AUSTIN TX      222643  07/10</t>
  </si>
  <si>
    <t xml:space="preserve">PP*APPLE.COM/BILL 800-275-2273 CA            07/10</t>
  </si>
  <si>
    <t xml:space="preserve">ORIG CO NAME:VENMO                  ORIG ID:3264681992 DESC DATE:250709 CO ENTRY DESCR:PAYMENT   SEC:WEB    TRACE#:021000022619365 EED:250709   IND ID:1043415015451                IND NAME:JUDD DUNNING                                                                                                 250709PPZJWG TRN: 1902619365TC</t>
  </si>
  <si>
    <t xml:space="preserve">ORIG CO NAME:VENMO                  ORIG ID:3264681992 DESC DATE:250709 CO ENTRY DESCR:PAYMENT   SEC:WEB    TRACE#:021000022619368 EED:250709   IND ID:1043415016027                IND NAME:JUDD DUNNING                                                                                                 250709PPZJWG TRN: 1902619368TC</t>
  </si>
  <si>
    <t xml:space="preserve">ORIG CO NAME:VENMO                  ORIG ID:3264681992 DESC DATE:250709 CO ENTRY DESCR:PAYMENT   SEC:WEB    TRACE#:021000021058955 EED:250709   IND ID:1043410458049                IND NAME:JUDD DUNNING                                                                                                 250709PPZGUV TRN: 1901058955TC</t>
  </si>
  <si>
    <t xml:space="preserve">PAYPAL *EPOCH TIMES T 833-699-1888 NY        07/08</t>
  </si>
  <si>
    <t xml:space="preserve">LA VEGAN PLACE LOS ANGELES CA                07/07</t>
  </si>
  <si>
    <t xml:space="preserve">ORIG CO NAME:VENMO                  ORIG ID:3264681992 DESC DATE:250708 CO ENTRY DESCR:PAYMENT   SEC:WEB    TRACE#:021000024320750 EED:250708   IND ID:1043388699507                IND NAME:JUDD DUNNING                                                                                                 250708PPZ7EK TRN: 1894320750TC</t>
  </si>
  <si>
    <t xml:space="preserve">ORIG CO NAME:VENMO                  ORIG ID:3264681992 DESC DATE:250708 CO ENTRY DESCR:PAYMENT   SEC:WEB    TRACE#:021000028403190 EED:250708   IND ID:1043377488811                IND NAME:JUDD DUNNING                                                                                                 250708PPZ24U TRN: 1898403190TC</t>
  </si>
  <si>
    <t xml:space="preserve">NNT THE SS CO      000 LOS ANGELES CA948842  07/07</t>
  </si>
  <si>
    <t xml:space="preserve">PP*APPLE.COM/BILL 800-275-2273 CA            07/08</t>
  </si>
  <si>
    <t xml:space="preserve">UPWORK * -824911506 866-262-4478 CA          07/07</t>
  </si>
  <si>
    <t xml:space="preserve">Basic Online Payroll Payment 11179059863 to ########4122</t>
  </si>
  <si>
    <t xml:space="preserve">Basic Online Payroll Payment 11179056518 to ########4122</t>
  </si>
  <si>
    <t xml:space="preserve">Zelle payment to Jeff Fajardo JPM99beug35e</t>
  </si>
  <si>
    <t xml:space="preserve">Zelle payment to Estella Martinez JPM99beugf0u</t>
  </si>
  <si>
    <t xml:space="preserve">Online Transfer to CHK ...1117 transaction#: 25383580147 07/07</t>
  </si>
  <si>
    <t xml:space="preserve">PP*APPLE.COM/BILL 800-275-2273 CA            07/05</t>
  </si>
  <si>
    <t xml:space="preserve">Zelle payment to Jeffrey Seider JPM99ben1xj6</t>
  </si>
  <si>
    <t xml:space="preserve">Zelle payment to Jeff Fajardo JPM99bejbowe</t>
  </si>
  <si>
    <t xml:space="preserve">Online Transfer to CHK ...6586 transaction#: 25367199048 07/07</t>
  </si>
  <si>
    <t xml:space="preserve">PAYPAL *SANDYPR COM 402-935-7733 CA          07/03</t>
  </si>
  <si>
    <t xml:space="preserve">PAYPAL *PRAGERUNIVE P 833-772-4378 CA        07/03</t>
  </si>
  <si>
    <t xml:space="preserve">Online Transfer from CHK ...9335 transaction#: 25394288341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</si>
  <si>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ENTS/OCMT/COP2876549,55/EXCH/3835.3 994/CNTR/39440620/INT/ANDRES_527 TRN: 7024100184RE 07/03</t>
  </si>
  <si>
    <t xml:space="preserve">PP*APPLE.COM/BILL 800-275-2273 CA            07/03</t>
  </si>
  <si>
    <t xml:space="preserve">PAYPAL *DIRECTV 800-531-5000 TX              07/03</t>
  </si>
  <si>
    <t xml:space="preserve">ORIG CO NAME:TXU ENERGY             ORIG ID:1001020329 DESC DATE:       CO ENTRY DESCR:TXUE_ACH  SEC:WEB    TRACE#:021000029161940 EED:250702   IND ID:900062431557                 IND NAME:DWG CAPITAL GROUP          17333702810000000000000000000003526 0770205                                       DIRECT DEBITING TRN: 1839161940TC</t>
  </si>
  <si>
    <t xml:space="preserve">INDEED USI25-03377394 AUSTIN TX      022358  07/02</t>
  </si>
  <si>
    <t xml:space="preserve">INDEED USI25-03578662 AUSTIN TX      192268  07/02</t>
  </si>
  <si>
    <t xml:space="preserve">Online Payment 25333630470 To MERCEDES BENZ FINANCIAL SVCS 07/02</t>
  </si>
  <si>
    <t xml:space="preserve">Online Payment 25333603585 To PENTAGON FEDERAL CREDIT UNION 07/02</t>
  </si>
  <si>
    <t xml:space="preserve">PP*APPLE.COM/BILL 800-275-2273 CA            07/02</t>
  </si>
  <si>
    <t xml:space="preserve">PAYPAL *HULU 877-801-5441 CA                 07/01</t>
  </si>
  <si>
    <t xml:space="preserve">PAYPAL *GOOGLE LLC GO 650-253-0000 CA        07/01</t>
  </si>
  <si>
    <t xml:space="preserve">PAYPAL *BABBEL BABBEL. 35314369001           06/29</t>
  </si>
  <si>
    <t xml:space="preserve">ORIG CO NAME:BLUESHIELDCA           ORIG ID:7529219311 DESC DATE:250630 CO ENTRY DESCR:BILL PAY  SEC:CCD    TRACE#:031101117581939 EED:250701   IND ID:15680353641                  IND NAME:ANGELA DUNNING TRN: 1827581939TC</t>
  </si>
  <si>
    <t xml:space="preserve">ORIG CO NAME:GEICO                  ORIG ID:3530075853 DESC DATE:250630 CO ENTRY DESCR:PREM COLL SEC:PPD    TRACE#:021000027420809 EED:250701   IND ID:                             IND NAME:ANGELA TRN: 1827420809TC</t>
  </si>
  <si>
    <t xml:space="preserve">UPWORK * -822728565 866-262-4478 CA          06/30</t>
  </si>
  <si>
    <t xml:space="preserve">PP*APPLE.COM/BILL 800-275-2273 CA            07/01</t>
  </si>
  <si>
    <t xml:space="preserve">ORIG CO NAME:VENMO                  ORIG ID:3264681992 DESC DATE:250628 CO ENTRY DESCR:PAYMENT   SEC:WEB    TRACE#:021000023516530 EED:250630   IND ID:1043167659093                IND NAME:JUDD DUNNING                                                                                                 250628PPZI0Y TRN: 1813516530TC</t>
  </si>
  <si>
    <t xml:space="preserve">ORIG CO NAME:VENMO                  ORIG ID:3264681992 DESC DATE:250629 CO ENTRY DESCR:PAYMENT   SEC:WEB    TRACE#:021000024426290 EED:250630   IND ID:1043170264416                IND NAME:JUDD DUNNING                                                                                                 250629PPZJMX TRN: 1814426290TC</t>
  </si>
  <si>
    <t xml:space="preserve">ORIG CO NAME:GEICO                  ORIG ID:3530075853 DESC DATE:250628 CO ENTRY DESCR:PREM COLL SEC:PPD    TRACE#:021000023731615 EED:250630   IND ID:                             IND NAME:ANGELA DUNNING TRN: 1813731615TC</t>
  </si>
  <si>
    <t xml:space="preserve">ORIG CO NAME:VENMO                  ORIG ID:3264681992 DESC DATE:250628 CO ENTRY DESCR:PAYMENT   SEC:WEB    TRACE#:021000023541830 EED:250630   IND ID:1043153990491                IND NAME:JUDD DUNNING                                                                                                 250628PPZH4H TRN: 1813541830TC</t>
  </si>
  <si>
    <t xml:space="preserve">PAYPAL *UBER 866-576-1039 CA                 06/29</t>
  </si>
  <si>
    <t xml:space="preserve">PP*APPLE.COM/BILL 800-275-2273 CA            06/28</t>
  </si>
  <si>
    <t xml:space="preserve">ORIG CO NAME:BANNER LIFE            ORIG ID:1521236145 DESC DATE:250627 CO ENTRY DESCR:PREM DEBITSEC:PPD    TRACE#:091000018613749 EED:250630   IND ID:                             IND NAME:ANGELA L DUNNING TRN: 1818613749TC</t>
  </si>
  <si>
    <t xml:space="preserve">ORIG CO NAME:BANNER LIFE            ORIG ID:1521236145 DESC DATE:250627 CO ENTRY DESCR:PREM DEBITSEC:PPD    TRACE#:091000018613750 EED:250630   IND ID:                             IND NAME:JOHN  DUNNING TRN: 1818613750TC</t>
  </si>
  <si>
    <t xml:space="preserve">ORIG CO NAME:SBA EIDL LOAN          ORIG ID:7300000118 DESC DATE:250627 CO ENTRY DESCR:PAYMENT   SEC:CCD    TRACE#:041036046336446 EED:250630   IND ID:0000                         IND NAME:JOHN DUNNING               1871308204                                                                        ACH TRANSACTION TRN: 1816336446TC</t>
  </si>
  <si>
    <t xml:space="preserve">PAYPAL *GRUBHUBFOOD L 877-585-7878 IL        06/28</t>
  </si>
  <si>
    <t xml:space="preserve">ORIG CO NAME:AMERICAN EXPRESS       ORIG ID:2005032111 DESC DATE:250627 CO ENTRY DESCR:ACH PMT   SEC:CCD    TRACE#:021000028437252 EED:250627   IND ID:A9736                        IND NAME:John Dunning                                                                                                 ER AM TRN: 1788437252TC</t>
  </si>
  <si>
    <t xml:space="preserve">ORIG CO NAME:AMERICAN EXPRESS       ORIG ID:2005032111 DESC DATE:250627 CO ENTRY DESCR:ACH PMT   SEC:CCD    TRACE#:021000028437141 EED:250627   IND ID:A2890                        IND NAME:John Dunning                                                                                                 ER AM TRN: 1788437141TC</t>
  </si>
  <si>
    <t xml:space="preserve">ORIG CO NAME:AMERICAN EXPRESS       ORIG ID:2005032111 DESC DATE:250627 CO ENTRY DESCR:ACH PMT   SEC:CCD    TRACE#:021000028437193 EED:250627   IND ID:A1598                        IND NAME:John Dunning                                                                                                 ER AM TRN: 1788437193TC</t>
  </si>
  <si>
    <t xml:space="preserve">ORIG CO NAME:AMERICAN EXPRESS       ORIG ID:2005032111 DESC DATE:250627 CO ENTRY DESCR:ACH PMT   SEC:CCD    TRACE#:021000028437177 EED:250627   IND ID:A6214                        IND NAME:John Dunning                                                                                                 ER AM TRN: 1788437177TC</t>
  </si>
  <si>
    <t xml:space="preserve">ORIG CO NAME:AMERICAN EXPRESS       ORIG ID:2005032111 DESC DATE:250627 CO ENTRY DESCR:ACH PMT   SEC:CCD    TRACE#:021000028437237 EED:250627   IND ID:A3064                        IND NAME:John Dunning                                                                                                 ER AM TRN: 1788437237TC</t>
  </si>
  <si>
    <t xml:space="preserve">ORIG CO NAME:INTUIT *               ORIG ID:0000756346 DESC DATE:250627 CO ENTRY DESCR:QBooks OnlSEC:CCD    TRACE#:021000025241103 EED:250627   IND ID:1111288                      IND NAME:DWG CAPITAL GROUP                                                                                            800-446-8848 TRN: 1785241103TC</t>
  </si>
  <si>
    <t xml:space="preserve">PAYPAL *UBER 866-576-1039 CA                 06/27</t>
  </si>
  <si>
    <t xml:space="preserve">PP*APPLE.COM/BILL 800-275-2273 CA            06/27</t>
  </si>
  <si>
    <t xml:space="preserve">PAYPAL *CHEVYBENSON 402-935-7733 CA          06/27</t>
  </si>
  <si>
    <t xml:space="preserve">Online Transfer to CHK ...6975 transaction#: 25262909719 06/26</t>
  </si>
  <si>
    <t xml:space="preserve">Online Transfer to CHK ...1117 transaction#: 25262867466 06/26</t>
  </si>
  <si>
    <t xml:space="preserve">Online Transfer to CHK ...7899 transaction#: 25262856489 06/26</t>
  </si>
  <si>
    <t xml:space="preserve">Zelle payment to Jeffrey Seider JPM99bdi73m3</t>
  </si>
  <si>
    <t xml:space="preserve">Disney Plus 888-9057888 CA                   06/26</t>
  </si>
  <si>
    <t xml:space="preserve">PAYPAL *UBER 866-576-1039 CA                 06/26</t>
  </si>
  <si>
    <t xml:space="preserve">PP*APPLE.COM/BILL 800-275-2273 CA            06/25</t>
  </si>
  <si>
    <t xml:space="preserve">ONLINE DOMESTIC WIRE TRANSFER A/C: MAX E RODRIGUEZ JR OR SEABY D COTO DE CAZA CA 92679-5115 US REF: JUNE AND FINAL MO JULY RETAINER 10KFOR SPENT RETAINER CAPITAL CLAWBACK AND PERCEENTAGE FORWARD AS AGREED/A CC/4290705355 MAX RODRIGUEZ 19 CENT AURUS WAY TRABUCO CANYON CA 92579 U S TRN: 3059995176ES 06/25</t>
  </si>
  <si>
    <t xml:space="preserve">PAYPAL *CANVA 416-131-8870 DE                06/25</t>
  </si>
  <si>
    <t xml:space="preserve">INDEED USI25-03297354 AUSTIN TX      072271  06/24</t>
  </si>
  <si>
    <t xml:space="preserve">PAYPAL *SUCCESS B 402-935-7733 CA            06/24</t>
  </si>
  <si>
    <t xml:space="preserve">UPWORK * -820520106 866-262-4478 CA          06/23</t>
  </si>
  <si>
    <t xml:space="preserve">PP*APPLE.COM/BILL 800-275-2273 CA            06/24</t>
  </si>
  <si>
    <t xml:space="preserve">PAYPAL *LINKEDIN 402-935-7733 CA             06/23</t>
  </si>
  <si>
    <t xml:space="preserve">ORIG CO NAME:VENMO                  ORIG ID:3264681992 DESC DATE:250623 CO ENTRY DESCR:PAYMENT   SEC:WEB    TRACE#:021000021817681 EED:250623   IND ID:1043064229739                IND NAME:JUDD DUNNING                                                                                                 250623PPZEME TRN: 1741817681TC</t>
  </si>
  <si>
    <t xml:space="preserve">Zelle payment to Jeffrey Seider JPM99bd7otf2</t>
  </si>
  <si>
    <t xml:space="preserve">Zelle payment to Jeffrey Seider JPM99bd7p6m1</t>
  </si>
  <si>
    <t xml:space="preserve">Online Transfer to CHK ...1117 transaction#: 25232122097 06/23</t>
  </si>
  <si>
    <t xml:space="preserve">ORIG CO NAME:VENMO                  ORIG ID:3264681992 DESC DATE:250621 CO ENTRY DESCR:PAYMENT   SEC:WEB    TRACE#:021000025873144 EED:250623   IND ID:1043017321334                IND NAME:JUDD DUNNING                                                                                                 250621PPZ4UL TRN: 1745873144TC</t>
  </si>
  <si>
    <t xml:space="preserve">ORIG CO NAME:VENMO                  ORIG ID:3264681992 DESC DATE:250622 CO ENTRY DESCR:PAYMENT   SEC:WEB    TRACE#:021000026680458 EED:250623   IND ID:1043019164659                IND NAME:JUDD DUNNING                                                                                                 250622PPZ6GJ TRN: 1746680458TC</t>
  </si>
  <si>
    <t xml:space="preserve">ORIG CO NAME:PRINCIPAL-CCAPNL       ORIG ID:9INDPNLEFT DESC DATE:061925 CO ENTRY DESCR:PRIN FINANSEC:PPD    TRACE#:091000010082163 EED:250623   IND ID:                             IND NAME:JOHN B DUNNING TRN: 1740082163TC</t>
  </si>
  <si>
    <t xml:space="preserve">PAYPAL *SMALLPDF 4029357733                  06/21</t>
  </si>
  <si>
    <t xml:space="preserve">PP*APPLE.COM/BILL 800-275-2273 CA            06/20</t>
  </si>
  <si>
    <t xml:space="preserve">PAYPAL *BEENVERIFIE 786-482-6776 NY          06/21</t>
  </si>
  <si>
    <t xml:space="preserve">FEDWIRE CREDIT VIA: ALPINE BANK/102103407 B/O: LAND TITLE GUARANTEE COMPANY DENVER CO 80217-5440 REF: CHASE NYC/CTR/BNF=DWG CAPITAL GROUP LOS ANGELES CA 90066-3638 US/AC-00 0000002836 RFB=O/B ALPINE GLENW OBI =LOAN FINANCING COMMISSION AGREEMEN T FOR 500 FRANCIS, ASPEN WITH MAG C A PITAL GROUP IMAD: 0623MMQFMPJ3000053 TRN: 0666481174FF</t>
  </si>
  <si>
    <t xml:space="preserve">ORIG CO NAME:VENMO                  ORIG ID:3264681992 DESC DATE:250620 CO ENTRY DESCR:PAYMENT   SEC:WEB    TRACE#:021000027464864 EED:250620   IND ID:1043001499084                IND NAME:JUDD DUNNING                                                                                                 250620PPZ2WJ TRN: 1717464864TC</t>
  </si>
  <si>
    <t xml:space="preserve">Online Transfer to CHK ...1117 transaction#: 25200276037 06/20</t>
  </si>
  <si>
    <t xml:space="preserve">Zelle payment to Jeffrey Seider JPM99bcuvr90</t>
  </si>
  <si>
    <t xml:space="preserve">ORIG CO NAME:VENMO                  ORIG ID:3264681992 DESC DATE:250620 CO ENTRY DESCR:PAYMENT   SEC:WEB    TRACE#:021000029973131 EED:250620   IND ID:1042983624004                IND NAME:JUDD DUNNING                                                                                                 250620PPZUQ6 TRN: 1719973131TC</t>
  </si>
  <si>
    <t xml:space="preserve">ORIG CO NAME:VENMO                  ORIG ID:3264681992 DESC DATE:250619 CO ENTRY DESCR:PAYMENT   SEC:WEB    TRACE#:021000026979206 EED:250620   IND ID:1042964089896                IND NAME:JUDD DUNNING                                                                                                 250619PPZP87 TRN: 1716979206TC</t>
  </si>
  <si>
    <t xml:space="preserve">ORIG CO NAME:VENMO                  ORIG ID:3264681992 DESC DATE:250619 CO ENTRY DESCR:PAYMENT   SEC:WEB    TRACE#:021000027023338 EED:250620   IND ID:1042971908367                IND NAME:JUDD DUNNING                                                                                                 250619PPZSED TRN: 1717023338TC</t>
  </si>
  <si>
    <t xml:space="preserve">PAYPAL *THEREALDEAL O 212-260-1332 NY        06/19</t>
  </si>
  <si>
    <t xml:space="preserve">PAYPAL *FOXCORP 888-596-3938 CA              06/19</t>
  </si>
  <si>
    <t xml:space="preserve">DNH*GODADDY#3787511387 480-5058855 AZ        06/18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</si>
  <si>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ENTS/OCMT/COP2958284,18/EXCH/3944.3 789/CNTR/28002958/INT/ANDRES_527 TRN: 6928800169RE 06/18</t>
  </si>
  <si>
    <t xml:space="preserve">PP*APPLE.COM/BILL 800-275-2273 CA            06/18</t>
  </si>
  <si>
    <t xml:space="preserve">INDEED USI25-03218437 AUSTIN TX      072176  06/17</t>
  </si>
  <si>
    <t xml:space="preserve">ORIG CO NAME:LEASEDIRECT            ORIG ID:138190450  DESC DATE:250616 CO ENTRY DESCR:13103_1   SEC:CCD    TRACE#:043000099056757 EED:250617   IND ID:1556926                      IND NAME:DWG CAPITAL GROUP          INV# 590325113 DUE 06/15/25 REC# 22 10987                                         13104 TRN: 1689056757TC</t>
  </si>
  <si>
    <t xml:space="preserve">UPWORK * -818355192 866-262-4478 CA          06/16</t>
  </si>
  <si>
    <t xml:space="preserve">PP*APPLE.COM/BILL 800-275-2273 CA            06/17</t>
  </si>
  <si>
    <t xml:space="preserve">PAYPAL *LINKEDIN 402-935-7733 CA             06/17</t>
  </si>
  <si>
    <t xml:space="preserve">ORIG CO NAME:VENMO                  ORIG ID:3264681992 DESC DATE:250615 CO ENTRY DESCR:PAYMENT   SEC:WEB    TRACE#:021000024924045 EED:250616   IND ID:1042887661757                IND NAME:JUDD DUNNING                                                                                                 250615PPZW7L TRN: 1674924045TC</t>
  </si>
  <si>
    <t xml:space="preserve">ORIG CO NAME:VENMO                  ORIG ID:3264681992 DESC DATE:250615 CO ENTRY DESCR:PAYMENT   SEC:WEB    TRACE#:021000024920727 EED:250616   IND ID:1042887641607                IND NAME:JUDD DUNNING                                                                                                 250615PPZW7L TRN: 1674920727TC</t>
  </si>
  <si>
    <t xml:space="preserve">ORIG CO NAME:VENMO                  ORIG ID:3264681992 DESC DATE:250615 CO ENTRY DESCR:PAYMENT   SEC:WEB    TRACE#:021000024905810 EED:250616   IND ID:1042878929553                IND NAME:JUDD DUNNING                                                                                                 250615PPZW7K TRN: 1674905810TC</t>
  </si>
  <si>
    <t xml:space="preserve">ORIG CO NAME:VENMO                  ORIG ID:3264681992 DESC DATE:250615 CO ENTRY DESCR:PAYMENT   SEC:WEB    TRACE#:021000024917221 EED:250616   IND ID:1042880481969                IND NAME:JUDD DUNNING                                                                                                 250615PPZW7K TRN: 1674917221TC</t>
  </si>
  <si>
    <t xml:space="preserve">ORIG CO NAME:VENMO                  ORIG ID:3264681992 DESC DATE:250614 CO ENTRY DESCR:PAYMENT   SEC:WEB    TRACE#:021000024095535 EED:250616   IND ID:1042859632248                IND NAME:JUDD DUNNING                                                                                                 250614PPZTSR TRN: 1674095535TC</t>
  </si>
  <si>
    <t xml:space="preserve">PP*APPLE.COM/BILL 800-275-2273 CA            06/16</t>
  </si>
  <si>
    <t xml:space="preserve">RESTORE.COM RESTORE.COM TX                   06/15</t>
  </si>
  <si>
    <t xml:space="preserve">PP*APPLE.COM/BILL 800-275-2273 CA            06/14</t>
  </si>
  <si>
    <t xml:space="preserve">PP*APPLE.COM/BILL 800-275-2273 CA            06/15</t>
  </si>
  <si>
    <t xml:space="preserve">PP*GOOGLE GOOGLE ONE 855-836-3987 CA         06/15</t>
  </si>
  <si>
    <t xml:space="preserve">PAYPAL *LINKEDIN 402-935-7733 CA             06/15</t>
  </si>
  <si>
    <t xml:space="preserve">CARD REPLACEMENT FEE</t>
  </si>
  <si>
    <t xml:space="preserve">PAYPAL *HULU 877-801-5441 CA                 06/12</t>
  </si>
  <si>
    <t xml:space="preserve">INDEED USI25-03160880 AUSTIN TX      072655  06/12</t>
  </si>
  <si>
    <t xml:space="preserve">Zelle payment to Jeff Fajardo JPM99bbug2il</t>
  </si>
  <si>
    <t xml:space="preserve">PP*SPOTIFY*P379C98EAB 203-318-9708 NY        06/12</t>
  </si>
  <si>
    <t xml:space="preserve">Online Transfer to CHK ...1117 transaction#: 25094128940 06/11</t>
  </si>
  <si>
    <t xml:space="preserve">Online Transfer to CHK ...7899 transaction#: 25094105298 06/11</t>
  </si>
  <si>
    <t xml:space="preserve">Online Payment 25091695142 To LOS ANGELES MUNICIPAL SERVICE 06/11</t>
  </si>
  <si>
    <t xml:space="preserve">Online Transfer to CHK ...0709 transaction#: 25091680917 06/11</t>
  </si>
  <si>
    <t xml:space="preserve">ORIG CO NAME:GM Financial           ORIG ID:I522190781 DESC DATE:250611 CO ENTRY DESCR:GMF Pymt  SEC:PPD    TRACE#:091000010612020 EED:250611   IND ID:                             IND NAME:ANGELA DUNNING TRN: 1620612020TC</t>
  </si>
  <si>
    <t xml:space="preserve">ORIG CO NAME:ALLSTATE V&amp;P INS       ORIG ID:1360719665 DESC DATE:JUN 25 CO ENTRY DESCR:INS PREM  SEC:PPD    TRACE#:021000024777174 EED:250611   IND ID:                             IND NAME:DUNNING TRN: 1624777174TC</t>
  </si>
  <si>
    <t xml:space="preserve">PAYPAL *RUTHALCANCI 402-935-7733 CA          06/11</t>
  </si>
  <si>
    <t xml:space="preserve">PAYPAL *EPOCH TIMES T 833-699-1888 NY        06/10</t>
  </si>
  <si>
    <t xml:space="preserve">Online Transfer from CHK ...8061 transaction#: 25094083466</t>
  </si>
  <si>
    <t xml:space="preserve">Online Transfer from CHK ...9335 transaction#: 25094067351</t>
  </si>
  <si>
    <t xml:space="preserve">Online Transfer to CHK ...0805 transaction#: 25086125336 06/10</t>
  </si>
  <si>
    <t xml:space="preserve">HLU*HULUPLUS hulu.com/bill CA                06/10</t>
  </si>
  <si>
    <t xml:space="preserve">PAYPAL *CHURCH ROSE 402-935-7733 CA          06/10</t>
  </si>
  <si>
    <t xml:space="preserve">PAYPAL *RUTHALCANCI 402-935-7733 CA          06/10</t>
  </si>
  <si>
    <t xml:space="preserve">Online Transfer to CHK ...1117 transaction#: 25076703692 06/10</t>
  </si>
  <si>
    <t xml:space="preserve">Zelle payment to Aaron Frankel JPM99bbmur1g</t>
  </si>
  <si>
    <t xml:space="preserve">Zelle payment to Jeffrey Seider JPM99bbmuhyg</t>
  </si>
  <si>
    <t xml:space="preserve">Zelle payment to Jeffrey Seider JPM99bbmubm8</t>
  </si>
  <si>
    <t xml:space="preserve">PP*APPLE.COM/BILL 800-275-2273 CA            06/10</t>
  </si>
  <si>
    <t xml:space="preserve">Online Transfer to CHK ...1117 transaction#: 25071815929 06/09</t>
  </si>
  <si>
    <t xml:space="preserve">Online Transfer to CHK ...6975 transaction#: 25071827091 06/09</t>
  </si>
  <si>
    <t xml:space="preserve">INDEED USI25-03125006 AUSTIN TX      362750  06/09</t>
  </si>
  <si>
    <t xml:space="preserve">ORIG CO NAME:VENMO                  ORIG ID:3264681992 DESC DATE:250607 CO ENTRY DESCR:PAYMENT   SEC:WEB    TRACE#:021000022152250 EED:250609   IND ID:1042711566158                IND NAME:JUDD DUNNING                                                                                                 250607PPZGSX TRN: 1602152250TC</t>
  </si>
  <si>
    <t xml:space="preserve">ORIG CO NAME:VENMO                  ORIG ID:3264681992 DESC DATE:250607 CO ENTRY DESCR:PAYMENT   SEC:WEB    TRACE#:021000022152309 EED:250609   IND ID:1042711564181                IND NAME:JUDD DUNNING                                                                                                 250607PPZGSX TRN: 1602152309TC</t>
  </si>
  <si>
    <t xml:space="preserve">ORIG CO NAME:VENMO                  ORIG ID:3264681992 DESC DATE:250607 CO ENTRY DESCR:PAYMENT   SEC:WEB    TRACE#:021000022152282 EED:250609   IND ID:1042711562121                IND NAME:JUDD DUNNING                                                                                                 250607PPZGSX TRN: 1602152282TC</t>
  </si>
  <si>
    <t xml:space="preserve">PP*APPLE.COM/BILL 800-275-2273 CA            06/08</t>
  </si>
  <si>
    <t xml:space="preserve">PAYPAL *LINKEDIN 402-935-7733 CA             06/08</t>
  </si>
  <si>
    <t xml:space="preserve">Online Transfer to CHK ...1117 transaction#: 25030613857 06/06</t>
  </si>
  <si>
    <t xml:space="preserve">ORIG CO NAME:VENMO                  ORIG ID:3264681992 DESC DATE:250605 CO ENTRY DESCR:PAYMENT   SEC:WEB    TRACE#:021000020724303 EED:250605   IND ID:1042685435236                IND NAME:JUDD DUNNING                                                                                                 250605PPZ7C6 TRN: 1560724303TC</t>
  </si>
  <si>
    <t xml:space="preserve">INDEED USI25-03092346 AUSTIN TX      022988  06/05</t>
  </si>
  <si>
    <t xml:space="preserve">Online Transfer to CHK ...6975 transaction#: 25022282651 06/05</t>
  </si>
  <si>
    <t xml:space="preserve">Online Transfer to CHK ...1117 transaction#: 25022244648 06/05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</si>
  <si>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ENTS/OCMT/COP2965784,70/EXCH/3954.3 796/CNTR/65053313/INT/ANDRES_527 TRN: 5314900156RE 06/05</t>
  </si>
  <si>
    <t xml:space="preserve">PP*APPLE.COM/BILL 800-275-2273 CA            06/04</t>
  </si>
  <si>
    <t xml:space="preserve">PAYPAL *UBER 866-576-1039 CA                 06/04</t>
  </si>
  <si>
    <t xml:space="preserve">PAYPAL *UBER 866-576-1039 CA                 06/03</t>
  </si>
  <si>
    <t xml:space="preserve">PAYPAL *SANDYPR COM 402-935-7733 CA          06/03</t>
  </si>
  <si>
    <t xml:space="preserve">PAYPAL *PRAGERUNIVE P 833-772-4378 CA        06/03</t>
  </si>
  <si>
    <t xml:space="preserve">PAYPAL *SMALLPDF 4029357733                  06/03</t>
  </si>
  <si>
    <t xml:space="preserve">PP*APPLE.COM/BILL 800-275-2273 CA            06/03</t>
  </si>
  <si>
    <t xml:space="preserve">UPWORK * -814059305 866-262-4478 CA          06/02</t>
  </si>
  <si>
    <t xml:space="preserve">PAYPAL *DIRECTV 800-531-5000 TX              06/03</t>
  </si>
  <si>
    <t xml:space="preserve">STANDARD ACH PMNTS INITIAL FEE QTY = 4</t>
  </si>
  <si>
    <t xml:space="preserve">Zelle payment to Estella Martinez JPM99baqhjnt</t>
  </si>
  <si>
    <t xml:space="preserve">Online Transfer to CHK ...6975 transaction#: 24989796561 06/02</t>
  </si>
  <si>
    <t xml:space="preserve">ORIG CO NAME:TXU ENERGY             ORIG ID:1001020329 DESC DATE:       CO ENTRY DESCR:TXUE_ACH  SEC:WEB    TRACE#:021000026327408 EED:250602   IND ID:900062431557                 IND NAME:DWG CAPITAL GROUP          17333702810000000000000000000003540 9337044                                       DIRECT DEBITING TRN: 1536327408TC</t>
  </si>
  <si>
    <t xml:space="preserve">Online Transfer to CHK ...3922 transaction#: 24987650327 06/02</t>
  </si>
  <si>
    <t xml:space="preserve">Online Transfer to CHK ...7899 transaction#: 24987632837 06/02</t>
  </si>
  <si>
    <t xml:space="preserve">Online Transfer to CHK ...1117 transaction#: 24987610062 06/02</t>
  </si>
  <si>
    <t xml:space="preserve">INDEED USI25-02826772 AUSTIN TX      072089  06/02</t>
  </si>
  <si>
    <t xml:space="preserve">ORIG CO NAME:BLUESHIELDCA           ORIG ID:7529219311 DESC DATE:250531 CO ENTRY DESCR:BILL PAY  SEC:CCD    TRACE#:031101112286749 EED:250602   IND ID:15672480511                  IND NAME:ANGELA DUNNING TRN: 1532286749TC</t>
  </si>
  <si>
    <t xml:space="preserve">PP*APPLE.COM/BILL 800-275-2273 CA            06/02</t>
  </si>
  <si>
    <t xml:space="preserve">PAYPAL *GOOGLE LLC GO 650-253-0000 CA        06/01</t>
  </si>
  <si>
    <t xml:space="preserve">PAYPAL *HULU 877-801-5441 CA                 06/01</t>
  </si>
  <si>
    <t xml:space="preserve">Online Transfer to CHK ...3922 transaction#: 24963263947 06/02</t>
  </si>
  <si>
    <t xml:space="preserve">Online Transfer to CHK ...0709 transaction#: 24963271423 06/02</t>
  </si>
  <si>
    <t xml:space="preserve">ORIG CO NAME:GEICO                  ORIG ID:3530075853 DESC DATE:250530 CO ENTRY DESCR:PREM COLL SEC:PPD    TRACE#:021000021167857 EED:250602   IND ID:                             IND NAME:ANGELA TRN: 1531167857TC</t>
  </si>
  <si>
    <t xml:space="preserve">PP*APPLE.COM/BILL 800-275-2273 CA            06/01</t>
  </si>
  <si>
    <t xml:space="preserve">PP*APPLE.COM/BILL 800-275-2273 CA            05/31</t>
  </si>
  <si>
    <t xml:space="preserve">PAYPAL *LINKEDIN 402-935-7733 CA             05/31</t>
  </si>
  <si>
    <t xml:space="preserve">Online Transfer from CHK ...9335 transaction#: 24989793317</t>
  </si>
  <si>
    <t xml:space="preserve">Online Transfer to CHK ...0709 transaction#: 24950193688 05/30</t>
  </si>
  <si>
    <t xml:space="preserve">ORIG CO NAME:VENMO                  ORIG ID:3264681992 DESC DATE:250530 CO ENTRY DESCR:PAYMENT   SEC:WEB    TRACE#:021000021812705 EED:250530   IND ID:1042528469060                IND NAME:JUDD DUNNING                                                                                                 250530PPZTYY TRN: 1501812705TC</t>
  </si>
  <si>
    <t xml:space="preserve">ORIG CO NAME:SBA EIDL LOAN          ORIG ID:7300000118 DESC DATE:250529 CO ENTRY DESCR:PAYMENT   SEC:CCD    TRACE#:041036040521570 EED:250530   IND ID:0000                         IND NAME:JOHN DUNNING               1871308204                                                                        ACH TRANSACTION TRN: 1500521570TC</t>
  </si>
  <si>
    <t xml:space="preserve">PAYPAL *UBER 866-576-1039 CA                 05/30</t>
  </si>
  <si>
    <t xml:space="preserve">ORIG CO NAME:VENMO                  ORIG ID:3264681992 DESC DATE:250529 CO ENTRY DESCR:PAYMENT   SEC:WEB    TRACE#:021000026797447 EED:250529   IND ID:1042514750194                IND NAME:JUDD DUNNING                                                                                                 250529PPZPL8 TRN: 1496797447TC</t>
  </si>
  <si>
    <t xml:space="preserve">INDEED USI25-02713381 AUSTIN TX      192889  05/29</t>
  </si>
  <si>
    <t xml:space="preserve">ORIG CO NAME:GEICO                  ORIG ID:3530075853 DESC DATE:250528 CO ENTRY DESCR:PREM COLL SEC:PPD    TRACE#:021000026576415 EED:250529   IND ID:                             IND NAME:ANGELA DUNNING TRN: 1496576415TC</t>
  </si>
  <si>
    <t xml:space="preserve">ORIG CO NAME:BANNER LIFE            ORIG ID:1521236145 DESC DATE:250527 CO ENTRY DESCR:PREM DEBITSEC:PPD    TRACE#:091000014341456 EED:250528   IND ID:                             IND NAME:ANGELA L DUNNING TRN: 1484341456TC</t>
  </si>
  <si>
    <t xml:space="preserve">ORIG CO NAME:BANNER LIFE            ORIG ID:1521236145 DESC DATE:250527 CO ENTRY DESCR:PREM DEBITSEC:PPD    TRACE#:091000014341457 EED:250528   IND ID:                             IND NAME:JOHN  DUNNING TRN: 1484341457TC</t>
  </si>
  <si>
    <t xml:space="preserve">ORIG CO NAME:ROBINHOOD              ORIG ID:5326394001 DESC DATE:       CO ENTRY DESCR:DEBITS    SEC:WEB    TRACE#:021000026106462 EED:250528   IND ID:465626935                    IND NAME:Judd Dunning TRN: 1486106462TC</t>
  </si>
  <si>
    <t xml:space="preserve">CVS/PHARMACY #09563 LOS ANGELES CA           05/27</t>
  </si>
  <si>
    <t xml:space="preserve">ORIG CO NAME:VENMO                  ORIG ID:3264681992 DESC DATE:250527 CO ENTRY DESCR:PAYMENT   SEC:WEB    TRACE#:021000024364947 EED:250527   IND ID:1042476301559                IND NAME:JUDD DUNNING                                                                                                 250527PPZ8EZ TRN: 1474364947TC</t>
  </si>
  <si>
    <t xml:space="preserve">Online Payment 24911067178 To PENTAGON FEDERAL CREDIT UNION 05/27</t>
  </si>
  <si>
    <t xml:space="preserve">Online Payment 24911073100 To MERCEDES BENZ FINANCIAL 05/27</t>
  </si>
  <si>
    <t xml:space="preserve">Online Transfer to CHK ...1117 transaction#: 24911027530 05/27</t>
  </si>
  <si>
    <t xml:space="preserve">Online Transfer to CHK ...6975 transaction#: 24911034295 05/27</t>
  </si>
  <si>
    <t xml:space="preserve">Online Transfer to CHK ...7899 transaction#: 24911022231 05/27</t>
  </si>
  <si>
    <t xml:space="preserve">Online Transfer to CHK ...7753 transaction#: 24907758344 05/27</t>
  </si>
  <si>
    <t xml:space="preserve">ORIG CO NAME:INTUIT *               ORIG ID:0000756346 DESC DATE:250527 CO ENTRY DESCR:QBooks OnlSEC:CCD    TRACE#:021000021420807 EED:250527   IND ID:9520365                      IND NAME:DWG CAPITAL GROUP                                                                                            800-446-8848 TRN: 1471420807TC</t>
  </si>
  <si>
    <t xml:space="preserve">ORIG CO NAME:VENMO                  ORIG ID:3264681992 DESC DATE:250524 CO ENTRY DESCR:PAYMENT   SEC:WEB    TRACE#:021000020090199 EED:250527   IND ID:1042408722924                IND NAME:JUDD DUNNING                                                                                                 250524PPZVIC TRN: 1470090199TC</t>
  </si>
  <si>
    <t xml:space="preserve">ORIG CO NAME:VENMO                  ORIG ID:3264681992 DESC DATE:250524 CO ENTRY DESCR:PAYMENT   SEC:WEB    TRACE#:021000020073067 EED:250527   IND ID:1042403207306                IND NAME:JUDD DUNNING                                                                                                 250524PPZUQX TRN: 1470073067TC</t>
  </si>
  <si>
    <t xml:space="preserve">PP*APPLE.COM/BILL 800-275-2273 CA            05/27</t>
  </si>
  <si>
    <t xml:space="preserve">Zelle payment to Jeff Fajardo JPM99b9twfw2</t>
  </si>
  <si>
    <t xml:space="preserve">UPWORK * -811864380 866-262-4478 CA          05/26</t>
  </si>
  <si>
    <t xml:space="preserve">ORIG CO NAME:VENMO                  ORIG ID:3264681992 DESC DATE:250523 CO ENTRY DESCR:PAYMENT   SEC:WEB    TRACE#:021000028744012 EED:250523   IND ID:1042400744362                IND NAME:JUDD DUNNING                                                                                                 250523PPZU7Q TRN: 1438744012TC</t>
  </si>
  <si>
    <t xml:space="preserve">SXM*SIRIUSXM.COM/ACCT 888-635-5144 NY        05/22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</si>
  <si>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ENTS/OCMT/COP3026276,33/EXCH/4035.0 351/CNTR/87387677/INT/ANDRES_527 TRN: 6822900142RE 05/22</t>
  </si>
  <si>
    <t xml:space="preserve">INDEED USI25-02635158 AUSTIN TX      192978  05/21</t>
  </si>
  <si>
    <t xml:space="preserve">ORIG CO NAME:PRINCIPAL-CCAPNL       ORIG ID:9INDPNLEFT DESC DATE:051925 CO ENTRY DESCR:PRIN FINANSEC:PPD    TRACE#:091000018722351 EED:250521   IND ID:                             IND NAME:JOHN B DUNNING TRN: 1418722351TC</t>
  </si>
  <si>
    <t xml:space="preserve">Online Payment 24837446027 To MERCEDES BENZ FINANCIAL SVCS 05/21</t>
  </si>
  <si>
    <t xml:space="preserve">PP*APPLE.COM/BILL 800-275-2273 CA            05/21</t>
  </si>
  <si>
    <t xml:space="preserve">PAYPAL *BEENVERIFIE 786-482-6776 NY          05/21</t>
  </si>
  <si>
    <t xml:space="preserve">Online Transfer from CHK ...9335 transaction#: 24842589640</t>
  </si>
  <si>
    <t xml:space="preserve">Online Transfer to CHK ...3922 transaction#: 24837292184 05/20</t>
  </si>
  <si>
    <t xml:space="preserve">Online Transfer to CHK ...1117 transaction#: 24837290718 05/20</t>
  </si>
  <si>
    <t xml:space="preserve">PP*APPLE.COM/BILL 800-275-2273 CA            05/20</t>
  </si>
  <si>
    <t xml:space="preserve">UPWORK * -809728687 866-262-4478 CA          05/19</t>
  </si>
  <si>
    <t xml:space="preserve">PAYPAL *THEREALDEAL O 212-260-1332 NY        05/19</t>
  </si>
  <si>
    <t xml:space="preserve">ORIG CO NAME:VENMO                  ORIG ID:3264681992 DESC DATE:250518 CO ENTRY DESCR:PAYMENT   SEC:WEB    TRACE#:021000022639759 EED:250519   IND ID:1042282038145                IND NAME:JUDD DUNNING                                                                                                 250518PPZJSE TRN: 1392639759TC</t>
  </si>
  <si>
    <t xml:space="preserve">PAYPAL *FOXCORP 888-596-3938 CA              05/19</t>
  </si>
  <si>
    <t xml:space="preserve">DNH*GODADDY#3751565192 480-5058855 AZ        05/18</t>
  </si>
  <si>
    <t xml:space="preserve">PP*APPLE.COM/BILL 800-275-2273 CA            05/18</t>
  </si>
  <si>
    <t xml:space="preserve">PP*APPLE.COM/BILL 800-275-2273 CA            05/17</t>
  </si>
  <si>
    <t xml:space="preserve">PAYPAL *LINKEDIN 402-935-7733 CA             05/17</t>
  </si>
  <si>
    <t xml:space="preserve">Online Transfer to CHK ...6975 transaction#: 24794089335 05/16</t>
  </si>
  <si>
    <t xml:space="preserve">ORIG CO NAME:LEASEDIRECT            ORIG ID:138190450  DESC DATE:250515 CO ENTRY DESCR:12683_1   SEC:CCD    TRACE#:043000096468369 EED:250516   IND ID:1556926                      IND NAME:DWG CAPITAL GROUP          INV# 590001725 DUE 05/15/25 REC# 21 03043                                         12684 TRN: 1366468369TC</t>
  </si>
  <si>
    <t xml:space="preserve">PP*APPLE.COM/BILL 800-275-2273 CA            05/16</t>
  </si>
  <si>
    <t xml:space="preserve">ORIG CO NAME:Mercedes-Benz Fi       ORIG ID:9849902201 DESC DATE:250516 CO ENTRY DESCR:PAYMENTS  SEC:CCD    TRACE#:021000022538379 EED:250516   IND ID:.10012002615383              IND NAME:JOHN DUNNING TRN: 1362538379TC</t>
  </si>
  <si>
    <t xml:space="preserve">ACH_CREDIT</t>
  </si>
  <si>
    <t xml:space="preserve">RESTORE.COM RESTORE.COM TX                   05/15</t>
  </si>
  <si>
    <t xml:space="preserve">PP*GOOGLE GOOGLE ONE 855-836-3987 CA         05/15</t>
  </si>
  <si>
    <t xml:space="preserve">PP*APPLE.COM/BILL 800-275-2273 CA            05/15</t>
  </si>
  <si>
    <t xml:space="preserve">PP*APPLE.COM/BILL 800-275-2273 CA            05/14</t>
  </si>
  <si>
    <t xml:space="preserve">PAYPAL *LINKEDIN 402-935-7733 CA             05/14</t>
  </si>
  <si>
    <t xml:space="preserve">INDEED USI25-02547441 AUSTIN TX      192571  05/14</t>
  </si>
  <si>
    <t xml:space="preserve">Zelle payment to joe saunders 24763081707</t>
  </si>
  <si>
    <t xml:space="preserve">PAYPAL *EPOCH TIMES T 833-699-1888 NY        05/13</t>
  </si>
  <si>
    <t xml:space="preserve">TRADER JOE S #119 WEST LOS ANGE CA           05/13</t>
  </si>
  <si>
    <t xml:space="preserve">ORIG CO NAME:VENMO                  ORIG ID:3264681992 DESC DATE:250513 CO ENTRY DESCR:PAYMENT   SEC:WEB    TRACE#:021000028052551 EED:250513   IND ID:1042177203072                IND NAME:JUDD DUNNING                                                                                                 250513PPZJOC TRN: 1338052551TC</t>
  </si>
  <si>
    <t xml:space="preserve">Online Transfer to CHK ...0709 transaction#: 24752119415 05/13</t>
  </si>
  <si>
    <t xml:space="preserve">ORIG CO NAME:ALLSTATE V&amp;P INS       ORIG ID:1360719665 DESC DATE:MAY 25 CO ENTRY DESCR:INS PREM  SEC:PPD    TRACE#:021000022635357 EED:250513   IND ID:                             IND NAME:DUNNING TRN: 1332635357TC</t>
  </si>
  <si>
    <t xml:space="preserve">PAYPAL *UBER 866-576-1039 CA                 05/12</t>
  </si>
  <si>
    <t xml:space="preserve">PAYPAL *UBER 866-576-1039 CA                 05/13</t>
  </si>
  <si>
    <t xml:space="preserve">UPWORK * -807558260 866-262-4478 CA          05/12</t>
  </si>
  <si>
    <t xml:space="preserve">PAYPAL *HULU 877-801-5441 CA                 05/12</t>
  </si>
  <si>
    <t xml:space="preserve">Online Transfer from CHK ...9335 transaction#: 24752137717</t>
  </si>
  <si>
    <t xml:space="preserve">ORIG CO NAME:VENMO                  ORIG ID:3264681992 DESC DATE:250511 CO ENTRY DESCR:PAYMENT   SEC:WEB    TRACE#:021000027893049 EED:250512   IND ID:1042136993993                IND NAME:JUDD DUNNING                                                                                                 250511PPZ5BL TRN: 1327893049TC</t>
  </si>
  <si>
    <t xml:space="preserve">ORIG CO NAME:GM Financial           ORIG ID:I522190781 DESC DATE:250512 CO ENTRY DESCR:GMF Pymt  SEC:PPD    TRACE#:091000017158772 EED:250512   IND ID:                             IND NAME:ANGELA DUNNING TRN: 1327158772TC</t>
  </si>
  <si>
    <t xml:space="preserve">PP*P36B60B17F 203-318-9708 NY                05/12</t>
  </si>
  <si>
    <t xml:space="preserve">PAYPAL *CAROLINAACOST 402-935-7733 CA        05/11</t>
  </si>
  <si>
    <t xml:space="preserve">PAYPAL *RUTHALCANCI 402-935-7733 CA          05/11</t>
  </si>
  <si>
    <t xml:space="preserve">HLU*HULUPLUS hulu.com/bill CA                05/10</t>
  </si>
  <si>
    <t xml:space="preserve">PP*APPLE.COM/BILL 800-275-2273 CA            05/10</t>
  </si>
  <si>
    <t xml:space="preserve">PP*APPLE.COM/BILL 800-275-2273 CA            05/09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</si>
  <si>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ENTS/OCMT/COP3100095,75/EXCH/4133.4 610/CNTR/56444872/INT/ANDRES_527 TRN: 9229700128RE 05/08</t>
  </si>
  <si>
    <t xml:space="preserve">Online Transfer to CHK ...1927 transaction#: 24689575568 05/08</t>
  </si>
  <si>
    <t xml:space="preserve">PP*APPLE.COM/BILL 800-275-2273 CA            05/08</t>
  </si>
  <si>
    <t xml:space="preserve">Zelle payment to jeff Fajardo JPM99b7juxxj</t>
  </si>
  <si>
    <t xml:space="preserve">Online Transfer to CHK ...1117 transaction#: 24678761006 05/07</t>
  </si>
  <si>
    <t xml:space="preserve">Zelle payment to jeff Fajardo JPM99b7juffg</t>
  </si>
  <si>
    <t xml:space="preserve">Online Transfer from CHK ...9335 transaction#: 24678752814</t>
  </si>
  <si>
    <t xml:space="preserve">ORIG CO NAME:VENMO                  ORIG ID:3264681992 DESC DATE:250506 CO ENTRY DESCR:PAYMENT   SEC:WEB    TRACE#:021000027770744 EED:250506   IND ID:1042035672542                IND NAME:JUDD DUNNING                                                                                                 250506PPZ956 TRN: 1267770744TC</t>
  </si>
  <si>
    <t xml:space="preserve">INDEED USI25-02430178 AUSTIN TX      352662  05/06</t>
  </si>
  <si>
    <t xml:space="preserve">UPWORK * -805403240 866-262-4478 CA          05/05</t>
  </si>
  <si>
    <t xml:space="preserve">ORIG CO NAME:VENMO                  ORIG ID:3264681992 DESC DATE:250505 CO ENTRY DESCR:PAYMENT   SEC:WEB    TRACE#:021000025824473 EED:250505   IND ID:1042016297953                IND NAME:JUDD DUNNING                                                                                                 250505PPZZY7 TRN: 1255824473TC</t>
  </si>
  <si>
    <t xml:space="preserve">ORIG CO NAME:VENMO                  ORIG ID:3264681992 DESC DATE:250504 CO ENTRY DESCR:PAYMENT   SEC:WEB    TRACE#:021000026604907 EED:250505   IND ID:1041966056524                IND NAME:JUDD DUNNING                                                                                                 250504PPZRSG TRN: 1256604907TC</t>
  </si>
  <si>
    <t xml:space="preserve">PP*APPLE.COM/BILL 800-275-2273 CA            05/04</t>
  </si>
  <si>
    <t xml:space="preserve">Zelle payment to Jeff D. Farjardo JPM99b769jcy</t>
  </si>
  <si>
    <t xml:space="preserve">Online Transfer to CHK ...0709 transaction#: 24643016680 05/05</t>
  </si>
  <si>
    <t xml:space="preserve">PAYPAL *SANDYPR COM 402-935-7733 CA          05/03</t>
  </si>
  <si>
    <t xml:space="preserve">PP*APPLE.COM/BILL 800-275-2273 CA            05/03</t>
  </si>
  <si>
    <t xml:space="preserve">PAYPAL *PRAGERUNIVE P 833-772-4378 CA        05/03</t>
  </si>
  <si>
    <t xml:space="preserve">PAYPAL *DIRECTV 800-531-5000 TX              05/03</t>
  </si>
  <si>
    <t xml:space="preserve">PAYPAL *UBER 866-576-1039 CA                 05/02</t>
  </si>
  <si>
    <t xml:space="preserve">TRADER JOE S #119 WEST LOS ANGE CA           05/01</t>
  </si>
  <si>
    <t xml:space="preserve">PP*APPLE.COM/BILL 800-275-2273 CA            05/02</t>
  </si>
  <si>
    <t xml:space="preserve">PAYPAL *GOOGLE LLC GO 650-253-0000 CA        05/01</t>
  </si>
  <si>
    <t xml:space="preserve">PAYPAL *HULU 877-801-5441 CA                 05/01</t>
  </si>
  <si>
    <t xml:space="preserve">STANDARD ACH PMNTS INITIAL FEE QTY = 5</t>
  </si>
  <si>
    <t xml:space="preserve">ORIG CO NAME:VENMO                  ORIG ID:3264681992 DESC DATE:250501 CO ENTRY DESCR:PAYMENT   SEC:WEB    TRACE#:021000022380589 EED:250501   IND ID:1041912505810                IND NAME:JUDD DUNNING                                                                                                 250501PPZC79 TRN: 1212380589TC</t>
  </si>
  <si>
    <t xml:space="preserve">ORIG CO NAME:GEICO                  ORIG ID:3530075853 DESC DATE:250430 CO ENTRY DESCR:PREM COLL SEC:PPD    TRACE#:021000022241460 EED:250501   IND ID:                             IND NAME:ANGELA TRN: 1212241460TC</t>
  </si>
  <si>
    <t xml:space="preserve">ORIG CO NAME:BLUESHIELDCA           ORIG ID:7529219311 DESC DATE:250430 CO ENTRY DESCR:BILL PAY  SEC:CCD    TRACE#:031101114034681 EED:250501   IND ID:15664665981                  IND NAME:ANGELA DUNNING TRN: 1214034681TC</t>
  </si>
  <si>
    <t xml:space="preserve">PAYPAL *UBER 866-576-1039 CA                 04/30</t>
  </si>
  <si>
    <t xml:space="preserve">PP*APPLE.COM/BILL 800-275-2273 CA            04/30</t>
  </si>
  <si>
    <t xml:space="preserve">ORIG CO NAME:SBA EIDL LOAN          ORIG ID:7300000118 DESC DATE:250429 CO ENTRY DESCR:PAYMENT   SEC:CCD    TRACE#:041036044925496 EED:250430   IND ID:0000                         IND NAME:JOHN DUNNING               1871308204                                                                        ACH TRANSACTION TRN: 1204925496TC</t>
  </si>
  <si>
    <t xml:space="preserve">Online Payment 24584052083 To PENTAGON FEDERAL CREDIT UNION 04/30</t>
  </si>
  <si>
    <t xml:space="preserve">Online Payment 24584043324 To MERCEDES BENZ FINANCIAL 04/30</t>
  </si>
  <si>
    <t xml:space="preserve">Zelle payment to jeff Fajardo JPM99b6lpn8x</t>
  </si>
  <si>
    <t xml:space="preserve">STARBUCKS STORE 57520 LOS ANGELES CA         04/29</t>
  </si>
  <si>
    <t xml:space="preserve">ORIG CO NAME:VENMO                  ORIG ID:3264681992 DESC DATE:250429 CO ENTRY DESCR:PAYMENT   SEC:WEB    TRACE#:021000024716875 EED:250429   IND ID:1041874638921                IND NAME:JUDD DUNNING                                                                                                 250429PPZWE6 TRN: 1194716875TC</t>
  </si>
  <si>
    <t xml:space="preserve">Online Transfer to CHK ...1117 transaction#: 24584054283 04/29</t>
  </si>
  <si>
    <t xml:space="preserve">Online Transfer to CHK ...6975 transaction#: 24584033135 04/29</t>
  </si>
  <si>
    <t xml:space="preserve">Online Transfer to CHK ...7899 transaction#: 24584006895 04/29</t>
  </si>
  <si>
    <t xml:space="preserve">Online Transfer to CHK ...1117 transaction#: 24583838082 04/29</t>
  </si>
  <si>
    <t xml:space="preserve">ORIG CO NAME:GEICO                  ORIG ID:3530075853 DESC DATE:250428 CO ENTRY DESCR:PREM COLL SEC:PPD    TRACE#:021000026241568 EED:250429   IND ID:                             IND NAME:ANGELA DUNNING TRN: 1196241568TC</t>
  </si>
  <si>
    <t xml:space="preserve">ORIG CO NAME:MBFS.COM               ORIG ID:1850860002 DESC DATE:250429 CO ENTRY DESCR:Auto Pay  SEC:WEB    TRACE#:021000026101570 EED:250429   IND ID:5002505795                   IND NAME:John B. Dunning TRN: 1196101570TC</t>
  </si>
  <si>
    <t xml:space="preserve">PAYPAL *LOSANGELESH 402-935-7733 CA          04/29</t>
  </si>
  <si>
    <t xml:space="preserve">UPWORK * -803230700 866-262-4478 CA          04/28</t>
  </si>
  <si>
    <t xml:space="preserve">PAYPAL *CAROLINAACOST 402-935-7733 CA        04/28</t>
  </si>
  <si>
    <t xml:space="preserve">Online Transfer from CHK ...9335 transaction#: 24583994944</t>
  </si>
  <si>
    <t xml:space="preserve">ORIG CO NAME:AMERICAN EXPRESS       ORIG ID:2005032111 DESC DATE:250428 CO ENTRY DESCR:ACH PMT   SEC:CCD    TRACE#:021000027961425 EED:250428   IND ID:A6062                        IND NAME:John Dunning                                                                                                 ER AM TRN: 1187961425TC</t>
  </si>
  <si>
    <t xml:space="preserve">ORIG CO NAME:BANNER LIFE            ORIG ID:1521236145 DESC DATE:250427 CO ENTRY DESCR:PREM DEBITSEC:PPD    TRACE#:091000018157762 EED:250428   IND ID:                             IND NAME:ANGELA L DUNNING TRN: 1188157762TC</t>
  </si>
  <si>
    <t xml:space="preserve">ORIG CO NAME:VENMO                  ORIG ID:3264681992 DESC DATE:250427 CO ENTRY DESCR:PAYMENT   SEC:WEB    TRACE#:021000028313589 EED:250428   IND ID:1041805835580                IND NAME:JUDD DUNNING                                                                                                 250427PPZEE8 TRN: 1188313589TC</t>
  </si>
  <si>
    <t xml:space="preserve">ORIG CO NAME:VENMO                  ORIG ID:3264681992 DESC DATE:250426 CO ENTRY DESCR:PAYMENT   SEC:WEB    TRACE#:021000027541030 EED:250428   IND ID:1041803920705                IND NAME:JUDD DUNNING                                                                                                 250426PPZCVP TRN: 1187541030TC</t>
  </si>
  <si>
    <t xml:space="preserve">ORIG CO NAME:BANNER LIFE            ORIG ID:1521236145 DESC DATE:250427 CO ENTRY DESCR:PREM DEBITSEC:PPD    TRACE#:091000018157763 EED:250428   IND ID:                             IND NAME:JOHN  DUNNING TRN: 1188157763TC</t>
  </si>
  <si>
    <t xml:space="preserve">ORIG CO NAME:INTUIT *               ORIG ID:0000756346 DESC DATE:250427 CO ENTRY DESCR:QBooks OnlSEC:CCD    TRACE#:021000026961362 EED:250428   IND ID:8307246                      IND NAME:DWG CAPITAL GROUP                                                                                            800-446-8848 TRN: 1186961362TC</t>
  </si>
  <si>
    <t xml:space="preserve">ORIG CO NAME:BCBS HEALTH            ORIG ID:7529139811 DESC DATE:250426 CO ENTRY DESCR:BILL PAY  SEC:CCD    TRACE#:031101117690656 EED:250428   IND ID:14061859381                  IND NAME:JOHN DUNNING TRN: 1187690656TC</t>
  </si>
  <si>
    <t xml:space="preserve">PAYPAL *CHURCH ROSE 402-935-7733 CA          04/27</t>
  </si>
  <si>
    <t xml:space="preserve">PAYPAL *46 TECH 402-935-7733 CA              04/27</t>
  </si>
  <si>
    <t xml:space="preserve">PP*APPLE.COM/BILL 800-275-2273 CA            04/27</t>
  </si>
  <si>
    <t xml:space="preserve">PP*APPLE.COM/BILL 800-275-2273 CA            04/26</t>
  </si>
  <si>
    <t xml:space="preserve">Disney Plus 888-9057888 CA                   04/26</t>
  </si>
  <si>
    <t xml:space="preserve">ORIG CO NAME:VENMO                  ORIG ID:3264681992 DESC DATE:250425 CO ENTRY DESCR:PAYMENT   SEC:WEB    TRACE#:021000022715279 EED:250425   IND ID:1041790000358                IND NAME:JUDD DUNNING                                                                                                 250425PPZBJU TRN: 1152715279TC</t>
  </si>
  <si>
    <t xml:space="preserve">PAYPAL *CANVA 416-131-8870 DE                04/25</t>
  </si>
  <si>
    <t xml:space="preserve">ORIG CO NAME:VENMO                  ORIG ID:3264681992 DESC DATE:250424 CO ENTRY DESCR:PAYMENT   SEC:WEB    TRACE#:021000029815139 EED:250424   IND ID:1041759103003                IND NAME:JUDD DUNNING                                                                                                 250424PPZZ81 TRN: 1149815139TC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</si>
  <si>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ENTS/OCMT/COP3120334,80/EXCH/4160.4 464/CNTR/56840185/INT/ANDRES_527 TRN: 6924400114RE 04/24</t>
  </si>
  <si>
    <t xml:space="preserve">PP*APPLE.COM/BILL 800-275-2273 CA            04/23</t>
  </si>
  <si>
    <t xml:space="preserve">PAYPAL *LINKEDIN 402-935-7733 CA             04/23</t>
  </si>
  <si>
    <t xml:space="preserve">Online Transfer to CHK ...1117 transaction#: 24514397533 04/23</t>
  </si>
  <si>
    <t xml:space="preserve">SXM*SIRIUSXM.COM/ACCT 888-635-5144 NY        04/22</t>
  </si>
  <si>
    <t xml:space="preserve">ORIG CO NAME:PRINCIPAL-CCAPNL       ORIG ID:9INDPNLEFT DESC DATE:041925 CO ENTRY DESCR:PRIN FINANSEC:PPD    TRACE#:091000013752001 EED:250422   IND ID:                             IND NAME:JOHN B DUNNING TRN: 1123752001TC</t>
  </si>
  <si>
    <t xml:space="preserve">PAYPAL *ANDRES_52763 402-935-7733 CA         04/22</t>
  </si>
  <si>
    <t xml:space="preserve">UPWORK * -801096571 866-262-4478 CA          04/21</t>
  </si>
  <si>
    <t xml:space="preserve">ORIG CO NAME:VENMO                  ORIG ID:3264681992 DESC DATE:250421 CO ENTRY DESCR:PAYMENT   SEC:WEB    TRACE#:021000023055594 EED:250421   IND ID:1041699196030                IND NAME:JUDD DUNNING                                                                                                 250421PPZ9ZI TRN: 1113055594TC</t>
  </si>
  <si>
    <t xml:space="preserve">ORIG CO NAME:TXU ENERGY             ORIG ID:1001020329 DESC DATE:       CO ENTRY DESCR:TXUE_ACH  SEC:WEB    TRACE#:021000024778478 EED:250421   IND ID:900062431557                 IND NAME:DWG CAPITAL GROUP          17333702810000000000000000000003556 7653853                                       DIRECT DEBITING TRN: 1114778478TC</t>
  </si>
  <si>
    <t xml:space="preserve">Online Transfer to CHK ...1117 transaction#: 24490845191 04/21</t>
  </si>
  <si>
    <t xml:space="preserve">PAYPAL *UBER 866-576-1039 CA                 04/20</t>
  </si>
  <si>
    <t xml:space="preserve">PP*APPLE.COM/BILL 800-275-2273 CA            04/20</t>
  </si>
  <si>
    <t xml:space="preserve">PAYPAL *BEENVERIFIE 786-482-6776 NY          04/21</t>
  </si>
  <si>
    <t xml:space="preserve">PP*APPLE.COM/BILL 800-275-2273 CA            04/19</t>
  </si>
  <si>
    <t xml:space="preserve">PAYPAL *THEREALDEAL O 212-260-1332 NY        04/20</t>
  </si>
  <si>
    <t xml:space="preserve">PAYPAL *FOXCORP 888-596-3938 CA              04/19</t>
  </si>
  <si>
    <t xml:space="preserve">TRADER JOE S #119 WEST LOS ANGE CA           04/18</t>
  </si>
  <si>
    <t xml:space="preserve">DNH*GODADDY#3715685580 480-5058855 AZ        04/18</t>
  </si>
  <si>
    <t xml:space="preserve">PAYPAL *UBERPAYMENT 35314369001              04/18</t>
  </si>
  <si>
    <t xml:space="preserve">ORIG CO NAME:VENMO                  ORIG ID:3264681992 DESC DATE:250418 CO ENTRY DESCR:PAYMENT   SEC:WEB    TRACE#:021000023324262 EED:250418   IND ID:1041630269925                IND NAME:JUDD DUNNING                                                                                                 250418PPZSJ4 TRN: 1083324262TC</t>
  </si>
  <si>
    <t xml:space="preserve">PP*APPLE.COM/BILL 800-275-2273 CA            04/17</t>
  </si>
  <si>
    <t xml:space="preserve">PAYPAL *UBERPAYMENT 35314369001              04/16</t>
  </si>
  <si>
    <t xml:space="preserve">PP*APPLE.COM/BILL 800-275-2273 CA            04/16</t>
  </si>
  <si>
    <t xml:space="preserve">PAYPAL *UBERPAYMENT 35314369001              04/15</t>
  </si>
  <si>
    <t xml:space="preserve">PAYPAL *LINKEDIN 402-935-7733 CA             04/17</t>
  </si>
  <si>
    <t xml:space="preserve">ORIG CO NAME:LEASEDIRECT            ORIG ID:138190450  DESC DATE:250415 CO ENTRY DESCR:12243_1   SEC:CCD    TRACE#:043000090339777 EED:250416   IND ID:1556926                      IND NAME:DWG CAPITAL GROUP          INV# 589693737 DUE 04/15/25 REC# 20 02820                                         12244 TRN: 1060339777TC</t>
  </si>
  <si>
    <t xml:space="preserve">TRADER JOE S #119 WEST LOS ANGE CA           04/15</t>
  </si>
  <si>
    <t xml:space="preserve">PAYPAL *EPOCH TIMES T 833-699-1888 NY        04/15</t>
  </si>
  <si>
    <t xml:space="preserve">RESTORE.COM RESTORE.COM TX                   04/15</t>
  </si>
  <si>
    <t xml:space="preserve">PP*APPLE.COM/BILL 800-275-2273 CA            04/15</t>
  </si>
  <si>
    <t xml:space="preserve">PP*GOOGLE GOOGLE ONE 855-836-3987 CA         04/15</t>
  </si>
  <si>
    <t xml:space="preserve">UPWORK * -799000117 866-262-4478 CA          04/14</t>
  </si>
  <si>
    <t xml:space="preserve">PP*APPLE.COM/BILL 800-275-2273 CA            04/14</t>
  </si>
  <si>
    <t xml:space="preserve">ORIG CO NAME:VENMO                  ORIG ID:3264681992 DESC DATE:250413 CO ENTRY DESCR:PAYMENT   SEC:WEB    TRACE#:021000023368893 EED:250414   IND ID:1041515392991                IND NAME:JUDD DUNNING                                                                                                 250413PPZPU3 TRN: 1043368893TC</t>
  </si>
  <si>
    <t xml:space="preserve">PP*APPLE.COM/BILL 800-275-2273 CA            04/12</t>
  </si>
  <si>
    <t xml:space="preserve">PAYPAL *HULU 877-801-5441 CA                 04/12</t>
  </si>
  <si>
    <t xml:space="preserve">PP*P35C83A43C 203-318-9708 NY                04/12</t>
  </si>
  <si>
    <t xml:space="preserve">PAYPAL *UBERPAYMENT 35314369001              04/10</t>
  </si>
  <si>
    <t xml:space="preserve">ORIG CO NAME:BANNER LIFE            ORIG ID:1521236145 DESC DATE:250410 CO ENTRY DESCR:PREM DEBITSEC:PPD    TRACE#:091000011634032 EED:250411   IND ID:                             IND NAME:ANGELA L DUNNING TRN: 1011634032TC</t>
  </si>
  <si>
    <t xml:space="preserve">ORIG CO NAME:GM Financial           ORIG ID:I522190781 DESC DATE:250411 CO ENTRY DESCR:GMF Pymt  SEC:PPD    TRACE#:091000011684640 EED:250411   IND ID:                             IND NAME:ANGELA DUNNING TRN: 1011684640TC</t>
  </si>
  <si>
    <t xml:space="preserve">ORIG CO NAME:ALLSTATE V&amp;P INS       ORIG ID:1360719665 DESC DATE:APR 25 CO ENTRY DESCR:INS PREM  SEC:PPD    TRACE#:021000022805121 EED:250411   IND ID:                             IND NAME:DUNNING TRN: 1012805121TC</t>
  </si>
  <si>
    <t xml:space="preserve">ORIG CO NAME:AMERICAN EXPRESS       ORIG ID:2005032111 DESC DATE:250410 CO ENTRY DESCR:ACH PMT   SEC:TEL    TRACE#:021000022367244 EED:250410   IND ID:R3222                        IND NAME:John Dunning                                                                                                 ER AM TRN: 1002367244TC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</si>
  <si>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ENTS/OCMT/COP3122597,33/EXCH/4163.4 631/CNTR/61810155/INT/ANDRES_527 TRN: 8584600100RE 04/10</t>
  </si>
  <si>
    <t xml:space="preserve">HLU*HULUPLUS hulu.com/bill CA                04/10</t>
  </si>
  <si>
    <t xml:space="preserve">TRADER JOE S #119 WEST LOS ANGE CA           04/09</t>
  </si>
  <si>
    <t xml:space="preserve">PP*APPLE.COM/BILL 800-275-2273 CA            04/09</t>
  </si>
  <si>
    <t xml:space="preserve">PAYPAL *LINKEDIN 402-935-7733 CA             04/10</t>
  </si>
  <si>
    <t xml:space="preserve">PAYPAL *RUTHALCANCI 402-935-7733 CA          04/08</t>
  </si>
  <si>
    <t xml:space="preserve">PP*APPLE.COM/BILL 800-275-2273 CA            04/08</t>
  </si>
  <si>
    <t xml:space="preserve">PAYPAL *UBERPAYMENT 35314369001              04/07</t>
  </si>
  <si>
    <t xml:space="preserve">PAYPAL *UBERPAYMENT 35314369001              04/06</t>
  </si>
  <si>
    <t xml:space="preserve">PP*APPLE.COM/BILL 800-275-2273 CA            04/05</t>
  </si>
  <si>
    <t xml:space="preserve">PAYPAL *UBERPAYMENT 35314369001              04/04</t>
  </si>
  <si>
    <t xml:space="preserve">PAYPAL *UBERPAYMENT 35314369001              04/03</t>
  </si>
  <si>
    <t xml:space="preserve">PP*APPLE.COM/BILL 800-275-2273 CA            04/04</t>
  </si>
  <si>
    <t xml:space="preserve">TRADER JOE S #119 WEST LOS ANGE CA           04/03</t>
  </si>
  <si>
    <t xml:space="preserve">PAYPAL *SANDYPR COM 402-935-7733 CA          04/03</t>
  </si>
  <si>
    <t xml:space="preserve">PAYPAL *PRAGERUNIVE P 833-772-4378 CA        04/03</t>
  </si>
  <si>
    <t xml:space="preserve">PAMPAS GRILL - CULVER CULVER CITY CA         04/02</t>
  </si>
  <si>
    <t xml:space="preserve">PP*APPLE.COM/BILL 800-275-2273 CA            04/03</t>
  </si>
  <si>
    <t xml:space="preserve">PAYPAL *DIRECTV 800-531-5000 TX              04/02</t>
  </si>
  <si>
    <t xml:space="preserve">PAYPAL *SALSIBOYSURFS 402-935-7733 CA        04/03</t>
  </si>
  <si>
    <t xml:space="preserve">ONLINE DOMESTIC WIRE TRANSFER A/C: MAX E RODRIGUEZ JR OR SEABY D COTO DE CAZA CA 92679-5115 US REF: DWG/ACC/4290705355 MAX RODRIGUEZ 19 CENTAURUS WAY TRABUCO CANYON CA 92 579 US TRN: 3472385092ES 04/02</t>
  </si>
  <si>
    <t xml:space="preserve">ORIG CO NAME:BLUESHIELDCA           ORIG ID:7529219311 DESC DATE:250401 CO ENTRY DESCR:BILL PAY  SEC:CCD    TRACE#:031101115823693 EED:250402   IND ID:15656849351                  IND NAME:ANGELA DUNNING TRN: 0925823693TC</t>
  </si>
  <si>
    <t xml:space="preserve">PP*APPLE.COM/BILL 800-275-2273 CA            04/02</t>
  </si>
  <si>
    <t xml:space="preserve">WHOLEFDS WLA 10045 LOS ANGELES CA            04/01</t>
  </si>
  <si>
    <t xml:space="preserve">PAYPAL *GOOGLE LLC GO 650-253-0000 CA        04/01</t>
  </si>
  <si>
    <t xml:space="preserve">PAYPAL *UBER 866-576-1039 CA                 04/01</t>
  </si>
  <si>
    <t xml:space="preserve">PAYPAL *HULU 877-801-5441 CA                 04/01</t>
  </si>
  <si>
    <t xml:space="preserve">RTP/Same Day - Low Value</t>
  </si>
  <si>
    <t xml:space="preserve">PAYPAL *BABBEL BABBEL. 35314369001           03/29</t>
  </si>
  <si>
    <t xml:space="preserve">ONLINE DOMESTIC WIRE TRANSFER VIA: BK AMER NYC/026009593 A/C: CHICAGO TITLE INSURANCE COMPANY BREA CA 92505 US REF: FBSC2405308-BP IMAD: 0331MMQFMP2M077151 TRN: 3881615090ES 03/31</t>
  </si>
  <si>
    <t xml:space="preserve">Zelle payment to nate JPM99b368z4g</t>
  </si>
  <si>
    <t xml:space="preserve">ORIG CO NAME:BANNER LIFE            ORIG ID:1521236145 DESC DATE:250328 CO ENTRY DESCR:PREM DEBITSEC:PPD    TRACE#:091000018695375 EED:250331   IND ID:                             IND NAME:ANGELA L DUNNING TRN: 0908695375TC</t>
  </si>
  <si>
    <t xml:space="preserve">ORIG CO NAME:BANNER LIFE            ORIG ID:1521236145 DESC DATE:250328 CO ENTRY DESCR:PREM DEBITSEC:PPD    TRACE#:091000018695376 EED:250331   IND ID:                             IND NAME:JOHN  DUNNING TRN: 0908695376TC</t>
  </si>
  <si>
    <t xml:space="preserve">ORIG CO NAME:VENMO                  ORIG ID:3264681992 DESC DATE:250329 CO ENTRY DESCR:PAYMENT   SEC:WEB    TRACE#:021000029440899 EED:250331   IND ID:1041195937160                IND NAME:JUDD DUNNING                                                                                                 250329PPZZ77 TRN: 0909440899TC</t>
  </si>
  <si>
    <t xml:space="preserve">ORIG CO NAME:GEICO                  ORIG ID:3530075853 DESC DATE:250330 CO ENTRY DESCR:PREM COLL SEC:PPD    TRACE#:021000029770769 EED:250331   IND ID:                             IND NAME:ANGELA TRN: 0909770769TC</t>
  </si>
  <si>
    <t xml:space="preserve">Online Transfer to CHK ...1117 transaction#: 24237495017 03/31</t>
  </si>
  <si>
    <t xml:space="preserve">PP*APPLE.COM/BILL 800-275-2273 CA            03/30</t>
  </si>
  <si>
    <t xml:space="preserve">RESTORE.COM RESTORE.COM TX                   03/29</t>
  </si>
  <si>
    <t xml:space="preserve">PP*APPLE.COM/BILL 800-275-2273 CA            03/29</t>
  </si>
  <si>
    <t xml:space="preserve">ORIG CO NAME:GEICO                  ORIG ID:3530075853 DESC DATE:250328 CO ENTRY DESCR:PREM COLL SEC:PPD    TRACE#:021000025091978 EED:250331   IND ID:                             IND NAME:ANGELA DUNNING TRN: 0905091978TC</t>
  </si>
  <si>
    <t xml:space="preserve">ORIG CO NAME:MBFS.COM               ORIG ID:1850860002 DESC DATE:250331 CO ENTRY DESCR:Auto Pay  SEC:WEB    TRACE#:021000026811914 EED:250331   IND ID:5002505795                   IND NAME:John B. Dunning TRN: 0906811914TC</t>
  </si>
  <si>
    <t xml:space="preserve">ORIG CO NAME:SBA EIDL LOAN          ORIG ID:7300000118 DESC DATE:250328 CO ENTRY DESCR:PAYMENT   SEC:CCD    TRACE#:041036044211664 EED:250331   IND ID:0000                         IND NAME:JOHN DUNNING               1871308204                                                                        ACH TRANSACTION TRN: 0904211664TC</t>
  </si>
  <si>
    <t xml:space="preserve">Online Payment 24217278494 To PENTAGON FEDERAL CREDIT UNION 03/31</t>
  </si>
  <si>
    <t xml:space="preserve">Online Payment 24217253904 To MERCEDES BENZ FINANCIAL 03/31</t>
  </si>
  <si>
    <t xml:space="preserve">PAYPAL *GRUBHUBFOOD L 877-585-7878 IL        03/30</t>
  </si>
  <si>
    <t xml:space="preserve">PAYPAL *UBER 866-576-1039 CA                 03/29</t>
  </si>
  <si>
    <t xml:space="preserve">Zelle payment to Murugu Navaneetha JPM99b2wrrb2</t>
  </si>
  <si>
    <t xml:space="preserve">Online Transfer from CHK ...9335 transaction#: 24244376834</t>
  </si>
  <si>
    <t xml:space="preserve">Online Transfer from CHK ...9335 transaction#: 24237494598</t>
  </si>
  <si>
    <t xml:space="preserve">Online Transfer to CHK ...1117 transaction#: 24215711884 03/28</t>
  </si>
  <si>
    <t xml:space="preserve">Online Transfer to CHK ...7899 transaction#: 24215703354 03/28</t>
  </si>
  <si>
    <t xml:space="preserve">Online Transfer to CHK ...6975 transaction#: 24215664774 03/28</t>
  </si>
  <si>
    <t xml:space="preserve">Online Transfer to CHK ...1117 transaction#: 24215632050 03/28</t>
  </si>
  <si>
    <t xml:space="preserve">Online Transfer 24214578147 from Butler Weldment ####8349 transaction #: 24214578147 03/28</t>
  </si>
  <si>
    <t xml:space="preserve">Online Transfer from CHK ...9335 transaction#: 24215691297</t>
  </si>
  <si>
    <t xml:space="preserve">ORIG CO NAME:INTUIT *               ORIG ID:0000756346 DESC DATE:250327 CO ENTRY DESCR:QBooks OnlSEC:CCD    TRACE#:021000021352409 EED:250327   IND ID:7162101                      IND NAME:DWG CAPITAL GROUP                                                                                            800-446-8848 TRN: 0861352409TC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</si>
  <si>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ENTS/OCMT/COP2991931,05/EXCH/3989.2 414/CNTR/59597642/INT/ANDRES_527 TRN: 5709200086RE 03/27</t>
  </si>
  <si>
    <t xml:space="preserve">PAYPAL *UBER 866-576-1039 CA                 03/27</t>
  </si>
  <si>
    <t xml:space="preserve">PP*APPLE.COM/BILL 800-275-2273 CA            03/27</t>
  </si>
  <si>
    <t xml:space="preserve">Disney Plus 888-9057888 CA                   03/26</t>
  </si>
  <si>
    <t xml:space="preserve">PP*APPLE.COM/BILL 800-275-2273 CA            03/26</t>
  </si>
  <si>
    <t xml:space="preserve">Zelle payment to Alis Chiranian JPM99b2jll4r</t>
  </si>
  <si>
    <t xml:space="preserve">WITHDRAWAL 03/25</t>
  </si>
  <si>
    <t xml:space="preserve">MISC_DEBIT</t>
  </si>
  <si>
    <t xml:space="preserve">PAYPAL *MEG 402-935-7733 CA                  03/25</t>
  </si>
  <si>
    <t xml:space="preserve">PAYPAL *FACE AID 402-935-7733 CA             03/25</t>
  </si>
  <si>
    <t xml:space="preserve">PAYPAL *CANVA 416-131-8870 DE                03/25</t>
  </si>
  <si>
    <t xml:space="preserve">Upwork -792428005REF 650-8534100 CA          03/24</t>
  </si>
  <si>
    <t xml:space="preserve">Online Transfer to CHK ...1117 transaction#: 24164561463 03/24</t>
  </si>
  <si>
    <t xml:space="preserve">Zelle payment to Aaron Frankel JPM99b2e2c7z</t>
  </si>
  <si>
    <t xml:space="preserve">ORIG CO NAME:VENMO                  ORIG ID:3264681992 DESC DATE:250323 CO ENTRY DESCR:PAYMENT   SEC:WEB    TRACE#:021000029109253 EED:250324   IND ID:1041060778883                IND NAME:JUDD DUNNING                                                                                                 250323PPZOZS TRN: 0839109253TC</t>
  </si>
  <si>
    <t xml:space="preserve">ORIG CO NAME:VENMO                  ORIG ID:3264681992 DESC DATE:250323 CO ENTRY DESCR:PAYMENT   SEC:WEB    TRACE#:021000029109319 EED:250324   IND ID:1041060777677                IND NAME:JUDD DUNNING                                                                                                 250323PPZOZS TRN: 0839109319TC</t>
  </si>
  <si>
    <t xml:space="preserve">Zelle payment to jeff Fajardo JPM99b2cllqe</t>
  </si>
  <si>
    <t xml:space="preserve">PP*APPLE.COM/BILL 800-275-2273 CA            03/23</t>
  </si>
  <si>
    <t xml:space="preserve">Online Transfer to CHK ...1117 transaction#: 24151012416 03/24</t>
  </si>
  <si>
    <t xml:space="preserve">Zelle payment to jeff seider JPM99b294xmn</t>
  </si>
  <si>
    <t xml:space="preserve">Zelle payment to jeff seider JPM99b292ka9</t>
  </si>
  <si>
    <t xml:space="preserve">PAYPAL *FACE AID 402-935-7733 CA             03/23</t>
  </si>
  <si>
    <t xml:space="preserve">SXM*SIRIUSXM.COM/ACCT 888-635-5144 NY        03/22</t>
  </si>
  <si>
    <t xml:space="preserve">PAYPAL *LINKEDIN 402-935-7733 CA             03/23</t>
  </si>
  <si>
    <t xml:space="preserve">PAYPAL *FACE AID 402-935-7733 CA             03/22</t>
  </si>
  <si>
    <t xml:space="preserve">Online Transfer to CHK ...0709 transaction#: 24136947102 03/21</t>
  </si>
  <si>
    <t xml:space="preserve">Online Transfer to CHK ...1117 transaction#: 24136911754 03/21</t>
  </si>
  <si>
    <t xml:space="preserve">ORIG CO NAME:PRINCIPAL-CCAPNL       ORIG ID:9INDPNLEFT DESC DATE:031925 CO ENTRY DESCR:PRIN FINANSEC:PPD    TRACE#:091000016150281 EED:250321   IND ID:                             IND NAME:JOHN B DUNNING TRN: 0806150281TC</t>
  </si>
  <si>
    <t xml:space="preserve">ORIG CO NAME:BCBS HEALTH            ORIG ID:7529139811 DESC DATE:250320 CO ENTRY DESCR:BILL PAY  SEC:CCD    TRACE#:031101113460443 EED:250321   IND ID:20842377311                  IND NAME:JOHN DUUNNING TRN: 0803460443TC</t>
  </si>
  <si>
    <t xml:space="preserve">PP*APPLE.COM/BILL 800-275-2273 CA            03/20</t>
  </si>
  <si>
    <t xml:space="preserve">PAYPAL *BEENVERIFIE 786-482-6776 NY          03/21</t>
  </si>
  <si>
    <t xml:space="preserve">Online Transfer to CHK ...1117 transaction#: 24115020521 03/20</t>
  </si>
  <si>
    <t xml:space="preserve">PAYPAL *THEREALDEAL O 212-260-1332 NY        03/20</t>
  </si>
  <si>
    <t xml:space="preserve">PAYPAL *FOXCORP 888-596-3938 CA              03/19</t>
  </si>
  <si>
    <t xml:space="preserve">PAYPAL *FACE AID 402-935-7733 CA             03/19</t>
  </si>
  <si>
    <t xml:space="preserve">PAYPAL *EPOCH TIMES T 833-699-1888 NY        03/18</t>
  </si>
  <si>
    <t xml:space="preserve">PAYPAL *GRUBHUBFOOD L 877-585-7878 IL        03/19</t>
  </si>
  <si>
    <t xml:space="preserve">FEDWIRE CREDIT VIA: WORTHINGTON BANK/111924622 B/O: RATTIKIN TITLE COMPANY FORT WORTH TX 76116 REF: CHASE NYC/CTR/BNF=DWG CAPITAL GROUP LOS ANGELES CA 90066-3638 US/AC-00 0000002836 RFB=25-0127 OBI=COMMISSI ONS, 315 YORK AVE WEATHERFO RD, TX 76087 817-332-1171 25-0127 IMAD: 0319GMQFMP01030982 TRN: 1113891078FF</t>
  </si>
  <si>
    <t xml:space="preserve">Online Payment 24099720805 To LOS ANGELES MUNICIPAL SERVICE 03/18</t>
  </si>
  <si>
    <t xml:space="preserve">Online Payment 24099702638 To MERCEDES BENZ FINANCIAL 03/18</t>
  </si>
  <si>
    <t xml:space="preserve">Online Payment 24099604002 To SOUTHERN CALIFORNIA GAS CO 03/18</t>
  </si>
  <si>
    <t xml:space="preserve">Zelle payment to jeff Fajardo JPM99b1rxaka</t>
  </si>
  <si>
    <t xml:space="preserve">ORIG CO NAME:LEASEDIRECT            ORIG ID:138190450  DESC DATE:250317 CO ENTRY DESCR:11783_1   SEC:CCD    TRACE#:043000093815408 EED:250318   IND ID:1556926                      IND NAME:DWG CAPITAL GROUP          INV# 589413700 DUE 03/15/25 REC# 18 94667                                         11784 TRN: 0773815408TC</t>
  </si>
  <si>
    <t xml:space="preserve">Upwork -790216789REF 650-8534100 CA          03/17</t>
  </si>
  <si>
    <t xml:space="preserve">PP*APPLE.COM/BILL 800-275-2273 CA            03/17</t>
  </si>
  <si>
    <t xml:space="preserve">ORIG CO NAME:VENMO                  ORIG ID:3264681992 DESC DATE:250315 CO ENTRY DESCR:PAYMENT   SEC:WEB    TRACE#:091000014647380 EED:250317   IND ID:1040910151880                IND NAME:JUDD DUNNING TRN: 0764647380TC</t>
  </si>
  <si>
    <t xml:space="preserve">Online Transfer to CHK ...1117 transaction#: 24082324824 03/17</t>
  </si>
  <si>
    <t xml:space="preserve">PAYPAL *UBER 866-576-1039 CA                 03/15</t>
  </si>
  <si>
    <t xml:space="preserve">PAYPAL *LINKEDIN 402-935-7733 CA             03/17</t>
  </si>
  <si>
    <t xml:space="preserve">PAYPAL *RUTHALCANCI 402-935-7733 CA          03/15</t>
  </si>
  <si>
    <t xml:space="preserve">PP*APPLE.COM/BILL 800-275-2273 CA            03/15</t>
  </si>
  <si>
    <t xml:space="preserve">RESTORE.COM RESTORE.COM TX                   03/15</t>
  </si>
  <si>
    <t xml:space="preserve">PP*GOOGLE GOOGLE ONE 855-836-3987 CA         03/15</t>
  </si>
  <si>
    <t xml:space="preserve">PP*APPLE.COM/BILL 800-275-2273 CA            03/14</t>
  </si>
  <si>
    <t xml:space="preserve">PAYPAL *EDBONE3000 402-935-7733 CA           03/15</t>
  </si>
  <si>
    <t xml:space="preserve">PAYPAL *AVAST 541-554-6727 AZ                03/15</t>
  </si>
  <si>
    <t xml:space="preserve">Zelle payment to jeff Fajardo JPM99b1cflzx</t>
  </si>
  <si>
    <t xml:space="preserve">Online Transfer to CHK ...1117 transaction#: 24055096297 03/14</t>
  </si>
  <si>
    <t xml:space="preserve">ORIG CO NAME:VENMO                  ORIG ID:3264681992 DESC DATE:250313 CO ENTRY DESCR:PAYMENT   SEC:WEB    TRACE#:091000016985298 EED:250314   IND ID:1040870361167                IND NAME:JUDD DUNNING TRN: 0736985298TC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</si>
  <si>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ENTS/OCMT/COP2975227,65/EXCH/3966.9 702/CNTR/91966058/INT/ANDRES_527 TRN: 3780200072RE 03/13</t>
  </si>
  <si>
    <t xml:space="preserve">ORIG CO NAME:VENMO                  ORIG ID:3264681992 DESC DATE:250312 CO ENTRY DESCR:PAYMENT   SEC:WEB    TRACE#:091000012276784 EED:250313   IND ID:1040846820035                IND NAME:JUDD DUNNING TRN: 0722276784TC</t>
  </si>
  <si>
    <t xml:space="preserve">PAYPAL *HULU 877-801-5441 CA                 03/12</t>
  </si>
  <si>
    <t xml:space="preserve">PP*SPOTIFYUSAI 203-318-9708 NY               03/12</t>
  </si>
  <si>
    <t xml:space="preserve">Online Transfer from CHK ...9335 transaction#: 24030865047</t>
  </si>
  <si>
    <t xml:space="preserve">ORIG CO NAME:GM Financial           ORIG ID:I522190781 DESC DATE:250311 CO ENTRY DESCR:GMF Pymt  SEC:PPD    TRACE#:091000019302593 EED:250311   IND ID:                             IND NAME:ANGELA DUNNING TRN: 0709302593TC</t>
  </si>
  <si>
    <t xml:space="preserve">Online Transfer to CHK ...1117 transaction#: 24013494894 03/11</t>
  </si>
  <si>
    <t xml:space="preserve">UPWORK * -788016903 866-262-4478 CA          03/10</t>
  </si>
  <si>
    <t xml:space="preserve">PP*APPLE.COM/BILL 800-275-2273 CA            03/10</t>
  </si>
  <si>
    <t xml:space="preserve">Online Transfer to CHK ...6975 transaction#: 24012816426 03/10</t>
  </si>
  <si>
    <t xml:space="preserve">KOHAN &amp; KOHAN ENTERPRI SEAL BEACH CA 037200  03/10</t>
  </si>
  <si>
    <t xml:space="preserve">KOHAN &amp; KOHAN ENTERPRI SEAL BEACH CA 050764  03/10</t>
  </si>
  <si>
    <t xml:space="preserve">Online Transfer to CHK ...1117 transaction#: 24006838713 03/10</t>
  </si>
  <si>
    <t xml:space="preserve">HLU*HULUPLUS hulu.com/bill CA                03/10</t>
  </si>
  <si>
    <t xml:space="preserve">ORIG CO NAME:VENMO                  ORIG ID:3264681992 DESC DATE:250309 CO ENTRY DESCR:PAYMENT   SEC:WEB    TRACE#:091000014613719 EED:250310   IND ID:1040769949814                IND NAME:JUDD DUNNING TRN: 0694613719TC</t>
  </si>
  <si>
    <t xml:space="preserve">ORIG CO NAME:VENMO                  ORIG ID:3264681992 DESC DATE:250307 CO ENTRY DESCR:PAYMENT   SEC:WEB    TRACE#:091000014937688 EED:250310   IND ID:1040742281324                IND NAME:JUDD DUNNING TRN: 0694937688TC</t>
  </si>
  <si>
    <t xml:space="preserve">Zelle payment to estela martinez JPM99b0vbxgj</t>
  </si>
  <si>
    <t xml:space="preserve">Zelle payment to jeff seider JPM99b0v2t0t</t>
  </si>
  <si>
    <t xml:space="preserve">WHOLEFDS LAG 104 283 LAGUNA BEACH CA 422034  03/09</t>
  </si>
  <si>
    <t xml:space="preserve">Zelle payment to Aldolfo Varela JPM99b0txsyv</t>
  </si>
  <si>
    <t xml:space="preserve">Zelle - Adolfo V. </t>
  </si>
  <si>
    <t xml:space="preserve">MODERN NAILS STUDIO LAGUNA BEACH CA          03/09</t>
  </si>
  <si>
    <t xml:space="preserve">SAPPHIRE LAGUNA BEACH CA                     03/09</t>
  </si>
  <si>
    <t xml:space="preserve">CITY OF LAGUNA BEACH LAGUNA BEACH CA         03/09</t>
  </si>
  <si>
    <t xml:space="preserve">LS THALIA SURF 194-94973292 CA               03/09</t>
  </si>
  <si>
    <t xml:space="preserve">TST*PENGUIN MALT NEW Laguna Beach CA         03/09</t>
  </si>
  <si>
    <t xml:space="preserve">PP*APPLE.COM/BILL 800-275-2273 CA            03/08</t>
  </si>
  <si>
    <t xml:space="preserve">ORIG CO NAME:ALLSTATE INS CO        ORIG ID:1360719665 DESC DATE:MAR005 CO ENTRY DESCR:PREMIUM   SEC:WEB    TRACE#:021000023410192 EED:250310   IND ID:436544881                    IND NAME:ANGELA DUNNING                                                                                               MBLINDPAY1010 Q010 TRN: 0693410192TC</t>
  </si>
  <si>
    <t xml:space="preserve">HOLLYWOOD PALLADIUM LOS ANGELES CA           03/07</t>
  </si>
  <si>
    <t xml:space="preserve">LAZ PKG M17815CLOVERFL LOS ANGELES CA        03/07</t>
  </si>
  <si>
    <t xml:space="preserve">VENICE LIQUOR LOS ANGELES CA                 03/07</t>
  </si>
  <si>
    <t xml:space="preserve">LADOT METER PARKING LOS ANGELES CA           03/06</t>
  </si>
  <si>
    <t xml:space="preserve">TST* CAFE GRATITUDE - V VENICE CA            03/07</t>
  </si>
  <si>
    <t xml:space="preserve">PAYPAL *LINKEDIN 402-935-7733 CA             03/07</t>
  </si>
  <si>
    <t xml:space="preserve">Online Transfer to CHK ...1117 transaction#: 23962544128 03/06</t>
  </si>
  <si>
    <t xml:space="preserve">ORIG CO NAME:VENMO                  ORIG ID:3264681992 DESC DATE:250305 CO ENTRY DESCR:PAYMENT   SEC:WEB    TRACE#:091000014808689 EED:250306   IND ID:1040703267123                IND NAME:JUDD DUNNING TRN: 0654808689TC</t>
  </si>
  <si>
    <t xml:space="preserve">EVERLANE* R455631617 185-87358007 CA         03/06</t>
  </si>
  <si>
    <t xml:space="preserve">Online Transfer from CHK ...9335 transaction#: 23962559557</t>
  </si>
  <si>
    <t xml:space="preserve">Basic Online Payroll Payment 11164332803 to ###########4123</t>
  </si>
  <si>
    <t xml:space="preserve">ORIG CO NAME:VENMO                  ORIG ID:3264681992 DESC DATE:250303 CO ENTRY DESCR:PAYMENT   SEC:WEB    TRACE#:091000012769161 EED:250304   IND ID:1040660013264                IND NAME:JUDD DUNNING TRN: 0632769161TC</t>
  </si>
  <si>
    <t xml:space="preserve">Zelle payment to Aaron Frankel JPM99b073qsz</t>
  </si>
  <si>
    <t xml:space="preserve">Zelle payment to Nate JPM99b073do7</t>
  </si>
  <si>
    <t xml:space="preserve">TST*THE BUTCHERS DAUGHT Venice CA            03/03</t>
  </si>
  <si>
    <t xml:space="preserve">AA WIFI 1-888-649-6711 Fort Worth TX         03/04</t>
  </si>
  <si>
    <t xml:space="preserve">PP*APPLE.COM/BILL 800-275-2273 CA            03/04</t>
  </si>
  <si>
    <t xml:space="preserve">PAYPAL *SANDYPR COM 402-935-7733 CA          03/03</t>
  </si>
  <si>
    <t xml:space="preserve">PAYPAL *PRAGERUNIVE P 833-772-4378 CA        03/03</t>
  </si>
  <si>
    <t xml:space="preserve">STANDARD ACH PMNTS INITIAL FEE QTY = 7</t>
  </si>
  <si>
    <t xml:space="preserve">ORIG CO NAME:BLUESHIELDCA           ORIG ID:7529219311 DESC DATE:250228 CO ENTRY DESCR:BILL PAY  SEC:CCD    TRACE#:031101117496778 EED:250303   IND ID:15649262731                  IND NAME:ANGELA DUNNING TRN: 0627496778TC</t>
  </si>
  <si>
    <t xml:space="preserve">PP*APPLE.COM/BILL 800-275-2273 CA            03/03</t>
  </si>
  <si>
    <t xml:space="preserve">CURB PHOENIX TAXI QUEENS NY                  03/02</t>
  </si>
  <si>
    <t xml:space="preserve">AA WIFI 1-888-649-6711 Fort Worth TX         03/02</t>
  </si>
  <si>
    <t xml:space="preserve">PAYPAL *UBER 866-576-1039 CA                 03/02</t>
  </si>
  <si>
    <t xml:space="preserve">PAYPAL *UBER 866-576-1039 CA                 03/03</t>
  </si>
  <si>
    <t xml:space="preserve">Zelle payment to Jeff D. Farjardo JPM99b00h1sx</t>
  </si>
  <si>
    <t xml:space="preserve">PAYPAL *DIRECTV 800-531-5000 TX              03/02</t>
  </si>
  <si>
    <t xml:space="preserve">PP*APPLE.COM/BILL 800-275-2273 CA            03/02</t>
  </si>
  <si>
    <t xml:space="preserve">FOLLOW YOUR HEART MARK CANOGA PARK CA131399  03/01</t>
  </si>
  <si>
    <t xml:space="preserve">PAYPAL *HULU 877-801-5441 CA                 03/02</t>
  </si>
  <si>
    <t xml:space="preserve">UP2 HOLDINGS, L WOODLAND HILL CA     238874  03/01</t>
  </si>
  <si>
    <t xml:space="preserve">PAYPAL *GOOGLE LLC GO 650-253-0000 CA        03/01</t>
  </si>
  <si>
    <t xml:space="preserve">PP*APPLE.COM/BILL 800-275-2273 CA            03/01</t>
  </si>
  <si>
    <t xml:space="preserve">ORIG CO NAME:GEICO                  ORIG ID:3530075853 DESC DATE:250228 CO ENTRY DESCR:PREM COLL SEC:PPD    TRACE#:021000022330817 EED:250303   IND ID:                             IND NAME:ANGELA TRN: 0622330817TC</t>
  </si>
  <si>
    <t xml:space="preserve">ORIG CO NAME:GEICO                  ORIG ID:3530075853 DESC DATE:250228 CO ENTRY DESCR:PREM COLL SEC:PPD    TRACE#:021000022327319 EED:250303   IND ID:                             IND NAME:ANGELA DUNNING TRN: 0622327319TC</t>
  </si>
  <si>
    <t xml:space="preserve">Online Transfer to CHK ...6975 transaction#: 23895689641 03/03</t>
  </si>
  <si>
    <t xml:space="preserve">Zelle payment to Jeffrey Seider JPM99azskt5d</t>
  </si>
  <si>
    <t xml:space="preserve">DEPT. BEACHES &amp; HARB MARINA DEL RE CA        02/28</t>
  </si>
  <si>
    <t xml:space="preserve">TST*BLUEYS KITCHEN MAR Los Angeles CA        02/28</t>
  </si>
  <si>
    <t xml:space="preserve">SQ *ALANA'S COFFEE ROA Los Angeles CA        02/28</t>
  </si>
  <si>
    <t xml:space="preserve">PP*APPLE.COM/BILL 800-275-2273 CA            02/28</t>
  </si>
  <si>
    <t xml:space="preserve">ORIG CO NAME:TXU ENERGY             ORIG ID:1001020329 DESC DATE:       CO ENTRY DESCR:TXUE_ACH  SEC:WEB    TRACE#:021000021568565 EED:250228   IND ID:900062431557                 IND NAME:DWG CAPITAL GROUP          17333702810000000000000000000003566 6735473                                       DIRECT DEBITING TRN: 0591568565TC</t>
  </si>
  <si>
    <t xml:space="preserve">ORIG CO NAME:BANNER LIFE            ORIG ID:1521236145 DESC DATE:250227 CO ENTRY DESCR:PREM DEBITSEC:PPD    TRACE#:091000012986616 EED:250228   IND ID:                             IND NAME:ANGELA L DUNNING TRN: 0592986616TC</t>
  </si>
  <si>
    <t xml:space="preserve">ORIG CO NAME:BANNER LIFE            ORIG ID:1521236145 DESC DATE:250227 CO ENTRY DESCR:PREM DEBITSEC:PPD    TRACE#:091000012986617 EED:250228   IND ID:                             IND NAME:JOHN  DUNNING TRN: 0592986617TC</t>
  </si>
  <si>
    <t xml:space="preserve">ORIG CO NAME:MBFS.COM               ORIG ID:1850860002 DESC DATE:250228 CO ENTRY DESCR:Auto Pay  SEC:WEB    TRACE#:021000022308216 EED:250228   IND ID:5002505795                   IND NAME:John B. Dunning TRN: 0592308216TC</t>
  </si>
  <si>
    <t xml:space="preserve">ORIG CO NAME:SBA EIDL LOAN          ORIG ID:7300000118 DESC DATE:250227 CO ENTRY DESCR:PAYMENT   SEC:CCD    TRACE#:041036044151550 EED:250228   IND ID:0000                         IND NAME:JOHN DUNNING               1871308204                                                                        ACH TRANSACTION TRN: 0594151550TC</t>
  </si>
  <si>
    <t xml:space="preserve">TST*BLUEYS KITCHEN MAR Los Angeles CA        02/27</t>
  </si>
  <si>
    <t xml:space="preserve">Online Payment 23870558982 To PENTAGON FEDERAL CREDIT UNION 02/27</t>
  </si>
  <si>
    <t xml:space="preserve">Online Transfer to CHK ...7899 transaction#: 23870520063 02/27</t>
  </si>
  <si>
    <t xml:space="preserve">Online Transfer to CHK ...1117 transaction#: 23870517982 02/27</t>
  </si>
  <si>
    <t xml:space="preserve">ORIG CO NAME:INTUIT *               ORIG ID:0000756346 DESC DATE:250227 CO ENTRY DESCR:QBooks OnlSEC:CCD    TRACE#:021000022634516 EED:250227   IND ID:6696801                      IND NAME:DWG CAPITAL GROUP                                                                                            800-446-8848 TRN: 0582634516TC</t>
  </si>
  <si>
    <t xml:space="preserve">Basic Online Payroll Payment 11161705288 to ###########4123</t>
  </si>
  <si>
    <t xml:space="preserve">ORIG CO NAME:VENMO                  ORIG ID:3264681992 DESC DATE:250226 CO ENTRY DESCR:PAYMENT   SEC:WEB    TRACE#:091000013063092 EED:250227   IND ID:1040531102351                IND NAME:JUDD DUNNING TRN: 0583063092TC</t>
  </si>
  <si>
    <t xml:space="preserve">ORIG CO NAME:VENMO                  ORIG ID:3264681992 DESC DATE:250226 CO ENTRY DESCR:PAYMENT   SEC:WEB    TRACE#:091000012591203 EED:250227   IND ID:1040531568804                IND NAME:JUDD DUNNING TRN: 0582591203TC</t>
  </si>
  <si>
    <t xml:space="preserve">ORIG CO NAME:VENMO                  ORIG ID:3264681992 DESC DATE:250226 CO ENTRY DESCR:PAYMENT   SEC:WEB    TRACE#:091000013059291 EED:250227   IND ID:1040516939412                IND NAME:JUDD DUNNING TRN: 0583059291TC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</si>
  <si>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ENTS/OCMT/COP2973314,33/EXCH/3964.4 191/CNTR/58355552/INT/ANDRES_527 TRN: 8642400058RE 02/27</t>
  </si>
  <si>
    <t xml:space="preserve">Zelle payment to Jeffrey Seider JPM99azhcwq2</t>
  </si>
  <si>
    <t xml:space="preserve">TST*BLUEYS KITCHEN MAR Los Angeles CA        02/26</t>
  </si>
  <si>
    <t xml:space="preserve">PP*APPLE.COM/BILL 800-275-2273 CA            02/27</t>
  </si>
  <si>
    <t xml:space="preserve">SQ *ALANA'S COFFEE ROA Los Angeles CA        02/26</t>
  </si>
  <si>
    <t xml:space="preserve">PP*APPLE.COM/BILL 800-275-2273 CA            02/26</t>
  </si>
  <si>
    <t xml:space="preserve">HAIRZOO - SANTA MONIC SANTA MONICA CA        02/25</t>
  </si>
  <si>
    <t xml:space="preserve">Online Transfer from CHK ...9335 transaction#: 23870501813</t>
  </si>
  <si>
    <t xml:space="preserve">ORIG CO NAME:VENMO                  ORIG ID:3264681992 DESC DATE:250225 CO ENTRY DESCR:PAYMENT   SEC:WEB    TRACE#:091000016140402 EED:250226   IND ID:1040514945221                IND NAME:JUDD DUNNING TRN: 0576140402TC</t>
  </si>
  <si>
    <t xml:space="preserve">Disney Plus 888-9057888 CA                   02/26</t>
  </si>
  <si>
    <t xml:space="preserve">THAI DISHES WILSHIRE SANTA MONICA CA         02/25</t>
  </si>
  <si>
    <t xml:space="preserve">CITY OF SANTA MONICA SANTA MONICA CA         02/25</t>
  </si>
  <si>
    <t xml:space="preserve">HAPPY RELAX FOOT MASSA LOS ANGELES CA        02/24</t>
  </si>
  <si>
    <t xml:space="preserve">CITY OF SANTA MONICA SANTA MONICA CA         02/24</t>
  </si>
  <si>
    <t xml:space="preserve">Online Transfer to CHK ...1117 transaction#: 23844823362 02/25</t>
  </si>
  <si>
    <t xml:space="preserve">Zelle payment to Jeffrey Seider JPM99azb452x</t>
  </si>
  <si>
    <t xml:space="preserve">Zelle payment to Jeffrey Seider JPM99azb36h1</t>
  </si>
  <si>
    <t xml:space="preserve">ORIG CO NAME:VENMO                  ORIG ID:3264681992 DESC DATE:250224 CO ENTRY DESCR:PAYMENT   SEC:WEB    TRACE#:091000010708519 EED:250225   IND ID:1040490789318                IND NAME:JUDD DUNNING TRN: 0560708519TC</t>
  </si>
  <si>
    <t xml:space="preserve">ORIG CO NAME:VENMO                  ORIG ID:3264681992 DESC DATE:250224 CO ENTRY DESCR:PAYMENT   SEC:WEB    TRACE#:091000010708659 EED:250225   IND ID:1040490800996                IND NAME:JUDD DUNNING TRN: 0560708659TC</t>
  </si>
  <si>
    <t xml:space="preserve">KAIF LA 818-4069500 CA                       02/24</t>
  </si>
  <si>
    <t xml:space="preserve">TST* LAUGH FACTORY - H LOS ANGELES CA        02/25</t>
  </si>
  <si>
    <t xml:space="preserve">LADOT METER PARKING LOS ANGELES CA           02/24</t>
  </si>
  <si>
    <t xml:space="preserve">PAYPAL *CANVA 416-131-8870 DE                02/25</t>
  </si>
  <si>
    <t xml:space="preserve">UPWORK * -783487960 866-262-4478 CA          02/24</t>
  </si>
  <si>
    <t xml:space="preserve">MERCEDES BAR &amp; GRILLE 310-8276209 CA         02/23</t>
  </si>
  <si>
    <t xml:space="preserve">ORIG CO NAME:AMERICAN EXPRESS       ORIG ID:2005032111 DESC DATE:250224 CO ENTRY DESCR:ACH PMT   SEC:CCD    TRACE#:021000029270073 EED:250224   IND ID:W3398                        IND NAME:John Dunning                                                                                                 ER AM TRN: 0559270073TC</t>
  </si>
  <si>
    <t xml:space="preserve">ORIG CO NAME:AMERICAN EXPRESS       ORIG ID:2005032111 DESC DATE:250224 CO ENTRY DESCR:ACH PMT   SEC:CCD    TRACE#:021000029270048 EED:250224   IND ID:W9834                        IND NAME:John Dunning                                                                                                 ER AM TRN: 0559270048TC</t>
  </si>
  <si>
    <t xml:space="preserve">ORIG CO NAME:AMERICAN EXPRESS       ORIG ID:2005032111 DESC DATE:250224 CO ENTRY DESCR:ACH PMT   SEC:CCD    TRACE#:021000029270228 EED:250224   IND ID:W9998                        IND NAME:John Dunning                                                                                                 ER AM TRN: 0559270228TC</t>
  </si>
  <si>
    <t xml:space="preserve">ORIG CO NAME:AMERICAN EXPRESS       ORIG ID:2005032111 DESC DATE:250224 CO ENTRY DESCR:ACH PMT   SEC:CCD    TRACE#:021000029269929 EED:250224   IND ID:W9760                        IND NAME:John Dunning                                                                                                 ER AM TRN: 0559269929TC</t>
  </si>
  <si>
    <t xml:space="preserve">Basic Online Payroll Payment 11163087541 to ######7939</t>
  </si>
  <si>
    <t xml:space="preserve">Online Transfer to CHK ...1117 transaction#: 23833474879 02/24</t>
  </si>
  <si>
    <t xml:space="preserve">ORIG CO NAME:VENMO                  ORIG ID:3264681992 DESC DATE:250222 CO ENTRY DESCR:PAYMENT   SEC:WEB    TRACE#:091000017011176 EED:250224   IND ID:1040450056111                IND NAME:JUDD DUNNING TRN: 0557011176TC</t>
  </si>
  <si>
    <t xml:space="preserve">PACIFIC EDGE HOTEL PA LAGUNA BEACH CA        02/23</t>
  </si>
  <si>
    <t xml:space="preserve">DECK/DRIFTWOOD KITCHE LAGUNA BEACH CA        02/23</t>
  </si>
  <si>
    <t xml:space="preserve">PP*APPLE.COM/BILL 800-275-2273 CA            02/24</t>
  </si>
  <si>
    <t xml:space="preserve">DEPT. BEACHES &amp; HARB MARINA DEL RE CA        02/23</t>
  </si>
  <si>
    <t xml:space="preserve">PP*APPLE.COM/BILL 800-275-2273 CA            02/23</t>
  </si>
  <si>
    <t xml:space="preserve">SPO*ELCOMPADRERESTAURA LOS ANGELES CA        02/23</t>
  </si>
  <si>
    <t xml:space="preserve">PAYPAL *RUTHALCANCI 402-935-7733 CA          02/23</t>
  </si>
  <si>
    <t xml:space="preserve">STARBUCKS STORE 05657 PASADENA CA            02/22</t>
  </si>
  <si>
    <t xml:space="preserve">MANHATTAN BEACH PARK MANHATTAN BEA CA        02/22</t>
  </si>
  <si>
    <t xml:space="preserve">SXM*SIRIUSXM.COM/ACCT 888-635-5144 NY        02/22</t>
  </si>
  <si>
    <t xml:space="preserve">Zelle payment to Jeff D. Farjardo JPM99ayydbtl</t>
  </si>
  <si>
    <t xml:space="preserve">PAYPAL *UBER 866-576-1039 CA                 02/22</t>
  </si>
  <si>
    <t xml:space="preserve">PNH DFW SMASHBURGER DALLAS TX                02/21</t>
  </si>
  <si>
    <t xml:space="preserve">PAYPAL *LINKEDIN 402-935-7733 CA             02/22</t>
  </si>
  <si>
    <t xml:space="preserve">FEDWIRE CREDIT VIA: BANK OF AMERICA, N.A./026009593 B/O: CT SOCAL COMM FBSC/CT BS FXBC RIVERSIDE CA 92505 US REF: CHASE NYC/CTR/BNF=DWG CAPITAL GROUP LOS ANGELES CA 90066-3638 US/AC-00 0000002836 RFB=1-18660710 OBI=FN-FB SC2405282 PROPADDR-3811 E/BAN K HEA D HWY, HUDSON OAKS, TX 760/87- 958 3 IMAD: 0224B6B7HU3R017979 TRN: 1268511055FF</t>
  </si>
  <si>
    <t xml:space="preserve">FEDWIRE CREDIT VIA: BANK OF AMERICA, N.A./026009593 B/O: CT SOCAL COMM FBSC/CT BS FXBC RIVERSIDE CA 92505 US REF: CHASE NYC/CTR/BNF=DWG CAPITAL GROUP LOS ANGELES CA 90066-3638 US/AC-00 0000002836 RFB=1-18660712 OBI=FN-FB SC2405282 BRIDGE LOAN PAYO/FF P ROP ADDR-3811 E BANKHEAD HWY,/HUD SON O AKS, TX 76087 IMAD: 0224B6B7HU1R018103 TRN: 1268521055FF</t>
  </si>
  <si>
    <t xml:space="preserve">ORIG CO NAME:VENMO                  ORIG ID:3264681992 DESC DATE:250220 CO ENTRY DESCR:PAYMENT   SEC:WEB    TRACE#:091000013542863 EED:250221   IND ID:1040415180847                IND NAME:JUDD DUNNING TRN: 0523542863TC</t>
  </si>
  <si>
    <t xml:space="preserve">ORIG CO NAME:LEASEDIRECT            ORIG ID:138190450  DESC DATE:250218 CO ENTRY DESCR:11423_1   SEC:CCD    TRACE#:043000091430221 EED:250221   IND ID:1556926                      IND NAME:DWG CAPITAL GROUP          INV# 589163036 DUE 02/15/25 REC# 17 86943                                         11424 TRN: 0521430221TC</t>
  </si>
  <si>
    <t xml:space="preserve">ORIG CO NAME:PRINCIPAL-CCAPNL       ORIG ID:9INDPNLEFT DESC DATE:021925 CO ENTRY DESCR:PRIN FINANSEC:PPD    TRACE#:091000013996810 EED:250221   IND ID:                             IND NAME:JOHN B DUNNING TRN: 0523996810TC</t>
  </si>
  <si>
    <t xml:space="preserve">PP*APPLE.COM/BILL 800-275-2273 CA            02/20</t>
  </si>
  <si>
    <t xml:space="preserve">PAYPAL *BEENVERIFIE 786-482-6776 NY          02/21</t>
  </si>
  <si>
    <t xml:space="preserve">HOMEGOODS #1084 WEATHERFORD TX       006797  02/20</t>
  </si>
  <si>
    <t xml:space="preserve">DOMESTIC WIRE TRANSFER VIA: CITIBANK NYC/021000089 A/C: MORGAN STANLEY REF: FOR FURTHER CREDIT TO DAX MITCHELL 890-190608/TIME/16:11 IMAD: 0220MMQFMP2L065256 TRN: 3580505051ES 02/20</t>
  </si>
  <si>
    <t xml:space="preserve">DOMESTIC WIRE TRANSFER A/C: 2331 MESA DEV LLC DALLAS TX 75219-3928 US REF: TOTAL WINE TRN: 3578565051ES 02/20</t>
  </si>
  <si>
    <t xml:space="preserve">STARBUCKS STORE 29139 HUDSON OAKS TX         02/19</t>
  </si>
  <si>
    <t xml:space="preserve">Premier IV Weatherford Weatherford TX        02/19</t>
  </si>
  <si>
    <t xml:space="preserve">PAYPAL *THEREALDEAL O 212-260-1332 NY        02/19</t>
  </si>
  <si>
    <t xml:space="preserve">BLU JASMINE HUDSON OAKS TX           745919  02/19</t>
  </si>
  <si>
    <t xml:space="preserve">Zelle payment to Jeffrey Seider JPM99ayloblk</t>
  </si>
  <si>
    <t xml:space="preserve">PAYPAL *FOXCORP 888-596-3938 CA              02/19</t>
  </si>
  <si>
    <t xml:space="preserve">PAYPAL *EPOCH TIMES T 833-699-1888 NY        02/18</t>
  </si>
  <si>
    <t xml:space="preserve">FEDWIRE CREDIT VIA: WELLS FARGO BANK, N.A./121000248 B/O: FIDELITY NATL TITLE INSURANCE C TALLAHASSEE FL US 32399 REF: CHASE NYC/CTR/BNF=DWG CAPITAL GROUP LOS ANGELES CA 90066-3638 US/AC-00 0000002836 RFB=WMAPROD:18640399 OBI =FN:AZ240123 COMMISSION - TOTAL WIN E OVERLAND PARK, KS PROPADDR:12100 BL UE VAL IMAD: 0219I1B7033R019603 TRN: 1098281050FF</t>
  </si>
  <si>
    <t xml:space="preserve">MAG Capital Partners Pass-Through Wire – 70/30 Split </t>
  </si>
  <si>
    <t xml:space="preserve">CVS/PHARMACY #06961 WEATHERFORD TX   037000  02/17</t>
  </si>
  <si>
    <t xml:space="preserve">ZENO'S ON THE SQUARE WEATHERFORD TX          02/18</t>
  </si>
  <si>
    <t xml:space="preserve">Zelle payment to Jeffrey Seider JPM99ayhcve5</t>
  </si>
  <si>
    <t xml:space="preserve">PP*APPLE.COM/BILL 800-275-2273 CA            02/17</t>
  </si>
  <si>
    <t xml:space="preserve">UPWORK * -781286684 866-262-4478 CA          02/17</t>
  </si>
  <si>
    <t xml:space="preserve">LOWE'S #1969 WEATHERFORD TX                  02/17 Purchase $33.54 Cash Back $20.00</t>
  </si>
  <si>
    <t xml:space="preserve">Zelle payment to Francisco Bautista  23753550308</t>
  </si>
  <si>
    <t xml:space="preserve">OFFICE MAX/OFFI 202 W WEATHERFORD TX 604102  02/16</t>
  </si>
  <si>
    <t xml:space="preserve">SQ *BOULEVARD OF GREENS Fort Worth TX        02/16</t>
  </si>
  <si>
    <t xml:space="preserve">PP*APPLE.COM/BILL 800-275-2273 CA            02/16</t>
  </si>
  <si>
    <t xml:space="preserve">PAYPAL *LINKEDIN 402-935-7733 CA             02/17</t>
  </si>
  <si>
    <t xml:space="preserve">PP*APPLE.COM/BILL 800-275-2273 CA            02/15</t>
  </si>
  <si>
    <t xml:space="preserve">RESTORE.COM RESTORE.COM TX                   02/15</t>
  </si>
  <si>
    <t xml:space="preserve">PAYPAL *JSEIDERZ 402-935-7733 CA             02/15</t>
  </si>
  <si>
    <t xml:space="preserve">PP*GOOGLE GOOGLE ONE 855-836-3987 CA         02/14</t>
  </si>
  <si>
    <t xml:space="preserve">PP*APPLE.COM/BILL 800-275-2273 CA            02/14</t>
  </si>
  <si>
    <t xml:space="preserve">Online Transfer from CHK ...9335 transaction#: 23753572002</t>
  </si>
  <si>
    <t xml:space="preserve">ORIG CO NAME:VENMO                  ORIG ID:3264681992 DESC DATE:250213 CO ENTRY DESCR:PAYMENT   SEC:WEB    TRACE#:091000016515355 EED:250214   IND ID:1040266794984                IND NAME:JUDD DUNNING TRN: 0456515355TC</t>
  </si>
  <si>
    <t xml:space="preserve">ONLINE DOMESTIC WIRE TRANSFER VIA: MAPLEMARK BK TX/111026135 A/C: DAX T S MITCHELL WEATHERFORD TX 76087 US REF: SWEETWATER 66 PERCENT/BNF/BENEFICIARY NAME DAX T.S. MITCHELL IMAD: 0213MMQFMP2K032641 TRN: 3585825044ES 02/13</t>
  </si>
  <si>
    <t xml:space="preserve">ONLINE DOMESTIC WIRE TRANSFER A/C: 2331 MESA DEV LLC DALLAS TX 75219-3928 US REF: SWEETWATER 33 PERCENT TRN: 3565845044ES 02/13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</si>
  <si>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ENTS/OCMT/COP3019183,20/EXCH/4025.5 776/CNTR/16243707/INT/ANDRES_527 TRN: 9692200044RE 02/13</t>
  </si>
  <si>
    <t xml:space="preserve">PAYPAL *HULU 877-801-5441 CA                 02/12</t>
  </si>
  <si>
    <t xml:space="preserve">Online Transfer to CHK ...1117 transaction#: 23704917261 02/12</t>
  </si>
  <si>
    <t xml:space="preserve">Zelle payment to Aaron Frankel JPM99axxrda7</t>
  </si>
  <si>
    <t xml:space="preserve">Online Transfer to CHK ...0709 transaction#: 23704834601 02/12</t>
  </si>
  <si>
    <t xml:space="preserve">Basic Online Payroll Payment 11161685029 to ###########4123</t>
  </si>
  <si>
    <t xml:space="preserve">PP*SPOTIFYUSAI 203-318-9708 NY               02/12</t>
  </si>
  <si>
    <t xml:space="preserve">ORIG CO NAME:GM Financial           ORIG ID:I522190781 DESC DATE:250211 CO ENTRY DESCR:GMF Pymt  SEC:PPD    TRACE#:091000013913581 EED:250211   IND ID:                             IND NAME:ANGELA DUNNING TRN: 0423913581TC</t>
  </si>
  <si>
    <t xml:space="preserve">UPWORK * -779118706 866-262-4478 CA          02/10</t>
  </si>
  <si>
    <t xml:space="preserve">PP*APPLE.COM/BILL 800-275-2273 CA            02/10</t>
  </si>
  <si>
    <t xml:space="preserve">Online Transfer from CHK ...3922 transaction#: 23689273178</t>
  </si>
  <si>
    <t xml:space="preserve">FEDWIRE CREDIT VIA: BANK OF AMERICA, N.A./026009593 B/O: CT SOCAL COMM FBSC/CT BS FXBC RIVERSIDE CA 92505 US REF: CHASE NYC/CTR/BNF=DWG CAPITAL GROUP LOS ANGELES CA 90066-3638 US/AC-00 0000002836 RFB=1-18608751 OBI=FN-FB SC2404500 2848 WEST SWEETW/AT ER AV ENUE, PHOENIX, AZ PROPADDR-/28 48 W SWEETWATER AV IMAD: 0211B6B7HU3R014212 TRN: 0894891042FF</t>
  </si>
  <si>
    <t xml:space="preserve">Online Transfer to CHK ...1283 transaction#: 23680847097 02/10</t>
  </si>
  <si>
    <t xml:space="preserve">Online Transfer to CHK ...6586 transaction#: 23680833850 02/10</t>
  </si>
  <si>
    <t xml:space="preserve">Online Transfer to CHK ...2508 transaction#: 23680822191 02/10</t>
  </si>
  <si>
    <t xml:space="preserve">Online Transfer to CHK ...1117 transaction#: 23680819812 02/10</t>
  </si>
  <si>
    <t xml:space="preserve">HLU*HULUPLUS hulu.com/bill CA                02/10</t>
  </si>
  <si>
    <t xml:space="preserve">PAYPAL *RUTHALCANCI 402-935-7733 CA          02/10</t>
  </si>
  <si>
    <t xml:space="preserve">PP*APPLE.COM/BILL 800-275-2273 CA            02/09</t>
  </si>
  <si>
    <t xml:space="preserve">PP*APPLE.COM/BILL 800-275-2273 CA            02/08</t>
  </si>
  <si>
    <t xml:space="preserve">PAYPAL *UBER 866-576-1039 CA                 02/07</t>
  </si>
  <si>
    <t xml:space="preserve">PAYPAL *LINKEDIN 402-935-7733 CA             02/09</t>
  </si>
  <si>
    <t xml:space="preserve">Online Transfer to CHK ...7753 transaction#: 23650502541 02/07</t>
  </si>
  <si>
    <t xml:space="preserve">Online Transfer to CHK ...1117 transaction#: 23643723741 02/07</t>
  </si>
  <si>
    <t xml:space="preserve">ORIG CO NAME:VENMO                  ORIG ID:3264681992 DESC DATE:250204 CO ENTRY DESCR:PAYMENT   SEC:WEB    TRACE#:091000015612569 EED:250205   IND ID:1040060666436                IND NAME:JUDD DUNNING TRN: 0365612569TC</t>
  </si>
  <si>
    <t xml:space="preserve">PAYPAL *UBER 866-576-1039 CA                 02/04</t>
  </si>
  <si>
    <t xml:space="preserve">PAYPAL *GRUBHUBFOOD L 877-585-7878 IL        02/05</t>
  </si>
  <si>
    <t xml:space="preserve">Online Transfer to CHK ...6975 transaction#: 23610867099 02/04</t>
  </si>
  <si>
    <t xml:space="preserve">Zelle payment to Estella Martinez JPM99ax0b6cd</t>
  </si>
  <si>
    <t xml:space="preserve">PP*APPLE.COM/BILL 800-275-2273 CA            02/04</t>
  </si>
  <si>
    <t xml:space="preserve">UPWORK * -776910555 866-262-4478 CA          02/03</t>
  </si>
  <si>
    <t xml:space="preserve">PAYPAL *SANDYPR COM 402-935-7733 CA          02/03</t>
  </si>
  <si>
    <t xml:space="preserve">PAYPAL *PRAGERUNIVE P 833-772-4378 CA        02/03</t>
  </si>
  <si>
    <t xml:space="preserve">STD ACH PMNTS VOLUME FEE QTY = 23</t>
  </si>
  <si>
    <t xml:space="preserve">ORIG CO NAME:BCBS HEALTH            ORIG ID:7529139811 DESC DATE:250131 CO ENTRY DESCR:BILL PAY  SEC:CCD    TRACE#:031101117785688 EED:250203   IND ID:20707669401                  IND NAME:JOHN DUNNING TRN: 0347785688TC</t>
  </si>
  <si>
    <t xml:space="preserve">Online Transfer to CHK ...1117 transaction#: 23598489996 02/03</t>
  </si>
  <si>
    <t xml:space="preserve">PP*APPLE.COM/BILL 800-275-2273 CA            02/03</t>
  </si>
  <si>
    <t xml:space="preserve">PAYPAL *DIRECTV 800-531-5000 TX              02/02</t>
  </si>
  <si>
    <t xml:space="preserve">Zelle payment to Jeffrey Seider JPM99awtehkb</t>
  </si>
  <si>
    <t xml:space="preserve">Online Transfer to CHK ...1117 transaction#: 23589080712 02/03</t>
  </si>
  <si>
    <t xml:space="preserve">SQ *PAYA THAI LA LLC. LOS ANGELES CA         02/01</t>
  </si>
  <si>
    <t xml:space="preserve">FOLLOW YOUR HEART MARK CANOGA PARK CA        02/01</t>
  </si>
  <si>
    <t xml:space="preserve">UP2 HOLDINGS, L WOODLAND HILL CA     289791  02/01</t>
  </si>
  <si>
    <t xml:space="preserve">NON-CHASE ATM WITHDRAW               002088  02/0122351 VEN</t>
  </si>
  <si>
    <t xml:space="preserve">PAYPAL *GOOGLE LLC GO 650-253-0000 CA        02/01</t>
  </si>
  <si>
    <t xml:space="preserve">PAYPAL *HULU 877-801-5441 CA                 02/01</t>
  </si>
  <si>
    <t xml:space="preserve">PP*APPLE.COM/BILL 800-275-2273 CA            02/01</t>
  </si>
  <si>
    <t xml:space="preserve">ORIG CO NAME:VENMO                  ORIG ID:3264681992 DESC DATE:250131 CO ENTRY DESCR:PAYMENT   SEC:WEB    TRACE#:091000011777514 EED:250203   IND ID:1039987764675                IND NAME:JUDD DUNNING TRN: 0341777514TC</t>
  </si>
  <si>
    <t xml:space="preserve">VONS #2270 LOS ANGELES CA                    01/31</t>
  </si>
  <si>
    <t xml:space="preserve">Online Transfer from CHK ...9335 transaction#: 23608750104</t>
  </si>
  <si>
    <t xml:space="preserve">ORIG CO NAME:AMERICAN EXPRESS       ORIG ID:2005032111 DESC DATE:250131 CO ENTRY DESCR:ACH PMT   SEC:CCD    TRACE#:021000022331409 EED:250131   IND ID:A8466                        IND NAME:John Dunning                                                                                                 ER AM TRN: 0312331409TC</t>
  </si>
  <si>
    <t xml:space="preserve">Online Transfer to  CHK ...7753 transaction#: 23227717912 01/31</t>
  </si>
  <si>
    <t xml:space="preserve">ORIG CO NAME:GEICO                  ORIG ID:3530075853 DESC DATE:250130 CO ENTRY DESCR:PREM COLL SEC:PPD    TRACE#:021000021321876 EED:250131   IND ID:                             IND NAME:ANGELA TRN: 0311321876TC</t>
  </si>
  <si>
    <t xml:space="preserve">ONLINE US DOLLAR INTL WIRE FEE</t>
  </si>
  <si>
    <t xml:space="preserve">Online Transfer to CHK ...7899 transaction#: 23554287420 01/30</t>
  </si>
  <si>
    <t xml:space="preserve">Online Transfer to CHK ...1117 transaction#: 23554260004 01/30</t>
  </si>
  <si>
    <t xml:space="preserve">ONLINE INTERNATIONAL WIRE TRANSFER A/C: BBVA COLOMBIA BOGOTA COLOMBIA 00000- CO REF: BI-WEEKLY PAYROLL TAXID1063308099/TEL573004049463/SALARY/PAYROLL PAYME NTS/INT/SUADATDWG-RE.COM/BNF/NONE TRN: 3052715030ES 01/30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</si>
  <si>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ENTS/OCMT/COP3020871,00/EXCH/4027.8 280/CNTR/45237605/INT/ANDRES_527 TRN: 8692800030RE 01/30</t>
  </si>
  <si>
    <t xml:space="preserve">ORIG CO NAME:SBA EIDL LOAN          ORIG ID:7300000118 DESC DATE:250129 CO ENTRY DESCR:PAYMENT   SEC:CCD    TRACE#:041036044514557 EED:250130   IND ID:0000                         IND NAME:JOHN DUNNING               1871308204                                                                        ACH TRANSACTION TRN: 0304514557TC</t>
  </si>
  <si>
    <t xml:space="preserve">Online Transfer from CHK ...8061 transaction#: 23554236075</t>
  </si>
  <si>
    <t xml:space="preserve">Online Transfer from CHK ...9335 transaction#: 23551739213</t>
  </si>
  <si>
    <t xml:space="preserve">CHECK</t>
  </si>
  <si>
    <t xml:space="preserve">CHECK 282  </t>
  </si>
  <si>
    <t xml:space="preserve">CHECK_PAID</t>
  </si>
  <si>
    <t xml:space="preserve">ORIG CO NAME:TXU ENERGY             ORIG ID:1001020329 DESC DATE:       CO ENTRY DESCR:TXUE_ACH  SEC:WEB    TRACE#:021000023670727 EED:250129   IND ID:900062431557                 IND NAME:DWG CAPITAL GROUP          17333702810000000000000000000003559 7226099                                       DIRECT DEBITING TRN: 0293670727TC</t>
  </si>
  <si>
    <t xml:space="preserve">ORIG CO NAME:GEICO                  ORIG ID:3530075853 DESC DATE:250128 CO ENTRY DESCR:PREM COLL SEC:PPD    TRACE#:021000028899405 EED:250129   IND ID:                             IND NAME:ANGELA DUNNING TRN: 0298899405TC</t>
  </si>
  <si>
    <t xml:space="preserve">ORIG CO NAME:MBFS.COM               ORIG ID:1850860002 DESC DATE:250129 CO ENTRY DESCR:Auto Pay  SEC:WEB    TRACE#:021000021112172 EED:250129   IND ID:5002505795                   IND NAME:John B. Dunning TRN: 0291112172TC</t>
  </si>
  <si>
    <t xml:space="preserve">Zelle payment to Aaron Frankel JPM99awb45ko</t>
  </si>
  <si>
    <t xml:space="preserve">PP*APPLE.COM/BILL 800-275-2273 CA            01/29</t>
  </si>
  <si>
    <t xml:space="preserve">ORIG CO NAME:BANNER LIFE            ORIG ID:1521236145 DESC DATE:250127 CO ENTRY DESCR:PREM DEBITSEC:PPD    TRACE#:091000018988418 EED:250128   IND ID:                             IND NAME:ANGELA L DUNNING TRN: 0288988418TC</t>
  </si>
  <si>
    <t xml:space="preserve">ORIG CO NAME:BANNER LIFE            ORIG ID:1521236145 DESC DATE:250127 CO ENTRY DESCR:PREM DEBITSEC:PPD    TRACE#:091000018988419 EED:250128   IND ID:                             IND NAME:JOHN  DUNNING TRN: 0288988419TC</t>
  </si>
  <si>
    <t xml:space="preserve">ORIG CO NAME:BLUESHIELDCA           ORIG ID:7529219311 DESC DATE:250127 CO ENTRY DESCR:BILL PAY  SEC:WEB    TRACE#:031101118427498 EED:250128   IND ID:15207728141                  IND NAME:JOHN DUNNING TRN: 0288427498TC</t>
  </si>
  <si>
    <t xml:space="preserve">ORIG CO NAME:BLUESHIELDCA           ORIG ID:7529219311 DESC DATE:250127 CO ENTRY DESCR:BILL PAY  SEC:WEB    TRACE#:031101118427499 EED:250128   IND ID:15207728131                  IND NAME:JOHN DUNNING TRN: 0288427499TC</t>
  </si>
  <si>
    <t xml:space="preserve">SQ *ALANA'S COFFEE ROA Los Angeles CA        01/27</t>
  </si>
  <si>
    <t xml:space="preserve">TST*Z GARDEN SANTA MO Santa Monica CA        01/27</t>
  </si>
  <si>
    <t xml:space="preserve">CITY OF SANTA MONICA SANTA MONICA CA         01/27</t>
  </si>
  <si>
    <t xml:space="preserve">PARKING CONCEPTS INC L LOS ANGELES CA        01/26</t>
  </si>
  <si>
    <t xml:space="preserve">Online Transfer to CHK ...1117 transaction#: 23523622078 01/27</t>
  </si>
  <si>
    <t xml:space="preserve">Online Payment 23523583589 To PENTAGON FEDERAL CREDIT UNION 01/27</t>
  </si>
  <si>
    <t xml:space="preserve">Online Transfer to CHK ...7899 transaction#: 23523556121 01/27</t>
  </si>
  <si>
    <t xml:space="preserve">Online Transfer to CHK ...6975 transaction#: 23523554746 01/27</t>
  </si>
  <si>
    <t xml:space="preserve">Online Transfer to CHK ...1117 transaction#: 23523553903 01/27</t>
  </si>
  <si>
    <t xml:space="preserve">ORIG CO NAME:INTUIT *               ORIG ID:0000756346 DESC DATE:250127 CO ENTRY DESCR:QBooks LivSEC:CCD    TRACE#:021000021497402 EED:250127   IND ID:4736232                      IND NAME:DWG CAPITAL GROUP                                                                                            800-446-8848 TRN: 0271497402TC</t>
  </si>
  <si>
    <t xml:space="preserve">ORIG CO NAME:VENMO                  ORIG ID:3264681992 DESC DATE:250125 CO ENTRY DESCR:PAYMENT   SEC:WEB    TRACE#:091000014603105 EED:250127   IND ID:1039857746791                IND NAME:JUDD DUNNING TRN: 0274603105TC</t>
  </si>
  <si>
    <t xml:space="preserve">PACOS TACOS LOS ANGELES CA                   01/26</t>
  </si>
  <si>
    <t xml:space="preserve">PP*APPLE.COM/BILL 800-275-2273 CA            01/27</t>
  </si>
  <si>
    <t xml:space="preserve">PP*APPLE.COM/BILL 800-275-2273 CA            01/26</t>
  </si>
  <si>
    <t xml:space="preserve">PAYPAL *RUTHALCANCI 402-935-7733 CA          01/26</t>
  </si>
  <si>
    <t xml:space="preserve">Disney Plus 888-9057888 CA                   01/26</t>
  </si>
  <si>
    <t xml:space="preserve">Zelle payment to Jeffrey Seider JPM99aw1oytc</t>
  </si>
  <si>
    <t xml:space="preserve">Zelle payment to Jeffrey Seider JPM99aw1omia</t>
  </si>
  <si>
    <t xml:space="preserve">PP*APPLE.COM/BILL 800-275-2273 CA            01/25</t>
  </si>
  <si>
    <t xml:space="preserve">PAYPAL *LINKEDIN 402-935-7733 CA             01/27</t>
  </si>
  <si>
    <t xml:space="preserve">TST* TAVERNA AT THE MA LOS ANGELES CA        01/25</t>
  </si>
  <si>
    <t xml:space="preserve">PAYPAL *CANVA 416-131-8870 DE                01/25</t>
  </si>
  <si>
    <t xml:space="preserve">Online Transfer from CHK ...9335 transaction#: 23523543484</t>
  </si>
  <si>
    <t xml:space="preserve">PAYPAL *UBER 866-576-1039 CA                 01/24</t>
  </si>
  <si>
    <t xml:space="preserve">PP*APPLE.COM/BILL 800-275-2273 CA            01/23</t>
  </si>
  <si>
    <t xml:space="preserve">PAYPAL *UBER 866-576-1039 CA                 01/23</t>
  </si>
  <si>
    <t xml:space="preserve">SXM*SIRIUSXM.COM/ACCT 888-635-5144 NY        01/22</t>
  </si>
  <si>
    <t xml:space="preserve">ORIG CO NAME:PRINCIPAL-CCAPNL       ORIG ID:9INDPNLEFT DESC DATE:011925 CO ENTRY DESCR:PRIN FINANSEC:PPD    TRACE#:091000016462962 EED:250122   IND ID:                             IND NAME:JOHN B DUNNING TRN: 0226462962TC</t>
  </si>
  <si>
    <t xml:space="preserve">STARBUCKS 85549 MIAMI FL                     01/21</t>
  </si>
  <si>
    <t xml:space="preserve">PAYPAL *EPOCH TIMES T 833-699-1888 NY        01/21</t>
  </si>
  <si>
    <t xml:space="preserve">HBOOKSELLER ST985 CARSON CA          328641  01/21</t>
  </si>
  <si>
    <t xml:space="preserve">ONLINE INTERNATIONAL WIRE TRANSFER A/C: BANK OF GEORGIA - USD ACCOUNT TBILISI GEORGIA 0000 - GE REF: DEC 5 EXTRA HOURS SALARY/PAYROLL PAYMENTS TRN: 3559275021ES 01/21</t>
  </si>
  <si>
    <t xml:space="preserve">ORIG CO NAME:VENMO                  ORIG ID:3264681992 DESC DATE:250118 CO ENTRY DESCR:PAYMENT   SEC:WEB    TRACE#:091000013520801 EED:250121   IND ID:1039704137042                IND NAME:JUDD DUNNING TRN: 0213520801TC</t>
  </si>
  <si>
    <t xml:space="preserve">ORIG CO NAME:VENMO                  ORIG ID:3264681992 DESC DATE:250119 CO ENTRY DESCR:PAYMENT   SEC:WEB    TRACE#:091000013732884 EED:250121   IND ID:1039733219852                IND NAME:JUDD DUNNING TRN: 0213732884TC</t>
  </si>
  <si>
    <t xml:space="preserve">Online Transfer to CHK ...1117 transaction#: 23450617971 01/21</t>
  </si>
  <si>
    <t xml:space="preserve">Online Payment 23450485096 To LOS ANGELES MUNICIPAL SERVICE 01/21</t>
  </si>
  <si>
    <t xml:space="preserve">UPWORK * -772584884 866-262-4478 CA          01/20</t>
  </si>
  <si>
    <t xml:space="preserve">PP*APPLE.COM/BILL 800-275-2273 CA            01/20</t>
  </si>
  <si>
    <t xml:space="preserve">TST*BLUEYS KITCHEN MAR Los Angeles CA        01/19</t>
  </si>
  <si>
    <t xml:space="preserve">PACIFIC MARINA VENTU BEVERLY HILLS CA        01/19</t>
  </si>
  <si>
    <t xml:space="preserve">RESTORE.COM RESTORE.COM TX                   01/19</t>
  </si>
  <si>
    <t xml:space="preserve">SQ *PAYA THAI LA LLC. LOS ANGELES CA         01/19</t>
  </si>
  <si>
    <t xml:space="preserve">PAYPAL *BEENVERIFIE 786-482-6776 NY          01/21</t>
  </si>
  <si>
    <t xml:space="preserve">Online Transfer to CHK ...1117 transaction#: 23439350713 01/21</t>
  </si>
  <si>
    <t xml:space="preserve">PAYPAL *THEREALDEAL O 212-260-1332 NY        01/20</t>
  </si>
  <si>
    <t xml:space="preserve">PAYPAL *ON SPORTSWE R 503-222-0691 OR        01/20</t>
  </si>
  <si>
    <t xml:space="preserve">On Sportswear Portland OR                    01/19</t>
  </si>
  <si>
    <t xml:space="preserve">TST*THE BUTCHERS DAUGHT Venice CA            01/18</t>
  </si>
  <si>
    <t xml:space="preserve">LADOT METER PARKING LOS ANGELES CA           01/18</t>
  </si>
  <si>
    <t xml:space="preserve">CITY OF SANTA MONICA SANTA MONICA CA         01/18</t>
  </si>
  <si>
    <t xml:space="preserve">PAYPAL *FOXCORP 888-596-3938 CA              01/19</t>
  </si>
  <si>
    <t xml:space="preserve">PP*APPLE.COM/BILL 800-275-2273 CA            01/18</t>
  </si>
  <si>
    <t xml:space="preserve">ORIG CO NAME:TXWORKFORCECOMM        ORIG ID:2146000320 DESC DATE:250117 CO ENTRY DESCR:DEBIT     SEC:CCD    TRACE#:021000021596433 EED:250121   IND ID:(512)463-2325                IND NAME:TWC-203092024                                                                                                TWC UI TAX TRN: 0211596433TC</t>
  </si>
  <si>
    <t xml:space="preserve">PAYPAL *GRUBHUBFOOD V 877-585-7878 IL        01/19</t>
  </si>
  <si>
    <t xml:space="preserve">Zelle payment to Jeffrey Seider JPM99av8z1d7</t>
  </si>
  <si>
    <t xml:space="preserve">TST* CAFE GRATITUDE - V VENICE CA            01/18</t>
  </si>
  <si>
    <t xml:space="preserve">PP*APPLE.COM/BILL 800-275-2273 CA            01/17</t>
  </si>
  <si>
    <t xml:space="preserve">PAYPAL *RUTHALCANCI 402-935-7733 CA          01/17</t>
  </si>
  <si>
    <t xml:space="preserve">ORIG CO NAME:VENMO                  ORIG ID:3264681992 DESC DATE:250116 CO ENTRY DESCR:PAYMENT   SEC:WEB    TRACE#:091000015436518 EED:250117   IND ID:1039674729413                IND NAME:JUDD DUNNING TRN: 0175436518TC</t>
  </si>
  <si>
    <t xml:space="preserve">SQ *ALANA'S COFFEE ROA Los Angeles CA        01/16</t>
  </si>
  <si>
    <t xml:space="preserve">PAYPAL *LINKEDIN 402-935-7733 CA             01/17</t>
  </si>
  <si>
    <t xml:space="preserve">PAYPAL *BLINKIST 35314369001                 01/14</t>
  </si>
  <si>
    <t xml:space="preserve"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ENTS/OCMT/COP3118625,18/EXCH/4158.1 669/CNTR/10521298/INT/ANDRES_527 TRN: 3587400016RE 01/16</t>
  </si>
  <si>
    <t xml:space="preserve">ORIG CO NAME:LEASEDIRECT            ORIG ID:138190450  DESC DATE:250115 CO ENTRY DESCR:10939_1   SEC:CCD    TRACE#:043000099517976 EED:250116   IND ID:1556926                      IND NAME:DWG CAPITAL GROUP          INV# 589005001 DUE 01/15/25 REC# 17 29245                                         10940 TRN: 0169517976TC</t>
  </si>
  <si>
    <t xml:space="preserve">ORIG CO NAME:IRS                    ORIG ID:3387702000 DESC DATE:011625 CO ENTRY DESCR:USATAXPYMTSEC:CCD    TRACE#:061036019337750 EED:250116   IND ID:274541643291626              IND NAME:DWG CAPITAL GROUP TRN: 0169337750TC</t>
  </si>
  <si>
    <t xml:space="preserve">ORIG CO NAME:IRS                    ORIG ID:3387702000 DESC DATE:011625 CO ENTRY DESCR:USATAXPYMTSEC:CCD    TRACE#:061036019337751 EED:250116   IND ID:274541643459336              IND NAME:DWG CAPITAL GROUP TRN: 0169337751TC</t>
  </si>
  <si>
    <t xml:space="preserve">ONLINE INTERNATIONAL WIRE TRANSFER A/C: BBVA COLOMBIA BOGOTA COLOMBIA 00000- CO REF: BI-WEEKLY PAYROLL TAXID1063308099/TEL573004049463/SALARY/PAYROLL PAYME NTS/INT/SUADATDWG-RE.COM/BNF/NONE TRN: 3090175016ES 01/16</t>
  </si>
  <si>
    <t xml:space="preserve">THE HOME DEPOT #6611 LOS ANGELES CA          01/14</t>
  </si>
  <si>
    <t xml:space="preserve">ORIG CO NAME:TXU ENERGY             ORIG ID:1001020329 DESC DATE:       CO ENTRY DESCR:TXUE_ACH  SEC:WEB    TRACE#:021000026418783 EED:250115   IND ID:900062431557                 IND NAME:DWG CAPITAL GROUP          17333702810000000000000000000003526 0659935                                       DIRECT DEBITING TRN: 0156418783TC</t>
  </si>
  <si>
    <t xml:space="preserve">Zelle payment to Sentha JPM99auz7qzm</t>
  </si>
  <si>
    <t xml:space="preserve">Zelle payment to Sentha JPM99auz6yl3</t>
  </si>
  <si>
    <t xml:space="preserve">Online Transfer to CHK ...1117 transaction#: 23396403832 01/15</t>
  </si>
  <si>
    <t xml:space="preserve">RESTORE.COM RESTORE.COM TX                   01/15</t>
  </si>
  <si>
    <t xml:space="preserve">PP*APPLE.COM/BILL 800-275-2273 CA            01/15</t>
  </si>
  <si>
    <t xml:space="preserve">PP*GOOGLE GOOGLE ONE 855-836-3987 CA         01/14</t>
  </si>
  <si>
    <t xml:space="preserve">PP*APPLE.COM/BILL 800-275-2273 CA            01/14</t>
  </si>
  <si>
    <t xml:space="preserve">PAYPAL *GRUBHUBFOOD L 877-585-7878 IL        01/15</t>
  </si>
  <si>
    <t xml:space="preserve">ORIG CO NAME:VENMO                  ORIG ID:3264681992 DESC DATE:250113 CO ENTRY DESCR:PAYMENT   SEC:WEB    TRACE#:091000018871143 EED:250114   IND ID:1039613432617                IND NAME:JUDD DUNNING TRN: 0148871143TC</t>
  </si>
  <si>
    <t xml:space="preserve">PAYPAL *LINKEDIN 402-935-7733 CA             01/14</t>
  </si>
  <si>
    <t xml:space="preserve">ORIG CO NAME:VENMO                  ORIG ID:3264681992 DESC DATE:250111 CO ENTRY DESCR:PAYMENT   SEC:WEB    TRACE#:091000010825781 EED:250113   IND ID:1039566816879                IND NAME:JUDD DUNNING TRN: 0130825781TC</t>
  </si>
  <si>
    <t xml:space="preserve">ORIG CO NAME:VENMO                  ORIG ID:3264681992 DESC DATE:250112 CO ENTRY DESCR:PAYMENT   SEC:WEB    TRACE#:091000019849488 EED:250113   IND ID:1039571975176                IND NAME:JUDD DUNNING TRN: 0139849488TC</t>
  </si>
  <si>
    <t xml:space="preserve">PAYPAL *HULU 877-801-5441 CA                 01/12</t>
  </si>
  <si>
    <t xml:space="preserve">PP*SPOTIFYUSAI 203-318-9708 NY               01/12</t>
  </si>
  <si>
    <t xml:space="preserve">Zelle payment to Jeff D. Farjardo JPM99aunddca</t>
  </si>
  <si>
    <t xml:space="preserve">Zelle payment to Jeffrey Seider JPM99aulbjkb</t>
  </si>
  <si>
    <t xml:space="preserve">PP*APPLE.COM/BILL 800-275-2273 CA            01/11</t>
  </si>
  <si>
    <t xml:space="preserve">ORIG CO NAME:BANNER LIFE            ORIG ID:1521236145 DESC DATE:250110 CO ENTRY DESCR:PREM DEBITSEC:PPD    TRACE#:091000018875623 EED:250113   IND ID:                             IND NAME:ANGELA L DUNNING TRN: 0138875623TC</t>
  </si>
  <si>
    <t xml:space="preserve">ORIG CO NAME:GM Financial           ORIG ID:I522190781 DESC DATE:250113 CO ENTRY DESCR:GMF Pymt  SEC:PPD    TRACE#:091000018924409 EED:250113   IND ID:                             IND NAME:ANGELA DUNNING TRN: 0138924409TC</t>
  </si>
  <si>
    <t xml:space="preserve">PP*APPLE.COM/BILL 800-275-2273 CA            01/10</t>
  </si>
  <si>
    <t xml:space="preserve">PAYPAL *VIKAS KUMAR 402-935-7733 CA          01/11</t>
  </si>
  <si>
    <t xml:space="preserve">ORIG CO NAME:REALCAPITALMARKE       ORIG ID:E841910518 DESC DATE:B25009 CO ENTRY DESCR:8553375126SEC:CCD    TRACE#:091000011357372 EED:250110   IND ID:2TSMZDVSCPILZ20              IND NAME:NA DWG CAPITAL GROUP TRN: 0101357372TC</t>
  </si>
  <si>
    <t xml:space="preserve">ORIG CO NAME:REALCAPITALMARKE       ORIG ID:E841910518 DESC DATE:B25009 CO ENTRY DESCR:8553375126SEC:CCD    TRACE#:091000011357371 EED:250110   IND ID:2TSMZJBYE66ULCV              IND NAME:NA DWG CAPITAL GROUP TRN: 0101357371TC</t>
  </si>
  <si>
    <t xml:space="preserve">HLU*HULUPLUS hulu.com/bill CA                01/10</t>
  </si>
  <si>
    <t xml:space="preserve">Online Transfer to CHK ...1117 transaction#: 23337021115 01/10</t>
  </si>
  <si>
    <t xml:space="preserve">PP*APPLE.COM/BILL 800-275-2273 CA            01/09</t>
  </si>
  <si>
    <t xml:space="preserve">Zelle payment to Jeff D. Farjardo JPM99aud28r6</t>
  </si>
  <si>
    <t xml:space="preserve">ORIG CO NAME:VENMO                  ORIG ID:3264681992 DESC DATE:250107 CO ENTRY DESCR:PAYMENT   SEC:WEB    TRACE#:091000014389350 EED:250108   IND ID:1039483658854                IND NAME:JUDD DUNNING TRN: 0084389350TC</t>
  </si>
  <si>
    <t xml:space="preserve">Online Transfer to CHK ...6975 transaction#: 23317009803 01/08</t>
  </si>
  <si>
    <t xml:space="preserve">Zelle payment to Aldolfo Varela JPM99aubwehg</t>
  </si>
  <si>
    <t xml:space="preserve">Online Transfer to CHK ...0709 transaction#: 23316735921 01/08</t>
  </si>
  <si>
    <t xml:space="preserve">PAYPAL *TOMMY 402-935-7733 CA                01/07</t>
  </si>
  <si>
    <t xml:space="preserve">Zelle payment to Jeffrey Seider JPM99au9vdrc</t>
  </si>
  <si>
    <t xml:space="preserve">Zelle payment to Estella Martinez JPM99au9vq6b</t>
  </si>
  <si>
    <t xml:space="preserve">PAYPAL *RUTHALCANCI 402-935-7733 CA          01/06</t>
  </si>
  <si>
    <t xml:space="preserve">PP*APPLE.COM/BILL 800-275-2273 CA            01/07</t>
  </si>
  <si>
    <t xml:space="preserve">CHECK 284  01/06</t>
  </si>
  <si>
    <t xml:space="preserve">ORIG CO NAME:BLUESHIELDCA           ORIG ID:7529219311 DESC DATE:250103 CO ENTRY DESCR:BILL PAY  SEC:CCD    TRACE#:031101110193754 EED:250106   IND ID:15639336851                  IND NAME:ANGELA DUNNING TRN: 0060193754TC</t>
  </si>
  <si>
    <t xml:space="preserve">PP*APPLE.COM/BILL 800-275-2273 CA            01/05</t>
  </si>
  <si>
    <t xml:space="preserve">2418 AMC AMC MARINA MARINA DEL RE CA         01/04</t>
  </si>
  <si>
    <t xml:space="preserve">PP*APPLE.COM/BILL 800-275-2273 CA            01/04</t>
  </si>
  <si>
    <t xml:space="preserve">SQ *ALANA'S COFFEE ROA Los Angeles CA        01/03</t>
  </si>
  <si>
    <t xml:space="preserve">PAYPAL *SANDYPR COM 402-935-7733 CA          01/03</t>
  </si>
  <si>
    <t xml:space="preserve">PAYPAL *PRAGERUNIVE P 833-772-4378 CA        01/03</t>
  </si>
  <si>
    <t xml:space="preserve">Online Payment 23270632527 To PENTAGON FEDERAL CREDIT UNION 01/03</t>
  </si>
  <si>
    <t xml:space="preserve">Online Transfer to CHK ...1117 transaction#: 23270584350 01/03</t>
  </si>
  <si>
    <t xml:space="preserve">PP*APPLE.COM/BILL 800-275-2273 CA            01/03</t>
  </si>
  <si>
    <t xml:space="preserve">PAYPAL *DIRECTV 800-531-5000 TX              01/02</t>
  </si>
  <si>
    <t xml:space="preserve">LOS ANGELES INTERNATIO LOS ANGELES CA        01/02</t>
  </si>
  <si>
    <t xml:space="preserve">PAYPAL *QUICKEN INC 650-250-1900 CA          01/03</t>
  </si>
  <si>
    <t xml:space="preserve">FOREIGN EXCHANGE RATE ADJUSTMENT FEE         01/01TSESHAHT</t>
  </si>
  <si>
    <t xml:space="preserve">CHECK 283  </t>
  </si>
  <si>
    <t xml:space="preserve">Basic Online Payroll Payment 11153985731 to ######7939</t>
  </si>
  <si>
    <t xml:space="preserve">ONLINE INTERNATIONAL WIRE TRANSFER A/C: BBVA COLOMBIA BOGOTA COLOMBIA 00000- CO REF: NOV AND DEC BONUSES TAXID1063308099/TEL573004049463/GIFT OR DONATION/I NT/SUADATDWG-RE.COM TRN: 3236395002ES 01/02</t>
  </si>
  <si>
    <t xml:space="preserve">TSESHAHT MARKET LP PORT ALBERNI BC           01/01 CA DOLLAR  128.36 X 0.6975693 (EXCHG RTE)</t>
  </si>
  <si>
    <t xml:space="preserve">PAYPAL *HULU 877-801-5441 CA                 01/01</t>
  </si>
  <si>
    <t xml:space="preserve">PAYPAL *GOOGLE LLC GO 650-253-0000 CA        01/01</t>
  </si>
  <si>
    <t xml:space="preserve">PAYPAL *LINKEDIN 402-935-7733 CA             01/01</t>
  </si>
  <si>
    <t xml:space="preserve">PAYPAL *BABBEL BABBEL. 35314369001           12/29</t>
  </si>
  <si>
    <t xml:space="preserve">FEDWIRE CREDIT VIA: BANK OF AMERICA, N.A./026009593 B/O: CT SOCAL COMM FBSC/CT BS FXBC RIVERSIDE CA 92505 US REF: CHASE NYC/CTR/BNF=DWG CAPITAL GROUP LOS ANGELES CA 90066-3638 US/AC-00 0000002836 RFB=1-18462072 OBI=FN-FB SC2403516 ACQUISITION FEE/AND APPRA ISAL REIMB EDGE BUILDER P/ROP AD DR -1607 PINE ST IMAD: 0102B6B7HU1R020333 TRN: 1195641002FF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</si>
</sst>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mmm\ yyyy"/>
    <numFmt numFmtId="167" formatCode="yyyy\-mm\-dd"/>
    <numFmt numFmtId="168" formatCode="yyyy\-mm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9"/>
      <color rgb="FF6B6B6B"/>
      <name val="Calibri"/>
      <family val="0"/>
      <charset val="1"/>
    </font>
    <font>
      <sz val="9"/>
      <color rgb="FF6B6B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6B6B6B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E8E8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6"/>
    </row>
    <row r="9" customFormat="false" ht="15" hidden="false" customHeight="false" outlineLevel="0" collapsed="false">
      <c r="A9" s="0" t="s">
        <v>9</v>
      </c>
      <c r="B9" s="7" t="n">
        <f aca="false">SUMIFS('Transaction Overview'!$D$2:$D$1850,'Transaction Overview'!$D$2:$D$1850,"&gt;0")</f>
        <v>2173385.29</v>
      </c>
    </row>
    <row r="10" customFormat="false" ht="15" hidden="false" customHeight="false" outlineLevel="0" collapsed="false">
      <c r="A10" s="0" t="s">
        <v>10</v>
      </c>
      <c r="B10" s="7" t="n">
        <f aca="false">SUMIFS('Transaction Overview'!$D$2:$D$1850,'Transaction Overview'!$D$2:$D$1850,"&lt;0")</f>
        <v>-2192318.08</v>
      </c>
    </row>
    <row r="11" customFormat="false" ht="15" hidden="false" customHeight="false" outlineLevel="0" collapsed="false">
      <c r="A11" s="0" t="s">
        <v>11</v>
      </c>
      <c r="B11" s="7" t="n">
        <f aca="false">B9+B10</f>
        <v>-18932.79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D14" s="8" t="s">
        <v>15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0" t="s">
        <v>17</v>
      </c>
      <c r="B16" s="7" t="n">
        <f aca="false">SUMIFS('Transaction Overview'!$D$2:$D$1850,'Transaction Overview'!$I$2:$I$1850,$A16,'Transaction Overview'!$D$2:$D$1850,"&gt;0")</f>
        <v>0</v>
      </c>
      <c r="C16" s="7" t="n">
        <f aca="false">SUMIFS('Transaction Overview'!$D$2:$D$1850,'Transaction Overview'!$I$2:$I$1850,$A16,'Transaction Overview'!$D$2:$D$1850,"&lt;0")</f>
        <v>-40000</v>
      </c>
      <c r="D16" s="7" t="n">
        <f aca="false">B16+C16</f>
        <v>-40000</v>
      </c>
    </row>
    <row r="17" customFormat="false" ht="15" hidden="false" customHeight="false" outlineLevel="0" collapsed="false">
      <c r="A17" s="0" t="s">
        <v>18</v>
      </c>
      <c r="B17" s="7" t="n">
        <f aca="false">SUMIFS('Transaction Overview'!$D$2:$D$1850,'Transaction Overview'!$I$2:$I$1850,$A17,'Transaction Overview'!$D$2:$D$1850,"&gt;0")</f>
        <v>40000</v>
      </c>
      <c r="C17" s="7" t="n">
        <f aca="false">SUMIFS('Transaction Overview'!$D$2:$D$1850,'Transaction Overview'!$I$2:$I$1850,$A17,'Transaction Overview'!$D$2:$D$1850,"&lt;0")</f>
        <v>0</v>
      </c>
      <c r="D17" s="7" t="n">
        <f aca="false">B17+C17</f>
        <v>40000</v>
      </c>
    </row>
    <row r="18" customFormat="false" ht="15" hidden="false" customHeight="false" outlineLevel="0" collapsed="false">
      <c r="A18" s="0" t="s">
        <v>19</v>
      </c>
      <c r="B18" s="7" t="n">
        <f aca="false">SUMIFS('Transaction Overview'!$D$2:$D$1850,'Transaction Overview'!$I$2:$I$1850,$A18,'Transaction Overview'!$D$2:$D$1850,"&gt;0")</f>
        <v>0</v>
      </c>
      <c r="C18" s="7" t="n">
        <f aca="false">SUMIFS('Transaction Overview'!$D$2:$D$1850,'Transaction Overview'!$I$2:$I$1850,$A18,'Transaction Overview'!$D$2:$D$1850,"&lt;0")</f>
        <v>-15000</v>
      </c>
      <c r="D18" s="7" t="n">
        <f aca="false">B18+C18</f>
        <v>-15000</v>
      </c>
    </row>
    <row r="19" customFormat="false" ht="15" hidden="false" customHeight="false" outlineLevel="0" collapsed="false">
      <c r="A19" s="10" t="s">
        <v>20</v>
      </c>
      <c r="B19" s="11" t="n">
        <f aca="false">SUMIFS('Transaction Overview'!$D$2:$D$1850,'Transaction Overview'!$J$2:$J$1850,"Deal-Specific",'Transaction Overview'!$D$2:$D$1850,"&gt;0")</f>
        <v>40000</v>
      </c>
      <c r="C19" s="11" t="n">
        <f aca="false">SUMIFS('Transaction Overview'!$D$2:$D$1850,'Transaction Overview'!$J$2:$J$1850,"Deal-Specific",'Transaction Overview'!$D$2:$D$1850,"&lt;0")</f>
        <v>-55000</v>
      </c>
      <c r="D19" s="11" t="n">
        <f aca="false">B19+C19</f>
        <v>-15000</v>
      </c>
    </row>
    <row r="21" customFormat="false" ht="15" hidden="false" customHeight="false" outlineLevel="0" collapsed="false">
      <c r="A21" s="9" t="s">
        <v>21</v>
      </c>
    </row>
    <row r="22" customFormat="false" ht="15" hidden="false" customHeight="false" outlineLevel="0" collapsed="false">
      <c r="A22" s="0" t="s">
        <v>22</v>
      </c>
      <c r="B22" s="7" t="n">
        <f aca="false">SUMIFS('Transaction Overview'!$D$2:$D$1850,'Transaction Overview'!$I$2:$I$1850,$A22,'Transaction Overview'!$D$2:$D$1850,"&gt;0")</f>
        <v>87850</v>
      </c>
      <c r="C22" s="7" t="n">
        <f aca="false">SUMIFS('Transaction Overview'!$D$2:$D$1850,'Transaction Overview'!$I$2:$I$1850,$A22,'Transaction Overview'!$D$2:$D$1850,"&lt;0")</f>
        <v>0</v>
      </c>
      <c r="D22" s="7" t="n">
        <f aca="false">B22+C22</f>
        <v>87850</v>
      </c>
    </row>
    <row r="23" customFormat="false" ht="15" hidden="false" customHeight="false" outlineLevel="0" collapsed="false">
      <c r="A23" s="0" t="s">
        <v>23</v>
      </c>
      <c r="B23" s="7" t="n">
        <f aca="false">SUMIFS('Transaction Overview'!$D$2:$D$1850,'Transaction Overview'!$I$2:$I$1850,$A23,'Transaction Overview'!$D$2:$D$1850,"&gt;0")</f>
        <v>235000</v>
      </c>
      <c r="C23" s="7" t="n">
        <f aca="false">SUMIFS('Transaction Overview'!$D$2:$D$1850,'Transaction Overview'!$I$2:$I$1850,$A23,'Transaction Overview'!$D$2:$D$1850,"&lt;0")</f>
        <v>-25000</v>
      </c>
      <c r="D23" s="7" t="n">
        <f aca="false">B23+C23</f>
        <v>210000</v>
      </c>
    </row>
    <row r="24" customFormat="false" ht="15" hidden="false" customHeight="false" outlineLevel="0" collapsed="false">
      <c r="A24" s="0" t="s">
        <v>24</v>
      </c>
      <c r="B24" s="7" t="n">
        <f aca="false">SUMIFS('Transaction Overview'!$D$2:$D$1850,'Transaction Overview'!$I$2:$I$1850,$A24,'Transaction Overview'!$D$2:$D$1850,"&gt;0")</f>
        <v>42500</v>
      </c>
      <c r="C24" s="7" t="n">
        <f aca="false">SUMIFS('Transaction Overview'!$D$2:$D$1850,'Transaction Overview'!$I$2:$I$1850,$A24,'Transaction Overview'!$D$2:$D$1850,"&lt;0")</f>
        <v>0</v>
      </c>
      <c r="D24" s="7" t="n">
        <f aca="false">B24+C24</f>
        <v>42500</v>
      </c>
    </row>
    <row r="25" customFormat="false" ht="15" hidden="false" customHeight="false" outlineLevel="0" collapsed="false">
      <c r="A25" s="0" t="s">
        <v>25</v>
      </c>
      <c r="B25" s="7" t="n">
        <f aca="false">SUMIFS('Transaction Overview'!$D$2:$D$1850,'Transaction Overview'!$I$2:$I$1850,$A25,'Transaction Overview'!$D$2:$D$1850,"&gt;0")</f>
        <v>40000</v>
      </c>
      <c r="C25" s="7" t="n">
        <f aca="false">SUMIFS('Transaction Overview'!$D$2:$D$1850,'Transaction Overview'!$I$2:$I$1850,$A25,'Transaction Overview'!$D$2:$D$1850,"&lt;0")</f>
        <v>0</v>
      </c>
      <c r="D25" s="7" t="n">
        <f aca="false">B25+C25</f>
        <v>40000</v>
      </c>
    </row>
    <row r="26" customFormat="false" ht="15" hidden="false" customHeight="false" outlineLevel="0" collapsed="false">
      <c r="A26" s="0" t="s">
        <v>26</v>
      </c>
      <c r="B26" s="7" t="n">
        <f aca="false">SUMIFS('Transaction Overview'!$D$2:$D$1850,'Transaction Overview'!$I$2:$I$1850,$A26,'Transaction Overview'!$D$2:$D$1850,"&gt;0")</f>
        <v>69000</v>
      </c>
      <c r="C26" s="7" t="n">
        <f aca="false">SUMIFS('Transaction Overview'!$D$2:$D$1850,'Transaction Overview'!$I$2:$I$1850,$A26,'Transaction Overview'!$D$2:$D$1850,"&lt;0")</f>
        <v>0</v>
      </c>
      <c r="D26" s="7" t="n">
        <f aca="false">B26+C26</f>
        <v>69000</v>
      </c>
    </row>
    <row r="27" customFormat="false" ht="15" hidden="false" customHeight="false" outlineLevel="0" collapsed="false">
      <c r="A27" s="0" t="s">
        <v>27</v>
      </c>
      <c r="B27" s="7" t="n">
        <f aca="false">SUMIFS('Transaction Overview'!$D$2:$D$1850,'Transaction Overview'!$I$2:$I$1850,$A27,'Transaction Overview'!$D$2:$D$1850,"&gt;0")</f>
        <v>40350</v>
      </c>
      <c r="C27" s="7" t="n">
        <f aca="false">SUMIFS('Transaction Overview'!$D$2:$D$1850,'Transaction Overview'!$I$2:$I$1850,$A27,'Transaction Overview'!$D$2:$D$1850,"&lt;0")</f>
        <v>0</v>
      </c>
      <c r="D27" s="7" t="n">
        <f aca="false">B27+C27</f>
        <v>40350</v>
      </c>
    </row>
    <row r="28" customFormat="false" ht="15" hidden="false" customHeight="false" outlineLevel="0" collapsed="false">
      <c r="A28" s="0" t="s">
        <v>28</v>
      </c>
      <c r="B28" s="7" t="n">
        <f aca="false">SUMIFS('Transaction Overview'!$D$2:$D$1850,'Transaction Overview'!$I$2:$I$1850,$A28,'Transaction Overview'!$D$2:$D$1850,"&gt;0")</f>
        <v>85700</v>
      </c>
      <c r="C28" s="7" t="n">
        <f aca="false">SUMIFS('Transaction Overview'!$D$2:$D$1850,'Transaction Overview'!$I$2:$I$1850,$A28,'Transaction Overview'!$D$2:$D$1850,"&lt;0")</f>
        <v>0</v>
      </c>
      <c r="D28" s="7" t="n">
        <f aca="false">B28+C28</f>
        <v>85700</v>
      </c>
    </row>
    <row r="29" customFormat="false" ht="15" hidden="false" customHeight="false" outlineLevel="0" collapsed="false">
      <c r="A29" s="0" t="s">
        <v>29</v>
      </c>
      <c r="B29" s="7" t="n">
        <f aca="false">SUMIFS('Transaction Overview'!$D$2:$D$1850,'Transaction Overview'!$I$2:$I$1850,$A29,'Transaction Overview'!$D$2:$D$1850,"&gt;0")</f>
        <v>61037</v>
      </c>
      <c r="C29" s="7" t="n">
        <f aca="false">SUMIFS('Transaction Overview'!$D$2:$D$1850,'Transaction Overview'!$I$2:$I$1850,$A29,'Transaction Overview'!$D$2:$D$1850,"&lt;0")</f>
        <v>0</v>
      </c>
      <c r="D29" s="7" t="n">
        <f aca="false">B29+C29</f>
        <v>61037</v>
      </c>
    </row>
    <row r="30" customFormat="false" ht="15" hidden="false" customHeight="false" outlineLevel="0" collapsed="false">
      <c r="A30" s="10" t="s">
        <v>30</v>
      </c>
      <c r="B30" s="11" t="n">
        <f aca="false">SUMIFS('Transaction Overview'!$D$2:$D$1850,'Transaction Overview'!$J$2:$J$1850,"Commissions — Incoming",'Transaction Overview'!$D$2:$D$1850,"&gt;0")</f>
        <v>661437</v>
      </c>
      <c r="C30" s="11" t="n">
        <f aca="false">SUMIFS('Transaction Overview'!$D$2:$D$1850,'Transaction Overview'!$J$2:$J$1850,"Commissions — Incoming",'Transaction Overview'!$D$2:$D$1850,"&lt;0")</f>
        <v>-25000</v>
      </c>
      <c r="D30" s="11" t="n">
        <f aca="false">B30+C30</f>
        <v>636437</v>
      </c>
    </row>
    <row r="32" customFormat="false" ht="15" hidden="false" customHeight="false" outlineLevel="0" collapsed="false">
      <c r="A32" s="9" t="s">
        <v>31</v>
      </c>
    </row>
    <row r="33" customFormat="false" ht="15" hidden="false" customHeight="false" outlineLevel="0" collapsed="false">
      <c r="A33" s="0" t="s">
        <v>32</v>
      </c>
      <c r="B33" s="7" t="n">
        <f aca="false">SUMIFS('Transaction Overview'!$D$2:$D$1850,'Transaction Overview'!$I$2:$I$1850,$A33,'Transaction Overview'!$D$2:$D$1850,"&gt;0")</f>
        <v>0</v>
      </c>
      <c r="C33" s="7" t="n">
        <f aca="false">SUMIFS('Transaction Overview'!$D$2:$D$1850,'Transaction Overview'!$I$2:$I$1850,$A33,'Transaction Overview'!$D$2:$D$1850,"&lt;0")</f>
        <v>-102500</v>
      </c>
      <c r="D33" s="7" t="n">
        <f aca="false">B33+C33</f>
        <v>-102500</v>
      </c>
    </row>
    <row r="34" customFormat="false" ht="15" hidden="false" customHeight="false" outlineLevel="0" collapsed="false">
      <c r="A34" s="10" t="s">
        <v>33</v>
      </c>
      <c r="B34" s="11" t="n">
        <f aca="false">SUMIFS('Transaction Overview'!$D$2:$D$1850,'Transaction Overview'!$J$2:$J$1850,"Commissions — Outgoing",'Transaction Overview'!$D$2:$D$1850,"&gt;0")</f>
        <v>0</v>
      </c>
      <c r="C34" s="11" t="n">
        <f aca="false">SUMIFS('Transaction Overview'!$D$2:$D$1850,'Transaction Overview'!$J$2:$J$1850,"Commissions — Outgoing",'Transaction Overview'!$D$2:$D$1850,"&lt;0")</f>
        <v>-102500</v>
      </c>
      <c r="D34" s="11" t="n">
        <f aca="false">B34+C34</f>
        <v>-102500</v>
      </c>
    </row>
    <row r="36" customFormat="false" ht="15" hidden="false" customHeight="false" outlineLevel="0" collapsed="false">
      <c r="A36" s="9" t="s">
        <v>34</v>
      </c>
    </row>
    <row r="37" customFormat="false" ht="15" hidden="false" customHeight="false" outlineLevel="0" collapsed="false">
      <c r="A37" s="0" t="s">
        <v>35</v>
      </c>
      <c r="B37" s="7" t="n">
        <f aca="false">SUMIFS('Transaction Overview'!$D$2:$D$1850,'Transaction Overview'!$I$2:$I$1850,$A37,'Transaction Overview'!$D$2:$D$1850,"&gt;0")</f>
        <v>0</v>
      </c>
      <c r="C37" s="7" t="n">
        <f aca="false">SUMIFS('Transaction Overview'!$D$2:$D$1850,'Transaction Overview'!$I$2:$I$1850,$A37,'Transaction Overview'!$D$2:$D$1850,"&lt;0")</f>
        <v>-114028.02</v>
      </c>
      <c r="D37" s="7" t="n">
        <f aca="false">B37+C37</f>
        <v>-114028.02</v>
      </c>
    </row>
    <row r="38" customFormat="false" ht="15" hidden="false" customHeight="false" outlineLevel="0" collapsed="false">
      <c r="A38" s="0" t="s">
        <v>36</v>
      </c>
      <c r="B38" s="7" t="n">
        <f aca="false">SUMIFS('Transaction Overview'!$D$2:$D$1850,'Transaction Overview'!$I$2:$I$1850,$A38,'Transaction Overview'!$D$2:$D$1850,"&gt;0")</f>
        <v>0</v>
      </c>
      <c r="C38" s="7" t="n">
        <f aca="false">SUMIFS('Transaction Overview'!$D$2:$D$1850,'Transaction Overview'!$I$2:$I$1850,$A38,'Transaction Overview'!$D$2:$D$1850,"&lt;0")</f>
        <v>-83437</v>
      </c>
      <c r="D38" s="7" t="n">
        <f aca="false">B38+C38</f>
        <v>-83437</v>
      </c>
    </row>
    <row r="39" customFormat="false" ht="15" hidden="false" customHeight="false" outlineLevel="0" collapsed="false">
      <c r="A39" s="0" t="s">
        <v>37</v>
      </c>
      <c r="B39" s="7" t="n">
        <f aca="false">SUMIFS('Transaction Overview'!$D$2:$D$1850,'Transaction Overview'!$I$2:$I$1850,$A39,'Transaction Overview'!$D$2:$D$1850,"&gt;0")</f>
        <v>0</v>
      </c>
      <c r="C39" s="7" t="n">
        <f aca="false">SUMIFS('Transaction Overview'!$D$2:$D$1850,'Transaction Overview'!$I$2:$I$1850,$A39,'Transaction Overview'!$D$2:$D$1850,"&lt;0")</f>
        <v>-454752.37</v>
      </c>
      <c r="D39" s="7" t="n">
        <f aca="false">B39+C39</f>
        <v>-454752.37</v>
      </c>
    </row>
    <row r="40" customFormat="false" ht="15" hidden="false" customHeight="false" outlineLevel="0" collapsed="false">
      <c r="A40" s="0" t="s">
        <v>38</v>
      </c>
      <c r="B40" s="7" t="n">
        <f aca="false">SUMIFS('Transaction Overview'!$D$2:$D$1850,'Transaction Overview'!$I$2:$I$1850,$A40,'Transaction Overview'!$D$2:$D$1850,"&gt;0")</f>
        <v>0</v>
      </c>
      <c r="C40" s="7" t="n">
        <f aca="false">SUMIFS('Transaction Overview'!$D$2:$D$1850,'Transaction Overview'!$I$2:$I$1850,$A40,'Transaction Overview'!$D$2:$D$1850,"&lt;0")</f>
        <v>-10000</v>
      </c>
      <c r="D40" s="7" t="n">
        <f aca="false">B40+C40</f>
        <v>-10000</v>
      </c>
    </row>
    <row r="41" customFormat="false" ht="15" hidden="false" customHeight="false" outlineLevel="0" collapsed="false">
      <c r="A41" s="0" t="s">
        <v>39</v>
      </c>
      <c r="B41" s="7" t="n">
        <f aca="false">SUMIFS('Transaction Overview'!$D$2:$D$1850,'Transaction Overview'!$I$2:$I$1850,$A41,'Transaction Overview'!$D$2:$D$1850,"&gt;0")</f>
        <v>365125</v>
      </c>
      <c r="C41" s="7" t="n">
        <f aca="false">SUMIFS('Transaction Overview'!$D$2:$D$1850,'Transaction Overview'!$I$2:$I$1850,$A41,'Transaction Overview'!$D$2:$D$1850,"&lt;0")</f>
        <v>0</v>
      </c>
      <c r="D41" s="7" t="n">
        <f aca="false">B41+C41</f>
        <v>365125</v>
      </c>
    </row>
    <row r="42" customFormat="false" ht="15" hidden="false" customHeight="false" outlineLevel="0" collapsed="false">
      <c r="A42" s="10" t="s">
        <v>40</v>
      </c>
      <c r="B42" s="11" t="n">
        <f aca="false">SUMIFS('Transaction Overview'!$D$2:$D$1850,'Transaction Overview'!$J$2:$J$1850,"MAG Pass-Through",'Transaction Overview'!$D$2:$D$1850,"&gt;0")</f>
        <v>365125</v>
      </c>
      <c r="C42" s="11" t="n">
        <f aca="false">SUMIFS('Transaction Overview'!$D$2:$D$1850,'Transaction Overview'!$J$2:$J$1850,"MAG Pass-Through",'Transaction Overview'!$D$2:$D$1850,"&lt;0")</f>
        <v>-662217.39</v>
      </c>
      <c r="D42" s="11" t="n">
        <f aca="false">B42+C42</f>
        <v>-297092.39</v>
      </c>
    </row>
    <row r="44" customFormat="false" ht="15" hidden="false" customHeight="false" outlineLevel="0" collapsed="false">
      <c r="A44" s="9" t="s">
        <v>41</v>
      </c>
    </row>
    <row r="45" customFormat="false" ht="15" hidden="false" customHeight="false" outlineLevel="0" collapsed="false">
      <c r="A45" s="0" t="s">
        <v>42</v>
      </c>
      <c r="B45" s="7" t="n">
        <f aca="false">SUMIFS('Transaction Overview'!$D$2:$D$1850,'Transaction Overview'!$I$2:$I$1850,$A45,'Transaction Overview'!$D$2:$D$1850,"&gt;0")</f>
        <v>423000</v>
      </c>
      <c r="C45" s="7" t="n">
        <f aca="false">SUMIFS('Transaction Overview'!$D$2:$D$1850,'Transaction Overview'!$I$2:$I$1850,$A45,'Transaction Overview'!$D$2:$D$1850,"&lt;0")</f>
        <v>0</v>
      </c>
      <c r="D45" s="7" t="n">
        <f aca="false">B45+C45</f>
        <v>423000</v>
      </c>
    </row>
    <row r="46" customFormat="false" ht="15" hidden="false" customHeight="false" outlineLevel="0" collapsed="false">
      <c r="A46" s="0" t="s">
        <v>43</v>
      </c>
      <c r="B46" s="7" t="n">
        <f aca="false">SUMIFS('Transaction Overview'!$D$2:$D$1850,'Transaction Overview'!$I$2:$I$1850,$A46,'Transaction Overview'!$D$2:$D$1850,"&gt;0")</f>
        <v>255000</v>
      </c>
      <c r="C46" s="7" t="n">
        <f aca="false">SUMIFS('Transaction Overview'!$D$2:$D$1850,'Transaction Overview'!$I$2:$I$1850,$A46,'Transaction Overview'!$D$2:$D$1850,"&lt;0")</f>
        <v>0</v>
      </c>
      <c r="D46" s="7" t="n">
        <f aca="false">B46+C46</f>
        <v>255000</v>
      </c>
    </row>
    <row r="47" customFormat="false" ht="15" hidden="false" customHeight="false" outlineLevel="0" collapsed="false">
      <c r="A47" s="0" t="s">
        <v>44</v>
      </c>
      <c r="B47" s="7" t="n">
        <f aca="false">SUMIFS('Transaction Overview'!$D$2:$D$1850,'Transaction Overview'!$I$2:$I$1850,$A47,'Transaction Overview'!$D$2:$D$1850,"&gt;0")</f>
        <v>0</v>
      </c>
      <c r="C47" s="7" t="n">
        <f aca="false">SUMIFS('Transaction Overview'!$D$2:$D$1850,'Transaction Overview'!$I$2:$I$1850,$A47,'Transaction Overview'!$D$2:$D$1850,"&lt;0")</f>
        <v>-5000</v>
      </c>
      <c r="D47" s="7" t="n">
        <f aca="false">B47+C47</f>
        <v>-5000</v>
      </c>
    </row>
    <row r="48" customFormat="false" ht="15" hidden="false" customHeight="false" outlineLevel="0" collapsed="false">
      <c r="A48" s="10" t="s">
        <v>45</v>
      </c>
      <c r="B48" s="11" t="n">
        <f aca="false">SUMIFS('Transaction Overview'!$D$2:$D$1850,'Transaction Overview'!$J$2:$J$1850,"Poseidon Asset Group",'Transaction Overview'!$D$2:$D$1850,"&gt;0")</f>
        <v>678000</v>
      </c>
      <c r="C48" s="11" t="n">
        <f aca="false">SUMIFS('Transaction Overview'!$D$2:$D$1850,'Transaction Overview'!$J$2:$J$1850,"Poseidon Asset Group",'Transaction Overview'!$D$2:$D$1850,"&lt;0")</f>
        <v>-5000</v>
      </c>
      <c r="D48" s="11" t="n">
        <f aca="false">B48+C48</f>
        <v>673000</v>
      </c>
    </row>
    <row r="50" customFormat="false" ht="15" hidden="false" customHeight="false" outlineLevel="0" collapsed="false">
      <c r="A50" s="9" t="s">
        <v>46</v>
      </c>
    </row>
    <row r="51" customFormat="false" ht="15" hidden="false" customHeight="false" outlineLevel="0" collapsed="false">
      <c r="A51" s="0" t="s">
        <v>47</v>
      </c>
      <c r="B51" s="7" t="n">
        <f aca="false">SUMIFS('Transaction Overview'!$D$2:$D$1850,'Transaction Overview'!$I$2:$I$1850,$A51,'Transaction Overview'!$D$2:$D$1850,"&gt;0")</f>
        <v>0</v>
      </c>
      <c r="C51" s="7" t="n">
        <f aca="false">SUMIFS('Transaction Overview'!$D$2:$D$1850,'Transaction Overview'!$I$2:$I$1850,$A51,'Transaction Overview'!$D$2:$D$1850,"&lt;0")</f>
        <v>-90500</v>
      </c>
      <c r="D51" s="7" t="n">
        <f aca="false">B51+C51</f>
        <v>-90500</v>
      </c>
    </row>
    <row r="52" customFormat="false" ht="15" hidden="false" customHeight="false" outlineLevel="0" collapsed="false">
      <c r="A52" s="0" t="s">
        <v>48</v>
      </c>
      <c r="B52" s="7" t="n">
        <f aca="false">SUMIFS('Transaction Overview'!$D$2:$D$1850,'Transaction Overview'!$I$2:$I$1850,$A52,'Transaction Overview'!$D$2:$D$1850,"&gt;0")</f>
        <v>20000</v>
      </c>
      <c r="C52" s="7" t="n">
        <f aca="false">SUMIFS('Transaction Overview'!$D$2:$D$1850,'Transaction Overview'!$I$2:$I$1850,$A52,'Transaction Overview'!$D$2:$D$1850,"&lt;0")</f>
        <v>0</v>
      </c>
      <c r="D52" s="7" t="n">
        <f aca="false">B52+C52</f>
        <v>20000</v>
      </c>
    </row>
    <row r="53" customFormat="false" ht="15" hidden="false" customHeight="false" outlineLevel="0" collapsed="false">
      <c r="A53" s="0" t="s">
        <v>49</v>
      </c>
      <c r="B53" s="7" t="n">
        <f aca="false">SUMIFS('Transaction Overview'!$D$2:$D$1850,'Transaction Overview'!$I$2:$I$1850,$A53,'Transaction Overview'!$D$2:$D$1850,"&gt;0")</f>
        <v>1500</v>
      </c>
      <c r="C53" s="7" t="n">
        <f aca="false">SUMIFS('Transaction Overview'!$D$2:$D$1850,'Transaction Overview'!$I$2:$I$1850,$A53,'Transaction Overview'!$D$2:$D$1850,"&lt;0")</f>
        <v>0</v>
      </c>
      <c r="D53" s="7" t="n">
        <f aca="false">B53+C53</f>
        <v>1500</v>
      </c>
    </row>
    <row r="54" customFormat="false" ht="15" hidden="false" customHeight="false" outlineLevel="0" collapsed="false">
      <c r="A54" s="0" t="s">
        <v>50</v>
      </c>
      <c r="B54" s="7" t="n">
        <f aca="false">SUMIFS('Transaction Overview'!$D$2:$D$1850,'Transaction Overview'!$I$2:$I$1850,$A54,'Transaction Overview'!$D$2:$D$1850,"&gt;0")</f>
        <v>5000</v>
      </c>
      <c r="C54" s="7" t="n">
        <f aca="false">SUMIFS('Transaction Overview'!$D$2:$D$1850,'Transaction Overview'!$I$2:$I$1850,$A54,'Transaction Overview'!$D$2:$D$1850,"&lt;0")</f>
        <v>0</v>
      </c>
      <c r="D54" s="7" t="n">
        <f aca="false">B54+C54</f>
        <v>5000</v>
      </c>
    </row>
    <row r="55" customFormat="false" ht="15" hidden="false" customHeight="false" outlineLevel="0" collapsed="false">
      <c r="A55" s="0" t="s">
        <v>51</v>
      </c>
      <c r="B55" s="7" t="n">
        <f aca="false">SUMIFS('Transaction Overview'!$D$2:$D$1850,'Transaction Overview'!$I$2:$I$1850,$A55,'Transaction Overview'!$D$2:$D$1850,"&gt;0")</f>
        <v>0</v>
      </c>
      <c r="C55" s="7" t="n">
        <f aca="false">SUMIFS('Transaction Overview'!$D$2:$D$1850,'Transaction Overview'!$I$2:$I$1850,$A55,'Transaction Overview'!$D$2:$D$1850,"&lt;0")</f>
        <v>-500</v>
      </c>
      <c r="D55" s="7" t="n">
        <f aca="false">B55+C55</f>
        <v>-500</v>
      </c>
    </row>
    <row r="56" customFormat="false" ht="15" hidden="false" customHeight="false" outlineLevel="0" collapsed="false">
      <c r="A56" s="0" t="s">
        <v>52</v>
      </c>
      <c r="B56" s="7" t="n">
        <f aca="false">SUMIFS('Transaction Overview'!$D$2:$D$1850,'Transaction Overview'!$I$2:$I$1850,$A56,'Transaction Overview'!$D$2:$D$1850,"&gt;0")</f>
        <v>0</v>
      </c>
      <c r="C56" s="7" t="n">
        <f aca="false">SUMIFS('Transaction Overview'!$D$2:$D$1850,'Transaction Overview'!$I$2:$I$1850,$A56,'Transaction Overview'!$D$2:$D$1850,"&lt;0")</f>
        <v>-9000</v>
      </c>
      <c r="D56" s="7" t="n">
        <f aca="false">B56+C56</f>
        <v>-9000</v>
      </c>
    </row>
    <row r="57" customFormat="false" ht="15" hidden="false" customHeight="false" outlineLevel="0" collapsed="false">
      <c r="A57" s="0" t="s">
        <v>53</v>
      </c>
      <c r="B57" s="7" t="n">
        <f aca="false">SUMIFS('Transaction Overview'!$D$2:$D$1850,'Transaction Overview'!$I$2:$I$1850,$A57,'Transaction Overview'!$D$2:$D$1850,"&gt;0")</f>
        <v>0</v>
      </c>
      <c r="C57" s="7" t="n">
        <f aca="false">SUMIFS('Transaction Overview'!$D$2:$D$1850,'Transaction Overview'!$I$2:$I$1850,$A57,'Transaction Overview'!$D$2:$D$1850,"&lt;0")</f>
        <v>-15300</v>
      </c>
      <c r="D57" s="7" t="n">
        <f aca="false">B57+C57</f>
        <v>-15300</v>
      </c>
    </row>
    <row r="58" customFormat="false" ht="15" hidden="false" customHeight="false" outlineLevel="0" collapsed="false">
      <c r="A58" s="0" t="s">
        <v>54</v>
      </c>
      <c r="B58" s="7" t="n">
        <f aca="false">SUMIFS('Transaction Overview'!$D$2:$D$1850,'Transaction Overview'!$I$2:$I$1850,$A58,'Transaction Overview'!$D$2:$D$1850,"&gt;0")</f>
        <v>0</v>
      </c>
      <c r="C58" s="7" t="n">
        <f aca="false">SUMIFS('Transaction Overview'!$D$2:$D$1850,'Transaction Overview'!$I$2:$I$1850,$A58,'Transaction Overview'!$D$2:$D$1850,"&lt;0")</f>
        <v>-1000</v>
      </c>
      <c r="D58" s="7" t="n">
        <f aca="false">B58+C58</f>
        <v>-1000</v>
      </c>
    </row>
    <row r="59" customFormat="false" ht="15" hidden="false" customHeight="false" outlineLevel="0" collapsed="false">
      <c r="A59" s="0" t="s">
        <v>55</v>
      </c>
      <c r="B59" s="7" t="n">
        <f aca="false">SUMIFS('Transaction Overview'!$D$2:$D$1850,'Transaction Overview'!$I$2:$I$1850,$A59,'Transaction Overview'!$D$2:$D$1850,"&gt;0")</f>
        <v>0</v>
      </c>
      <c r="C59" s="7" t="n">
        <f aca="false">SUMIFS('Transaction Overview'!$D$2:$D$1850,'Transaction Overview'!$I$2:$I$1850,$A59,'Transaction Overview'!$D$2:$D$1850,"&lt;0")</f>
        <v>-100</v>
      </c>
      <c r="D59" s="7" t="n">
        <f aca="false">B59+C59</f>
        <v>-100</v>
      </c>
    </row>
    <row r="60" customFormat="false" ht="15" hidden="false" customHeight="false" outlineLevel="0" collapsed="false">
      <c r="A60" s="0" t="s">
        <v>56</v>
      </c>
      <c r="B60" s="7" t="n">
        <f aca="false">SUMIFS('Transaction Overview'!$D$2:$D$1850,'Transaction Overview'!$I$2:$I$1850,$A60,'Transaction Overview'!$D$2:$D$1850,"&gt;0")</f>
        <v>0</v>
      </c>
      <c r="C60" s="7" t="n">
        <f aca="false">SUMIFS('Transaction Overview'!$D$2:$D$1850,'Transaction Overview'!$I$2:$I$1850,$A60,'Transaction Overview'!$D$2:$D$1850,"&lt;0")</f>
        <v>-3902.89</v>
      </c>
      <c r="D60" s="7" t="n">
        <f aca="false">B60+C60</f>
        <v>-3902.89</v>
      </c>
    </row>
    <row r="61" customFormat="false" ht="15" hidden="false" customHeight="false" outlineLevel="0" collapsed="false">
      <c r="A61" s="0" t="s">
        <v>57</v>
      </c>
      <c r="B61" s="7" t="n">
        <f aca="false">SUMIFS('Transaction Overview'!$D$2:$D$1850,'Transaction Overview'!$I$2:$I$1850,$A61,'Transaction Overview'!$D$2:$D$1850,"&gt;0")</f>
        <v>10000</v>
      </c>
      <c r="C61" s="7" t="n">
        <f aca="false">SUMIFS('Transaction Overview'!$D$2:$D$1850,'Transaction Overview'!$I$2:$I$1850,$A61,'Transaction Overview'!$D$2:$D$1850,"&lt;0")</f>
        <v>0</v>
      </c>
      <c r="D61" s="7" t="n">
        <f aca="false">B61+C61</f>
        <v>10000</v>
      </c>
    </row>
    <row r="62" customFormat="false" ht="15" hidden="false" customHeight="false" outlineLevel="0" collapsed="false">
      <c r="A62" s="0" t="s">
        <v>58</v>
      </c>
      <c r="B62" s="7" t="n">
        <f aca="false">SUMIFS('Transaction Overview'!$D$2:$D$1850,'Transaction Overview'!$I$2:$I$1850,$A62,'Transaction Overview'!$D$2:$D$1850,"&gt;0")</f>
        <v>0</v>
      </c>
      <c r="C62" s="7" t="n">
        <f aca="false">SUMIFS('Transaction Overview'!$D$2:$D$1850,'Transaction Overview'!$I$2:$I$1850,$A62,'Transaction Overview'!$D$2:$D$1850,"&lt;0")</f>
        <v>-500</v>
      </c>
      <c r="D62" s="7" t="n">
        <f aca="false">B62+C62</f>
        <v>-500</v>
      </c>
    </row>
    <row r="63" customFormat="false" ht="15" hidden="false" customHeight="false" outlineLevel="0" collapsed="false">
      <c r="A63" s="0" t="s">
        <v>59</v>
      </c>
      <c r="B63" s="7" t="n">
        <f aca="false">SUMIFS('Transaction Overview'!$D$2:$D$1850,'Transaction Overview'!$I$2:$I$1850,$A63,'Transaction Overview'!$D$2:$D$1850,"&gt;0")</f>
        <v>0</v>
      </c>
      <c r="C63" s="7" t="n">
        <f aca="false">SUMIFS('Transaction Overview'!$D$2:$D$1850,'Transaction Overview'!$I$2:$I$1850,$A63,'Transaction Overview'!$D$2:$D$1850,"&lt;0")</f>
        <v>-200</v>
      </c>
      <c r="D63" s="7" t="n">
        <f aca="false">B63+C63</f>
        <v>-200</v>
      </c>
    </row>
    <row r="64" customFormat="false" ht="15" hidden="false" customHeight="false" outlineLevel="0" collapsed="false">
      <c r="A64" s="0" t="s">
        <v>60</v>
      </c>
      <c r="B64" s="7" t="n">
        <f aca="false">SUMIFS('Transaction Overview'!$D$2:$D$1850,'Transaction Overview'!$I$2:$I$1850,$A64,'Transaction Overview'!$D$2:$D$1850,"&gt;0")</f>
        <v>0</v>
      </c>
      <c r="C64" s="7" t="n">
        <f aca="false">SUMIFS('Transaction Overview'!$D$2:$D$1850,'Transaction Overview'!$I$2:$I$1850,$A64,'Transaction Overview'!$D$2:$D$1850,"&lt;0")</f>
        <v>-100</v>
      </c>
      <c r="D64" s="7" t="n">
        <f aca="false">B64+C64</f>
        <v>-100</v>
      </c>
    </row>
    <row r="65" customFormat="false" ht="15" hidden="false" customHeight="false" outlineLevel="0" collapsed="false">
      <c r="A65" s="0" t="s">
        <v>61</v>
      </c>
      <c r="B65" s="7" t="n">
        <f aca="false">SUMIFS('Transaction Overview'!$D$2:$D$1850,'Transaction Overview'!$I$2:$I$1850,$A65,'Transaction Overview'!$D$2:$D$1850,"&gt;0")</f>
        <v>0</v>
      </c>
      <c r="C65" s="7" t="n">
        <f aca="false">SUMIFS('Transaction Overview'!$D$2:$D$1850,'Transaction Overview'!$I$2:$I$1850,$A65,'Transaction Overview'!$D$2:$D$1850,"&lt;0")</f>
        <v>-1100</v>
      </c>
      <c r="D65" s="7" t="n">
        <f aca="false">B65+C65</f>
        <v>-1100</v>
      </c>
    </row>
    <row r="66" customFormat="false" ht="15" hidden="false" customHeight="false" outlineLevel="0" collapsed="false">
      <c r="A66" s="0" t="s">
        <v>62</v>
      </c>
      <c r="B66" s="7" t="n">
        <f aca="false">SUMIFS('Transaction Overview'!$D$2:$D$1850,'Transaction Overview'!$I$2:$I$1850,$A66,'Transaction Overview'!$D$2:$D$1850,"&gt;0")</f>
        <v>0</v>
      </c>
      <c r="C66" s="7" t="n">
        <f aca="false">SUMIFS('Transaction Overview'!$D$2:$D$1850,'Transaction Overview'!$I$2:$I$1850,$A66,'Transaction Overview'!$D$2:$D$1850,"&lt;0")</f>
        <v>-1000</v>
      </c>
      <c r="D66" s="7" t="n">
        <f aca="false">B66+C66</f>
        <v>-1000</v>
      </c>
    </row>
    <row r="67" customFormat="false" ht="15" hidden="false" customHeight="false" outlineLevel="0" collapsed="false">
      <c r="A67" s="10" t="s">
        <v>63</v>
      </c>
      <c r="B67" s="11" t="n">
        <f aca="false">SUMIFS('Transaction Overview'!$D$2:$D$1850,'Transaction Overview'!$J$2:$J$1850,"Intercompany &amp; Savings Transfers",'Transaction Overview'!$D$2:$D$1850,"&gt;0")</f>
        <v>36500</v>
      </c>
      <c r="C67" s="11" t="n">
        <f aca="false">SUMIFS('Transaction Overview'!$D$2:$D$1850,'Transaction Overview'!$J$2:$J$1850,"Intercompany &amp; Savings Transfers",'Transaction Overview'!$D$2:$D$1850,"&lt;0")</f>
        <v>-123202.89</v>
      </c>
      <c r="D67" s="11" t="n">
        <f aca="false">B67+C67</f>
        <v>-86702.89</v>
      </c>
    </row>
    <row r="69" customFormat="false" ht="15" hidden="false" customHeight="false" outlineLevel="0" collapsed="false">
      <c r="A69" s="9" t="s">
        <v>64</v>
      </c>
    </row>
    <row r="70" customFormat="false" ht="15" hidden="false" customHeight="false" outlineLevel="0" collapsed="false">
      <c r="A70" s="0" t="s">
        <v>65</v>
      </c>
      <c r="B70" s="7" t="n">
        <f aca="false">SUMIFS('Transaction Overview'!$D$2:$D$1850,'Transaction Overview'!$I$2:$I$1850,$A70,'Transaction Overview'!$D$2:$D$1850,"&gt;0")</f>
        <v>0</v>
      </c>
      <c r="C70" s="7" t="n">
        <f aca="false">SUMIFS('Transaction Overview'!$D$2:$D$1850,'Transaction Overview'!$I$2:$I$1850,$A70,'Transaction Overview'!$D$2:$D$1850,"&lt;0")</f>
        <v>-21448.99</v>
      </c>
      <c r="D70" s="7" t="n">
        <f aca="false">B70+C70</f>
        <v>-21448.99</v>
      </c>
    </row>
    <row r="71" customFormat="false" ht="15" hidden="false" customHeight="false" outlineLevel="0" collapsed="false">
      <c r="A71" s="0" t="s">
        <v>66</v>
      </c>
      <c r="B71" s="7" t="n">
        <f aca="false">SUMIFS('Transaction Overview'!$D$2:$D$1850,'Transaction Overview'!$I$2:$I$1850,$A71,'Transaction Overview'!$D$2:$D$1850,"&gt;0")</f>
        <v>0</v>
      </c>
      <c r="C71" s="7" t="n">
        <f aca="false">SUMIFS('Transaction Overview'!$D$2:$D$1850,'Transaction Overview'!$I$2:$I$1850,$A71,'Transaction Overview'!$D$2:$D$1850,"&lt;0")</f>
        <v>-4000</v>
      </c>
      <c r="D71" s="7" t="n">
        <f aca="false">B71+C71</f>
        <v>-4000</v>
      </c>
    </row>
    <row r="72" customFormat="false" ht="15" hidden="false" customHeight="false" outlineLevel="0" collapsed="false">
      <c r="A72" s="0" t="s">
        <v>67</v>
      </c>
      <c r="B72" s="7" t="n">
        <f aca="false">SUMIFS('Transaction Overview'!$D$2:$D$1850,'Transaction Overview'!$I$2:$I$1850,$A72,'Transaction Overview'!$D$2:$D$1850,"&gt;0")</f>
        <v>0</v>
      </c>
      <c r="C72" s="7" t="n">
        <f aca="false">SUMIFS('Transaction Overview'!$D$2:$D$1850,'Transaction Overview'!$I$2:$I$1850,$A72,'Transaction Overview'!$D$2:$D$1850,"&lt;0")</f>
        <v>-20790.27</v>
      </c>
      <c r="D72" s="7" t="n">
        <f aca="false">B72+C72</f>
        <v>-20790.27</v>
      </c>
    </row>
    <row r="73" customFormat="false" ht="15" hidden="false" customHeight="false" outlineLevel="0" collapsed="false">
      <c r="A73" s="0" t="s">
        <v>68</v>
      </c>
      <c r="B73" s="7" t="n">
        <f aca="false">SUMIFS('Transaction Overview'!$D$2:$D$1850,'Transaction Overview'!$I$2:$I$1850,$A73,'Transaction Overview'!$D$2:$D$1850,"&gt;0")</f>
        <v>0</v>
      </c>
      <c r="C73" s="7" t="n">
        <f aca="false">SUMIFS('Transaction Overview'!$D$2:$D$1850,'Transaction Overview'!$I$2:$I$1850,$A73,'Transaction Overview'!$D$2:$D$1850,"&lt;0")</f>
        <v>-15000</v>
      </c>
      <c r="D73" s="7" t="n">
        <f aca="false">B73+C73</f>
        <v>-15000</v>
      </c>
    </row>
    <row r="74" customFormat="false" ht="15" hidden="false" customHeight="false" outlineLevel="0" collapsed="false">
      <c r="A74" s="0" t="s">
        <v>69</v>
      </c>
      <c r="B74" s="7" t="n">
        <f aca="false">SUMIFS('Transaction Overview'!$D$2:$D$1850,'Transaction Overview'!$I$2:$I$1850,$A74,'Transaction Overview'!$D$2:$D$1850,"&gt;0")</f>
        <v>0</v>
      </c>
      <c r="C74" s="7" t="n">
        <f aca="false">SUMIFS('Transaction Overview'!$D$2:$D$1850,'Transaction Overview'!$I$2:$I$1850,$A74,'Transaction Overview'!$D$2:$D$1850,"&lt;0")</f>
        <v>-43250</v>
      </c>
      <c r="D74" s="7" t="n">
        <f aca="false">B74+C74</f>
        <v>-43250</v>
      </c>
    </row>
    <row r="75" customFormat="false" ht="15" hidden="false" customHeight="false" outlineLevel="0" collapsed="false">
      <c r="A75" s="0" t="s">
        <v>70</v>
      </c>
      <c r="B75" s="7" t="n">
        <f aca="false">SUMIFS('Transaction Overview'!$D$2:$D$1850,'Transaction Overview'!$I$2:$I$1850,$A75,'Transaction Overview'!$D$2:$D$1850,"&gt;0")</f>
        <v>750</v>
      </c>
      <c r="C75" s="7" t="n">
        <f aca="false">SUMIFS('Transaction Overview'!$D$2:$D$1850,'Transaction Overview'!$I$2:$I$1850,$A75,'Transaction Overview'!$D$2:$D$1850,"&lt;0")</f>
        <v>-750</v>
      </c>
      <c r="D75" s="7" t="n">
        <f aca="false">B75+C75</f>
        <v>0</v>
      </c>
    </row>
    <row r="76" customFormat="false" ht="15" hidden="false" customHeight="false" outlineLevel="0" collapsed="false">
      <c r="A76" s="0" t="s">
        <v>71</v>
      </c>
      <c r="B76" s="7" t="n">
        <f aca="false">SUMIFS('Transaction Overview'!$D$2:$D$1850,'Transaction Overview'!$I$2:$I$1850,$A76,'Transaction Overview'!$D$2:$D$1850,"&gt;0")</f>
        <v>0</v>
      </c>
      <c r="C76" s="7" t="n">
        <f aca="false">SUMIFS('Transaction Overview'!$D$2:$D$1850,'Transaction Overview'!$I$2:$I$1850,$A76,'Transaction Overview'!$D$2:$D$1850,"&lt;0")</f>
        <v>-1250</v>
      </c>
      <c r="D76" s="7" t="n">
        <f aca="false">B76+C76</f>
        <v>-1250</v>
      </c>
    </row>
    <row r="77" customFormat="false" ht="15" hidden="false" customHeight="false" outlineLevel="0" collapsed="false">
      <c r="A77" s="0" t="s">
        <v>72</v>
      </c>
      <c r="B77" s="7" t="n">
        <f aca="false">SUMIFS('Transaction Overview'!$D$2:$D$1850,'Transaction Overview'!$I$2:$I$1850,$A77,'Transaction Overview'!$D$2:$D$1850,"&gt;0")</f>
        <v>0</v>
      </c>
      <c r="C77" s="7" t="n">
        <f aca="false">SUMIFS('Transaction Overview'!$D$2:$D$1850,'Transaction Overview'!$I$2:$I$1850,$A77,'Transaction Overview'!$D$2:$D$1850,"&lt;0")</f>
        <v>-4140</v>
      </c>
      <c r="D77" s="7" t="n">
        <f aca="false">B77+C77</f>
        <v>-4140</v>
      </c>
    </row>
    <row r="78" customFormat="false" ht="15" hidden="false" customHeight="false" outlineLevel="0" collapsed="false">
      <c r="A78" s="0" t="s">
        <v>73</v>
      </c>
      <c r="B78" s="7" t="n">
        <f aca="false">SUMIFS('Transaction Overview'!$D$2:$D$1850,'Transaction Overview'!$I$2:$I$1850,$A78,'Transaction Overview'!$D$2:$D$1850,"&gt;0")</f>
        <v>0</v>
      </c>
      <c r="C78" s="7" t="n">
        <f aca="false">SUMIFS('Transaction Overview'!$D$2:$D$1850,'Transaction Overview'!$I$2:$I$1850,$A78,'Transaction Overview'!$D$2:$D$1850,"&lt;0")</f>
        <v>-28800</v>
      </c>
      <c r="D78" s="7" t="n">
        <f aca="false">B78+C78</f>
        <v>-28800</v>
      </c>
    </row>
    <row r="79" customFormat="false" ht="15" hidden="false" customHeight="false" outlineLevel="0" collapsed="false">
      <c r="A79" s="0" t="s">
        <v>74</v>
      </c>
      <c r="B79" s="7" t="n">
        <f aca="false">SUMIFS('Transaction Overview'!$D$2:$D$1850,'Transaction Overview'!$I$2:$I$1850,$A79,'Transaction Overview'!$D$2:$D$1850,"&gt;0")</f>
        <v>0</v>
      </c>
      <c r="C79" s="7" t="n">
        <f aca="false">SUMIFS('Transaction Overview'!$D$2:$D$1850,'Transaction Overview'!$I$2:$I$1850,$A79,'Transaction Overview'!$D$2:$D$1850,"&lt;0")</f>
        <v>-2555</v>
      </c>
      <c r="D79" s="7" t="n">
        <f aca="false">B79+C79</f>
        <v>-2555</v>
      </c>
    </row>
    <row r="80" customFormat="false" ht="15" hidden="false" customHeight="false" outlineLevel="0" collapsed="false">
      <c r="A80" s="0" t="s">
        <v>75</v>
      </c>
      <c r="B80" s="7" t="n">
        <f aca="false">SUMIFS('Transaction Overview'!$D$2:$D$1850,'Transaction Overview'!$I$2:$I$1850,$A80,'Transaction Overview'!$D$2:$D$1850,"&gt;0")</f>
        <v>0</v>
      </c>
      <c r="C80" s="7" t="n">
        <f aca="false">SUMIFS('Transaction Overview'!$D$2:$D$1850,'Transaction Overview'!$I$2:$I$1850,$A80,'Transaction Overview'!$D$2:$D$1850,"&lt;0")</f>
        <v>-18667.49</v>
      </c>
      <c r="D80" s="7" t="n">
        <f aca="false">B80+C80</f>
        <v>-18667.49</v>
      </c>
    </row>
    <row r="81" customFormat="false" ht="15" hidden="false" customHeight="false" outlineLevel="0" collapsed="false">
      <c r="A81" s="10" t="s">
        <v>76</v>
      </c>
      <c r="B81" s="11" t="n">
        <f aca="false">SUMIFS('Transaction Overview'!$D$2:$D$1850,'Transaction Overview'!$J$2:$J$1850,"Payroll &amp; Contractors",'Transaction Overview'!$D$2:$D$1850,"&gt;0")</f>
        <v>750</v>
      </c>
      <c r="C81" s="11" t="n">
        <f aca="false">SUMIFS('Transaction Overview'!$D$2:$D$1850,'Transaction Overview'!$J$2:$J$1850,"Payroll &amp; Contractors",'Transaction Overview'!$D$2:$D$1850,"&lt;0")</f>
        <v>-160651.75</v>
      </c>
      <c r="D81" s="11" t="n">
        <f aca="false">B81+C81</f>
        <v>-159901.75</v>
      </c>
    </row>
    <row r="83" customFormat="false" ht="15" hidden="false" customHeight="false" outlineLevel="0" collapsed="false">
      <c r="A83" s="9" t="s">
        <v>77</v>
      </c>
    </row>
    <row r="84" customFormat="false" ht="15" hidden="false" customHeight="false" outlineLevel="0" collapsed="false">
      <c r="A84" s="0" t="s">
        <v>78</v>
      </c>
      <c r="B84" s="7" t="n">
        <f aca="false">SUMIFS('Transaction Overview'!$D$2:$D$1850,'Transaction Overview'!$I$2:$I$1850,$A84,'Transaction Overview'!$D$2:$D$1850,"&gt;0")</f>
        <v>0</v>
      </c>
      <c r="C84" s="7" t="n">
        <f aca="false">SUMIFS('Transaction Overview'!$D$2:$D$1850,'Transaction Overview'!$I$2:$I$1850,$A84,'Transaction Overview'!$D$2:$D$1850,"&lt;0")</f>
        <v>-2637.5</v>
      </c>
      <c r="D84" s="7" t="n">
        <f aca="false">B84+C84</f>
        <v>-2637.5</v>
      </c>
    </row>
    <row r="85" customFormat="false" ht="15" hidden="false" customHeight="false" outlineLevel="0" collapsed="false">
      <c r="A85" s="0" t="s">
        <v>79</v>
      </c>
      <c r="B85" s="7" t="n">
        <f aca="false">SUMIFS('Transaction Overview'!$D$2:$D$1850,'Transaction Overview'!$I$2:$I$1850,$A85,'Transaction Overview'!$D$2:$D$1850,"&gt;0")</f>
        <v>0</v>
      </c>
      <c r="C85" s="7" t="n">
        <f aca="false">SUMIFS('Transaction Overview'!$D$2:$D$1850,'Transaction Overview'!$I$2:$I$1850,$A85,'Transaction Overview'!$D$2:$D$1850,"&lt;0")</f>
        <v>-2637.5</v>
      </c>
      <c r="D85" s="7" t="n">
        <f aca="false">B85+C85</f>
        <v>-2637.5</v>
      </c>
    </row>
    <row r="86" customFormat="false" ht="15" hidden="false" customHeight="false" outlineLevel="0" collapsed="false">
      <c r="A86" s="0" t="s">
        <v>80</v>
      </c>
      <c r="B86" s="7" t="n">
        <f aca="false">SUMIFS('Transaction Overview'!$D$2:$D$1850,'Transaction Overview'!$I$2:$I$1850,$A86,'Transaction Overview'!$D$2:$D$1850,"&gt;0")</f>
        <v>0</v>
      </c>
      <c r="C86" s="7" t="n">
        <f aca="false">SUMIFS('Transaction Overview'!$D$2:$D$1850,'Transaction Overview'!$I$2:$I$1850,$A86,'Transaction Overview'!$D$2:$D$1850,"&lt;0")</f>
        <v>-67344.81</v>
      </c>
      <c r="D86" s="7" t="n">
        <f aca="false">B86+C86</f>
        <v>-67344.81</v>
      </c>
    </row>
    <row r="87" customFormat="false" ht="15" hidden="false" customHeight="false" outlineLevel="0" collapsed="false">
      <c r="A87" s="0" t="s">
        <v>81</v>
      </c>
      <c r="B87" s="7" t="n">
        <f aca="false">SUMIFS('Transaction Overview'!$D$2:$D$1850,'Transaction Overview'!$I$2:$I$1850,$A87,'Transaction Overview'!$D$2:$D$1850,"&gt;0")</f>
        <v>0</v>
      </c>
      <c r="C87" s="7" t="n">
        <f aca="false">SUMIFS('Transaction Overview'!$D$2:$D$1850,'Transaction Overview'!$I$2:$I$1850,$A87,'Transaction Overview'!$D$2:$D$1850,"&lt;0")</f>
        <v>-3450</v>
      </c>
      <c r="D87" s="7" t="n">
        <f aca="false">B87+C87</f>
        <v>-3450</v>
      </c>
    </row>
    <row r="88" customFormat="false" ht="15" hidden="false" customHeight="false" outlineLevel="0" collapsed="false">
      <c r="A88" s="0" t="s">
        <v>82</v>
      </c>
      <c r="B88" s="7" t="n">
        <f aca="false">SUMIFS('Transaction Overview'!$D$2:$D$1850,'Transaction Overview'!$I$2:$I$1850,$A88,'Transaction Overview'!$D$2:$D$1850,"&gt;0")</f>
        <v>0</v>
      </c>
      <c r="C88" s="7" t="n">
        <f aca="false">SUMIFS('Transaction Overview'!$D$2:$D$1850,'Transaction Overview'!$I$2:$I$1850,$A88,'Transaction Overview'!$D$2:$D$1850,"&lt;0")</f>
        <v>-1700</v>
      </c>
      <c r="D88" s="7" t="n">
        <f aca="false">B88+C88</f>
        <v>-1700</v>
      </c>
    </row>
    <row r="89" customFormat="false" ht="15" hidden="false" customHeight="false" outlineLevel="0" collapsed="false">
      <c r="A89" s="0" t="s">
        <v>83</v>
      </c>
      <c r="B89" s="7" t="n">
        <f aca="false">SUMIFS('Transaction Overview'!$D$2:$D$1850,'Transaction Overview'!$I$2:$I$1850,$A89,'Transaction Overview'!$D$2:$D$1850,"&gt;0")</f>
        <v>0</v>
      </c>
      <c r="C89" s="7" t="n">
        <f aca="false">SUMIFS('Transaction Overview'!$D$2:$D$1850,'Transaction Overview'!$I$2:$I$1850,$A89,'Transaction Overview'!$D$2:$D$1850,"&lt;0")</f>
        <v>-1500</v>
      </c>
      <c r="D89" s="7" t="n">
        <f aca="false">B89+C89</f>
        <v>-1500</v>
      </c>
    </row>
    <row r="90" customFormat="false" ht="15" hidden="false" customHeight="false" outlineLevel="0" collapsed="false">
      <c r="A90" s="0" t="s">
        <v>84</v>
      </c>
      <c r="B90" s="7" t="n">
        <f aca="false">SUMIFS('Transaction Overview'!$D$2:$D$1850,'Transaction Overview'!$I$2:$I$1850,$A90,'Transaction Overview'!$D$2:$D$1850,"&gt;0")</f>
        <v>0</v>
      </c>
      <c r="C90" s="7" t="n">
        <f aca="false">SUMIFS('Transaction Overview'!$D$2:$D$1850,'Transaction Overview'!$I$2:$I$1850,$A90,'Transaction Overview'!$D$2:$D$1850,"&lt;0")</f>
        <v>-7700</v>
      </c>
      <c r="D90" s="7" t="n">
        <f aca="false">B90+C90</f>
        <v>-7700</v>
      </c>
    </row>
    <row r="91" customFormat="false" ht="15" hidden="false" customHeight="false" outlineLevel="0" collapsed="false">
      <c r="A91" s="0" t="s">
        <v>85</v>
      </c>
      <c r="B91" s="7" t="n">
        <f aca="false">SUMIFS('Transaction Overview'!$D$2:$D$1850,'Transaction Overview'!$I$2:$I$1850,$A91,'Transaction Overview'!$D$2:$D$1850,"&gt;0")</f>
        <v>0</v>
      </c>
      <c r="C91" s="7" t="n">
        <f aca="false">SUMIFS('Transaction Overview'!$D$2:$D$1850,'Transaction Overview'!$I$2:$I$1850,$A91,'Transaction Overview'!$D$2:$D$1850,"&lt;0")</f>
        <v>-1050</v>
      </c>
      <c r="D91" s="7" t="n">
        <f aca="false">B91+C91</f>
        <v>-1050</v>
      </c>
    </row>
    <row r="92" customFormat="false" ht="15" hidden="false" customHeight="false" outlineLevel="0" collapsed="false">
      <c r="A92" s="0" t="s">
        <v>86</v>
      </c>
      <c r="B92" s="7" t="n">
        <f aca="false">SUMIFS('Transaction Overview'!$D$2:$D$1850,'Transaction Overview'!$I$2:$I$1850,$A92,'Transaction Overview'!$D$2:$D$1850,"&gt;0")</f>
        <v>0</v>
      </c>
      <c r="C92" s="7" t="n">
        <f aca="false">SUMIFS('Transaction Overview'!$D$2:$D$1850,'Transaction Overview'!$I$2:$I$1850,$A92,'Transaction Overview'!$D$2:$D$1850,"&lt;0")</f>
        <v>-41648</v>
      </c>
      <c r="D92" s="7" t="n">
        <f aca="false">B92+C92</f>
        <v>-41648</v>
      </c>
    </row>
    <row r="93" customFormat="false" ht="15" hidden="false" customHeight="false" outlineLevel="0" collapsed="false">
      <c r="A93" s="0" t="s">
        <v>87</v>
      </c>
      <c r="B93" s="7" t="n">
        <f aca="false">SUMIFS('Transaction Overview'!$D$2:$D$1850,'Transaction Overview'!$I$2:$I$1850,$A93,'Transaction Overview'!$D$2:$D$1850,"&gt;0")</f>
        <v>0</v>
      </c>
      <c r="C93" s="7" t="n">
        <f aca="false">SUMIFS('Transaction Overview'!$D$2:$D$1850,'Transaction Overview'!$I$2:$I$1850,$A93,'Transaction Overview'!$D$2:$D$1850,"&lt;0")</f>
        <v>-8711.83</v>
      </c>
      <c r="D93" s="7" t="n">
        <f aca="false">B93+C93</f>
        <v>-8711.83</v>
      </c>
    </row>
    <row r="94" customFormat="false" ht="15" hidden="false" customHeight="false" outlineLevel="0" collapsed="false">
      <c r="A94" s="0" t="s">
        <v>88</v>
      </c>
      <c r="B94" s="7" t="n">
        <f aca="false">SUMIFS('Transaction Overview'!$D$2:$D$1850,'Transaction Overview'!$I$2:$I$1850,$A94,'Transaction Overview'!$D$2:$D$1850,"&gt;0")</f>
        <v>0</v>
      </c>
      <c r="C94" s="7" t="n">
        <f aca="false">SUMIFS('Transaction Overview'!$D$2:$D$1850,'Transaction Overview'!$I$2:$I$1850,$A94,'Transaction Overview'!$D$2:$D$1850,"&lt;0")</f>
        <v>-500</v>
      </c>
      <c r="D94" s="7" t="n">
        <f aca="false">B94+C94</f>
        <v>-500</v>
      </c>
    </row>
    <row r="95" customFormat="false" ht="15" hidden="false" customHeight="false" outlineLevel="0" collapsed="false">
      <c r="A95" s="0" t="s">
        <v>89</v>
      </c>
      <c r="B95" s="7" t="n">
        <f aca="false">SUMIFS('Transaction Overview'!$D$2:$D$1850,'Transaction Overview'!$I$2:$I$1850,$A95,'Transaction Overview'!$D$2:$D$1850,"&gt;0")</f>
        <v>0</v>
      </c>
      <c r="C95" s="7" t="n">
        <f aca="false">SUMIFS('Transaction Overview'!$D$2:$D$1850,'Transaction Overview'!$I$2:$I$1850,$A95,'Transaction Overview'!$D$2:$D$1850,"&lt;0")</f>
        <v>-51.75</v>
      </c>
      <c r="D95" s="7" t="n">
        <f aca="false">B95+C95</f>
        <v>-51.75</v>
      </c>
    </row>
    <row r="96" customFormat="false" ht="15" hidden="false" customHeight="false" outlineLevel="0" collapsed="false">
      <c r="A96" s="0" t="s">
        <v>90</v>
      </c>
      <c r="B96" s="7" t="n">
        <f aca="false">SUMIFS('Transaction Overview'!$D$2:$D$1850,'Transaction Overview'!$I$2:$I$1850,$A96,'Transaction Overview'!$D$2:$D$1850,"&gt;0")</f>
        <v>0</v>
      </c>
      <c r="C96" s="7" t="n">
        <f aca="false">SUMIFS('Transaction Overview'!$D$2:$D$1850,'Transaction Overview'!$I$2:$I$1850,$A96,'Transaction Overview'!$D$2:$D$1850,"&lt;0")</f>
        <v>-6000</v>
      </c>
      <c r="D96" s="7" t="n">
        <f aca="false">B96+C96</f>
        <v>-6000</v>
      </c>
    </row>
    <row r="97" customFormat="false" ht="15" hidden="false" customHeight="false" outlineLevel="0" collapsed="false">
      <c r="A97" s="0" t="s">
        <v>91</v>
      </c>
      <c r="B97" s="7" t="n">
        <f aca="false">SUMIFS('Transaction Overview'!$D$2:$D$1850,'Transaction Overview'!$I$2:$I$1850,$A97,'Transaction Overview'!$D$2:$D$1850,"&gt;0")</f>
        <v>0</v>
      </c>
      <c r="C97" s="7" t="n">
        <f aca="false">SUMIFS('Transaction Overview'!$D$2:$D$1850,'Transaction Overview'!$I$2:$I$1850,$A97,'Transaction Overview'!$D$2:$D$1850,"&lt;0")</f>
        <v>-1500</v>
      </c>
      <c r="D97" s="7" t="n">
        <f aca="false">B97+C97</f>
        <v>-1500</v>
      </c>
    </row>
    <row r="98" customFormat="false" ht="15" hidden="false" customHeight="false" outlineLevel="0" collapsed="false">
      <c r="A98" s="0" t="s">
        <v>92</v>
      </c>
      <c r="B98" s="7" t="n">
        <f aca="false">SUMIFS('Transaction Overview'!$D$2:$D$1850,'Transaction Overview'!$I$2:$I$1850,$A98,'Transaction Overview'!$D$2:$D$1850,"&gt;0")</f>
        <v>0</v>
      </c>
      <c r="C98" s="7" t="n">
        <f aca="false">SUMIFS('Transaction Overview'!$D$2:$D$1850,'Transaction Overview'!$I$2:$I$1850,$A98,'Transaction Overview'!$D$2:$D$1850,"&lt;0")</f>
        <v>-800</v>
      </c>
      <c r="D98" s="7" t="n">
        <f aca="false">B98+C98</f>
        <v>-800</v>
      </c>
    </row>
    <row r="99" customFormat="false" ht="15" hidden="false" customHeight="false" outlineLevel="0" collapsed="false">
      <c r="A99" s="0" t="s">
        <v>93</v>
      </c>
      <c r="B99" s="7" t="n">
        <f aca="false">SUMIFS('Transaction Overview'!$D$2:$D$1850,'Transaction Overview'!$I$2:$I$1850,$A99,'Transaction Overview'!$D$2:$D$1850,"&gt;0")</f>
        <v>0</v>
      </c>
      <c r="C99" s="7" t="n">
        <f aca="false">SUMIFS('Transaction Overview'!$D$2:$D$1850,'Transaction Overview'!$I$2:$I$1850,$A99,'Transaction Overview'!$D$2:$D$1850,"&lt;0")</f>
        <v>-1810</v>
      </c>
      <c r="D99" s="7" t="n">
        <f aca="false">B99+C99</f>
        <v>-1810</v>
      </c>
    </row>
    <row r="100" customFormat="false" ht="15" hidden="false" customHeight="false" outlineLevel="0" collapsed="false">
      <c r="A100" s="10" t="s">
        <v>94</v>
      </c>
      <c r="B100" s="11" t="n">
        <f aca="false">SUMIFS('Transaction Overview'!$D$2:$D$1850,'Transaction Overview'!$J$2:$J$1850,"P2P Payments (Zelle/Venmo/PayPal)",'Transaction Overview'!$D$2:$D$1850,"&gt;0")</f>
        <v>0</v>
      </c>
      <c r="C100" s="11" t="n">
        <f aca="false">SUMIFS('Transaction Overview'!$D$2:$D$1850,'Transaction Overview'!$J$2:$J$1850,"P2P Payments (Zelle/Venmo/PayPal)",'Transaction Overview'!$D$2:$D$1850,"&lt;0")</f>
        <v>-146403.89</v>
      </c>
      <c r="D100" s="11" t="n">
        <f aca="false">B100+C100</f>
        <v>-146403.89</v>
      </c>
    </row>
    <row r="102" customFormat="false" ht="15" hidden="false" customHeight="false" outlineLevel="0" collapsed="false">
      <c r="A102" s="9" t="s">
        <v>95</v>
      </c>
    </row>
    <row r="103" customFormat="false" ht="15" hidden="false" customHeight="false" outlineLevel="0" collapsed="false">
      <c r="A103" s="0" t="s">
        <v>96</v>
      </c>
      <c r="B103" s="7" t="n">
        <f aca="false">SUMIFS('Transaction Overview'!$D$2:$D$1850,'Transaction Overview'!$I$2:$I$1850,$A103,'Transaction Overview'!$D$2:$D$1850,"&gt;0")</f>
        <v>0</v>
      </c>
      <c r="C103" s="7" t="n">
        <f aca="false">SUMIFS('Transaction Overview'!$D$2:$D$1850,'Transaction Overview'!$I$2:$I$1850,$A103,'Transaction Overview'!$D$2:$D$1850,"&lt;0")</f>
        <v>-304000</v>
      </c>
      <c r="D103" s="7" t="n">
        <f aca="false">B103+C103</f>
        <v>-304000</v>
      </c>
    </row>
    <row r="104" customFormat="false" ht="15" hidden="false" customHeight="false" outlineLevel="0" collapsed="false">
      <c r="A104" s="0" t="s">
        <v>97</v>
      </c>
      <c r="B104" s="7" t="n">
        <f aca="false">SUMIFS('Transaction Overview'!$D$2:$D$1850,'Transaction Overview'!$I$2:$I$1850,$A104,'Transaction Overview'!$D$2:$D$1850,"&gt;0")</f>
        <v>0</v>
      </c>
      <c r="C104" s="7" t="n">
        <f aca="false">SUMIFS('Transaction Overview'!$D$2:$D$1850,'Transaction Overview'!$I$2:$I$1850,$A104,'Transaction Overview'!$D$2:$D$1850,"&lt;0")</f>
        <v>-19650</v>
      </c>
      <c r="D104" s="7" t="n">
        <f aca="false">B104+C104</f>
        <v>-19650</v>
      </c>
    </row>
    <row r="105" customFormat="false" ht="15" hidden="false" customHeight="false" outlineLevel="0" collapsed="false">
      <c r="A105" s="0" t="s">
        <v>98</v>
      </c>
      <c r="B105" s="7" t="n">
        <f aca="false">SUMIFS('Transaction Overview'!$D$2:$D$1850,'Transaction Overview'!$I$2:$I$1850,$A105,'Transaction Overview'!$D$2:$D$1850,"&gt;0")</f>
        <v>0</v>
      </c>
      <c r="C105" s="7" t="n">
        <f aca="false">SUMIFS('Transaction Overview'!$D$2:$D$1850,'Transaction Overview'!$I$2:$I$1850,$A105,'Transaction Overview'!$D$2:$D$1850,"&lt;0")</f>
        <v>-124000</v>
      </c>
      <c r="D105" s="7" t="n">
        <f aca="false">B105+C105</f>
        <v>-124000</v>
      </c>
    </row>
    <row r="106" customFormat="false" ht="15" hidden="false" customHeight="false" outlineLevel="0" collapsed="false">
      <c r="A106" s="10" t="s">
        <v>99</v>
      </c>
      <c r="B106" s="11" t="n">
        <f aca="false">SUMIFS('Transaction Overview'!$D$2:$D$1850,'Transaction Overview'!$J$2:$J$1850,"Owner / Family Distributions",'Transaction Overview'!$D$2:$D$1850,"&gt;0")</f>
        <v>0</v>
      </c>
      <c r="C106" s="11" t="n">
        <f aca="false">SUMIFS('Transaction Overview'!$D$2:$D$1850,'Transaction Overview'!$J$2:$J$1850,"Owner / Family Distributions",'Transaction Overview'!$D$2:$D$1850,"&lt;0")</f>
        <v>-447650</v>
      </c>
      <c r="D106" s="11" t="n">
        <f aca="false">B106+C106</f>
        <v>-447650</v>
      </c>
    </row>
    <row r="108" customFormat="false" ht="15" hidden="false" customHeight="false" outlineLevel="0" collapsed="false">
      <c r="A108" s="9" t="s">
        <v>100</v>
      </c>
    </row>
    <row r="109" customFormat="false" ht="15" hidden="false" customHeight="false" outlineLevel="0" collapsed="false">
      <c r="A109" s="0" t="s">
        <v>101</v>
      </c>
      <c r="B109" s="7" t="n">
        <f aca="false">SUMIFS('Transaction Overview'!$D$2:$D$1850,'Transaction Overview'!$I$2:$I$1850,$A109,'Transaction Overview'!$D$2:$D$1850,"&gt;0")</f>
        <v>0</v>
      </c>
      <c r="C109" s="7" t="n">
        <f aca="false">SUMIFS('Transaction Overview'!$D$2:$D$1850,'Transaction Overview'!$I$2:$I$1850,$A109,'Transaction Overview'!$D$2:$D$1850,"&lt;0")</f>
        <v>-165080.55</v>
      </c>
      <c r="D109" s="7" t="n">
        <f aca="false">B109+C109</f>
        <v>-165080.55</v>
      </c>
    </row>
    <row r="110" customFormat="false" ht="15" hidden="false" customHeight="false" outlineLevel="0" collapsed="false">
      <c r="A110" s="0" t="s">
        <v>102</v>
      </c>
      <c r="B110" s="7" t="n">
        <f aca="false">SUMIFS('Transaction Overview'!$D$2:$D$1850,'Transaction Overview'!$I$2:$I$1850,$A110,'Transaction Overview'!$D$2:$D$1850,"&gt;0")</f>
        <v>0</v>
      </c>
      <c r="C110" s="7" t="n">
        <f aca="false">SUMIFS('Transaction Overview'!$D$2:$D$1850,'Transaction Overview'!$I$2:$I$1850,$A110,'Transaction Overview'!$D$2:$D$1850,"&lt;0")</f>
        <v>-10096</v>
      </c>
      <c r="D110" s="7" t="n">
        <f aca="false">B110+C110</f>
        <v>-10096</v>
      </c>
    </row>
    <row r="111" customFormat="false" ht="15" hidden="false" customHeight="false" outlineLevel="0" collapsed="false">
      <c r="A111" s="0" t="s">
        <v>103</v>
      </c>
      <c r="B111" s="7" t="n">
        <f aca="false">SUMIFS('Transaction Overview'!$D$2:$D$1850,'Transaction Overview'!$I$2:$I$1850,$A111,'Transaction Overview'!$D$2:$D$1850,"&gt;0")</f>
        <v>0</v>
      </c>
      <c r="C111" s="7" t="n">
        <f aca="false">SUMIFS('Transaction Overview'!$D$2:$D$1850,'Transaction Overview'!$I$2:$I$1850,$A111,'Transaction Overview'!$D$2:$D$1850,"&lt;0")</f>
        <v>-20192</v>
      </c>
      <c r="D111" s="7" t="n">
        <f aca="false">B111+C111</f>
        <v>-20192</v>
      </c>
    </row>
    <row r="112" customFormat="false" ht="15" hidden="false" customHeight="false" outlineLevel="0" collapsed="false">
      <c r="A112" s="10" t="s">
        <v>104</v>
      </c>
      <c r="B112" s="11" t="n">
        <f aca="false">SUMIFS('Transaction Overview'!$D$2:$D$1850,'Transaction Overview'!$J$2:$J$1850,"Credit Card &amp; Loan Payments",'Transaction Overview'!$D$2:$D$1850,"&gt;0")</f>
        <v>0</v>
      </c>
      <c r="C112" s="11" t="n">
        <f aca="false">SUMIFS('Transaction Overview'!$D$2:$D$1850,'Transaction Overview'!$J$2:$J$1850,"Credit Card &amp; Loan Payments",'Transaction Overview'!$D$2:$D$1850,"&lt;0")</f>
        <v>-195368.55</v>
      </c>
      <c r="D112" s="11" t="n">
        <f aca="false">B112+C112</f>
        <v>-195368.55</v>
      </c>
    </row>
    <row r="114" customFormat="false" ht="15" hidden="false" customHeight="false" outlineLevel="0" collapsed="false">
      <c r="A114" s="9" t="s">
        <v>105</v>
      </c>
    </row>
    <row r="115" customFormat="false" ht="15" hidden="false" customHeight="false" outlineLevel="0" collapsed="false">
      <c r="A115" s="0" t="s">
        <v>105</v>
      </c>
      <c r="B115" s="7" t="n">
        <f aca="false">SUMIFS('Transaction Overview'!$D$2:$D$1850,'Transaction Overview'!$I$2:$I$1850,$A115,'Transaction Overview'!$D$2:$D$1850,"&gt;0")</f>
        <v>0</v>
      </c>
      <c r="C115" s="7" t="n">
        <f aca="false">SUMIFS('Transaction Overview'!$D$2:$D$1850,'Transaction Overview'!$I$2:$I$1850,$A115,'Transaction Overview'!$D$2:$D$1850,"&lt;0")</f>
        <v>-9322.5</v>
      </c>
      <c r="D115" s="7" t="n">
        <f aca="false">B115+C115</f>
        <v>-9322.5</v>
      </c>
    </row>
    <row r="116" customFormat="false" ht="15" hidden="false" customHeight="false" outlineLevel="0" collapsed="false">
      <c r="A116" s="10" t="s">
        <v>106</v>
      </c>
      <c r="B116" s="11" t="n">
        <f aca="false">SUMIFS('Transaction Overview'!$D$2:$D$1850,'Transaction Overview'!$J$2:$J$1850,"Taxes",'Transaction Overview'!$D$2:$D$1850,"&gt;0")</f>
        <v>0</v>
      </c>
      <c r="C116" s="11" t="n">
        <f aca="false">SUMIFS('Transaction Overview'!$D$2:$D$1850,'Transaction Overview'!$J$2:$J$1850,"Taxes",'Transaction Overview'!$D$2:$D$1850,"&lt;0")</f>
        <v>-9322.5</v>
      </c>
      <c r="D116" s="11" t="n">
        <f aca="false">B116+C116</f>
        <v>-9322.5</v>
      </c>
    </row>
    <row r="118" customFormat="false" ht="15" hidden="false" customHeight="false" outlineLevel="0" collapsed="false">
      <c r="A118" s="9" t="s">
        <v>107</v>
      </c>
    </row>
    <row r="119" customFormat="false" ht="15" hidden="false" customHeight="false" outlineLevel="0" collapsed="false">
      <c r="A119" s="0" t="s">
        <v>108</v>
      </c>
      <c r="B119" s="7" t="n">
        <f aca="false">SUMIFS('Transaction Overview'!$D$2:$D$1850,'Transaction Overview'!$I$2:$I$1850,$A119,'Transaction Overview'!$D$2:$D$1850,"&gt;0")</f>
        <v>0</v>
      </c>
      <c r="C119" s="7" t="n">
        <f aca="false">SUMIFS('Transaction Overview'!$D$2:$D$1850,'Transaction Overview'!$I$2:$I$1850,$A119,'Transaction Overview'!$D$2:$D$1850,"&lt;0")</f>
        <v>-106.4</v>
      </c>
      <c r="D119" s="7" t="n">
        <f aca="false">B119+C119</f>
        <v>-106.4</v>
      </c>
    </row>
    <row r="120" customFormat="false" ht="15" hidden="false" customHeight="false" outlineLevel="0" collapsed="false">
      <c r="A120" s="0" t="s">
        <v>109</v>
      </c>
      <c r="B120" s="7" t="n">
        <f aca="false">SUMIFS('Transaction Overview'!$D$2:$D$1850,'Transaction Overview'!$I$2:$I$1850,$A120,'Transaction Overview'!$D$2:$D$1850,"&gt;0")</f>
        <v>0</v>
      </c>
      <c r="C120" s="7" t="n">
        <f aca="false">SUMIFS('Transaction Overview'!$D$2:$D$1850,'Transaction Overview'!$I$2:$I$1850,$A120,'Transaction Overview'!$D$2:$D$1850,"&lt;0")</f>
        <v>-405.13</v>
      </c>
      <c r="D120" s="7" t="n">
        <f aca="false">B120+C120</f>
        <v>-405.13</v>
      </c>
    </row>
    <row r="121" customFormat="false" ht="15" hidden="false" customHeight="false" outlineLevel="0" collapsed="false">
      <c r="A121" s="0" t="s">
        <v>110</v>
      </c>
      <c r="B121" s="7" t="n">
        <f aca="false">SUMIFS('Transaction Overview'!$D$2:$D$1850,'Transaction Overview'!$I$2:$I$1850,$A121,'Transaction Overview'!$D$2:$D$1850,"&gt;0")</f>
        <v>0</v>
      </c>
      <c r="C121" s="7" t="n">
        <f aca="false">SUMIFS('Transaction Overview'!$D$2:$D$1850,'Transaction Overview'!$I$2:$I$1850,$A121,'Transaction Overview'!$D$2:$D$1850,"&lt;0")</f>
        <v>-237.31</v>
      </c>
      <c r="D121" s="7" t="n">
        <f aca="false">B121+C121</f>
        <v>-237.31</v>
      </c>
    </row>
    <row r="122" customFormat="false" ht="15" hidden="false" customHeight="false" outlineLevel="0" collapsed="false">
      <c r="A122" s="0" t="s">
        <v>111</v>
      </c>
      <c r="B122" s="7" t="n">
        <f aca="false">SUMIFS('Transaction Overview'!$D$2:$D$1850,'Transaction Overview'!$I$2:$I$1850,$A122,'Transaction Overview'!$D$2:$D$1850,"&gt;0")</f>
        <v>0</v>
      </c>
      <c r="C122" s="7" t="n">
        <f aca="false">SUMIFS('Transaction Overview'!$D$2:$D$1850,'Transaction Overview'!$I$2:$I$1850,$A122,'Transaction Overview'!$D$2:$D$1850,"&lt;0")</f>
        <v>-6784.57</v>
      </c>
      <c r="D122" s="7" t="n">
        <f aca="false">B122+C122</f>
        <v>-6784.57</v>
      </c>
    </row>
    <row r="123" customFormat="false" ht="15" hidden="false" customHeight="false" outlineLevel="0" collapsed="false">
      <c r="A123" s="0" t="s">
        <v>112</v>
      </c>
      <c r="B123" s="7" t="n">
        <f aca="false">SUMIFS('Transaction Overview'!$D$2:$D$1850,'Transaction Overview'!$I$2:$I$1850,$A123,'Transaction Overview'!$D$2:$D$1850,"&gt;0")</f>
        <v>0</v>
      </c>
      <c r="C123" s="7" t="n">
        <f aca="false">SUMIFS('Transaction Overview'!$D$2:$D$1850,'Transaction Overview'!$I$2:$I$1850,$A123,'Transaction Overview'!$D$2:$D$1850,"&lt;0")</f>
        <v>-1739.44</v>
      </c>
      <c r="D123" s="7" t="n">
        <f aca="false">B123+C123</f>
        <v>-1739.44</v>
      </c>
    </row>
    <row r="124" customFormat="false" ht="15" hidden="false" customHeight="false" outlineLevel="0" collapsed="false">
      <c r="A124" s="0" t="s">
        <v>113</v>
      </c>
      <c r="B124" s="7" t="n">
        <f aca="false">SUMIFS('Transaction Overview'!$D$2:$D$1850,'Transaction Overview'!$I$2:$I$1850,$A124,'Transaction Overview'!$D$2:$D$1850,"&gt;0")</f>
        <v>0</v>
      </c>
      <c r="C124" s="7" t="n">
        <f aca="false">SUMIFS('Transaction Overview'!$D$2:$D$1850,'Transaction Overview'!$I$2:$I$1850,$A124,'Transaction Overview'!$D$2:$D$1850,"&lt;0")</f>
        <v>-2400</v>
      </c>
      <c r="D124" s="7" t="n">
        <f aca="false">B124+C124</f>
        <v>-2400</v>
      </c>
    </row>
    <row r="125" customFormat="false" ht="15" hidden="false" customHeight="false" outlineLevel="0" collapsed="false">
      <c r="A125" s="0" t="s">
        <v>114</v>
      </c>
      <c r="B125" s="7" t="n">
        <f aca="false">SUMIFS('Transaction Overview'!$D$2:$D$1850,'Transaction Overview'!$I$2:$I$1850,$A125,'Transaction Overview'!$D$2:$D$1850,"&gt;0")</f>
        <v>0</v>
      </c>
      <c r="C125" s="7" t="n">
        <f aca="false">SUMIFS('Transaction Overview'!$D$2:$D$1850,'Transaction Overview'!$I$2:$I$1850,$A125,'Transaction Overview'!$D$2:$D$1850,"&lt;0")</f>
        <v>-881.17</v>
      </c>
      <c r="D125" s="7" t="n">
        <f aca="false">B125+C125</f>
        <v>-881.17</v>
      </c>
    </row>
    <row r="126" customFormat="false" ht="15" hidden="false" customHeight="false" outlineLevel="0" collapsed="false">
      <c r="A126" s="0" t="s">
        <v>115</v>
      </c>
      <c r="B126" s="7" t="n">
        <f aca="false">SUMIFS('Transaction Overview'!$D$2:$D$1850,'Transaction Overview'!$I$2:$I$1850,$A126,'Transaction Overview'!$D$2:$D$1850,"&gt;0")</f>
        <v>0</v>
      </c>
      <c r="C126" s="7" t="n">
        <f aca="false">SUMIFS('Transaction Overview'!$D$2:$D$1850,'Transaction Overview'!$I$2:$I$1850,$A126,'Transaction Overview'!$D$2:$D$1850,"&lt;0")</f>
        <v>-168</v>
      </c>
      <c r="D126" s="7" t="n">
        <f aca="false">B126+C126</f>
        <v>-168</v>
      </c>
    </row>
    <row r="127" customFormat="false" ht="15" hidden="false" customHeight="false" outlineLevel="0" collapsed="false">
      <c r="A127" s="0" t="s">
        <v>116</v>
      </c>
      <c r="B127" s="7" t="n">
        <f aca="false">SUMIFS('Transaction Overview'!$D$2:$D$1850,'Transaction Overview'!$I$2:$I$1850,$A127,'Transaction Overview'!$D$2:$D$1850,"&gt;0")</f>
        <v>0</v>
      </c>
      <c r="C127" s="7" t="n">
        <f aca="false">SUMIFS('Transaction Overview'!$D$2:$D$1850,'Transaction Overview'!$I$2:$I$1850,$A127,'Transaction Overview'!$D$2:$D$1850,"&lt;0")</f>
        <v>-129.36</v>
      </c>
      <c r="D127" s="7" t="n">
        <f aca="false">B127+C127</f>
        <v>-129.36</v>
      </c>
    </row>
    <row r="128" customFormat="false" ht="15" hidden="false" customHeight="false" outlineLevel="0" collapsed="false">
      <c r="A128" s="0" t="s">
        <v>117</v>
      </c>
      <c r="B128" s="7" t="n">
        <f aca="false">SUMIFS('Transaction Overview'!$D$2:$D$1850,'Transaction Overview'!$I$2:$I$1850,$A128,'Transaction Overview'!$D$2:$D$1850,"&gt;0")</f>
        <v>0</v>
      </c>
      <c r="C128" s="7" t="n">
        <f aca="false">SUMIFS('Transaction Overview'!$D$2:$D$1850,'Transaction Overview'!$I$2:$I$1850,$A128,'Transaction Overview'!$D$2:$D$1850,"&lt;0")</f>
        <v>-103</v>
      </c>
      <c r="D128" s="7" t="n">
        <f aca="false">B128+C128</f>
        <v>-103</v>
      </c>
    </row>
    <row r="129" customFormat="false" ht="15" hidden="false" customHeight="false" outlineLevel="0" collapsed="false">
      <c r="A129" s="0" t="s">
        <v>118</v>
      </c>
      <c r="B129" s="7" t="n">
        <f aca="false">SUMIFS('Transaction Overview'!$D$2:$D$1850,'Transaction Overview'!$I$2:$I$1850,$A129,'Transaction Overview'!$D$2:$D$1850,"&gt;0")</f>
        <v>0</v>
      </c>
      <c r="C129" s="7" t="n">
        <f aca="false">SUMIFS('Transaction Overview'!$D$2:$D$1850,'Transaction Overview'!$I$2:$I$1850,$A129,'Transaction Overview'!$D$2:$D$1850,"&lt;0")</f>
        <v>-445.22</v>
      </c>
      <c r="D129" s="7" t="n">
        <f aca="false">B129+C129</f>
        <v>-445.22</v>
      </c>
    </row>
    <row r="130" customFormat="false" ht="15" hidden="false" customHeight="false" outlineLevel="0" collapsed="false">
      <c r="A130" s="0" t="s">
        <v>119</v>
      </c>
      <c r="B130" s="7" t="n">
        <f aca="false">SUMIFS('Transaction Overview'!$D$2:$D$1850,'Transaction Overview'!$I$2:$I$1850,$A130,'Transaction Overview'!$D$2:$D$1850,"&gt;0")</f>
        <v>0</v>
      </c>
      <c r="C130" s="7" t="n">
        <f aca="false">SUMIFS('Transaction Overview'!$D$2:$D$1850,'Transaction Overview'!$I$2:$I$1850,$A130,'Transaction Overview'!$D$2:$D$1850,"&lt;0")</f>
        <v>-10</v>
      </c>
      <c r="D130" s="7" t="n">
        <f aca="false">B130+C130</f>
        <v>-10</v>
      </c>
    </row>
    <row r="131" customFormat="false" ht="15" hidden="false" customHeight="false" outlineLevel="0" collapsed="false">
      <c r="A131" s="0" t="s">
        <v>120</v>
      </c>
      <c r="B131" s="7" t="n">
        <f aca="false">SUMIFS('Transaction Overview'!$D$2:$D$1850,'Transaction Overview'!$I$2:$I$1850,$A131,'Transaction Overview'!$D$2:$D$1850,"&gt;0")</f>
        <v>0</v>
      </c>
      <c r="C131" s="7" t="n">
        <f aca="false">SUMIFS('Transaction Overview'!$D$2:$D$1850,'Transaction Overview'!$I$2:$I$1850,$A131,'Transaction Overview'!$D$2:$D$1850,"&lt;0")</f>
        <v>-124</v>
      </c>
      <c r="D131" s="7" t="n">
        <f aca="false">B131+C131</f>
        <v>-124</v>
      </c>
    </row>
    <row r="132" customFormat="false" ht="15" hidden="false" customHeight="false" outlineLevel="0" collapsed="false">
      <c r="A132" s="0" t="s">
        <v>121</v>
      </c>
      <c r="B132" s="7" t="n">
        <f aca="false">SUMIFS('Transaction Overview'!$D$2:$D$1850,'Transaction Overview'!$I$2:$I$1850,$A132,'Transaction Overview'!$D$2:$D$1850,"&gt;0")</f>
        <v>0</v>
      </c>
      <c r="C132" s="7" t="n">
        <f aca="false">SUMIFS('Transaction Overview'!$D$2:$D$1850,'Transaction Overview'!$I$2:$I$1850,$A132,'Transaction Overview'!$D$2:$D$1850,"&lt;0")</f>
        <v>-3300</v>
      </c>
      <c r="D132" s="7" t="n">
        <f aca="false">B132+C132</f>
        <v>-3300</v>
      </c>
    </row>
    <row r="133" customFormat="false" ht="15" hidden="false" customHeight="false" outlineLevel="0" collapsed="false">
      <c r="A133" s="0" t="s">
        <v>122</v>
      </c>
      <c r="B133" s="7" t="n">
        <f aca="false">SUMIFS('Transaction Overview'!$D$2:$D$1850,'Transaction Overview'!$I$2:$I$1850,$A133,'Transaction Overview'!$D$2:$D$1850,"&gt;0")</f>
        <v>0</v>
      </c>
      <c r="C133" s="7" t="n">
        <f aca="false">SUMIFS('Transaction Overview'!$D$2:$D$1850,'Transaction Overview'!$I$2:$I$1850,$A133,'Transaction Overview'!$D$2:$D$1850,"&lt;0")</f>
        <v>-1565.99</v>
      </c>
      <c r="D133" s="7" t="n">
        <f aca="false">B133+C133</f>
        <v>-1565.99</v>
      </c>
    </row>
    <row r="134" customFormat="false" ht="15" hidden="false" customHeight="false" outlineLevel="0" collapsed="false">
      <c r="A134" s="0" t="s">
        <v>123</v>
      </c>
      <c r="B134" s="7" t="n">
        <f aca="false">SUMIFS('Transaction Overview'!$D$2:$D$1850,'Transaction Overview'!$I$2:$I$1850,$A134,'Transaction Overview'!$D$2:$D$1850,"&gt;0")</f>
        <v>0</v>
      </c>
      <c r="C134" s="7" t="n">
        <f aca="false">SUMIFS('Transaction Overview'!$D$2:$D$1850,'Transaction Overview'!$I$2:$I$1850,$A134,'Transaction Overview'!$D$2:$D$1850,"&lt;0")</f>
        <v>-600</v>
      </c>
      <c r="D134" s="7" t="n">
        <f aca="false">B134+C134</f>
        <v>-600</v>
      </c>
    </row>
    <row r="135" customFormat="false" ht="15" hidden="false" customHeight="false" outlineLevel="0" collapsed="false">
      <c r="A135" s="10" t="s">
        <v>124</v>
      </c>
      <c r="B135" s="11" t="n">
        <f aca="false">SUMIFS('Transaction Overview'!$D$2:$D$1850,'Transaction Overview'!$J$2:$J$1850,"DWG Operating",'Transaction Overview'!$D$2:$D$1850,"&gt;0")</f>
        <v>0</v>
      </c>
      <c r="C135" s="11" t="n">
        <f aca="false">SUMIFS('Transaction Overview'!$D$2:$D$1850,'Transaction Overview'!$J$2:$J$1850,"DWG Operating",'Transaction Overview'!$D$2:$D$1850,"&lt;0")</f>
        <v>-18999.59</v>
      </c>
      <c r="D135" s="11" t="n">
        <f aca="false">B135+C135</f>
        <v>-18999.59</v>
      </c>
    </row>
    <row r="137" customFormat="false" ht="15" hidden="false" customHeight="false" outlineLevel="0" collapsed="false">
      <c r="A137" s="9" t="s">
        <v>125</v>
      </c>
    </row>
    <row r="138" customFormat="false" ht="15" hidden="false" customHeight="false" outlineLevel="0" collapsed="false">
      <c r="A138" s="0" t="s">
        <v>126</v>
      </c>
      <c r="B138" s="7" t="n">
        <f aca="false">SUMIFS('Transaction Overview'!$D$2:$D$1850,'Transaction Overview'!$I$2:$I$1850,$A138,'Transaction Overview'!$D$2:$D$1850,"&gt;0")</f>
        <v>0</v>
      </c>
      <c r="C138" s="7" t="n">
        <f aca="false">SUMIFS('Transaction Overview'!$D$2:$D$1850,'Transaction Overview'!$I$2:$I$1850,$A138,'Transaction Overview'!$D$2:$D$1850,"&lt;0")</f>
        <v>-89.54</v>
      </c>
      <c r="D138" s="7" t="n">
        <f aca="false">B138+C138</f>
        <v>-89.54</v>
      </c>
    </row>
    <row r="139" customFormat="false" ht="15" hidden="false" customHeight="false" outlineLevel="0" collapsed="false">
      <c r="A139" s="0" t="s">
        <v>127</v>
      </c>
      <c r="B139" s="7" t="n">
        <f aca="false">SUMIFS('Transaction Overview'!$D$2:$D$1850,'Transaction Overview'!$I$2:$I$1850,$A139,'Transaction Overview'!$D$2:$D$1850,"&gt;0")</f>
        <v>0</v>
      </c>
      <c r="C139" s="7" t="n">
        <f aca="false">SUMIFS('Transaction Overview'!$D$2:$D$1850,'Transaction Overview'!$I$2:$I$1850,$A139,'Transaction Overview'!$D$2:$D$1850,"&lt;0")</f>
        <v>-2030.81</v>
      </c>
      <c r="D139" s="7" t="n">
        <f aca="false">B139+C139</f>
        <v>-2030.81</v>
      </c>
    </row>
    <row r="140" customFormat="false" ht="15" hidden="false" customHeight="false" outlineLevel="0" collapsed="false">
      <c r="A140" s="0" t="s">
        <v>128</v>
      </c>
      <c r="B140" s="7" t="n">
        <f aca="false">SUMIFS('Transaction Overview'!$D$2:$D$1850,'Transaction Overview'!$I$2:$I$1850,$A140,'Transaction Overview'!$D$2:$D$1850,"&gt;0")</f>
        <v>0</v>
      </c>
      <c r="C140" s="7" t="n">
        <f aca="false">SUMIFS('Transaction Overview'!$D$2:$D$1850,'Transaction Overview'!$I$2:$I$1850,$A140,'Transaction Overview'!$D$2:$D$1850,"&lt;0")</f>
        <v>-6.54</v>
      </c>
      <c r="D140" s="7" t="n">
        <f aca="false">B140+C140</f>
        <v>-6.54</v>
      </c>
    </row>
    <row r="141" customFormat="false" ht="15" hidden="false" customHeight="false" outlineLevel="0" collapsed="false">
      <c r="A141" s="0" t="s">
        <v>129</v>
      </c>
      <c r="B141" s="7" t="n">
        <f aca="false">SUMIFS('Transaction Overview'!$D$2:$D$1850,'Transaction Overview'!$I$2:$I$1850,$A141,'Transaction Overview'!$D$2:$D$1850,"&gt;0")</f>
        <v>0</v>
      </c>
      <c r="C141" s="7" t="n">
        <f aca="false">SUMIFS('Transaction Overview'!$D$2:$D$1850,'Transaction Overview'!$I$2:$I$1850,$A141,'Transaction Overview'!$D$2:$D$1850,"&lt;0")</f>
        <v>-394.76</v>
      </c>
      <c r="D141" s="7" t="n">
        <f aca="false">B141+C141</f>
        <v>-394.76</v>
      </c>
    </row>
    <row r="142" customFormat="false" ht="15" hidden="false" customHeight="false" outlineLevel="0" collapsed="false">
      <c r="A142" s="0" t="s">
        <v>130</v>
      </c>
      <c r="B142" s="7" t="n">
        <f aca="false">SUMIFS('Transaction Overview'!$D$2:$D$1850,'Transaction Overview'!$I$2:$I$1850,$A142,'Transaction Overview'!$D$2:$D$1850,"&gt;0")</f>
        <v>0</v>
      </c>
      <c r="C142" s="7" t="n">
        <f aca="false">SUMIFS('Transaction Overview'!$D$2:$D$1850,'Transaction Overview'!$I$2:$I$1850,$A142,'Transaction Overview'!$D$2:$D$1850,"&lt;0")</f>
        <v>-72</v>
      </c>
      <c r="D142" s="7" t="n">
        <f aca="false">B142+C142</f>
        <v>-72</v>
      </c>
    </row>
    <row r="143" customFormat="false" ht="15" hidden="false" customHeight="false" outlineLevel="0" collapsed="false">
      <c r="A143" s="10" t="s">
        <v>131</v>
      </c>
      <c r="B143" s="11" t="n">
        <f aca="false">SUMIFS('Transaction Overview'!$D$2:$D$1850,'Transaction Overview'!$J$2:$J$1850,"Business Travel",'Transaction Overview'!$D$2:$D$1850,"&gt;0")</f>
        <v>0</v>
      </c>
      <c r="C143" s="11" t="n">
        <f aca="false">SUMIFS('Transaction Overview'!$D$2:$D$1850,'Transaction Overview'!$J$2:$J$1850,"Business Travel",'Transaction Overview'!$D$2:$D$1850,"&lt;0")</f>
        <v>-2593.65</v>
      </c>
      <c r="D143" s="11" t="n">
        <f aca="false">B143+C143</f>
        <v>-2593.65</v>
      </c>
    </row>
    <row r="145" customFormat="false" ht="15" hidden="false" customHeight="false" outlineLevel="0" collapsed="false">
      <c r="A145" s="9" t="s">
        <v>132</v>
      </c>
    </row>
    <row r="146" customFormat="false" ht="15" hidden="false" customHeight="false" outlineLevel="0" collapsed="false">
      <c r="A146" s="0" t="s">
        <v>133</v>
      </c>
      <c r="B146" s="7" t="n">
        <f aca="false">SUMIFS('Transaction Overview'!$D$2:$D$1850,'Transaction Overview'!$I$2:$I$1850,$A146,'Transaction Overview'!$D$2:$D$1850,"&gt;0")</f>
        <v>0</v>
      </c>
      <c r="C146" s="7" t="n">
        <f aca="false">SUMIFS('Transaction Overview'!$D$2:$D$1850,'Transaction Overview'!$I$2:$I$1850,$A146,'Transaction Overview'!$D$2:$D$1850,"&lt;0")</f>
        <v>-6486.38</v>
      </c>
      <c r="D146" s="7" t="n">
        <f aca="false">B146+C146</f>
        <v>-6486.38</v>
      </c>
    </row>
    <row r="147" customFormat="false" ht="15" hidden="false" customHeight="false" outlineLevel="0" collapsed="false">
      <c r="A147" s="0" t="s">
        <v>134</v>
      </c>
      <c r="B147" s="7" t="n">
        <f aca="false">SUMIFS('Transaction Overview'!$D$2:$D$1850,'Transaction Overview'!$I$2:$I$1850,$A147,'Transaction Overview'!$D$2:$D$1850,"&gt;0")</f>
        <v>0</v>
      </c>
      <c r="C147" s="7" t="n">
        <f aca="false">SUMIFS('Transaction Overview'!$D$2:$D$1850,'Transaction Overview'!$I$2:$I$1850,$A147,'Transaction Overview'!$D$2:$D$1850,"&lt;0")</f>
        <v>-91398.79</v>
      </c>
      <c r="D147" s="7" t="n">
        <f aca="false">B147+C147</f>
        <v>-91398.79</v>
      </c>
    </row>
    <row r="148" customFormat="false" ht="15" hidden="false" customHeight="false" outlineLevel="0" collapsed="false">
      <c r="A148" s="0" t="s">
        <v>135</v>
      </c>
      <c r="B148" s="7" t="n">
        <f aca="false">SUMIFS('Transaction Overview'!$D$2:$D$1850,'Transaction Overview'!$I$2:$I$1850,$A148,'Transaction Overview'!$D$2:$D$1850,"&gt;0")</f>
        <v>1399.46</v>
      </c>
      <c r="C148" s="7" t="n">
        <f aca="false">SUMIFS('Transaction Overview'!$D$2:$D$1850,'Transaction Overview'!$I$2:$I$1850,$A148,'Transaction Overview'!$D$2:$D$1850,"&lt;0")</f>
        <v>-75727.42</v>
      </c>
      <c r="D148" s="7" t="n">
        <f aca="false">B148+C148</f>
        <v>-74327.96</v>
      </c>
    </row>
    <row r="149" customFormat="false" ht="15" hidden="false" customHeight="false" outlineLevel="0" collapsed="false">
      <c r="A149" s="0" t="s">
        <v>136</v>
      </c>
      <c r="B149" s="7" t="n">
        <f aca="false">SUMIFS('Transaction Overview'!$D$2:$D$1850,'Transaction Overview'!$I$2:$I$1850,$A149,'Transaction Overview'!$D$2:$D$1850,"&gt;0")</f>
        <v>0</v>
      </c>
      <c r="C149" s="7" t="n">
        <f aca="false">SUMIFS('Transaction Overview'!$D$2:$D$1850,'Transaction Overview'!$I$2:$I$1850,$A149,'Transaction Overview'!$D$2:$D$1850,"&lt;0")</f>
        <v>-831.19</v>
      </c>
      <c r="D149" s="7" t="n">
        <f aca="false">B149+C149</f>
        <v>-831.19</v>
      </c>
    </row>
    <row r="150" customFormat="false" ht="15" hidden="false" customHeight="false" outlineLevel="0" collapsed="false">
      <c r="A150" s="0" t="s">
        <v>137</v>
      </c>
      <c r="B150" s="7" t="n">
        <f aca="false">SUMIFS('Transaction Overview'!$D$2:$D$1850,'Transaction Overview'!$I$2:$I$1850,$A150,'Transaction Overview'!$D$2:$D$1850,"&gt;0")</f>
        <v>0</v>
      </c>
      <c r="C150" s="7" t="n">
        <f aca="false">SUMIFS('Transaction Overview'!$D$2:$D$1850,'Transaction Overview'!$I$2:$I$1850,$A150,'Transaction Overview'!$D$2:$D$1850,"&lt;0")</f>
        <v>-862.15</v>
      </c>
      <c r="D150" s="7" t="n">
        <f aca="false">B150+C150</f>
        <v>-862.15</v>
      </c>
    </row>
    <row r="151" customFormat="false" ht="15" hidden="false" customHeight="false" outlineLevel="0" collapsed="false">
      <c r="A151" s="0" t="s">
        <v>138</v>
      </c>
      <c r="B151" s="7" t="n">
        <f aca="false">SUMIFS('Transaction Overview'!$D$2:$D$1850,'Transaction Overview'!$I$2:$I$1850,$A151,'Transaction Overview'!$D$2:$D$1850,"&gt;0")</f>
        <v>15.35</v>
      </c>
      <c r="C151" s="7" t="n">
        <f aca="false">SUMIFS('Transaction Overview'!$D$2:$D$1850,'Transaction Overview'!$I$2:$I$1850,$A151,'Transaction Overview'!$D$2:$D$1850,"&lt;0")</f>
        <v>-23160.46</v>
      </c>
      <c r="D151" s="7" t="n">
        <f aca="false">B151+C151</f>
        <v>-23145.11</v>
      </c>
    </row>
    <row r="152" customFormat="false" ht="15" hidden="false" customHeight="false" outlineLevel="0" collapsed="false">
      <c r="A152" s="0" t="s">
        <v>139</v>
      </c>
      <c r="B152" s="7" t="n">
        <f aca="false">SUMIFS('Transaction Overview'!$D$2:$D$1850,'Transaction Overview'!$I$2:$I$1850,$A152,'Transaction Overview'!$D$2:$D$1850,"&gt;0")</f>
        <v>0</v>
      </c>
      <c r="C152" s="7" t="n">
        <f aca="false">SUMIFS('Transaction Overview'!$D$2:$D$1850,'Transaction Overview'!$I$2:$I$1850,$A152,'Transaction Overview'!$D$2:$D$1850,"&lt;0")</f>
        <v>-698.59</v>
      </c>
      <c r="D152" s="7" t="n">
        <f aca="false">B152+C152</f>
        <v>-698.59</v>
      </c>
    </row>
    <row r="153" customFormat="false" ht="15" hidden="false" customHeight="false" outlineLevel="0" collapsed="false">
      <c r="A153" s="0" t="s">
        <v>140</v>
      </c>
      <c r="B153" s="7" t="n">
        <f aca="false">SUMIFS('Transaction Overview'!$D$2:$D$1850,'Transaction Overview'!$I$2:$I$1850,$A153,'Transaction Overview'!$D$2:$D$1850,"&gt;0")</f>
        <v>0</v>
      </c>
      <c r="C153" s="7" t="n">
        <f aca="false">SUMIFS('Transaction Overview'!$D$2:$D$1850,'Transaction Overview'!$I$2:$I$1850,$A153,'Transaction Overview'!$D$2:$D$1850,"&lt;0")</f>
        <v>-1355</v>
      </c>
      <c r="D153" s="7" t="n">
        <f aca="false">B153+C153</f>
        <v>-1355</v>
      </c>
    </row>
    <row r="154" customFormat="false" ht="15" hidden="false" customHeight="false" outlineLevel="0" collapsed="false">
      <c r="A154" s="0" t="s">
        <v>141</v>
      </c>
      <c r="B154" s="7" t="n">
        <f aca="false">SUMIFS('Transaction Overview'!$D$2:$D$1850,'Transaction Overview'!$I$2:$I$1850,$A154,'Transaction Overview'!$D$2:$D$1850,"&gt;0")</f>
        <v>0</v>
      </c>
      <c r="C154" s="7" t="n">
        <f aca="false">SUMIFS('Transaction Overview'!$D$2:$D$1850,'Transaction Overview'!$I$2:$I$1850,$A154,'Transaction Overview'!$D$2:$D$1850,"&lt;0")</f>
        <v>-3005</v>
      </c>
      <c r="D154" s="7" t="n">
        <f aca="false">B154+C154</f>
        <v>-3005</v>
      </c>
    </row>
    <row r="155" customFormat="false" ht="15" hidden="false" customHeight="false" outlineLevel="0" collapsed="false">
      <c r="A155" s="0" t="s">
        <v>142</v>
      </c>
      <c r="B155" s="7" t="n">
        <f aca="false">SUMIFS('Transaction Overview'!$D$2:$D$1850,'Transaction Overview'!$I$2:$I$1850,$A155,'Transaction Overview'!$D$2:$D$1850,"&gt;0")</f>
        <v>0</v>
      </c>
      <c r="C155" s="7" t="n">
        <f aca="false">SUMIFS('Transaction Overview'!$D$2:$D$1850,'Transaction Overview'!$I$2:$I$1850,$A155,'Transaction Overview'!$D$2:$D$1850,"&lt;0")</f>
        <v>-1109.88</v>
      </c>
      <c r="D155" s="7" t="n">
        <f aca="false">B155+C155</f>
        <v>-1109.88</v>
      </c>
    </row>
    <row r="156" customFormat="false" ht="15" hidden="false" customHeight="false" outlineLevel="0" collapsed="false">
      <c r="A156" s="0" t="s">
        <v>143</v>
      </c>
      <c r="B156" s="7" t="n">
        <f aca="false">SUMIFS('Transaction Overview'!$D$2:$D$1850,'Transaction Overview'!$I$2:$I$1850,$A156,'Transaction Overview'!$D$2:$D$1850,"&gt;0")</f>
        <v>0</v>
      </c>
      <c r="C156" s="7" t="n">
        <f aca="false">SUMIFS('Transaction Overview'!$D$2:$D$1850,'Transaction Overview'!$I$2:$I$1850,$A156,'Transaction Overview'!$D$2:$D$1850,"&lt;0")</f>
        <v>-253.33</v>
      </c>
      <c r="D156" s="7" t="n">
        <f aca="false">B156+C156</f>
        <v>-253.33</v>
      </c>
    </row>
    <row r="157" customFormat="false" ht="15" hidden="false" customHeight="false" outlineLevel="0" collapsed="false">
      <c r="A157" s="0" t="s">
        <v>144</v>
      </c>
      <c r="B157" s="7" t="n">
        <f aca="false">SUMIFS('Transaction Overview'!$D$2:$D$1850,'Transaction Overview'!$I$2:$I$1850,$A157,'Transaction Overview'!$D$2:$D$1850,"&gt;0")</f>
        <v>65.09</v>
      </c>
      <c r="C157" s="7" t="n">
        <f aca="false">SUMIFS('Transaction Overview'!$D$2:$D$1850,'Transaction Overview'!$I$2:$I$1850,$A157,'Transaction Overview'!$D$2:$D$1850,"&lt;0")</f>
        <v>-7648.96</v>
      </c>
      <c r="D157" s="7" t="n">
        <f aca="false">B157+C157</f>
        <v>-7583.87</v>
      </c>
    </row>
    <row r="158" customFormat="false" ht="15" hidden="false" customHeight="false" outlineLevel="0" collapsed="false">
      <c r="A158" s="0" t="s">
        <v>145</v>
      </c>
      <c r="B158" s="7" t="n">
        <f aca="false">SUMIFS('Transaction Overview'!$D$2:$D$1850,'Transaction Overview'!$I$2:$I$1850,$A158,'Transaction Overview'!$D$2:$D$1850,"&gt;0")</f>
        <v>0</v>
      </c>
      <c r="C158" s="7" t="n">
        <f aca="false">SUMIFS('Transaction Overview'!$D$2:$D$1850,'Transaction Overview'!$I$2:$I$1850,$A158,'Transaction Overview'!$D$2:$D$1850,"&lt;0")</f>
        <v>-6275.33</v>
      </c>
      <c r="D158" s="7" t="n">
        <f aca="false">B158+C158</f>
        <v>-6275.33</v>
      </c>
    </row>
    <row r="159" customFormat="false" ht="15" hidden="false" customHeight="false" outlineLevel="0" collapsed="false">
      <c r="A159" s="10" t="s">
        <v>146</v>
      </c>
      <c r="B159" s="11" t="n">
        <f aca="false">SUMIFS('Transaction Overview'!$D$2:$D$1850,'Transaction Overview'!$J$2:$J$1850,"Personal — Owner",'Transaction Overview'!$D$2:$D$1850,"&gt;0")</f>
        <v>1479.9</v>
      </c>
      <c r="C159" s="11" t="n">
        <f aca="false">SUMIFS('Transaction Overview'!$D$2:$D$1850,'Transaction Overview'!$J$2:$J$1850,"Personal — Owner",'Transaction Overview'!$D$2:$D$1850,"&lt;0")</f>
        <v>-218812.48</v>
      </c>
      <c r="D159" s="11" t="n">
        <f aca="false">B159+C159</f>
        <v>-217332.58</v>
      </c>
    </row>
    <row r="161" customFormat="false" ht="15" hidden="false" customHeight="false" outlineLevel="0" collapsed="false">
      <c r="A161" s="9" t="s">
        <v>147</v>
      </c>
    </row>
    <row r="162" customFormat="false" ht="15" hidden="false" customHeight="false" outlineLevel="0" collapsed="false">
      <c r="A162" s="0" t="s">
        <v>148</v>
      </c>
      <c r="B162" s="7" t="n">
        <f aca="false">SUMIFS('Transaction Overview'!$D$2:$D$1850,'Transaction Overview'!$I$2:$I$1850,$A162,'Transaction Overview'!$D$2:$D$1850,"&gt;0")</f>
        <v>0</v>
      </c>
      <c r="C162" s="7" t="n">
        <f aca="false">SUMIFS('Transaction Overview'!$D$2:$D$1850,'Transaction Overview'!$I$2:$I$1850,$A162,'Transaction Overview'!$D$2:$D$1850,"&lt;0")</f>
        <v>-3978.48</v>
      </c>
      <c r="D162" s="7" t="n">
        <f aca="false">B162+C162</f>
        <v>-3978.48</v>
      </c>
    </row>
    <row r="163" customFormat="false" ht="15" hidden="false" customHeight="false" outlineLevel="0" collapsed="false">
      <c r="A163" s="0" t="s">
        <v>149</v>
      </c>
      <c r="B163" s="7" t="n">
        <f aca="false">SUMIFS('Transaction Overview'!$D$2:$D$1850,'Transaction Overview'!$I$2:$I$1850,$A163,'Transaction Overview'!$D$2:$D$1850,"&gt;0")</f>
        <v>0</v>
      </c>
      <c r="C163" s="7" t="n">
        <f aca="false">SUMIFS('Transaction Overview'!$D$2:$D$1850,'Transaction Overview'!$I$2:$I$1850,$A163,'Transaction Overview'!$D$2:$D$1850,"&lt;0")</f>
        <v>-102.95</v>
      </c>
      <c r="D163" s="7" t="n">
        <f aca="false">B163+C163</f>
        <v>-102.95</v>
      </c>
    </row>
    <row r="164" customFormat="false" ht="15" hidden="false" customHeight="false" outlineLevel="0" collapsed="false">
      <c r="A164" s="0" t="s">
        <v>150</v>
      </c>
      <c r="B164" s="7" t="n">
        <f aca="false">SUMIFS('Transaction Overview'!$D$2:$D$1850,'Transaction Overview'!$I$2:$I$1850,$A164,'Transaction Overview'!$D$2:$D$1850,"&gt;0")</f>
        <v>0</v>
      </c>
      <c r="C164" s="7" t="n">
        <f aca="false">SUMIFS('Transaction Overview'!$D$2:$D$1850,'Transaction Overview'!$I$2:$I$1850,$A164,'Transaction Overview'!$D$2:$D$1850,"&lt;0")</f>
        <v>-3237.5</v>
      </c>
      <c r="D164" s="7" t="n">
        <f aca="false">B164+C164</f>
        <v>-3237.5</v>
      </c>
    </row>
    <row r="165" customFormat="false" ht="15" hidden="false" customHeight="false" outlineLevel="0" collapsed="false">
      <c r="A165" s="0" t="s">
        <v>151</v>
      </c>
      <c r="B165" s="7" t="n">
        <f aca="false">SUMIFS('Transaction Overview'!$D$2:$D$1850,'Transaction Overview'!$I$2:$I$1850,$A165,'Transaction Overview'!$D$2:$D$1850,"&gt;0")</f>
        <v>0</v>
      </c>
      <c r="C165" s="7" t="n">
        <f aca="false">SUMIFS('Transaction Overview'!$D$2:$D$1850,'Transaction Overview'!$I$2:$I$1850,$A165,'Transaction Overview'!$D$2:$D$1850,"&lt;0")</f>
        <v>-519.25</v>
      </c>
      <c r="D165" s="7" t="n">
        <f aca="false">B165+C165</f>
        <v>-519.25</v>
      </c>
    </row>
    <row r="166" customFormat="false" ht="15" hidden="false" customHeight="false" outlineLevel="0" collapsed="false">
      <c r="A166" s="0" t="s">
        <v>152</v>
      </c>
      <c r="B166" s="7" t="n">
        <f aca="false">SUMIFS('Transaction Overview'!$D$2:$D$1850,'Transaction Overview'!$I$2:$I$1850,$A166,'Transaction Overview'!$D$2:$D$1850,"&gt;0")</f>
        <v>0</v>
      </c>
      <c r="C166" s="7" t="n">
        <f aca="false">SUMIFS('Transaction Overview'!$D$2:$D$1850,'Transaction Overview'!$I$2:$I$1850,$A166,'Transaction Overview'!$D$2:$D$1850,"&lt;0")</f>
        <v>-2157.95</v>
      </c>
      <c r="D166" s="7" t="n">
        <f aca="false">B166+C166</f>
        <v>-2157.95</v>
      </c>
    </row>
    <row r="167" customFormat="false" ht="15" hidden="false" customHeight="false" outlineLevel="0" collapsed="false">
      <c r="A167" s="0" t="s">
        <v>153</v>
      </c>
      <c r="B167" s="7" t="n">
        <f aca="false">SUMIFS('Transaction Overview'!$D$2:$D$1850,'Transaction Overview'!$I$2:$I$1850,$A167,'Transaction Overview'!$D$2:$D$1850,"&gt;0")</f>
        <v>0</v>
      </c>
      <c r="C167" s="7" t="n">
        <f aca="false">SUMIFS('Transaction Overview'!$D$2:$D$1850,'Transaction Overview'!$I$2:$I$1850,$A167,'Transaction Overview'!$D$2:$D$1850,"&lt;0")</f>
        <v>-977.6</v>
      </c>
      <c r="D167" s="7" t="n">
        <f aca="false">B167+C167</f>
        <v>-977.6</v>
      </c>
    </row>
    <row r="168" customFormat="false" ht="15" hidden="false" customHeight="false" outlineLevel="0" collapsed="false">
      <c r="A168" s="0" t="s">
        <v>154</v>
      </c>
      <c r="B168" s="7" t="n">
        <f aca="false">SUMIFS('Transaction Overview'!$D$2:$D$1850,'Transaction Overview'!$I$2:$I$1850,$A168,'Transaction Overview'!$D$2:$D$1850,"&gt;0")</f>
        <v>0</v>
      </c>
      <c r="C168" s="7" t="n">
        <f aca="false">SUMIFS('Transaction Overview'!$D$2:$D$1850,'Transaction Overview'!$I$2:$I$1850,$A168,'Transaction Overview'!$D$2:$D$1850,"&lt;0")</f>
        <v>-3200</v>
      </c>
      <c r="D168" s="7" t="n">
        <f aca="false">B168+C168</f>
        <v>-3200</v>
      </c>
    </row>
    <row r="169" customFormat="false" ht="15" hidden="false" customHeight="false" outlineLevel="0" collapsed="false">
      <c r="A169" s="10" t="s">
        <v>155</v>
      </c>
      <c r="B169" s="11" t="n">
        <f aca="false">SUMIFS('Transaction Overview'!$D$2:$D$1850,'Transaction Overview'!$J$2:$J$1850,"Uncategorized — Review",'Transaction Overview'!$D$2:$D$1850,"&gt;0")</f>
        <v>390093.39</v>
      </c>
      <c r="C169" s="11" t="n">
        <f aca="false">SUMIFS('Transaction Overview'!$D$2:$D$1850,'Transaction Overview'!$J$2:$J$1850,"Uncategorized — Review",'Transaction Overview'!$D$2:$D$1850,"&lt;0")</f>
        <v>-19595.39</v>
      </c>
      <c r="D169" s="11" t="n">
        <f aca="false">B169+C169</f>
        <v>370498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8" t="s">
        <v>12</v>
      </c>
      <c r="B4" s="12" t="n">
        <f aca="false">DATE(2025,1,1)</f>
        <v>45658</v>
      </c>
      <c r="C4" s="12" t="n">
        <f aca="false">DATE(2025,2,1)</f>
        <v>45689</v>
      </c>
      <c r="D4" s="12" t="n">
        <f aca="false">DATE(2025,3,1)</f>
        <v>45717</v>
      </c>
      <c r="E4" s="12" t="n">
        <f aca="false">DATE(2025,4,1)</f>
        <v>45748</v>
      </c>
      <c r="F4" s="12" t="n">
        <f aca="false">DATE(2025,5,1)</f>
        <v>45778</v>
      </c>
      <c r="G4" s="12" t="n">
        <f aca="false">DATE(2025,6,1)</f>
        <v>45809</v>
      </c>
      <c r="H4" s="12" t="n">
        <f aca="false">DATE(2025,7,1)</f>
        <v>45839</v>
      </c>
      <c r="I4" s="12" t="n">
        <f aca="false">DATE(2025,8,1)</f>
        <v>45870</v>
      </c>
      <c r="J4" s="12" t="n">
        <f aca="false">DATE(2025,9,1)</f>
        <v>45901</v>
      </c>
      <c r="K4" s="12" t="n">
        <f aca="false">DATE(2025,10,1)</f>
        <v>45931</v>
      </c>
      <c r="L4" s="12" t="n">
        <f aca="false">DATE(2025,11,1)</f>
        <v>45962</v>
      </c>
      <c r="M4" s="12" t="n">
        <f aca="false">DATE(2025,12,1)</f>
        <v>45992</v>
      </c>
      <c r="N4" s="8" t="s">
        <v>157</v>
      </c>
    </row>
    <row r="5" customFormat="false" ht="15" hidden="false" customHeight="false" outlineLevel="0" collapsed="false">
      <c r="A5" s="9" t="s">
        <v>16</v>
      </c>
    </row>
    <row r="6" customFormat="false" ht="15" hidden="false" customHeight="false" outlineLevel="0" collapsed="false">
      <c r="A6" s="0" t="s">
        <v>17</v>
      </c>
      <c r="B6" s="7" t="n">
        <f aca="false">SUMIFS('Transaction Overview'!$D$2:$D$1850,'Transaction Overview'!$I$2:$I$1850,$A6,'Transaction Overview'!$H$2:$H$1850,B$4)</f>
        <v>0</v>
      </c>
      <c r="C6" s="7" t="n">
        <f aca="false">SUMIFS('Transaction Overview'!$D$2:$D$1850,'Transaction Overview'!$I$2:$I$1850,$A6,'Transaction Overview'!$H$2:$H$1850,C$4)</f>
        <v>0</v>
      </c>
      <c r="D6" s="7" t="n">
        <f aca="false">SUMIFS('Transaction Overview'!$D$2:$D$1850,'Transaction Overview'!$I$2:$I$1850,$A6,'Transaction Overview'!$H$2:$H$1850,D$4)</f>
        <v>0</v>
      </c>
      <c r="E6" s="7" t="n">
        <f aca="false">SUMIFS('Transaction Overview'!$D$2:$D$1850,'Transaction Overview'!$I$2:$I$1850,$A6,'Transaction Overview'!$H$2:$H$1850,E$4)</f>
        <v>0</v>
      </c>
      <c r="F6" s="7" t="n">
        <f aca="false">SUMIFS('Transaction Overview'!$D$2:$D$1850,'Transaction Overview'!$I$2:$I$1850,$A6,'Transaction Overview'!$H$2:$H$1850,F$4)</f>
        <v>0</v>
      </c>
      <c r="G6" s="7" t="n">
        <f aca="false">SUMIFS('Transaction Overview'!$D$2:$D$1850,'Transaction Overview'!$I$2:$I$1850,$A6,'Transaction Overview'!$H$2:$H$1850,G$4)</f>
        <v>0</v>
      </c>
      <c r="H6" s="7" t="n">
        <f aca="false">SUMIFS('Transaction Overview'!$D$2:$D$1850,'Transaction Overview'!$I$2:$I$1850,$A6,'Transaction Overview'!$H$2:$H$1850,H$4)</f>
        <v>0</v>
      </c>
      <c r="I6" s="7" t="n">
        <f aca="false">SUMIFS('Transaction Overview'!$D$2:$D$1850,'Transaction Overview'!$I$2:$I$1850,$A6,'Transaction Overview'!$H$2:$H$1850,I$4)</f>
        <v>0</v>
      </c>
      <c r="J6" s="7" t="n">
        <f aca="false">SUMIFS('Transaction Overview'!$D$2:$D$1850,'Transaction Overview'!$I$2:$I$1850,$A6,'Transaction Overview'!$H$2:$H$1850,J$4)</f>
        <v>-40000</v>
      </c>
      <c r="K6" s="7" t="n">
        <f aca="false">SUMIFS('Transaction Overview'!$D$2:$D$1850,'Transaction Overview'!$I$2:$I$1850,$A6,'Transaction Overview'!$H$2:$H$1850,K$4)</f>
        <v>0</v>
      </c>
      <c r="L6" s="7" t="n">
        <f aca="false">SUMIFS('Transaction Overview'!$D$2:$D$1850,'Transaction Overview'!$I$2:$I$1850,$A6,'Transaction Overview'!$H$2:$H$1850,L$4)</f>
        <v>0</v>
      </c>
      <c r="M6" s="7" t="n">
        <f aca="false">SUMIFS('Transaction Overview'!$D$2:$D$1850,'Transaction Overview'!$I$2:$I$1850,$A6,'Transaction Overview'!$H$2:$H$1850,M$4)</f>
        <v>0</v>
      </c>
      <c r="N6" s="7" t="n">
        <f aca="false">SUM(B6:M6)</f>
        <v>-40000</v>
      </c>
    </row>
    <row r="7" customFormat="false" ht="15" hidden="false" customHeight="false" outlineLevel="0" collapsed="false">
      <c r="A7" s="0" t="s">
        <v>18</v>
      </c>
      <c r="B7" s="7" t="n">
        <f aca="false">SUMIFS('Transaction Overview'!$D$2:$D$1850,'Transaction Overview'!$I$2:$I$1850,$A7,'Transaction Overview'!$H$2:$H$1850,B$4)</f>
        <v>0</v>
      </c>
      <c r="C7" s="7" t="n">
        <f aca="false">SUMIFS('Transaction Overview'!$D$2:$D$1850,'Transaction Overview'!$I$2:$I$1850,$A7,'Transaction Overview'!$H$2:$H$1850,C$4)</f>
        <v>0</v>
      </c>
      <c r="D7" s="7" t="n">
        <f aca="false">SUMIFS('Transaction Overview'!$D$2:$D$1850,'Transaction Overview'!$I$2:$I$1850,$A7,'Transaction Overview'!$H$2:$H$1850,D$4)</f>
        <v>0</v>
      </c>
      <c r="E7" s="7" t="n">
        <f aca="false">SUMIFS('Transaction Overview'!$D$2:$D$1850,'Transaction Overview'!$I$2:$I$1850,$A7,'Transaction Overview'!$H$2:$H$1850,E$4)</f>
        <v>0</v>
      </c>
      <c r="F7" s="7" t="n">
        <f aca="false">SUMIFS('Transaction Overview'!$D$2:$D$1850,'Transaction Overview'!$I$2:$I$1850,$A7,'Transaction Overview'!$H$2:$H$1850,F$4)</f>
        <v>0</v>
      </c>
      <c r="G7" s="7" t="n">
        <f aca="false">SUMIFS('Transaction Overview'!$D$2:$D$1850,'Transaction Overview'!$I$2:$I$1850,$A7,'Transaction Overview'!$H$2:$H$1850,G$4)</f>
        <v>0</v>
      </c>
      <c r="H7" s="7" t="n">
        <f aca="false">SUMIFS('Transaction Overview'!$D$2:$D$1850,'Transaction Overview'!$I$2:$I$1850,$A7,'Transaction Overview'!$H$2:$H$1850,H$4)</f>
        <v>0</v>
      </c>
      <c r="I7" s="7" t="n">
        <f aca="false">SUMIFS('Transaction Overview'!$D$2:$D$1850,'Transaction Overview'!$I$2:$I$1850,$A7,'Transaction Overview'!$H$2:$H$1850,I$4)</f>
        <v>0</v>
      </c>
      <c r="J7" s="7" t="n">
        <f aca="false">SUMIFS('Transaction Overview'!$D$2:$D$1850,'Transaction Overview'!$I$2:$I$1850,$A7,'Transaction Overview'!$H$2:$H$1850,J$4)</f>
        <v>40000</v>
      </c>
      <c r="K7" s="7" t="n">
        <f aca="false">SUMIFS('Transaction Overview'!$D$2:$D$1850,'Transaction Overview'!$I$2:$I$1850,$A7,'Transaction Overview'!$H$2:$H$1850,K$4)</f>
        <v>0</v>
      </c>
      <c r="L7" s="7" t="n">
        <f aca="false">SUMIFS('Transaction Overview'!$D$2:$D$1850,'Transaction Overview'!$I$2:$I$1850,$A7,'Transaction Overview'!$H$2:$H$1850,L$4)</f>
        <v>0</v>
      </c>
      <c r="M7" s="7" t="n">
        <f aca="false">SUMIFS('Transaction Overview'!$D$2:$D$1850,'Transaction Overview'!$I$2:$I$1850,$A7,'Transaction Overview'!$H$2:$H$1850,M$4)</f>
        <v>0</v>
      </c>
      <c r="N7" s="7" t="n">
        <f aca="false">SUM(B7:M7)</f>
        <v>40000</v>
      </c>
    </row>
    <row r="8" customFormat="false" ht="15" hidden="false" customHeight="false" outlineLevel="0" collapsed="false">
      <c r="A8" s="0" t="s">
        <v>19</v>
      </c>
      <c r="B8" s="7" t="n">
        <f aca="false">SUMIFS('Transaction Overview'!$D$2:$D$1850,'Transaction Overview'!$I$2:$I$1850,$A8,'Transaction Overview'!$H$2:$H$1850,B$4)</f>
        <v>0</v>
      </c>
      <c r="C8" s="7" t="n">
        <f aca="false">SUMIFS('Transaction Overview'!$D$2:$D$1850,'Transaction Overview'!$I$2:$I$1850,$A8,'Transaction Overview'!$H$2:$H$1850,C$4)</f>
        <v>0</v>
      </c>
      <c r="D8" s="7" t="n">
        <f aca="false">SUMIFS('Transaction Overview'!$D$2:$D$1850,'Transaction Overview'!$I$2:$I$1850,$A8,'Transaction Overview'!$H$2:$H$1850,D$4)</f>
        <v>-15000</v>
      </c>
      <c r="E8" s="7" t="n">
        <f aca="false">SUMIFS('Transaction Overview'!$D$2:$D$1850,'Transaction Overview'!$I$2:$I$1850,$A8,'Transaction Overview'!$H$2:$H$1850,E$4)</f>
        <v>0</v>
      </c>
      <c r="F8" s="7" t="n">
        <f aca="false">SUMIFS('Transaction Overview'!$D$2:$D$1850,'Transaction Overview'!$I$2:$I$1850,$A8,'Transaction Overview'!$H$2:$H$1850,F$4)</f>
        <v>0</v>
      </c>
      <c r="G8" s="7" t="n">
        <f aca="false">SUMIFS('Transaction Overview'!$D$2:$D$1850,'Transaction Overview'!$I$2:$I$1850,$A8,'Transaction Overview'!$H$2:$H$1850,G$4)</f>
        <v>0</v>
      </c>
      <c r="H8" s="7" t="n">
        <f aca="false">SUMIFS('Transaction Overview'!$D$2:$D$1850,'Transaction Overview'!$I$2:$I$1850,$A8,'Transaction Overview'!$H$2:$H$1850,H$4)</f>
        <v>0</v>
      </c>
      <c r="I8" s="7" t="n">
        <f aca="false">SUMIFS('Transaction Overview'!$D$2:$D$1850,'Transaction Overview'!$I$2:$I$1850,$A8,'Transaction Overview'!$H$2:$H$1850,I$4)</f>
        <v>0</v>
      </c>
      <c r="J8" s="7" t="n">
        <f aca="false">SUMIFS('Transaction Overview'!$D$2:$D$1850,'Transaction Overview'!$I$2:$I$1850,$A8,'Transaction Overview'!$H$2:$H$1850,J$4)</f>
        <v>0</v>
      </c>
      <c r="K8" s="7" t="n">
        <f aca="false">SUMIFS('Transaction Overview'!$D$2:$D$1850,'Transaction Overview'!$I$2:$I$1850,$A8,'Transaction Overview'!$H$2:$H$1850,K$4)</f>
        <v>0</v>
      </c>
      <c r="L8" s="7" t="n">
        <f aca="false">SUMIFS('Transaction Overview'!$D$2:$D$1850,'Transaction Overview'!$I$2:$I$1850,$A8,'Transaction Overview'!$H$2:$H$1850,L$4)</f>
        <v>0</v>
      </c>
      <c r="M8" s="7" t="n">
        <f aca="false">SUMIFS('Transaction Overview'!$D$2:$D$1850,'Transaction Overview'!$I$2:$I$1850,$A8,'Transaction Overview'!$H$2:$H$1850,M$4)</f>
        <v>0</v>
      </c>
      <c r="N8" s="7" t="n">
        <f aca="false">SUM(B8:M8)</f>
        <v>-15000</v>
      </c>
    </row>
    <row r="9" customFormat="false" ht="15" hidden="false" customHeight="false" outlineLevel="0" collapsed="false">
      <c r="A9" s="9" t="s">
        <v>21</v>
      </c>
    </row>
    <row r="10" customFormat="false" ht="15" hidden="false" customHeight="false" outlineLevel="0" collapsed="false">
      <c r="A10" s="0" t="s">
        <v>22</v>
      </c>
      <c r="B10" s="7" t="n">
        <f aca="false">SUMIFS('Transaction Overview'!$D$2:$D$1850,'Transaction Overview'!$I$2:$I$1850,$A10,'Transaction Overview'!$H$2:$H$1850,B$4)</f>
        <v>0</v>
      </c>
      <c r="C10" s="7" t="n">
        <f aca="false">SUMIFS('Transaction Overview'!$D$2:$D$1850,'Transaction Overview'!$I$2:$I$1850,$A10,'Transaction Overview'!$H$2:$H$1850,C$4)</f>
        <v>0</v>
      </c>
      <c r="D10" s="7" t="n">
        <f aca="false">SUMIFS('Transaction Overview'!$D$2:$D$1850,'Transaction Overview'!$I$2:$I$1850,$A10,'Transaction Overview'!$H$2:$H$1850,D$4)</f>
        <v>0</v>
      </c>
      <c r="E10" s="7" t="n">
        <f aca="false">SUMIFS('Transaction Overview'!$D$2:$D$1850,'Transaction Overview'!$I$2:$I$1850,$A10,'Transaction Overview'!$H$2:$H$1850,E$4)</f>
        <v>0</v>
      </c>
      <c r="F10" s="7" t="n">
        <f aca="false">SUMIFS('Transaction Overview'!$D$2:$D$1850,'Transaction Overview'!$I$2:$I$1850,$A10,'Transaction Overview'!$H$2:$H$1850,F$4)</f>
        <v>0</v>
      </c>
      <c r="G10" s="7" t="n">
        <f aca="false">SUMIFS('Transaction Overview'!$D$2:$D$1850,'Transaction Overview'!$I$2:$I$1850,$A10,'Transaction Overview'!$H$2:$H$1850,G$4)</f>
        <v>87850</v>
      </c>
      <c r="H10" s="7" t="n">
        <f aca="false">SUMIFS('Transaction Overview'!$D$2:$D$1850,'Transaction Overview'!$I$2:$I$1850,$A10,'Transaction Overview'!$H$2:$H$1850,H$4)</f>
        <v>0</v>
      </c>
      <c r="I10" s="7" t="n">
        <f aca="false">SUMIFS('Transaction Overview'!$D$2:$D$1850,'Transaction Overview'!$I$2:$I$1850,$A10,'Transaction Overview'!$H$2:$H$1850,I$4)</f>
        <v>0</v>
      </c>
      <c r="J10" s="7" t="n">
        <f aca="false">SUMIFS('Transaction Overview'!$D$2:$D$1850,'Transaction Overview'!$I$2:$I$1850,$A10,'Transaction Overview'!$H$2:$H$1850,J$4)</f>
        <v>0</v>
      </c>
      <c r="K10" s="7" t="n">
        <f aca="false">SUMIFS('Transaction Overview'!$D$2:$D$1850,'Transaction Overview'!$I$2:$I$1850,$A10,'Transaction Overview'!$H$2:$H$1850,K$4)</f>
        <v>0</v>
      </c>
      <c r="L10" s="7" t="n">
        <f aca="false">SUMIFS('Transaction Overview'!$D$2:$D$1850,'Transaction Overview'!$I$2:$I$1850,$A10,'Transaction Overview'!$H$2:$H$1850,L$4)</f>
        <v>0</v>
      </c>
      <c r="M10" s="7" t="n">
        <f aca="false">SUMIFS('Transaction Overview'!$D$2:$D$1850,'Transaction Overview'!$I$2:$I$1850,$A10,'Transaction Overview'!$H$2:$H$1850,M$4)</f>
        <v>0</v>
      </c>
      <c r="N10" s="7" t="n">
        <f aca="false">SUM(B10:M10)</f>
        <v>87850</v>
      </c>
    </row>
    <row r="11" customFormat="false" ht="15" hidden="false" customHeight="false" outlineLevel="0" collapsed="false">
      <c r="A11" s="0" t="s">
        <v>23</v>
      </c>
      <c r="B11" s="7" t="n">
        <f aca="false">SUMIFS('Transaction Overview'!$D$2:$D$1850,'Transaction Overview'!$I$2:$I$1850,$A11,'Transaction Overview'!$H$2:$H$1850,B$4)</f>
        <v>0</v>
      </c>
      <c r="C11" s="7" t="n">
        <f aca="false">SUMIFS('Transaction Overview'!$D$2:$D$1850,'Transaction Overview'!$I$2:$I$1850,$A11,'Transaction Overview'!$H$2:$H$1850,C$4)</f>
        <v>0</v>
      </c>
      <c r="D11" s="7" t="n">
        <f aca="false">SUMIFS('Transaction Overview'!$D$2:$D$1850,'Transaction Overview'!$I$2:$I$1850,$A11,'Transaction Overview'!$H$2:$H$1850,D$4)</f>
        <v>0</v>
      </c>
      <c r="E11" s="7" t="n">
        <f aca="false">SUMIFS('Transaction Overview'!$D$2:$D$1850,'Transaction Overview'!$I$2:$I$1850,$A11,'Transaction Overview'!$H$2:$H$1850,E$4)</f>
        <v>0</v>
      </c>
      <c r="F11" s="7" t="n">
        <f aca="false">SUMIFS('Transaction Overview'!$D$2:$D$1850,'Transaction Overview'!$I$2:$I$1850,$A11,'Transaction Overview'!$H$2:$H$1850,F$4)</f>
        <v>0</v>
      </c>
      <c r="G11" s="7" t="n">
        <f aca="false">SUMIFS('Transaction Overview'!$D$2:$D$1850,'Transaction Overview'!$I$2:$I$1850,$A11,'Transaction Overview'!$H$2:$H$1850,G$4)</f>
        <v>0</v>
      </c>
      <c r="H11" s="7" t="n">
        <f aca="false">SUMIFS('Transaction Overview'!$D$2:$D$1850,'Transaction Overview'!$I$2:$I$1850,$A11,'Transaction Overview'!$H$2:$H$1850,H$4)</f>
        <v>0</v>
      </c>
      <c r="I11" s="7" t="n">
        <f aca="false">SUMIFS('Transaction Overview'!$D$2:$D$1850,'Transaction Overview'!$I$2:$I$1850,$A11,'Transaction Overview'!$H$2:$H$1850,I$4)</f>
        <v>0</v>
      </c>
      <c r="J11" s="7" t="n">
        <f aca="false">SUMIFS('Transaction Overview'!$D$2:$D$1850,'Transaction Overview'!$I$2:$I$1850,$A11,'Transaction Overview'!$H$2:$H$1850,J$4)</f>
        <v>0</v>
      </c>
      <c r="K11" s="7" t="n">
        <f aca="false">SUMIFS('Transaction Overview'!$D$2:$D$1850,'Transaction Overview'!$I$2:$I$1850,$A11,'Transaction Overview'!$H$2:$H$1850,K$4)</f>
        <v>-25000</v>
      </c>
      <c r="L11" s="7" t="n">
        <f aca="false">SUMIFS('Transaction Overview'!$D$2:$D$1850,'Transaction Overview'!$I$2:$I$1850,$A11,'Transaction Overview'!$H$2:$H$1850,L$4)</f>
        <v>0</v>
      </c>
      <c r="M11" s="7" t="n">
        <f aca="false">SUMIFS('Transaction Overview'!$D$2:$D$1850,'Transaction Overview'!$I$2:$I$1850,$A11,'Transaction Overview'!$H$2:$H$1850,M$4)</f>
        <v>235000</v>
      </c>
      <c r="N11" s="7" t="n">
        <f aca="false">SUM(B11:M11)</f>
        <v>210000</v>
      </c>
    </row>
    <row r="12" customFormat="false" ht="15" hidden="false" customHeight="false" outlineLevel="0" collapsed="false">
      <c r="A12" s="0" t="s">
        <v>24</v>
      </c>
      <c r="B12" s="7" t="n">
        <f aca="false">SUMIFS('Transaction Overview'!$D$2:$D$1850,'Transaction Overview'!$I$2:$I$1850,$A12,'Transaction Overview'!$H$2:$H$1850,B$4)</f>
        <v>0</v>
      </c>
      <c r="C12" s="7" t="n">
        <f aca="false">SUMIFS('Transaction Overview'!$D$2:$D$1850,'Transaction Overview'!$I$2:$I$1850,$A12,'Transaction Overview'!$H$2:$H$1850,C$4)</f>
        <v>0</v>
      </c>
      <c r="D12" s="7" t="n">
        <f aca="false">SUMIFS('Transaction Overview'!$D$2:$D$1850,'Transaction Overview'!$I$2:$I$1850,$A12,'Transaction Overview'!$H$2:$H$1850,D$4)</f>
        <v>0</v>
      </c>
      <c r="E12" s="7" t="n">
        <f aca="false">SUMIFS('Transaction Overview'!$D$2:$D$1850,'Transaction Overview'!$I$2:$I$1850,$A12,'Transaction Overview'!$H$2:$H$1850,E$4)</f>
        <v>0</v>
      </c>
      <c r="F12" s="7" t="n">
        <f aca="false">SUMIFS('Transaction Overview'!$D$2:$D$1850,'Transaction Overview'!$I$2:$I$1850,$A12,'Transaction Overview'!$H$2:$H$1850,F$4)</f>
        <v>0</v>
      </c>
      <c r="G12" s="7" t="n">
        <f aca="false">SUMIFS('Transaction Overview'!$D$2:$D$1850,'Transaction Overview'!$I$2:$I$1850,$A12,'Transaction Overview'!$H$2:$H$1850,G$4)</f>
        <v>0</v>
      </c>
      <c r="H12" s="7" t="n">
        <f aca="false">SUMIFS('Transaction Overview'!$D$2:$D$1850,'Transaction Overview'!$I$2:$I$1850,$A12,'Transaction Overview'!$H$2:$H$1850,H$4)</f>
        <v>0</v>
      </c>
      <c r="I12" s="7" t="n">
        <f aca="false">SUMIFS('Transaction Overview'!$D$2:$D$1850,'Transaction Overview'!$I$2:$I$1850,$A12,'Transaction Overview'!$H$2:$H$1850,I$4)</f>
        <v>0</v>
      </c>
      <c r="J12" s="7" t="n">
        <f aca="false">SUMIFS('Transaction Overview'!$D$2:$D$1850,'Transaction Overview'!$I$2:$I$1850,$A12,'Transaction Overview'!$H$2:$H$1850,J$4)</f>
        <v>42500</v>
      </c>
      <c r="K12" s="7" t="n">
        <f aca="false">SUMIFS('Transaction Overview'!$D$2:$D$1850,'Transaction Overview'!$I$2:$I$1850,$A12,'Transaction Overview'!$H$2:$H$1850,K$4)</f>
        <v>0</v>
      </c>
      <c r="L12" s="7" t="n">
        <f aca="false">SUMIFS('Transaction Overview'!$D$2:$D$1850,'Transaction Overview'!$I$2:$I$1850,$A12,'Transaction Overview'!$H$2:$H$1850,L$4)</f>
        <v>0</v>
      </c>
      <c r="M12" s="7" t="n">
        <f aca="false">SUMIFS('Transaction Overview'!$D$2:$D$1850,'Transaction Overview'!$I$2:$I$1850,$A12,'Transaction Overview'!$H$2:$H$1850,M$4)</f>
        <v>0</v>
      </c>
      <c r="N12" s="7" t="n">
        <f aca="false">SUM(B12:M12)</f>
        <v>42500</v>
      </c>
    </row>
    <row r="13" customFormat="false" ht="15" hidden="false" customHeight="false" outlineLevel="0" collapsed="false">
      <c r="A13" s="0" t="s">
        <v>25</v>
      </c>
      <c r="B13" s="7" t="n">
        <f aca="false">SUMIFS('Transaction Overview'!$D$2:$D$1850,'Transaction Overview'!$I$2:$I$1850,$A13,'Transaction Overview'!$H$2:$H$1850,B$4)</f>
        <v>0</v>
      </c>
      <c r="C13" s="7" t="n">
        <f aca="false">SUMIFS('Transaction Overview'!$D$2:$D$1850,'Transaction Overview'!$I$2:$I$1850,$A13,'Transaction Overview'!$H$2:$H$1850,C$4)</f>
        <v>0</v>
      </c>
      <c r="D13" s="7" t="n">
        <f aca="false">SUMIFS('Transaction Overview'!$D$2:$D$1850,'Transaction Overview'!$I$2:$I$1850,$A13,'Transaction Overview'!$H$2:$H$1850,D$4)</f>
        <v>0</v>
      </c>
      <c r="E13" s="7" t="n">
        <f aca="false">SUMIFS('Transaction Overview'!$D$2:$D$1850,'Transaction Overview'!$I$2:$I$1850,$A13,'Transaction Overview'!$H$2:$H$1850,E$4)</f>
        <v>0</v>
      </c>
      <c r="F13" s="7" t="n">
        <f aca="false">SUMIFS('Transaction Overview'!$D$2:$D$1850,'Transaction Overview'!$I$2:$I$1850,$A13,'Transaction Overview'!$H$2:$H$1850,F$4)</f>
        <v>0</v>
      </c>
      <c r="G13" s="7" t="n">
        <f aca="false">SUMIFS('Transaction Overview'!$D$2:$D$1850,'Transaction Overview'!$I$2:$I$1850,$A13,'Transaction Overview'!$H$2:$H$1850,G$4)</f>
        <v>0</v>
      </c>
      <c r="H13" s="7" t="n">
        <f aca="false">SUMIFS('Transaction Overview'!$D$2:$D$1850,'Transaction Overview'!$I$2:$I$1850,$A13,'Transaction Overview'!$H$2:$H$1850,H$4)</f>
        <v>0</v>
      </c>
      <c r="I13" s="7" t="n">
        <f aca="false">SUMIFS('Transaction Overview'!$D$2:$D$1850,'Transaction Overview'!$I$2:$I$1850,$A13,'Transaction Overview'!$H$2:$H$1850,I$4)</f>
        <v>0</v>
      </c>
      <c r="J13" s="7" t="n">
        <f aca="false">SUMIFS('Transaction Overview'!$D$2:$D$1850,'Transaction Overview'!$I$2:$I$1850,$A13,'Transaction Overview'!$H$2:$H$1850,J$4)</f>
        <v>40000</v>
      </c>
      <c r="K13" s="7" t="n">
        <f aca="false">SUMIFS('Transaction Overview'!$D$2:$D$1850,'Transaction Overview'!$I$2:$I$1850,$A13,'Transaction Overview'!$H$2:$H$1850,K$4)</f>
        <v>0</v>
      </c>
      <c r="L13" s="7" t="n">
        <f aca="false">SUMIFS('Transaction Overview'!$D$2:$D$1850,'Transaction Overview'!$I$2:$I$1850,$A13,'Transaction Overview'!$H$2:$H$1850,L$4)</f>
        <v>0</v>
      </c>
      <c r="M13" s="7" t="n">
        <f aca="false">SUMIFS('Transaction Overview'!$D$2:$D$1850,'Transaction Overview'!$I$2:$I$1850,$A13,'Transaction Overview'!$H$2:$H$1850,M$4)</f>
        <v>0</v>
      </c>
      <c r="N13" s="7" t="n">
        <f aca="false">SUM(B13:M13)</f>
        <v>40000</v>
      </c>
    </row>
    <row r="14" customFormat="false" ht="15" hidden="false" customHeight="false" outlineLevel="0" collapsed="false">
      <c r="A14" s="0" t="s">
        <v>26</v>
      </c>
      <c r="B14" s="7" t="n">
        <f aca="false">SUMIFS('Transaction Overview'!$D$2:$D$1850,'Transaction Overview'!$I$2:$I$1850,$A14,'Transaction Overview'!$H$2:$H$1850,B$4)</f>
        <v>0</v>
      </c>
      <c r="C14" s="7" t="n">
        <f aca="false">SUMIFS('Transaction Overview'!$D$2:$D$1850,'Transaction Overview'!$I$2:$I$1850,$A14,'Transaction Overview'!$H$2:$H$1850,C$4)</f>
        <v>0</v>
      </c>
      <c r="D14" s="7" t="n">
        <f aca="false">SUMIFS('Transaction Overview'!$D$2:$D$1850,'Transaction Overview'!$I$2:$I$1850,$A14,'Transaction Overview'!$H$2:$H$1850,D$4)</f>
        <v>0</v>
      </c>
      <c r="E14" s="7" t="n">
        <f aca="false">SUMIFS('Transaction Overview'!$D$2:$D$1850,'Transaction Overview'!$I$2:$I$1850,$A14,'Transaction Overview'!$H$2:$H$1850,E$4)</f>
        <v>0</v>
      </c>
      <c r="F14" s="7" t="n">
        <f aca="false">SUMIFS('Transaction Overview'!$D$2:$D$1850,'Transaction Overview'!$I$2:$I$1850,$A14,'Transaction Overview'!$H$2:$H$1850,F$4)</f>
        <v>0</v>
      </c>
      <c r="G14" s="7" t="n">
        <f aca="false">SUMIFS('Transaction Overview'!$D$2:$D$1850,'Transaction Overview'!$I$2:$I$1850,$A14,'Transaction Overview'!$H$2:$H$1850,G$4)</f>
        <v>0</v>
      </c>
      <c r="H14" s="7" t="n">
        <f aca="false">SUMIFS('Transaction Overview'!$D$2:$D$1850,'Transaction Overview'!$I$2:$I$1850,$A14,'Transaction Overview'!$H$2:$H$1850,H$4)</f>
        <v>0</v>
      </c>
      <c r="I14" s="7" t="n">
        <f aca="false">SUMIFS('Transaction Overview'!$D$2:$D$1850,'Transaction Overview'!$I$2:$I$1850,$A14,'Transaction Overview'!$H$2:$H$1850,I$4)</f>
        <v>0</v>
      </c>
      <c r="J14" s="7" t="n">
        <f aca="false">SUMIFS('Transaction Overview'!$D$2:$D$1850,'Transaction Overview'!$I$2:$I$1850,$A14,'Transaction Overview'!$H$2:$H$1850,J$4)</f>
        <v>69000</v>
      </c>
      <c r="K14" s="7" t="n">
        <f aca="false">SUMIFS('Transaction Overview'!$D$2:$D$1850,'Transaction Overview'!$I$2:$I$1850,$A14,'Transaction Overview'!$H$2:$H$1850,K$4)</f>
        <v>0</v>
      </c>
      <c r="L14" s="7" t="n">
        <f aca="false">SUMIFS('Transaction Overview'!$D$2:$D$1850,'Transaction Overview'!$I$2:$I$1850,$A14,'Transaction Overview'!$H$2:$H$1850,L$4)</f>
        <v>0</v>
      </c>
      <c r="M14" s="7" t="n">
        <f aca="false">SUMIFS('Transaction Overview'!$D$2:$D$1850,'Transaction Overview'!$I$2:$I$1850,$A14,'Transaction Overview'!$H$2:$H$1850,M$4)</f>
        <v>0</v>
      </c>
      <c r="N14" s="7" t="n">
        <f aca="false">SUM(B14:M14)</f>
        <v>69000</v>
      </c>
    </row>
    <row r="15" customFormat="false" ht="15" hidden="false" customHeight="false" outlineLevel="0" collapsed="false">
      <c r="A15" s="0" t="s">
        <v>27</v>
      </c>
      <c r="B15" s="7" t="n">
        <f aca="false">SUMIFS('Transaction Overview'!$D$2:$D$1850,'Transaction Overview'!$I$2:$I$1850,$A15,'Transaction Overview'!$H$2:$H$1850,B$4)</f>
        <v>0</v>
      </c>
      <c r="C15" s="7" t="n">
        <f aca="false">SUMIFS('Transaction Overview'!$D$2:$D$1850,'Transaction Overview'!$I$2:$I$1850,$A15,'Transaction Overview'!$H$2:$H$1850,C$4)</f>
        <v>0</v>
      </c>
      <c r="D15" s="7" t="n">
        <f aca="false">SUMIFS('Transaction Overview'!$D$2:$D$1850,'Transaction Overview'!$I$2:$I$1850,$A15,'Transaction Overview'!$H$2:$H$1850,D$4)</f>
        <v>40350</v>
      </c>
      <c r="E15" s="7" t="n">
        <f aca="false">SUMIFS('Transaction Overview'!$D$2:$D$1850,'Transaction Overview'!$I$2:$I$1850,$A15,'Transaction Overview'!$H$2:$H$1850,E$4)</f>
        <v>0</v>
      </c>
      <c r="F15" s="7" t="n">
        <f aca="false">SUMIFS('Transaction Overview'!$D$2:$D$1850,'Transaction Overview'!$I$2:$I$1850,$A15,'Transaction Overview'!$H$2:$H$1850,F$4)</f>
        <v>0</v>
      </c>
      <c r="G15" s="7" t="n">
        <f aca="false">SUMIFS('Transaction Overview'!$D$2:$D$1850,'Transaction Overview'!$I$2:$I$1850,$A15,'Transaction Overview'!$H$2:$H$1850,G$4)</f>
        <v>0</v>
      </c>
      <c r="H15" s="7" t="n">
        <f aca="false">SUMIFS('Transaction Overview'!$D$2:$D$1850,'Transaction Overview'!$I$2:$I$1850,$A15,'Transaction Overview'!$H$2:$H$1850,H$4)</f>
        <v>0</v>
      </c>
      <c r="I15" s="7" t="n">
        <f aca="false">SUMIFS('Transaction Overview'!$D$2:$D$1850,'Transaction Overview'!$I$2:$I$1850,$A15,'Transaction Overview'!$H$2:$H$1850,I$4)</f>
        <v>0</v>
      </c>
      <c r="J15" s="7" t="n">
        <f aca="false">SUMIFS('Transaction Overview'!$D$2:$D$1850,'Transaction Overview'!$I$2:$I$1850,$A15,'Transaction Overview'!$H$2:$H$1850,J$4)</f>
        <v>0</v>
      </c>
      <c r="K15" s="7" t="n">
        <f aca="false">SUMIFS('Transaction Overview'!$D$2:$D$1850,'Transaction Overview'!$I$2:$I$1850,$A15,'Transaction Overview'!$H$2:$H$1850,K$4)</f>
        <v>0</v>
      </c>
      <c r="L15" s="7" t="n">
        <f aca="false">SUMIFS('Transaction Overview'!$D$2:$D$1850,'Transaction Overview'!$I$2:$I$1850,$A15,'Transaction Overview'!$H$2:$H$1850,L$4)</f>
        <v>0</v>
      </c>
      <c r="M15" s="7" t="n">
        <f aca="false">SUMIFS('Transaction Overview'!$D$2:$D$1850,'Transaction Overview'!$I$2:$I$1850,$A15,'Transaction Overview'!$H$2:$H$1850,M$4)</f>
        <v>0</v>
      </c>
      <c r="N15" s="7" t="n">
        <f aca="false">SUM(B15:M15)</f>
        <v>40350</v>
      </c>
    </row>
    <row r="16" customFormat="false" ht="15" hidden="false" customHeight="false" outlineLevel="0" collapsed="false">
      <c r="A16" s="0" t="s">
        <v>28</v>
      </c>
      <c r="B16" s="7" t="n">
        <f aca="false">SUMIFS('Transaction Overview'!$D$2:$D$1850,'Transaction Overview'!$I$2:$I$1850,$A16,'Transaction Overview'!$H$2:$H$1850,B$4)</f>
        <v>0</v>
      </c>
      <c r="C16" s="7" t="n">
        <f aca="false">SUMIFS('Transaction Overview'!$D$2:$D$1850,'Transaction Overview'!$I$2:$I$1850,$A16,'Transaction Overview'!$H$2:$H$1850,C$4)</f>
        <v>85700</v>
      </c>
      <c r="D16" s="7" t="n">
        <f aca="false">SUMIFS('Transaction Overview'!$D$2:$D$1850,'Transaction Overview'!$I$2:$I$1850,$A16,'Transaction Overview'!$H$2:$H$1850,D$4)</f>
        <v>0</v>
      </c>
      <c r="E16" s="7" t="n">
        <f aca="false">SUMIFS('Transaction Overview'!$D$2:$D$1850,'Transaction Overview'!$I$2:$I$1850,$A16,'Transaction Overview'!$H$2:$H$1850,E$4)</f>
        <v>0</v>
      </c>
      <c r="F16" s="7" t="n">
        <f aca="false">SUMIFS('Transaction Overview'!$D$2:$D$1850,'Transaction Overview'!$I$2:$I$1850,$A16,'Transaction Overview'!$H$2:$H$1850,F$4)</f>
        <v>0</v>
      </c>
      <c r="G16" s="7" t="n">
        <f aca="false">SUMIFS('Transaction Overview'!$D$2:$D$1850,'Transaction Overview'!$I$2:$I$1850,$A16,'Transaction Overview'!$H$2:$H$1850,G$4)</f>
        <v>0</v>
      </c>
      <c r="H16" s="7" t="n">
        <f aca="false">SUMIFS('Transaction Overview'!$D$2:$D$1850,'Transaction Overview'!$I$2:$I$1850,$A16,'Transaction Overview'!$H$2:$H$1850,H$4)</f>
        <v>0</v>
      </c>
      <c r="I16" s="7" t="n">
        <f aca="false">SUMIFS('Transaction Overview'!$D$2:$D$1850,'Transaction Overview'!$I$2:$I$1850,$A16,'Transaction Overview'!$H$2:$H$1850,I$4)</f>
        <v>0</v>
      </c>
      <c r="J16" s="7" t="n">
        <f aca="false">SUMIFS('Transaction Overview'!$D$2:$D$1850,'Transaction Overview'!$I$2:$I$1850,$A16,'Transaction Overview'!$H$2:$H$1850,J$4)</f>
        <v>0</v>
      </c>
      <c r="K16" s="7" t="n">
        <f aca="false">SUMIFS('Transaction Overview'!$D$2:$D$1850,'Transaction Overview'!$I$2:$I$1850,$A16,'Transaction Overview'!$H$2:$H$1850,K$4)</f>
        <v>0</v>
      </c>
      <c r="L16" s="7" t="n">
        <f aca="false">SUMIFS('Transaction Overview'!$D$2:$D$1850,'Transaction Overview'!$I$2:$I$1850,$A16,'Transaction Overview'!$H$2:$H$1850,L$4)</f>
        <v>0</v>
      </c>
      <c r="M16" s="7" t="n">
        <f aca="false">SUMIFS('Transaction Overview'!$D$2:$D$1850,'Transaction Overview'!$I$2:$I$1850,$A16,'Transaction Overview'!$H$2:$H$1850,M$4)</f>
        <v>0</v>
      </c>
      <c r="N16" s="7" t="n">
        <f aca="false">SUM(B16:M16)</f>
        <v>85700</v>
      </c>
    </row>
    <row r="17" customFormat="false" ht="15" hidden="false" customHeight="false" outlineLevel="0" collapsed="false">
      <c r="A17" s="0" t="s">
        <v>29</v>
      </c>
      <c r="B17" s="7" t="n">
        <f aca="false">SUMIFS('Transaction Overview'!$D$2:$D$1850,'Transaction Overview'!$I$2:$I$1850,$A17,'Transaction Overview'!$H$2:$H$1850,B$4)</f>
        <v>61037</v>
      </c>
      <c r="C17" s="7" t="n">
        <f aca="false">SUMIFS('Transaction Overview'!$D$2:$D$1850,'Transaction Overview'!$I$2:$I$1850,$A17,'Transaction Overview'!$H$2:$H$1850,C$4)</f>
        <v>0</v>
      </c>
      <c r="D17" s="7" t="n">
        <f aca="false">SUMIFS('Transaction Overview'!$D$2:$D$1850,'Transaction Overview'!$I$2:$I$1850,$A17,'Transaction Overview'!$H$2:$H$1850,D$4)</f>
        <v>0</v>
      </c>
      <c r="E17" s="7" t="n">
        <f aca="false">SUMIFS('Transaction Overview'!$D$2:$D$1850,'Transaction Overview'!$I$2:$I$1850,$A17,'Transaction Overview'!$H$2:$H$1850,E$4)</f>
        <v>0</v>
      </c>
      <c r="F17" s="7" t="n">
        <f aca="false">SUMIFS('Transaction Overview'!$D$2:$D$1850,'Transaction Overview'!$I$2:$I$1850,$A17,'Transaction Overview'!$H$2:$H$1850,F$4)</f>
        <v>0</v>
      </c>
      <c r="G17" s="7" t="n">
        <f aca="false">SUMIFS('Transaction Overview'!$D$2:$D$1850,'Transaction Overview'!$I$2:$I$1850,$A17,'Transaction Overview'!$H$2:$H$1850,G$4)</f>
        <v>0</v>
      </c>
      <c r="H17" s="7" t="n">
        <f aca="false">SUMIFS('Transaction Overview'!$D$2:$D$1850,'Transaction Overview'!$I$2:$I$1850,$A17,'Transaction Overview'!$H$2:$H$1850,H$4)</f>
        <v>0</v>
      </c>
      <c r="I17" s="7" t="n">
        <f aca="false">SUMIFS('Transaction Overview'!$D$2:$D$1850,'Transaction Overview'!$I$2:$I$1850,$A17,'Transaction Overview'!$H$2:$H$1850,I$4)</f>
        <v>0</v>
      </c>
      <c r="J17" s="7" t="n">
        <f aca="false">SUMIFS('Transaction Overview'!$D$2:$D$1850,'Transaction Overview'!$I$2:$I$1850,$A17,'Transaction Overview'!$H$2:$H$1850,J$4)</f>
        <v>0</v>
      </c>
      <c r="K17" s="7" t="n">
        <f aca="false">SUMIFS('Transaction Overview'!$D$2:$D$1850,'Transaction Overview'!$I$2:$I$1850,$A17,'Transaction Overview'!$H$2:$H$1850,K$4)</f>
        <v>0</v>
      </c>
      <c r="L17" s="7" t="n">
        <f aca="false">SUMIFS('Transaction Overview'!$D$2:$D$1850,'Transaction Overview'!$I$2:$I$1850,$A17,'Transaction Overview'!$H$2:$H$1850,L$4)</f>
        <v>0</v>
      </c>
      <c r="M17" s="7" t="n">
        <f aca="false">SUMIFS('Transaction Overview'!$D$2:$D$1850,'Transaction Overview'!$I$2:$I$1850,$A17,'Transaction Overview'!$H$2:$H$1850,M$4)</f>
        <v>0</v>
      </c>
      <c r="N17" s="7" t="n">
        <f aca="false">SUM(B17:M17)</f>
        <v>61037</v>
      </c>
    </row>
    <row r="18" customFormat="false" ht="15" hidden="false" customHeight="false" outlineLevel="0" collapsed="false">
      <c r="A18" s="9" t="s">
        <v>31</v>
      </c>
    </row>
    <row r="19" customFormat="false" ht="15" hidden="false" customHeight="false" outlineLevel="0" collapsed="false">
      <c r="A19" s="0" t="s">
        <v>32</v>
      </c>
      <c r="B19" s="7" t="n">
        <f aca="false">SUMIFS('Transaction Overview'!$D$2:$D$1850,'Transaction Overview'!$I$2:$I$1850,$A19,'Transaction Overview'!$H$2:$H$1850,B$4)</f>
        <v>0</v>
      </c>
      <c r="C19" s="7" t="n">
        <f aca="false">SUMIFS('Transaction Overview'!$D$2:$D$1850,'Transaction Overview'!$I$2:$I$1850,$A19,'Transaction Overview'!$H$2:$H$1850,C$4)</f>
        <v>0</v>
      </c>
      <c r="D19" s="7" t="n">
        <f aca="false">SUMIFS('Transaction Overview'!$D$2:$D$1850,'Transaction Overview'!$I$2:$I$1850,$A19,'Transaction Overview'!$H$2:$H$1850,D$4)</f>
        <v>0</v>
      </c>
      <c r="E19" s="7" t="n">
        <f aca="false">SUMIFS('Transaction Overview'!$D$2:$D$1850,'Transaction Overview'!$I$2:$I$1850,$A19,'Transaction Overview'!$H$2:$H$1850,E$4)</f>
        <v>0</v>
      </c>
      <c r="F19" s="7" t="n">
        <f aca="false">SUMIFS('Transaction Overview'!$D$2:$D$1850,'Transaction Overview'!$I$2:$I$1850,$A19,'Transaction Overview'!$H$2:$H$1850,F$4)</f>
        <v>0</v>
      </c>
      <c r="G19" s="7" t="n">
        <f aca="false">SUMIFS('Transaction Overview'!$D$2:$D$1850,'Transaction Overview'!$I$2:$I$1850,$A19,'Transaction Overview'!$H$2:$H$1850,G$4)</f>
        <v>0</v>
      </c>
      <c r="H19" s="7" t="n">
        <f aca="false">SUMIFS('Transaction Overview'!$D$2:$D$1850,'Transaction Overview'!$I$2:$I$1850,$A19,'Transaction Overview'!$H$2:$H$1850,H$4)</f>
        <v>0</v>
      </c>
      <c r="I19" s="7" t="n">
        <f aca="false">SUMIFS('Transaction Overview'!$D$2:$D$1850,'Transaction Overview'!$I$2:$I$1850,$A19,'Transaction Overview'!$H$2:$H$1850,I$4)</f>
        <v>0</v>
      </c>
      <c r="J19" s="7" t="n">
        <f aca="false">SUMIFS('Transaction Overview'!$D$2:$D$1850,'Transaction Overview'!$I$2:$I$1850,$A19,'Transaction Overview'!$H$2:$H$1850,J$4)</f>
        <v>0</v>
      </c>
      <c r="K19" s="7" t="n">
        <f aca="false">SUMIFS('Transaction Overview'!$D$2:$D$1850,'Transaction Overview'!$I$2:$I$1850,$A19,'Transaction Overview'!$H$2:$H$1850,K$4)</f>
        <v>0</v>
      </c>
      <c r="L19" s="7" t="n">
        <f aca="false">SUMIFS('Transaction Overview'!$D$2:$D$1850,'Transaction Overview'!$I$2:$I$1850,$A19,'Transaction Overview'!$H$2:$H$1850,L$4)</f>
        <v>0</v>
      </c>
      <c r="M19" s="7" t="n">
        <f aca="false">SUMIFS('Transaction Overview'!$D$2:$D$1850,'Transaction Overview'!$I$2:$I$1850,$A19,'Transaction Overview'!$H$2:$H$1850,M$4)</f>
        <v>-102500</v>
      </c>
      <c r="N19" s="7" t="n">
        <f aca="false">SUM(B19:M19)</f>
        <v>-102500</v>
      </c>
    </row>
    <row r="20" customFormat="false" ht="15" hidden="false" customHeight="false" outlineLevel="0" collapsed="false">
      <c r="A20" s="9" t="s">
        <v>34</v>
      </c>
    </row>
    <row r="21" customFormat="false" ht="15" hidden="false" customHeight="false" outlineLevel="0" collapsed="false">
      <c r="A21" s="0" t="s">
        <v>35</v>
      </c>
      <c r="B21" s="7" t="n">
        <f aca="false">SUMIFS('Transaction Overview'!$D$2:$D$1850,'Transaction Overview'!$I$2:$I$1850,$A21,'Transaction Overview'!$H$2:$H$1850,B$4)</f>
        <v>0</v>
      </c>
      <c r="C21" s="7" t="n">
        <f aca="false">SUMIFS('Transaction Overview'!$D$2:$D$1850,'Transaction Overview'!$I$2:$I$1850,$A21,'Transaction Overview'!$H$2:$H$1850,C$4)</f>
        <v>-114028.02</v>
      </c>
      <c r="D21" s="7" t="n">
        <f aca="false">SUMIFS('Transaction Overview'!$D$2:$D$1850,'Transaction Overview'!$I$2:$I$1850,$A21,'Transaction Overview'!$H$2:$H$1850,D$4)</f>
        <v>0</v>
      </c>
      <c r="E21" s="7" t="n">
        <f aca="false">SUMIFS('Transaction Overview'!$D$2:$D$1850,'Transaction Overview'!$I$2:$I$1850,$A21,'Transaction Overview'!$H$2:$H$1850,E$4)</f>
        <v>0</v>
      </c>
      <c r="F21" s="7" t="n">
        <f aca="false">SUMIFS('Transaction Overview'!$D$2:$D$1850,'Transaction Overview'!$I$2:$I$1850,$A21,'Transaction Overview'!$H$2:$H$1850,F$4)</f>
        <v>0</v>
      </c>
      <c r="G21" s="7" t="n">
        <f aca="false">SUMIFS('Transaction Overview'!$D$2:$D$1850,'Transaction Overview'!$I$2:$I$1850,$A21,'Transaction Overview'!$H$2:$H$1850,G$4)</f>
        <v>0</v>
      </c>
      <c r="H21" s="7" t="n">
        <f aca="false">SUMIFS('Transaction Overview'!$D$2:$D$1850,'Transaction Overview'!$I$2:$I$1850,$A21,'Transaction Overview'!$H$2:$H$1850,H$4)</f>
        <v>0</v>
      </c>
      <c r="I21" s="7" t="n">
        <f aca="false">SUMIFS('Transaction Overview'!$D$2:$D$1850,'Transaction Overview'!$I$2:$I$1850,$A21,'Transaction Overview'!$H$2:$H$1850,I$4)</f>
        <v>0</v>
      </c>
      <c r="J21" s="7" t="n">
        <f aca="false">SUMIFS('Transaction Overview'!$D$2:$D$1850,'Transaction Overview'!$I$2:$I$1850,$A21,'Transaction Overview'!$H$2:$H$1850,J$4)</f>
        <v>0</v>
      </c>
      <c r="K21" s="7" t="n">
        <f aca="false">SUMIFS('Transaction Overview'!$D$2:$D$1850,'Transaction Overview'!$I$2:$I$1850,$A21,'Transaction Overview'!$H$2:$H$1850,K$4)</f>
        <v>0</v>
      </c>
      <c r="L21" s="7" t="n">
        <f aca="false">SUMIFS('Transaction Overview'!$D$2:$D$1850,'Transaction Overview'!$I$2:$I$1850,$A21,'Transaction Overview'!$H$2:$H$1850,L$4)</f>
        <v>0</v>
      </c>
      <c r="M21" s="7" t="n">
        <f aca="false">SUMIFS('Transaction Overview'!$D$2:$D$1850,'Transaction Overview'!$I$2:$I$1850,$A21,'Transaction Overview'!$H$2:$H$1850,M$4)</f>
        <v>0</v>
      </c>
      <c r="N21" s="7" t="n">
        <f aca="false">SUM(B21:M21)</f>
        <v>-114028.02</v>
      </c>
    </row>
    <row r="22" customFormat="false" ht="15" hidden="false" customHeight="false" outlineLevel="0" collapsed="false">
      <c r="A22" s="0" t="s">
        <v>36</v>
      </c>
      <c r="B22" s="7" t="n">
        <f aca="false">SUMIFS('Transaction Overview'!$D$2:$D$1850,'Transaction Overview'!$I$2:$I$1850,$A22,'Transaction Overview'!$H$2:$H$1850,B$4)</f>
        <v>0</v>
      </c>
      <c r="C22" s="7" t="n">
        <f aca="false">SUMIFS('Transaction Overview'!$D$2:$D$1850,'Transaction Overview'!$I$2:$I$1850,$A22,'Transaction Overview'!$H$2:$H$1850,C$4)</f>
        <v>-15300</v>
      </c>
      <c r="D22" s="7" t="n">
        <f aca="false">SUMIFS('Transaction Overview'!$D$2:$D$1850,'Transaction Overview'!$I$2:$I$1850,$A22,'Transaction Overview'!$H$2:$H$1850,D$4)</f>
        <v>0</v>
      </c>
      <c r="E22" s="7" t="n">
        <f aca="false">SUMIFS('Transaction Overview'!$D$2:$D$1850,'Transaction Overview'!$I$2:$I$1850,$A22,'Transaction Overview'!$H$2:$H$1850,E$4)</f>
        <v>0</v>
      </c>
      <c r="F22" s="7" t="n">
        <f aca="false">SUMIFS('Transaction Overview'!$D$2:$D$1850,'Transaction Overview'!$I$2:$I$1850,$A22,'Transaction Overview'!$H$2:$H$1850,F$4)</f>
        <v>0</v>
      </c>
      <c r="G22" s="7" t="n">
        <f aca="false">SUMIFS('Transaction Overview'!$D$2:$D$1850,'Transaction Overview'!$I$2:$I$1850,$A22,'Transaction Overview'!$H$2:$H$1850,G$4)</f>
        <v>0</v>
      </c>
      <c r="H22" s="7" t="n">
        <f aca="false">SUMIFS('Transaction Overview'!$D$2:$D$1850,'Transaction Overview'!$I$2:$I$1850,$A22,'Transaction Overview'!$H$2:$H$1850,H$4)</f>
        <v>0</v>
      </c>
      <c r="I22" s="7" t="n">
        <f aca="false">SUMIFS('Transaction Overview'!$D$2:$D$1850,'Transaction Overview'!$I$2:$I$1850,$A22,'Transaction Overview'!$H$2:$H$1850,I$4)</f>
        <v>-25500</v>
      </c>
      <c r="J22" s="7" t="n">
        <f aca="false">SUMIFS('Transaction Overview'!$D$2:$D$1850,'Transaction Overview'!$I$2:$I$1850,$A22,'Transaction Overview'!$H$2:$H$1850,J$4)</f>
        <v>-42637</v>
      </c>
      <c r="K22" s="7" t="n">
        <f aca="false">SUMIFS('Transaction Overview'!$D$2:$D$1850,'Transaction Overview'!$I$2:$I$1850,$A22,'Transaction Overview'!$H$2:$H$1850,K$4)</f>
        <v>0</v>
      </c>
      <c r="L22" s="7" t="n">
        <f aca="false">SUMIFS('Transaction Overview'!$D$2:$D$1850,'Transaction Overview'!$I$2:$I$1850,$A22,'Transaction Overview'!$H$2:$H$1850,L$4)</f>
        <v>0</v>
      </c>
      <c r="M22" s="7" t="n">
        <f aca="false">SUMIFS('Transaction Overview'!$D$2:$D$1850,'Transaction Overview'!$I$2:$I$1850,$A22,'Transaction Overview'!$H$2:$H$1850,M$4)</f>
        <v>0</v>
      </c>
      <c r="N22" s="7" t="n">
        <f aca="false">SUM(B22:M22)</f>
        <v>-83437</v>
      </c>
    </row>
    <row r="23" customFormat="false" ht="15" hidden="false" customHeight="false" outlineLevel="0" collapsed="false">
      <c r="A23" s="0" t="s">
        <v>37</v>
      </c>
      <c r="B23" s="7" t="n">
        <f aca="false">SUMIFS('Transaction Overview'!$D$2:$D$1850,'Transaction Overview'!$I$2:$I$1850,$A23,'Transaction Overview'!$H$2:$H$1850,B$4)</f>
        <v>0</v>
      </c>
      <c r="C23" s="7" t="n">
        <f aca="false">SUMIFS('Transaction Overview'!$D$2:$D$1850,'Transaction Overview'!$I$2:$I$1850,$A23,'Transaction Overview'!$H$2:$H$1850,C$4)</f>
        <v>-295765.37</v>
      </c>
      <c r="D23" s="7" t="n">
        <f aca="false">SUMIFS('Transaction Overview'!$D$2:$D$1850,'Transaction Overview'!$I$2:$I$1850,$A23,'Transaction Overview'!$H$2:$H$1850,D$4)</f>
        <v>0</v>
      </c>
      <c r="E23" s="7" t="n">
        <f aca="false">SUMIFS('Transaction Overview'!$D$2:$D$1850,'Transaction Overview'!$I$2:$I$1850,$A23,'Transaction Overview'!$H$2:$H$1850,E$4)</f>
        <v>0</v>
      </c>
      <c r="F23" s="7" t="n">
        <f aca="false">SUMIFS('Transaction Overview'!$D$2:$D$1850,'Transaction Overview'!$I$2:$I$1850,$A23,'Transaction Overview'!$H$2:$H$1850,F$4)</f>
        <v>0</v>
      </c>
      <c r="G23" s="7" t="n">
        <f aca="false">SUMIFS('Transaction Overview'!$D$2:$D$1850,'Transaction Overview'!$I$2:$I$1850,$A23,'Transaction Overview'!$H$2:$H$1850,G$4)</f>
        <v>0</v>
      </c>
      <c r="H23" s="7" t="n">
        <f aca="false">SUMIFS('Transaction Overview'!$D$2:$D$1850,'Transaction Overview'!$I$2:$I$1850,$A23,'Transaction Overview'!$H$2:$H$1850,H$4)</f>
        <v>0</v>
      </c>
      <c r="I23" s="7" t="n">
        <f aca="false">SUMIFS('Transaction Overview'!$D$2:$D$1850,'Transaction Overview'!$I$2:$I$1850,$A23,'Transaction Overview'!$H$2:$H$1850,I$4)</f>
        <v>-59500</v>
      </c>
      <c r="J23" s="7" t="n">
        <f aca="false">SUMIFS('Transaction Overview'!$D$2:$D$1850,'Transaction Overview'!$I$2:$I$1850,$A23,'Transaction Overview'!$H$2:$H$1850,J$4)</f>
        <v>-99487</v>
      </c>
      <c r="K23" s="7" t="n">
        <f aca="false">SUMIFS('Transaction Overview'!$D$2:$D$1850,'Transaction Overview'!$I$2:$I$1850,$A23,'Transaction Overview'!$H$2:$H$1850,K$4)</f>
        <v>0</v>
      </c>
      <c r="L23" s="7" t="n">
        <f aca="false">SUMIFS('Transaction Overview'!$D$2:$D$1850,'Transaction Overview'!$I$2:$I$1850,$A23,'Transaction Overview'!$H$2:$H$1850,L$4)</f>
        <v>0</v>
      </c>
      <c r="M23" s="7" t="n">
        <f aca="false">SUMIFS('Transaction Overview'!$D$2:$D$1850,'Transaction Overview'!$I$2:$I$1850,$A23,'Transaction Overview'!$H$2:$H$1850,M$4)</f>
        <v>0</v>
      </c>
      <c r="N23" s="7" t="n">
        <f aca="false">SUM(B23:M23)</f>
        <v>-454752.37</v>
      </c>
    </row>
    <row r="24" customFormat="false" ht="15" hidden="false" customHeight="false" outlineLevel="0" collapsed="false">
      <c r="A24" s="0" t="s">
        <v>38</v>
      </c>
      <c r="B24" s="7" t="n">
        <f aca="false">SUMIFS('Transaction Overview'!$D$2:$D$1850,'Transaction Overview'!$I$2:$I$1850,$A24,'Transaction Overview'!$H$2:$H$1850,B$4)</f>
        <v>0</v>
      </c>
      <c r="C24" s="7" t="n">
        <f aca="false">SUMIFS('Transaction Overview'!$D$2:$D$1850,'Transaction Overview'!$I$2:$I$1850,$A24,'Transaction Overview'!$H$2:$H$1850,C$4)</f>
        <v>0</v>
      </c>
      <c r="D24" s="7" t="n">
        <f aca="false">SUMIFS('Transaction Overview'!$D$2:$D$1850,'Transaction Overview'!$I$2:$I$1850,$A24,'Transaction Overview'!$H$2:$H$1850,D$4)</f>
        <v>0</v>
      </c>
      <c r="E24" s="7" t="n">
        <f aca="false">SUMIFS('Transaction Overview'!$D$2:$D$1850,'Transaction Overview'!$I$2:$I$1850,$A24,'Transaction Overview'!$H$2:$H$1850,E$4)</f>
        <v>0</v>
      </c>
      <c r="F24" s="7" t="n">
        <f aca="false">SUMIFS('Transaction Overview'!$D$2:$D$1850,'Transaction Overview'!$I$2:$I$1850,$A24,'Transaction Overview'!$H$2:$H$1850,F$4)</f>
        <v>0</v>
      </c>
      <c r="G24" s="7" t="n">
        <f aca="false">SUMIFS('Transaction Overview'!$D$2:$D$1850,'Transaction Overview'!$I$2:$I$1850,$A24,'Transaction Overview'!$H$2:$H$1850,G$4)</f>
        <v>0</v>
      </c>
      <c r="H24" s="7" t="n">
        <f aca="false">SUMIFS('Transaction Overview'!$D$2:$D$1850,'Transaction Overview'!$I$2:$I$1850,$A24,'Transaction Overview'!$H$2:$H$1850,H$4)</f>
        <v>0</v>
      </c>
      <c r="I24" s="7" t="n">
        <f aca="false">SUMIFS('Transaction Overview'!$D$2:$D$1850,'Transaction Overview'!$I$2:$I$1850,$A24,'Transaction Overview'!$H$2:$H$1850,I$4)</f>
        <v>0</v>
      </c>
      <c r="J24" s="7" t="n">
        <f aca="false">SUMIFS('Transaction Overview'!$D$2:$D$1850,'Transaction Overview'!$I$2:$I$1850,$A24,'Transaction Overview'!$H$2:$H$1850,J$4)</f>
        <v>0</v>
      </c>
      <c r="K24" s="7" t="n">
        <f aca="false">SUMIFS('Transaction Overview'!$D$2:$D$1850,'Transaction Overview'!$I$2:$I$1850,$A24,'Transaction Overview'!$H$2:$H$1850,K$4)</f>
        <v>0</v>
      </c>
      <c r="L24" s="7" t="n">
        <f aca="false">SUMIFS('Transaction Overview'!$D$2:$D$1850,'Transaction Overview'!$I$2:$I$1850,$A24,'Transaction Overview'!$H$2:$H$1850,L$4)</f>
        <v>0</v>
      </c>
      <c r="M24" s="7" t="n">
        <f aca="false">SUMIFS('Transaction Overview'!$D$2:$D$1850,'Transaction Overview'!$I$2:$I$1850,$A24,'Transaction Overview'!$H$2:$H$1850,M$4)</f>
        <v>-10000</v>
      </c>
      <c r="N24" s="7" t="n">
        <f aca="false">SUM(B24:M24)</f>
        <v>-10000</v>
      </c>
    </row>
    <row r="25" customFormat="false" ht="15" hidden="false" customHeight="false" outlineLevel="0" collapsed="false">
      <c r="A25" s="0" t="s">
        <v>39</v>
      </c>
      <c r="B25" s="7" t="n">
        <f aca="false">SUMIFS('Transaction Overview'!$D$2:$D$1850,'Transaction Overview'!$I$2:$I$1850,$A25,'Transaction Overview'!$H$2:$H$1850,B$4)</f>
        <v>0</v>
      </c>
      <c r="C25" s="7" t="n">
        <f aca="false">SUMIFS('Transaction Overview'!$D$2:$D$1850,'Transaction Overview'!$I$2:$I$1850,$A25,'Transaction Overview'!$H$2:$H$1850,C$4)</f>
        <v>50000</v>
      </c>
      <c r="D25" s="7" t="n">
        <f aca="false">SUMIFS('Transaction Overview'!$D$2:$D$1850,'Transaction Overview'!$I$2:$I$1850,$A25,'Transaction Overview'!$H$2:$H$1850,D$4)</f>
        <v>0</v>
      </c>
      <c r="E25" s="7" t="n">
        <f aca="false">SUMIFS('Transaction Overview'!$D$2:$D$1850,'Transaction Overview'!$I$2:$I$1850,$A25,'Transaction Overview'!$H$2:$H$1850,E$4)</f>
        <v>0</v>
      </c>
      <c r="F25" s="7" t="n">
        <f aca="false">SUMIFS('Transaction Overview'!$D$2:$D$1850,'Transaction Overview'!$I$2:$I$1850,$A25,'Transaction Overview'!$H$2:$H$1850,F$4)</f>
        <v>0</v>
      </c>
      <c r="G25" s="7" t="n">
        <f aca="false">SUMIFS('Transaction Overview'!$D$2:$D$1850,'Transaction Overview'!$I$2:$I$1850,$A25,'Transaction Overview'!$H$2:$H$1850,G$4)</f>
        <v>0</v>
      </c>
      <c r="H25" s="7" t="n">
        <f aca="false">SUMIFS('Transaction Overview'!$D$2:$D$1850,'Transaction Overview'!$I$2:$I$1850,$A25,'Transaction Overview'!$H$2:$H$1850,H$4)</f>
        <v>170000</v>
      </c>
      <c r="I25" s="7" t="n">
        <f aca="false">SUMIFS('Transaction Overview'!$D$2:$D$1850,'Transaction Overview'!$I$2:$I$1850,$A25,'Transaction Overview'!$H$2:$H$1850,I$4)</f>
        <v>0</v>
      </c>
      <c r="J25" s="7" t="n">
        <f aca="false">SUMIFS('Transaction Overview'!$D$2:$D$1850,'Transaction Overview'!$I$2:$I$1850,$A25,'Transaction Overview'!$H$2:$H$1850,J$4)</f>
        <v>145125</v>
      </c>
      <c r="K25" s="7" t="n">
        <f aca="false">SUMIFS('Transaction Overview'!$D$2:$D$1850,'Transaction Overview'!$I$2:$I$1850,$A25,'Transaction Overview'!$H$2:$H$1850,K$4)</f>
        <v>0</v>
      </c>
      <c r="L25" s="7" t="n">
        <f aca="false">SUMIFS('Transaction Overview'!$D$2:$D$1850,'Transaction Overview'!$I$2:$I$1850,$A25,'Transaction Overview'!$H$2:$H$1850,L$4)</f>
        <v>0</v>
      </c>
      <c r="M25" s="7" t="n">
        <f aca="false">SUMIFS('Transaction Overview'!$D$2:$D$1850,'Transaction Overview'!$I$2:$I$1850,$A25,'Transaction Overview'!$H$2:$H$1850,M$4)</f>
        <v>0</v>
      </c>
      <c r="N25" s="7" t="n">
        <f aca="false">SUM(B25:M25)</f>
        <v>365125</v>
      </c>
    </row>
    <row r="26" customFormat="false" ht="15" hidden="false" customHeight="false" outlineLevel="0" collapsed="false">
      <c r="A26" s="9" t="s">
        <v>41</v>
      </c>
    </row>
    <row r="27" customFormat="false" ht="15" hidden="false" customHeight="false" outlineLevel="0" collapsed="false">
      <c r="A27" s="0" t="s">
        <v>42</v>
      </c>
      <c r="B27" s="7" t="n">
        <f aca="false">SUMIFS('Transaction Overview'!$D$2:$D$1850,'Transaction Overview'!$I$2:$I$1850,$A27,'Transaction Overview'!$H$2:$H$1850,B$4)</f>
        <v>0</v>
      </c>
      <c r="C27" s="7" t="n">
        <f aca="false">SUMIFS('Transaction Overview'!$D$2:$D$1850,'Transaction Overview'!$I$2:$I$1850,$A27,'Transaction Overview'!$H$2:$H$1850,C$4)</f>
        <v>0</v>
      </c>
      <c r="D27" s="7" t="n">
        <f aca="false">SUMIFS('Transaction Overview'!$D$2:$D$1850,'Transaction Overview'!$I$2:$I$1850,$A27,'Transaction Overview'!$H$2:$H$1850,D$4)</f>
        <v>0</v>
      </c>
      <c r="E27" s="7" t="n">
        <f aca="false">SUMIFS('Transaction Overview'!$D$2:$D$1850,'Transaction Overview'!$I$2:$I$1850,$A27,'Transaction Overview'!$H$2:$H$1850,E$4)</f>
        <v>0</v>
      </c>
      <c r="F27" s="7" t="n">
        <f aca="false">SUMIFS('Transaction Overview'!$D$2:$D$1850,'Transaction Overview'!$I$2:$I$1850,$A27,'Transaction Overview'!$H$2:$H$1850,F$4)</f>
        <v>0</v>
      </c>
      <c r="G27" s="7" t="n">
        <f aca="false">SUMIFS('Transaction Overview'!$D$2:$D$1850,'Transaction Overview'!$I$2:$I$1850,$A27,'Transaction Overview'!$H$2:$H$1850,G$4)</f>
        <v>63000</v>
      </c>
      <c r="H27" s="7" t="n">
        <f aca="false">SUMIFS('Transaction Overview'!$D$2:$D$1850,'Transaction Overview'!$I$2:$I$1850,$A27,'Transaction Overview'!$H$2:$H$1850,H$4)</f>
        <v>80000</v>
      </c>
      <c r="I27" s="7" t="n">
        <f aca="false">SUMIFS('Transaction Overview'!$D$2:$D$1850,'Transaction Overview'!$I$2:$I$1850,$A27,'Transaction Overview'!$H$2:$H$1850,I$4)</f>
        <v>30000</v>
      </c>
      <c r="J27" s="7" t="n">
        <f aca="false">SUMIFS('Transaction Overview'!$D$2:$D$1850,'Transaction Overview'!$I$2:$I$1850,$A27,'Transaction Overview'!$H$2:$H$1850,J$4)</f>
        <v>50000</v>
      </c>
      <c r="K27" s="7" t="n">
        <f aca="false">SUMIFS('Transaction Overview'!$D$2:$D$1850,'Transaction Overview'!$I$2:$I$1850,$A27,'Transaction Overview'!$H$2:$H$1850,K$4)</f>
        <v>85000</v>
      </c>
      <c r="L27" s="7" t="n">
        <f aca="false">SUMIFS('Transaction Overview'!$D$2:$D$1850,'Transaction Overview'!$I$2:$I$1850,$A27,'Transaction Overview'!$H$2:$H$1850,L$4)</f>
        <v>65000</v>
      </c>
      <c r="M27" s="7" t="n">
        <f aca="false">SUMIFS('Transaction Overview'!$D$2:$D$1850,'Transaction Overview'!$I$2:$I$1850,$A27,'Transaction Overview'!$H$2:$H$1850,M$4)</f>
        <v>50000</v>
      </c>
      <c r="N27" s="7" t="n">
        <f aca="false">SUM(B27:M27)</f>
        <v>423000</v>
      </c>
    </row>
    <row r="28" customFormat="false" ht="15" hidden="false" customHeight="false" outlineLevel="0" collapsed="false">
      <c r="A28" s="0" t="s">
        <v>43</v>
      </c>
      <c r="B28" s="7" t="n">
        <f aca="false">SUMIFS('Transaction Overview'!$D$2:$D$1850,'Transaction Overview'!$I$2:$I$1850,$A28,'Transaction Overview'!$H$2:$H$1850,B$4)</f>
        <v>30000</v>
      </c>
      <c r="C28" s="7" t="n">
        <f aca="false">SUMIFS('Transaction Overview'!$D$2:$D$1850,'Transaction Overview'!$I$2:$I$1850,$A28,'Transaction Overview'!$H$2:$H$1850,C$4)</f>
        <v>50000</v>
      </c>
      <c r="D28" s="7" t="n">
        <f aca="false">SUMIFS('Transaction Overview'!$D$2:$D$1850,'Transaction Overview'!$I$2:$I$1850,$A28,'Transaction Overview'!$H$2:$H$1850,D$4)</f>
        <v>105000</v>
      </c>
      <c r="E28" s="7" t="n">
        <f aca="false">SUMIFS('Transaction Overview'!$D$2:$D$1850,'Transaction Overview'!$I$2:$I$1850,$A28,'Transaction Overview'!$H$2:$H$1850,E$4)</f>
        <v>30000</v>
      </c>
      <c r="F28" s="7" t="n">
        <f aca="false">SUMIFS('Transaction Overview'!$D$2:$D$1850,'Transaction Overview'!$I$2:$I$1850,$A28,'Transaction Overview'!$H$2:$H$1850,F$4)</f>
        <v>40000</v>
      </c>
      <c r="G28" s="7" t="n">
        <f aca="false">SUMIFS('Transaction Overview'!$D$2:$D$1850,'Transaction Overview'!$I$2:$I$1850,$A28,'Transaction Overview'!$H$2:$H$1850,G$4)</f>
        <v>0</v>
      </c>
      <c r="H28" s="7" t="n">
        <f aca="false">SUMIFS('Transaction Overview'!$D$2:$D$1850,'Transaction Overview'!$I$2:$I$1850,$A28,'Transaction Overview'!$H$2:$H$1850,H$4)</f>
        <v>0</v>
      </c>
      <c r="I28" s="7" t="n">
        <f aca="false">SUMIFS('Transaction Overview'!$D$2:$D$1850,'Transaction Overview'!$I$2:$I$1850,$A28,'Transaction Overview'!$H$2:$H$1850,I$4)</f>
        <v>0</v>
      </c>
      <c r="J28" s="7" t="n">
        <f aca="false">SUMIFS('Transaction Overview'!$D$2:$D$1850,'Transaction Overview'!$I$2:$I$1850,$A28,'Transaction Overview'!$H$2:$H$1850,J$4)</f>
        <v>0</v>
      </c>
      <c r="K28" s="7" t="n">
        <f aca="false">SUMIFS('Transaction Overview'!$D$2:$D$1850,'Transaction Overview'!$I$2:$I$1850,$A28,'Transaction Overview'!$H$2:$H$1850,K$4)</f>
        <v>0</v>
      </c>
      <c r="L28" s="7" t="n">
        <f aca="false">SUMIFS('Transaction Overview'!$D$2:$D$1850,'Transaction Overview'!$I$2:$I$1850,$A28,'Transaction Overview'!$H$2:$H$1850,L$4)</f>
        <v>0</v>
      </c>
      <c r="M28" s="7" t="n">
        <f aca="false">SUMIFS('Transaction Overview'!$D$2:$D$1850,'Transaction Overview'!$I$2:$I$1850,$A28,'Transaction Overview'!$H$2:$H$1850,M$4)</f>
        <v>0</v>
      </c>
      <c r="N28" s="7" t="n">
        <f aca="false">SUM(B28:M28)</f>
        <v>255000</v>
      </c>
    </row>
    <row r="29" customFormat="false" ht="15" hidden="false" customHeight="false" outlineLevel="0" collapsed="false">
      <c r="A29" s="0" t="s">
        <v>44</v>
      </c>
      <c r="B29" s="7" t="n">
        <f aca="false">SUMIFS('Transaction Overview'!$D$2:$D$1850,'Transaction Overview'!$I$2:$I$1850,$A29,'Transaction Overview'!$H$2:$H$1850,B$4)</f>
        <v>0</v>
      </c>
      <c r="C29" s="7" t="n">
        <f aca="false">SUMIFS('Transaction Overview'!$D$2:$D$1850,'Transaction Overview'!$I$2:$I$1850,$A29,'Transaction Overview'!$H$2:$H$1850,C$4)</f>
        <v>0</v>
      </c>
      <c r="D29" s="7" t="n">
        <f aca="false">SUMIFS('Transaction Overview'!$D$2:$D$1850,'Transaction Overview'!$I$2:$I$1850,$A29,'Transaction Overview'!$H$2:$H$1850,D$4)</f>
        <v>0</v>
      </c>
      <c r="E29" s="7" t="n">
        <f aca="false">SUMIFS('Transaction Overview'!$D$2:$D$1850,'Transaction Overview'!$I$2:$I$1850,$A29,'Transaction Overview'!$H$2:$H$1850,E$4)</f>
        <v>0</v>
      </c>
      <c r="F29" s="7" t="n">
        <f aca="false">SUMIFS('Transaction Overview'!$D$2:$D$1850,'Transaction Overview'!$I$2:$I$1850,$A29,'Transaction Overview'!$H$2:$H$1850,F$4)</f>
        <v>0</v>
      </c>
      <c r="G29" s="7" t="n">
        <f aca="false">SUMIFS('Transaction Overview'!$D$2:$D$1850,'Transaction Overview'!$I$2:$I$1850,$A29,'Transaction Overview'!$H$2:$H$1850,G$4)</f>
        <v>0</v>
      </c>
      <c r="H29" s="7" t="n">
        <f aca="false">SUMIFS('Transaction Overview'!$D$2:$D$1850,'Transaction Overview'!$I$2:$I$1850,$A29,'Transaction Overview'!$H$2:$H$1850,H$4)</f>
        <v>0</v>
      </c>
      <c r="I29" s="7" t="n">
        <f aca="false">SUMIFS('Transaction Overview'!$D$2:$D$1850,'Transaction Overview'!$I$2:$I$1850,$A29,'Transaction Overview'!$H$2:$H$1850,I$4)</f>
        <v>0</v>
      </c>
      <c r="J29" s="7" t="n">
        <f aca="false">SUMIFS('Transaction Overview'!$D$2:$D$1850,'Transaction Overview'!$I$2:$I$1850,$A29,'Transaction Overview'!$H$2:$H$1850,J$4)</f>
        <v>-5000</v>
      </c>
      <c r="K29" s="7" t="n">
        <f aca="false">SUMIFS('Transaction Overview'!$D$2:$D$1850,'Transaction Overview'!$I$2:$I$1850,$A29,'Transaction Overview'!$H$2:$H$1850,K$4)</f>
        <v>0</v>
      </c>
      <c r="L29" s="7" t="n">
        <f aca="false">SUMIFS('Transaction Overview'!$D$2:$D$1850,'Transaction Overview'!$I$2:$I$1850,$A29,'Transaction Overview'!$H$2:$H$1850,L$4)</f>
        <v>0</v>
      </c>
      <c r="M29" s="7" t="n">
        <f aca="false">SUMIFS('Transaction Overview'!$D$2:$D$1850,'Transaction Overview'!$I$2:$I$1850,$A29,'Transaction Overview'!$H$2:$H$1850,M$4)</f>
        <v>0</v>
      </c>
      <c r="N29" s="7" t="n">
        <f aca="false">SUM(B29:M29)</f>
        <v>-5000</v>
      </c>
    </row>
    <row r="30" customFormat="false" ht="15" hidden="false" customHeight="false" outlineLevel="0" collapsed="false">
      <c r="A30" s="9" t="s">
        <v>46</v>
      </c>
    </row>
    <row r="31" customFormat="false" ht="15" hidden="false" customHeight="false" outlineLevel="0" collapsed="false">
      <c r="A31" s="0" t="s">
        <v>47</v>
      </c>
      <c r="B31" s="7" t="n">
        <f aca="false">SUMIFS('Transaction Overview'!$D$2:$D$1850,'Transaction Overview'!$I$2:$I$1850,$A31,'Transaction Overview'!$H$2:$H$1850,B$4)</f>
        <v>0</v>
      </c>
      <c r="C31" s="7" t="n">
        <f aca="false">SUMIFS('Transaction Overview'!$D$2:$D$1850,'Transaction Overview'!$I$2:$I$1850,$A31,'Transaction Overview'!$H$2:$H$1850,C$4)</f>
        <v>0</v>
      </c>
      <c r="D31" s="7" t="n">
        <f aca="false">SUMIFS('Transaction Overview'!$D$2:$D$1850,'Transaction Overview'!$I$2:$I$1850,$A31,'Transaction Overview'!$H$2:$H$1850,D$4)</f>
        <v>0</v>
      </c>
      <c r="E31" s="7" t="n">
        <f aca="false">SUMIFS('Transaction Overview'!$D$2:$D$1850,'Transaction Overview'!$I$2:$I$1850,$A31,'Transaction Overview'!$H$2:$H$1850,E$4)</f>
        <v>0</v>
      </c>
      <c r="F31" s="7" t="n">
        <f aca="false">SUMIFS('Transaction Overview'!$D$2:$D$1850,'Transaction Overview'!$I$2:$I$1850,$A31,'Transaction Overview'!$H$2:$H$1850,F$4)</f>
        <v>0</v>
      </c>
      <c r="G31" s="7" t="n">
        <f aca="false">SUMIFS('Transaction Overview'!$D$2:$D$1850,'Transaction Overview'!$I$2:$I$1850,$A31,'Transaction Overview'!$H$2:$H$1850,G$4)</f>
        <v>-2000</v>
      </c>
      <c r="H31" s="7" t="n">
        <f aca="false">SUMIFS('Transaction Overview'!$D$2:$D$1850,'Transaction Overview'!$I$2:$I$1850,$A31,'Transaction Overview'!$H$2:$H$1850,H$4)</f>
        <v>0</v>
      </c>
      <c r="I31" s="7" t="n">
        <f aca="false">SUMIFS('Transaction Overview'!$D$2:$D$1850,'Transaction Overview'!$I$2:$I$1850,$A31,'Transaction Overview'!$H$2:$H$1850,I$4)</f>
        <v>0</v>
      </c>
      <c r="J31" s="7" t="n">
        <f aca="false">SUMIFS('Transaction Overview'!$D$2:$D$1850,'Transaction Overview'!$I$2:$I$1850,$A31,'Transaction Overview'!$H$2:$H$1850,J$4)</f>
        <v>-87000</v>
      </c>
      <c r="K31" s="7" t="n">
        <f aca="false">SUMIFS('Transaction Overview'!$D$2:$D$1850,'Transaction Overview'!$I$2:$I$1850,$A31,'Transaction Overview'!$H$2:$H$1850,K$4)</f>
        <v>0</v>
      </c>
      <c r="L31" s="7" t="n">
        <f aca="false">SUMIFS('Transaction Overview'!$D$2:$D$1850,'Transaction Overview'!$I$2:$I$1850,$A31,'Transaction Overview'!$H$2:$H$1850,L$4)</f>
        <v>-500</v>
      </c>
      <c r="M31" s="7" t="n">
        <f aca="false">SUMIFS('Transaction Overview'!$D$2:$D$1850,'Transaction Overview'!$I$2:$I$1850,$A31,'Transaction Overview'!$H$2:$H$1850,M$4)</f>
        <v>-1000</v>
      </c>
      <c r="N31" s="7" t="n">
        <f aca="false">SUM(B31:M31)</f>
        <v>-90500</v>
      </c>
    </row>
    <row r="32" customFormat="false" ht="15" hidden="false" customHeight="false" outlineLevel="0" collapsed="false">
      <c r="A32" s="0" t="s">
        <v>48</v>
      </c>
      <c r="B32" s="7" t="n">
        <f aca="false">SUMIFS('Transaction Overview'!$D$2:$D$1850,'Transaction Overview'!$I$2:$I$1850,$A32,'Transaction Overview'!$H$2:$H$1850,B$4)</f>
        <v>0</v>
      </c>
      <c r="C32" s="7" t="n">
        <f aca="false">SUMIFS('Transaction Overview'!$D$2:$D$1850,'Transaction Overview'!$I$2:$I$1850,$A32,'Transaction Overview'!$H$2:$H$1850,C$4)</f>
        <v>0</v>
      </c>
      <c r="D32" s="7" t="n">
        <f aca="false">SUMIFS('Transaction Overview'!$D$2:$D$1850,'Transaction Overview'!$I$2:$I$1850,$A32,'Transaction Overview'!$H$2:$H$1850,D$4)</f>
        <v>0</v>
      </c>
      <c r="E32" s="7" t="n">
        <f aca="false">SUMIFS('Transaction Overview'!$D$2:$D$1850,'Transaction Overview'!$I$2:$I$1850,$A32,'Transaction Overview'!$H$2:$H$1850,E$4)</f>
        <v>0</v>
      </c>
      <c r="F32" s="7" t="n">
        <f aca="false">SUMIFS('Transaction Overview'!$D$2:$D$1850,'Transaction Overview'!$I$2:$I$1850,$A32,'Transaction Overview'!$H$2:$H$1850,F$4)</f>
        <v>0</v>
      </c>
      <c r="G32" s="7" t="n">
        <f aca="false">SUMIFS('Transaction Overview'!$D$2:$D$1850,'Transaction Overview'!$I$2:$I$1850,$A32,'Transaction Overview'!$H$2:$H$1850,G$4)</f>
        <v>20000</v>
      </c>
      <c r="H32" s="7" t="n">
        <f aca="false">SUMIFS('Transaction Overview'!$D$2:$D$1850,'Transaction Overview'!$I$2:$I$1850,$A32,'Transaction Overview'!$H$2:$H$1850,H$4)</f>
        <v>0</v>
      </c>
      <c r="I32" s="7" t="n">
        <f aca="false">SUMIFS('Transaction Overview'!$D$2:$D$1850,'Transaction Overview'!$I$2:$I$1850,$A32,'Transaction Overview'!$H$2:$H$1850,I$4)</f>
        <v>0</v>
      </c>
      <c r="J32" s="7" t="n">
        <f aca="false">SUMIFS('Transaction Overview'!$D$2:$D$1850,'Transaction Overview'!$I$2:$I$1850,$A32,'Transaction Overview'!$H$2:$H$1850,J$4)</f>
        <v>0</v>
      </c>
      <c r="K32" s="7" t="n">
        <f aca="false">SUMIFS('Transaction Overview'!$D$2:$D$1850,'Transaction Overview'!$I$2:$I$1850,$A32,'Transaction Overview'!$H$2:$H$1850,K$4)</f>
        <v>0</v>
      </c>
      <c r="L32" s="7" t="n">
        <f aca="false">SUMIFS('Transaction Overview'!$D$2:$D$1850,'Transaction Overview'!$I$2:$I$1850,$A32,'Transaction Overview'!$H$2:$H$1850,L$4)</f>
        <v>0</v>
      </c>
      <c r="M32" s="7" t="n">
        <f aca="false">SUMIFS('Transaction Overview'!$D$2:$D$1850,'Transaction Overview'!$I$2:$I$1850,$A32,'Transaction Overview'!$H$2:$H$1850,M$4)</f>
        <v>0</v>
      </c>
      <c r="N32" s="7" t="n">
        <f aca="false">SUM(B32:M32)</f>
        <v>20000</v>
      </c>
    </row>
    <row r="33" customFormat="false" ht="15" hidden="false" customHeight="false" outlineLevel="0" collapsed="false">
      <c r="A33" s="0" t="s">
        <v>49</v>
      </c>
      <c r="B33" s="7" t="n">
        <f aca="false">SUMIFS('Transaction Overview'!$D$2:$D$1850,'Transaction Overview'!$I$2:$I$1850,$A33,'Transaction Overview'!$H$2:$H$1850,B$4)</f>
        <v>0</v>
      </c>
      <c r="C33" s="7" t="n">
        <f aca="false">SUMIFS('Transaction Overview'!$D$2:$D$1850,'Transaction Overview'!$I$2:$I$1850,$A33,'Transaction Overview'!$H$2:$H$1850,C$4)</f>
        <v>0</v>
      </c>
      <c r="D33" s="7" t="n">
        <f aca="false">SUMIFS('Transaction Overview'!$D$2:$D$1850,'Transaction Overview'!$I$2:$I$1850,$A33,'Transaction Overview'!$H$2:$H$1850,D$4)</f>
        <v>1500</v>
      </c>
      <c r="E33" s="7" t="n">
        <f aca="false">SUMIFS('Transaction Overview'!$D$2:$D$1850,'Transaction Overview'!$I$2:$I$1850,$A33,'Transaction Overview'!$H$2:$H$1850,E$4)</f>
        <v>0</v>
      </c>
      <c r="F33" s="7" t="n">
        <f aca="false">SUMIFS('Transaction Overview'!$D$2:$D$1850,'Transaction Overview'!$I$2:$I$1850,$A33,'Transaction Overview'!$H$2:$H$1850,F$4)</f>
        <v>0</v>
      </c>
      <c r="G33" s="7" t="n">
        <f aca="false">SUMIFS('Transaction Overview'!$D$2:$D$1850,'Transaction Overview'!$I$2:$I$1850,$A33,'Transaction Overview'!$H$2:$H$1850,G$4)</f>
        <v>0</v>
      </c>
      <c r="H33" s="7" t="n">
        <f aca="false">SUMIFS('Transaction Overview'!$D$2:$D$1850,'Transaction Overview'!$I$2:$I$1850,$A33,'Transaction Overview'!$H$2:$H$1850,H$4)</f>
        <v>0</v>
      </c>
      <c r="I33" s="7" t="n">
        <f aca="false">SUMIFS('Transaction Overview'!$D$2:$D$1850,'Transaction Overview'!$I$2:$I$1850,$A33,'Transaction Overview'!$H$2:$H$1850,I$4)</f>
        <v>0</v>
      </c>
      <c r="J33" s="7" t="n">
        <f aca="false">SUMIFS('Transaction Overview'!$D$2:$D$1850,'Transaction Overview'!$I$2:$I$1850,$A33,'Transaction Overview'!$H$2:$H$1850,J$4)</f>
        <v>0</v>
      </c>
      <c r="K33" s="7" t="n">
        <f aca="false">SUMIFS('Transaction Overview'!$D$2:$D$1850,'Transaction Overview'!$I$2:$I$1850,$A33,'Transaction Overview'!$H$2:$H$1850,K$4)</f>
        <v>0</v>
      </c>
      <c r="L33" s="7" t="n">
        <f aca="false">SUMIFS('Transaction Overview'!$D$2:$D$1850,'Transaction Overview'!$I$2:$I$1850,$A33,'Transaction Overview'!$H$2:$H$1850,L$4)</f>
        <v>0</v>
      </c>
      <c r="M33" s="7" t="n">
        <f aca="false">SUMIFS('Transaction Overview'!$D$2:$D$1850,'Transaction Overview'!$I$2:$I$1850,$A33,'Transaction Overview'!$H$2:$H$1850,M$4)</f>
        <v>0</v>
      </c>
      <c r="N33" s="7" t="n">
        <f aca="false">SUM(B33:M33)</f>
        <v>1500</v>
      </c>
    </row>
    <row r="34" customFormat="false" ht="15" hidden="false" customHeight="false" outlineLevel="0" collapsed="false">
      <c r="A34" s="0" t="s">
        <v>50</v>
      </c>
      <c r="B34" s="7" t="n">
        <f aca="false">SUMIFS('Transaction Overview'!$D$2:$D$1850,'Transaction Overview'!$I$2:$I$1850,$A34,'Transaction Overview'!$H$2:$H$1850,B$4)</f>
        <v>0</v>
      </c>
      <c r="C34" s="7" t="n">
        <f aca="false">SUMIFS('Transaction Overview'!$D$2:$D$1850,'Transaction Overview'!$I$2:$I$1850,$A34,'Transaction Overview'!$H$2:$H$1850,C$4)</f>
        <v>5000</v>
      </c>
      <c r="D34" s="7" t="n">
        <f aca="false">SUMIFS('Transaction Overview'!$D$2:$D$1850,'Transaction Overview'!$I$2:$I$1850,$A34,'Transaction Overview'!$H$2:$H$1850,D$4)</f>
        <v>0</v>
      </c>
      <c r="E34" s="7" t="n">
        <f aca="false">SUMIFS('Transaction Overview'!$D$2:$D$1850,'Transaction Overview'!$I$2:$I$1850,$A34,'Transaction Overview'!$H$2:$H$1850,E$4)</f>
        <v>0</v>
      </c>
      <c r="F34" s="7" t="n">
        <f aca="false">SUMIFS('Transaction Overview'!$D$2:$D$1850,'Transaction Overview'!$I$2:$I$1850,$A34,'Transaction Overview'!$H$2:$H$1850,F$4)</f>
        <v>0</v>
      </c>
      <c r="G34" s="7" t="n">
        <f aca="false">SUMIFS('Transaction Overview'!$D$2:$D$1850,'Transaction Overview'!$I$2:$I$1850,$A34,'Transaction Overview'!$H$2:$H$1850,G$4)</f>
        <v>0</v>
      </c>
      <c r="H34" s="7" t="n">
        <f aca="false">SUMIFS('Transaction Overview'!$D$2:$D$1850,'Transaction Overview'!$I$2:$I$1850,$A34,'Transaction Overview'!$H$2:$H$1850,H$4)</f>
        <v>0</v>
      </c>
      <c r="I34" s="7" t="n">
        <f aca="false">SUMIFS('Transaction Overview'!$D$2:$D$1850,'Transaction Overview'!$I$2:$I$1850,$A34,'Transaction Overview'!$H$2:$H$1850,I$4)</f>
        <v>0</v>
      </c>
      <c r="J34" s="7" t="n">
        <f aca="false">SUMIFS('Transaction Overview'!$D$2:$D$1850,'Transaction Overview'!$I$2:$I$1850,$A34,'Transaction Overview'!$H$2:$H$1850,J$4)</f>
        <v>0</v>
      </c>
      <c r="K34" s="7" t="n">
        <f aca="false">SUMIFS('Transaction Overview'!$D$2:$D$1850,'Transaction Overview'!$I$2:$I$1850,$A34,'Transaction Overview'!$H$2:$H$1850,K$4)</f>
        <v>0</v>
      </c>
      <c r="L34" s="7" t="n">
        <f aca="false">SUMIFS('Transaction Overview'!$D$2:$D$1850,'Transaction Overview'!$I$2:$I$1850,$A34,'Transaction Overview'!$H$2:$H$1850,L$4)</f>
        <v>0</v>
      </c>
      <c r="M34" s="7" t="n">
        <f aca="false">SUMIFS('Transaction Overview'!$D$2:$D$1850,'Transaction Overview'!$I$2:$I$1850,$A34,'Transaction Overview'!$H$2:$H$1850,M$4)</f>
        <v>0</v>
      </c>
      <c r="N34" s="7" t="n">
        <f aca="false">SUM(B34:M34)</f>
        <v>5000</v>
      </c>
    </row>
    <row r="35" customFormat="false" ht="15" hidden="false" customHeight="false" outlineLevel="0" collapsed="false">
      <c r="A35" s="0" t="s">
        <v>51</v>
      </c>
      <c r="B35" s="7" t="n">
        <f aca="false">SUMIFS('Transaction Overview'!$D$2:$D$1850,'Transaction Overview'!$I$2:$I$1850,$A35,'Transaction Overview'!$H$2:$H$1850,B$4)</f>
        <v>0</v>
      </c>
      <c r="C35" s="7" t="n">
        <f aca="false">SUMIFS('Transaction Overview'!$D$2:$D$1850,'Transaction Overview'!$I$2:$I$1850,$A35,'Transaction Overview'!$H$2:$H$1850,C$4)</f>
        <v>0</v>
      </c>
      <c r="D35" s="7" t="n">
        <f aca="false">SUMIFS('Transaction Overview'!$D$2:$D$1850,'Transaction Overview'!$I$2:$I$1850,$A35,'Transaction Overview'!$H$2:$H$1850,D$4)</f>
        <v>0</v>
      </c>
      <c r="E35" s="7" t="n">
        <f aca="false">SUMIFS('Transaction Overview'!$D$2:$D$1850,'Transaction Overview'!$I$2:$I$1850,$A35,'Transaction Overview'!$H$2:$H$1850,E$4)</f>
        <v>0</v>
      </c>
      <c r="F35" s="7" t="n">
        <f aca="false">SUMIFS('Transaction Overview'!$D$2:$D$1850,'Transaction Overview'!$I$2:$I$1850,$A35,'Transaction Overview'!$H$2:$H$1850,F$4)</f>
        <v>0</v>
      </c>
      <c r="G35" s="7" t="n">
        <f aca="false">SUMIFS('Transaction Overview'!$D$2:$D$1850,'Transaction Overview'!$I$2:$I$1850,$A35,'Transaction Overview'!$H$2:$H$1850,G$4)</f>
        <v>-500</v>
      </c>
      <c r="H35" s="7" t="n">
        <f aca="false">SUMIFS('Transaction Overview'!$D$2:$D$1850,'Transaction Overview'!$I$2:$I$1850,$A35,'Transaction Overview'!$H$2:$H$1850,H$4)</f>
        <v>0</v>
      </c>
      <c r="I35" s="7" t="n">
        <f aca="false">SUMIFS('Transaction Overview'!$D$2:$D$1850,'Transaction Overview'!$I$2:$I$1850,$A35,'Transaction Overview'!$H$2:$H$1850,I$4)</f>
        <v>0</v>
      </c>
      <c r="J35" s="7" t="n">
        <f aca="false">SUMIFS('Transaction Overview'!$D$2:$D$1850,'Transaction Overview'!$I$2:$I$1850,$A35,'Transaction Overview'!$H$2:$H$1850,J$4)</f>
        <v>0</v>
      </c>
      <c r="K35" s="7" t="n">
        <f aca="false">SUMIFS('Transaction Overview'!$D$2:$D$1850,'Transaction Overview'!$I$2:$I$1850,$A35,'Transaction Overview'!$H$2:$H$1850,K$4)</f>
        <v>0</v>
      </c>
      <c r="L35" s="7" t="n">
        <f aca="false">SUMIFS('Transaction Overview'!$D$2:$D$1850,'Transaction Overview'!$I$2:$I$1850,$A35,'Transaction Overview'!$H$2:$H$1850,L$4)</f>
        <v>0</v>
      </c>
      <c r="M35" s="7" t="n">
        <f aca="false">SUMIFS('Transaction Overview'!$D$2:$D$1850,'Transaction Overview'!$I$2:$I$1850,$A35,'Transaction Overview'!$H$2:$H$1850,M$4)</f>
        <v>0</v>
      </c>
      <c r="N35" s="7" t="n">
        <f aca="false">SUM(B35:M35)</f>
        <v>-500</v>
      </c>
    </row>
    <row r="36" customFormat="false" ht="15" hidden="false" customHeight="false" outlineLevel="0" collapsed="false">
      <c r="A36" s="0" t="s">
        <v>52</v>
      </c>
      <c r="B36" s="7" t="n">
        <f aca="false">SUMIFS('Transaction Overview'!$D$2:$D$1850,'Transaction Overview'!$I$2:$I$1850,$A36,'Transaction Overview'!$H$2:$H$1850,B$4)</f>
        <v>0</v>
      </c>
      <c r="C36" s="7" t="n">
        <f aca="false">SUMIFS('Transaction Overview'!$D$2:$D$1850,'Transaction Overview'!$I$2:$I$1850,$A36,'Transaction Overview'!$H$2:$H$1850,C$4)</f>
        <v>0</v>
      </c>
      <c r="D36" s="7" t="n">
        <f aca="false">SUMIFS('Transaction Overview'!$D$2:$D$1850,'Transaction Overview'!$I$2:$I$1850,$A36,'Transaction Overview'!$H$2:$H$1850,D$4)</f>
        <v>0</v>
      </c>
      <c r="E36" s="7" t="n">
        <f aca="false">SUMIFS('Transaction Overview'!$D$2:$D$1850,'Transaction Overview'!$I$2:$I$1850,$A36,'Transaction Overview'!$H$2:$H$1850,E$4)</f>
        <v>0</v>
      </c>
      <c r="F36" s="7" t="n">
        <f aca="false">SUMIFS('Transaction Overview'!$D$2:$D$1850,'Transaction Overview'!$I$2:$I$1850,$A36,'Transaction Overview'!$H$2:$H$1850,F$4)</f>
        <v>-5000</v>
      </c>
      <c r="G36" s="7" t="n">
        <f aca="false">SUMIFS('Transaction Overview'!$D$2:$D$1850,'Transaction Overview'!$I$2:$I$1850,$A36,'Transaction Overview'!$H$2:$H$1850,G$4)</f>
        <v>0</v>
      </c>
      <c r="H36" s="7" t="n">
        <f aca="false">SUMIFS('Transaction Overview'!$D$2:$D$1850,'Transaction Overview'!$I$2:$I$1850,$A36,'Transaction Overview'!$H$2:$H$1850,H$4)</f>
        <v>0</v>
      </c>
      <c r="I36" s="7" t="n">
        <f aca="false">SUMIFS('Transaction Overview'!$D$2:$D$1850,'Transaction Overview'!$I$2:$I$1850,$A36,'Transaction Overview'!$H$2:$H$1850,I$4)</f>
        <v>-1000</v>
      </c>
      <c r="J36" s="7" t="n">
        <f aca="false">SUMIFS('Transaction Overview'!$D$2:$D$1850,'Transaction Overview'!$I$2:$I$1850,$A36,'Transaction Overview'!$H$2:$H$1850,J$4)</f>
        <v>-3000</v>
      </c>
      <c r="K36" s="7" t="n">
        <f aca="false">SUMIFS('Transaction Overview'!$D$2:$D$1850,'Transaction Overview'!$I$2:$I$1850,$A36,'Transaction Overview'!$H$2:$H$1850,K$4)</f>
        <v>0</v>
      </c>
      <c r="L36" s="7" t="n">
        <f aca="false">SUMIFS('Transaction Overview'!$D$2:$D$1850,'Transaction Overview'!$I$2:$I$1850,$A36,'Transaction Overview'!$H$2:$H$1850,L$4)</f>
        <v>0</v>
      </c>
      <c r="M36" s="7" t="n">
        <f aca="false">SUMIFS('Transaction Overview'!$D$2:$D$1850,'Transaction Overview'!$I$2:$I$1850,$A36,'Transaction Overview'!$H$2:$H$1850,M$4)</f>
        <v>0</v>
      </c>
      <c r="N36" s="7" t="n">
        <f aca="false">SUM(B36:M36)</f>
        <v>-9000</v>
      </c>
    </row>
    <row r="37" customFormat="false" ht="15" hidden="false" customHeight="false" outlineLevel="0" collapsed="false">
      <c r="A37" s="0" t="s">
        <v>53</v>
      </c>
      <c r="B37" s="7" t="n">
        <f aca="false">SUMIFS('Transaction Overview'!$D$2:$D$1850,'Transaction Overview'!$I$2:$I$1850,$A37,'Transaction Overview'!$H$2:$H$1850,B$4)</f>
        <v>-1000</v>
      </c>
      <c r="C37" s="7" t="n">
        <f aca="false">SUMIFS('Transaction Overview'!$D$2:$D$1850,'Transaction Overview'!$I$2:$I$1850,$A37,'Transaction Overview'!$H$2:$H$1850,C$4)</f>
        <v>-1000</v>
      </c>
      <c r="D37" s="7" t="n">
        <f aca="false">SUMIFS('Transaction Overview'!$D$2:$D$1850,'Transaction Overview'!$I$2:$I$1850,$A37,'Transaction Overview'!$H$2:$H$1850,D$4)</f>
        <v>-1000</v>
      </c>
      <c r="E37" s="7" t="n">
        <f aca="false">SUMIFS('Transaction Overview'!$D$2:$D$1850,'Transaction Overview'!$I$2:$I$1850,$A37,'Transaction Overview'!$H$2:$H$1850,E$4)</f>
        <v>0</v>
      </c>
      <c r="F37" s="7" t="n">
        <f aca="false">SUMIFS('Transaction Overview'!$D$2:$D$1850,'Transaction Overview'!$I$2:$I$1850,$A37,'Transaction Overview'!$H$2:$H$1850,F$4)</f>
        <v>-1800</v>
      </c>
      <c r="G37" s="7" t="n">
        <f aca="false">SUMIFS('Transaction Overview'!$D$2:$D$1850,'Transaction Overview'!$I$2:$I$1850,$A37,'Transaction Overview'!$H$2:$H$1850,G$4)</f>
        <v>-1500</v>
      </c>
      <c r="H37" s="7" t="n">
        <f aca="false">SUMIFS('Transaction Overview'!$D$2:$D$1850,'Transaction Overview'!$I$2:$I$1850,$A37,'Transaction Overview'!$H$2:$H$1850,H$4)</f>
        <v>-2000</v>
      </c>
      <c r="I37" s="7" t="n">
        <f aca="false">SUMIFS('Transaction Overview'!$D$2:$D$1850,'Transaction Overview'!$I$2:$I$1850,$A37,'Transaction Overview'!$H$2:$H$1850,I$4)</f>
        <v>-2000</v>
      </c>
      <c r="J37" s="7" t="n">
        <f aca="false">SUMIFS('Transaction Overview'!$D$2:$D$1850,'Transaction Overview'!$I$2:$I$1850,$A37,'Transaction Overview'!$H$2:$H$1850,J$4)</f>
        <v>-2000</v>
      </c>
      <c r="K37" s="7" t="n">
        <f aca="false">SUMIFS('Transaction Overview'!$D$2:$D$1850,'Transaction Overview'!$I$2:$I$1850,$A37,'Transaction Overview'!$H$2:$H$1850,K$4)</f>
        <v>-2000</v>
      </c>
      <c r="L37" s="7" t="n">
        <f aca="false">SUMIFS('Transaction Overview'!$D$2:$D$1850,'Transaction Overview'!$I$2:$I$1850,$A37,'Transaction Overview'!$H$2:$H$1850,L$4)</f>
        <v>-1000</v>
      </c>
      <c r="M37" s="7" t="n">
        <f aca="false">SUMIFS('Transaction Overview'!$D$2:$D$1850,'Transaction Overview'!$I$2:$I$1850,$A37,'Transaction Overview'!$H$2:$H$1850,M$4)</f>
        <v>0</v>
      </c>
      <c r="N37" s="7" t="n">
        <f aca="false">SUM(B37:M37)</f>
        <v>-15300</v>
      </c>
    </row>
    <row r="38" customFormat="false" ht="15" hidden="false" customHeight="false" outlineLevel="0" collapsed="false">
      <c r="A38" s="0" t="s">
        <v>54</v>
      </c>
      <c r="B38" s="7" t="n">
        <f aca="false">SUMIFS('Transaction Overview'!$D$2:$D$1850,'Transaction Overview'!$I$2:$I$1850,$A38,'Transaction Overview'!$H$2:$H$1850,B$4)</f>
        <v>0</v>
      </c>
      <c r="C38" s="7" t="n">
        <f aca="false">SUMIFS('Transaction Overview'!$D$2:$D$1850,'Transaction Overview'!$I$2:$I$1850,$A38,'Transaction Overview'!$H$2:$H$1850,C$4)</f>
        <v>0</v>
      </c>
      <c r="D38" s="7" t="n">
        <f aca="false">SUMIFS('Transaction Overview'!$D$2:$D$1850,'Transaction Overview'!$I$2:$I$1850,$A38,'Transaction Overview'!$H$2:$H$1850,D$4)</f>
        <v>0</v>
      </c>
      <c r="E38" s="7" t="n">
        <f aca="false">SUMIFS('Transaction Overview'!$D$2:$D$1850,'Transaction Overview'!$I$2:$I$1850,$A38,'Transaction Overview'!$H$2:$H$1850,E$4)</f>
        <v>0</v>
      </c>
      <c r="F38" s="7" t="n">
        <f aca="false">SUMIFS('Transaction Overview'!$D$2:$D$1850,'Transaction Overview'!$I$2:$I$1850,$A38,'Transaction Overview'!$H$2:$H$1850,F$4)</f>
        <v>-1000</v>
      </c>
      <c r="G38" s="7" t="n">
        <f aca="false">SUMIFS('Transaction Overview'!$D$2:$D$1850,'Transaction Overview'!$I$2:$I$1850,$A38,'Transaction Overview'!$H$2:$H$1850,G$4)</f>
        <v>0</v>
      </c>
      <c r="H38" s="7" t="n">
        <f aca="false">SUMIFS('Transaction Overview'!$D$2:$D$1850,'Transaction Overview'!$I$2:$I$1850,$A38,'Transaction Overview'!$H$2:$H$1850,H$4)</f>
        <v>0</v>
      </c>
      <c r="I38" s="7" t="n">
        <f aca="false">SUMIFS('Transaction Overview'!$D$2:$D$1850,'Transaction Overview'!$I$2:$I$1850,$A38,'Transaction Overview'!$H$2:$H$1850,I$4)</f>
        <v>0</v>
      </c>
      <c r="J38" s="7" t="n">
        <f aca="false">SUMIFS('Transaction Overview'!$D$2:$D$1850,'Transaction Overview'!$I$2:$I$1850,$A38,'Transaction Overview'!$H$2:$H$1850,J$4)</f>
        <v>0</v>
      </c>
      <c r="K38" s="7" t="n">
        <f aca="false">SUMIFS('Transaction Overview'!$D$2:$D$1850,'Transaction Overview'!$I$2:$I$1850,$A38,'Transaction Overview'!$H$2:$H$1850,K$4)</f>
        <v>0</v>
      </c>
      <c r="L38" s="7" t="n">
        <f aca="false">SUMIFS('Transaction Overview'!$D$2:$D$1850,'Transaction Overview'!$I$2:$I$1850,$A38,'Transaction Overview'!$H$2:$H$1850,L$4)</f>
        <v>0</v>
      </c>
      <c r="M38" s="7" t="n">
        <f aca="false">SUMIFS('Transaction Overview'!$D$2:$D$1850,'Transaction Overview'!$I$2:$I$1850,$A38,'Transaction Overview'!$H$2:$H$1850,M$4)</f>
        <v>0</v>
      </c>
      <c r="N38" s="7" t="n">
        <f aca="false">SUM(B38:M38)</f>
        <v>-1000</v>
      </c>
    </row>
    <row r="39" customFormat="false" ht="15" hidden="false" customHeight="false" outlineLevel="0" collapsed="false">
      <c r="A39" s="0" t="s">
        <v>55</v>
      </c>
      <c r="B39" s="7" t="n">
        <f aca="false">SUMIFS('Transaction Overview'!$D$2:$D$1850,'Transaction Overview'!$I$2:$I$1850,$A39,'Transaction Overview'!$H$2:$H$1850,B$4)</f>
        <v>0</v>
      </c>
      <c r="C39" s="7" t="n">
        <f aca="false">SUMIFS('Transaction Overview'!$D$2:$D$1850,'Transaction Overview'!$I$2:$I$1850,$A39,'Transaction Overview'!$H$2:$H$1850,C$4)</f>
        <v>-100</v>
      </c>
      <c r="D39" s="7" t="n">
        <f aca="false">SUMIFS('Transaction Overview'!$D$2:$D$1850,'Transaction Overview'!$I$2:$I$1850,$A39,'Transaction Overview'!$H$2:$H$1850,D$4)</f>
        <v>0</v>
      </c>
      <c r="E39" s="7" t="n">
        <f aca="false">SUMIFS('Transaction Overview'!$D$2:$D$1850,'Transaction Overview'!$I$2:$I$1850,$A39,'Transaction Overview'!$H$2:$H$1850,E$4)</f>
        <v>0</v>
      </c>
      <c r="F39" s="7" t="n">
        <f aca="false">SUMIFS('Transaction Overview'!$D$2:$D$1850,'Transaction Overview'!$I$2:$I$1850,$A39,'Transaction Overview'!$H$2:$H$1850,F$4)</f>
        <v>0</v>
      </c>
      <c r="G39" s="7" t="n">
        <f aca="false">SUMIFS('Transaction Overview'!$D$2:$D$1850,'Transaction Overview'!$I$2:$I$1850,$A39,'Transaction Overview'!$H$2:$H$1850,G$4)</f>
        <v>0</v>
      </c>
      <c r="H39" s="7" t="n">
        <f aca="false">SUMIFS('Transaction Overview'!$D$2:$D$1850,'Transaction Overview'!$I$2:$I$1850,$A39,'Transaction Overview'!$H$2:$H$1850,H$4)</f>
        <v>0</v>
      </c>
      <c r="I39" s="7" t="n">
        <f aca="false">SUMIFS('Transaction Overview'!$D$2:$D$1850,'Transaction Overview'!$I$2:$I$1850,$A39,'Transaction Overview'!$H$2:$H$1850,I$4)</f>
        <v>0</v>
      </c>
      <c r="J39" s="7" t="n">
        <f aca="false">SUMIFS('Transaction Overview'!$D$2:$D$1850,'Transaction Overview'!$I$2:$I$1850,$A39,'Transaction Overview'!$H$2:$H$1850,J$4)</f>
        <v>0</v>
      </c>
      <c r="K39" s="7" t="n">
        <f aca="false">SUMIFS('Transaction Overview'!$D$2:$D$1850,'Transaction Overview'!$I$2:$I$1850,$A39,'Transaction Overview'!$H$2:$H$1850,K$4)</f>
        <v>0</v>
      </c>
      <c r="L39" s="7" t="n">
        <f aca="false">SUMIFS('Transaction Overview'!$D$2:$D$1850,'Transaction Overview'!$I$2:$I$1850,$A39,'Transaction Overview'!$H$2:$H$1850,L$4)</f>
        <v>0</v>
      </c>
      <c r="M39" s="7" t="n">
        <f aca="false">SUMIFS('Transaction Overview'!$D$2:$D$1850,'Transaction Overview'!$I$2:$I$1850,$A39,'Transaction Overview'!$H$2:$H$1850,M$4)</f>
        <v>0</v>
      </c>
      <c r="N39" s="7" t="n">
        <f aca="false">SUM(B39:M39)</f>
        <v>-100</v>
      </c>
    </row>
    <row r="40" customFormat="false" ht="15" hidden="false" customHeight="false" outlineLevel="0" collapsed="false">
      <c r="A40" s="0" t="s">
        <v>56</v>
      </c>
      <c r="B40" s="7" t="n">
        <f aca="false">SUMIFS('Transaction Overview'!$D$2:$D$1850,'Transaction Overview'!$I$2:$I$1850,$A40,'Transaction Overview'!$H$2:$H$1850,B$4)</f>
        <v>-902.89</v>
      </c>
      <c r="C40" s="7" t="n">
        <f aca="false">SUMIFS('Transaction Overview'!$D$2:$D$1850,'Transaction Overview'!$I$2:$I$1850,$A40,'Transaction Overview'!$H$2:$H$1850,C$4)</f>
        <v>-3000</v>
      </c>
      <c r="D40" s="7" t="n">
        <f aca="false">SUMIFS('Transaction Overview'!$D$2:$D$1850,'Transaction Overview'!$I$2:$I$1850,$A40,'Transaction Overview'!$H$2:$H$1850,D$4)</f>
        <v>0</v>
      </c>
      <c r="E40" s="7" t="n">
        <f aca="false">SUMIFS('Transaction Overview'!$D$2:$D$1850,'Transaction Overview'!$I$2:$I$1850,$A40,'Transaction Overview'!$H$2:$H$1850,E$4)</f>
        <v>0</v>
      </c>
      <c r="F40" s="7" t="n">
        <f aca="false">SUMIFS('Transaction Overview'!$D$2:$D$1850,'Transaction Overview'!$I$2:$I$1850,$A40,'Transaction Overview'!$H$2:$H$1850,F$4)</f>
        <v>0</v>
      </c>
      <c r="G40" s="7" t="n">
        <f aca="false">SUMIFS('Transaction Overview'!$D$2:$D$1850,'Transaction Overview'!$I$2:$I$1850,$A40,'Transaction Overview'!$H$2:$H$1850,G$4)</f>
        <v>0</v>
      </c>
      <c r="H40" s="7" t="n">
        <f aca="false">SUMIFS('Transaction Overview'!$D$2:$D$1850,'Transaction Overview'!$I$2:$I$1850,$A40,'Transaction Overview'!$H$2:$H$1850,H$4)</f>
        <v>0</v>
      </c>
      <c r="I40" s="7" t="n">
        <f aca="false">SUMIFS('Transaction Overview'!$D$2:$D$1850,'Transaction Overview'!$I$2:$I$1850,$A40,'Transaction Overview'!$H$2:$H$1850,I$4)</f>
        <v>0</v>
      </c>
      <c r="J40" s="7" t="n">
        <f aca="false">SUMIFS('Transaction Overview'!$D$2:$D$1850,'Transaction Overview'!$I$2:$I$1850,$A40,'Transaction Overview'!$H$2:$H$1850,J$4)</f>
        <v>0</v>
      </c>
      <c r="K40" s="7" t="n">
        <f aca="false">SUMIFS('Transaction Overview'!$D$2:$D$1850,'Transaction Overview'!$I$2:$I$1850,$A40,'Transaction Overview'!$H$2:$H$1850,K$4)</f>
        <v>0</v>
      </c>
      <c r="L40" s="7" t="n">
        <f aca="false">SUMIFS('Transaction Overview'!$D$2:$D$1850,'Transaction Overview'!$I$2:$I$1850,$A40,'Transaction Overview'!$H$2:$H$1850,L$4)</f>
        <v>0</v>
      </c>
      <c r="M40" s="7" t="n">
        <f aca="false">SUMIFS('Transaction Overview'!$D$2:$D$1850,'Transaction Overview'!$I$2:$I$1850,$A40,'Transaction Overview'!$H$2:$H$1850,M$4)</f>
        <v>0</v>
      </c>
      <c r="N40" s="7" t="n">
        <f aca="false">SUM(B40:M40)</f>
        <v>-3902.89</v>
      </c>
    </row>
    <row r="41" customFormat="false" ht="15" hidden="false" customHeight="false" outlineLevel="0" collapsed="false">
      <c r="A41" s="0" t="s">
        <v>57</v>
      </c>
      <c r="B41" s="7" t="n">
        <f aca="false">SUMIFS('Transaction Overview'!$D$2:$D$1850,'Transaction Overview'!$I$2:$I$1850,$A41,'Transaction Overview'!$H$2:$H$1850,B$4)</f>
        <v>10000</v>
      </c>
      <c r="C41" s="7" t="n">
        <f aca="false">SUMIFS('Transaction Overview'!$D$2:$D$1850,'Transaction Overview'!$I$2:$I$1850,$A41,'Transaction Overview'!$H$2:$H$1850,C$4)</f>
        <v>0</v>
      </c>
      <c r="D41" s="7" t="n">
        <f aca="false">SUMIFS('Transaction Overview'!$D$2:$D$1850,'Transaction Overview'!$I$2:$I$1850,$A41,'Transaction Overview'!$H$2:$H$1850,D$4)</f>
        <v>0</v>
      </c>
      <c r="E41" s="7" t="n">
        <f aca="false">SUMIFS('Transaction Overview'!$D$2:$D$1850,'Transaction Overview'!$I$2:$I$1850,$A41,'Transaction Overview'!$H$2:$H$1850,E$4)</f>
        <v>0</v>
      </c>
      <c r="F41" s="7" t="n">
        <f aca="false">SUMIFS('Transaction Overview'!$D$2:$D$1850,'Transaction Overview'!$I$2:$I$1850,$A41,'Transaction Overview'!$H$2:$H$1850,F$4)</f>
        <v>0</v>
      </c>
      <c r="G41" s="7" t="n">
        <f aca="false">SUMIFS('Transaction Overview'!$D$2:$D$1850,'Transaction Overview'!$I$2:$I$1850,$A41,'Transaction Overview'!$H$2:$H$1850,G$4)</f>
        <v>0</v>
      </c>
      <c r="H41" s="7" t="n">
        <f aca="false">SUMIFS('Transaction Overview'!$D$2:$D$1850,'Transaction Overview'!$I$2:$I$1850,$A41,'Transaction Overview'!$H$2:$H$1850,H$4)</f>
        <v>0</v>
      </c>
      <c r="I41" s="7" t="n">
        <f aca="false">SUMIFS('Transaction Overview'!$D$2:$D$1850,'Transaction Overview'!$I$2:$I$1850,$A41,'Transaction Overview'!$H$2:$H$1850,I$4)</f>
        <v>0</v>
      </c>
      <c r="J41" s="7" t="n">
        <f aca="false">SUMIFS('Transaction Overview'!$D$2:$D$1850,'Transaction Overview'!$I$2:$I$1850,$A41,'Transaction Overview'!$H$2:$H$1850,J$4)</f>
        <v>0</v>
      </c>
      <c r="K41" s="7" t="n">
        <f aca="false">SUMIFS('Transaction Overview'!$D$2:$D$1850,'Transaction Overview'!$I$2:$I$1850,$A41,'Transaction Overview'!$H$2:$H$1850,K$4)</f>
        <v>0</v>
      </c>
      <c r="L41" s="7" t="n">
        <f aca="false">SUMIFS('Transaction Overview'!$D$2:$D$1850,'Transaction Overview'!$I$2:$I$1850,$A41,'Transaction Overview'!$H$2:$H$1850,L$4)</f>
        <v>0</v>
      </c>
      <c r="M41" s="7" t="n">
        <f aca="false">SUMIFS('Transaction Overview'!$D$2:$D$1850,'Transaction Overview'!$I$2:$I$1850,$A41,'Transaction Overview'!$H$2:$H$1850,M$4)</f>
        <v>0</v>
      </c>
      <c r="N41" s="7" t="n">
        <f aca="false">SUM(B41:M41)</f>
        <v>10000</v>
      </c>
    </row>
    <row r="42" customFormat="false" ht="15" hidden="false" customHeight="false" outlineLevel="0" collapsed="false">
      <c r="A42" s="0" t="s">
        <v>58</v>
      </c>
      <c r="B42" s="7" t="n">
        <f aca="false">SUMIFS('Transaction Overview'!$D$2:$D$1850,'Transaction Overview'!$I$2:$I$1850,$A42,'Transaction Overview'!$H$2:$H$1850,B$4)</f>
        <v>0</v>
      </c>
      <c r="C42" s="7" t="n">
        <f aca="false">SUMIFS('Transaction Overview'!$D$2:$D$1850,'Transaction Overview'!$I$2:$I$1850,$A42,'Transaction Overview'!$H$2:$H$1850,C$4)</f>
        <v>0</v>
      </c>
      <c r="D42" s="7" t="n">
        <f aca="false">SUMIFS('Transaction Overview'!$D$2:$D$1850,'Transaction Overview'!$I$2:$I$1850,$A42,'Transaction Overview'!$H$2:$H$1850,D$4)</f>
        <v>0</v>
      </c>
      <c r="E42" s="7" t="n">
        <f aca="false">SUMIFS('Transaction Overview'!$D$2:$D$1850,'Transaction Overview'!$I$2:$I$1850,$A42,'Transaction Overview'!$H$2:$H$1850,E$4)</f>
        <v>0</v>
      </c>
      <c r="F42" s="7" t="n">
        <f aca="false">SUMIFS('Transaction Overview'!$D$2:$D$1850,'Transaction Overview'!$I$2:$I$1850,$A42,'Transaction Overview'!$H$2:$H$1850,F$4)</f>
        <v>-500</v>
      </c>
      <c r="G42" s="7" t="n">
        <f aca="false">SUMIFS('Transaction Overview'!$D$2:$D$1850,'Transaction Overview'!$I$2:$I$1850,$A42,'Transaction Overview'!$H$2:$H$1850,G$4)</f>
        <v>0</v>
      </c>
      <c r="H42" s="7" t="n">
        <f aca="false">SUMIFS('Transaction Overview'!$D$2:$D$1850,'Transaction Overview'!$I$2:$I$1850,$A42,'Transaction Overview'!$H$2:$H$1850,H$4)</f>
        <v>0</v>
      </c>
      <c r="I42" s="7" t="n">
        <f aca="false">SUMIFS('Transaction Overview'!$D$2:$D$1850,'Transaction Overview'!$I$2:$I$1850,$A42,'Transaction Overview'!$H$2:$H$1850,I$4)</f>
        <v>0</v>
      </c>
      <c r="J42" s="7" t="n">
        <f aca="false">SUMIFS('Transaction Overview'!$D$2:$D$1850,'Transaction Overview'!$I$2:$I$1850,$A42,'Transaction Overview'!$H$2:$H$1850,J$4)</f>
        <v>0</v>
      </c>
      <c r="K42" s="7" t="n">
        <f aca="false">SUMIFS('Transaction Overview'!$D$2:$D$1850,'Transaction Overview'!$I$2:$I$1850,$A42,'Transaction Overview'!$H$2:$H$1850,K$4)</f>
        <v>0</v>
      </c>
      <c r="L42" s="7" t="n">
        <f aca="false">SUMIFS('Transaction Overview'!$D$2:$D$1850,'Transaction Overview'!$I$2:$I$1850,$A42,'Transaction Overview'!$H$2:$H$1850,L$4)</f>
        <v>0</v>
      </c>
      <c r="M42" s="7" t="n">
        <f aca="false">SUMIFS('Transaction Overview'!$D$2:$D$1850,'Transaction Overview'!$I$2:$I$1850,$A42,'Transaction Overview'!$H$2:$H$1850,M$4)</f>
        <v>0</v>
      </c>
      <c r="N42" s="7" t="n">
        <f aca="false">SUM(B42:M42)</f>
        <v>-500</v>
      </c>
    </row>
    <row r="43" customFormat="false" ht="15" hidden="false" customHeight="false" outlineLevel="0" collapsed="false">
      <c r="A43" s="0" t="s">
        <v>59</v>
      </c>
      <c r="B43" s="7" t="n">
        <f aca="false">SUMIFS('Transaction Overview'!$D$2:$D$1850,'Transaction Overview'!$I$2:$I$1850,$A43,'Transaction Overview'!$H$2:$H$1850,B$4)</f>
        <v>0</v>
      </c>
      <c r="C43" s="7" t="n">
        <f aca="false">SUMIFS('Transaction Overview'!$D$2:$D$1850,'Transaction Overview'!$I$2:$I$1850,$A43,'Transaction Overview'!$H$2:$H$1850,C$4)</f>
        <v>0</v>
      </c>
      <c r="D43" s="7" t="n">
        <f aca="false">SUMIFS('Transaction Overview'!$D$2:$D$1850,'Transaction Overview'!$I$2:$I$1850,$A43,'Transaction Overview'!$H$2:$H$1850,D$4)</f>
        <v>0</v>
      </c>
      <c r="E43" s="7" t="n">
        <f aca="false">SUMIFS('Transaction Overview'!$D$2:$D$1850,'Transaction Overview'!$I$2:$I$1850,$A43,'Transaction Overview'!$H$2:$H$1850,E$4)</f>
        <v>0</v>
      </c>
      <c r="F43" s="7" t="n">
        <f aca="false">SUMIFS('Transaction Overview'!$D$2:$D$1850,'Transaction Overview'!$I$2:$I$1850,$A43,'Transaction Overview'!$H$2:$H$1850,F$4)</f>
        <v>0</v>
      </c>
      <c r="G43" s="7" t="n">
        <f aca="false">SUMIFS('Transaction Overview'!$D$2:$D$1850,'Transaction Overview'!$I$2:$I$1850,$A43,'Transaction Overview'!$H$2:$H$1850,G$4)</f>
        <v>0</v>
      </c>
      <c r="H43" s="7" t="n">
        <f aca="false">SUMIFS('Transaction Overview'!$D$2:$D$1850,'Transaction Overview'!$I$2:$I$1850,$A43,'Transaction Overview'!$H$2:$H$1850,H$4)</f>
        <v>0</v>
      </c>
      <c r="I43" s="7" t="n">
        <f aca="false">SUMIFS('Transaction Overview'!$D$2:$D$1850,'Transaction Overview'!$I$2:$I$1850,$A43,'Transaction Overview'!$H$2:$H$1850,I$4)</f>
        <v>0</v>
      </c>
      <c r="J43" s="7" t="n">
        <f aca="false">SUMIFS('Transaction Overview'!$D$2:$D$1850,'Transaction Overview'!$I$2:$I$1850,$A43,'Transaction Overview'!$H$2:$H$1850,J$4)</f>
        <v>0</v>
      </c>
      <c r="K43" s="7" t="n">
        <f aca="false">SUMIFS('Transaction Overview'!$D$2:$D$1850,'Transaction Overview'!$I$2:$I$1850,$A43,'Transaction Overview'!$H$2:$H$1850,K$4)</f>
        <v>-200</v>
      </c>
      <c r="L43" s="7" t="n">
        <f aca="false">SUMIFS('Transaction Overview'!$D$2:$D$1850,'Transaction Overview'!$I$2:$I$1850,$A43,'Transaction Overview'!$H$2:$H$1850,L$4)</f>
        <v>0</v>
      </c>
      <c r="M43" s="7" t="n">
        <f aca="false">SUMIFS('Transaction Overview'!$D$2:$D$1850,'Transaction Overview'!$I$2:$I$1850,$A43,'Transaction Overview'!$H$2:$H$1850,M$4)</f>
        <v>0</v>
      </c>
      <c r="N43" s="7" t="n">
        <f aca="false">SUM(B43:M43)</f>
        <v>-200</v>
      </c>
    </row>
    <row r="44" customFormat="false" ht="15" hidden="false" customHeight="false" outlineLevel="0" collapsed="false">
      <c r="A44" s="0" t="s">
        <v>60</v>
      </c>
      <c r="B44" s="7" t="n">
        <f aca="false">SUMIFS('Transaction Overview'!$D$2:$D$1850,'Transaction Overview'!$I$2:$I$1850,$A44,'Transaction Overview'!$H$2:$H$1850,B$4)</f>
        <v>0</v>
      </c>
      <c r="C44" s="7" t="n">
        <f aca="false">SUMIFS('Transaction Overview'!$D$2:$D$1850,'Transaction Overview'!$I$2:$I$1850,$A44,'Transaction Overview'!$H$2:$H$1850,C$4)</f>
        <v>0</v>
      </c>
      <c r="D44" s="7" t="n">
        <f aca="false">SUMIFS('Transaction Overview'!$D$2:$D$1850,'Transaction Overview'!$I$2:$I$1850,$A44,'Transaction Overview'!$H$2:$H$1850,D$4)</f>
        <v>0</v>
      </c>
      <c r="E44" s="7" t="n">
        <f aca="false">SUMIFS('Transaction Overview'!$D$2:$D$1850,'Transaction Overview'!$I$2:$I$1850,$A44,'Transaction Overview'!$H$2:$H$1850,E$4)</f>
        <v>0</v>
      </c>
      <c r="F44" s="7" t="n">
        <f aca="false">SUMIFS('Transaction Overview'!$D$2:$D$1850,'Transaction Overview'!$I$2:$I$1850,$A44,'Transaction Overview'!$H$2:$H$1850,F$4)</f>
        <v>0</v>
      </c>
      <c r="G44" s="7" t="n">
        <f aca="false">SUMIFS('Transaction Overview'!$D$2:$D$1850,'Transaction Overview'!$I$2:$I$1850,$A44,'Transaction Overview'!$H$2:$H$1850,G$4)</f>
        <v>0</v>
      </c>
      <c r="H44" s="7" t="n">
        <f aca="false">SUMIFS('Transaction Overview'!$D$2:$D$1850,'Transaction Overview'!$I$2:$I$1850,$A44,'Transaction Overview'!$H$2:$H$1850,H$4)</f>
        <v>0</v>
      </c>
      <c r="I44" s="7" t="n">
        <f aca="false">SUMIFS('Transaction Overview'!$D$2:$D$1850,'Transaction Overview'!$I$2:$I$1850,$A44,'Transaction Overview'!$H$2:$H$1850,I$4)</f>
        <v>0</v>
      </c>
      <c r="J44" s="7" t="n">
        <f aca="false">SUMIFS('Transaction Overview'!$D$2:$D$1850,'Transaction Overview'!$I$2:$I$1850,$A44,'Transaction Overview'!$H$2:$H$1850,J$4)</f>
        <v>0</v>
      </c>
      <c r="K44" s="7" t="n">
        <f aca="false">SUMIFS('Transaction Overview'!$D$2:$D$1850,'Transaction Overview'!$I$2:$I$1850,$A44,'Transaction Overview'!$H$2:$H$1850,K$4)</f>
        <v>-100</v>
      </c>
      <c r="L44" s="7" t="n">
        <f aca="false">SUMIFS('Transaction Overview'!$D$2:$D$1850,'Transaction Overview'!$I$2:$I$1850,$A44,'Transaction Overview'!$H$2:$H$1850,L$4)</f>
        <v>0</v>
      </c>
      <c r="M44" s="7" t="n">
        <f aca="false">SUMIFS('Transaction Overview'!$D$2:$D$1850,'Transaction Overview'!$I$2:$I$1850,$A44,'Transaction Overview'!$H$2:$H$1850,M$4)</f>
        <v>0</v>
      </c>
      <c r="N44" s="7" t="n">
        <f aca="false">SUM(B44:M44)</f>
        <v>-100</v>
      </c>
    </row>
    <row r="45" customFormat="false" ht="15" hidden="false" customHeight="false" outlineLevel="0" collapsed="false">
      <c r="A45" s="0" t="s">
        <v>61</v>
      </c>
      <c r="B45" s="7" t="n">
        <f aca="false">SUMIFS('Transaction Overview'!$D$2:$D$1850,'Transaction Overview'!$I$2:$I$1850,$A45,'Transaction Overview'!$H$2:$H$1850,B$4)</f>
        <v>0</v>
      </c>
      <c r="C45" s="7" t="n">
        <f aca="false">SUMIFS('Transaction Overview'!$D$2:$D$1850,'Transaction Overview'!$I$2:$I$1850,$A45,'Transaction Overview'!$H$2:$H$1850,C$4)</f>
        <v>-100</v>
      </c>
      <c r="D45" s="7" t="n">
        <f aca="false">SUMIFS('Transaction Overview'!$D$2:$D$1850,'Transaction Overview'!$I$2:$I$1850,$A45,'Transaction Overview'!$H$2:$H$1850,D$4)</f>
        <v>0</v>
      </c>
      <c r="E45" s="7" t="n">
        <f aca="false">SUMIFS('Transaction Overview'!$D$2:$D$1850,'Transaction Overview'!$I$2:$I$1850,$A45,'Transaction Overview'!$H$2:$H$1850,E$4)</f>
        <v>0</v>
      </c>
      <c r="F45" s="7" t="n">
        <f aca="false">SUMIFS('Transaction Overview'!$D$2:$D$1850,'Transaction Overview'!$I$2:$I$1850,$A45,'Transaction Overview'!$H$2:$H$1850,F$4)</f>
        <v>0</v>
      </c>
      <c r="G45" s="7" t="n">
        <f aca="false">SUMIFS('Transaction Overview'!$D$2:$D$1850,'Transaction Overview'!$I$2:$I$1850,$A45,'Transaction Overview'!$H$2:$H$1850,G$4)</f>
        <v>0</v>
      </c>
      <c r="H45" s="7" t="n">
        <f aca="false">SUMIFS('Transaction Overview'!$D$2:$D$1850,'Transaction Overview'!$I$2:$I$1850,$A45,'Transaction Overview'!$H$2:$H$1850,H$4)</f>
        <v>-1000</v>
      </c>
      <c r="I45" s="7" t="n">
        <f aca="false">SUMIFS('Transaction Overview'!$D$2:$D$1850,'Transaction Overview'!$I$2:$I$1850,$A45,'Transaction Overview'!$H$2:$H$1850,I$4)</f>
        <v>0</v>
      </c>
      <c r="J45" s="7" t="n">
        <f aca="false">SUMIFS('Transaction Overview'!$D$2:$D$1850,'Transaction Overview'!$I$2:$I$1850,$A45,'Transaction Overview'!$H$2:$H$1850,J$4)</f>
        <v>0</v>
      </c>
      <c r="K45" s="7" t="n">
        <f aca="false">SUMIFS('Transaction Overview'!$D$2:$D$1850,'Transaction Overview'!$I$2:$I$1850,$A45,'Transaction Overview'!$H$2:$H$1850,K$4)</f>
        <v>0</v>
      </c>
      <c r="L45" s="7" t="n">
        <f aca="false">SUMIFS('Transaction Overview'!$D$2:$D$1850,'Transaction Overview'!$I$2:$I$1850,$A45,'Transaction Overview'!$H$2:$H$1850,L$4)</f>
        <v>0</v>
      </c>
      <c r="M45" s="7" t="n">
        <f aca="false">SUMIFS('Transaction Overview'!$D$2:$D$1850,'Transaction Overview'!$I$2:$I$1850,$A45,'Transaction Overview'!$H$2:$H$1850,M$4)</f>
        <v>0</v>
      </c>
      <c r="N45" s="7" t="n">
        <f aca="false">SUM(B45:M45)</f>
        <v>-1100</v>
      </c>
    </row>
    <row r="46" customFormat="false" ht="15" hidden="false" customHeight="false" outlineLevel="0" collapsed="false">
      <c r="A46" s="0" t="s">
        <v>62</v>
      </c>
      <c r="B46" s="7" t="n">
        <f aca="false">SUMIFS('Transaction Overview'!$D$2:$D$1850,'Transaction Overview'!$I$2:$I$1850,$A46,'Transaction Overview'!$H$2:$H$1850,B$4)</f>
        <v>0</v>
      </c>
      <c r="C46" s="7" t="n">
        <f aca="false">SUMIFS('Transaction Overview'!$D$2:$D$1850,'Transaction Overview'!$I$2:$I$1850,$A46,'Transaction Overview'!$H$2:$H$1850,C$4)</f>
        <v>-1000</v>
      </c>
      <c r="D46" s="7" t="n">
        <f aca="false">SUMIFS('Transaction Overview'!$D$2:$D$1850,'Transaction Overview'!$I$2:$I$1850,$A46,'Transaction Overview'!$H$2:$H$1850,D$4)</f>
        <v>0</v>
      </c>
      <c r="E46" s="7" t="n">
        <f aca="false">SUMIFS('Transaction Overview'!$D$2:$D$1850,'Transaction Overview'!$I$2:$I$1850,$A46,'Transaction Overview'!$H$2:$H$1850,E$4)</f>
        <v>0</v>
      </c>
      <c r="F46" s="7" t="n">
        <f aca="false">SUMIFS('Transaction Overview'!$D$2:$D$1850,'Transaction Overview'!$I$2:$I$1850,$A46,'Transaction Overview'!$H$2:$H$1850,F$4)</f>
        <v>0</v>
      </c>
      <c r="G46" s="7" t="n">
        <f aca="false">SUMIFS('Transaction Overview'!$D$2:$D$1850,'Transaction Overview'!$I$2:$I$1850,$A46,'Transaction Overview'!$H$2:$H$1850,G$4)</f>
        <v>0</v>
      </c>
      <c r="H46" s="7" t="n">
        <f aca="false">SUMIFS('Transaction Overview'!$D$2:$D$1850,'Transaction Overview'!$I$2:$I$1850,$A46,'Transaction Overview'!$H$2:$H$1850,H$4)</f>
        <v>0</v>
      </c>
      <c r="I46" s="7" t="n">
        <f aca="false">SUMIFS('Transaction Overview'!$D$2:$D$1850,'Transaction Overview'!$I$2:$I$1850,$A46,'Transaction Overview'!$H$2:$H$1850,I$4)</f>
        <v>0</v>
      </c>
      <c r="J46" s="7" t="n">
        <f aca="false">SUMIFS('Transaction Overview'!$D$2:$D$1850,'Transaction Overview'!$I$2:$I$1850,$A46,'Transaction Overview'!$H$2:$H$1850,J$4)</f>
        <v>0</v>
      </c>
      <c r="K46" s="7" t="n">
        <f aca="false">SUMIFS('Transaction Overview'!$D$2:$D$1850,'Transaction Overview'!$I$2:$I$1850,$A46,'Transaction Overview'!$H$2:$H$1850,K$4)</f>
        <v>0</v>
      </c>
      <c r="L46" s="7" t="n">
        <f aca="false">SUMIFS('Transaction Overview'!$D$2:$D$1850,'Transaction Overview'!$I$2:$I$1850,$A46,'Transaction Overview'!$H$2:$H$1850,L$4)</f>
        <v>0</v>
      </c>
      <c r="M46" s="7" t="n">
        <f aca="false">SUMIFS('Transaction Overview'!$D$2:$D$1850,'Transaction Overview'!$I$2:$I$1850,$A46,'Transaction Overview'!$H$2:$H$1850,M$4)</f>
        <v>0</v>
      </c>
      <c r="N46" s="7" t="n">
        <f aca="false">SUM(B46:M46)</f>
        <v>-1000</v>
      </c>
    </row>
    <row r="47" customFormat="false" ht="15" hidden="false" customHeight="false" outlineLevel="0" collapsed="false">
      <c r="A47" s="9" t="s">
        <v>64</v>
      </c>
    </row>
    <row r="48" customFormat="false" ht="15" hidden="false" customHeight="false" outlineLevel="0" collapsed="false">
      <c r="A48" s="0" t="s">
        <v>65</v>
      </c>
      <c r="B48" s="7" t="n">
        <f aca="false">SUMIFS('Transaction Overview'!$D$2:$D$1850,'Transaction Overview'!$I$2:$I$1850,$A48,'Transaction Overview'!$H$2:$H$1850,B$4)</f>
        <v>-1510</v>
      </c>
      <c r="C48" s="7" t="n">
        <f aca="false">SUMIFS('Transaction Overview'!$D$2:$D$1850,'Transaction Overview'!$I$2:$I$1850,$A48,'Transaction Overview'!$H$2:$H$1850,C$4)</f>
        <v>-1510</v>
      </c>
      <c r="D48" s="7" t="n">
        <f aca="false">SUMIFS('Transaction Overview'!$D$2:$D$1850,'Transaction Overview'!$I$2:$I$1850,$A48,'Transaction Overview'!$H$2:$H$1850,D$4)</f>
        <v>-1510</v>
      </c>
      <c r="E48" s="7" t="n">
        <f aca="false">SUMIFS('Transaction Overview'!$D$2:$D$1850,'Transaction Overview'!$I$2:$I$1850,$A48,'Transaction Overview'!$H$2:$H$1850,E$4)</f>
        <v>-1823.99</v>
      </c>
      <c r="F48" s="7" t="n">
        <f aca="false">SUMIFS('Transaction Overview'!$D$2:$D$1850,'Transaction Overview'!$I$2:$I$1850,$A48,'Transaction Overview'!$H$2:$H$1850,F$4)</f>
        <v>-1510</v>
      </c>
      <c r="G48" s="7" t="n">
        <f aca="false">SUMIFS('Transaction Overview'!$D$2:$D$1850,'Transaction Overview'!$I$2:$I$1850,$A48,'Transaction Overview'!$H$2:$H$1850,G$4)</f>
        <v>-1510</v>
      </c>
      <c r="H48" s="7" t="n">
        <f aca="false">SUMIFS('Transaction Overview'!$D$2:$D$1850,'Transaction Overview'!$I$2:$I$1850,$A48,'Transaction Overview'!$H$2:$H$1850,H$4)</f>
        <v>-2265</v>
      </c>
      <c r="I48" s="7" t="n">
        <f aca="false">SUMIFS('Transaction Overview'!$D$2:$D$1850,'Transaction Overview'!$I$2:$I$1850,$A48,'Transaction Overview'!$H$2:$H$1850,I$4)</f>
        <v>-1510</v>
      </c>
      <c r="J48" s="7" t="n">
        <f aca="false">SUMIFS('Transaction Overview'!$D$2:$D$1850,'Transaction Overview'!$I$2:$I$1850,$A48,'Transaction Overview'!$H$2:$H$1850,J$4)</f>
        <v>-1510</v>
      </c>
      <c r="K48" s="7" t="n">
        <f aca="false">SUMIFS('Transaction Overview'!$D$2:$D$1850,'Transaction Overview'!$I$2:$I$1850,$A48,'Transaction Overview'!$H$2:$H$1850,K$4)</f>
        <v>-1510</v>
      </c>
      <c r="L48" s="7" t="n">
        <f aca="false">SUMIFS('Transaction Overview'!$D$2:$D$1850,'Transaction Overview'!$I$2:$I$1850,$A48,'Transaction Overview'!$H$2:$H$1850,L$4)</f>
        <v>-1510</v>
      </c>
      <c r="M48" s="7" t="n">
        <f aca="false">SUMIFS('Transaction Overview'!$D$2:$D$1850,'Transaction Overview'!$I$2:$I$1850,$A48,'Transaction Overview'!$H$2:$H$1850,M$4)</f>
        <v>-3770</v>
      </c>
      <c r="N48" s="7" t="n">
        <f aca="false">SUM(B48:M48)</f>
        <v>-21448.99</v>
      </c>
    </row>
    <row r="49" customFormat="false" ht="15" hidden="false" customHeight="false" outlineLevel="0" collapsed="false">
      <c r="A49" s="0" t="s">
        <v>66</v>
      </c>
      <c r="B49" s="7" t="n">
        <f aca="false">SUMIFS('Transaction Overview'!$D$2:$D$1850,'Transaction Overview'!$I$2:$I$1850,$A49,'Transaction Overview'!$H$2:$H$1850,B$4)</f>
        <v>0</v>
      </c>
      <c r="C49" s="7" t="n">
        <f aca="false">SUMIFS('Transaction Overview'!$D$2:$D$1850,'Transaction Overview'!$I$2:$I$1850,$A49,'Transaction Overview'!$H$2:$H$1850,C$4)</f>
        <v>0</v>
      </c>
      <c r="D49" s="7" t="n">
        <f aca="false">SUMIFS('Transaction Overview'!$D$2:$D$1850,'Transaction Overview'!$I$2:$I$1850,$A49,'Transaction Overview'!$H$2:$H$1850,D$4)</f>
        <v>0</v>
      </c>
      <c r="E49" s="7" t="n">
        <f aca="false">SUMIFS('Transaction Overview'!$D$2:$D$1850,'Transaction Overview'!$I$2:$I$1850,$A49,'Transaction Overview'!$H$2:$H$1850,E$4)</f>
        <v>0</v>
      </c>
      <c r="F49" s="7" t="n">
        <f aca="false">SUMIFS('Transaction Overview'!$D$2:$D$1850,'Transaction Overview'!$I$2:$I$1850,$A49,'Transaction Overview'!$H$2:$H$1850,F$4)</f>
        <v>0</v>
      </c>
      <c r="G49" s="7" t="n">
        <f aca="false">SUMIFS('Transaction Overview'!$D$2:$D$1850,'Transaction Overview'!$I$2:$I$1850,$A49,'Transaction Overview'!$H$2:$H$1850,G$4)</f>
        <v>0</v>
      </c>
      <c r="H49" s="7" t="n">
        <f aca="false">SUMIFS('Transaction Overview'!$D$2:$D$1850,'Transaction Overview'!$I$2:$I$1850,$A49,'Transaction Overview'!$H$2:$H$1850,H$4)</f>
        <v>0</v>
      </c>
      <c r="I49" s="7" t="n">
        <f aca="false">SUMIFS('Transaction Overview'!$D$2:$D$1850,'Transaction Overview'!$I$2:$I$1850,$A49,'Transaction Overview'!$H$2:$H$1850,I$4)</f>
        <v>0</v>
      </c>
      <c r="J49" s="7" t="n">
        <f aca="false">SUMIFS('Transaction Overview'!$D$2:$D$1850,'Transaction Overview'!$I$2:$I$1850,$A49,'Transaction Overview'!$H$2:$H$1850,J$4)</f>
        <v>0</v>
      </c>
      <c r="K49" s="7" t="n">
        <f aca="false">SUMIFS('Transaction Overview'!$D$2:$D$1850,'Transaction Overview'!$I$2:$I$1850,$A49,'Transaction Overview'!$H$2:$H$1850,K$4)</f>
        <v>0</v>
      </c>
      <c r="L49" s="7" t="n">
        <f aca="false">SUMIFS('Transaction Overview'!$D$2:$D$1850,'Transaction Overview'!$I$2:$I$1850,$A49,'Transaction Overview'!$H$2:$H$1850,L$4)</f>
        <v>0</v>
      </c>
      <c r="M49" s="7" t="n">
        <f aca="false">SUMIFS('Transaction Overview'!$D$2:$D$1850,'Transaction Overview'!$I$2:$I$1850,$A49,'Transaction Overview'!$H$2:$H$1850,M$4)</f>
        <v>-4000</v>
      </c>
      <c r="N49" s="7" t="n">
        <f aca="false">SUM(B49:M49)</f>
        <v>-4000</v>
      </c>
    </row>
    <row r="50" customFormat="false" ht="15" hidden="false" customHeight="false" outlineLevel="0" collapsed="false">
      <c r="A50" s="0" t="s">
        <v>67</v>
      </c>
      <c r="B50" s="7" t="n">
        <f aca="false">SUMIFS('Transaction Overview'!$D$2:$D$1850,'Transaction Overview'!$I$2:$I$1850,$A50,'Transaction Overview'!$H$2:$H$1850,B$4)</f>
        <v>-1629.99</v>
      </c>
      <c r="C50" s="7" t="n">
        <f aca="false">SUMIFS('Transaction Overview'!$D$2:$D$1850,'Transaction Overview'!$I$2:$I$1850,$A50,'Transaction Overview'!$H$2:$H$1850,C$4)</f>
        <v>-1109.99</v>
      </c>
      <c r="D50" s="7" t="n">
        <f aca="false">SUMIFS('Transaction Overview'!$D$2:$D$1850,'Transaction Overview'!$I$2:$I$1850,$A50,'Transaction Overview'!$H$2:$H$1850,D$4)</f>
        <v>-1070</v>
      </c>
      <c r="E50" s="7" t="n">
        <f aca="false">SUMIFS('Transaction Overview'!$D$2:$D$1850,'Transaction Overview'!$I$2:$I$1850,$A50,'Transaction Overview'!$H$2:$H$1850,E$4)</f>
        <v>-1009.99</v>
      </c>
      <c r="F50" s="7" t="n">
        <f aca="false">SUMIFS('Transaction Overview'!$D$2:$D$1850,'Transaction Overview'!$I$2:$I$1850,$A50,'Transaction Overview'!$H$2:$H$1850,F$4)</f>
        <v>-2420.82</v>
      </c>
      <c r="G50" s="7" t="n">
        <f aca="false">SUMIFS('Transaction Overview'!$D$2:$D$1850,'Transaction Overview'!$I$2:$I$1850,$A50,'Transaction Overview'!$H$2:$H$1850,G$4)</f>
        <v>-5001.34</v>
      </c>
      <c r="H50" s="7" t="n">
        <f aca="false">SUMIFS('Transaction Overview'!$D$2:$D$1850,'Transaction Overview'!$I$2:$I$1850,$A50,'Transaction Overview'!$H$2:$H$1850,H$4)</f>
        <v>-3155.25</v>
      </c>
      <c r="I50" s="7" t="n">
        <f aca="false">SUMIFS('Transaction Overview'!$D$2:$D$1850,'Transaction Overview'!$I$2:$I$1850,$A50,'Transaction Overview'!$H$2:$H$1850,I$4)</f>
        <v>-896.18</v>
      </c>
      <c r="J50" s="7" t="n">
        <f aca="false">SUMIFS('Transaction Overview'!$D$2:$D$1850,'Transaction Overview'!$I$2:$I$1850,$A50,'Transaction Overview'!$H$2:$H$1850,J$4)</f>
        <v>-1466.5</v>
      </c>
      <c r="K50" s="7" t="n">
        <f aca="false">SUMIFS('Transaction Overview'!$D$2:$D$1850,'Transaction Overview'!$I$2:$I$1850,$A50,'Transaction Overview'!$H$2:$H$1850,K$4)</f>
        <v>-609.72</v>
      </c>
      <c r="L50" s="7" t="n">
        <f aca="false">SUMIFS('Transaction Overview'!$D$2:$D$1850,'Transaction Overview'!$I$2:$I$1850,$A50,'Transaction Overview'!$H$2:$H$1850,L$4)</f>
        <v>-1015.21</v>
      </c>
      <c r="M50" s="7" t="n">
        <f aca="false">SUMIFS('Transaction Overview'!$D$2:$D$1850,'Transaction Overview'!$I$2:$I$1850,$A50,'Transaction Overview'!$H$2:$H$1850,M$4)</f>
        <v>-1405.28</v>
      </c>
      <c r="N50" s="7" t="n">
        <f aca="false">SUM(B50:M50)</f>
        <v>-20790.27</v>
      </c>
    </row>
    <row r="51" customFormat="false" ht="15" hidden="false" customHeight="false" outlineLevel="0" collapsed="false">
      <c r="A51" s="0" t="s">
        <v>68</v>
      </c>
      <c r="B51" s="7" t="n">
        <f aca="false">SUMIFS('Transaction Overview'!$D$2:$D$1850,'Transaction Overview'!$I$2:$I$1850,$A51,'Transaction Overview'!$H$2:$H$1850,B$4)</f>
        <v>0</v>
      </c>
      <c r="C51" s="7" t="n">
        <f aca="false">SUMIFS('Transaction Overview'!$D$2:$D$1850,'Transaction Overview'!$I$2:$I$1850,$A51,'Transaction Overview'!$H$2:$H$1850,C$4)</f>
        <v>0</v>
      </c>
      <c r="D51" s="7" t="n">
        <f aca="false">SUMIFS('Transaction Overview'!$D$2:$D$1850,'Transaction Overview'!$I$2:$I$1850,$A51,'Transaction Overview'!$H$2:$H$1850,D$4)</f>
        <v>0</v>
      </c>
      <c r="E51" s="7" t="n">
        <f aca="false">SUMIFS('Transaction Overview'!$D$2:$D$1850,'Transaction Overview'!$I$2:$I$1850,$A51,'Transaction Overview'!$H$2:$H$1850,E$4)</f>
        <v>-5000</v>
      </c>
      <c r="F51" s="7" t="n">
        <f aca="false">SUMIFS('Transaction Overview'!$D$2:$D$1850,'Transaction Overview'!$I$2:$I$1850,$A51,'Transaction Overview'!$H$2:$H$1850,F$4)</f>
        <v>0</v>
      </c>
      <c r="G51" s="7" t="n">
        <f aca="false">SUMIFS('Transaction Overview'!$D$2:$D$1850,'Transaction Overview'!$I$2:$I$1850,$A51,'Transaction Overview'!$H$2:$H$1850,G$4)</f>
        <v>-10000</v>
      </c>
      <c r="H51" s="7" t="n">
        <f aca="false">SUMIFS('Transaction Overview'!$D$2:$D$1850,'Transaction Overview'!$I$2:$I$1850,$A51,'Transaction Overview'!$H$2:$H$1850,H$4)</f>
        <v>0</v>
      </c>
      <c r="I51" s="7" t="n">
        <f aca="false">SUMIFS('Transaction Overview'!$D$2:$D$1850,'Transaction Overview'!$I$2:$I$1850,$A51,'Transaction Overview'!$H$2:$H$1850,I$4)</f>
        <v>0</v>
      </c>
      <c r="J51" s="7" t="n">
        <f aca="false">SUMIFS('Transaction Overview'!$D$2:$D$1850,'Transaction Overview'!$I$2:$I$1850,$A51,'Transaction Overview'!$H$2:$H$1850,J$4)</f>
        <v>0</v>
      </c>
      <c r="K51" s="7" t="n">
        <f aca="false">SUMIFS('Transaction Overview'!$D$2:$D$1850,'Transaction Overview'!$I$2:$I$1850,$A51,'Transaction Overview'!$H$2:$H$1850,K$4)</f>
        <v>0</v>
      </c>
      <c r="L51" s="7" t="n">
        <f aca="false">SUMIFS('Transaction Overview'!$D$2:$D$1850,'Transaction Overview'!$I$2:$I$1850,$A51,'Transaction Overview'!$H$2:$H$1850,L$4)</f>
        <v>0</v>
      </c>
      <c r="M51" s="7" t="n">
        <f aca="false">SUMIFS('Transaction Overview'!$D$2:$D$1850,'Transaction Overview'!$I$2:$I$1850,$A51,'Transaction Overview'!$H$2:$H$1850,M$4)</f>
        <v>0</v>
      </c>
      <c r="N51" s="7" t="n">
        <f aca="false">SUM(B51:M51)</f>
        <v>-15000</v>
      </c>
    </row>
    <row r="52" customFormat="false" ht="15" hidden="false" customHeight="false" outlineLevel="0" collapsed="false">
      <c r="A52" s="0" t="s">
        <v>69</v>
      </c>
      <c r="B52" s="7" t="n">
        <f aca="false">SUMIFS('Transaction Overview'!$D$2:$D$1850,'Transaction Overview'!$I$2:$I$1850,$A52,'Transaction Overview'!$H$2:$H$1850,B$4)</f>
        <v>0</v>
      </c>
      <c r="C52" s="7" t="n">
        <f aca="false">SUMIFS('Transaction Overview'!$D$2:$D$1850,'Transaction Overview'!$I$2:$I$1850,$A52,'Transaction Overview'!$H$2:$H$1850,C$4)</f>
        <v>0</v>
      </c>
      <c r="D52" s="7" t="n">
        <f aca="false">SUMIFS('Transaction Overview'!$D$2:$D$1850,'Transaction Overview'!$I$2:$I$1850,$A52,'Transaction Overview'!$H$2:$H$1850,D$4)</f>
        <v>0</v>
      </c>
      <c r="E52" s="7" t="n">
        <f aca="false">SUMIFS('Transaction Overview'!$D$2:$D$1850,'Transaction Overview'!$I$2:$I$1850,$A52,'Transaction Overview'!$H$2:$H$1850,E$4)</f>
        <v>0</v>
      </c>
      <c r="F52" s="7" t="n">
        <f aca="false">SUMIFS('Transaction Overview'!$D$2:$D$1850,'Transaction Overview'!$I$2:$I$1850,$A52,'Transaction Overview'!$H$2:$H$1850,F$4)</f>
        <v>0</v>
      </c>
      <c r="G52" s="7" t="n">
        <f aca="false">SUMIFS('Transaction Overview'!$D$2:$D$1850,'Transaction Overview'!$I$2:$I$1850,$A52,'Transaction Overview'!$H$2:$H$1850,G$4)</f>
        <v>0</v>
      </c>
      <c r="H52" s="7" t="n">
        <f aca="false">SUMIFS('Transaction Overview'!$D$2:$D$1850,'Transaction Overview'!$I$2:$I$1850,$A52,'Transaction Overview'!$H$2:$H$1850,H$4)</f>
        <v>-10000</v>
      </c>
      <c r="I52" s="7" t="n">
        <f aca="false">SUMIFS('Transaction Overview'!$D$2:$D$1850,'Transaction Overview'!$I$2:$I$1850,$A52,'Transaction Overview'!$H$2:$H$1850,I$4)</f>
        <v>-7500</v>
      </c>
      <c r="J52" s="7" t="n">
        <f aca="false">SUMIFS('Transaction Overview'!$D$2:$D$1850,'Transaction Overview'!$I$2:$I$1850,$A52,'Transaction Overview'!$H$2:$H$1850,J$4)</f>
        <v>-6000</v>
      </c>
      <c r="K52" s="7" t="n">
        <f aca="false">SUMIFS('Transaction Overview'!$D$2:$D$1850,'Transaction Overview'!$I$2:$I$1850,$A52,'Transaction Overview'!$H$2:$H$1850,K$4)</f>
        <v>-6000</v>
      </c>
      <c r="L52" s="7" t="n">
        <f aca="false">SUMIFS('Transaction Overview'!$D$2:$D$1850,'Transaction Overview'!$I$2:$I$1850,$A52,'Transaction Overview'!$H$2:$H$1850,L$4)</f>
        <v>-6000</v>
      </c>
      <c r="M52" s="7" t="n">
        <f aca="false">SUMIFS('Transaction Overview'!$D$2:$D$1850,'Transaction Overview'!$I$2:$I$1850,$A52,'Transaction Overview'!$H$2:$H$1850,M$4)</f>
        <v>-7750</v>
      </c>
      <c r="N52" s="7" t="n">
        <f aca="false">SUM(B52:M52)</f>
        <v>-43250</v>
      </c>
    </row>
    <row r="53" customFormat="false" ht="15" hidden="false" customHeight="false" outlineLevel="0" collapsed="false">
      <c r="A53" s="0" t="s">
        <v>70</v>
      </c>
      <c r="B53" s="7" t="n">
        <f aca="false">SUMIFS('Transaction Overview'!$D$2:$D$1850,'Transaction Overview'!$I$2:$I$1850,$A53,'Transaction Overview'!$H$2:$H$1850,B$4)</f>
        <v>0</v>
      </c>
      <c r="C53" s="7" t="n">
        <f aca="false">SUMIFS('Transaction Overview'!$D$2:$D$1850,'Transaction Overview'!$I$2:$I$1850,$A53,'Transaction Overview'!$H$2:$H$1850,C$4)</f>
        <v>0</v>
      </c>
      <c r="D53" s="7" t="n">
        <f aca="false">SUMIFS('Transaction Overview'!$D$2:$D$1850,'Transaction Overview'!$I$2:$I$1850,$A53,'Transaction Overview'!$H$2:$H$1850,D$4)</f>
        <v>0</v>
      </c>
      <c r="E53" s="7" t="n">
        <f aca="false">SUMIFS('Transaction Overview'!$D$2:$D$1850,'Transaction Overview'!$I$2:$I$1850,$A53,'Transaction Overview'!$H$2:$H$1850,E$4)</f>
        <v>0</v>
      </c>
      <c r="F53" s="7" t="n">
        <f aca="false">SUMIFS('Transaction Overview'!$D$2:$D$1850,'Transaction Overview'!$I$2:$I$1850,$A53,'Transaction Overview'!$H$2:$H$1850,F$4)</f>
        <v>0</v>
      </c>
      <c r="G53" s="7" t="n">
        <f aca="false">SUMIFS('Transaction Overview'!$D$2:$D$1850,'Transaction Overview'!$I$2:$I$1850,$A53,'Transaction Overview'!$H$2:$H$1850,G$4)</f>
        <v>0</v>
      </c>
      <c r="H53" s="7" t="n">
        <f aca="false">SUMIFS('Transaction Overview'!$D$2:$D$1850,'Transaction Overview'!$I$2:$I$1850,$A53,'Transaction Overview'!$H$2:$H$1850,H$4)</f>
        <v>0</v>
      </c>
      <c r="I53" s="7" t="n">
        <f aca="false">SUMIFS('Transaction Overview'!$D$2:$D$1850,'Transaction Overview'!$I$2:$I$1850,$A53,'Transaction Overview'!$H$2:$H$1850,I$4)</f>
        <v>0</v>
      </c>
      <c r="J53" s="7" t="n">
        <f aca="false">SUMIFS('Transaction Overview'!$D$2:$D$1850,'Transaction Overview'!$I$2:$I$1850,$A53,'Transaction Overview'!$H$2:$H$1850,J$4)</f>
        <v>0</v>
      </c>
      <c r="K53" s="7" t="n">
        <f aca="false">SUMIFS('Transaction Overview'!$D$2:$D$1850,'Transaction Overview'!$I$2:$I$1850,$A53,'Transaction Overview'!$H$2:$H$1850,K$4)</f>
        <v>0</v>
      </c>
      <c r="L53" s="7" t="n">
        <f aca="false">SUMIFS('Transaction Overview'!$D$2:$D$1850,'Transaction Overview'!$I$2:$I$1850,$A53,'Transaction Overview'!$H$2:$H$1850,L$4)</f>
        <v>0</v>
      </c>
      <c r="M53" s="7" t="n">
        <f aca="false">SUMIFS('Transaction Overview'!$D$2:$D$1850,'Transaction Overview'!$I$2:$I$1850,$A53,'Transaction Overview'!$H$2:$H$1850,M$4)</f>
        <v>0</v>
      </c>
      <c r="N53" s="7" t="n">
        <f aca="false">SUM(B53:M53)</f>
        <v>0</v>
      </c>
    </row>
    <row r="54" customFormat="false" ht="15" hidden="false" customHeight="false" outlineLevel="0" collapsed="false">
      <c r="A54" s="0" t="s">
        <v>71</v>
      </c>
      <c r="B54" s="7" t="n">
        <f aca="false">SUMIFS('Transaction Overview'!$D$2:$D$1850,'Transaction Overview'!$I$2:$I$1850,$A54,'Transaction Overview'!$H$2:$H$1850,B$4)</f>
        <v>0</v>
      </c>
      <c r="C54" s="7" t="n">
        <f aca="false">SUMIFS('Transaction Overview'!$D$2:$D$1850,'Transaction Overview'!$I$2:$I$1850,$A54,'Transaction Overview'!$H$2:$H$1850,C$4)</f>
        <v>0</v>
      </c>
      <c r="D54" s="7" t="n">
        <f aca="false">SUMIFS('Transaction Overview'!$D$2:$D$1850,'Transaction Overview'!$I$2:$I$1850,$A54,'Transaction Overview'!$H$2:$H$1850,D$4)</f>
        <v>0</v>
      </c>
      <c r="E54" s="7" t="n">
        <f aca="false">SUMIFS('Transaction Overview'!$D$2:$D$1850,'Transaction Overview'!$I$2:$I$1850,$A54,'Transaction Overview'!$H$2:$H$1850,E$4)</f>
        <v>0</v>
      </c>
      <c r="F54" s="7" t="n">
        <f aca="false">SUMIFS('Transaction Overview'!$D$2:$D$1850,'Transaction Overview'!$I$2:$I$1850,$A54,'Transaction Overview'!$H$2:$H$1850,F$4)</f>
        <v>0</v>
      </c>
      <c r="G54" s="7" t="n">
        <f aca="false">SUMIFS('Transaction Overview'!$D$2:$D$1850,'Transaction Overview'!$I$2:$I$1850,$A54,'Transaction Overview'!$H$2:$H$1850,G$4)</f>
        <v>0</v>
      </c>
      <c r="H54" s="7" t="n">
        <f aca="false">SUMIFS('Transaction Overview'!$D$2:$D$1850,'Transaction Overview'!$I$2:$I$1850,$A54,'Transaction Overview'!$H$2:$H$1850,H$4)</f>
        <v>0</v>
      </c>
      <c r="I54" s="7" t="n">
        <f aca="false">SUMIFS('Transaction Overview'!$D$2:$D$1850,'Transaction Overview'!$I$2:$I$1850,$A54,'Transaction Overview'!$H$2:$H$1850,I$4)</f>
        <v>0</v>
      </c>
      <c r="J54" s="7" t="n">
        <f aca="false">SUMIFS('Transaction Overview'!$D$2:$D$1850,'Transaction Overview'!$I$2:$I$1850,$A54,'Transaction Overview'!$H$2:$H$1850,J$4)</f>
        <v>0</v>
      </c>
      <c r="K54" s="7" t="n">
        <f aca="false">SUMIFS('Transaction Overview'!$D$2:$D$1850,'Transaction Overview'!$I$2:$I$1850,$A54,'Transaction Overview'!$H$2:$H$1850,K$4)</f>
        <v>-1250</v>
      </c>
      <c r="L54" s="7" t="n">
        <f aca="false">SUMIFS('Transaction Overview'!$D$2:$D$1850,'Transaction Overview'!$I$2:$I$1850,$A54,'Transaction Overview'!$H$2:$H$1850,L$4)</f>
        <v>0</v>
      </c>
      <c r="M54" s="7" t="n">
        <f aca="false">SUMIFS('Transaction Overview'!$D$2:$D$1850,'Transaction Overview'!$I$2:$I$1850,$A54,'Transaction Overview'!$H$2:$H$1850,M$4)</f>
        <v>0</v>
      </c>
      <c r="N54" s="7" t="n">
        <f aca="false">SUM(B54:M54)</f>
        <v>-1250</v>
      </c>
    </row>
    <row r="55" customFormat="false" ht="15" hidden="false" customHeight="false" outlineLevel="0" collapsed="false">
      <c r="A55" s="0" t="s">
        <v>72</v>
      </c>
      <c r="B55" s="7" t="n">
        <f aca="false">SUMIFS('Transaction Overview'!$D$2:$D$1850,'Transaction Overview'!$I$2:$I$1850,$A55,'Transaction Overview'!$H$2:$H$1850,B$4)</f>
        <v>-600</v>
      </c>
      <c r="C55" s="7" t="n">
        <f aca="false">SUMIFS('Transaction Overview'!$D$2:$D$1850,'Transaction Overview'!$I$2:$I$1850,$A55,'Transaction Overview'!$H$2:$H$1850,C$4)</f>
        <v>-180</v>
      </c>
      <c r="D55" s="7" t="n">
        <f aca="false">SUMIFS('Transaction Overview'!$D$2:$D$1850,'Transaction Overview'!$I$2:$I$1850,$A55,'Transaction Overview'!$H$2:$H$1850,D$4)</f>
        <v>-200</v>
      </c>
      <c r="E55" s="7" t="n">
        <f aca="false">SUMIFS('Transaction Overview'!$D$2:$D$1850,'Transaction Overview'!$I$2:$I$1850,$A55,'Transaction Overview'!$H$2:$H$1850,E$4)</f>
        <v>-300</v>
      </c>
      <c r="F55" s="7" t="n">
        <f aca="false">SUMIFS('Transaction Overview'!$D$2:$D$1850,'Transaction Overview'!$I$2:$I$1850,$A55,'Transaction Overview'!$H$2:$H$1850,F$4)</f>
        <v>-200</v>
      </c>
      <c r="G55" s="7" t="n">
        <f aca="false">SUMIFS('Transaction Overview'!$D$2:$D$1850,'Transaction Overview'!$I$2:$I$1850,$A55,'Transaction Overview'!$H$2:$H$1850,G$4)</f>
        <v>-300</v>
      </c>
      <c r="H55" s="7" t="n">
        <f aca="false">SUMIFS('Transaction Overview'!$D$2:$D$1850,'Transaction Overview'!$I$2:$I$1850,$A55,'Transaction Overview'!$H$2:$H$1850,H$4)</f>
        <v>-200</v>
      </c>
      <c r="I55" s="7" t="n">
        <f aca="false">SUMIFS('Transaction Overview'!$D$2:$D$1850,'Transaction Overview'!$I$2:$I$1850,$A55,'Transaction Overview'!$H$2:$H$1850,I$4)</f>
        <v>-300</v>
      </c>
      <c r="J55" s="7" t="n">
        <f aca="false">SUMIFS('Transaction Overview'!$D$2:$D$1850,'Transaction Overview'!$I$2:$I$1850,$A55,'Transaction Overview'!$H$2:$H$1850,J$4)</f>
        <v>-360</v>
      </c>
      <c r="K55" s="7" t="n">
        <f aca="false">SUMIFS('Transaction Overview'!$D$2:$D$1850,'Transaction Overview'!$I$2:$I$1850,$A55,'Transaction Overview'!$H$2:$H$1850,K$4)</f>
        <v>-350</v>
      </c>
      <c r="L55" s="7" t="n">
        <f aca="false">SUMIFS('Transaction Overview'!$D$2:$D$1850,'Transaction Overview'!$I$2:$I$1850,$A55,'Transaction Overview'!$H$2:$H$1850,L$4)</f>
        <v>-450</v>
      </c>
      <c r="M55" s="7" t="n">
        <f aca="false">SUMIFS('Transaction Overview'!$D$2:$D$1850,'Transaction Overview'!$I$2:$I$1850,$A55,'Transaction Overview'!$H$2:$H$1850,M$4)</f>
        <v>-700</v>
      </c>
      <c r="N55" s="7" t="n">
        <f aca="false">SUM(B55:M55)</f>
        <v>-4140</v>
      </c>
    </row>
    <row r="56" customFormat="false" ht="15" hidden="false" customHeight="false" outlineLevel="0" collapsed="false">
      <c r="A56" s="0" t="s">
        <v>73</v>
      </c>
      <c r="B56" s="7" t="n">
        <f aca="false">SUMIFS('Transaction Overview'!$D$2:$D$1850,'Transaction Overview'!$I$2:$I$1850,$A56,'Transaction Overview'!$H$2:$H$1850,B$4)</f>
        <v>-6000</v>
      </c>
      <c r="C56" s="7" t="n">
        <f aca="false">SUMIFS('Transaction Overview'!$D$2:$D$1850,'Transaction Overview'!$I$2:$I$1850,$A56,'Transaction Overview'!$H$2:$H$1850,C$4)</f>
        <v>-22800</v>
      </c>
      <c r="D56" s="7" t="n">
        <f aca="false">SUMIFS('Transaction Overview'!$D$2:$D$1850,'Transaction Overview'!$I$2:$I$1850,$A56,'Transaction Overview'!$H$2:$H$1850,D$4)</f>
        <v>0</v>
      </c>
      <c r="E56" s="7" t="n">
        <f aca="false">SUMIFS('Transaction Overview'!$D$2:$D$1850,'Transaction Overview'!$I$2:$I$1850,$A56,'Transaction Overview'!$H$2:$H$1850,E$4)</f>
        <v>0</v>
      </c>
      <c r="F56" s="7" t="n">
        <f aca="false">SUMIFS('Transaction Overview'!$D$2:$D$1850,'Transaction Overview'!$I$2:$I$1850,$A56,'Transaction Overview'!$H$2:$H$1850,F$4)</f>
        <v>0</v>
      </c>
      <c r="G56" s="7" t="n">
        <f aca="false">SUMIFS('Transaction Overview'!$D$2:$D$1850,'Transaction Overview'!$I$2:$I$1850,$A56,'Transaction Overview'!$H$2:$H$1850,G$4)</f>
        <v>0</v>
      </c>
      <c r="H56" s="7" t="n">
        <f aca="false">SUMIFS('Transaction Overview'!$D$2:$D$1850,'Transaction Overview'!$I$2:$I$1850,$A56,'Transaction Overview'!$H$2:$H$1850,H$4)</f>
        <v>0</v>
      </c>
      <c r="I56" s="7" t="n">
        <f aca="false">SUMIFS('Transaction Overview'!$D$2:$D$1850,'Transaction Overview'!$I$2:$I$1850,$A56,'Transaction Overview'!$H$2:$H$1850,I$4)</f>
        <v>0</v>
      </c>
      <c r="J56" s="7" t="n">
        <f aca="false">SUMIFS('Transaction Overview'!$D$2:$D$1850,'Transaction Overview'!$I$2:$I$1850,$A56,'Transaction Overview'!$H$2:$H$1850,J$4)</f>
        <v>0</v>
      </c>
      <c r="K56" s="7" t="n">
        <f aca="false">SUMIFS('Transaction Overview'!$D$2:$D$1850,'Transaction Overview'!$I$2:$I$1850,$A56,'Transaction Overview'!$H$2:$H$1850,K$4)</f>
        <v>0</v>
      </c>
      <c r="L56" s="7" t="n">
        <f aca="false">SUMIFS('Transaction Overview'!$D$2:$D$1850,'Transaction Overview'!$I$2:$I$1850,$A56,'Transaction Overview'!$H$2:$H$1850,L$4)</f>
        <v>0</v>
      </c>
      <c r="M56" s="7" t="n">
        <f aca="false">SUMIFS('Transaction Overview'!$D$2:$D$1850,'Transaction Overview'!$I$2:$I$1850,$A56,'Transaction Overview'!$H$2:$H$1850,M$4)</f>
        <v>0</v>
      </c>
      <c r="N56" s="7" t="n">
        <f aca="false">SUM(B56:M56)</f>
        <v>-28800</v>
      </c>
    </row>
    <row r="57" customFormat="false" ht="15" hidden="false" customHeight="false" outlineLevel="0" collapsed="false">
      <c r="A57" s="0" t="s">
        <v>74</v>
      </c>
      <c r="B57" s="7" t="n">
        <f aca="false">SUMIFS('Transaction Overview'!$D$2:$D$1850,'Transaction Overview'!$I$2:$I$1850,$A57,'Transaction Overview'!$H$2:$H$1850,B$4)</f>
        <v>-2555</v>
      </c>
      <c r="C57" s="7" t="n">
        <f aca="false">SUMIFS('Transaction Overview'!$D$2:$D$1850,'Transaction Overview'!$I$2:$I$1850,$A57,'Transaction Overview'!$H$2:$H$1850,C$4)</f>
        <v>0</v>
      </c>
      <c r="D57" s="7" t="n">
        <f aca="false">SUMIFS('Transaction Overview'!$D$2:$D$1850,'Transaction Overview'!$I$2:$I$1850,$A57,'Transaction Overview'!$H$2:$H$1850,D$4)</f>
        <v>0</v>
      </c>
      <c r="E57" s="7" t="n">
        <f aca="false">SUMIFS('Transaction Overview'!$D$2:$D$1850,'Transaction Overview'!$I$2:$I$1850,$A57,'Transaction Overview'!$H$2:$H$1850,E$4)</f>
        <v>0</v>
      </c>
      <c r="F57" s="7" t="n">
        <f aca="false">SUMIFS('Transaction Overview'!$D$2:$D$1850,'Transaction Overview'!$I$2:$I$1850,$A57,'Transaction Overview'!$H$2:$H$1850,F$4)</f>
        <v>0</v>
      </c>
      <c r="G57" s="7" t="n">
        <f aca="false">SUMIFS('Transaction Overview'!$D$2:$D$1850,'Transaction Overview'!$I$2:$I$1850,$A57,'Transaction Overview'!$H$2:$H$1850,G$4)</f>
        <v>0</v>
      </c>
      <c r="H57" s="7" t="n">
        <f aca="false">SUMIFS('Transaction Overview'!$D$2:$D$1850,'Transaction Overview'!$I$2:$I$1850,$A57,'Transaction Overview'!$H$2:$H$1850,H$4)</f>
        <v>0</v>
      </c>
      <c r="I57" s="7" t="n">
        <f aca="false">SUMIFS('Transaction Overview'!$D$2:$D$1850,'Transaction Overview'!$I$2:$I$1850,$A57,'Transaction Overview'!$H$2:$H$1850,I$4)</f>
        <v>0</v>
      </c>
      <c r="J57" s="7" t="n">
        <f aca="false">SUMIFS('Transaction Overview'!$D$2:$D$1850,'Transaction Overview'!$I$2:$I$1850,$A57,'Transaction Overview'!$H$2:$H$1850,J$4)</f>
        <v>0</v>
      </c>
      <c r="K57" s="7" t="n">
        <f aca="false">SUMIFS('Transaction Overview'!$D$2:$D$1850,'Transaction Overview'!$I$2:$I$1850,$A57,'Transaction Overview'!$H$2:$H$1850,K$4)</f>
        <v>0</v>
      </c>
      <c r="L57" s="7" t="n">
        <f aca="false">SUMIFS('Transaction Overview'!$D$2:$D$1850,'Transaction Overview'!$I$2:$I$1850,$A57,'Transaction Overview'!$H$2:$H$1850,L$4)</f>
        <v>0</v>
      </c>
      <c r="M57" s="7" t="n">
        <f aca="false">SUMIFS('Transaction Overview'!$D$2:$D$1850,'Transaction Overview'!$I$2:$I$1850,$A57,'Transaction Overview'!$H$2:$H$1850,M$4)</f>
        <v>0</v>
      </c>
      <c r="N57" s="7" t="n">
        <f aca="false">SUM(B57:M57)</f>
        <v>-2555</v>
      </c>
    </row>
    <row r="58" customFormat="false" ht="15" hidden="false" customHeight="false" outlineLevel="0" collapsed="false">
      <c r="A58" s="0" t="s">
        <v>75</v>
      </c>
      <c r="B58" s="7" t="n">
        <f aca="false">SUMIFS('Transaction Overview'!$D$2:$D$1850,'Transaction Overview'!$I$2:$I$1850,$A58,'Transaction Overview'!$H$2:$H$1850,B$4)</f>
        <v>-761.25</v>
      </c>
      <c r="C58" s="7" t="n">
        <f aca="false">SUMIFS('Transaction Overview'!$D$2:$D$1850,'Transaction Overview'!$I$2:$I$1850,$A58,'Transaction Overview'!$H$2:$H$1850,C$4)</f>
        <v>-1863.75</v>
      </c>
      <c r="D58" s="7" t="n">
        <f aca="false">SUMIFS('Transaction Overview'!$D$2:$D$1850,'Transaction Overview'!$I$2:$I$1850,$A58,'Transaction Overview'!$H$2:$H$1850,D$4)</f>
        <v>-2826.25</v>
      </c>
      <c r="E58" s="7" t="n">
        <f aca="false">SUMIFS('Transaction Overview'!$D$2:$D$1850,'Transaction Overview'!$I$2:$I$1850,$A58,'Transaction Overview'!$H$2:$H$1850,E$4)</f>
        <v>-271.25</v>
      </c>
      <c r="F58" s="7" t="n">
        <f aca="false">SUMIFS('Transaction Overview'!$D$2:$D$1850,'Transaction Overview'!$I$2:$I$1850,$A58,'Transaction Overview'!$H$2:$H$1850,F$4)</f>
        <v>-1496.25</v>
      </c>
      <c r="G58" s="7" t="n">
        <f aca="false">SUMIFS('Transaction Overview'!$D$2:$D$1850,'Transaction Overview'!$I$2:$I$1850,$A58,'Transaction Overview'!$H$2:$H$1850,G$4)</f>
        <v>-1093.75</v>
      </c>
      <c r="H58" s="7" t="n">
        <f aca="false">SUMIFS('Transaction Overview'!$D$2:$D$1850,'Transaction Overview'!$I$2:$I$1850,$A58,'Transaction Overview'!$H$2:$H$1850,H$4)</f>
        <v>-3893.75</v>
      </c>
      <c r="I58" s="7" t="n">
        <f aca="false">SUMIFS('Transaction Overview'!$D$2:$D$1850,'Transaction Overview'!$I$2:$I$1850,$A58,'Transaction Overview'!$H$2:$H$1850,I$4)</f>
        <v>-2143.75</v>
      </c>
      <c r="J58" s="7" t="n">
        <f aca="false">SUMIFS('Transaction Overview'!$D$2:$D$1850,'Transaction Overview'!$I$2:$I$1850,$A58,'Transaction Overview'!$H$2:$H$1850,J$4)</f>
        <v>-1365</v>
      </c>
      <c r="K58" s="7" t="n">
        <f aca="false">SUMIFS('Transaction Overview'!$D$2:$D$1850,'Transaction Overview'!$I$2:$I$1850,$A58,'Transaction Overview'!$H$2:$H$1850,K$4)</f>
        <v>-166.25</v>
      </c>
      <c r="L58" s="7" t="n">
        <f aca="false">SUMIFS('Transaction Overview'!$D$2:$D$1850,'Transaction Overview'!$I$2:$I$1850,$A58,'Transaction Overview'!$H$2:$H$1850,L$4)</f>
        <v>-747.49</v>
      </c>
      <c r="M58" s="7" t="n">
        <f aca="false">SUMIFS('Transaction Overview'!$D$2:$D$1850,'Transaction Overview'!$I$2:$I$1850,$A58,'Transaction Overview'!$H$2:$H$1850,M$4)</f>
        <v>-2038.75</v>
      </c>
      <c r="N58" s="7" t="n">
        <f aca="false">SUM(B58:M58)</f>
        <v>-18667.49</v>
      </c>
    </row>
    <row r="59" customFormat="false" ht="15" hidden="false" customHeight="false" outlineLevel="0" collapsed="false">
      <c r="A59" s="9" t="s">
        <v>77</v>
      </c>
    </row>
    <row r="60" customFormat="false" ht="15" hidden="false" customHeight="false" outlineLevel="0" collapsed="false">
      <c r="A60" s="0" t="s">
        <v>78</v>
      </c>
      <c r="B60" s="7" t="n">
        <f aca="false">SUMIFS('Transaction Overview'!$D$2:$D$1850,'Transaction Overview'!$I$2:$I$1850,$A60,'Transaction Overview'!$H$2:$H$1850,B$4)</f>
        <v>-227.49</v>
      </c>
      <c r="C60" s="7" t="n">
        <f aca="false">SUMIFS('Transaction Overview'!$D$2:$D$1850,'Transaction Overview'!$I$2:$I$1850,$A60,'Transaction Overview'!$H$2:$H$1850,C$4)</f>
        <v>0</v>
      </c>
      <c r="D60" s="7" t="n">
        <f aca="false">SUMIFS('Transaction Overview'!$D$2:$D$1850,'Transaction Overview'!$I$2:$I$1850,$A60,'Transaction Overview'!$H$2:$H$1850,D$4)</f>
        <v>0</v>
      </c>
      <c r="E60" s="7" t="n">
        <f aca="false">SUMIFS('Transaction Overview'!$D$2:$D$1850,'Transaction Overview'!$I$2:$I$1850,$A60,'Transaction Overview'!$H$2:$H$1850,E$4)</f>
        <v>-252.15</v>
      </c>
      <c r="F60" s="7" t="n">
        <f aca="false">SUMIFS('Transaction Overview'!$D$2:$D$1850,'Transaction Overview'!$I$2:$I$1850,$A60,'Transaction Overview'!$H$2:$H$1850,F$4)</f>
        <v>-13.99</v>
      </c>
      <c r="G60" s="7" t="n">
        <f aca="false">SUMIFS('Transaction Overview'!$D$2:$D$1850,'Transaction Overview'!$I$2:$I$1850,$A60,'Transaction Overview'!$H$2:$H$1850,G$4)</f>
        <v>-344.96</v>
      </c>
      <c r="H60" s="7" t="n">
        <f aca="false">SUMIFS('Transaction Overview'!$D$2:$D$1850,'Transaction Overview'!$I$2:$I$1850,$A60,'Transaction Overview'!$H$2:$H$1850,H$4)</f>
        <v>0</v>
      </c>
      <c r="I60" s="7" t="n">
        <f aca="false">SUMIFS('Transaction Overview'!$D$2:$D$1850,'Transaction Overview'!$I$2:$I$1850,$A60,'Transaction Overview'!$H$2:$H$1850,I$4)</f>
        <v>0</v>
      </c>
      <c r="J60" s="7" t="n">
        <f aca="false">SUMIFS('Transaction Overview'!$D$2:$D$1850,'Transaction Overview'!$I$2:$I$1850,$A60,'Transaction Overview'!$H$2:$H$1850,J$4)</f>
        <v>-1486.55</v>
      </c>
      <c r="K60" s="7" t="n">
        <f aca="false">SUMIFS('Transaction Overview'!$D$2:$D$1850,'Transaction Overview'!$I$2:$I$1850,$A60,'Transaction Overview'!$H$2:$H$1850,K$4)</f>
        <v>-284.98</v>
      </c>
      <c r="L60" s="7" t="n">
        <f aca="false">SUMIFS('Transaction Overview'!$D$2:$D$1850,'Transaction Overview'!$I$2:$I$1850,$A60,'Transaction Overview'!$H$2:$H$1850,L$4)</f>
        <v>-27.38</v>
      </c>
      <c r="M60" s="7" t="n">
        <f aca="false">SUMIFS('Transaction Overview'!$D$2:$D$1850,'Transaction Overview'!$I$2:$I$1850,$A60,'Transaction Overview'!$H$2:$H$1850,M$4)</f>
        <v>0</v>
      </c>
      <c r="N60" s="7" t="n">
        <f aca="false">SUM(B60:M60)</f>
        <v>-2637.5</v>
      </c>
    </row>
    <row r="61" customFormat="false" ht="15" hidden="false" customHeight="false" outlineLevel="0" collapsed="false">
      <c r="A61" s="0" t="s">
        <v>79</v>
      </c>
      <c r="B61" s="7" t="n">
        <f aca="false">SUMIFS('Transaction Overview'!$D$2:$D$1850,'Transaction Overview'!$I$2:$I$1850,$A61,'Transaction Overview'!$H$2:$H$1850,B$4)</f>
        <v>-227.49</v>
      </c>
      <c r="C61" s="7" t="n">
        <f aca="false">SUMIFS('Transaction Overview'!$D$2:$D$1850,'Transaction Overview'!$I$2:$I$1850,$A61,'Transaction Overview'!$H$2:$H$1850,C$4)</f>
        <v>0</v>
      </c>
      <c r="D61" s="7" t="n">
        <f aca="false">SUMIFS('Transaction Overview'!$D$2:$D$1850,'Transaction Overview'!$I$2:$I$1850,$A61,'Transaction Overview'!$H$2:$H$1850,D$4)</f>
        <v>0</v>
      </c>
      <c r="E61" s="7" t="n">
        <f aca="false">SUMIFS('Transaction Overview'!$D$2:$D$1850,'Transaction Overview'!$I$2:$I$1850,$A61,'Transaction Overview'!$H$2:$H$1850,E$4)</f>
        <v>-252.15</v>
      </c>
      <c r="F61" s="7" t="n">
        <f aca="false">SUMIFS('Transaction Overview'!$D$2:$D$1850,'Transaction Overview'!$I$2:$I$1850,$A61,'Transaction Overview'!$H$2:$H$1850,F$4)</f>
        <v>-13.99</v>
      </c>
      <c r="G61" s="7" t="n">
        <f aca="false">SUMIFS('Transaction Overview'!$D$2:$D$1850,'Transaction Overview'!$I$2:$I$1850,$A61,'Transaction Overview'!$H$2:$H$1850,G$4)</f>
        <v>-344.96</v>
      </c>
      <c r="H61" s="7" t="n">
        <f aca="false">SUMIFS('Transaction Overview'!$D$2:$D$1850,'Transaction Overview'!$I$2:$I$1850,$A61,'Transaction Overview'!$H$2:$H$1850,H$4)</f>
        <v>0</v>
      </c>
      <c r="I61" s="7" t="n">
        <f aca="false">SUMIFS('Transaction Overview'!$D$2:$D$1850,'Transaction Overview'!$I$2:$I$1850,$A61,'Transaction Overview'!$H$2:$H$1850,I$4)</f>
        <v>0</v>
      </c>
      <c r="J61" s="7" t="n">
        <f aca="false">SUMIFS('Transaction Overview'!$D$2:$D$1850,'Transaction Overview'!$I$2:$I$1850,$A61,'Transaction Overview'!$H$2:$H$1850,J$4)</f>
        <v>-1486.55</v>
      </c>
      <c r="K61" s="7" t="n">
        <f aca="false">SUMIFS('Transaction Overview'!$D$2:$D$1850,'Transaction Overview'!$I$2:$I$1850,$A61,'Transaction Overview'!$H$2:$H$1850,K$4)</f>
        <v>-284.98</v>
      </c>
      <c r="L61" s="7" t="n">
        <f aca="false">SUMIFS('Transaction Overview'!$D$2:$D$1850,'Transaction Overview'!$I$2:$I$1850,$A61,'Transaction Overview'!$H$2:$H$1850,L$4)</f>
        <v>-27.38</v>
      </c>
      <c r="M61" s="7" t="n">
        <f aca="false">SUMIFS('Transaction Overview'!$D$2:$D$1850,'Transaction Overview'!$I$2:$I$1850,$A61,'Transaction Overview'!$H$2:$H$1850,M$4)</f>
        <v>0</v>
      </c>
      <c r="N61" s="7" t="n">
        <f aca="false">SUM(B61:M61)</f>
        <v>-2637.5</v>
      </c>
    </row>
    <row r="62" customFormat="false" ht="15" hidden="false" customHeight="false" outlineLevel="0" collapsed="false">
      <c r="A62" s="0" t="s">
        <v>80</v>
      </c>
      <c r="B62" s="7" t="n">
        <f aca="false">SUMIFS('Transaction Overview'!$D$2:$D$1850,'Transaction Overview'!$I$2:$I$1850,$A62,'Transaction Overview'!$H$2:$H$1850,B$4)</f>
        <v>-3035</v>
      </c>
      <c r="C62" s="7" t="n">
        <f aca="false">SUMIFS('Transaction Overview'!$D$2:$D$1850,'Transaction Overview'!$I$2:$I$1850,$A62,'Transaction Overview'!$H$2:$H$1850,C$4)</f>
        <v>-2265</v>
      </c>
      <c r="D62" s="7" t="n">
        <f aca="false">SUMIFS('Transaction Overview'!$D$2:$D$1850,'Transaction Overview'!$I$2:$I$1850,$A62,'Transaction Overview'!$H$2:$H$1850,D$4)</f>
        <v>-1723.25</v>
      </c>
      <c r="E62" s="7" t="n">
        <f aca="false">SUMIFS('Transaction Overview'!$D$2:$D$1850,'Transaction Overview'!$I$2:$I$1850,$A62,'Transaction Overview'!$H$2:$H$1850,E$4)</f>
        <v>-2850</v>
      </c>
      <c r="F62" s="7" t="n">
        <f aca="false">SUMIFS('Transaction Overview'!$D$2:$D$1850,'Transaction Overview'!$I$2:$I$1850,$A62,'Transaction Overview'!$H$2:$H$1850,F$4)</f>
        <v>-9330</v>
      </c>
      <c r="G62" s="7" t="n">
        <f aca="false">SUMIFS('Transaction Overview'!$D$2:$D$1850,'Transaction Overview'!$I$2:$I$1850,$A62,'Transaction Overview'!$H$2:$H$1850,G$4)</f>
        <v>-7239</v>
      </c>
      <c r="H62" s="7" t="n">
        <f aca="false">SUMIFS('Transaction Overview'!$D$2:$D$1850,'Transaction Overview'!$I$2:$I$1850,$A62,'Transaction Overview'!$H$2:$H$1850,H$4)</f>
        <v>-5852</v>
      </c>
      <c r="I62" s="7" t="n">
        <f aca="false">SUMIFS('Transaction Overview'!$D$2:$D$1850,'Transaction Overview'!$I$2:$I$1850,$A62,'Transaction Overview'!$H$2:$H$1850,I$4)</f>
        <v>-7927</v>
      </c>
      <c r="J62" s="7" t="n">
        <f aca="false">SUMIFS('Transaction Overview'!$D$2:$D$1850,'Transaction Overview'!$I$2:$I$1850,$A62,'Transaction Overview'!$H$2:$H$1850,J$4)</f>
        <v>-6415</v>
      </c>
      <c r="K62" s="7" t="n">
        <f aca="false">SUMIFS('Transaction Overview'!$D$2:$D$1850,'Transaction Overview'!$I$2:$I$1850,$A62,'Transaction Overview'!$H$2:$H$1850,K$4)</f>
        <v>-8300</v>
      </c>
      <c r="L62" s="7" t="n">
        <f aca="false">SUMIFS('Transaction Overview'!$D$2:$D$1850,'Transaction Overview'!$I$2:$I$1850,$A62,'Transaction Overview'!$H$2:$H$1850,L$4)</f>
        <v>-7920.56</v>
      </c>
      <c r="M62" s="7" t="n">
        <f aca="false">SUMIFS('Transaction Overview'!$D$2:$D$1850,'Transaction Overview'!$I$2:$I$1850,$A62,'Transaction Overview'!$H$2:$H$1850,M$4)</f>
        <v>-4488</v>
      </c>
      <c r="N62" s="7" t="n">
        <f aca="false">SUM(B62:M62)</f>
        <v>-67344.81</v>
      </c>
    </row>
    <row r="63" customFormat="false" ht="15" hidden="false" customHeight="false" outlineLevel="0" collapsed="false">
      <c r="A63" s="0" t="s">
        <v>81</v>
      </c>
      <c r="B63" s="7" t="n">
        <f aca="false">SUMIFS('Transaction Overview'!$D$2:$D$1850,'Transaction Overview'!$I$2:$I$1850,$A63,'Transaction Overview'!$H$2:$H$1850,B$4)</f>
        <v>-900</v>
      </c>
      <c r="C63" s="7" t="n">
        <f aca="false">SUMIFS('Transaction Overview'!$D$2:$D$1850,'Transaction Overview'!$I$2:$I$1850,$A63,'Transaction Overview'!$H$2:$H$1850,C$4)</f>
        <v>-1000</v>
      </c>
      <c r="D63" s="7" t="n">
        <f aca="false">SUMIFS('Transaction Overview'!$D$2:$D$1850,'Transaction Overview'!$I$2:$I$1850,$A63,'Transaction Overview'!$H$2:$H$1850,D$4)</f>
        <v>-800</v>
      </c>
      <c r="E63" s="7" t="n">
        <f aca="false">SUMIFS('Transaction Overview'!$D$2:$D$1850,'Transaction Overview'!$I$2:$I$1850,$A63,'Transaction Overview'!$H$2:$H$1850,E$4)</f>
        <v>0</v>
      </c>
      <c r="F63" s="7" t="n">
        <f aca="false">SUMIFS('Transaction Overview'!$D$2:$D$1850,'Transaction Overview'!$I$2:$I$1850,$A63,'Transaction Overview'!$H$2:$H$1850,F$4)</f>
        <v>0</v>
      </c>
      <c r="G63" s="7" t="n">
        <f aca="false">SUMIFS('Transaction Overview'!$D$2:$D$1850,'Transaction Overview'!$I$2:$I$1850,$A63,'Transaction Overview'!$H$2:$H$1850,G$4)</f>
        <v>-500</v>
      </c>
      <c r="H63" s="7" t="n">
        <f aca="false">SUMIFS('Transaction Overview'!$D$2:$D$1850,'Transaction Overview'!$I$2:$I$1850,$A63,'Transaction Overview'!$H$2:$H$1850,H$4)</f>
        <v>0</v>
      </c>
      <c r="I63" s="7" t="n">
        <f aca="false">SUMIFS('Transaction Overview'!$D$2:$D$1850,'Transaction Overview'!$I$2:$I$1850,$A63,'Transaction Overview'!$H$2:$H$1850,I$4)</f>
        <v>-250</v>
      </c>
      <c r="J63" s="7" t="n">
        <f aca="false">SUMIFS('Transaction Overview'!$D$2:$D$1850,'Transaction Overview'!$I$2:$I$1850,$A63,'Transaction Overview'!$H$2:$H$1850,J$4)</f>
        <v>0</v>
      </c>
      <c r="K63" s="7" t="n">
        <f aca="false">SUMIFS('Transaction Overview'!$D$2:$D$1850,'Transaction Overview'!$I$2:$I$1850,$A63,'Transaction Overview'!$H$2:$H$1850,K$4)</f>
        <v>0</v>
      </c>
      <c r="L63" s="7" t="n">
        <f aca="false">SUMIFS('Transaction Overview'!$D$2:$D$1850,'Transaction Overview'!$I$2:$I$1850,$A63,'Transaction Overview'!$H$2:$H$1850,L$4)</f>
        <v>0</v>
      </c>
      <c r="M63" s="7" t="n">
        <f aca="false">SUMIFS('Transaction Overview'!$D$2:$D$1850,'Transaction Overview'!$I$2:$I$1850,$A63,'Transaction Overview'!$H$2:$H$1850,M$4)</f>
        <v>0</v>
      </c>
      <c r="N63" s="7" t="n">
        <f aca="false">SUM(B63:M63)</f>
        <v>-3450</v>
      </c>
    </row>
    <row r="64" customFormat="false" ht="15" hidden="false" customHeight="false" outlineLevel="0" collapsed="false">
      <c r="A64" s="0" t="s">
        <v>82</v>
      </c>
      <c r="B64" s="7" t="n">
        <f aca="false">SUMIFS('Transaction Overview'!$D$2:$D$1850,'Transaction Overview'!$I$2:$I$1850,$A64,'Transaction Overview'!$H$2:$H$1850,B$4)</f>
        <v>-1700</v>
      </c>
      <c r="C64" s="7" t="n">
        <f aca="false">SUMIFS('Transaction Overview'!$D$2:$D$1850,'Transaction Overview'!$I$2:$I$1850,$A64,'Transaction Overview'!$H$2:$H$1850,C$4)</f>
        <v>0</v>
      </c>
      <c r="D64" s="7" t="n">
        <f aca="false">SUMIFS('Transaction Overview'!$D$2:$D$1850,'Transaction Overview'!$I$2:$I$1850,$A64,'Transaction Overview'!$H$2:$H$1850,D$4)</f>
        <v>0</v>
      </c>
      <c r="E64" s="7" t="n">
        <f aca="false">SUMIFS('Transaction Overview'!$D$2:$D$1850,'Transaction Overview'!$I$2:$I$1850,$A64,'Transaction Overview'!$H$2:$H$1850,E$4)</f>
        <v>0</v>
      </c>
      <c r="F64" s="7" t="n">
        <f aca="false">SUMIFS('Transaction Overview'!$D$2:$D$1850,'Transaction Overview'!$I$2:$I$1850,$A64,'Transaction Overview'!$H$2:$H$1850,F$4)</f>
        <v>0</v>
      </c>
      <c r="G64" s="7" t="n">
        <f aca="false">SUMIFS('Transaction Overview'!$D$2:$D$1850,'Transaction Overview'!$I$2:$I$1850,$A64,'Transaction Overview'!$H$2:$H$1850,G$4)</f>
        <v>0</v>
      </c>
      <c r="H64" s="7" t="n">
        <f aca="false">SUMIFS('Transaction Overview'!$D$2:$D$1850,'Transaction Overview'!$I$2:$I$1850,$A64,'Transaction Overview'!$H$2:$H$1850,H$4)</f>
        <v>0</v>
      </c>
      <c r="I64" s="7" t="n">
        <f aca="false">SUMIFS('Transaction Overview'!$D$2:$D$1850,'Transaction Overview'!$I$2:$I$1850,$A64,'Transaction Overview'!$H$2:$H$1850,I$4)</f>
        <v>0</v>
      </c>
      <c r="J64" s="7" t="n">
        <f aca="false">SUMIFS('Transaction Overview'!$D$2:$D$1850,'Transaction Overview'!$I$2:$I$1850,$A64,'Transaction Overview'!$H$2:$H$1850,J$4)</f>
        <v>0</v>
      </c>
      <c r="K64" s="7" t="n">
        <f aca="false">SUMIFS('Transaction Overview'!$D$2:$D$1850,'Transaction Overview'!$I$2:$I$1850,$A64,'Transaction Overview'!$H$2:$H$1850,K$4)</f>
        <v>0</v>
      </c>
      <c r="L64" s="7" t="n">
        <f aca="false">SUMIFS('Transaction Overview'!$D$2:$D$1850,'Transaction Overview'!$I$2:$I$1850,$A64,'Transaction Overview'!$H$2:$H$1850,L$4)</f>
        <v>0</v>
      </c>
      <c r="M64" s="7" t="n">
        <f aca="false">SUMIFS('Transaction Overview'!$D$2:$D$1850,'Transaction Overview'!$I$2:$I$1850,$A64,'Transaction Overview'!$H$2:$H$1850,M$4)</f>
        <v>0</v>
      </c>
      <c r="N64" s="7" t="n">
        <f aca="false">SUM(B64:M64)</f>
        <v>-1700</v>
      </c>
    </row>
    <row r="65" customFormat="false" ht="15" hidden="false" customHeight="false" outlineLevel="0" collapsed="false">
      <c r="A65" s="0" t="s">
        <v>83</v>
      </c>
      <c r="B65" s="7" t="n">
        <f aca="false">SUMIFS('Transaction Overview'!$D$2:$D$1850,'Transaction Overview'!$I$2:$I$1850,$A65,'Transaction Overview'!$H$2:$H$1850,B$4)</f>
        <v>0</v>
      </c>
      <c r="C65" s="7" t="n">
        <f aca="false">SUMIFS('Transaction Overview'!$D$2:$D$1850,'Transaction Overview'!$I$2:$I$1850,$A65,'Transaction Overview'!$H$2:$H$1850,C$4)</f>
        <v>0</v>
      </c>
      <c r="D65" s="7" t="n">
        <f aca="false">SUMIFS('Transaction Overview'!$D$2:$D$1850,'Transaction Overview'!$I$2:$I$1850,$A65,'Transaction Overview'!$H$2:$H$1850,D$4)</f>
        <v>-1500</v>
      </c>
      <c r="E65" s="7" t="n">
        <f aca="false">SUMIFS('Transaction Overview'!$D$2:$D$1850,'Transaction Overview'!$I$2:$I$1850,$A65,'Transaction Overview'!$H$2:$H$1850,E$4)</f>
        <v>0</v>
      </c>
      <c r="F65" s="7" t="n">
        <f aca="false">SUMIFS('Transaction Overview'!$D$2:$D$1850,'Transaction Overview'!$I$2:$I$1850,$A65,'Transaction Overview'!$H$2:$H$1850,F$4)</f>
        <v>0</v>
      </c>
      <c r="G65" s="7" t="n">
        <f aca="false">SUMIFS('Transaction Overview'!$D$2:$D$1850,'Transaction Overview'!$I$2:$I$1850,$A65,'Transaction Overview'!$H$2:$H$1850,G$4)</f>
        <v>0</v>
      </c>
      <c r="H65" s="7" t="n">
        <f aca="false">SUMIFS('Transaction Overview'!$D$2:$D$1850,'Transaction Overview'!$I$2:$I$1850,$A65,'Transaction Overview'!$H$2:$H$1850,H$4)</f>
        <v>0</v>
      </c>
      <c r="I65" s="7" t="n">
        <f aca="false">SUMIFS('Transaction Overview'!$D$2:$D$1850,'Transaction Overview'!$I$2:$I$1850,$A65,'Transaction Overview'!$H$2:$H$1850,I$4)</f>
        <v>0</v>
      </c>
      <c r="J65" s="7" t="n">
        <f aca="false">SUMIFS('Transaction Overview'!$D$2:$D$1850,'Transaction Overview'!$I$2:$I$1850,$A65,'Transaction Overview'!$H$2:$H$1850,J$4)</f>
        <v>0</v>
      </c>
      <c r="K65" s="7" t="n">
        <f aca="false">SUMIFS('Transaction Overview'!$D$2:$D$1850,'Transaction Overview'!$I$2:$I$1850,$A65,'Transaction Overview'!$H$2:$H$1850,K$4)</f>
        <v>0</v>
      </c>
      <c r="L65" s="7" t="n">
        <f aca="false">SUMIFS('Transaction Overview'!$D$2:$D$1850,'Transaction Overview'!$I$2:$I$1850,$A65,'Transaction Overview'!$H$2:$H$1850,L$4)</f>
        <v>0</v>
      </c>
      <c r="M65" s="7" t="n">
        <f aca="false">SUMIFS('Transaction Overview'!$D$2:$D$1850,'Transaction Overview'!$I$2:$I$1850,$A65,'Transaction Overview'!$H$2:$H$1850,M$4)</f>
        <v>0</v>
      </c>
      <c r="N65" s="7" t="n">
        <f aca="false">SUM(B65:M65)</f>
        <v>-1500</v>
      </c>
    </row>
    <row r="66" customFormat="false" ht="15" hidden="false" customHeight="false" outlineLevel="0" collapsed="false">
      <c r="A66" s="0" t="s">
        <v>84</v>
      </c>
      <c r="B66" s="7" t="n">
        <f aca="false">SUMIFS('Transaction Overview'!$D$2:$D$1850,'Transaction Overview'!$I$2:$I$1850,$A66,'Transaction Overview'!$H$2:$H$1850,B$4)</f>
        <v>-800</v>
      </c>
      <c r="C66" s="7" t="n">
        <f aca="false">SUMIFS('Transaction Overview'!$D$2:$D$1850,'Transaction Overview'!$I$2:$I$1850,$A66,'Transaction Overview'!$H$2:$H$1850,C$4)</f>
        <v>-800</v>
      </c>
      <c r="D66" s="7" t="n">
        <f aca="false">SUMIFS('Transaction Overview'!$D$2:$D$1850,'Transaction Overview'!$I$2:$I$1850,$A66,'Transaction Overview'!$H$2:$H$1850,D$4)</f>
        <v>-800</v>
      </c>
      <c r="E66" s="7" t="n">
        <f aca="false">SUMIFS('Transaction Overview'!$D$2:$D$1850,'Transaction Overview'!$I$2:$I$1850,$A66,'Transaction Overview'!$H$2:$H$1850,E$4)</f>
        <v>0</v>
      </c>
      <c r="F66" s="7" t="n">
        <f aca="false">SUMIFS('Transaction Overview'!$D$2:$D$1850,'Transaction Overview'!$I$2:$I$1850,$A66,'Transaction Overview'!$H$2:$H$1850,F$4)</f>
        <v>0</v>
      </c>
      <c r="G66" s="7" t="n">
        <f aca="false">SUMIFS('Transaction Overview'!$D$2:$D$1850,'Transaction Overview'!$I$2:$I$1850,$A66,'Transaction Overview'!$H$2:$H$1850,G$4)</f>
        <v>-800</v>
      </c>
      <c r="H66" s="7" t="n">
        <f aca="false">SUMIFS('Transaction Overview'!$D$2:$D$1850,'Transaction Overview'!$I$2:$I$1850,$A66,'Transaction Overview'!$H$2:$H$1850,H$4)</f>
        <v>-800</v>
      </c>
      <c r="I66" s="7" t="n">
        <f aca="false">SUMIFS('Transaction Overview'!$D$2:$D$1850,'Transaction Overview'!$I$2:$I$1850,$A66,'Transaction Overview'!$H$2:$H$1850,I$4)</f>
        <v>-800</v>
      </c>
      <c r="J66" s="7" t="n">
        <f aca="false">SUMIFS('Transaction Overview'!$D$2:$D$1850,'Transaction Overview'!$I$2:$I$1850,$A66,'Transaction Overview'!$H$2:$H$1850,J$4)</f>
        <v>-800</v>
      </c>
      <c r="K66" s="7" t="n">
        <f aca="false">SUMIFS('Transaction Overview'!$D$2:$D$1850,'Transaction Overview'!$I$2:$I$1850,$A66,'Transaction Overview'!$H$2:$H$1850,K$4)</f>
        <v>-800</v>
      </c>
      <c r="L66" s="7" t="n">
        <f aca="false">SUMIFS('Transaction Overview'!$D$2:$D$1850,'Transaction Overview'!$I$2:$I$1850,$A66,'Transaction Overview'!$H$2:$H$1850,L$4)</f>
        <v>-800</v>
      </c>
      <c r="M66" s="7" t="n">
        <f aca="false">SUMIFS('Transaction Overview'!$D$2:$D$1850,'Transaction Overview'!$I$2:$I$1850,$A66,'Transaction Overview'!$H$2:$H$1850,M$4)</f>
        <v>-500</v>
      </c>
      <c r="N66" s="7" t="n">
        <f aca="false">SUM(B66:M66)</f>
        <v>-7700</v>
      </c>
    </row>
    <row r="67" customFormat="false" ht="15" hidden="false" customHeight="false" outlineLevel="0" collapsed="false">
      <c r="A67" s="0" t="s">
        <v>85</v>
      </c>
      <c r="B67" s="7" t="n">
        <f aca="false">SUMIFS('Transaction Overview'!$D$2:$D$1850,'Transaction Overview'!$I$2:$I$1850,$A67,'Transaction Overview'!$H$2:$H$1850,B$4)</f>
        <v>0</v>
      </c>
      <c r="C67" s="7" t="n">
        <f aca="false">SUMIFS('Transaction Overview'!$D$2:$D$1850,'Transaction Overview'!$I$2:$I$1850,$A67,'Transaction Overview'!$H$2:$H$1850,C$4)</f>
        <v>-450</v>
      </c>
      <c r="D67" s="7" t="n">
        <f aca="false">SUMIFS('Transaction Overview'!$D$2:$D$1850,'Transaction Overview'!$I$2:$I$1850,$A67,'Transaction Overview'!$H$2:$H$1850,D$4)</f>
        <v>0</v>
      </c>
      <c r="E67" s="7" t="n">
        <f aca="false">SUMIFS('Transaction Overview'!$D$2:$D$1850,'Transaction Overview'!$I$2:$I$1850,$A67,'Transaction Overview'!$H$2:$H$1850,E$4)</f>
        <v>0</v>
      </c>
      <c r="F67" s="7" t="n">
        <f aca="false">SUMIFS('Transaction Overview'!$D$2:$D$1850,'Transaction Overview'!$I$2:$I$1850,$A67,'Transaction Overview'!$H$2:$H$1850,F$4)</f>
        <v>0</v>
      </c>
      <c r="G67" s="7" t="n">
        <f aca="false">SUMIFS('Transaction Overview'!$D$2:$D$1850,'Transaction Overview'!$I$2:$I$1850,$A67,'Transaction Overview'!$H$2:$H$1850,G$4)</f>
        <v>0</v>
      </c>
      <c r="H67" s="7" t="n">
        <f aca="false">SUMIFS('Transaction Overview'!$D$2:$D$1850,'Transaction Overview'!$I$2:$I$1850,$A67,'Transaction Overview'!$H$2:$H$1850,H$4)</f>
        <v>-200</v>
      </c>
      <c r="I67" s="7" t="n">
        <f aca="false">SUMIFS('Transaction Overview'!$D$2:$D$1850,'Transaction Overview'!$I$2:$I$1850,$A67,'Transaction Overview'!$H$2:$H$1850,I$4)</f>
        <v>0</v>
      </c>
      <c r="J67" s="7" t="n">
        <f aca="false">SUMIFS('Transaction Overview'!$D$2:$D$1850,'Transaction Overview'!$I$2:$I$1850,$A67,'Transaction Overview'!$H$2:$H$1850,J$4)</f>
        <v>0</v>
      </c>
      <c r="K67" s="7" t="n">
        <f aca="false">SUMIFS('Transaction Overview'!$D$2:$D$1850,'Transaction Overview'!$I$2:$I$1850,$A67,'Transaction Overview'!$H$2:$H$1850,K$4)</f>
        <v>-400</v>
      </c>
      <c r="L67" s="7" t="n">
        <f aca="false">SUMIFS('Transaction Overview'!$D$2:$D$1850,'Transaction Overview'!$I$2:$I$1850,$A67,'Transaction Overview'!$H$2:$H$1850,L$4)</f>
        <v>0</v>
      </c>
      <c r="M67" s="7" t="n">
        <f aca="false">SUMIFS('Transaction Overview'!$D$2:$D$1850,'Transaction Overview'!$I$2:$I$1850,$A67,'Transaction Overview'!$H$2:$H$1850,M$4)</f>
        <v>0</v>
      </c>
      <c r="N67" s="7" t="n">
        <f aca="false">SUM(B67:M67)</f>
        <v>-1050</v>
      </c>
    </row>
    <row r="68" customFormat="false" ht="15" hidden="false" customHeight="false" outlineLevel="0" collapsed="false">
      <c r="A68" s="0" t="s">
        <v>86</v>
      </c>
      <c r="B68" s="7" t="n">
        <f aca="false">SUMIFS('Transaction Overview'!$D$2:$D$1850,'Transaction Overview'!$I$2:$I$1850,$A68,'Transaction Overview'!$H$2:$H$1850,B$4)</f>
        <v>-2400</v>
      </c>
      <c r="C68" s="7" t="n">
        <f aca="false">SUMIFS('Transaction Overview'!$D$2:$D$1850,'Transaction Overview'!$I$2:$I$1850,$A68,'Transaction Overview'!$H$2:$H$1850,C$4)</f>
        <v>-1500</v>
      </c>
      <c r="D68" s="7" t="n">
        <f aca="false">SUMIFS('Transaction Overview'!$D$2:$D$1850,'Transaction Overview'!$I$2:$I$1850,$A68,'Transaction Overview'!$H$2:$H$1850,D$4)</f>
        <v>-2300</v>
      </c>
      <c r="E68" s="7" t="n">
        <f aca="false">SUMIFS('Transaction Overview'!$D$2:$D$1850,'Transaction Overview'!$I$2:$I$1850,$A68,'Transaction Overview'!$H$2:$H$1850,E$4)</f>
        <v>-200</v>
      </c>
      <c r="F68" s="7" t="n">
        <f aca="false">SUMIFS('Transaction Overview'!$D$2:$D$1850,'Transaction Overview'!$I$2:$I$1850,$A68,'Transaction Overview'!$H$2:$H$1850,F$4)</f>
        <v>-13825</v>
      </c>
      <c r="G68" s="7" t="n">
        <f aca="false">SUMIFS('Transaction Overview'!$D$2:$D$1850,'Transaction Overview'!$I$2:$I$1850,$A68,'Transaction Overview'!$H$2:$H$1850,G$4)</f>
        <v>-1350</v>
      </c>
      <c r="H68" s="7" t="n">
        <f aca="false">SUMIFS('Transaction Overview'!$D$2:$D$1850,'Transaction Overview'!$I$2:$I$1850,$A68,'Transaction Overview'!$H$2:$H$1850,H$4)</f>
        <v>-4258</v>
      </c>
      <c r="I68" s="7" t="n">
        <f aca="false">SUMIFS('Transaction Overview'!$D$2:$D$1850,'Transaction Overview'!$I$2:$I$1850,$A68,'Transaction Overview'!$H$2:$H$1850,I$4)</f>
        <v>-2500</v>
      </c>
      <c r="J68" s="7" t="n">
        <f aca="false">SUMIFS('Transaction Overview'!$D$2:$D$1850,'Transaction Overview'!$I$2:$I$1850,$A68,'Transaction Overview'!$H$2:$H$1850,J$4)</f>
        <v>-1725</v>
      </c>
      <c r="K68" s="7" t="n">
        <f aca="false">SUMIFS('Transaction Overview'!$D$2:$D$1850,'Transaction Overview'!$I$2:$I$1850,$A68,'Transaction Overview'!$H$2:$H$1850,K$4)</f>
        <v>-6550</v>
      </c>
      <c r="L68" s="7" t="n">
        <f aca="false">SUMIFS('Transaction Overview'!$D$2:$D$1850,'Transaction Overview'!$I$2:$I$1850,$A68,'Transaction Overview'!$H$2:$H$1850,L$4)</f>
        <v>-5040</v>
      </c>
      <c r="M68" s="7" t="n">
        <f aca="false">SUMIFS('Transaction Overview'!$D$2:$D$1850,'Transaction Overview'!$I$2:$I$1850,$A68,'Transaction Overview'!$H$2:$H$1850,M$4)</f>
        <v>0</v>
      </c>
      <c r="N68" s="7" t="n">
        <f aca="false">SUM(B68:M68)</f>
        <v>-41648</v>
      </c>
    </row>
    <row r="69" customFormat="false" ht="15" hidden="false" customHeight="false" outlineLevel="0" collapsed="false">
      <c r="A69" s="0" t="s">
        <v>87</v>
      </c>
      <c r="B69" s="7" t="n">
        <f aca="false">SUMIFS('Transaction Overview'!$D$2:$D$1850,'Transaction Overview'!$I$2:$I$1850,$A69,'Transaction Overview'!$H$2:$H$1850,B$4)</f>
        <v>-600</v>
      </c>
      <c r="C69" s="7" t="n">
        <f aca="false">SUMIFS('Transaction Overview'!$D$2:$D$1850,'Transaction Overview'!$I$2:$I$1850,$A69,'Transaction Overview'!$H$2:$H$1850,C$4)</f>
        <v>-1531.83</v>
      </c>
      <c r="D69" s="7" t="n">
        <f aca="false">SUMIFS('Transaction Overview'!$D$2:$D$1850,'Transaction Overview'!$I$2:$I$1850,$A69,'Transaction Overview'!$H$2:$H$1850,D$4)</f>
        <v>-1275</v>
      </c>
      <c r="E69" s="7" t="n">
        <f aca="false">SUMIFS('Transaction Overview'!$D$2:$D$1850,'Transaction Overview'!$I$2:$I$1850,$A69,'Transaction Overview'!$H$2:$H$1850,E$4)</f>
        <v>0</v>
      </c>
      <c r="F69" s="7" t="n">
        <f aca="false">SUMIFS('Transaction Overview'!$D$2:$D$1850,'Transaction Overview'!$I$2:$I$1850,$A69,'Transaction Overview'!$H$2:$H$1850,F$4)</f>
        <v>0</v>
      </c>
      <c r="G69" s="7" t="n">
        <f aca="false">SUMIFS('Transaction Overview'!$D$2:$D$1850,'Transaction Overview'!$I$2:$I$1850,$A69,'Transaction Overview'!$H$2:$H$1850,G$4)</f>
        <v>-875</v>
      </c>
      <c r="H69" s="7" t="n">
        <f aca="false">SUMIFS('Transaction Overview'!$D$2:$D$1850,'Transaction Overview'!$I$2:$I$1850,$A69,'Transaction Overview'!$H$2:$H$1850,H$4)</f>
        <v>-600</v>
      </c>
      <c r="I69" s="7" t="n">
        <f aca="false">SUMIFS('Transaction Overview'!$D$2:$D$1850,'Transaction Overview'!$I$2:$I$1850,$A69,'Transaction Overview'!$H$2:$H$1850,I$4)</f>
        <v>-1100</v>
      </c>
      <c r="J69" s="7" t="n">
        <f aca="false">SUMIFS('Transaction Overview'!$D$2:$D$1850,'Transaction Overview'!$I$2:$I$1850,$A69,'Transaction Overview'!$H$2:$H$1850,J$4)</f>
        <v>-250</v>
      </c>
      <c r="K69" s="7" t="n">
        <f aca="false">SUMIFS('Transaction Overview'!$D$2:$D$1850,'Transaction Overview'!$I$2:$I$1850,$A69,'Transaction Overview'!$H$2:$H$1850,K$4)</f>
        <v>-500</v>
      </c>
      <c r="L69" s="7" t="n">
        <f aca="false">SUMIFS('Transaction Overview'!$D$2:$D$1850,'Transaction Overview'!$I$2:$I$1850,$A69,'Transaction Overview'!$H$2:$H$1850,L$4)</f>
        <v>-950</v>
      </c>
      <c r="M69" s="7" t="n">
        <f aca="false">SUMIFS('Transaction Overview'!$D$2:$D$1850,'Transaction Overview'!$I$2:$I$1850,$A69,'Transaction Overview'!$H$2:$H$1850,M$4)</f>
        <v>-1030</v>
      </c>
      <c r="N69" s="7" t="n">
        <f aca="false">SUM(B69:M69)</f>
        <v>-8711.83</v>
      </c>
    </row>
    <row r="70" customFormat="false" ht="15" hidden="false" customHeight="false" outlineLevel="0" collapsed="false">
      <c r="A70" s="0" t="s">
        <v>88</v>
      </c>
      <c r="B70" s="7" t="n">
        <f aca="false">SUMIFS('Transaction Overview'!$D$2:$D$1850,'Transaction Overview'!$I$2:$I$1850,$A70,'Transaction Overview'!$H$2:$H$1850,B$4)</f>
        <v>0</v>
      </c>
      <c r="C70" s="7" t="n">
        <f aca="false">SUMIFS('Transaction Overview'!$D$2:$D$1850,'Transaction Overview'!$I$2:$I$1850,$A70,'Transaction Overview'!$H$2:$H$1850,C$4)</f>
        <v>0</v>
      </c>
      <c r="D70" s="7" t="n">
        <f aca="false">SUMIFS('Transaction Overview'!$D$2:$D$1850,'Transaction Overview'!$I$2:$I$1850,$A70,'Transaction Overview'!$H$2:$H$1850,D$4)</f>
        <v>0</v>
      </c>
      <c r="E70" s="7" t="n">
        <f aca="false">SUMIFS('Transaction Overview'!$D$2:$D$1850,'Transaction Overview'!$I$2:$I$1850,$A70,'Transaction Overview'!$H$2:$H$1850,E$4)</f>
        <v>0</v>
      </c>
      <c r="F70" s="7" t="n">
        <f aca="false">SUMIFS('Transaction Overview'!$D$2:$D$1850,'Transaction Overview'!$I$2:$I$1850,$A70,'Transaction Overview'!$H$2:$H$1850,F$4)</f>
        <v>-500</v>
      </c>
      <c r="G70" s="7" t="n">
        <f aca="false">SUMIFS('Transaction Overview'!$D$2:$D$1850,'Transaction Overview'!$I$2:$I$1850,$A70,'Transaction Overview'!$H$2:$H$1850,G$4)</f>
        <v>0</v>
      </c>
      <c r="H70" s="7" t="n">
        <f aca="false">SUMIFS('Transaction Overview'!$D$2:$D$1850,'Transaction Overview'!$I$2:$I$1850,$A70,'Transaction Overview'!$H$2:$H$1850,H$4)</f>
        <v>0</v>
      </c>
      <c r="I70" s="7" t="n">
        <f aca="false">SUMIFS('Transaction Overview'!$D$2:$D$1850,'Transaction Overview'!$I$2:$I$1850,$A70,'Transaction Overview'!$H$2:$H$1850,I$4)</f>
        <v>0</v>
      </c>
      <c r="J70" s="7" t="n">
        <f aca="false">SUMIFS('Transaction Overview'!$D$2:$D$1850,'Transaction Overview'!$I$2:$I$1850,$A70,'Transaction Overview'!$H$2:$H$1850,J$4)</f>
        <v>0</v>
      </c>
      <c r="K70" s="7" t="n">
        <f aca="false">SUMIFS('Transaction Overview'!$D$2:$D$1850,'Transaction Overview'!$I$2:$I$1850,$A70,'Transaction Overview'!$H$2:$H$1850,K$4)</f>
        <v>0</v>
      </c>
      <c r="L70" s="7" t="n">
        <f aca="false">SUMIFS('Transaction Overview'!$D$2:$D$1850,'Transaction Overview'!$I$2:$I$1850,$A70,'Transaction Overview'!$H$2:$H$1850,L$4)</f>
        <v>0</v>
      </c>
      <c r="M70" s="7" t="n">
        <f aca="false">SUMIFS('Transaction Overview'!$D$2:$D$1850,'Transaction Overview'!$I$2:$I$1850,$A70,'Transaction Overview'!$H$2:$H$1850,M$4)</f>
        <v>0</v>
      </c>
      <c r="N70" s="7" t="n">
        <f aca="false">SUM(B70:M70)</f>
        <v>-500</v>
      </c>
    </row>
    <row r="71" customFormat="false" ht="15" hidden="false" customHeight="false" outlineLevel="0" collapsed="false">
      <c r="A71" s="0" t="s">
        <v>89</v>
      </c>
      <c r="B71" s="7" t="n">
        <f aca="false">SUMIFS('Transaction Overview'!$D$2:$D$1850,'Transaction Overview'!$I$2:$I$1850,$A71,'Transaction Overview'!$H$2:$H$1850,B$4)</f>
        <v>0</v>
      </c>
      <c r="C71" s="7" t="n">
        <f aca="false">SUMIFS('Transaction Overview'!$D$2:$D$1850,'Transaction Overview'!$I$2:$I$1850,$A71,'Transaction Overview'!$H$2:$H$1850,C$4)</f>
        <v>0</v>
      </c>
      <c r="D71" s="7" t="n">
        <f aca="false">SUMIFS('Transaction Overview'!$D$2:$D$1850,'Transaction Overview'!$I$2:$I$1850,$A71,'Transaction Overview'!$H$2:$H$1850,D$4)</f>
        <v>-51.75</v>
      </c>
      <c r="E71" s="7" t="n">
        <f aca="false">SUMIFS('Transaction Overview'!$D$2:$D$1850,'Transaction Overview'!$I$2:$I$1850,$A71,'Transaction Overview'!$H$2:$H$1850,E$4)</f>
        <v>0</v>
      </c>
      <c r="F71" s="7" t="n">
        <f aca="false">SUMIFS('Transaction Overview'!$D$2:$D$1850,'Transaction Overview'!$I$2:$I$1850,$A71,'Transaction Overview'!$H$2:$H$1850,F$4)</f>
        <v>0</v>
      </c>
      <c r="G71" s="7" t="n">
        <f aca="false">SUMIFS('Transaction Overview'!$D$2:$D$1850,'Transaction Overview'!$I$2:$I$1850,$A71,'Transaction Overview'!$H$2:$H$1850,G$4)</f>
        <v>0</v>
      </c>
      <c r="H71" s="7" t="n">
        <f aca="false">SUMIFS('Transaction Overview'!$D$2:$D$1850,'Transaction Overview'!$I$2:$I$1850,$A71,'Transaction Overview'!$H$2:$H$1850,H$4)</f>
        <v>0</v>
      </c>
      <c r="I71" s="7" t="n">
        <f aca="false">SUMIFS('Transaction Overview'!$D$2:$D$1850,'Transaction Overview'!$I$2:$I$1850,$A71,'Transaction Overview'!$H$2:$H$1850,I$4)</f>
        <v>0</v>
      </c>
      <c r="J71" s="7" t="n">
        <f aca="false">SUMIFS('Transaction Overview'!$D$2:$D$1850,'Transaction Overview'!$I$2:$I$1850,$A71,'Transaction Overview'!$H$2:$H$1850,J$4)</f>
        <v>0</v>
      </c>
      <c r="K71" s="7" t="n">
        <f aca="false">SUMIFS('Transaction Overview'!$D$2:$D$1850,'Transaction Overview'!$I$2:$I$1850,$A71,'Transaction Overview'!$H$2:$H$1850,K$4)</f>
        <v>0</v>
      </c>
      <c r="L71" s="7" t="n">
        <f aca="false">SUMIFS('Transaction Overview'!$D$2:$D$1850,'Transaction Overview'!$I$2:$I$1850,$A71,'Transaction Overview'!$H$2:$H$1850,L$4)</f>
        <v>0</v>
      </c>
      <c r="M71" s="7" t="n">
        <f aca="false">SUMIFS('Transaction Overview'!$D$2:$D$1850,'Transaction Overview'!$I$2:$I$1850,$A71,'Transaction Overview'!$H$2:$H$1850,M$4)</f>
        <v>0</v>
      </c>
      <c r="N71" s="7" t="n">
        <f aca="false">SUM(B71:M71)</f>
        <v>-51.75</v>
      </c>
    </row>
    <row r="72" customFormat="false" ht="15" hidden="false" customHeight="false" outlineLevel="0" collapsed="false">
      <c r="A72" s="0" t="s">
        <v>90</v>
      </c>
      <c r="B72" s="7" t="n">
        <f aca="false">SUMIFS('Transaction Overview'!$D$2:$D$1850,'Transaction Overview'!$I$2:$I$1850,$A72,'Transaction Overview'!$H$2:$H$1850,B$4)</f>
        <v>0</v>
      </c>
      <c r="C72" s="7" t="n">
        <f aca="false">SUMIFS('Transaction Overview'!$D$2:$D$1850,'Transaction Overview'!$I$2:$I$1850,$A72,'Transaction Overview'!$H$2:$H$1850,C$4)</f>
        <v>0</v>
      </c>
      <c r="D72" s="7" t="n">
        <f aca="false">SUMIFS('Transaction Overview'!$D$2:$D$1850,'Transaction Overview'!$I$2:$I$1850,$A72,'Transaction Overview'!$H$2:$H$1850,D$4)</f>
        <v>0</v>
      </c>
      <c r="E72" s="7" t="n">
        <f aca="false">SUMIFS('Transaction Overview'!$D$2:$D$1850,'Transaction Overview'!$I$2:$I$1850,$A72,'Transaction Overview'!$H$2:$H$1850,E$4)</f>
        <v>0</v>
      </c>
      <c r="F72" s="7" t="n">
        <f aca="false">SUMIFS('Transaction Overview'!$D$2:$D$1850,'Transaction Overview'!$I$2:$I$1850,$A72,'Transaction Overview'!$H$2:$H$1850,F$4)</f>
        <v>0</v>
      </c>
      <c r="G72" s="7" t="n">
        <f aca="false">SUMIFS('Transaction Overview'!$D$2:$D$1850,'Transaction Overview'!$I$2:$I$1850,$A72,'Transaction Overview'!$H$2:$H$1850,G$4)</f>
        <v>0</v>
      </c>
      <c r="H72" s="7" t="n">
        <f aca="false">SUMIFS('Transaction Overview'!$D$2:$D$1850,'Transaction Overview'!$I$2:$I$1850,$A72,'Transaction Overview'!$H$2:$H$1850,H$4)</f>
        <v>0</v>
      </c>
      <c r="I72" s="7" t="n">
        <f aca="false">SUMIFS('Transaction Overview'!$D$2:$D$1850,'Transaction Overview'!$I$2:$I$1850,$A72,'Transaction Overview'!$H$2:$H$1850,I$4)</f>
        <v>0</v>
      </c>
      <c r="J72" s="7" t="n">
        <f aca="false">SUMIFS('Transaction Overview'!$D$2:$D$1850,'Transaction Overview'!$I$2:$I$1850,$A72,'Transaction Overview'!$H$2:$H$1850,J$4)</f>
        <v>0</v>
      </c>
      <c r="K72" s="7" t="n">
        <f aca="false">SUMIFS('Transaction Overview'!$D$2:$D$1850,'Transaction Overview'!$I$2:$I$1850,$A72,'Transaction Overview'!$H$2:$H$1850,K$4)</f>
        <v>0</v>
      </c>
      <c r="L72" s="7" t="n">
        <f aca="false">SUMIFS('Transaction Overview'!$D$2:$D$1850,'Transaction Overview'!$I$2:$I$1850,$A72,'Transaction Overview'!$H$2:$H$1850,L$4)</f>
        <v>-1000</v>
      </c>
      <c r="M72" s="7" t="n">
        <f aca="false">SUMIFS('Transaction Overview'!$D$2:$D$1850,'Transaction Overview'!$I$2:$I$1850,$A72,'Transaction Overview'!$H$2:$H$1850,M$4)</f>
        <v>-5000</v>
      </c>
      <c r="N72" s="7" t="n">
        <f aca="false">SUM(B72:M72)</f>
        <v>-6000</v>
      </c>
    </row>
    <row r="73" customFormat="false" ht="15" hidden="false" customHeight="false" outlineLevel="0" collapsed="false">
      <c r="A73" s="0" t="s">
        <v>91</v>
      </c>
      <c r="B73" s="7" t="n">
        <f aca="false">SUMIFS('Transaction Overview'!$D$2:$D$1850,'Transaction Overview'!$I$2:$I$1850,$A73,'Transaction Overview'!$H$2:$H$1850,B$4)</f>
        <v>0</v>
      </c>
      <c r="C73" s="7" t="n">
        <f aca="false">SUMIFS('Transaction Overview'!$D$2:$D$1850,'Transaction Overview'!$I$2:$I$1850,$A73,'Transaction Overview'!$H$2:$H$1850,C$4)</f>
        <v>0</v>
      </c>
      <c r="D73" s="7" t="n">
        <f aca="false">SUMIFS('Transaction Overview'!$D$2:$D$1850,'Transaction Overview'!$I$2:$I$1850,$A73,'Transaction Overview'!$H$2:$H$1850,D$4)</f>
        <v>0</v>
      </c>
      <c r="E73" s="7" t="n">
        <f aca="false">SUMIFS('Transaction Overview'!$D$2:$D$1850,'Transaction Overview'!$I$2:$I$1850,$A73,'Transaction Overview'!$H$2:$H$1850,E$4)</f>
        <v>0</v>
      </c>
      <c r="F73" s="7" t="n">
        <f aca="false">SUMIFS('Transaction Overview'!$D$2:$D$1850,'Transaction Overview'!$I$2:$I$1850,$A73,'Transaction Overview'!$H$2:$H$1850,F$4)</f>
        <v>0</v>
      </c>
      <c r="G73" s="7" t="n">
        <f aca="false">SUMIFS('Transaction Overview'!$D$2:$D$1850,'Transaction Overview'!$I$2:$I$1850,$A73,'Transaction Overview'!$H$2:$H$1850,G$4)</f>
        <v>0</v>
      </c>
      <c r="H73" s="7" t="n">
        <f aca="false">SUMIFS('Transaction Overview'!$D$2:$D$1850,'Transaction Overview'!$I$2:$I$1850,$A73,'Transaction Overview'!$H$2:$H$1850,H$4)</f>
        <v>0</v>
      </c>
      <c r="I73" s="7" t="n">
        <f aca="false">SUMIFS('Transaction Overview'!$D$2:$D$1850,'Transaction Overview'!$I$2:$I$1850,$A73,'Transaction Overview'!$H$2:$H$1850,I$4)</f>
        <v>0</v>
      </c>
      <c r="J73" s="7" t="n">
        <f aca="false">SUMIFS('Transaction Overview'!$D$2:$D$1850,'Transaction Overview'!$I$2:$I$1850,$A73,'Transaction Overview'!$H$2:$H$1850,J$4)</f>
        <v>0</v>
      </c>
      <c r="K73" s="7" t="n">
        <f aca="false">SUMIFS('Transaction Overview'!$D$2:$D$1850,'Transaction Overview'!$I$2:$I$1850,$A73,'Transaction Overview'!$H$2:$H$1850,K$4)</f>
        <v>0</v>
      </c>
      <c r="L73" s="7" t="n">
        <f aca="false">SUMIFS('Transaction Overview'!$D$2:$D$1850,'Transaction Overview'!$I$2:$I$1850,$A73,'Transaction Overview'!$H$2:$H$1850,L$4)</f>
        <v>-500</v>
      </c>
      <c r="M73" s="7" t="n">
        <f aca="false">SUMIFS('Transaction Overview'!$D$2:$D$1850,'Transaction Overview'!$I$2:$I$1850,$A73,'Transaction Overview'!$H$2:$H$1850,M$4)</f>
        <v>-1000</v>
      </c>
      <c r="N73" s="7" t="n">
        <f aca="false">SUM(B73:M73)</f>
        <v>-1500</v>
      </c>
    </row>
    <row r="74" customFormat="false" ht="15" hidden="false" customHeight="false" outlineLevel="0" collapsed="false">
      <c r="A74" s="0" t="s">
        <v>92</v>
      </c>
      <c r="B74" s="7" t="n">
        <f aca="false">SUMIFS('Transaction Overview'!$D$2:$D$1850,'Transaction Overview'!$I$2:$I$1850,$A74,'Transaction Overview'!$H$2:$H$1850,B$4)</f>
        <v>-800</v>
      </c>
      <c r="C74" s="7" t="n">
        <f aca="false">SUMIFS('Transaction Overview'!$D$2:$D$1850,'Transaction Overview'!$I$2:$I$1850,$A74,'Transaction Overview'!$H$2:$H$1850,C$4)</f>
        <v>0</v>
      </c>
      <c r="D74" s="7" t="n">
        <f aca="false">SUMIFS('Transaction Overview'!$D$2:$D$1850,'Transaction Overview'!$I$2:$I$1850,$A74,'Transaction Overview'!$H$2:$H$1850,D$4)</f>
        <v>0</v>
      </c>
      <c r="E74" s="7" t="n">
        <f aca="false">SUMIFS('Transaction Overview'!$D$2:$D$1850,'Transaction Overview'!$I$2:$I$1850,$A74,'Transaction Overview'!$H$2:$H$1850,E$4)</f>
        <v>0</v>
      </c>
      <c r="F74" s="7" t="n">
        <f aca="false">SUMIFS('Transaction Overview'!$D$2:$D$1850,'Transaction Overview'!$I$2:$I$1850,$A74,'Transaction Overview'!$H$2:$H$1850,F$4)</f>
        <v>0</v>
      </c>
      <c r="G74" s="7" t="n">
        <f aca="false">SUMIFS('Transaction Overview'!$D$2:$D$1850,'Transaction Overview'!$I$2:$I$1850,$A74,'Transaction Overview'!$H$2:$H$1850,G$4)</f>
        <v>0</v>
      </c>
      <c r="H74" s="7" t="n">
        <f aca="false">SUMIFS('Transaction Overview'!$D$2:$D$1850,'Transaction Overview'!$I$2:$I$1850,$A74,'Transaction Overview'!$H$2:$H$1850,H$4)</f>
        <v>0</v>
      </c>
      <c r="I74" s="7" t="n">
        <f aca="false">SUMIFS('Transaction Overview'!$D$2:$D$1850,'Transaction Overview'!$I$2:$I$1850,$A74,'Transaction Overview'!$H$2:$H$1850,I$4)</f>
        <v>0</v>
      </c>
      <c r="J74" s="7" t="n">
        <f aca="false">SUMIFS('Transaction Overview'!$D$2:$D$1850,'Transaction Overview'!$I$2:$I$1850,$A74,'Transaction Overview'!$H$2:$H$1850,J$4)</f>
        <v>0</v>
      </c>
      <c r="K74" s="7" t="n">
        <f aca="false">SUMIFS('Transaction Overview'!$D$2:$D$1850,'Transaction Overview'!$I$2:$I$1850,$A74,'Transaction Overview'!$H$2:$H$1850,K$4)</f>
        <v>0</v>
      </c>
      <c r="L74" s="7" t="n">
        <f aca="false">SUMIFS('Transaction Overview'!$D$2:$D$1850,'Transaction Overview'!$I$2:$I$1850,$A74,'Transaction Overview'!$H$2:$H$1850,L$4)</f>
        <v>0</v>
      </c>
      <c r="M74" s="7" t="n">
        <f aca="false">SUMIFS('Transaction Overview'!$D$2:$D$1850,'Transaction Overview'!$I$2:$I$1850,$A74,'Transaction Overview'!$H$2:$H$1850,M$4)</f>
        <v>0</v>
      </c>
      <c r="N74" s="7" t="n">
        <f aca="false">SUM(B74:M74)</f>
        <v>-800</v>
      </c>
    </row>
    <row r="75" customFormat="false" ht="15" hidden="false" customHeight="false" outlineLevel="0" collapsed="false">
      <c r="A75" s="0" t="s">
        <v>93</v>
      </c>
      <c r="B75" s="7" t="n">
        <f aca="false">SUMIFS('Transaction Overview'!$D$2:$D$1850,'Transaction Overview'!$I$2:$I$1850,$A75,'Transaction Overview'!$H$2:$H$1850,B$4)</f>
        <v>0</v>
      </c>
      <c r="C75" s="7" t="n">
        <f aca="false">SUMIFS('Transaction Overview'!$D$2:$D$1850,'Transaction Overview'!$I$2:$I$1850,$A75,'Transaction Overview'!$H$2:$H$1850,C$4)</f>
        <v>0</v>
      </c>
      <c r="D75" s="7" t="n">
        <f aca="false">SUMIFS('Transaction Overview'!$D$2:$D$1850,'Transaction Overview'!$I$2:$I$1850,$A75,'Transaction Overview'!$H$2:$H$1850,D$4)</f>
        <v>0</v>
      </c>
      <c r="E75" s="7" t="n">
        <f aca="false">SUMIFS('Transaction Overview'!$D$2:$D$1850,'Transaction Overview'!$I$2:$I$1850,$A75,'Transaction Overview'!$H$2:$H$1850,E$4)</f>
        <v>0</v>
      </c>
      <c r="F75" s="7" t="n">
        <f aca="false">SUMIFS('Transaction Overview'!$D$2:$D$1850,'Transaction Overview'!$I$2:$I$1850,$A75,'Transaction Overview'!$H$2:$H$1850,F$4)</f>
        <v>0</v>
      </c>
      <c r="G75" s="7" t="n">
        <f aca="false">SUMIFS('Transaction Overview'!$D$2:$D$1850,'Transaction Overview'!$I$2:$I$1850,$A75,'Transaction Overview'!$H$2:$H$1850,G$4)</f>
        <v>0</v>
      </c>
      <c r="H75" s="7" t="n">
        <f aca="false">SUMIFS('Transaction Overview'!$D$2:$D$1850,'Transaction Overview'!$I$2:$I$1850,$A75,'Transaction Overview'!$H$2:$H$1850,H$4)</f>
        <v>-1650</v>
      </c>
      <c r="I75" s="7" t="n">
        <f aca="false">SUMIFS('Transaction Overview'!$D$2:$D$1850,'Transaction Overview'!$I$2:$I$1850,$A75,'Transaction Overview'!$H$2:$H$1850,I$4)</f>
        <v>0</v>
      </c>
      <c r="J75" s="7" t="n">
        <f aca="false">SUMIFS('Transaction Overview'!$D$2:$D$1850,'Transaction Overview'!$I$2:$I$1850,$A75,'Transaction Overview'!$H$2:$H$1850,J$4)</f>
        <v>0</v>
      </c>
      <c r="K75" s="7" t="n">
        <f aca="false">SUMIFS('Transaction Overview'!$D$2:$D$1850,'Transaction Overview'!$I$2:$I$1850,$A75,'Transaction Overview'!$H$2:$H$1850,K$4)</f>
        <v>0</v>
      </c>
      <c r="L75" s="7" t="n">
        <f aca="false">SUMIFS('Transaction Overview'!$D$2:$D$1850,'Transaction Overview'!$I$2:$I$1850,$A75,'Transaction Overview'!$H$2:$H$1850,L$4)</f>
        <v>-160</v>
      </c>
      <c r="M75" s="7" t="n">
        <f aca="false">SUMIFS('Transaction Overview'!$D$2:$D$1850,'Transaction Overview'!$I$2:$I$1850,$A75,'Transaction Overview'!$H$2:$H$1850,M$4)</f>
        <v>0</v>
      </c>
      <c r="N75" s="7" t="n">
        <f aca="false">SUM(B75:M75)</f>
        <v>-1810</v>
      </c>
    </row>
    <row r="76" customFormat="false" ht="15" hidden="false" customHeight="false" outlineLevel="0" collapsed="false">
      <c r="A76" s="9" t="s">
        <v>95</v>
      </c>
    </row>
    <row r="77" customFormat="false" ht="15" hidden="false" customHeight="false" outlineLevel="0" collapsed="false">
      <c r="A77" s="0" t="s">
        <v>96</v>
      </c>
      <c r="B77" s="7" t="n">
        <f aca="false">SUMIFS('Transaction Overview'!$D$2:$D$1850,'Transaction Overview'!$I$2:$I$1850,$A77,'Transaction Overview'!$H$2:$H$1850,B$4)</f>
        <v>-18000</v>
      </c>
      <c r="C77" s="7" t="n">
        <f aca="false">SUMIFS('Transaction Overview'!$D$2:$D$1850,'Transaction Overview'!$I$2:$I$1850,$A77,'Transaction Overview'!$H$2:$H$1850,C$4)</f>
        <v>-20000</v>
      </c>
      <c r="D77" s="7" t="n">
        <f aca="false">SUMIFS('Transaction Overview'!$D$2:$D$1850,'Transaction Overview'!$I$2:$I$1850,$A77,'Transaction Overview'!$H$2:$H$1850,D$4)</f>
        <v>-43000</v>
      </c>
      <c r="E77" s="7" t="n">
        <f aca="false">SUMIFS('Transaction Overview'!$D$2:$D$1850,'Transaction Overview'!$I$2:$I$1850,$A77,'Transaction Overview'!$H$2:$H$1850,E$4)</f>
        <v>-14000</v>
      </c>
      <c r="F77" s="7" t="n">
        <f aca="false">SUMIFS('Transaction Overview'!$D$2:$D$1850,'Transaction Overview'!$I$2:$I$1850,$A77,'Transaction Overview'!$H$2:$H$1850,F$4)</f>
        <v>-10000</v>
      </c>
      <c r="G77" s="7" t="n">
        <f aca="false">SUMIFS('Transaction Overview'!$D$2:$D$1850,'Transaction Overview'!$I$2:$I$1850,$A77,'Transaction Overview'!$H$2:$H$1850,G$4)</f>
        <v>-25000</v>
      </c>
      <c r="H77" s="7" t="n">
        <f aca="false">SUMIFS('Transaction Overview'!$D$2:$D$1850,'Transaction Overview'!$I$2:$I$1850,$A77,'Transaction Overview'!$H$2:$H$1850,H$4)</f>
        <v>-29000</v>
      </c>
      <c r="I77" s="7" t="n">
        <f aca="false">SUMIFS('Transaction Overview'!$D$2:$D$1850,'Transaction Overview'!$I$2:$I$1850,$A77,'Transaction Overview'!$H$2:$H$1850,I$4)</f>
        <v>-22000</v>
      </c>
      <c r="J77" s="7" t="n">
        <f aca="false">SUMIFS('Transaction Overview'!$D$2:$D$1850,'Transaction Overview'!$I$2:$I$1850,$A77,'Transaction Overview'!$H$2:$H$1850,J$4)</f>
        <v>-40000</v>
      </c>
      <c r="K77" s="7" t="n">
        <f aca="false">SUMIFS('Transaction Overview'!$D$2:$D$1850,'Transaction Overview'!$I$2:$I$1850,$A77,'Transaction Overview'!$H$2:$H$1850,K$4)</f>
        <v>-26000</v>
      </c>
      <c r="L77" s="7" t="n">
        <f aca="false">SUMIFS('Transaction Overview'!$D$2:$D$1850,'Transaction Overview'!$I$2:$I$1850,$A77,'Transaction Overview'!$H$2:$H$1850,L$4)</f>
        <v>-26000</v>
      </c>
      <c r="M77" s="7" t="n">
        <f aca="false">SUMIFS('Transaction Overview'!$D$2:$D$1850,'Transaction Overview'!$I$2:$I$1850,$A77,'Transaction Overview'!$H$2:$H$1850,M$4)</f>
        <v>-31000</v>
      </c>
      <c r="N77" s="7" t="n">
        <f aca="false">SUM(B77:M77)</f>
        <v>-304000</v>
      </c>
    </row>
    <row r="78" customFormat="false" ht="15" hidden="false" customHeight="false" outlineLevel="0" collapsed="false">
      <c r="A78" s="0" t="s">
        <v>97</v>
      </c>
      <c r="B78" s="7" t="n">
        <f aca="false">SUMIFS('Transaction Overview'!$D$2:$D$1850,'Transaction Overview'!$I$2:$I$1850,$A78,'Transaction Overview'!$H$2:$H$1850,B$4)</f>
        <v>-2000</v>
      </c>
      <c r="C78" s="7" t="n">
        <f aca="false">SUMIFS('Transaction Overview'!$D$2:$D$1850,'Transaction Overview'!$I$2:$I$1850,$A78,'Transaction Overview'!$H$2:$H$1850,C$4)</f>
        <v>-300</v>
      </c>
      <c r="D78" s="7" t="n">
        <f aca="false">SUMIFS('Transaction Overview'!$D$2:$D$1850,'Transaction Overview'!$I$2:$I$1850,$A78,'Transaction Overview'!$H$2:$H$1850,D$4)</f>
        <v>-2500</v>
      </c>
      <c r="E78" s="7" t="n">
        <f aca="false">SUMIFS('Transaction Overview'!$D$2:$D$1850,'Transaction Overview'!$I$2:$I$1850,$A78,'Transaction Overview'!$H$2:$H$1850,E$4)</f>
        <v>-1000</v>
      </c>
      <c r="F78" s="7" t="n">
        <f aca="false">SUMIFS('Transaction Overview'!$D$2:$D$1850,'Transaction Overview'!$I$2:$I$1850,$A78,'Transaction Overview'!$H$2:$H$1850,F$4)</f>
        <v>-2000</v>
      </c>
      <c r="G78" s="7" t="n">
        <f aca="false">SUMIFS('Transaction Overview'!$D$2:$D$1850,'Transaction Overview'!$I$2:$I$1850,$A78,'Transaction Overview'!$H$2:$H$1850,G$4)</f>
        <v>-3550</v>
      </c>
      <c r="H78" s="7" t="n">
        <f aca="false">SUMIFS('Transaction Overview'!$D$2:$D$1850,'Transaction Overview'!$I$2:$I$1850,$A78,'Transaction Overview'!$H$2:$H$1850,H$4)</f>
        <v>-1000</v>
      </c>
      <c r="I78" s="7" t="n">
        <f aca="false">SUMIFS('Transaction Overview'!$D$2:$D$1850,'Transaction Overview'!$I$2:$I$1850,$A78,'Transaction Overview'!$H$2:$H$1850,I$4)</f>
        <v>-3000</v>
      </c>
      <c r="J78" s="7" t="n">
        <f aca="false">SUMIFS('Transaction Overview'!$D$2:$D$1850,'Transaction Overview'!$I$2:$I$1850,$A78,'Transaction Overview'!$H$2:$H$1850,J$4)</f>
        <v>0</v>
      </c>
      <c r="K78" s="7" t="n">
        <f aca="false">SUMIFS('Transaction Overview'!$D$2:$D$1850,'Transaction Overview'!$I$2:$I$1850,$A78,'Transaction Overview'!$H$2:$H$1850,K$4)</f>
        <v>-2000</v>
      </c>
      <c r="L78" s="7" t="n">
        <f aca="false">SUMIFS('Transaction Overview'!$D$2:$D$1850,'Transaction Overview'!$I$2:$I$1850,$A78,'Transaction Overview'!$H$2:$H$1850,L$4)</f>
        <v>0</v>
      </c>
      <c r="M78" s="7" t="n">
        <f aca="false">SUMIFS('Transaction Overview'!$D$2:$D$1850,'Transaction Overview'!$I$2:$I$1850,$A78,'Transaction Overview'!$H$2:$H$1850,M$4)</f>
        <v>-2300</v>
      </c>
      <c r="N78" s="7" t="n">
        <f aca="false">SUM(B78:M78)</f>
        <v>-19650</v>
      </c>
    </row>
    <row r="79" customFormat="false" ht="15" hidden="false" customHeight="false" outlineLevel="0" collapsed="false">
      <c r="A79" s="0" t="s">
        <v>98</v>
      </c>
      <c r="B79" s="7" t="n">
        <f aca="false">SUMIFS('Transaction Overview'!$D$2:$D$1850,'Transaction Overview'!$I$2:$I$1850,$A79,'Transaction Overview'!$H$2:$H$1850,B$4)</f>
        <v>-10000</v>
      </c>
      <c r="C79" s="7" t="n">
        <f aca="false">SUMIFS('Transaction Overview'!$D$2:$D$1850,'Transaction Overview'!$I$2:$I$1850,$A79,'Transaction Overview'!$H$2:$H$1850,C$4)</f>
        <v>-6000</v>
      </c>
      <c r="D79" s="7" t="n">
        <f aca="false">SUMIFS('Transaction Overview'!$D$2:$D$1850,'Transaction Overview'!$I$2:$I$1850,$A79,'Transaction Overview'!$H$2:$H$1850,D$4)</f>
        <v>-8000</v>
      </c>
      <c r="E79" s="7" t="n">
        <f aca="false">SUMIFS('Transaction Overview'!$D$2:$D$1850,'Transaction Overview'!$I$2:$I$1850,$A79,'Transaction Overview'!$H$2:$H$1850,E$4)</f>
        <v>-8000</v>
      </c>
      <c r="F79" s="7" t="n">
        <f aca="false">SUMIFS('Transaction Overview'!$D$2:$D$1850,'Transaction Overview'!$I$2:$I$1850,$A79,'Transaction Overview'!$H$2:$H$1850,F$4)</f>
        <v>-8000</v>
      </c>
      <c r="G79" s="7" t="n">
        <f aca="false">SUMIFS('Transaction Overview'!$D$2:$D$1850,'Transaction Overview'!$I$2:$I$1850,$A79,'Transaction Overview'!$H$2:$H$1850,G$4)</f>
        <v>-32000</v>
      </c>
      <c r="H79" s="7" t="n">
        <f aca="false">SUMIFS('Transaction Overview'!$D$2:$D$1850,'Transaction Overview'!$I$2:$I$1850,$A79,'Transaction Overview'!$H$2:$H$1850,H$4)</f>
        <v>-15000</v>
      </c>
      <c r="I79" s="7" t="n">
        <f aca="false">SUMIFS('Transaction Overview'!$D$2:$D$1850,'Transaction Overview'!$I$2:$I$1850,$A79,'Transaction Overview'!$H$2:$H$1850,I$4)</f>
        <v>-10000</v>
      </c>
      <c r="J79" s="7" t="n">
        <f aca="false">SUMIFS('Transaction Overview'!$D$2:$D$1850,'Transaction Overview'!$I$2:$I$1850,$A79,'Transaction Overview'!$H$2:$H$1850,J$4)</f>
        <v>-2000</v>
      </c>
      <c r="K79" s="7" t="n">
        <f aca="false">SUMIFS('Transaction Overview'!$D$2:$D$1850,'Transaction Overview'!$I$2:$I$1850,$A79,'Transaction Overview'!$H$2:$H$1850,K$4)</f>
        <v>-10000</v>
      </c>
      <c r="L79" s="7" t="n">
        <f aca="false">SUMIFS('Transaction Overview'!$D$2:$D$1850,'Transaction Overview'!$I$2:$I$1850,$A79,'Transaction Overview'!$H$2:$H$1850,L$4)</f>
        <v>-5000</v>
      </c>
      <c r="M79" s="7" t="n">
        <f aca="false">SUMIFS('Transaction Overview'!$D$2:$D$1850,'Transaction Overview'!$I$2:$I$1850,$A79,'Transaction Overview'!$H$2:$H$1850,M$4)</f>
        <v>-10000</v>
      </c>
      <c r="N79" s="7" t="n">
        <f aca="false">SUM(B79:M79)</f>
        <v>-124000</v>
      </c>
    </row>
    <row r="80" customFormat="false" ht="15" hidden="false" customHeight="false" outlineLevel="0" collapsed="false">
      <c r="A80" s="9" t="s">
        <v>100</v>
      </c>
    </row>
    <row r="81" customFormat="false" ht="15" hidden="false" customHeight="false" outlineLevel="0" collapsed="false">
      <c r="A81" s="0" t="s">
        <v>101</v>
      </c>
      <c r="B81" s="7" t="n">
        <f aca="false">SUMIFS('Transaction Overview'!$D$2:$D$1850,'Transaction Overview'!$I$2:$I$1850,$A81,'Transaction Overview'!$H$2:$H$1850,B$4)</f>
        <v>-2465.25</v>
      </c>
      <c r="C81" s="7" t="n">
        <f aca="false">SUMIFS('Transaction Overview'!$D$2:$D$1850,'Transaction Overview'!$I$2:$I$1850,$A81,'Transaction Overview'!$H$2:$H$1850,C$4)</f>
        <v>-64630.22</v>
      </c>
      <c r="D81" s="7" t="n">
        <f aca="false">SUMIFS('Transaction Overview'!$D$2:$D$1850,'Transaction Overview'!$I$2:$I$1850,$A81,'Transaction Overview'!$H$2:$H$1850,D$4)</f>
        <v>0</v>
      </c>
      <c r="E81" s="7" t="n">
        <f aca="false">SUMIFS('Transaction Overview'!$D$2:$D$1850,'Transaction Overview'!$I$2:$I$1850,$A81,'Transaction Overview'!$H$2:$H$1850,E$4)</f>
        <v>-918.66</v>
      </c>
      <c r="F81" s="7" t="n">
        <f aca="false">SUMIFS('Transaction Overview'!$D$2:$D$1850,'Transaction Overview'!$I$2:$I$1850,$A81,'Transaction Overview'!$H$2:$H$1850,F$4)</f>
        <v>0</v>
      </c>
      <c r="G81" s="7" t="n">
        <f aca="false">SUMIFS('Transaction Overview'!$D$2:$D$1850,'Transaction Overview'!$I$2:$I$1850,$A81,'Transaction Overview'!$H$2:$H$1850,G$4)</f>
        <v>-63792.04</v>
      </c>
      <c r="H81" s="7" t="n">
        <f aca="false">SUMIFS('Transaction Overview'!$D$2:$D$1850,'Transaction Overview'!$I$2:$I$1850,$A81,'Transaction Overview'!$H$2:$H$1850,H$4)</f>
        <v>-1373.57</v>
      </c>
      <c r="I81" s="7" t="n">
        <f aca="false">SUMIFS('Transaction Overview'!$D$2:$D$1850,'Transaction Overview'!$I$2:$I$1850,$A81,'Transaction Overview'!$H$2:$H$1850,I$4)</f>
        <v>-299.14</v>
      </c>
      <c r="J81" s="7" t="n">
        <f aca="false">SUMIFS('Transaction Overview'!$D$2:$D$1850,'Transaction Overview'!$I$2:$I$1850,$A81,'Transaction Overview'!$H$2:$H$1850,J$4)</f>
        <v>-176.36</v>
      </c>
      <c r="K81" s="7" t="n">
        <f aca="false">SUMIFS('Transaction Overview'!$D$2:$D$1850,'Transaction Overview'!$I$2:$I$1850,$A81,'Transaction Overview'!$H$2:$H$1850,K$4)</f>
        <v>-177.41</v>
      </c>
      <c r="L81" s="7" t="n">
        <f aca="false">SUMIFS('Transaction Overview'!$D$2:$D$1850,'Transaction Overview'!$I$2:$I$1850,$A81,'Transaction Overview'!$H$2:$H$1850,L$4)</f>
        <v>-95</v>
      </c>
      <c r="M81" s="7" t="n">
        <f aca="false">SUMIFS('Transaction Overview'!$D$2:$D$1850,'Transaction Overview'!$I$2:$I$1850,$A81,'Transaction Overview'!$H$2:$H$1850,M$4)</f>
        <v>-31152.9</v>
      </c>
      <c r="N81" s="7" t="n">
        <f aca="false">SUM(B81:M81)</f>
        <v>-165080.55</v>
      </c>
    </row>
    <row r="82" customFormat="false" ht="15" hidden="false" customHeight="false" outlineLevel="0" collapsed="false">
      <c r="A82" s="0" t="s">
        <v>102</v>
      </c>
      <c r="B82" s="7" t="n">
        <f aca="false">SUMIFS('Transaction Overview'!$D$2:$D$1850,'Transaction Overview'!$I$2:$I$1850,$A82,'Transaction Overview'!$H$2:$H$1850,B$4)</f>
        <v>-2524</v>
      </c>
      <c r="C82" s="7" t="n">
        <f aca="false">SUMIFS('Transaction Overview'!$D$2:$D$1850,'Transaction Overview'!$I$2:$I$1850,$A82,'Transaction Overview'!$H$2:$H$1850,C$4)</f>
        <v>-2524</v>
      </c>
      <c r="D82" s="7" t="n">
        <f aca="false">SUMIFS('Transaction Overview'!$D$2:$D$1850,'Transaction Overview'!$I$2:$I$1850,$A82,'Transaction Overview'!$H$2:$H$1850,D$4)</f>
        <v>-2524</v>
      </c>
      <c r="E82" s="7" t="n">
        <f aca="false">SUMIFS('Transaction Overview'!$D$2:$D$1850,'Transaction Overview'!$I$2:$I$1850,$A82,'Transaction Overview'!$H$2:$H$1850,E$4)</f>
        <v>-2524</v>
      </c>
      <c r="F82" s="7" t="n">
        <f aca="false">SUMIFS('Transaction Overview'!$D$2:$D$1850,'Transaction Overview'!$I$2:$I$1850,$A82,'Transaction Overview'!$H$2:$H$1850,F$4)</f>
        <v>0</v>
      </c>
      <c r="G82" s="7" t="n">
        <f aca="false">SUMIFS('Transaction Overview'!$D$2:$D$1850,'Transaction Overview'!$I$2:$I$1850,$A82,'Transaction Overview'!$H$2:$H$1850,G$4)</f>
        <v>0</v>
      </c>
      <c r="H82" s="7" t="n">
        <f aca="false">SUMIFS('Transaction Overview'!$D$2:$D$1850,'Transaction Overview'!$I$2:$I$1850,$A82,'Transaction Overview'!$H$2:$H$1850,H$4)</f>
        <v>0</v>
      </c>
      <c r="I82" s="7" t="n">
        <f aca="false">SUMIFS('Transaction Overview'!$D$2:$D$1850,'Transaction Overview'!$I$2:$I$1850,$A82,'Transaction Overview'!$H$2:$H$1850,I$4)</f>
        <v>0</v>
      </c>
      <c r="J82" s="7" t="n">
        <f aca="false">SUMIFS('Transaction Overview'!$D$2:$D$1850,'Transaction Overview'!$I$2:$I$1850,$A82,'Transaction Overview'!$H$2:$H$1850,J$4)</f>
        <v>0</v>
      </c>
      <c r="K82" s="7" t="n">
        <f aca="false">SUMIFS('Transaction Overview'!$D$2:$D$1850,'Transaction Overview'!$I$2:$I$1850,$A82,'Transaction Overview'!$H$2:$H$1850,K$4)</f>
        <v>0</v>
      </c>
      <c r="L82" s="7" t="n">
        <f aca="false">SUMIFS('Transaction Overview'!$D$2:$D$1850,'Transaction Overview'!$I$2:$I$1850,$A82,'Transaction Overview'!$H$2:$H$1850,L$4)</f>
        <v>0</v>
      </c>
      <c r="M82" s="7" t="n">
        <f aca="false">SUMIFS('Transaction Overview'!$D$2:$D$1850,'Transaction Overview'!$I$2:$I$1850,$A82,'Transaction Overview'!$H$2:$H$1850,M$4)</f>
        <v>0</v>
      </c>
      <c r="N82" s="7" t="n">
        <f aca="false">SUM(B82:M82)</f>
        <v>-10096</v>
      </c>
    </row>
    <row r="83" customFormat="false" ht="15" hidden="false" customHeight="false" outlineLevel="0" collapsed="false">
      <c r="A83" s="0" t="s">
        <v>103</v>
      </c>
      <c r="B83" s="7" t="n">
        <f aca="false">SUMIFS('Transaction Overview'!$D$2:$D$1850,'Transaction Overview'!$I$2:$I$1850,$A83,'Transaction Overview'!$H$2:$H$1850,B$4)</f>
        <v>0</v>
      </c>
      <c r="C83" s="7" t="n">
        <f aca="false">SUMIFS('Transaction Overview'!$D$2:$D$1850,'Transaction Overview'!$I$2:$I$1850,$A83,'Transaction Overview'!$H$2:$H$1850,C$4)</f>
        <v>0</v>
      </c>
      <c r="D83" s="7" t="n">
        <f aca="false">SUMIFS('Transaction Overview'!$D$2:$D$1850,'Transaction Overview'!$I$2:$I$1850,$A83,'Transaction Overview'!$H$2:$H$1850,D$4)</f>
        <v>0</v>
      </c>
      <c r="E83" s="7" t="n">
        <f aca="false">SUMIFS('Transaction Overview'!$D$2:$D$1850,'Transaction Overview'!$I$2:$I$1850,$A83,'Transaction Overview'!$H$2:$H$1850,E$4)</f>
        <v>0</v>
      </c>
      <c r="F83" s="7" t="n">
        <f aca="false">SUMIFS('Transaction Overview'!$D$2:$D$1850,'Transaction Overview'!$I$2:$I$1850,$A83,'Transaction Overview'!$H$2:$H$1850,F$4)</f>
        <v>-2524</v>
      </c>
      <c r="G83" s="7" t="n">
        <f aca="false">SUMIFS('Transaction Overview'!$D$2:$D$1850,'Transaction Overview'!$I$2:$I$1850,$A83,'Transaction Overview'!$H$2:$H$1850,G$4)</f>
        <v>-2524</v>
      </c>
      <c r="H83" s="7" t="n">
        <f aca="false">SUMIFS('Transaction Overview'!$D$2:$D$1850,'Transaction Overview'!$I$2:$I$1850,$A83,'Transaction Overview'!$H$2:$H$1850,H$4)</f>
        <v>-2524</v>
      </c>
      <c r="I83" s="7" t="n">
        <f aca="false">SUMIFS('Transaction Overview'!$D$2:$D$1850,'Transaction Overview'!$I$2:$I$1850,$A83,'Transaction Overview'!$H$2:$H$1850,I$4)</f>
        <v>0</v>
      </c>
      <c r="J83" s="7" t="n">
        <f aca="false">SUMIFS('Transaction Overview'!$D$2:$D$1850,'Transaction Overview'!$I$2:$I$1850,$A83,'Transaction Overview'!$H$2:$H$1850,J$4)</f>
        <v>-5048</v>
      </c>
      <c r="K83" s="7" t="n">
        <f aca="false">SUMIFS('Transaction Overview'!$D$2:$D$1850,'Transaction Overview'!$I$2:$I$1850,$A83,'Transaction Overview'!$H$2:$H$1850,K$4)</f>
        <v>-2524</v>
      </c>
      <c r="L83" s="7" t="n">
        <f aca="false">SUMIFS('Transaction Overview'!$D$2:$D$1850,'Transaction Overview'!$I$2:$I$1850,$A83,'Transaction Overview'!$H$2:$H$1850,L$4)</f>
        <v>0</v>
      </c>
      <c r="M83" s="7" t="n">
        <f aca="false">SUMIFS('Transaction Overview'!$D$2:$D$1850,'Transaction Overview'!$I$2:$I$1850,$A83,'Transaction Overview'!$H$2:$H$1850,M$4)</f>
        <v>-5048</v>
      </c>
      <c r="N83" s="7" t="n">
        <f aca="false">SUM(B83:M83)</f>
        <v>-20192</v>
      </c>
    </row>
    <row r="84" customFormat="false" ht="15" hidden="false" customHeight="false" outlineLevel="0" collapsed="false">
      <c r="A84" s="9" t="s">
        <v>105</v>
      </c>
    </row>
    <row r="85" customFormat="false" ht="15" hidden="false" customHeight="false" outlineLevel="0" collapsed="false">
      <c r="A85" s="0" t="s">
        <v>105</v>
      </c>
      <c r="B85" s="7" t="n">
        <f aca="false">SUMIFS('Transaction Overview'!$D$2:$D$1850,'Transaction Overview'!$I$2:$I$1850,$A85,'Transaction Overview'!$H$2:$H$1850,B$4)</f>
        <v>-9307.5</v>
      </c>
      <c r="C85" s="7" t="n">
        <f aca="false">SUMIFS('Transaction Overview'!$D$2:$D$1850,'Transaction Overview'!$I$2:$I$1850,$A85,'Transaction Overview'!$H$2:$H$1850,C$4)</f>
        <v>0</v>
      </c>
      <c r="D85" s="7" t="n">
        <f aca="false">SUMIFS('Transaction Overview'!$D$2:$D$1850,'Transaction Overview'!$I$2:$I$1850,$A85,'Transaction Overview'!$H$2:$H$1850,D$4)</f>
        <v>0</v>
      </c>
      <c r="E85" s="7" t="n">
        <f aca="false">SUMIFS('Transaction Overview'!$D$2:$D$1850,'Transaction Overview'!$I$2:$I$1850,$A85,'Transaction Overview'!$H$2:$H$1850,E$4)</f>
        <v>0</v>
      </c>
      <c r="F85" s="7" t="n">
        <f aca="false">SUMIFS('Transaction Overview'!$D$2:$D$1850,'Transaction Overview'!$I$2:$I$1850,$A85,'Transaction Overview'!$H$2:$H$1850,F$4)</f>
        <v>0</v>
      </c>
      <c r="G85" s="7" t="n">
        <f aca="false">SUMIFS('Transaction Overview'!$D$2:$D$1850,'Transaction Overview'!$I$2:$I$1850,$A85,'Transaction Overview'!$H$2:$H$1850,G$4)</f>
        <v>0</v>
      </c>
      <c r="H85" s="7" t="n">
        <f aca="false">SUMIFS('Transaction Overview'!$D$2:$D$1850,'Transaction Overview'!$I$2:$I$1850,$A85,'Transaction Overview'!$H$2:$H$1850,H$4)</f>
        <v>0</v>
      </c>
      <c r="I85" s="7" t="n">
        <f aca="false">SUMIFS('Transaction Overview'!$D$2:$D$1850,'Transaction Overview'!$I$2:$I$1850,$A85,'Transaction Overview'!$H$2:$H$1850,I$4)</f>
        <v>0</v>
      </c>
      <c r="J85" s="7" t="n">
        <f aca="false">SUMIFS('Transaction Overview'!$D$2:$D$1850,'Transaction Overview'!$I$2:$I$1850,$A85,'Transaction Overview'!$H$2:$H$1850,J$4)</f>
        <v>0</v>
      </c>
      <c r="K85" s="7" t="n">
        <f aca="false">SUMIFS('Transaction Overview'!$D$2:$D$1850,'Transaction Overview'!$I$2:$I$1850,$A85,'Transaction Overview'!$H$2:$H$1850,K$4)</f>
        <v>0</v>
      </c>
      <c r="L85" s="7" t="n">
        <f aca="false">SUMIFS('Transaction Overview'!$D$2:$D$1850,'Transaction Overview'!$I$2:$I$1850,$A85,'Transaction Overview'!$H$2:$H$1850,L$4)</f>
        <v>-15</v>
      </c>
      <c r="M85" s="7" t="n">
        <f aca="false">SUMIFS('Transaction Overview'!$D$2:$D$1850,'Transaction Overview'!$I$2:$I$1850,$A85,'Transaction Overview'!$H$2:$H$1850,M$4)</f>
        <v>0</v>
      </c>
      <c r="N85" s="7" t="n">
        <f aca="false">SUM(B85:M85)</f>
        <v>-9322.5</v>
      </c>
    </row>
    <row r="86" customFormat="false" ht="15" hidden="false" customHeight="false" outlineLevel="0" collapsed="false">
      <c r="A86" s="9" t="s">
        <v>107</v>
      </c>
    </row>
    <row r="87" customFormat="false" ht="15" hidden="false" customHeight="false" outlineLevel="0" collapsed="false">
      <c r="A87" s="0" t="s">
        <v>108</v>
      </c>
      <c r="B87" s="7" t="n">
        <f aca="false">SUMIFS('Transaction Overview'!$D$2:$D$1850,'Transaction Overview'!$I$2:$I$1850,$A87,'Transaction Overview'!$H$2:$H$1850,B$4)</f>
        <v>0</v>
      </c>
      <c r="C87" s="7" t="n">
        <f aca="false">SUMIFS('Transaction Overview'!$D$2:$D$1850,'Transaction Overview'!$I$2:$I$1850,$A87,'Transaction Overview'!$H$2:$H$1850,C$4)</f>
        <v>0</v>
      </c>
      <c r="D87" s="7" t="n">
        <f aca="false">SUMIFS('Transaction Overview'!$D$2:$D$1850,'Transaction Overview'!$I$2:$I$1850,$A87,'Transaction Overview'!$H$2:$H$1850,D$4)</f>
        <v>0</v>
      </c>
      <c r="E87" s="7" t="n">
        <f aca="false">SUMIFS('Transaction Overview'!$D$2:$D$1850,'Transaction Overview'!$I$2:$I$1850,$A87,'Transaction Overview'!$H$2:$H$1850,E$4)</f>
        <v>0</v>
      </c>
      <c r="F87" s="7" t="n">
        <f aca="false">SUMIFS('Transaction Overview'!$D$2:$D$1850,'Transaction Overview'!$I$2:$I$1850,$A87,'Transaction Overview'!$H$2:$H$1850,F$4)</f>
        <v>0</v>
      </c>
      <c r="G87" s="7" t="n">
        <f aca="false">SUMIFS('Transaction Overview'!$D$2:$D$1850,'Transaction Overview'!$I$2:$I$1850,$A87,'Transaction Overview'!$H$2:$H$1850,G$4)</f>
        <v>0</v>
      </c>
      <c r="H87" s="7" t="n">
        <f aca="false">SUMIFS('Transaction Overview'!$D$2:$D$1850,'Transaction Overview'!$I$2:$I$1850,$A87,'Transaction Overview'!$H$2:$H$1850,H$4)</f>
        <v>-21.28</v>
      </c>
      <c r="I87" s="7" t="n">
        <f aca="false">SUMIFS('Transaction Overview'!$D$2:$D$1850,'Transaction Overview'!$I$2:$I$1850,$A87,'Transaction Overview'!$H$2:$H$1850,I$4)</f>
        <v>-21.28</v>
      </c>
      <c r="J87" s="7" t="n">
        <f aca="false">SUMIFS('Transaction Overview'!$D$2:$D$1850,'Transaction Overview'!$I$2:$I$1850,$A87,'Transaction Overview'!$H$2:$H$1850,J$4)</f>
        <v>0</v>
      </c>
      <c r="K87" s="7" t="n">
        <f aca="false">SUMIFS('Transaction Overview'!$D$2:$D$1850,'Transaction Overview'!$I$2:$I$1850,$A87,'Transaction Overview'!$H$2:$H$1850,K$4)</f>
        <v>-21.28</v>
      </c>
      <c r="L87" s="7" t="n">
        <f aca="false">SUMIFS('Transaction Overview'!$D$2:$D$1850,'Transaction Overview'!$I$2:$I$1850,$A87,'Transaction Overview'!$H$2:$H$1850,L$4)</f>
        <v>-21.28</v>
      </c>
      <c r="M87" s="7" t="n">
        <f aca="false">SUMIFS('Transaction Overview'!$D$2:$D$1850,'Transaction Overview'!$I$2:$I$1850,$A87,'Transaction Overview'!$H$2:$H$1850,M$4)</f>
        <v>-21.28</v>
      </c>
      <c r="N87" s="7" t="n">
        <f aca="false">SUM(B87:M87)</f>
        <v>-106.4</v>
      </c>
    </row>
    <row r="88" customFormat="false" ht="15" hidden="false" customHeight="false" outlineLevel="0" collapsed="false">
      <c r="A88" s="0" t="s">
        <v>109</v>
      </c>
      <c r="B88" s="7" t="n">
        <f aca="false">SUMIFS('Transaction Overview'!$D$2:$D$1850,'Transaction Overview'!$I$2:$I$1850,$A88,'Transaction Overview'!$H$2:$H$1850,B$4)</f>
        <v>-90.18</v>
      </c>
      <c r="C88" s="7" t="n">
        <f aca="false">SUMIFS('Transaction Overview'!$D$2:$D$1850,'Transaction Overview'!$I$2:$I$1850,$A88,'Transaction Overview'!$H$2:$H$1850,C$4)</f>
        <v>-234.95</v>
      </c>
      <c r="D88" s="7" t="n">
        <f aca="false">SUMIFS('Transaction Overview'!$D$2:$D$1850,'Transaction Overview'!$I$2:$I$1850,$A88,'Transaction Overview'!$H$2:$H$1850,D$4)</f>
        <v>0</v>
      </c>
      <c r="E88" s="7" t="n">
        <f aca="false">SUMIFS('Transaction Overview'!$D$2:$D$1850,'Transaction Overview'!$I$2:$I$1850,$A88,'Transaction Overview'!$H$2:$H$1850,E$4)</f>
        <v>-67.5</v>
      </c>
      <c r="F88" s="7" t="n">
        <f aca="false">SUMIFS('Transaction Overview'!$D$2:$D$1850,'Transaction Overview'!$I$2:$I$1850,$A88,'Transaction Overview'!$H$2:$H$1850,F$4)</f>
        <v>-12.5</v>
      </c>
      <c r="G88" s="7" t="n">
        <f aca="false">SUMIFS('Transaction Overview'!$D$2:$D$1850,'Transaction Overview'!$I$2:$I$1850,$A88,'Transaction Overview'!$H$2:$H$1850,G$4)</f>
        <v>0</v>
      </c>
      <c r="H88" s="7" t="n">
        <f aca="false">SUMIFS('Transaction Overview'!$D$2:$D$1850,'Transaction Overview'!$I$2:$I$1850,$A88,'Transaction Overview'!$H$2:$H$1850,H$4)</f>
        <v>0</v>
      </c>
      <c r="I88" s="7" t="n">
        <f aca="false">SUMIFS('Transaction Overview'!$D$2:$D$1850,'Transaction Overview'!$I$2:$I$1850,$A88,'Transaction Overview'!$H$2:$H$1850,I$4)</f>
        <v>0</v>
      </c>
      <c r="J88" s="7" t="n">
        <f aca="false">SUMIFS('Transaction Overview'!$D$2:$D$1850,'Transaction Overview'!$I$2:$I$1850,$A88,'Transaction Overview'!$H$2:$H$1850,J$4)</f>
        <v>0</v>
      </c>
      <c r="K88" s="7" t="n">
        <f aca="false">SUMIFS('Transaction Overview'!$D$2:$D$1850,'Transaction Overview'!$I$2:$I$1850,$A88,'Transaction Overview'!$H$2:$H$1850,K$4)</f>
        <v>0</v>
      </c>
      <c r="L88" s="7" t="n">
        <f aca="false">SUMIFS('Transaction Overview'!$D$2:$D$1850,'Transaction Overview'!$I$2:$I$1850,$A88,'Transaction Overview'!$H$2:$H$1850,L$4)</f>
        <v>0</v>
      </c>
      <c r="M88" s="7" t="n">
        <f aca="false">SUMIFS('Transaction Overview'!$D$2:$D$1850,'Transaction Overview'!$I$2:$I$1850,$A88,'Transaction Overview'!$H$2:$H$1850,M$4)</f>
        <v>0</v>
      </c>
      <c r="N88" s="7" t="n">
        <f aca="false">SUM(B88:M88)</f>
        <v>-405.13</v>
      </c>
    </row>
    <row r="89" customFormat="false" ht="15" hidden="false" customHeight="false" outlineLevel="0" collapsed="false">
      <c r="A89" s="0" t="s">
        <v>110</v>
      </c>
      <c r="B89" s="7" t="n">
        <f aca="false">SUMIFS('Transaction Overview'!$D$2:$D$1850,'Transaction Overview'!$I$2:$I$1850,$A89,'Transaction Overview'!$H$2:$H$1850,B$4)</f>
        <v>0</v>
      </c>
      <c r="C89" s="7" t="n">
        <f aca="false">SUMIFS('Transaction Overview'!$D$2:$D$1850,'Transaction Overview'!$I$2:$I$1850,$A89,'Transaction Overview'!$H$2:$H$1850,C$4)</f>
        <v>0</v>
      </c>
      <c r="D89" s="7" t="n">
        <f aca="false">SUMIFS('Transaction Overview'!$D$2:$D$1850,'Transaction Overview'!$I$2:$I$1850,$A89,'Transaction Overview'!$H$2:$H$1850,D$4)</f>
        <v>-17.5</v>
      </c>
      <c r="E89" s="7" t="n">
        <f aca="false">SUMIFS('Transaction Overview'!$D$2:$D$1850,'Transaction Overview'!$I$2:$I$1850,$A89,'Transaction Overview'!$H$2:$H$1850,E$4)</f>
        <v>0</v>
      </c>
      <c r="F89" s="7" t="n">
        <f aca="false">SUMIFS('Transaction Overview'!$D$2:$D$1850,'Transaction Overview'!$I$2:$I$1850,$A89,'Transaction Overview'!$H$2:$H$1850,F$4)</f>
        <v>0</v>
      </c>
      <c r="G89" s="7" t="n">
        <f aca="false">SUMIFS('Transaction Overview'!$D$2:$D$1850,'Transaction Overview'!$I$2:$I$1850,$A89,'Transaction Overview'!$H$2:$H$1850,G$4)</f>
        <v>-15</v>
      </c>
      <c r="H89" s="7" t="n">
        <f aca="false">SUMIFS('Transaction Overview'!$D$2:$D$1850,'Transaction Overview'!$I$2:$I$1850,$A89,'Transaction Overview'!$H$2:$H$1850,H$4)</f>
        <v>-25.6</v>
      </c>
      <c r="I89" s="7" t="n">
        <f aca="false">SUMIFS('Transaction Overview'!$D$2:$D$1850,'Transaction Overview'!$I$2:$I$1850,$A89,'Transaction Overview'!$H$2:$H$1850,I$4)</f>
        <v>-51.5</v>
      </c>
      <c r="J89" s="7" t="n">
        <f aca="false">SUMIFS('Transaction Overview'!$D$2:$D$1850,'Transaction Overview'!$I$2:$I$1850,$A89,'Transaction Overview'!$H$2:$H$1850,J$4)</f>
        <v>-33.81</v>
      </c>
      <c r="K89" s="7" t="n">
        <f aca="false">SUMIFS('Transaction Overview'!$D$2:$D$1850,'Transaction Overview'!$I$2:$I$1850,$A89,'Transaction Overview'!$H$2:$H$1850,K$4)</f>
        <v>-20.6</v>
      </c>
      <c r="L89" s="7" t="n">
        <f aca="false">SUMIFS('Transaction Overview'!$D$2:$D$1850,'Transaction Overview'!$I$2:$I$1850,$A89,'Transaction Overview'!$H$2:$H$1850,L$4)</f>
        <v>-53.3</v>
      </c>
      <c r="M89" s="7" t="n">
        <f aca="false">SUMIFS('Transaction Overview'!$D$2:$D$1850,'Transaction Overview'!$I$2:$I$1850,$A89,'Transaction Overview'!$H$2:$H$1850,M$4)</f>
        <v>-20</v>
      </c>
      <c r="N89" s="7" t="n">
        <f aca="false">SUM(B89:M89)</f>
        <v>-237.31</v>
      </c>
    </row>
    <row r="90" customFormat="false" ht="15" hidden="false" customHeight="false" outlineLevel="0" collapsed="false">
      <c r="A90" s="0" t="s">
        <v>111</v>
      </c>
      <c r="B90" s="7" t="n">
        <f aca="false">SUMIFS('Transaction Overview'!$D$2:$D$1850,'Transaction Overview'!$I$2:$I$1850,$A90,'Transaction Overview'!$H$2:$H$1850,B$4)</f>
        <v>0</v>
      </c>
      <c r="C90" s="7" t="n">
        <f aca="false">SUMIFS('Transaction Overview'!$D$2:$D$1850,'Transaction Overview'!$I$2:$I$1850,$A90,'Transaction Overview'!$H$2:$H$1850,C$4)</f>
        <v>0</v>
      </c>
      <c r="D90" s="7" t="n">
        <f aca="false">SUMIFS('Transaction Overview'!$D$2:$D$1850,'Transaction Overview'!$I$2:$I$1850,$A90,'Transaction Overview'!$H$2:$H$1850,D$4)</f>
        <v>0</v>
      </c>
      <c r="E90" s="7" t="n">
        <f aca="false">SUMIFS('Transaction Overview'!$D$2:$D$1850,'Transaction Overview'!$I$2:$I$1850,$A90,'Transaction Overview'!$H$2:$H$1850,E$4)</f>
        <v>0</v>
      </c>
      <c r="F90" s="7" t="n">
        <f aca="false">SUMIFS('Transaction Overview'!$D$2:$D$1850,'Transaction Overview'!$I$2:$I$1850,$A90,'Transaction Overview'!$H$2:$H$1850,F$4)</f>
        <v>0</v>
      </c>
      <c r="G90" s="7" t="n">
        <f aca="false">SUMIFS('Transaction Overview'!$D$2:$D$1850,'Transaction Overview'!$I$2:$I$1850,$A90,'Transaction Overview'!$H$2:$H$1850,G$4)</f>
        <v>-1473.45</v>
      </c>
      <c r="H90" s="7" t="n">
        <f aca="false">SUMIFS('Transaction Overview'!$D$2:$D$1850,'Transaction Overview'!$I$2:$I$1850,$A90,'Transaction Overview'!$H$2:$H$1850,H$4)</f>
        <v>-1781</v>
      </c>
      <c r="I90" s="7" t="n">
        <f aca="false">SUMIFS('Transaction Overview'!$D$2:$D$1850,'Transaction Overview'!$I$2:$I$1850,$A90,'Transaction Overview'!$H$2:$H$1850,I$4)</f>
        <v>0</v>
      </c>
      <c r="J90" s="7" t="n">
        <f aca="false">SUMIFS('Transaction Overview'!$D$2:$D$1850,'Transaction Overview'!$I$2:$I$1850,$A90,'Transaction Overview'!$H$2:$H$1850,J$4)</f>
        <v>-1630.12</v>
      </c>
      <c r="K90" s="7" t="n">
        <f aca="false">SUMIFS('Transaction Overview'!$D$2:$D$1850,'Transaction Overview'!$I$2:$I$1850,$A90,'Transaction Overview'!$H$2:$H$1850,K$4)</f>
        <v>0</v>
      </c>
      <c r="L90" s="7" t="n">
        <f aca="false">SUMIFS('Transaction Overview'!$D$2:$D$1850,'Transaction Overview'!$I$2:$I$1850,$A90,'Transaction Overview'!$H$2:$H$1850,L$4)</f>
        <v>-1900</v>
      </c>
      <c r="M90" s="7" t="n">
        <f aca="false">SUMIFS('Transaction Overview'!$D$2:$D$1850,'Transaction Overview'!$I$2:$I$1850,$A90,'Transaction Overview'!$H$2:$H$1850,M$4)</f>
        <v>0</v>
      </c>
      <c r="N90" s="7" t="n">
        <f aca="false">SUM(B90:M90)</f>
        <v>-6784.57</v>
      </c>
    </row>
    <row r="91" customFormat="false" ht="15" hidden="false" customHeight="false" outlineLevel="0" collapsed="false">
      <c r="A91" s="0" t="s">
        <v>112</v>
      </c>
      <c r="B91" s="7" t="n">
        <f aca="false">SUMIFS('Transaction Overview'!$D$2:$D$1850,'Transaction Overview'!$I$2:$I$1850,$A91,'Transaction Overview'!$H$2:$H$1850,B$4)</f>
        <v>0</v>
      </c>
      <c r="C91" s="7" t="n">
        <f aca="false">SUMIFS('Transaction Overview'!$D$2:$D$1850,'Transaction Overview'!$I$2:$I$1850,$A91,'Transaction Overview'!$H$2:$H$1850,C$4)</f>
        <v>0</v>
      </c>
      <c r="D91" s="7" t="n">
        <f aca="false">SUMIFS('Transaction Overview'!$D$2:$D$1850,'Transaction Overview'!$I$2:$I$1850,$A91,'Transaction Overview'!$H$2:$H$1850,D$4)</f>
        <v>0</v>
      </c>
      <c r="E91" s="7" t="n">
        <f aca="false">SUMIFS('Transaction Overview'!$D$2:$D$1850,'Transaction Overview'!$I$2:$I$1850,$A91,'Transaction Overview'!$H$2:$H$1850,E$4)</f>
        <v>0</v>
      </c>
      <c r="F91" s="7" t="n">
        <f aca="false">SUMIFS('Transaction Overview'!$D$2:$D$1850,'Transaction Overview'!$I$2:$I$1850,$A91,'Transaction Overview'!$H$2:$H$1850,F$4)</f>
        <v>0</v>
      </c>
      <c r="G91" s="7" t="n">
        <f aca="false">SUMIFS('Transaction Overview'!$D$2:$D$1850,'Transaction Overview'!$I$2:$I$1850,$A91,'Transaction Overview'!$H$2:$H$1850,G$4)</f>
        <v>0</v>
      </c>
      <c r="H91" s="7" t="n">
        <f aca="false">SUMIFS('Transaction Overview'!$D$2:$D$1850,'Transaction Overview'!$I$2:$I$1850,$A91,'Transaction Overview'!$H$2:$H$1850,H$4)</f>
        <v>0</v>
      </c>
      <c r="I91" s="7" t="n">
        <f aca="false">SUMIFS('Transaction Overview'!$D$2:$D$1850,'Transaction Overview'!$I$2:$I$1850,$A91,'Transaction Overview'!$H$2:$H$1850,I$4)</f>
        <v>-1739.44</v>
      </c>
      <c r="J91" s="7" t="n">
        <f aca="false">SUMIFS('Transaction Overview'!$D$2:$D$1850,'Transaction Overview'!$I$2:$I$1850,$A91,'Transaction Overview'!$H$2:$H$1850,J$4)</f>
        <v>0</v>
      </c>
      <c r="K91" s="7" t="n">
        <f aca="false">SUMIFS('Transaction Overview'!$D$2:$D$1850,'Transaction Overview'!$I$2:$I$1850,$A91,'Transaction Overview'!$H$2:$H$1850,K$4)</f>
        <v>0</v>
      </c>
      <c r="L91" s="7" t="n">
        <f aca="false">SUMIFS('Transaction Overview'!$D$2:$D$1850,'Transaction Overview'!$I$2:$I$1850,$A91,'Transaction Overview'!$H$2:$H$1850,L$4)</f>
        <v>0</v>
      </c>
      <c r="M91" s="7" t="n">
        <f aca="false">SUMIFS('Transaction Overview'!$D$2:$D$1850,'Transaction Overview'!$I$2:$I$1850,$A91,'Transaction Overview'!$H$2:$H$1850,M$4)</f>
        <v>0</v>
      </c>
      <c r="N91" s="7" t="n">
        <f aca="false">SUM(B91:M91)</f>
        <v>-1739.44</v>
      </c>
    </row>
    <row r="92" customFormat="false" ht="15" hidden="false" customHeight="false" outlineLevel="0" collapsed="false">
      <c r="A92" s="0" t="s">
        <v>113</v>
      </c>
      <c r="B92" s="7" t="n">
        <f aca="false">SUMIFS('Transaction Overview'!$D$2:$D$1850,'Transaction Overview'!$I$2:$I$1850,$A92,'Transaction Overview'!$H$2:$H$1850,B$4)</f>
        <v>-2400</v>
      </c>
      <c r="C92" s="7" t="n">
        <f aca="false">SUMIFS('Transaction Overview'!$D$2:$D$1850,'Transaction Overview'!$I$2:$I$1850,$A92,'Transaction Overview'!$H$2:$H$1850,C$4)</f>
        <v>0</v>
      </c>
      <c r="D92" s="7" t="n">
        <f aca="false">SUMIFS('Transaction Overview'!$D$2:$D$1850,'Transaction Overview'!$I$2:$I$1850,$A92,'Transaction Overview'!$H$2:$H$1850,D$4)</f>
        <v>0</v>
      </c>
      <c r="E92" s="7" t="n">
        <f aca="false">SUMIFS('Transaction Overview'!$D$2:$D$1850,'Transaction Overview'!$I$2:$I$1850,$A92,'Transaction Overview'!$H$2:$H$1850,E$4)</f>
        <v>0</v>
      </c>
      <c r="F92" s="7" t="n">
        <f aca="false">SUMIFS('Transaction Overview'!$D$2:$D$1850,'Transaction Overview'!$I$2:$I$1850,$A92,'Transaction Overview'!$H$2:$H$1850,F$4)</f>
        <v>0</v>
      </c>
      <c r="G92" s="7" t="n">
        <f aca="false">SUMIFS('Transaction Overview'!$D$2:$D$1850,'Transaction Overview'!$I$2:$I$1850,$A92,'Transaction Overview'!$H$2:$H$1850,G$4)</f>
        <v>0</v>
      </c>
      <c r="H92" s="7" t="n">
        <f aca="false">SUMIFS('Transaction Overview'!$D$2:$D$1850,'Transaction Overview'!$I$2:$I$1850,$A92,'Transaction Overview'!$H$2:$H$1850,H$4)</f>
        <v>0</v>
      </c>
      <c r="I92" s="7" t="n">
        <f aca="false">SUMIFS('Transaction Overview'!$D$2:$D$1850,'Transaction Overview'!$I$2:$I$1850,$A92,'Transaction Overview'!$H$2:$H$1850,I$4)</f>
        <v>0</v>
      </c>
      <c r="J92" s="7" t="n">
        <f aca="false">SUMIFS('Transaction Overview'!$D$2:$D$1850,'Transaction Overview'!$I$2:$I$1850,$A92,'Transaction Overview'!$H$2:$H$1850,J$4)</f>
        <v>0</v>
      </c>
      <c r="K92" s="7" t="n">
        <f aca="false">SUMIFS('Transaction Overview'!$D$2:$D$1850,'Transaction Overview'!$I$2:$I$1850,$A92,'Transaction Overview'!$H$2:$H$1850,K$4)</f>
        <v>0</v>
      </c>
      <c r="L92" s="7" t="n">
        <f aca="false">SUMIFS('Transaction Overview'!$D$2:$D$1850,'Transaction Overview'!$I$2:$I$1850,$A92,'Transaction Overview'!$H$2:$H$1850,L$4)</f>
        <v>0</v>
      </c>
      <c r="M92" s="7" t="n">
        <f aca="false">SUMIFS('Transaction Overview'!$D$2:$D$1850,'Transaction Overview'!$I$2:$I$1850,$A92,'Transaction Overview'!$H$2:$H$1850,M$4)</f>
        <v>0</v>
      </c>
      <c r="N92" s="7" t="n">
        <f aca="false">SUM(B92:M92)</f>
        <v>-2400</v>
      </c>
    </row>
    <row r="93" customFormat="false" ht="15" hidden="false" customHeight="false" outlineLevel="0" collapsed="false">
      <c r="A93" s="0" t="s">
        <v>114</v>
      </c>
      <c r="B93" s="7" t="n">
        <f aca="false">SUMIFS('Transaction Overview'!$D$2:$D$1850,'Transaction Overview'!$I$2:$I$1850,$A93,'Transaction Overview'!$H$2:$H$1850,B$4)</f>
        <v>-12.99</v>
      </c>
      <c r="C93" s="7" t="n">
        <f aca="false">SUMIFS('Transaction Overview'!$D$2:$D$1850,'Transaction Overview'!$I$2:$I$1850,$A93,'Transaction Overview'!$H$2:$H$1850,C$4)</f>
        <v>-12.99</v>
      </c>
      <c r="D93" s="7" t="n">
        <f aca="false">SUMIFS('Transaction Overview'!$D$2:$D$1850,'Transaction Overview'!$I$2:$I$1850,$A93,'Transaction Overview'!$H$2:$H$1850,D$4)</f>
        <v>-12.99</v>
      </c>
      <c r="E93" s="7" t="n">
        <f aca="false">SUMIFS('Transaction Overview'!$D$2:$D$1850,'Transaction Overview'!$I$2:$I$1850,$A93,'Transaction Overview'!$H$2:$H$1850,E$4)</f>
        <v>-12.99</v>
      </c>
      <c r="F93" s="7" t="n">
        <f aca="false">SUMIFS('Transaction Overview'!$D$2:$D$1850,'Transaction Overview'!$I$2:$I$1850,$A93,'Transaction Overview'!$H$2:$H$1850,F$4)</f>
        <v>0</v>
      </c>
      <c r="G93" s="7" t="n">
        <f aca="false">SUMIFS('Transaction Overview'!$D$2:$D$1850,'Transaction Overview'!$I$2:$I$1850,$A93,'Transaction Overview'!$H$2:$H$1850,G$4)</f>
        <v>-117</v>
      </c>
      <c r="H93" s="7" t="n">
        <f aca="false">SUMIFS('Transaction Overview'!$D$2:$D$1850,'Transaction Overview'!$I$2:$I$1850,$A93,'Transaction Overview'!$H$2:$H$1850,H$4)</f>
        <v>-117</v>
      </c>
      <c r="I93" s="7" t="n">
        <f aca="false">SUMIFS('Transaction Overview'!$D$2:$D$1850,'Transaction Overview'!$I$2:$I$1850,$A93,'Transaction Overview'!$H$2:$H$1850,I$4)</f>
        <v>-117</v>
      </c>
      <c r="J93" s="7" t="n">
        <f aca="false">SUMIFS('Transaction Overview'!$D$2:$D$1850,'Transaction Overview'!$I$2:$I$1850,$A93,'Transaction Overview'!$H$2:$H$1850,J$4)</f>
        <v>-117</v>
      </c>
      <c r="K93" s="7" t="n">
        <f aca="false">SUMIFS('Transaction Overview'!$D$2:$D$1850,'Transaction Overview'!$I$2:$I$1850,$A93,'Transaction Overview'!$H$2:$H$1850,K$4)</f>
        <v>-140.2</v>
      </c>
      <c r="L93" s="7" t="n">
        <f aca="false">SUMIFS('Transaction Overview'!$D$2:$D$1850,'Transaction Overview'!$I$2:$I$1850,$A93,'Transaction Overview'!$H$2:$H$1850,L$4)</f>
        <v>-117</v>
      </c>
      <c r="M93" s="7" t="n">
        <f aca="false">SUMIFS('Transaction Overview'!$D$2:$D$1850,'Transaction Overview'!$I$2:$I$1850,$A93,'Transaction Overview'!$H$2:$H$1850,M$4)</f>
        <v>-104.01</v>
      </c>
      <c r="N93" s="7" t="n">
        <f aca="false">SUM(B93:M93)</f>
        <v>-881.17</v>
      </c>
    </row>
    <row r="94" customFormat="false" ht="15" hidden="false" customHeight="false" outlineLevel="0" collapsed="false">
      <c r="A94" s="0" t="s">
        <v>115</v>
      </c>
      <c r="B94" s="7" t="n">
        <f aca="false">SUMIFS('Transaction Overview'!$D$2:$D$1850,'Transaction Overview'!$I$2:$I$1850,$A94,'Transaction Overview'!$H$2:$H$1850,B$4)</f>
        <v>0</v>
      </c>
      <c r="C94" s="7" t="n">
        <f aca="false">SUMIFS('Transaction Overview'!$D$2:$D$1850,'Transaction Overview'!$I$2:$I$1850,$A94,'Transaction Overview'!$H$2:$H$1850,C$4)</f>
        <v>0</v>
      </c>
      <c r="D94" s="7" t="n">
        <f aca="false">SUMIFS('Transaction Overview'!$D$2:$D$1850,'Transaction Overview'!$I$2:$I$1850,$A94,'Transaction Overview'!$H$2:$H$1850,D$4)</f>
        <v>0</v>
      </c>
      <c r="E94" s="7" t="n">
        <f aca="false">SUMIFS('Transaction Overview'!$D$2:$D$1850,'Transaction Overview'!$I$2:$I$1850,$A94,'Transaction Overview'!$H$2:$H$1850,E$4)</f>
        <v>0</v>
      </c>
      <c r="F94" s="7" t="n">
        <f aca="false">SUMIFS('Transaction Overview'!$D$2:$D$1850,'Transaction Overview'!$I$2:$I$1850,$A94,'Transaction Overview'!$H$2:$H$1850,F$4)</f>
        <v>0</v>
      </c>
      <c r="G94" s="7" t="n">
        <f aca="false">SUMIFS('Transaction Overview'!$D$2:$D$1850,'Transaction Overview'!$I$2:$I$1850,$A94,'Transaction Overview'!$H$2:$H$1850,G$4)</f>
        <v>-168</v>
      </c>
      <c r="H94" s="7" t="n">
        <f aca="false">SUMIFS('Transaction Overview'!$D$2:$D$1850,'Transaction Overview'!$I$2:$I$1850,$A94,'Transaction Overview'!$H$2:$H$1850,H$4)</f>
        <v>0</v>
      </c>
      <c r="I94" s="7" t="n">
        <f aca="false">SUMIFS('Transaction Overview'!$D$2:$D$1850,'Transaction Overview'!$I$2:$I$1850,$A94,'Transaction Overview'!$H$2:$H$1850,I$4)</f>
        <v>0</v>
      </c>
      <c r="J94" s="7" t="n">
        <f aca="false">SUMIFS('Transaction Overview'!$D$2:$D$1850,'Transaction Overview'!$I$2:$I$1850,$A94,'Transaction Overview'!$H$2:$H$1850,J$4)</f>
        <v>0</v>
      </c>
      <c r="K94" s="7" t="n">
        <f aca="false">SUMIFS('Transaction Overview'!$D$2:$D$1850,'Transaction Overview'!$I$2:$I$1850,$A94,'Transaction Overview'!$H$2:$H$1850,K$4)</f>
        <v>0</v>
      </c>
      <c r="L94" s="7" t="n">
        <f aca="false">SUMIFS('Transaction Overview'!$D$2:$D$1850,'Transaction Overview'!$I$2:$I$1850,$A94,'Transaction Overview'!$H$2:$H$1850,L$4)</f>
        <v>0</v>
      </c>
      <c r="M94" s="7" t="n">
        <f aca="false">SUMIFS('Transaction Overview'!$D$2:$D$1850,'Transaction Overview'!$I$2:$I$1850,$A94,'Transaction Overview'!$H$2:$H$1850,M$4)</f>
        <v>0</v>
      </c>
      <c r="N94" s="7" t="n">
        <f aca="false">SUM(B94:M94)</f>
        <v>-168</v>
      </c>
    </row>
    <row r="95" customFormat="false" ht="15" hidden="false" customHeight="false" outlineLevel="0" collapsed="false">
      <c r="A95" s="0" t="s">
        <v>116</v>
      </c>
      <c r="B95" s="7" t="n">
        <f aca="false">SUMIFS('Transaction Overview'!$D$2:$D$1850,'Transaction Overview'!$I$2:$I$1850,$A95,'Transaction Overview'!$H$2:$H$1850,B$4)</f>
        <v>-10.78</v>
      </c>
      <c r="C95" s="7" t="n">
        <f aca="false">SUMIFS('Transaction Overview'!$D$2:$D$1850,'Transaction Overview'!$I$2:$I$1850,$A95,'Transaction Overview'!$H$2:$H$1850,C$4)</f>
        <v>-10.78</v>
      </c>
      <c r="D95" s="7" t="n">
        <f aca="false">SUMIFS('Transaction Overview'!$D$2:$D$1850,'Transaction Overview'!$I$2:$I$1850,$A95,'Transaction Overview'!$H$2:$H$1850,D$4)</f>
        <v>-10.78</v>
      </c>
      <c r="E95" s="7" t="n">
        <f aca="false">SUMIFS('Transaction Overview'!$D$2:$D$1850,'Transaction Overview'!$I$2:$I$1850,$A95,'Transaction Overview'!$H$2:$H$1850,E$4)</f>
        <v>-10.78</v>
      </c>
      <c r="F95" s="7" t="n">
        <f aca="false">SUMIFS('Transaction Overview'!$D$2:$D$1850,'Transaction Overview'!$I$2:$I$1850,$A95,'Transaction Overview'!$H$2:$H$1850,F$4)</f>
        <v>-10.78</v>
      </c>
      <c r="G95" s="7" t="n">
        <f aca="false">SUMIFS('Transaction Overview'!$D$2:$D$1850,'Transaction Overview'!$I$2:$I$1850,$A95,'Transaction Overview'!$H$2:$H$1850,G$4)</f>
        <v>-10.78</v>
      </c>
      <c r="H95" s="7" t="n">
        <f aca="false">SUMIFS('Transaction Overview'!$D$2:$D$1850,'Transaction Overview'!$I$2:$I$1850,$A95,'Transaction Overview'!$H$2:$H$1850,H$4)</f>
        <v>-10.78</v>
      </c>
      <c r="I95" s="7" t="n">
        <f aca="false">SUMIFS('Transaction Overview'!$D$2:$D$1850,'Transaction Overview'!$I$2:$I$1850,$A95,'Transaction Overview'!$H$2:$H$1850,I$4)</f>
        <v>-10.78</v>
      </c>
      <c r="J95" s="7" t="n">
        <f aca="false">SUMIFS('Transaction Overview'!$D$2:$D$1850,'Transaction Overview'!$I$2:$I$1850,$A95,'Transaction Overview'!$H$2:$H$1850,J$4)</f>
        <v>-10.78</v>
      </c>
      <c r="K95" s="7" t="n">
        <f aca="false">SUMIFS('Transaction Overview'!$D$2:$D$1850,'Transaction Overview'!$I$2:$I$1850,$A95,'Transaction Overview'!$H$2:$H$1850,K$4)</f>
        <v>-10.78</v>
      </c>
      <c r="L95" s="7" t="n">
        <f aca="false">SUMIFS('Transaction Overview'!$D$2:$D$1850,'Transaction Overview'!$I$2:$I$1850,$A95,'Transaction Overview'!$H$2:$H$1850,L$4)</f>
        <v>-10.78</v>
      </c>
      <c r="M95" s="7" t="n">
        <f aca="false">SUMIFS('Transaction Overview'!$D$2:$D$1850,'Transaction Overview'!$I$2:$I$1850,$A95,'Transaction Overview'!$H$2:$H$1850,M$4)</f>
        <v>-10.78</v>
      </c>
      <c r="N95" s="7" t="n">
        <f aca="false">SUM(B95:M95)</f>
        <v>-129.36</v>
      </c>
    </row>
    <row r="96" customFormat="false" ht="15" hidden="false" customHeight="false" outlineLevel="0" collapsed="false">
      <c r="A96" s="0" t="s">
        <v>117</v>
      </c>
      <c r="B96" s="7" t="n">
        <f aca="false">SUMIFS('Transaction Overview'!$D$2:$D$1850,'Transaction Overview'!$I$2:$I$1850,$A96,'Transaction Overview'!$H$2:$H$1850,B$4)</f>
        <v>0</v>
      </c>
      <c r="C96" s="7" t="n">
        <f aca="false">SUMIFS('Transaction Overview'!$D$2:$D$1850,'Transaction Overview'!$I$2:$I$1850,$A96,'Transaction Overview'!$H$2:$H$1850,C$4)</f>
        <v>0</v>
      </c>
      <c r="D96" s="7" t="n">
        <f aca="false">SUMIFS('Transaction Overview'!$D$2:$D$1850,'Transaction Overview'!$I$2:$I$1850,$A96,'Transaction Overview'!$H$2:$H$1850,D$4)</f>
        <v>0</v>
      </c>
      <c r="E96" s="7" t="n">
        <f aca="false">SUMIFS('Transaction Overview'!$D$2:$D$1850,'Transaction Overview'!$I$2:$I$1850,$A96,'Transaction Overview'!$H$2:$H$1850,E$4)</f>
        <v>0</v>
      </c>
      <c r="F96" s="7" t="n">
        <f aca="false">SUMIFS('Transaction Overview'!$D$2:$D$1850,'Transaction Overview'!$I$2:$I$1850,$A96,'Transaction Overview'!$H$2:$H$1850,F$4)</f>
        <v>0</v>
      </c>
      <c r="G96" s="7" t="n">
        <f aca="false">SUMIFS('Transaction Overview'!$D$2:$D$1850,'Transaction Overview'!$I$2:$I$1850,$A96,'Transaction Overview'!$H$2:$H$1850,G$4)</f>
        <v>0</v>
      </c>
      <c r="H96" s="7" t="n">
        <f aca="false">SUMIFS('Transaction Overview'!$D$2:$D$1850,'Transaction Overview'!$I$2:$I$1850,$A96,'Transaction Overview'!$H$2:$H$1850,H$4)</f>
        <v>-103</v>
      </c>
      <c r="I96" s="7" t="n">
        <f aca="false">SUMIFS('Transaction Overview'!$D$2:$D$1850,'Transaction Overview'!$I$2:$I$1850,$A96,'Transaction Overview'!$H$2:$H$1850,I$4)</f>
        <v>0</v>
      </c>
      <c r="J96" s="7" t="n">
        <f aca="false">SUMIFS('Transaction Overview'!$D$2:$D$1850,'Transaction Overview'!$I$2:$I$1850,$A96,'Transaction Overview'!$H$2:$H$1850,J$4)</f>
        <v>0</v>
      </c>
      <c r="K96" s="7" t="n">
        <f aca="false">SUMIFS('Transaction Overview'!$D$2:$D$1850,'Transaction Overview'!$I$2:$I$1850,$A96,'Transaction Overview'!$H$2:$H$1850,K$4)</f>
        <v>0</v>
      </c>
      <c r="L96" s="7" t="n">
        <f aca="false">SUMIFS('Transaction Overview'!$D$2:$D$1850,'Transaction Overview'!$I$2:$I$1850,$A96,'Transaction Overview'!$H$2:$H$1850,L$4)</f>
        <v>0</v>
      </c>
      <c r="M96" s="7" t="n">
        <f aca="false">SUMIFS('Transaction Overview'!$D$2:$D$1850,'Transaction Overview'!$I$2:$I$1850,$A96,'Transaction Overview'!$H$2:$H$1850,M$4)</f>
        <v>0</v>
      </c>
      <c r="N96" s="7" t="n">
        <f aca="false">SUM(B96:M96)</f>
        <v>-103</v>
      </c>
    </row>
    <row r="97" customFormat="false" ht="15" hidden="false" customHeight="false" outlineLevel="0" collapsed="false">
      <c r="A97" s="0" t="s">
        <v>118</v>
      </c>
      <c r="B97" s="7" t="n">
        <f aca="false">SUMIFS('Transaction Overview'!$D$2:$D$1850,'Transaction Overview'!$I$2:$I$1850,$A97,'Transaction Overview'!$H$2:$H$1850,B$4)</f>
        <v>0</v>
      </c>
      <c r="C97" s="7" t="n">
        <f aca="false">SUMIFS('Transaction Overview'!$D$2:$D$1850,'Transaction Overview'!$I$2:$I$1850,$A97,'Transaction Overview'!$H$2:$H$1850,C$4)</f>
        <v>0</v>
      </c>
      <c r="D97" s="7" t="n">
        <f aca="false">SUMIFS('Transaction Overview'!$D$2:$D$1850,'Transaction Overview'!$I$2:$I$1850,$A97,'Transaction Overview'!$H$2:$H$1850,D$4)</f>
        <v>0</v>
      </c>
      <c r="E97" s="7" t="n">
        <f aca="false">SUMIFS('Transaction Overview'!$D$2:$D$1850,'Transaction Overview'!$I$2:$I$1850,$A97,'Transaction Overview'!$H$2:$H$1850,E$4)</f>
        <v>-21.98</v>
      </c>
      <c r="F97" s="7" t="n">
        <f aca="false">SUMIFS('Transaction Overview'!$D$2:$D$1850,'Transaction Overview'!$I$2:$I$1850,$A97,'Transaction Overview'!$H$2:$H$1850,F$4)</f>
        <v>-21.98</v>
      </c>
      <c r="G97" s="7" t="n">
        <f aca="false">SUMIFS('Transaction Overview'!$D$2:$D$1850,'Transaction Overview'!$I$2:$I$1850,$A97,'Transaction Overview'!$H$2:$H$1850,G$4)</f>
        <v>-21.98</v>
      </c>
      <c r="H97" s="7" t="n">
        <f aca="false">SUMIFS('Transaction Overview'!$D$2:$D$1850,'Transaction Overview'!$I$2:$I$1850,$A97,'Transaction Overview'!$H$2:$H$1850,H$4)</f>
        <v>-127.14</v>
      </c>
      <c r="I97" s="7" t="n">
        <f aca="false">SUMIFS('Transaction Overview'!$D$2:$D$1850,'Transaction Overview'!$I$2:$I$1850,$A97,'Transaction Overview'!$H$2:$H$1850,I$4)</f>
        <v>-37.96</v>
      </c>
      <c r="J97" s="7" t="n">
        <f aca="false">SUMIFS('Transaction Overview'!$D$2:$D$1850,'Transaction Overview'!$I$2:$I$1850,$A97,'Transaction Overview'!$H$2:$H$1850,J$4)</f>
        <v>-37.96</v>
      </c>
      <c r="K97" s="7" t="n">
        <f aca="false">SUMIFS('Transaction Overview'!$D$2:$D$1850,'Transaction Overview'!$I$2:$I$1850,$A97,'Transaction Overview'!$H$2:$H$1850,K$4)</f>
        <v>-37.96</v>
      </c>
      <c r="L97" s="7" t="n">
        <f aca="false">SUMIFS('Transaction Overview'!$D$2:$D$1850,'Transaction Overview'!$I$2:$I$1850,$A97,'Transaction Overview'!$H$2:$H$1850,L$4)</f>
        <v>-37.96</v>
      </c>
      <c r="M97" s="7" t="n">
        <f aca="false">SUMIFS('Transaction Overview'!$D$2:$D$1850,'Transaction Overview'!$I$2:$I$1850,$A97,'Transaction Overview'!$H$2:$H$1850,M$4)</f>
        <v>-100.3</v>
      </c>
      <c r="N97" s="7" t="n">
        <f aca="false">SUM(B97:M97)</f>
        <v>-445.22</v>
      </c>
    </row>
    <row r="98" customFormat="false" ht="15" hidden="false" customHeight="false" outlineLevel="0" collapsed="false">
      <c r="A98" s="0" t="s">
        <v>119</v>
      </c>
      <c r="B98" s="7" t="n">
        <f aca="false">SUMIFS('Transaction Overview'!$D$2:$D$1850,'Transaction Overview'!$I$2:$I$1850,$A98,'Transaction Overview'!$H$2:$H$1850,B$4)</f>
        <v>0</v>
      </c>
      <c r="C98" s="7" t="n">
        <f aca="false">SUMIFS('Transaction Overview'!$D$2:$D$1850,'Transaction Overview'!$I$2:$I$1850,$A98,'Transaction Overview'!$H$2:$H$1850,C$4)</f>
        <v>0</v>
      </c>
      <c r="D98" s="7" t="n">
        <f aca="false">SUMIFS('Transaction Overview'!$D$2:$D$1850,'Transaction Overview'!$I$2:$I$1850,$A98,'Transaction Overview'!$H$2:$H$1850,D$4)</f>
        <v>0</v>
      </c>
      <c r="E98" s="7" t="n">
        <f aca="false">SUMIFS('Transaction Overview'!$D$2:$D$1850,'Transaction Overview'!$I$2:$I$1850,$A98,'Transaction Overview'!$H$2:$H$1850,E$4)</f>
        <v>0</v>
      </c>
      <c r="F98" s="7" t="n">
        <f aca="false">SUMIFS('Transaction Overview'!$D$2:$D$1850,'Transaction Overview'!$I$2:$I$1850,$A98,'Transaction Overview'!$H$2:$H$1850,F$4)</f>
        <v>0</v>
      </c>
      <c r="G98" s="7" t="n">
        <f aca="false">SUMIFS('Transaction Overview'!$D$2:$D$1850,'Transaction Overview'!$I$2:$I$1850,$A98,'Transaction Overview'!$H$2:$H$1850,G$4)</f>
        <v>0</v>
      </c>
      <c r="H98" s="7" t="n">
        <f aca="false">SUMIFS('Transaction Overview'!$D$2:$D$1850,'Transaction Overview'!$I$2:$I$1850,$A98,'Transaction Overview'!$H$2:$H$1850,H$4)</f>
        <v>0</v>
      </c>
      <c r="I98" s="7" t="n">
        <f aca="false">SUMIFS('Transaction Overview'!$D$2:$D$1850,'Transaction Overview'!$I$2:$I$1850,$A98,'Transaction Overview'!$H$2:$H$1850,I$4)</f>
        <v>0</v>
      </c>
      <c r="J98" s="7" t="n">
        <f aca="false">SUMIFS('Transaction Overview'!$D$2:$D$1850,'Transaction Overview'!$I$2:$I$1850,$A98,'Transaction Overview'!$H$2:$H$1850,J$4)</f>
        <v>0</v>
      </c>
      <c r="K98" s="7" t="n">
        <f aca="false">SUMIFS('Transaction Overview'!$D$2:$D$1850,'Transaction Overview'!$I$2:$I$1850,$A98,'Transaction Overview'!$H$2:$H$1850,K$4)</f>
        <v>0</v>
      </c>
      <c r="L98" s="7" t="n">
        <f aca="false">SUMIFS('Transaction Overview'!$D$2:$D$1850,'Transaction Overview'!$I$2:$I$1850,$A98,'Transaction Overview'!$H$2:$H$1850,L$4)</f>
        <v>0</v>
      </c>
      <c r="M98" s="7" t="n">
        <f aca="false">SUMIFS('Transaction Overview'!$D$2:$D$1850,'Transaction Overview'!$I$2:$I$1850,$A98,'Transaction Overview'!$H$2:$H$1850,M$4)</f>
        <v>-10</v>
      </c>
      <c r="N98" s="7" t="n">
        <f aca="false">SUM(B98:M98)</f>
        <v>-10</v>
      </c>
    </row>
    <row r="99" customFormat="false" ht="15" hidden="false" customHeight="false" outlineLevel="0" collapsed="false">
      <c r="A99" s="0" t="s">
        <v>120</v>
      </c>
      <c r="B99" s="7" t="n">
        <f aca="false">SUMIFS('Transaction Overview'!$D$2:$D$1850,'Transaction Overview'!$I$2:$I$1850,$A99,'Transaction Overview'!$H$2:$H$1850,B$4)</f>
        <v>0</v>
      </c>
      <c r="C99" s="7" t="n">
        <f aca="false">SUMIFS('Transaction Overview'!$D$2:$D$1850,'Transaction Overview'!$I$2:$I$1850,$A99,'Transaction Overview'!$H$2:$H$1850,C$4)</f>
        <v>0</v>
      </c>
      <c r="D99" s="7" t="n">
        <f aca="false">SUMIFS('Transaction Overview'!$D$2:$D$1850,'Transaction Overview'!$I$2:$I$1850,$A99,'Transaction Overview'!$H$2:$H$1850,D$4)</f>
        <v>0</v>
      </c>
      <c r="E99" s="7" t="n">
        <f aca="false">SUMIFS('Transaction Overview'!$D$2:$D$1850,'Transaction Overview'!$I$2:$I$1850,$A99,'Transaction Overview'!$H$2:$H$1850,E$4)</f>
        <v>0</v>
      </c>
      <c r="F99" s="7" t="n">
        <f aca="false">SUMIFS('Transaction Overview'!$D$2:$D$1850,'Transaction Overview'!$I$2:$I$1850,$A99,'Transaction Overview'!$H$2:$H$1850,F$4)</f>
        <v>0</v>
      </c>
      <c r="G99" s="7" t="n">
        <f aca="false">SUMIFS('Transaction Overview'!$D$2:$D$1850,'Transaction Overview'!$I$2:$I$1850,$A99,'Transaction Overview'!$H$2:$H$1850,G$4)</f>
        <v>0</v>
      </c>
      <c r="H99" s="7" t="n">
        <f aca="false">SUMIFS('Transaction Overview'!$D$2:$D$1850,'Transaction Overview'!$I$2:$I$1850,$A99,'Transaction Overview'!$H$2:$H$1850,H$4)</f>
        <v>0</v>
      </c>
      <c r="I99" s="7" t="n">
        <f aca="false">SUMIFS('Transaction Overview'!$D$2:$D$1850,'Transaction Overview'!$I$2:$I$1850,$A99,'Transaction Overview'!$H$2:$H$1850,I$4)</f>
        <v>0</v>
      </c>
      <c r="J99" s="7" t="n">
        <f aca="false">SUMIFS('Transaction Overview'!$D$2:$D$1850,'Transaction Overview'!$I$2:$I$1850,$A99,'Transaction Overview'!$H$2:$H$1850,J$4)</f>
        <v>0</v>
      </c>
      <c r="K99" s="7" t="n">
        <f aca="false">SUMIFS('Transaction Overview'!$D$2:$D$1850,'Transaction Overview'!$I$2:$I$1850,$A99,'Transaction Overview'!$H$2:$H$1850,K$4)</f>
        <v>0</v>
      </c>
      <c r="L99" s="7" t="n">
        <f aca="false">SUMIFS('Transaction Overview'!$D$2:$D$1850,'Transaction Overview'!$I$2:$I$1850,$A99,'Transaction Overview'!$H$2:$H$1850,L$4)</f>
        <v>-44</v>
      </c>
      <c r="M99" s="7" t="n">
        <f aca="false">SUMIFS('Transaction Overview'!$D$2:$D$1850,'Transaction Overview'!$I$2:$I$1850,$A99,'Transaction Overview'!$H$2:$H$1850,M$4)</f>
        <v>-80</v>
      </c>
      <c r="N99" s="7" t="n">
        <f aca="false">SUM(B99:M99)</f>
        <v>-124</v>
      </c>
    </row>
    <row r="100" customFormat="false" ht="15" hidden="false" customHeight="false" outlineLevel="0" collapsed="false">
      <c r="A100" s="0" t="s">
        <v>121</v>
      </c>
      <c r="B100" s="7" t="n">
        <f aca="false">SUMIFS('Transaction Overview'!$D$2:$D$1850,'Transaction Overview'!$I$2:$I$1850,$A100,'Transaction Overview'!$H$2:$H$1850,B$4)</f>
        <v>-300</v>
      </c>
      <c r="C100" s="7" t="n">
        <f aca="false">SUMIFS('Transaction Overview'!$D$2:$D$1850,'Transaction Overview'!$I$2:$I$1850,$A100,'Transaction Overview'!$H$2:$H$1850,C$4)</f>
        <v>-300</v>
      </c>
      <c r="D100" s="7" t="n">
        <f aca="false">SUMIFS('Transaction Overview'!$D$2:$D$1850,'Transaction Overview'!$I$2:$I$1850,$A100,'Transaction Overview'!$H$2:$H$1850,D$4)</f>
        <v>-300</v>
      </c>
      <c r="E100" s="7" t="n">
        <f aca="false">SUMIFS('Transaction Overview'!$D$2:$D$1850,'Transaction Overview'!$I$2:$I$1850,$A100,'Transaction Overview'!$H$2:$H$1850,E$4)</f>
        <v>-300</v>
      </c>
      <c r="F100" s="7" t="n">
        <f aca="false">SUMIFS('Transaction Overview'!$D$2:$D$1850,'Transaction Overview'!$I$2:$I$1850,$A100,'Transaction Overview'!$H$2:$H$1850,F$4)</f>
        <v>-300</v>
      </c>
      <c r="G100" s="7" t="n">
        <f aca="false">SUMIFS('Transaction Overview'!$D$2:$D$1850,'Transaction Overview'!$I$2:$I$1850,$A100,'Transaction Overview'!$H$2:$H$1850,G$4)</f>
        <v>-300</v>
      </c>
      <c r="H100" s="7" t="n">
        <f aca="false">SUMIFS('Transaction Overview'!$D$2:$D$1850,'Transaction Overview'!$I$2:$I$1850,$A100,'Transaction Overview'!$H$2:$H$1850,H$4)</f>
        <v>-300</v>
      </c>
      <c r="I100" s="7" t="n">
        <f aca="false">SUMIFS('Transaction Overview'!$D$2:$D$1850,'Transaction Overview'!$I$2:$I$1850,$A100,'Transaction Overview'!$H$2:$H$1850,I$4)</f>
        <v>-300</v>
      </c>
      <c r="J100" s="7" t="n">
        <f aca="false">SUMIFS('Transaction Overview'!$D$2:$D$1850,'Transaction Overview'!$I$2:$I$1850,$A100,'Transaction Overview'!$H$2:$H$1850,J$4)</f>
        <v>-300</v>
      </c>
      <c r="K100" s="7" t="n">
        <f aca="false">SUMIFS('Transaction Overview'!$D$2:$D$1850,'Transaction Overview'!$I$2:$I$1850,$A100,'Transaction Overview'!$H$2:$H$1850,K$4)</f>
        <v>-300</v>
      </c>
      <c r="L100" s="7" t="n">
        <f aca="false">SUMIFS('Transaction Overview'!$D$2:$D$1850,'Transaction Overview'!$I$2:$I$1850,$A100,'Transaction Overview'!$H$2:$H$1850,L$4)</f>
        <v>-300</v>
      </c>
      <c r="M100" s="7" t="n">
        <f aca="false">SUMIFS('Transaction Overview'!$D$2:$D$1850,'Transaction Overview'!$I$2:$I$1850,$A100,'Transaction Overview'!$H$2:$H$1850,M$4)</f>
        <v>0</v>
      </c>
      <c r="N100" s="7" t="n">
        <f aca="false">SUM(B100:M100)</f>
        <v>-3300</v>
      </c>
    </row>
    <row r="101" customFormat="false" ht="15" hidden="false" customHeight="false" outlineLevel="0" collapsed="false">
      <c r="A101" s="0" t="s">
        <v>122</v>
      </c>
      <c r="B101" s="7" t="n">
        <f aca="false">SUMIFS('Transaction Overview'!$D$2:$D$1850,'Transaction Overview'!$I$2:$I$1850,$A101,'Transaction Overview'!$H$2:$H$1850,B$4)</f>
        <v>-264.28</v>
      </c>
      <c r="C101" s="7" t="n">
        <f aca="false">SUMIFS('Transaction Overview'!$D$2:$D$1850,'Transaction Overview'!$I$2:$I$1850,$A101,'Transaction Overview'!$H$2:$H$1850,C$4)</f>
        <v>-157.05</v>
      </c>
      <c r="D101" s="7" t="n">
        <f aca="false">SUMIFS('Transaction Overview'!$D$2:$D$1850,'Transaction Overview'!$I$2:$I$1850,$A101,'Transaction Overview'!$H$2:$H$1850,D$4)</f>
        <v>-104.35</v>
      </c>
      <c r="E101" s="7" t="n">
        <f aca="false">SUMIFS('Transaction Overview'!$D$2:$D$1850,'Transaction Overview'!$I$2:$I$1850,$A101,'Transaction Overview'!$H$2:$H$1850,E$4)</f>
        <v>-104.35</v>
      </c>
      <c r="F101" s="7" t="n">
        <f aca="false">SUMIFS('Transaction Overview'!$D$2:$D$1850,'Transaction Overview'!$I$2:$I$1850,$A101,'Transaction Overview'!$H$2:$H$1850,F$4)</f>
        <v>-104.35</v>
      </c>
      <c r="G101" s="7" t="n">
        <f aca="false">SUMIFS('Transaction Overview'!$D$2:$D$1850,'Transaction Overview'!$I$2:$I$1850,$A101,'Transaction Overview'!$H$2:$H$1850,G$4)</f>
        <v>-104.35</v>
      </c>
      <c r="H101" s="7" t="n">
        <f aca="false">SUMIFS('Transaction Overview'!$D$2:$D$1850,'Transaction Overview'!$I$2:$I$1850,$A101,'Transaction Overview'!$H$2:$H$1850,H$4)</f>
        <v>-121.21</v>
      </c>
      <c r="I101" s="7" t="n">
        <f aca="false">SUMIFS('Transaction Overview'!$D$2:$D$1850,'Transaction Overview'!$I$2:$I$1850,$A101,'Transaction Overview'!$H$2:$H$1850,I$4)</f>
        <v>-121.21</v>
      </c>
      <c r="J101" s="7" t="n">
        <f aca="false">SUMIFS('Transaction Overview'!$D$2:$D$1850,'Transaction Overview'!$I$2:$I$1850,$A101,'Transaction Overview'!$H$2:$H$1850,J$4)</f>
        <v>-121.21</v>
      </c>
      <c r="K101" s="7" t="n">
        <f aca="false">SUMIFS('Transaction Overview'!$D$2:$D$1850,'Transaction Overview'!$I$2:$I$1850,$A101,'Transaction Overview'!$H$2:$H$1850,K$4)</f>
        <v>-121.21</v>
      </c>
      <c r="L101" s="7" t="n">
        <f aca="false">SUMIFS('Transaction Overview'!$D$2:$D$1850,'Transaction Overview'!$I$2:$I$1850,$A101,'Transaction Overview'!$H$2:$H$1850,L$4)</f>
        <v>-121.21</v>
      </c>
      <c r="M101" s="7" t="n">
        <f aca="false">SUMIFS('Transaction Overview'!$D$2:$D$1850,'Transaction Overview'!$I$2:$I$1850,$A101,'Transaction Overview'!$H$2:$H$1850,M$4)</f>
        <v>-121.21</v>
      </c>
      <c r="N101" s="7" t="n">
        <f aca="false">SUM(B101:M101)</f>
        <v>-1565.99</v>
      </c>
    </row>
    <row r="102" customFormat="false" ht="15" hidden="false" customHeight="false" outlineLevel="0" collapsed="false">
      <c r="A102" s="0" t="s">
        <v>123</v>
      </c>
      <c r="B102" s="7" t="n">
        <f aca="false">SUMIFS('Transaction Overview'!$D$2:$D$1850,'Transaction Overview'!$I$2:$I$1850,$A102,'Transaction Overview'!$H$2:$H$1850,B$4)</f>
        <v>-120</v>
      </c>
      <c r="C102" s="7" t="n">
        <f aca="false">SUMIFS('Transaction Overview'!$D$2:$D$1850,'Transaction Overview'!$I$2:$I$1850,$A102,'Transaction Overview'!$H$2:$H$1850,C$4)</f>
        <v>-105</v>
      </c>
      <c r="D102" s="7" t="n">
        <f aca="false">SUMIFS('Transaction Overview'!$D$2:$D$1850,'Transaction Overview'!$I$2:$I$1850,$A102,'Transaction Overview'!$H$2:$H$1850,D$4)</f>
        <v>-40</v>
      </c>
      <c r="E102" s="7" t="n">
        <f aca="false">SUMIFS('Transaction Overview'!$D$2:$D$1850,'Transaction Overview'!$I$2:$I$1850,$A102,'Transaction Overview'!$H$2:$H$1850,E$4)</f>
        <v>-25</v>
      </c>
      <c r="F102" s="7" t="n">
        <f aca="false">SUMIFS('Transaction Overview'!$D$2:$D$1850,'Transaction Overview'!$I$2:$I$1850,$A102,'Transaction Overview'!$H$2:$H$1850,F$4)</f>
        <v>0</v>
      </c>
      <c r="G102" s="7" t="n">
        <f aca="false">SUMIFS('Transaction Overview'!$D$2:$D$1850,'Transaction Overview'!$I$2:$I$1850,$A102,'Transaction Overview'!$H$2:$H$1850,G$4)</f>
        <v>-40</v>
      </c>
      <c r="H102" s="7" t="n">
        <f aca="false">SUMIFS('Transaction Overview'!$D$2:$D$1850,'Transaction Overview'!$I$2:$I$1850,$A102,'Transaction Overview'!$H$2:$H$1850,H$4)</f>
        <v>0</v>
      </c>
      <c r="I102" s="7" t="n">
        <f aca="false">SUMIFS('Transaction Overview'!$D$2:$D$1850,'Transaction Overview'!$I$2:$I$1850,$A102,'Transaction Overview'!$H$2:$H$1850,I$4)</f>
        <v>-25</v>
      </c>
      <c r="J102" s="7" t="n">
        <f aca="false">SUMIFS('Transaction Overview'!$D$2:$D$1850,'Transaction Overview'!$I$2:$I$1850,$A102,'Transaction Overview'!$H$2:$H$1850,J$4)</f>
        <v>-120</v>
      </c>
      <c r="K102" s="7" t="n">
        <f aca="false">SUMIFS('Transaction Overview'!$D$2:$D$1850,'Transaction Overview'!$I$2:$I$1850,$A102,'Transaction Overview'!$H$2:$H$1850,K$4)</f>
        <v>-35</v>
      </c>
      <c r="L102" s="7" t="n">
        <f aca="false">SUMIFS('Transaction Overview'!$D$2:$D$1850,'Transaction Overview'!$I$2:$I$1850,$A102,'Transaction Overview'!$H$2:$H$1850,L$4)</f>
        <v>0</v>
      </c>
      <c r="M102" s="7" t="n">
        <f aca="false">SUMIFS('Transaction Overview'!$D$2:$D$1850,'Transaction Overview'!$I$2:$I$1850,$A102,'Transaction Overview'!$H$2:$H$1850,M$4)</f>
        <v>-90</v>
      </c>
      <c r="N102" s="7" t="n">
        <f aca="false">SUM(B102:M102)</f>
        <v>-600</v>
      </c>
    </row>
    <row r="103" customFormat="false" ht="15" hidden="false" customHeight="false" outlineLevel="0" collapsed="false">
      <c r="A103" s="9" t="s">
        <v>125</v>
      </c>
    </row>
    <row r="104" customFormat="false" ht="15" hidden="false" customHeight="false" outlineLevel="0" collapsed="false">
      <c r="A104" s="0" t="s">
        <v>126</v>
      </c>
      <c r="B104" s="7" t="n">
        <f aca="false">SUMIFS('Transaction Overview'!$D$2:$D$1850,'Transaction Overview'!$I$2:$I$1850,$A104,'Transaction Overview'!$H$2:$H$1850,B$4)</f>
        <v>-89.54</v>
      </c>
      <c r="C104" s="7" t="n">
        <f aca="false">SUMIFS('Transaction Overview'!$D$2:$D$1850,'Transaction Overview'!$I$2:$I$1850,$A104,'Transaction Overview'!$H$2:$H$1850,C$4)</f>
        <v>0</v>
      </c>
      <c r="D104" s="7" t="n">
        <f aca="false">SUMIFS('Transaction Overview'!$D$2:$D$1850,'Transaction Overview'!$I$2:$I$1850,$A104,'Transaction Overview'!$H$2:$H$1850,D$4)</f>
        <v>0</v>
      </c>
      <c r="E104" s="7" t="n">
        <f aca="false">SUMIFS('Transaction Overview'!$D$2:$D$1850,'Transaction Overview'!$I$2:$I$1850,$A104,'Transaction Overview'!$H$2:$H$1850,E$4)</f>
        <v>0</v>
      </c>
      <c r="F104" s="7" t="n">
        <f aca="false">SUMIFS('Transaction Overview'!$D$2:$D$1850,'Transaction Overview'!$I$2:$I$1850,$A104,'Transaction Overview'!$H$2:$H$1850,F$4)</f>
        <v>0</v>
      </c>
      <c r="G104" s="7" t="n">
        <f aca="false">SUMIFS('Transaction Overview'!$D$2:$D$1850,'Transaction Overview'!$I$2:$I$1850,$A104,'Transaction Overview'!$H$2:$H$1850,G$4)</f>
        <v>0</v>
      </c>
      <c r="H104" s="7" t="n">
        <f aca="false">SUMIFS('Transaction Overview'!$D$2:$D$1850,'Transaction Overview'!$I$2:$I$1850,$A104,'Transaction Overview'!$H$2:$H$1850,H$4)</f>
        <v>0</v>
      </c>
      <c r="I104" s="7" t="n">
        <f aca="false">SUMIFS('Transaction Overview'!$D$2:$D$1850,'Transaction Overview'!$I$2:$I$1850,$A104,'Transaction Overview'!$H$2:$H$1850,I$4)</f>
        <v>0</v>
      </c>
      <c r="J104" s="7" t="n">
        <f aca="false">SUMIFS('Transaction Overview'!$D$2:$D$1850,'Transaction Overview'!$I$2:$I$1850,$A104,'Transaction Overview'!$H$2:$H$1850,J$4)</f>
        <v>0</v>
      </c>
      <c r="K104" s="7" t="n">
        <f aca="false">SUMIFS('Transaction Overview'!$D$2:$D$1850,'Transaction Overview'!$I$2:$I$1850,$A104,'Transaction Overview'!$H$2:$H$1850,K$4)</f>
        <v>0</v>
      </c>
      <c r="L104" s="7" t="n">
        <f aca="false">SUMIFS('Transaction Overview'!$D$2:$D$1850,'Transaction Overview'!$I$2:$I$1850,$A104,'Transaction Overview'!$H$2:$H$1850,L$4)</f>
        <v>0</v>
      </c>
      <c r="M104" s="7" t="n">
        <f aca="false">SUMIFS('Transaction Overview'!$D$2:$D$1850,'Transaction Overview'!$I$2:$I$1850,$A104,'Transaction Overview'!$H$2:$H$1850,M$4)</f>
        <v>0</v>
      </c>
      <c r="N104" s="7" t="n">
        <f aca="false">SUM(B104:M104)</f>
        <v>-89.54</v>
      </c>
    </row>
    <row r="105" customFormat="false" ht="15" hidden="false" customHeight="false" outlineLevel="0" collapsed="false">
      <c r="A105" s="0" t="s">
        <v>127</v>
      </c>
      <c r="B105" s="7" t="n">
        <f aca="false">SUMIFS('Transaction Overview'!$D$2:$D$1850,'Transaction Overview'!$I$2:$I$1850,$A105,'Transaction Overview'!$H$2:$H$1850,B$4)</f>
        <v>0</v>
      </c>
      <c r="C105" s="7" t="n">
        <f aca="false">SUMIFS('Transaction Overview'!$D$2:$D$1850,'Transaction Overview'!$I$2:$I$1850,$A105,'Transaction Overview'!$H$2:$H$1850,C$4)</f>
        <v>0</v>
      </c>
      <c r="D105" s="7" t="n">
        <f aca="false">SUMIFS('Transaction Overview'!$D$2:$D$1850,'Transaction Overview'!$I$2:$I$1850,$A105,'Transaction Overview'!$H$2:$H$1850,D$4)</f>
        <v>0</v>
      </c>
      <c r="E105" s="7" t="n">
        <f aca="false">SUMIFS('Transaction Overview'!$D$2:$D$1850,'Transaction Overview'!$I$2:$I$1850,$A105,'Transaction Overview'!$H$2:$H$1850,E$4)</f>
        <v>0</v>
      </c>
      <c r="F105" s="7" t="n">
        <f aca="false">SUMIFS('Transaction Overview'!$D$2:$D$1850,'Transaction Overview'!$I$2:$I$1850,$A105,'Transaction Overview'!$H$2:$H$1850,F$4)</f>
        <v>0</v>
      </c>
      <c r="G105" s="7" t="n">
        <f aca="false">SUMIFS('Transaction Overview'!$D$2:$D$1850,'Transaction Overview'!$I$2:$I$1850,$A105,'Transaction Overview'!$H$2:$H$1850,G$4)</f>
        <v>0</v>
      </c>
      <c r="H105" s="7" t="n">
        <f aca="false">SUMIFS('Transaction Overview'!$D$2:$D$1850,'Transaction Overview'!$I$2:$I$1850,$A105,'Transaction Overview'!$H$2:$H$1850,H$4)</f>
        <v>0</v>
      </c>
      <c r="I105" s="7" t="n">
        <f aca="false">SUMIFS('Transaction Overview'!$D$2:$D$1850,'Transaction Overview'!$I$2:$I$1850,$A105,'Transaction Overview'!$H$2:$H$1850,I$4)</f>
        <v>0</v>
      </c>
      <c r="J105" s="7" t="n">
        <f aca="false">SUMIFS('Transaction Overview'!$D$2:$D$1850,'Transaction Overview'!$I$2:$I$1850,$A105,'Transaction Overview'!$H$2:$H$1850,J$4)</f>
        <v>-2030.81</v>
      </c>
      <c r="K105" s="7" t="n">
        <f aca="false">SUMIFS('Transaction Overview'!$D$2:$D$1850,'Transaction Overview'!$I$2:$I$1850,$A105,'Transaction Overview'!$H$2:$H$1850,K$4)</f>
        <v>0</v>
      </c>
      <c r="L105" s="7" t="n">
        <f aca="false">SUMIFS('Transaction Overview'!$D$2:$D$1850,'Transaction Overview'!$I$2:$I$1850,$A105,'Transaction Overview'!$H$2:$H$1850,L$4)</f>
        <v>0</v>
      </c>
      <c r="M105" s="7" t="n">
        <f aca="false">SUMIFS('Transaction Overview'!$D$2:$D$1850,'Transaction Overview'!$I$2:$I$1850,$A105,'Transaction Overview'!$H$2:$H$1850,M$4)</f>
        <v>0</v>
      </c>
      <c r="N105" s="7" t="n">
        <f aca="false">SUM(B105:M105)</f>
        <v>-2030.81</v>
      </c>
    </row>
    <row r="106" customFormat="false" ht="15" hidden="false" customHeight="false" outlineLevel="0" collapsed="false">
      <c r="A106" s="0" t="s">
        <v>128</v>
      </c>
      <c r="B106" s="7" t="n">
        <f aca="false">SUMIFS('Transaction Overview'!$D$2:$D$1850,'Transaction Overview'!$I$2:$I$1850,$A106,'Transaction Overview'!$H$2:$H$1850,B$4)</f>
        <v>0</v>
      </c>
      <c r="C106" s="7" t="n">
        <f aca="false">SUMIFS('Transaction Overview'!$D$2:$D$1850,'Transaction Overview'!$I$2:$I$1850,$A106,'Transaction Overview'!$H$2:$H$1850,C$4)</f>
        <v>0</v>
      </c>
      <c r="D106" s="7" t="n">
        <f aca="false">SUMIFS('Transaction Overview'!$D$2:$D$1850,'Transaction Overview'!$I$2:$I$1850,$A106,'Transaction Overview'!$H$2:$H$1850,D$4)</f>
        <v>0</v>
      </c>
      <c r="E106" s="7" t="n">
        <f aca="false">SUMIFS('Transaction Overview'!$D$2:$D$1850,'Transaction Overview'!$I$2:$I$1850,$A106,'Transaction Overview'!$H$2:$H$1850,E$4)</f>
        <v>0</v>
      </c>
      <c r="F106" s="7" t="n">
        <f aca="false">SUMIFS('Transaction Overview'!$D$2:$D$1850,'Transaction Overview'!$I$2:$I$1850,$A106,'Transaction Overview'!$H$2:$H$1850,F$4)</f>
        <v>0</v>
      </c>
      <c r="G106" s="7" t="n">
        <f aca="false">SUMIFS('Transaction Overview'!$D$2:$D$1850,'Transaction Overview'!$I$2:$I$1850,$A106,'Transaction Overview'!$H$2:$H$1850,G$4)</f>
        <v>0</v>
      </c>
      <c r="H106" s="7" t="n">
        <f aca="false">SUMIFS('Transaction Overview'!$D$2:$D$1850,'Transaction Overview'!$I$2:$I$1850,$A106,'Transaction Overview'!$H$2:$H$1850,H$4)</f>
        <v>0</v>
      </c>
      <c r="I106" s="7" t="n">
        <f aca="false">SUMIFS('Transaction Overview'!$D$2:$D$1850,'Transaction Overview'!$I$2:$I$1850,$A106,'Transaction Overview'!$H$2:$H$1850,I$4)</f>
        <v>-6.54</v>
      </c>
      <c r="J106" s="7" t="n">
        <f aca="false">SUMIFS('Transaction Overview'!$D$2:$D$1850,'Transaction Overview'!$I$2:$I$1850,$A106,'Transaction Overview'!$H$2:$H$1850,J$4)</f>
        <v>0</v>
      </c>
      <c r="K106" s="7" t="n">
        <f aca="false">SUMIFS('Transaction Overview'!$D$2:$D$1850,'Transaction Overview'!$I$2:$I$1850,$A106,'Transaction Overview'!$H$2:$H$1850,K$4)</f>
        <v>0</v>
      </c>
      <c r="L106" s="7" t="n">
        <f aca="false">SUMIFS('Transaction Overview'!$D$2:$D$1850,'Transaction Overview'!$I$2:$I$1850,$A106,'Transaction Overview'!$H$2:$H$1850,L$4)</f>
        <v>0</v>
      </c>
      <c r="M106" s="7" t="n">
        <f aca="false">SUMIFS('Transaction Overview'!$D$2:$D$1850,'Transaction Overview'!$I$2:$I$1850,$A106,'Transaction Overview'!$H$2:$H$1850,M$4)</f>
        <v>0</v>
      </c>
      <c r="N106" s="7" t="n">
        <f aca="false">SUM(B106:M106)</f>
        <v>-6.54</v>
      </c>
    </row>
    <row r="107" customFormat="false" ht="15" hidden="false" customHeight="false" outlineLevel="0" collapsed="false">
      <c r="A107" s="0" t="s">
        <v>129</v>
      </c>
      <c r="B107" s="7" t="n">
        <f aca="false">SUMIFS('Transaction Overview'!$D$2:$D$1850,'Transaction Overview'!$I$2:$I$1850,$A107,'Transaction Overview'!$H$2:$H$1850,B$4)</f>
        <v>0</v>
      </c>
      <c r="C107" s="7" t="n">
        <f aca="false">SUMIFS('Transaction Overview'!$D$2:$D$1850,'Transaction Overview'!$I$2:$I$1850,$A107,'Transaction Overview'!$H$2:$H$1850,C$4)</f>
        <v>0</v>
      </c>
      <c r="D107" s="7" t="n">
        <f aca="false">SUMIFS('Transaction Overview'!$D$2:$D$1850,'Transaction Overview'!$I$2:$I$1850,$A107,'Transaction Overview'!$H$2:$H$1850,D$4)</f>
        <v>0</v>
      </c>
      <c r="E107" s="7" t="n">
        <f aca="false">SUMIFS('Transaction Overview'!$D$2:$D$1850,'Transaction Overview'!$I$2:$I$1850,$A107,'Transaction Overview'!$H$2:$H$1850,E$4)</f>
        <v>0</v>
      </c>
      <c r="F107" s="7" t="n">
        <f aca="false">SUMIFS('Transaction Overview'!$D$2:$D$1850,'Transaction Overview'!$I$2:$I$1850,$A107,'Transaction Overview'!$H$2:$H$1850,F$4)</f>
        <v>0</v>
      </c>
      <c r="G107" s="7" t="n">
        <f aca="false">SUMIFS('Transaction Overview'!$D$2:$D$1850,'Transaction Overview'!$I$2:$I$1850,$A107,'Transaction Overview'!$H$2:$H$1850,G$4)</f>
        <v>0</v>
      </c>
      <c r="H107" s="7" t="n">
        <f aca="false">SUMIFS('Transaction Overview'!$D$2:$D$1850,'Transaction Overview'!$I$2:$I$1850,$A107,'Transaction Overview'!$H$2:$H$1850,H$4)</f>
        <v>-394.76</v>
      </c>
      <c r="I107" s="7" t="n">
        <f aca="false">SUMIFS('Transaction Overview'!$D$2:$D$1850,'Transaction Overview'!$I$2:$I$1850,$A107,'Transaction Overview'!$H$2:$H$1850,I$4)</f>
        <v>0</v>
      </c>
      <c r="J107" s="7" t="n">
        <f aca="false">SUMIFS('Transaction Overview'!$D$2:$D$1850,'Transaction Overview'!$I$2:$I$1850,$A107,'Transaction Overview'!$H$2:$H$1850,J$4)</f>
        <v>0</v>
      </c>
      <c r="K107" s="7" t="n">
        <f aca="false">SUMIFS('Transaction Overview'!$D$2:$D$1850,'Transaction Overview'!$I$2:$I$1850,$A107,'Transaction Overview'!$H$2:$H$1850,K$4)</f>
        <v>0</v>
      </c>
      <c r="L107" s="7" t="n">
        <f aca="false">SUMIFS('Transaction Overview'!$D$2:$D$1850,'Transaction Overview'!$I$2:$I$1850,$A107,'Transaction Overview'!$H$2:$H$1850,L$4)</f>
        <v>0</v>
      </c>
      <c r="M107" s="7" t="n">
        <f aca="false">SUMIFS('Transaction Overview'!$D$2:$D$1850,'Transaction Overview'!$I$2:$I$1850,$A107,'Transaction Overview'!$H$2:$H$1850,M$4)</f>
        <v>0</v>
      </c>
      <c r="N107" s="7" t="n">
        <f aca="false">SUM(B107:M107)</f>
        <v>-394.76</v>
      </c>
    </row>
    <row r="108" customFormat="false" ht="15" hidden="false" customHeight="false" outlineLevel="0" collapsed="false">
      <c r="A108" s="0" t="s">
        <v>130</v>
      </c>
      <c r="B108" s="7" t="n">
        <f aca="false">SUMIFS('Transaction Overview'!$D$2:$D$1850,'Transaction Overview'!$I$2:$I$1850,$A108,'Transaction Overview'!$H$2:$H$1850,B$4)</f>
        <v>-8</v>
      </c>
      <c r="C108" s="7" t="n">
        <f aca="false">SUMIFS('Transaction Overview'!$D$2:$D$1850,'Transaction Overview'!$I$2:$I$1850,$A108,'Transaction Overview'!$H$2:$H$1850,C$4)</f>
        <v>-40</v>
      </c>
      <c r="D108" s="7" t="n">
        <f aca="false">SUMIFS('Transaction Overview'!$D$2:$D$1850,'Transaction Overview'!$I$2:$I$1850,$A108,'Transaction Overview'!$H$2:$H$1850,D$4)</f>
        <v>-24</v>
      </c>
      <c r="E108" s="7" t="n">
        <f aca="false">SUMIFS('Transaction Overview'!$D$2:$D$1850,'Transaction Overview'!$I$2:$I$1850,$A108,'Transaction Overview'!$H$2:$H$1850,E$4)</f>
        <v>0</v>
      </c>
      <c r="F108" s="7" t="n">
        <f aca="false">SUMIFS('Transaction Overview'!$D$2:$D$1850,'Transaction Overview'!$I$2:$I$1850,$A108,'Transaction Overview'!$H$2:$H$1850,F$4)</f>
        <v>0</v>
      </c>
      <c r="G108" s="7" t="n">
        <f aca="false">SUMIFS('Transaction Overview'!$D$2:$D$1850,'Transaction Overview'!$I$2:$I$1850,$A108,'Transaction Overview'!$H$2:$H$1850,G$4)</f>
        <v>0</v>
      </c>
      <c r="H108" s="7" t="n">
        <f aca="false">SUMIFS('Transaction Overview'!$D$2:$D$1850,'Transaction Overview'!$I$2:$I$1850,$A108,'Transaction Overview'!$H$2:$H$1850,H$4)</f>
        <v>0</v>
      </c>
      <c r="I108" s="7" t="n">
        <f aca="false">SUMIFS('Transaction Overview'!$D$2:$D$1850,'Transaction Overview'!$I$2:$I$1850,$A108,'Transaction Overview'!$H$2:$H$1850,I$4)</f>
        <v>0</v>
      </c>
      <c r="J108" s="7" t="n">
        <f aca="false">SUMIFS('Transaction Overview'!$D$2:$D$1850,'Transaction Overview'!$I$2:$I$1850,$A108,'Transaction Overview'!$H$2:$H$1850,J$4)</f>
        <v>0</v>
      </c>
      <c r="K108" s="7" t="n">
        <f aca="false">SUMIFS('Transaction Overview'!$D$2:$D$1850,'Transaction Overview'!$I$2:$I$1850,$A108,'Transaction Overview'!$H$2:$H$1850,K$4)</f>
        <v>0</v>
      </c>
      <c r="L108" s="7" t="n">
        <f aca="false">SUMIFS('Transaction Overview'!$D$2:$D$1850,'Transaction Overview'!$I$2:$I$1850,$A108,'Transaction Overview'!$H$2:$H$1850,L$4)</f>
        <v>0</v>
      </c>
      <c r="M108" s="7" t="n">
        <f aca="false">SUMIFS('Transaction Overview'!$D$2:$D$1850,'Transaction Overview'!$I$2:$I$1850,$A108,'Transaction Overview'!$H$2:$H$1850,M$4)</f>
        <v>0</v>
      </c>
      <c r="N108" s="7" t="n">
        <f aca="false">SUM(B108:M108)</f>
        <v>-72</v>
      </c>
    </row>
    <row r="109" customFormat="false" ht="15" hidden="false" customHeight="false" outlineLevel="0" collapsed="false">
      <c r="A109" s="9" t="s">
        <v>132</v>
      </c>
    </row>
    <row r="110" customFormat="false" ht="15" hidden="false" customHeight="false" outlineLevel="0" collapsed="false">
      <c r="A110" s="0" t="s">
        <v>133</v>
      </c>
      <c r="B110" s="7" t="n">
        <f aca="false">SUMIFS('Transaction Overview'!$D$2:$D$1850,'Transaction Overview'!$I$2:$I$1850,$A110,'Transaction Overview'!$H$2:$H$1850,B$4)</f>
        <v>-1221.57</v>
      </c>
      <c r="C110" s="7" t="n">
        <f aca="false">SUMIFS('Transaction Overview'!$D$2:$D$1850,'Transaction Overview'!$I$2:$I$1850,$A110,'Transaction Overview'!$H$2:$H$1850,C$4)</f>
        <v>-1416.93</v>
      </c>
      <c r="D110" s="7" t="n">
        <f aca="false">SUMIFS('Transaction Overview'!$D$2:$D$1850,'Transaction Overview'!$I$2:$I$1850,$A110,'Transaction Overview'!$H$2:$H$1850,D$4)</f>
        <v>-1335.61</v>
      </c>
      <c r="E110" s="7" t="n">
        <f aca="false">SUMIFS('Transaction Overview'!$D$2:$D$1850,'Transaction Overview'!$I$2:$I$1850,$A110,'Transaction Overview'!$H$2:$H$1850,E$4)</f>
        <v>-314.32</v>
      </c>
      <c r="F110" s="7" t="n">
        <f aca="false">SUMIFS('Transaction Overview'!$D$2:$D$1850,'Transaction Overview'!$I$2:$I$1850,$A110,'Transaction Overview'!$H$2:$H$1850,F$4)</f>
        <v>-179.47</v>
      </c>
      <c r="G110" s="7" t="n">
        <f aca="false">SUMIFS('Transaction Overview'!$D$2:$D$1850,'Transaction Overview'!$I$2:$I$1850,$A110,'Transaction Overview'!$H$2:$H$1850,G$4)</f>
        <v>-60.6</v>
      </c>
      <c r="H110" s="7" t="n">
        <f aca="false">SUMIFS('Transaction Overview'!$D$2:$D$1850,'Transaction Overview'!$I$2:$I$1850,$A110,'Transaction Overview'!$H$2:$H$1850,H$4)</f>
        <v>-628.57</v>
      </c>
      <c r="I110" s="7" t="n">
        <f aca="false">SUMIFS('Transaction Overview'!$D$2:$D$1850,'Transaction Overview'!$I$2:$I$1850,$A110,'Transaction Overview'!$H$2:$H$1850,I$4)</f>
        <v>-364.8</v>
      </c>
      <c r="J110" s="7" t="n">
        <f aca="false">SUMIFS('Transaction Overview'!$D$2:$D$1850,'Transaction Overview'!$I$2:$I$1850,$A110,'Transaction Overview'!$H$2:$H$1850,J$4)</f>
        <v>-152.55</v>
      </c>
      <c r="K110" s="7" t="n">
        <f aca="false">SUMIFS('Transaction Overview'!$D$2:$D$1850,'Transaction Overview'!$I$2:$I$1850,$A110,'Transaction Overview'!$H$2:$H$1850,K$4)</f>
        <v>-55.3</v>
      </c>
      <c r="L110" s="7" t="n">
        <f aca="false">SUMIFS('Transaction Overview'!$D$2:$D$1850,'Transaction Overview'!$I$2:$I$1850,$A110,'Transaction Overview'!$H$2:$H$1850,L$4)</f>
        <v>-728.39</v>
      </c>
      <c r="M110" s="7" t="n">
        <f aca="false">SUMIFS('Transaction Overview'!$D$2:$D$1850,'Transaction Overview'!$I$2:$I$1850,$A110,'Transaction Overview'!$H$2:$H$1850,M$4)</f>
        <v>-28.27</v>
      </c>
      <c r="N110" s="7" t="n">
        <f aca="false">SUM(B110:M110)</f>
        <v>-6486.38</v>
      </c>
    </row>
    <row r="111" customFormat="false" ht="15" hidden="false" customHeight="false" outlineLevel="0" collapsed="false">
      <c r="A111" s="0" t="s">
        <v>134</v>
      </c>
      <c r="B111" s="7" t="n">
        <f aca="false">SUMIFS('Transaction Overview'!$D$2:$D$1850,'Transaction Overview'!$I$2:$I$1850,$A111,'Transaction Overview'!$H$2:$H$1850,B$4)</f>
        <v>-14020</v>
      </c>
      <c r="C111" s="7" t="n">
        <f aca="false">SUMIFS('Transaction Overview'!$D$2:$D$1850,'Transaction Overview'!$I$2:$I$1850,$A111,'Transaction Overview'!$H$2:$H$1850,C$4)</f>
        <v>-7010</v>
      </c>
      <c r="D111" s="7" t="n">
        <f aca="false">SUMIFS('Transaction Overview'!$D$2:$D$1850,'Transaction Overview'!$I$2:$I$1850,$A111,'Transaction Overview'!$H$2:$H$1850,D$4)</f>
        <v>-7010</v>
      </c>
      <c r="E111" s="7" t="n">
        <f aca="false">SUMIFS('Transaction Overview'!$D$2:$D$1850,'Transaction Overview'!$I$2:$I$1850,$A111,'Transaction Overview'!$H$2:$H$1850,E$4)</f>
        <v>-7010</v>
      </c>
      <c r="F111" s="7" t="n">
        <f aca="false">SUMIFS('Transaction Overview'!$D$2:$D$1850,'Transaction Overview'!$I$2:$I$1850,$A111,'Transaction Overview'!$H$2:$H$1850,F$4)</f>
        <v>-7010</v>
      </c>
      <c r="G111" s="7" t="n">
        <f aca="false">SUMIFS('Transaction Overview'!$D$2:$D$1850,'Transaction Overview'!$I$2:$I$1850,$A111,'Transaction Overview'!$H$2:$H$1850,G$4)</f>
        <v>0</v>
      </c>
      <c r="H111" s="7" t="n">
        <f aca="false">SUMIFS('Transaction Overview'!$D$2:$D$1850,'Transaction Overview'!$I$2:$I$1850,$A111,'Transaction Overview'!$H$2:$H$1850,H$4)</f>
        <v>-14020</v>
      </c>
      <c r="I111" s="7" t="n">
        <f aca="false">SUMIFS('Transaction Overview'!$D$2:$D$1850,'Transaction Overview'!$I$2:$I$1850,$A111,'Transaction Overview'!$H$2:$H$1850,I$4)</f>
        <v>0</v>
      </c>
      <c r="J111" s="7" t="n">
        <f aca="false">SUMIFS('Transaction Overview'!$D$2:$D$1850,'Transaction Overview'!$I$2:$I$1850,$A111,'Transaction Overview'!$H$2:$H$1850,J$4)</f>
        <v>-14020</v>
      </c>
      <c r="K111" s="7" t="n">
        <f aca="false">SUMIFS('Transaction Overview'!$D$2:$D$1850,'Transaction Overview'!$I$2:$I$1850,$A111,'Transaction Overview'!$H$2:$H$1850,K$4)</f>
        <v>-7010</v>
      </c>
      <c r="L111" s="7" t="n">
        <f aca="false">SUMIFS('Transaction Overview'!$D$2:$D$1850,'Transaction Overview'!$I$2:$I$1850,$A111,'Transaction Overview'!$H$2:$H$1850,L$4)</f>
        <v>-88.79</v>
      </c>
      <c r="M111" s="7" t="n">
        <f aca="false">SUMIFS('Transaction Overview'!$D$2:$D$1850,'Transaction Overview'!$I$2:$I$1850,$A111,'Transaction Overview'!$H$2:$H$1850,M$4)</f>
        <v>-14200</v>
      </c>
      <c r="N111" s="7" t="n">
        <f aca="false">SUM(B111:M111)</f>
        <v>-91398.79</v>
      </c>
    </row>
    <row r="112" customFormat="false" ht="15" hidden="false" customHeight="false" outlineLevel="0" collapsed="false">
      <c r="A112" s="0" t="s">
        <v>135</v>
      </c>
      <c r="B112" s="7" t="n">
        <f aca="false">SUMIFS('Transaction Overview'!$D$2:$D$1850,'Transaction Overview'!$I$2:$I$1850,$A112,'Transaction Overview'!$H$2:$H$1850,B$4)</f>
        <v>-3987.97</v>
      </c>
      <c r="C112" s="7" t="n">
        <f aca="false">SUMIFS('Transaction Overview'!$D$2:$D$1850,'Transaction Overview'!$I$2:$I$1850,$A112,'Transaction Overview'!$H$2:$H$1850,C$4)</f>
        <v>-2910.88</v>
      </c>
      <c r="D112" s="7" t="n">
        <f aca="false">SUMIFS('Transaction Overview'!$D$2:$D$1850,'Transaction Overview'!$I$2:$I$1850,$A112,'Transaction Overview'!$H$2:$H$1850,D$4)</f>
        <v>-8912.44</v>
      </c>
      <c r="E112" s="7" t="n">
        <f aca="false">SUMIFS('Transaction Overview'!$D$2:$D$1850,'Transaction Overview'!$I$2:$I$1850,$A112,'Transaction Overview'!$H$2:$H$1850,E$4)</f>
        <v>-5842.96</v>
      </c>
      <c r="F112" s="7" t="n">
        <f aca="false">SUMIFS('Transaction Overview'!$D$2:$D$1850,'Transaction Overview'!$I$2:$I$1850,$A112,'Transaction Overview'!$H$2:$H$1850,F$4)</f>
        <v>-4835.74</v>
      </c>
      <c r="G112" s="7" t="n">
        <f aca="false">SUMIFS('Transaction Overview'!$D$2:$D$1850,'Transaction Overview'!$I$2:$I$1850,$A112,'Transaction Overview'!$H$2:$H$1850,G$4)</f>
        <v>-4366.76</v>
      </c>
      <c r="H112" s="7" t="n">
        <f aca="false">SUMIFS('Transaction Overview'!$D$2:$D$1850,'Transaction Overview'!$I$2:$I$1850,$A112,'Transaction Overview'!$H$2:$H$1850,H$4)</f>
        <v>-8031.99</v>
      </c>
      <c r="I112" s="7" t="n">
        <f aca="false">SUMIFS('Transaction Overview'!$D$2:$D$1850,'Transaction Overview'!$I$2:$I$1850,$A112,'Transaction Overview'!$H$2:$H$1850,I$4)</f>
        <v>-5174.56</v>
      </c>
      <c r="J112" s="7" t="n">
        <f aca="false">SUMIFS('Transaction Overview'!$D$2:$D$1850,'Transaction Overview'!$I$2:$I$1850,$A112,'Transaction Overview'!$H$2:$H$1850,J$4)</f>
        <v>-7611.17</v>
      </c>
      <c r="K112" s="7" t="n">
        <f aca="false">SUMIFS('Transaction Overview'!$D$2:$D$1850,'Transaction Overview'!$I$2:$I$1850,$A112,'Transaction Overview'!$H$2:$H$1850,K$4)</f>
        <v>-7288.04</v>
      </c>
      <c r="L112" s="7" t="n">
        <f aca="false">SUMIFS('Transaction Overview'!$D$2:$D$1850,'Transaction Overview'!$I$2:$I$1850,$A112,'Transaction Overview'!$H$2:$H$1850,L$4)</f>
        <v>-3098.65</v>
      </c>
      <c r="M112" s="7" t="n">
        <f aca="false">SUMIFS('Transaction Overview'!$D$2:$D$1850,'Transaction Overview'!$I$2:$I$1850,$A112,'Transaction Overview'!$H$2:$H$1850,M$4)</f>
        <v>-12266.8</v>
      </c>
      <c r="N112" s="7" t="n">
        <f aca="false">SUM(B112:M112)</f>
        <v>-74327.96</v>
      </c>
    </row>
    <row r="113" customFormat="false" ht="15" hidden="false" customHeight="false" outlineLevel="0" collapsed="false">
      <c r="A113" s="0" t="s">
        <v>136</v>
      </c>
      <c r="B113" s="7" t="n">
        <f aca="false">SUMIFS('Transaction Overview'!$D$2:$D$1850,'Transaction Overview'!$I$2:$I$1850,$A113,'Transaction Overview'!$H$2:$H$1850,B$4)</f>
        <v>-487.27</v>
      </c>
      <c r="C113" s="7" t="n">
        <f aca="false">SUMIFS('Transaction Overview'!$D$2:$D$1850,'Transaction Overview'!$I$2:$I$1850,$A113,'Transaction Overview'!$H$2:$H$1850,C$4)</f>
        <v>0</v>
      </c>
      <c r="D113" s="7" t="n">
        <f aca="false">SUMIFS('Transaction Overview'!$D$2:$D$1850,'Transaction Overview'!$I$2:$I$1850,$A113,'Transaction Overview'!$H$2:$H$1850,D$4)</f>
        <v>-343.92</v>
      </c>
      <c r="E113" s="7" t="n">
        <f aca="false">SUMIFS('Transaction Overview'!$D$2:$D$1850,'Transaction Overview'!$I$2:$I$1850,$A113,'Transaction Overview'!$H$2:$H$1850,E$4)</f>
        <v>0</v>
      </c>
      <c r="F113" s="7" t="n">
        <f aca="false">SUMIFS('Transaction Overview'!$D$2:$D$1850,'Transaction Overview'!$I$2:$I$1850,$A113,'Transaction Overview'!$H$2:$H$1850,F$4)</f>
        <v>0</v>
      </c>
      <c r="G113" s="7" t="n">
        <f aca="false">SUMIFS('Transaction Overview'!$D$2:$D$1850,'Transaction Overview'!$I$2:$I$1850,$A113,'Transaction Overview'!$H$2:$H$1850,G$4)</f>
        <v>0</v>
      </c>
      <c r="H113" s="7" t="n">
        <f aca="false">SUMIFS('Transaction Overview'!$D$2:$D$1850,'Transaction Overview'!$I$2:$I$1850,$A113,'Transaction Overview'!$H$2:$H$1850,H$4)</f>
        <v>0</v>
      </c>
      <c r="I113" s="7" t="n">
        <f aca="false">SUMIFS('Transaction Overview'!$D$2:$D$1850,'Transaction Overview'!$I$2:$I$1850,$A113,'Transaction Overview'!$H$2:$H$1850,I$4)</f>
        <v>0</v>
      </c>
      <c r="J113" s="7" t="n">
        <f aca="false">SUMIFS('Transaction Overview'!$D$2:$D$1850,'Transaction Overview'!$I$2:$I$1850,$A113,'Transaction Overview'!$H$2:$H$1850,J$4)</f>
        <v>0</v>
      </c>
      <c r="K113" s="7" t="n">
        <f aca="false">SUMIFS('Transaction Overview'!$D$2:$D$1850,'Transaction Overview'!$I$2:$I$1850,$A113,'Transaction Overview'!$H$2:$H$1850,K$4)</f>
        <v>0</v>
      </c>
      <c r="L113" s="7" t="n">
        <f aca="false">SUMIFS('Transaction Overview'!$D$2:$D$1850,'Transaction Overview'!$I$2:$I$1850,$A113,'Transaction Overview'!$H$2:$H$1850,L$4)</f>
        <v>0</v>
      </c>
      <c r="M113" s="7" t="n">
        <f aca="false">SUMIFS('Transaction Overview'!$D$2:$D$1850,'Transaction Overview'!$I$2:$I$1850,$A113,'Transaction Overview'!$H$2:$H$1850,M$4)</f>
        <v>0</v>
      </c>
      <c r="N113" s="7" t="n">
        <f aca="false">SUM(B113:M113)</f>
        <v>-831.19</v>
      </c>
    </row>
    <row r="114" customFormat="false" ht="15" hidden="false" customHeight="false" outlineLevel="0" collapsed="false">
      <c r="A114" s="0" t="s">
        <v>137</v>
      </c>
      <c r="B114" s="7" t="n">
        <f aca="false">SUMIFS('Transaction Overview'!$D$2:$D$1850,'Transaction Overview'!$I$2:$I$1850,$A114,'Transaction Overview'!$H$2:$H$1850,B$4)</f>
        <v>-24.18</v>
      </c>
      <c r="C114" s="7" t="n">
        <f aca="false">SUMIFS('Transaction Overview'!$D$2:$D$1850,'Transaction Overview'!$I$2:$I$1850,$A114,'Transaction Overview'!$H$2:$H$1850,C$4)</f>
        <v>-259.41</v>
      </c>
      <c r="D114" s="7" t="n">
        <f aca="false">SUMIFS('Transaction Overview'!$D$2:$D$1850,'Transaction Overview'!$I$2:$I$1850,$A114,'Transaction Overview'!$H$2:$H$1850,D$4)</f>
        <v>-33.59</v>
      </c>
      <c r="E114" s="7" t="n">
        <f aca="false">SUMIFS('Transaction Overview'!$D$2:$D$1850,'Transaction Overview'!$I$2:$I$1850,$A114,'Transaction Overview'!$H$2:$H$1850,E$4)</f>
        <v>-200</v>
      </c>
      <c r="F114" s="7" t="n">
        <f aca="false">SUMIFS('Transaction Overview'!$D$2:$D$1850,'Transaction Overview'!$I$2:$I$1850,$A114,'Transaction Overview'!$H$2:$H$1850,F$4)</f>
        <v>0</v>
      </c>
      <c r="G114" s="7" t="n">
        <f aca="false">SUMIFS('Transaction Overview'!$D$2:$D$1850,'Transaction Overview'!$I$2:$I$1850,$A114,'Transaction Overview'!$H$2:$H$1850,G$4)</f>
        <v>0</v>
      </c>
      <c r="H114" s="7" t="n">
        <f aca="false">SUMIFS('Transaction Overview'!$D$2:$D$1850,'Transaction Overview'!$I$2:$I$1850,$A114,'Transaction Overview'!$H$2:$H$1850,H$4)</f>
        <v>-113.23</v>
      </c>
      <c r="I114" s="7" t="n">
        <f aca="false">SUMIFS('Transaction Overview'!$D$2:$D$1850,'Transaction Overview'!$I$2:$I$1850,$A114,'Transaction Overview'!$H$2:$H$1850,I$4)</f>
        <v>-61.11</v>
      </c>
      <c r="J114" s="7" t="n">
        <f aca="false">SUMIFS('Transaction Overview'!$D$2:$D$1850,'Transaction Overview'!$I$2:$I$1850,$A114,'Transaction Overview'!$H$2:$H$1850,J$4)</f>
        <v>-100</v>
      </c>
      <c r="K114" s="7" t="n">
        <f aca="false">SUMIFS('Transaction Overview'!$D$2:$D$1850,'Transaction Overview'!$I$2:$I$1850,$A114,'Transaction Overview'!$H$2:$H$1850,K$4)</f>
        <v>-43.74</v>
      </c>
      <c r="L114" s="7" t="n">
        <f aca="false">SUMIFS('Transaction Overview'!$D$2:$D$1850,'Transaction Overview'!$I$2:$I$1850,$A114,'Transaction Overview'!$H$2:$H$1850,L$4)</f>
        <v>-26.89</v>
      </c>
      <c r="M114" s="7" t="n">
        <f aca="false">SUMIFS('Transaction Overview'!$D$2:$D$1850,'Transaction Overview'!$I$2:$I$1850,$A114,'Transaction Overview'!$H$2:$H$1850,M$4)</f>
        <v>0</v>
      </c>
      <c r="N114" s="7" t="n">
        <f aca="false">SUM(B114:M114)</f>
        <v>-862.15</v>
      </c>
    </row>
    <row r="115" customFormat="false" ht="15" hidden="false" customHeight="false" outlineLevel="0" collapsed="false">
      <c r="A115" s="0" t="s">
        <v>138</v>
      </c>
      <c r="B115" s="7" t="n">
        <f aca="false">SUMIFS('Transaction Overview'!$D$2:$D$1850,'Transaction Overview'!$I$2:$I$1850,$A115,'Transaction Overview'!$H$2:$H$1850,B$4)</f>
        <v>-5317.16</v>
      </c>
      <c r="C115" s="7" t="n">
        <f aca="false">SUMIFS('Transaction Overview'!$D$2:$D$1850,'Transaction Overview'!$I$2:$I$1850,$A115,'Transaction Overview'!$H$2:$H$1850,C$4)</f>
        <v>-2217.92</v>
      </c>
      <c r="D115" s="7" t="n">
        <f aca="false">SUMIFS('Transaction Overview'!$D$2:$D$1850,'Transaction Overview'!$I$2:$I$1850,$A115,'Transaction Overview'!$H$2:$H$1850,D$4)</f>
        <v>-695.47</v>
      </c>
      <c r="E115" s="7" t="n">
        <f aca="false">SUMIFS('Transaction Overview'!$D$2:$D$1850,'Transaction Overview'!$I$2:$I$1850,$A115,'Transaction Overview'!$H$2:$H$1850,E$4)</f>
        <v>-2246.52</v>
      </c>
      <c r="F115" s="7" t="n">
        <f aca="false">SUMIFS('Transaction Overview'!$D$2:$D$1850,'Transaction Overview'!$I$2:$I$1850,$A115,'Transaction Overview'!$H$2:$H$1850,F$4)</f>
        <v>-1101.45</v>
      </c>
      <c r="G115" s="7" t="n">
        <f aca="false">SUMIFS('Transaction Overview'!$D$2:$D$1850,'Transaction Overview'!$I$2:$I$1850,$A115,'Transaction Overview'!$H$2:$H$1850,G$4)</f>
        <v>-1069.55</v>
      </c>
      <c r="H115" s="7" t="n">
        <f aca="false">SUMIFS('Transaction Overview'!$D$2:$D$1850,'Transaction Overview'!$I$2:$I$1850,$A115,'Transaction Overview'!$H$2:$H$1850,H$4)</f>
        <v>-1195.49</v>
      </c>
      <c r="I115" s="7" t="n">
        <f aca="false">SUMIFS('Transaction Overview'!$D$2:$D$1850,'Transaction Overview'!$I$2:$I$1850,$A115,'Transaction Overview'!$H$2:$H$1850,I$4)</f>
        <v>-1080.51</v>
      </c>
      <c r="J115" s="7" t="n">
        <f aca="false">SUMIFS('Transaction Overview'!$D$2:$D$1850,'Transaction Overview'!$I$2:$I$1850,$A115,'Transaction Overview'!$H$2:$H$1850,J$4)</f>
        <v>-2070.54</v>
      </c>
      <c r="K115" s="7" t="n">
        <f aca="false">SUMIFS('Transaction Overview'!$D$2:$D$1850,'Transaction Overview'!$I$2:$I$1850,$A115,'Transaction Overview'!$H$2:$H$1850,K$4)</f>
        <v>-890.6</v>
      </c>
      <c r="L115" s="7" t="n">
        <f aca="false">SUMIFS('Transaction Overview'!$D$2:$D$1850,'Transaction Overview'!$I$2:$I$1850,$A115,'Transaction Overview'!$H$2:$H$1850,L$4)</f>
        <v>-3890.36</v>
      </c>
      <c r="M115" s="7" t="n">
        <f aca="false">SUMIFS('Transaction Overview'!$D$2:$D$1850,'Transaction Overview'!$I$2:$I$1850,$A115,'Transaction Overview'!$H$2:$H$1850,M$4)</f>
        <v>-1369.54</v>
      </c>
      <c r="N115" s="7" t="n">
        <f aca="false">SUM(B115:M115)</f>
        <v>-23145.11</v>
      </c>
    </row>
    <row r="116" customFormat="false" ht="15" hidden="false" customHeight="false" outlineLevel="0" collapsed="false">
      <c r="A116" s="0" t="s">
        <v>139</v>
      </c>
      <c r="B116" s="7" t="n">
        <f aca="false">SUMIFS('Transaction Overview'!$D$2:$D$1850,'Transaction Overview'!$I$2:$I$1850,$A116,'Transaction Overview'!$H$2:$H$1850,B$4)</f>
        <v>-4.35</v>
      </c>
      <c r="C116" s="7" t="n">
        <f aca="false">SUMIFS('Transaction Overview'!$D$2:$D$1850,'Transaction Overview'!$I$2:$I$1850,$A116,'Transaction Overview'!$H$2:$H$1850,C$4)</f>
        <v>-349.92</v>
      </c>
      <c r="D116" s="7" t="n">
        <f aca="false">SUMIFS('Transaction Overview'!$D$2:$D$1850,'Transaction Overview'!$I$2:$I$1850,$A116,'Transaction Overview'!$H$2:$H$1850,D$4)</f>
        <v>0</v>
      </c>
      <c r="E116" s="7" t="n">
        <f aca="false">SUMIFS('Transaction Overview'!$D$2:$D$1850,'Transaction Overview'!$I$2:$I$1850,$A116,'Transaction Overview'!$H$2:$H$1850,E$4)</f>
        <v>0</v>
      </c>
      <c r="F116" s="7" t="n">
        <f aca="false">SUMIFS('Transaction Overview'!$D$2:$D$1850,'Transaction Overview'!$I$2:$I$1850,$A116,'Transaction Overview'!$H$2:$H$1850,F$4)</f>
        <v>0</v>
      </c>
      <c r="G116" s="7" t="n">
        <f aca="false">SUMIFS('Transaction Overview'!$D$2:$D$1850,'Transaction Overview'!$I$2:$I$1850,$A116,'Transaction Overview'!$H$2:$H$1850,G$4)</f>
        <v>0</v>
      </c>
      <c r="H116" s="7" t="n">
        <f aca="false">SUMIFS('Transaction Overview'!$D$2:$D$1850,'Transaction Overview'!$I$2:$I$1850,$A116,'Transaction Overview'!$H$2:$H$1850,H$4)</f>
        <v>0</v>
      </c>
      <c r="I116" s="7" t="n">
        <f aca="false">SUMIFS('Transaction Overview'!$D$2:$D$1850,'Transaction Overview'!$I$2:$I$1850,$A116,'Transaction Overview'!$H$2:$H$1850,I$4)</f>
        <v>0</v>
      </c>
      <c r="J116" s="7" t="n">
        <f aca="false">SUMIFS('Transaction Overview'!$D$2:$D$1850,'Transaction Overview'!$I$2:$I$1850,$A116,'Transaction Overview'!$H$2:$H$1850,J$4)</f>
        <v>-344.32</v>
      </c>
      <c r="K116" s="7" t="n">
        <f aca="false">SUMIFS('Transaction Overview'!$D$2:$D$1850,'Transaction Overview'!$I$2:$I$1850,$A116,'Transaction Overview'!$H$2:$H$1850,K$4)</f>
        <v>0</v>
      </c>
      <c r="L116" s="7" t="n">
        <f aca="false">SUMIFS('Transaction Overview'!$D$2:$D$1850,'Transaction Overview'!$I$2:$I$1850,$A116,'Transaction Overview'!$H$2:$H$1850,L$4)</f>
        <v>0</v>
      </c>
      <c r="M116" s="7" t="n">
        <f aca="false">SUMIFS('Transaction Overview'!$D$2:$D$1850,'Transaction Overview'!$I$2:$I$1850,$A116,'Transaction Overview'!$H$2:$H$1850,M$4)</f>
        <v>0</v>
      </c>
      <c r="N116" s="7" t="n">
        <f aca="false">SUM(B116:M116)</f>
        <v>-698.59</v>
      </c>
    </row>
    <row r="117" customFormat="false" ht="15" hidden="false" customHeight="false" outlineLevel="0" collapsed="false">
      <c r="A117" s="0" t="s">
        <v>140</v>
      </c>
      <c r="B117" s="7" t="n">
        <f aca="false">SUMIFS('Transaction Overview'!$D$2:$D$1850,'Transaction Overview'!$I$2:$I$1850,$A117,'Transaction Overview'!$H$2:$H$1850,B$4)</f>
        <v>0</v>
      </c>
      <c r="C117" s="7" t="n">
        <f aca="false">SUMIFS('Transaction Overview'!$D$2:$D$1850,'Transaction Overview'!$I$2:$I$1850,$A117,'Transaction Overview'!$H$2:$H$1850,C$4)</f>
        <v>0</v>
      </c>
      <c r="D117" s="7" t="n">
        <f aca="false">SUMIFS('Transaction Overview'!$D$2:$D$1850,'Transaction Overview'!$I$2:$I$1850,$A117,'Transaction Overview'!$H$2:$H$1850,D$4)</f>
        <v>-1355</v>
      </c>
      <c r="E117" s="7" t="n">
        <f aca="false">SUMIFS('Transaction Overview'!$D$2:$D$1850,'Transaction Overview'!$I$2:$I$1850,$A117,'Transaction Overview'!$H$2:$H$1850,E$4)</f>
        <v>0</v>
      </c>
      <c r="F117" s="7" t="n">
        <f aca="false">SUMIFS('Transaction Overview'!$D$2:$D$1850,'Transaction Overview'!$I$2:$I$1850,$A117,'Transaction Overview'!$H$2:$H$1850,F$4)</f>
        <v>0</v>
      </c>
      <c r="G117" s="7" t="n">
        <f aca="false">SUMIFS('Transaction Overview'!$D$2:$D$1850,'Transaction Overview'!$I$2:$I$1850,$A117,'Transaction Overview'!$H$2:$H$1850,G$4)</f>
        <v>0</v>
      </c>
      <c r="H117" s="7" t="n">
        <f aca="false">SUMIFS('Transaction Overview'!$D$2:$D$1850,'Transaction Overview'!$I$2:$I$1850,$A117,'Transaction Overview'!$H$2:$H$1850,H$4)</f>
        <v>0</v>
      </c>
      <c r="I117" s="7" t="n">
        <f aca="false">SUMIFS('Transaction Overview'!$D$2:$D$1850,'Transaction Overview'!$I$2:$I$1850,$A117,'Transaction Overview'!$H$2:$H$1850,I$4)</f>
        <v>0</v>
      </c>
      <c r="J117" s="7" t="n">
        <f aca="false">SUMIFS('Transaction Overview'!$D$2:$D$1850,'Transaction Overview'!$I$2:$I$1850,$A117,'Transaction Overview'!$H$2:$H$1850,J$4)</f>
        <v>0</v>
      </c>
      <c r="K117" s="7" t="n">
        <f aca="false">SUMIFS('Transaction Overview'!$D$2:$D$1850,'Transaction Overview'!$I$2:$I$1850,$A117,'Transaction Overview'!$H$2:$H$1850,K$4)</f>
        <v>0</v>
      </c>
      <c r="L117" s="7" t="n">
        <f aca="false">SUMIFS('Transaction Overview'!$D$2:$D$1850,'Transaction Overview'!$I$2:$I$1850,$A117,'Transaction Overview'!$H$2:$H$1850,L$4)</f>
        <v>0</v>
      </c>
      <c r="M117" s="7" t="n">
        <f aca="false">SUMIFS('Transaction Overview'!$D$2:$D$1850,'Transaction Overview'!$I$2:$I$1850,$A117,'Transaction Overview'!$H$2:$H$1850,M$4)</f>
        <v>0</v>
      </c>
      <c r="N117" s="7" t="n">
        <f aca="false">SUM(B117:M117)</f>
        <v>-1355</v>
      </c>
    </row>
    <row r="118" customFormat="false" ht="15" hidden="false" customHeight="false" outlineLevel="0" collapsed="false">
      <c r="A118" s="0" t="s">
        <v>141</v>
      </c>
      <c r="B118" s="7" t="n">
        <f aca="false">SUMIFS('Transaction Overview'!$D$2:$D$1850,'Transaction Overview'!$I$2:$I$1850,$A118,'Transaction Overview'!$H$2:$H$1850,B$4)</f>
        <v>0</v>
      </c>
      <c r="C118" s="7" t="n">
        <f aca="false">SUMIFS('Transaction Overview'!$D$2:$D$1850,'Transaction Overview'!$I$2:$I$1850,$A118,'Transaction Overview'!$H$2:$H$1850,C$4)</f>
        <v>0</v>
      </c>
      <c r="D118" s="7" t="n">
        <f aca="false">SUMIFS('Transaction Overview'!$D$2:$D$1850,'Transaction Overview'!$I$2:$I$1850,$A118,'Transaction Overview'!$H$2:$H$1850,D$4)</f>
        <v>0</v>
      </c>
      <c r="E118" s="7" t="n">
        <f aca="false">SUMIFS('Transaction Overview'!$D$2:$D$1850,'Transaction Overview'!$I$2:$I$1850,$A118,'Transaction Overview'!$H$2:$H$1850,E$4)</f>
        <v>0</v>
      </c>
      <c r="F118" s="7" t="n">
        <f aca="false">SUMIFS('Transaction Overview'!$D$2:$D$1850,'Transaction Overview'!$I$2:$I$1850,$A118,'Transaction Overview'!$H$2:$H$1850,F$4)</f>
        <v>-1000</v>
      </c>
      <c r="G118" s="7" t="n">
        <f aca="false">SUMIFS('Transaction Overview'!$D$2:$D$1850,'Transaction Overview'!$I$2:$I$1850,$A118,'Transaction Overview'!$H$2:$H$1850,G$4)</f>
        <v>0</v>
      </c>
      <c r="H118" s="7" t="n">
        <f aca="false">SUMIFS('Transaction Overview'!$D$2:$D$1850,'Transaction Overview'!$I$2:$I$1850,$A118,'Transaction Overview'!$H$2:$H$1850,H$4)</f>
        <v>0</v>
      </c>
      <c r="I118" s="7" t="n">
        <f aca="false">SUMIFS('Transaction Overview'!$D$2:$D$1850,'Transaction Overview'!$I$2:$I$1850,$A118,'Transaction Overview'!$H$2:$H$1850,I$4)</f>
        <v>0</v>
      </c>
      <c r="J118" s="7" t="n">
        <f aca="false">SUMIFS('Transaction Overview'!$D$2:$D$1850,'Transaction Overview'!$I$2:$I$1850,$A118,'Transaction Overview'!$H$2:$H$1850,J$4)</f>
        <v>-1005</v>
      </c>
      <c r="K118" s="7" t="n">
        <f aca="false">SUMIFS('Transaction Overview'!$D$2:$D$1850,'Transaction Overview'!$I$2:$I$1850,$A118,'Transaction Overview'!$H$2:$H$1850,K$4)</f>
        <v>0</v>
      </c>
      <c r="L118" s="7" t="n">
        <f aca="false">SUMIFS('Transaction Overview'!$D$2:$D$1850,'Transaction Overview'!$I$2:$I$1850,$A118,'Transaction Overview'!$H$2:$H$1850,L$4)</f>
        <v>0</v>
      </c>
      <c r="M118" s="7" t="n">
        <f aca="false">SUMIFS('Transaction Overview'!$D$2:$D$1850,'Transaction Overview'!$I$2:$I$1850,$A118,'Transaction Overview'!$H$2:$H$1850,M$4)</f>
        <v>-1000</v>
      </c>
      <c r="N118" s="7" t="n">
        <f aca="false">SUM(B118:M118)</f>
        <v>-3005</v>
      </c>
    </row>
    <row r="119" customFormat="false" ht="15" hidden="false" customHeight="false" outlineLevel="0" collapsed="false">
      <c r="A119" s="0" t="s">
        <v>142</v>
      </c>
      <c r="B119" s="7" t="n">
        <f aca="false">SUMIFS('Transaction Overview'!$D$2:$D$1850,'Transaction Overview'!$I$2:$I$1850,$A119,'Transaction Overview'!$H$2:$H$1850,B$4)</f>
        <v>-206.63</v>
      </c>
      <c r="C119" s="7" t="n">
        <f aca="false">SUMIFS('Transaction Overview'!$D$2:$D$1850,'Transaction Overview'!$I$2:$I$1850,$A119,'Transaction Overview'!$H$2:$H$1850,C$4)</f>
        <v>-35.42</v>
      </c>
      <c r="D119" s="7" t="n">
        <f aca="false">SUMIFS('Transaction Overview'!$D$2:$D$1850,'Transaction Overview'!$I$2:$I$1850,$A119,'Transaction Overview'!$H$2:$H$1850,D$4)</f>
        <v>-35.42</v>
      </c>
      <c r="E119" s="7" t="n">
        <f aca="false">SUMIFS('Transaction Overview'!$D$2:$D$1850,'Transaction Overview'!$I$2:$I$1850,$A119,'Transaction Overview'!$H$2:$H$1850,E$4)</f>
        <v>-206.63</v>
      </c>
      <c r="F119" s="7" t="n">
        <f aca="false">SUMIFS('Transaction Overview'!$D$2:$D$1850,'Transaction Overview'!$I$2:$I$1850,$A119,'Transaction Overview'!$H$2:$H$1850,F$4)</f>
        <v>-35.42</v>
      </c>
      <c r="G119" s="7" t="n">
        <f aca="false">SUMIFS('Transaction Overview'!$D$2:$D$1850,'Transaction Overview'!$I$2:$I$1850,$A119,'Transaction Overview'!$H$2:$H$1850,G$4)</f>
        <v>-35.42</v>
      </c>
      <c r="H119" s="7" t="n">
        <f aca="false">SUMIFS('Transaction Overview'!$D$2:$D$1850,'Transaction Overview'!$I$2:$I$1850,$A119,'Transaction Overview'!$H$2:$H$1850,H$4)</f>
        <v>-206.63</v>
      </c>
      <c r="I119" s="7" t="n">
        <f aca="false">SUMIFS('Transaction Overview'!$D$2:$D$1850,'Transaction Overview'!$I$2:$I$1850,$A119,'Transaction Overview'!$H$2:$H$1850,I$4)</f>
        <v>-35.42</v>
      </c>
      <c r="J119" s="7" t="n">
        <f aca="false">SUMIFS('Transaction Overview'!$D$2:$D$1850,'Transaction Overview'!$I$2:$I$1850,$A119,'Transaction Overview'!$H$2:$H$1850,J$4)</f>
        <v>-35.42</v>
      </c>
      <c r="K119" s="7" t="n">
        <f aca="false">SUMIFS('Transaction Overview'!$D$2:$D$1850,'Transaction Overview'!$I$2:$I$1850,$A119,'Transaction Overview'!$H$2:$H$1850,K$4)</f>
        <v>-206.63</v>
      </c>
      <c r="L119" s="7" t="n">
        <f aca="false">SUMIFS('Transaction Overview'!$D$2:$D$1850,'Transaction Overview'!$I$2:$I$1850,$A119,'Transaction Overview'!$H$2:$H$1850,L$4)</f>
        <v>-35.42</v>
      </c>
      <c r="M119" s="7" t="n">
        <f aca="false">SUMIFS('Transaction Overview'!$D$2:$D$1850,'Transaction Overview'!$I$2:$I$1850,$A119,'Transaction Overview'!$H$2:$H$1850,M$4)</f>
        <v>-35.42</v>
      </c>
      <c r="N119" s="7" t="n">
        <f aca="false">SUM(B119:M119)</f>
        <v>-1109.88</v>
      </c>
    </row>
    <row r="120" customFormat="false" ht="15" hidden="false" customHeight="false" outlineLevel="0" collapsed="false">
      <c r="A120" s="0" t="s">
        <v>143</v>
      </c>
      <c r="B120" s="7" t="n">
        <f aca="false">SUMIFS('Transaction Overview'!$D$2:$D$1850,'Transaction Overview'!$I$2:$I$1850,$A120,'Transaction Overview'!$H$2:$H$1850,B$4)</f>
        <v>0</v>
      </c>
      <c r="C120" s="7" t="n">
        <f aca="false">SUMIFS('Transaction Overview'!$D$2:$D$1850,'Transaction Overview'!$I$2:$I$1850,$A120,'Transaction Overview'!$H$2:$H$1850,C$4)</f>
        <v>0</v>
      </c>
      <c r="D120" s="7" t="n">
        <f aca="false">SUMIFS('Transaction Overview'!$D$2:$D$1850,'Transaction Overview'!$I$2:$I$1850,$A120,'Transaction Overview'!$H$2:$H$1850,D$4)</f>
        <v>0</v>
      </c>
      <c r="E120" s="7" t="n">
        <f aca="false">SUMIFS('Transaction Overview'!$D$2:$D$1850,'Transaction Overview'!$I$2:$I$1850,$A120,'Transaction Overview'!$H$2:$H$1850,E$4)</f>
        <v>0</v>
      </c>
      <c r="F120" s="7" t="n">
        <f aca="false">SUMIFS('Transaction Overview'!$D$2:$D$1850,'Transaction Overview'!$I$2:$I$1850,$A120,'Transaction Overview'!$H$2:$H$1850,F$4)</f>
        <v>0</v>
      </c>
      <c r="G120" s="7" t="n">
        <f aca="false">SUMIFS('Transaction Overview'!$D$2:$D$1850,'Transaction Overview'!$I$2:$I$1850,$A120,'Transaction Overview'!$H$2:$H$1850,G$4)</f>
        <v>0</v>
      </c>
      <c r="H120" s="7" t="n">
        <f aca="false">SUMIFS('Transaction Overview'!$D$2:$D$1850,'Transaction Overview'!$I$2:$I$1850,$A120,'Transaction Overview'!$H$2:$H$1850,H$4)</f>
        <v>0</v>
      </c>
      <c r="I120" s="7" t="n">
        <f aca="false">SUMIFS('Transaction Overview'!$D$2:$D$1850,'Transaction Overview'!$I$2:$I$1850,$A120,'Transaction Overview'!$H$2:$H$1850,I$4)</f>
        <v>0</v>
      </c>
      <c r="J120" s="7" t="n">
        <f aca="false">SUMIFS('Transaction Overview'!$D$2:$D$1850,'Transaction Overview'!$I$2:$I$1850,$A120,'Transaction Overview'!$H$2:$H$1850,J$4)</f>
        <v>-253.33</v>
      </c>
      <c r="K120" s="7" t="n">
        <f aca="false">SUMIFS('Transaction Overview'!$D$2:$D$1850,'Transaction Overview'!$I$2:$I$1850,$A120,'Transaction Overview'!$H$2:$H$1850,K$4)</f>
        <v>0</v>
      </c>
      <c r="L120" s="7" t="n">
        <f aca="false">SUMIFS('Transaction Overview'!$D$2:$D$1850,'Transaction Overview'!$I$2:$I$1850,$A120,'Transaction Overview'!$H$2:$H$1850,L$4)</f>
        <v>0</v>
      </c>
      <c r="M120" s="7" t="n">
        <f aca="false">SUMIFS('Transaction Overview'!$D$2:$D$1850,'Transaction Overview'!$I$2:$I$1850,$A120,'Transaction Overview'!$H$2:$H$1850,M$4)</f>
        <v>0</v>
      </c>
      <c r="N120" s="7" t="n">
        <f aca="false">SUM(B120:M120)</f>
        <v>-253.33</v>
      </c>
    </row>
    <row r="121" customFormat="false" ht="15" hidden="false" customHeight="false" outlineLevel="0" collapsed="false">
      <c r="A121" s="0" t="s">
        <v>144</v>
      </c>
      <c r="B121" s="7" t="n">
        <f aca="false">SUMIFS('Transaction Overview'!$D$2:$D$1850,'Transaction Overview'!$I$2:$I$1850,$A121,'Transaction Overview'!$H$2:$H$1850,B$4)</f>
        <v>-717.62</v>
      </c>
      <c r="C121" s="7" t="n">
        <f aca="false">SUMIFS('Transaction Overview'!$D$2:$D$1850,'Transaction Overview'!$I$2:$I$1850,$A121,'Transaction Overview'!$H$2:$H$1850,C$4)</f>
        <v>-584.86</v>
      </c>
      <c r="D121" s="7" t="n">
        <f aca="false">SUMIFS('Transaction Overview'!$D$2:$D$1850,'Transaction Overview'!$I$2:$I$1850,$A121,'Transaction Overview'!$H$2:$H$1850,D$4)</f>
        <v>-605.83</v>
      </c>
      <c r="E121" s="7" t="n">
        <f aca="false">SUMIFS('Transaction Overview'!$D$2:$D$1850,'Transaction Overview'!$I$2:$I$1850,$A121,'Transaction Overview'!$H$2:$H$1850,E$4)</f>
        <v>-527.87</v>
      </c>
      <c r="F121" s="7" t="n">
        <f aca="false">SUMIFS('Transaction Overview'!$D$2:$D$1850,'Transaction Overview'!$I$2:$I$1850,$A121,'Transaction Overview'!$H$2:$H$1850,F$4)</f>
        <v>-502.47</v>
      </c>
      <c r="G121" s="7" t="n">
        <f aca="false">SUMIFS('Transaction Overview'!$D$2:$D$1850,'Transaction Overview'!$I$2:$I$1850,$A121,'Transaction Overview'!$H$2:$H$1850,G$4)</f>
        <v>-566.27</v>
      </c>
      <c r="H121" s="7" t="n">
        <f aca="false">SUMIFS('Transaction Overview'!$D$2:$D$1850,'Transaction Overview'!$I$2:$I$1850,$A121,'Transaction Overview'!$H$2:$H$1850,H$4)</f>
        <v>-598.09</v>
      </c>
      <c r="I121" s="7" t="n">
        <f aca="false">SUMIFS('Transaction Overview'!$D$2:$D$1850,'Transaction Overview'!$I$2:$I$1850,$A121,'Transaction Overview'!$H$2:$H$1850,I$4)</f>
        <v>-750.32</v>
      </c>
      <c r="J121" s="7" t="n">
        <f aca="false">SUMIFS('Transaction Overview'!$D$2:$D$1850,'Transaction Overview'!$I$2:$I$1850,$A121,'Transaction Overview'!$H$2:$H$1850,J$4)</f>
        <v>-617.96</v>
      </c>
      <c r="K121" s="7" t="n">
        <f aca="false">SUMIFS('Transaction Overview'!$D$2:$D$1850,'Transaction Overview'!$I$2:$I$1850,$A121,'Transaction Overview'!$H$2:$H$1850,K$4)</f>
        <v>-650.03</v>
      </c>
      <c r="L121" s="7" t="n">
        <f aca="false">SUMIFS('Transaction Overview'!$D$2:$D$1850,'Transaction Overview'!$I$2:$I$1850,$A121,'Transaction Overview'!$H$2:$H$1850,L$4)</f>
        <v>-1167.37</v>
      </c>
      <c r="M121" s="7" t="n">
        <f aca="false">SUMIFS('Transaction Overview'!$D$2:$D$1850,'Transaction Overview'!$I$2:$I$1850,$A121,'Transaction Overview'!$H$2:$H$1850,M$4)</f>
        <v>-295.18</v>
      </c>
      <c r="N121" s="7" t="n">
        <f aca="false">SUM(B121:M121)</f>
        <v>-7583.87</v>
      </c>
    </row>
    <row r="122" customFormat="false" ht="15" hidden="false" customHeight="false" outlineLevel="0" collapsed="false">
      <c r="A122" s="0" t="s">
        <v>145</v>
      </c>
      <c r="B122" s="7" t="n">
        <f aca="false">SUMIFS('Transaction Overview'!$D$2:$D$1850,'Transaction Overview'!$I$2:$I$1850,$A122,'Transaction Overview'!$H$2:$H$1850,B$4)</f>
        <v>-1070.71</v>
      </c>
      <c r="C122" s="7" t="n">
        <f aca="false">SUMIFS('Transaction Overview'!$D$2:$D$1850,'Transaction Overview'!$I$2:$I$1850,$A122,'Transaction Overview'!$H$2:$H$1850,C$4)</f>
        <v>-613.85</v>
      </c>
      <c r="D122" s="7" t="n">
        <f aca="false">SUMIFS('Transaction Overview'!$D$2:$D$1850,'Transaction Overview'!$I$2:$I$1850,$A122,'Transaction Overview'!$H$2:$H$1850,D$4)</f>
        <v>0</v>
      </c>
      <c r="E122" s="7" t="n">
        <f aca="false">SUMIFS('Transaction Overview'!$D$2:$D$1850,'Transaction Overview'!$I$2:$I$1850,$A122,'Transaction Overview'!$H$2:$H$1850,E$4)</f>
        <v>-162.57</v>
      </c>
      <c r="F122" s="7" t="n">
        <f aca="false">SUMIFS('Transaction Overview'!$D$2:$D$1850,'Transaction Overview'!$I$2:$I$1850,$A122,'Transaction Overview'!$H$2:$H$1850,F$4)</f>
        <v>0</v>
      </c>
      <c r="G122" s="7" t="n">
        <f aca="false">SUMIFS('Transaction Overview'!$D$2:$D$1850,'Transaction Overview'!$I$2:$I$1850,$A122,'Transaction Overview'!$H$2:$H$1850,G$4)</f>
        <v>-596.31</v>
      </c>
      <c r="H122" s="7" t="n">
        <f aca="false">SUMIFS('Transaction Overview'!$D$2:$D$1850,'Transaction Overview'!$I$2:$I$1850,$A122,'Transaction Overview'!$H$2:$H$1850,H$4)</f>
        <v>-1044.64</v>
      </c>
      <c r="I122" s="7" t="n">
        <f aca="false">SUMIFS('Transaction Overview'!$D$2:$D$1850,'Transaction Overview'!$I$2:$I$1850,$A122,'Transaction Overview'!$H$2:$H$1850,I$4)</f>
        <v>-837.28</v>
      </c>
      <c r="J122" s="7" t="n">
        <f aca="false">SUMIFS('Transaction Overview'!$D$2:$D$1850,'Transaction Overview'!$I$2:$I$1850,$A122,'Transaction Overview'!$H$2:$H$1850,J$4)</f>
        <v>0</v>
      </c>
      <c r="K122" s="7" t="n">
        <f aca="false">SUMIFS('Transaction Overview'!$D$2:$D$1850,'Transaction Overview'!$I$2:$I$1850,$A122,'Transaction Overview'!$H$2:$H$1850,K$4)</f>
        <v>-995.52</v>
      </c>
      <c r="L122" s="7" t="n">
        <f aca="false">SUMIFS('Transaction Overview'!$D$2:$D$1850,'Transaction Overview'!$I$2:$I$1850,$A122,'Transaction Overview'!$H$2:$H$1850,L$4)</f>
        <v>0</v>
      </c>
      <c r="M122" s="7" t="n">
        <f aca="false">SUMIFS('Transaction Overview'!$D$2:$D$1850,'Transaction Overview'!$I$2:$I$1850,$A122,'Transaction Overview'!$H$2:$H$1850,M$4)</f>
        <v>-954.45</v>
      </c>
      <c r="N122" s="7" t="n">
        <f aca="false">SUM(B122:M122)</f>
        <v>-6275.33</v>
      </c>
    </row>
    <row r="123" customFormat="false" ht="15" hidden="false" customHeight="false" outlineLevel="0" collapsed="false">
      <c r="A123" s="9" t="s">
        <v>147</v>
      </c>
    </row>
    <row r="124" customFormat="false" ht="15" hidden="false" customHeight="false" outlineLevel="0" collapsed="false">
      <c r="A124" s="0" t="s">
        <v>148</v>
      </c>
      <c r="B124" s="7" t="n">
        <f aca="false">SUMIFS('Transaction Overview'!$D$2:$D$1850,'Transaction Overview'!$I$2:$I$1850,$A124,'Transaction Overview'!$H$2:$H$1850,B$4)</f>
        <v>-331.54</v>
      </c>
      <c r="C124" s="7" t="n">
        <f aca="false">SUMIFS('Transaction Overview'!$D$2:$D$1850,'Transaction Overview'!$I$2:$I$1850,$A124,'Transaction Overview'!$H$2:$H$1850,C$4)</f>
        <v>-331.54</v>
      </c>
      <c r="D124" s="7" t="n">
        <f aca="false">SUMIFS('Transaction Overview'!$D$2:$D$1850,'Transaction Overview'!$I$2:$I$1850,$A124,'Transaction Overview'!$H$2:$H$1850,D$4)</f>
        <v>-331.54</v>
      </c>
      <c r="E124" s="7" t="n">
        <f aca="false">SUMIFS('Transaction Overview'!$D$2:$D$1850,'Transaction Overview'!$I$2:$I$1850,$A124,'Transaction Overview'!$H$2:$H$1850,E$4)</f>
        <v>-331.54</v>
      </c>
      <c r="F124" s="7" t="n">
        <f aca="false">SUMIFS('Transaction Overview'!$D$2:$D$1850,'Transaction Overview'!$I$2:$I$1850,$A124,'Transaction Overview'!$H$2:$H$1850,F$4)</f>
        <v>-331.54</v>
      </c>
      <c r="G124" s="7" t="n">
        <f aca="false">SUMIFS('Transaction Overview'!$D$2:$D$1850,'Transaction Overview'!$I$2:$I$1850,$A124,'Transaction Overview'!$H$2:$H$1850,G$4)</f>
        <v>-331.54</v>
      </c>
      <c r="H124" s="7" t="n">
        <f aca="false">SUMIFS('Transaction Overview'!$D$2:$D$1850,'Transaction Overview'!$I$2:$I$1850,$A124,'Transaction Overview'!$H$2:$H$1850,H$4)</f>
        <v>-331.54</v>
      </c>
      <c r="I124" s="7" t="n">
        <f aca="false">SUMIFS('Transaction Overview'!$D$2:$D$1850,'Transaction Overview'!$I$2:$I$1850,$A124,'Transaction Overview'!$H$2:$H$1850,I$4)</f>
        <v>-331.54</v>
      </c>
      <c r="J124" s="7" t="n">
        <f aca="false">SUMIFS('Transaction Overview'!$D$2:$D$1850,'Transaction Overview'!$I$2:$I$1850,$A124,'Transaction Overview'!$H$2:$H$1850,J$4)</f>
        <v>-331.54</v>
      </c>
      <c r="K124" s="7" t="n">
        <f aca="false">SUMIFS('Transaction Overview'!$D$2:$D$1850,'Transaction Overview'!$I$2:$I$1850,$A124,'Transaction Overview'!$H$2:$H$1850,K$4)</f>
        <v>-331.54</v>
      </c>
      <c r="L124" s="7" t="n">
        <f aca="false">SUMIFS('Transaction Overview'!$D$2:$D$1850,'Transaction Overview'!$I$2:$I$1850,$A124,'Transaction Overview'!$H$2:$H$1850,L$4)</f>
        <v>-331.54</v>
      </c>
      <c r="M124" s="7" t="n">
        <f aca="false">SUMIFS('Transaction Overview'!$D$2:$D$1850,'Transaction Overview'!$I$2:$I$1850,$A124,'Transaction Overview'!$H$2:$H$1850,M$4)</f>
        <v>-331.54</v>
      </c>
      <c r="N124" s="7" t="n">
        <f aca="false">SUM(B124:M124)</f>
        <v>-3978.48</v>
      </c>
    </row>
    <row r="125" customFormat="false" ht="15" hidden="false" customHeight="false" outlineLevel="0" collapsed="false">
      <c r="A125" s="0" t="s">
        <v>149</v>
      </c>
      <c r="B125" s="7" t="n">
        <f aca="false">SUMIFS('Transaction Overview'!$D$2:$D$1850,'Transaction Overview'!$I$2:$I$1850,$A125,'Transaction Overview'!$H$2:$H$1850,B$4)</f>
        <v>0</v>
      </c>
      <c r="C125" s="7" t="n">
        <f aca="false">SUMIFS('Transaction Overview'!$D$2:$D$1850,'Transaction Overview'!$I$2:$I$1850,$A125,'Transaction Overview'!$H$2:$H$1850,C$4)</f>
        <v>0</v>
      </c>
      <c r="D125" s="7" t="n">
        <f aca="false">SUMIFS('Transaction Overview'!$D$2:$D$1850,'Transaction Overview'!$I$2:$I$1850,$A125,'Transaction Overview'!$H$2:$H$1850,D$4)</f>
        <v>0</v>
      </c>
      <c r="E125" s="7" t="n">
        <f aca="false">SUMIFS('Transaction Overview'!$D$2:$D$1850,'Transaction Overview'!$I$2:$I$1850,$A125,'Transaction Overview'!$H$2:$H$1850,E$4)</f>
        <v>0</v>
      </c>
      <c r="F125" s="7" t="n">
        <f aca="false">SUMIFS('Transaction Overview'!$D$2:$D$1850,'Transaction Overview'!$I$2:$I$1850,$A125,'Transaction Overview'!$H$2:$H$1850,F$4)</f>
        <v>0</v>
      </c>
      <c r="G125" s="7" t="n">
        <f aca="false">SUMIFS('Transaction Overview'!$D$2:$D$1850,'Transaction Overview'!$I$2:$I$1850,$A125,'Transaction Overview'!$H$2:$H$1850,G$4)</f>
        <v>0</v>
      </c>
      <c r="H125" s="7" t="n">
        <f aca="false">SUMIFS('Transaction Overview'!$D$2:$D$1850,'Transaction Overview'!$I$2:$I$1850,$A125,'Transaction Overview'!$H$2:$H$1850,H$4)</f>
        <v>0</v>
      </c>
      <c r="I125" s="7" t="n">
        <f aca="false">SUMIFS('Transaction Overview'!$D$2:$D$1850,'Transaction Overview'!$I$2:$I$1850,$A125,'Transaction Overview'!$H$2:$H$1850,I$4)</f>
        <v>0</v>
      </c>
      <c r="J125" s="7" t="n">
        <f aca="false">SUMIFS('Transaction Overview'!$D$2:$D$1850,'Transaction Overview'!$I$2:$I$1850,$A125,'Transaction Overview'!$H$2:$H$1850,J$4)</f>
        <v>0</v>
      </c>
      <c r="K125" s="7" t="n">
        <f aca="false">SUMIFS('Transaction Overview'!$D$2:$D$1850,'Transaction Overview'!$I$2:$I$1850,$A125,'Transaction Overview'!$H$2:$H$1850,K$4)</f>
        <v>0</v>
      </c>
      <c r="L125" s="7" t="n">
        <f aca="false">SUMIFS('Transaction Overview'!$D$2:$D$1850,'Transaction Overview'!$I$2:$I$1850,$A125,'Transaction Overview'!$H$2:$H$1850,L$4)</f>
        <v>-102.95</v>
      </c>
      <c r="M125" s="7" t="n">
        <f aca="false">SUMIFS('Transaction Overview'!$D$2:$D$1850,'Transaction Overview'!$I$2:$I$1850,$A125,'Transaction Overview'!$H$2:$H$1850,M$4)</f>
        <v>0</v>
      </c>
      <c r="N125" s="7" t="n">
        <f aca="false">SUM(B125:M125)</f>
        <v>-102.95</v>
      </c>
    </row>
    <row r="126" customFormat="false" ht="15" hidden="false" customHeight="false" outlineLevel="0" collapsed="false">
      <c r="A126" s="0" t="s">
        <v>150</v>
      </c>
      <c r="B126" s="7" t="n">
        <f aca="false">SUMIFS('Transaction Overview'!$D$2:$D$1850,'Transaction Overview'!$I$2:$I$1850,$A126,'Transaction Overview'!$H$2:$H$1850,B$4)</f>
        <v>-3237.5</v>
      </c>
      <c r="C126" s="7" t="n">
        <f aca="false">SUMIFS('Transaction Overview'!$D$2:$D$1850,'Transaction Overview'!$I$2:$I$1850,$A126,'Transaction Overview'!$H$2:$H$1850,C$4)</f>
        <v>0</v>
      </c>
      <c r="D126" s="7" t="n">
        <f aca="false">SUMIFS('Transaction Overview'!$D$2:$D$1850,'Transaction Overview'!$I$2:$I$1850,$A126,'Transaction Overview'!$H$2:$H$1850,D$4)</f>
        <v>0</v>
      </c>
      <c r="E126" s="7" t="n">
        <f aca="false">SUMIFS('Transaction Overview'!$D$2:$D$1850,'Transaction Overview'!$I$2:$I$1850,$A126,'Transaction Overview'!$H$2:$H$1850,E$4)</f>
        <v>0</v>
      </c>
      <c r="F126" s="7" t="n">
        <f aca="false">SUMIFS('Transaction Overview'!$D$2:$D$1850,'Transaction Overview'!$I$2:$I$1850,$A126,'Transaction Overview'!$H$2:$H$1850,F$4)</f>
        <v>0</v>
      </c>
      <c r="G126" s="7" t="n">
        <f aca="false">SUMIFS('Transaction Overview'!$D$2:$D$1850,'Transaction Overview'!$I$2:$I$1850,$A126,'Transaction Overview'!$H$2:$H$1850,G$4)</f>
        <v>0</v>
      </c>
      <c r="H126" s="7" t="n">
        <f aca="false">SUMIFS('Transaction Overview'!$D$2:$D$1850,'Transaction Overview'!$I$2:$I$1850,$A126,'Transaction Overview'!$H$2:$H$1850,H$4)</f>
        <v>0</v>
      </c>
      <c r="I126" s="7" t="n">
        <f aca="false">SUMIFS('Transaction Overview'!$D$2:$D$1850,'Transaction Overview'!$I$2:$I$1850,$A126,'Transaction Overview'!$H$2:$H$1850,I$4)</f>
        <v>0</v>
      </c>
      <c r="J126" s="7" t="n">
        <f aca="false">SUMIFS('Transaction Overview'!$D$2:$D$1850,'Transaction Overview'!$I$2:$I$1850,$A126,'Transaction Overview'!$H$2:$H$1850,J$4)</f>
        <v>0</v>
      </c>
      <c r="K126" s="7" t="n">
        <f aca="false">SUMIFS('Transaction Overview'!$D$2:$D$1850,'Transaction Overview'!$I$2:$I$1850,$A126,'Transaction Overview'!$H$2:$H$1850,K$4)</f>
        <v>0</v>
      </c>
      <c r="L126" s="7" t="n">
        <f aca="false">SUMIFS('Transaction Overview'!$D$2:$D$1850,'Transaction Overview'!$I$2:$I$1850,$A126,'Transaction Overview'!$H$2:$H$1850,L$4)</f>
        <v>0</v>
      </c>
      <c r="M126" s="7" t="n">
        <f aca="false">SUMIFS('Transaction Overview'!$D$2:$D$1850,'Transaction Overview'!$I$2:$I$1850,$A126,'Transaction Overview'!$H$2:$H$1850,M$4)</f>
        <v>0</v>
      </c>
      <c r="N126" s="7" t="n">
        <f aca="false">SUM(B126:M126)</f>
        <v>-3237.5</v>
      </c>
    </row>
    <row r="127" customFormat="false" ht="15" hidden="false" customHeight="false" outlineLevel="0" collapsed="false">
      <c r="A127" s="0" t="s">
        <v>151</v>
      </c>
      <c r="B127" s="7" t="n">
        <f aca="false">SUMIFS('Transaction Overview'!$D$2:$D$1850,'Transaction Overview'!$I$2:$I$1850,$A127,'Transaction Overview'!$H$2:$H$1850,B$4)</f>
        <v>-103.81</v>
      </c>
      <c r="C127" s="7" t="n">
        <f aca="false">SUMIFS('Transaction Overview'!$D$2:$D$1850,'Transaction Overview'!$I$2:$I$1850,$A127,'Transaction Overview'!$H$2:$H$1850,C$4)</f>
        <v>-103.81</v>
      </c>
      <c r="D127" s="7" t="n">
        <f aca="false">SUMIFS('Transaction Overview'!$D$2:$D$1850,'Transaction Overview'!$I$2:$I$1850,$A127,'Transaction Overview'!$H$2:$H$1850,D$4)</f>
        <v>-103.81</v>
      </c>
      <c r="E127" s="7" t="n">
        <f aca="false">SUMIFS('Transaction Overview'!$D$2:$D$1850,'Transaction Overview'!$I$2:$I$1850,$A127,'Transaction Overview'!$H$2:$H$1850,E$4)</f>
        <v>-103.81</v>
      </c>
      <c r="F127" s="7" t="n">
        <f aca="false">SUMIFS('Transaction Overview'!$D$2:$D$1850,'Transaction Overview'!$I$2:$I$1850,$A127,'Transaction Overview'!$H$2:$H$1850,F$4)</f>
        <v>-104.01</v>
      </c>
      <c r="G127" s="7" t="n">
        <f aca="false">SUMIFS('Transaction Overview'!$D$2:$D$1850,'Transaction Overview'!$I$2:$I$1850,$A127,'Transaction Overview'!$H$2:$H$1850,G$4)</f>
        <v>0</v>
      </c>
      <c r="H127" s="7" t="n">
        <f aca="false">SUMIFS('Transaction Overview'!$D$2:$D$1850,'Transaction Overview'!$I$2:$I$1850,$A127,'Transaction Overview'!$H$2:$H$1850,H$4)</f>
        <v>0</v>
      </c>
      <c r="I127" s="7" t="n">
        <f aca="false">SUMIFS('Transaction Overview'!$D$2:$D$1850,'Transaction Overview'!$I$2:$I$1850,$A127,'Transaction Overview'!$H$2:$H$1850,I$4)</f>
        <v>0</v>
      </c>
      <c r="J127" s="7" t="n">
        <f aca="false">SUMIFS('Transaction Overview'!$D$2:$D$1850,'Transaction Overview'!$I$2:$I$1850,$A127,'Transaction Overview'!$H$2:$H$1850,J$4)</f>
        <v>0</v>
      </c>
      <c r="K127" s="7" t="n">
        <f aca="false">SUMIFS('Transaction Overview'!$D$2:$D$1850,'Transaction Overview'!$I$2:$I$1850,$A127,'Transaction Overview'!$H$2:$H$1850,K$4)</f>
        <v>0</v>
      </c>
      <c r="L127" s="7" t="n">
        <f aca="false">SUMIFS('Transaction Overview'!$D$2:$D$1850,'Transaction Overview'!$I$2:$I$1850,$A127,'Transaction Overview'!$H$2:$H$1850,L$4)</f>
        <v>0</v>
      </c>
      <c r="M127" s="7" t="n">
        <f aca="false">SUMIFS('Transaction Overview'!$D$2:$D$1850,'Transaction Overview'!$I$2:$I$1850,$A127,'Transaction Overview'!$H$2:$H$1850,M$4)</f>
        <v>0</v>
      </c>
      <c r="N127" s="7" t="n">
        <f aca="false">SUM(B127:M127)</f>
        <v>-519.25</v>
      </c>
    </row>
    <row r="128" customFormat="false" ht="15" hidden="false" customHeight="false" outlineLevel="0" collapsed="false">
      <c r="A128" s="0" t="s">
        <v>152</v>
      </c>
      <c r="B128" s="7" t="n">
        <f aca="false">SUMIFS('Transaction Overview'!$D$2:$D$1850,'Transaction Overview'!$I$2:$I$1850,$A128,'Transaction Overview'!$H$2:$H$1850,B$4)</f>
        <v>0</v>
      </c>
      <c r="C128" s="7" t="n">
        <f aca="false">SUMIFS('Transaction Overview'!$D$2:$D$1850,'Transaction Overview'!$I$2:$I$1850,$A128,'Transaction Overview'!$H$2:$H$1850,C$4)</f>
        <v>0</v>
      </c>
      <c r="D128" s="7" t="n">
        <f aca="false">SUMIFS('Transaction Overview'!$D$2:$D$1850,'Transaction Overview'!$I$2:$I$1850,$A128,'Transaction Overview'!$H$2:$H$1850,D$4)</f>
        <v>-2157.95</v>
      </c>
      <c r="E128" s="7" t="n">
        <f aca="false">SUMIFS('Transaction Overview'!$D$2:$D$1850,'Transaction Overview'!$I$2:$I$1850,$A128,'Transaction Overview'!$H$2:$H$1850,E$4)</f>
        <v>0</v>
      </c>
      <c r="F128" s="7" t="n">
        <f aca="false">SUMIFS('Transaction Overview'!$D$2:$D$1850,'Transaction Overview'!$I$2:$I$1850,$A128,'Transaction Overview'!$H$2:$H$1850,F$4)</f>
        <v>0</v>
      </c>
      <c r="G128" s="7" t="n">
        <f aca="false">SUMIFS('Transaction Overview'!$D$2:$D$1850,'Transaction Overview'!$I$2:$I$1850,$A128,'Transaction Overview'!$H$2:$H$1850,G$4)</f>
        <v>0</v>
      </c>
      <c r="H128" s="7" t="n">
        <f aca="false">SUMIFS('Transaction Overview'!$D$2:$D$1850,'Transaction Overview'!$I$2:$I$1850,$A128,'Transaction Overview'!$H$2:$H$1850,H$4)</f>
        <v>0</v>
      </c>
      <c r="I128" s="7" t="n">
        <f aca="false">SUMIFS('Transaction Overview'!$D$2:$D$1850,'Transaction Overview'!$I$2:$I$1850,$A128,'Transaction Overview'!$H$2:$H$1850,I$4)</f>
        <v>0</v>
      </c>
      <c r="J128" s="7" t="n">
        <f aca="false">SUMIFS('Transaction Overview'!$D$2:$D$1850,'Transaction Overview'!$I$2:$I$1850,$A128,'Transaction Overview'!$H$2:$H$1850,J$4)</f>
        <v>0</v>
      </c>
      <c r="K128" s="7" t="n">
        <f aca="false">SUMIFS('Transaction Overview'!$D$2:$D$1850,'Transaction Overview'!$I$2:$I$1850,$A128,'Transaction Overview'!$H$2:$H$1850,K$4)</f>
        <v>0</v>
      </c>
      <c r="L128" s="7" t="n">
        <f aca="false">SUMIFS('Transaction Overview'!$D$2:$D$1850,'Transaction Overview'!$I$2:$I$1850,$A128,'Transaction Overview'!$H$2:$H$1850,L$4)</f>
        <v>0</v>
      </c>
      <c r="M128" s="7" t="n">
        <f aca="false">SUMIFS('Transaction Overview'!$D$2:$D$1850,'Transaction Overview'!$I$2:$I$1850,$A128,'Transaction Overview'!$H$2:$H$1850,M$4)</f>
        <v>0</v>
      </c>
      <c r="N128" s="7" t="n">
        <f aca="false">SUM(B128:M128)</f>
        <v>-2157.95</v>
      </c>
    </row>
    <row r="129" customFormat="false" ht="15" hidden="false" customHeight="false" outlineLevel="0" collapsed="false">
      <c r="A129" s="0" t="s">
        <v>153</v>
      </c>
      <c r="B129" s="7" t="n">
        <f aca="false">SUMIFS('Transaction Overview'!$D$2:$D$1850,'Transaction Overview'!$I$2:$I$1850,$A129,'Transaction Overview'!$H$2:$H$1850,B$4)</f>
        <v>0</v>
      </c>
      <c r="C129" s="7" t="n">
        <f aca="false">SUMIFS('Transaction Overview'!$D$2:$D$1850,'Transaction Overview'!$I$2:$I$1850,$A129,'Transaction Overview'!$H$2:$H$1850,C$4)</f>
        <v>0</v>
      </c>
      <c r="D129" s="7" t="n">
        <f aca="false">SUMIFS('Transaction Overview'!$D$2:$D$1850,'Transaction Overview'!$I$2:$I$1850,$A129,'Transaction Overview'!$H$2:$H$1850,D$4)</f>
        <v>-977.6</v>
      </c>
      <c r="E129" s="7" t="n">
        <f aca="false">SUMIFS('Transaction Overview'!$D$2:$D$1850,'Transaction Overview'!$I$2:$I$1850,$A129,'Transaction Overview'!$H$2:$H$1850,E$4)</f>
        <v>0</v>
      </c>
      <c r="F129" s="7" t="n">
        <f aca="false">SUMIFS('Transaction Overview'!$D$2:$D$1850,'Transaction Overview'!$I$2:$I$1850,$A129,'Transaction Overview'!$H$2:$H$1850,F$4)</f>
        <v>0</v>
      </c>
      <c r="G129" s="7" t="n">
        <f aca="false">SUMIFS('Transaction Overview'!$D$2:$D$1850,'Transaction Overview'!$I$2:$I$1850,$A129,'Transaction Overview'!$H$2:$H$1850,G$4)</f>
        <v>0</v>
      </c>
      <c r="H129" s="7" t="n">
        <f aca="false">SUMIFS('Transaction Overview'!$D$2:$D$1850,'Transaction Overview'!$I$2:$I$1850,$A129,'Transaction Overview'!$H$2:$H$1850,H$4)</f>
        <v>0</v>
      </c>
      <c r="I129" s="7" t="n">
        <f aca="false">SUMIFS('Transaction Overview'!$D$2:$D$1850,'Transaction Overview'!$I$2:$I$1850,$A129,'Transaction Overview'!$H$2:$H$1850,I$4)</f>
        <v>0</v>
      </c>
      <c r="J129" s="7" t="n">
        <f aca="false">SUMIFS('Transaction Overview'!$D$2:$D$1850,'Transaction Overview'!$I$2:$I$1850,$A129,'Transaction Overview'!$H$2:$H$1850,J$4)</f>
        <v>0</v>
      </c>
      <c r="K129" s="7" t="n">
        <f aca="false">SUMIFS('Transaction Overview'!$D$2:$D$1850,'Transaction Overview'!$I$2:$I$1850,$A129,'Transaction Overview'!$H$2:$H$1850,K$4)</f>
        <v>0</v>
      </c>
      <c r="L129" s="7" t="n">
        <f aca="false">SUMIFS('Transaction Overview'!$D$2:$D$1850,'Transaction Overview'!$I$2:$I$1850,$A129,'Transaction Overview'!$H$2:$H$1850,L$4)</f>
        <v>0</v>
      </c>
      <c r="M129" s="7" t="n">
        <f aca="false">SUMIFS('Transaction Overview'!$D$2:$D$1850,'Transaction Overview'!$I$2:$I$1850,$A129,'Transaction Overview'!$H$2:$H$1850,M$4)</f>
        <v>0</v>
      </c>
      <c r="N129" s="7" t="n">
        <f aca="false">SUM(B129:M129)</f>
        <v>-977.6</v>
      </c>
    </row>
    <row r="130" customFormat="false" ht="15" hidden="false" customHeight="false" outlineLevel="0" collapsed="false">
      <c r="A130" s="0" t="s">
        <v>154</v>
      </c>
      <c r="B130" s="7" t="n">
        <f aca="false">SUMIFS('Transaction Overview'!$D$2:$D$1850,'Transaction Overview'!$I$2:$I$1850,$A130,'Transaction Overview'!$H$2:$H$1850,B$4)</f>
        <v>0</v>
      </c>
      <c r="C130" s="7" t="n">
        <f aca="false">SUMIFS('Transaction Overview'!$D$2:$D$1850,'Transaction Overview'!$I$2:$I$1850,$A130,'Transaction Overview'!$H$2:$H$1850,C$4)</f>
        <v>-1000</v>
      </c>
      <c r="D130" s="7" t="n">
        <f aca="false">SUMIFS('Transaction Overview'!$D$2:$D$1850,'Transaction Overview'!$I$2:$I$1850,$A130,'Transaction Overview'!$H$2:$H$1850,D$4)</f>
        <v>-2200</v>
      </c>
      <c r="E130" s="7" t="n">
        <f aca="false">SUMIFS('Transaction Overview'!$D$2:$D$1850,'Transaction Overview'!$I$2:$I$1850,$A130,'Transaction Overview'!$H$2:$H$1850,E$4)</f>
        <v>0</v>
      </c>
      <c r="F130" s="7" t="n">
        <f aca="false">SUMIFS('Transaction Overview'!$D$2:$D$1850,'Transaction Overview'!$I$2:$I$1850,$A130,'Transaction Overview'!$H$2:$H$1850,F$4)</f>
        <v>0</v>
      </c>
      <c r="G130" s="7" t="n">
        <f aca="false">SUMIFS('Transaction Overview'!$D$2:$D$1850,'Transaction Overview'!$I$2:$I$1850,$A130,'Transaction Overview'!$H$2:$H$1850,G$4)</f>
        <v>0</v>
      </c>
      <c r="H130" s="7" t="n">
        <f aca="false">SUMIFS('Transaction Overview'!$D$2:$D$1850,'Transaction Overview'!$I$2:$I$1850,$A130,'Transaction Overview'!$H$2:$H$1850,H$4)</f>
        <v>0</v>
      </c>
      <c r="I130" s="7" t="n">
        <f aca="false">SUMIFS('Transaction Overview'!$D$2:$D$1850,'Transaction Overview'!$I$2:$I$1850,$A130,'Transaction Overview'!$H$2:$H$1850,I$4)</f>
        <v>0</v>
      </c>
      <c r="J130" s="7" t="n">
        <f aca="false">SUMIFS('Transaction Overview'!$D$2:$D$1850,'Transaction Overview'!$I$2:$I$1850,$A130,'Transaction Overview'!$H$2:$H$1850,J$4)</f>
        <v>0</v>
      </c>
      <c r="K130" s="7" t="n">
        <f aca="false">SUMIFS('Transaction Overview'!$D$2:$D$1850,'Transaction Overview'!$I$2:$I$1850,$A130,'Transaction Overview'!$H$2:$H$1850,K$4)</f>
        <v>0</v>
      </c>
      <c r="L130" s="7" t="n">
        <f aca="false">SUMIFS('Transaction Overview'!$D$2:$D$1850,'Transaction Overview'!$I$2:$I$1850,$A130,'Transaction Overview'!$H$2:$H$1850,L$4)</f>
        <v>0</v>
      </c>
      <c r="M130" s="7" t="n">
        <f aca="false">SUMIFS('Transaction Overview'!$D$2:$D$1850,'Transaction Overview'!$I$2:$I$1850,$A130,'Transaction Overview'!$H$2:$H$1850,M$4)</f>
        <v>0</v>
      </c>
      <c r="N130" s="7" t="n">
        <f aca="false">SUM(B130:M130)</f>
        <v>-3200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A4" s="5" t="s">
        <v>159</v>
      </c>
      <c r="B4" s="6"/>
      <c r="C4" s="6"/>
    </row>
    <row r="5" customFormat="false" ht="15" hidden="false" customHeight="false" outlineLevel="0" collapsed="false">
      <c r="A5" s="0" t="s">
        <v>157</v>
      </c>
      <c r="C5" s="7" t="n">
        <f aca="false">SUMIFS('Transaction Overview'!$D$2:$D$1850,'Transaction Overview'!$J$2:$J$1850,"Intercompany &amp; Savings Transfers",'Transaction Overview'!$D$2:$D$1850,"&gt;0")</f>
        <v>36500</v>
      </c>
    </row>
    <row r="6" customFormat="false" ht="15" hidden="false" customHeight="false" outlineLevel="0" collapsed="false">
      <c r="A6" s="0" t="s">
        <v>160</v>
      </c>
      <c r="C6" s="0" t="n">
        <f aca="false">COUNTIFS('Transaction Overview'!$J$2:$J$1850,"Intercompany &amp; Savings Transfers",'Transaction Overview'!$D$2:$D$1850,"&gt;0")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5" t="s">
        <v>159</v>
      </c>
      <c r="B4" s="6"/>
      <c r="C4" s="6"/>
    </row>
    <row r="5" customFormat="false" ht="15" hidden="false" customHeight="false" outlineLevel="0" collapsed="false">
      <c r="A5" s="0" t="s">
        <v>157</v>
      </c>
      <c r="C5" s="7" t="n">
        <f aca="false">SUMIFS('Transaction Overview'!$D$2:$D$1850,'Transaction Overview'!$J$2:$J$1850,"Intercompany &amp; Savings Transfers",'Transaction Overview'!$D$2:$D$1850,"&lt;0")</f>
        <v>-123202.89</v>
      </c>
    </row>
    <row r="6" customFormat="false" ht="15" hidden="false" customHeight="false" outlineLevel="0" collapsed="false">
      <c r="A6" s="0" t="s">
        <v>160</v>
      </c>
      <c r="C6" s="0" t="n">
        <f aca="false">COUNTIFS('Transaction Overview'!$J$2:$J$1850,"Intercompany &amp; Savings Transfers",'Transaction Overview'!$D$2:$D$1850,"&lt;0")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5" t="s">
        <v>159</v>
      </c>
      <c r="B4" s="6"/>
      <c r="C4" s="6"/>
    </row>
    <row r="5" customFormat="false" ht="15" hidden="false" customHeight="false" outlineLevel="0" collapsed="false">
      <c r="A5" s="0" t="s">
        <v>157</v>
      </c>
      <c r="C5" s="7" t="n">
        <f aca="false">SUMIFS('Transaction Overview'!$D$2:$D$1850,'Transaction Overview'!$J$2:$J$1850,"Intercompany &amp; Savings Transfers",'Transaction Overview'!$D$2:$D$1850,"&gt;0")</f>
        <v>36500</v>
      </c>
    </row>
    <row r="6" customFormat="false" ht="15" hidden="false" customHeight="false" outlineLevel="0" collapsed="false">
      <c r="A6" s="0" t="s">
        <v>160</v>
      </c>
      <c r="C6" s="0" t="n">
        <f aca="false">COUNTIFS('Transaction Overview'!$J$2:$J$1850,"Intercompany &amp; Savings Transfers",'Transaction Overview'!$D$2:$D$1850,"&gt;0")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5" t="s">
        <v>159</v>
      </c>
      <c r="B4" s="6"/>
      <c r="C4" s="6"/>
    </row>
    <row r="5" customFormat="false" ht="15" hidden="false" customHeight="false" outlineLevel="0" collapsed="false">
      <c r="A5" s="0" t="s">
        <v>157</v>
      </c>
      <c r="C5" s="7" t="n">
        <f aca="false">SUMIFS('Transaction Overview'!$D$2:$D$1850,'Transaction Overview'!$J$2:$J$1850,"Intercompany &amp; Savings Transfers",'Transaction Overview'!$D$2:$D$1850,"&lt;0")</f>
        <v>-123202.89</v>
      </c>
    </row>
    <row r="6" customFormat="false" ht="15" hidden="false" customHeight="false" outlineLevel="0" collapsed="false">
      <c r="A6" s="0" t="s">
        <v>160</v>
      </c>
      <c r="C6" s="0" t="n">
        <f aca="false">COUNTIFS('Transaction Overview'!$J$2:$J$1850,"Intercompany &amp; Savings Transfers",'Transaction Overview'!$D$2:$D$1850,"&lt;0")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3" t="s">
        <v>0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5" t="s">
        <v>159</v>
      </c>
      <c r="B4" s="6"/>
      <c r="C4" s="6"/>
    </row>
    <row r="5" customFormat="false" ht="15" hidden="false" customHeight="false" outlineLevel="0" collapsed="false">
      <c r="A5" s="0" t="s">
        <v>157</v>
      </c>
      <c r="C5" s="7" t="n">
        <f aca="false">SUMIFS('Transaction Overview'!$D$2:$D$1850,'Transaction Overview'!$J$2:$J$1850,"Commissions — Incoming",'Transaction Overview'!$D$2:$D$1850,"&gt;0")</f>
        <v>661437</v>
      </c>
    </row>
    <row r="6" customFormat="false" ht="15" hidden="false" customHeight="false" outlineLevel="0" collapsed="false">
      <c r="A6" s="0" t="s">
        <v>160</v>
      </c>
      <c r="C6" s="0" t="n">
        <f aca="false">COUNTIFS('Transaction Overview'!$J$2:$J$1850,"Commissions — Incoming",'Transaction Overview'!$D$2:$D$1850,"&gt;0")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9" t="s">
        <v>165</v>
      </c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12</v>
      </c>
      <c r="H1" s="9" t="s">
        <v>171</v>
      </c>
      <c r="I1" s="9" t="s">
        <v>172</v>
      </c>
      <c r="J1" s="9" t="s">
        <v>173</v>
      </c>
    </row>
    <row r="2" customFormat="false" ht="15" hidden="false" customHeight="false" outlineLevel="0" collapsed="false">
      <c r="A2" s="0" t="str">
        <f aca="false">Chase1168_2025!A2</f>
        <v>DEBIT</v>
      </c>
      <c r="B2" s="14" t="n">
        <f aca="false">Chase1168_2025!B2</f>
        <v>46022</v>
      </c>
      <c r="C2" s="0" t="str">
        <f aca="false">Chase1168_2025!C2</f>
        <v>ONLINE FX INTERNATIONAL WIRE FEE</v>
      </c>
      <c r="D2" s="7" t="n">
        <f aca="false">Chase1168_2025!D2</f>
        <v>-5</v>
      </c>
      <c r="E2" s="0" t="str">
        <f aca="false">Chase1168_2025!E2</f>
        <v>FEE_TRANSACTION</v>
      </c>
      <c r="F2" s="7" t="n">
        <f aca="false">Chase1168_2025!F2</f>
        <v>30206.23</v>
      </c>
      <c r="G2" s="0" t="str">
        <f aca="false">Chase1168_2025!G2</f>
        <v>Andres Alarcon Payroll</v>
      </c>
      <c r="H2" s="15" t="n">
        <f aca="false">IF($B2="","",DATE(YEAR($B2),MONTH($B2),1))</f>
        <v>45992</v>
      </c>
      <c r="I2" s="0" t="str">
        <f aca="false">IF($G2="","Uncategorized — Review",IFERROR(INDEX(Mapping!$B:$B,MATCH($G2,Mapping!$A:$A,0)),"Uncategorized — Review"))</f>
        <v>Andres Alarcon Payroll</v>
      </c>
      <c r="J2" s="0" t="str">
        <f aca="false">IF($G2="","Uncategorized — Review",IFERROR(INDEX(Mapping!$C:$C,MATCH($G2,Mapping!$A:$A,0)),"Uncategorized — Review"))</f>
        <v>Payroll &amp; Contractors</v>
      </c>
    </row>
    <row r="3" customFormat="false" ht="15" hidden="false" customHeight="false" outlineLevel="0" collapsed="false">
      <c r="A3" s="0" t="str">
        <f aca="false">Chase1168_2025!A3</f>
        <v>DEBIT</v>
      </c>
      <c r="B3" s="14" t="n">
        <f aca="false">Chase1168_2025!B3</f>
        <v>46022</v>
      </c>
      <c r="C3" s="0" t="str">
        <f aca="false">Chase1168_2025!C3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49416,78/EXCH/3532.5557/CNTR/156111 34/INT/ANDRES_52763ATHOTMAIL.C TRN: 6879000365RE 12/31</v>
      </c>
      <c r="D3" s="7" t="n">
        <f aca="false">Chase1168_2025!D3</f>
        <v>-750</v>
      </c>
      <c r="E3" s="0" t="str">
        <f aca="false">Chase1168_2025!E3</f>
        <v>WIRE_OUTGOING</v>
      </c>
      <c r="F3" s="7" t="n">
        <f aca="false">Chase1168_2025!F3</f>
        <v>30211.23</v>
      </c>
      <c r="G3" s="0" t="str">
        <f aca="false">Chase1168_2025!G3</f>
        <v>Andres Alarcon Payroll</v>
      </c>
      <c r="H3" s="15" t="n">
        <f aca="false">IF($B3="","",DATE(YEAR($B3),MONTH($B3),1))</f>
        <v>45992</v>
      </c>
      <c r="I3" s="0" t="str">
        <f aca="false">IF($G3="","Uncategorized — Review",IFERROR(INDEX(Mapping!$B:$B,MATCH($G3,Mapping!$A:$A,0)),"Uncategorized — Review"))</f>
        <v>Andres Alarcon Payroll</v>
      </c>
      <c r="J3" s="0" t="str">
        <f aca="false">IF($G3="","Uncategorized — Review",IFERROR(INDEX(Mapping!$C:$C,MATCH($G3,Mapping!$A:$A,0)),"Uncategorized — Review"))</f>
        <v>Payroll &amp; Contractors</v>
      </c>
    </row>
    <row r="4" customFormat="false" ht="15" hidden="false" customHeight="false" outlineLevel="0" collapsed="false">
      <c r="A4" s="0" t="str">
        <f aca="false">Chase1168_2025!A4</f>
        <v>DEBIT</v>
      </c>
      <c r="B4" s="14" t="n">
        <f aca="false">Chase1168_2025!B4</f>
        <v>46022</v>
      </c>
      <c r="C4" s="0" t="str">
        <f aca="false">Chase1168_2025!C4</f>
        <v>ORIG CO NAME:GEICO                  ORIG ID:3530075853 DESC DATE:251230 CO ENTRY DESCR:PREM COLL SEC:PPD    TRACE#:021000020954890 EED:251231   IND ID:                             IND NAME:ANGELA TRN: 3650954890TC</v>
      </c>
      <c r="D4" s="7" t="n">
        <f aca="false">Chase1168_2025!D4</f>
        <v>-619.87</v>
      </c>
      <c r="E4" s="0" t="str">
        <f aca="false">Chase1168_2025!E4</f>
        <v>ACH_DEBIT</v>
      </c>
      <c r="F4" s="7" t="n">
        <f aca="false">Chase1168_2025!F4</f>
        <v>30961.23</v>
      </c>
      <c r="G4" s="0" t="str">
        <f aca="false">Chase1168_2025!G4</f>
        <v>Personal - Car Insurance</v>
      </c>
      <c r="H4" s="15" t="n">
        <f aca="false">IF($B4="","",DATE(YEAR($B4),MONTH($B4),1))</f>
        <v>45992</v>
      </c>
      <c r="I4" s="0" t="str">
        <f aca="false">IF($G4="","Uncategorized — Review",IFERROR(INDEX(Mapping!$B:$B,MATCH($G4,Mapping!$A:$A,0)),"Uncategorized — Review"))</f>
        <v>Personal - Car &amp; Auto</v>
      </c>
      <c r="J4" s="0" t="str">
        <f aca="false">IF($G4="","Uncategorized — Review",IFERROR(INDEX(Mapping!$C:$C,MATCH($G4,Mapping!$A:$A,0)),"Uncategorized — Review"))</f>
        <v>Personal — Owner</v>
      </c>
    </row>
    <row r="5" customFormat="false" ht="15" hidden="false" customHeight="false" outlineLevel="0" collapsed="false">
      <c r="A5" s="0" t="str">
        <f aca="false">Chase1168_2025!A5</f>
        <v>DEBIT</v>
      </c>
      <c r="B5" s="14" t="n">
        <f aca="false">Chase1168_2025!B5</f>
        <v>46021</v>
      </c>
      <c r="C5" s="0" t="str">
        <f aca="false">Chase1168_2025!C5</f>
        <v>ORIG CO NAME:SBA EIDL LOAN          ORIG ID:7300000118 DESC DATE:251229 CO ENTRY DESCR:PAYMENT   SEC:CCD    TRACE#:041036049540812 EED:251230   IND ID:0000                         IND NAME:JOHN DUNNING               1871308204                                                                        ACH TRANSACTION TRN: 3649540812TC</v>
      </c>
      <c r="D5" s="7" t="n">
        <f aca="false">Chase1168_2025!D5</f>
        <v>-2524</v>
      </c>
      <c r="E5" s="0" t="str">
        <f aca="false">Chase1168_2025!E5</f>
        <v>ACH_DEBIT</v>
      </c>
      <c r="F5" s="7" t="n">
        <f aca="false">Chase1168_2025!F5</f>
        <v>31581.1</v>
      </c>
      <c r="G5" s="0" t="str">
        <f aca="false">Chase1168_2025!G5</f>
        <v>SBC EIDL Loan</v>
      </c>
      <c r="H5" s="15" t="n">
        <f aca="false">IF($B5="","",DATE(YEAR($B5),MONTH($B5),1))</f>
        <v>45992</v>
      </c>
      <c r="I5" s="0" t="str">
        <f aca="false">IF($G5="","Uncategorized — Review",IFERROR(INDEX(Mapping!$B:$B,MATCH($G5,Mapping!$A:$A,0)),"Uncategorized — Review"))</f>
        <v>SBC EIDL Loan</v>
      </c>
      <c r="J5" s="0" t="str">
        <f aca="false">IF($G5="","Uncategorized — Review",IFERROR(INDEX(Mapping!$C:$C,MATCH($G5,Mapping!$A:$A,0)),"Uncategorized — Review"))</f>
        <v>Credit Card &amp; Loan Payments</v>
      </c>
    </row>
    <row r="6" customFormat="false" ht="15" hidden="false" customHeight="false" outlineLevel="0" collapsed="false">
      <c r="A6" s="0" t="str">
        <f aca="false">Chase1168_2025!A6</f>
        <v>DEBIT</v>
      </c>
      <c r="B6" s="14" t="n">
        <f aca="false">Chase1168_2025!B6</f>
        <v>46020</v>
      </c>
      <c r="C6" s="0" t="str">
        <f aca="false">Chase1168_2025!C6</f>
        <v>ORIG CO NAME:TXU ENERGY             ORIG ID:1001020329 DESC DATE:       CO ENTRY DESCR:TXUE_ACH  SEC:WEB    TRACE#:021000025255110 EED:251229   IND ID:900062431557                 IND NAME:DWG CAPITAL GROUP          17333702810000000000000000000003592 4192821                                       DIRECT DEBITING TRN: 3635255110TC</v>
      </c>
      <c r="D6" s="7" t="n">
        <f aca="false">Chase1168_2025!D6</f>
        <v>-510.09</v>
      </c>
      <c r="E6" s="0" t="str">
        <f aca="false">Chase1168_2025!E6</f>
        <v>ACH_DEBIT</v>
      </c>
      <c r="F6" s="7" t="n">
        <f aca="false">Chase1168_2025!F6</f>
        <v>34105.1</v>
      </c>
      <c r="G6" s="0" t="str">
        <f aca="false">Chase1168_2025!G6</f>
        <v>Texas - House Utilities</v>
      </c>
      <c r="H6" s="15" t="n">
        <f aca="false">IF($B6="","",DATE(YEAR($B6),MONTH($B6),1))</f>
        <v>45992</v>
      </c>
      <c r="I6" s="0" t="str">
        <f aca="false">IF($G6="","Uncategorized — Review",IFERROR(INDEX(Mapping!$B:$B,MATCH($G6,Mapping!$A:$A,0)),"Uncategorized — Review"))</f>
        <v>Texas - House Utilities</v>
      </c>
      <c r="J6" s="0" t="str">
        <f aca="false">IF($G6="","Uncategorized — Review",IFERROR(INDEX(Mapping!$C:$C,MATCH($G6,Mapping!$A:$A,0)),"Uncategorized — Review"))</f>
        <v>Personal — Owner</v>
      </c>
    </row>
    <row r="7" customFormat="false" ht="15" hidden="false" customHeight="false" outlineLevel="0" collapsed="false">
      <c r="A7" s="0" t="str">
        <f aca="false">Chase1168_2025!A7</f>
        <v>DEBIT</v>
      </c>
      <c r="B7" s="14" t="n">
        <f aca="false">Chase1168_2025!B7</f>
        <v>46020</v>
      </c>
      <c r="C7" s="0" t="str">
        <f aca="false">Chase1168_2025!C7</f>
        <v>Basic Online Payroll Payment 11200477377 to ########4122</v>
      </c>
      <c r="D7" s="7" t="n">
        <f aca="false">Chase1168_2025!D7</f>
        <v>-1750</v>
      </c>
      <c r="E7" s="0" t="str">
        <f aca="false">Chase1168_2025!E7</f>
        <v>BASIC_PAYROLL</v>
      </c>
      <c r="F7" s="7" t="n">
        <f aca="false">Chase1168_2025!F7</f>
        <v>34615.19</v>
      </c>
      <c r="G7" s="0" t="str">
        <f aca="false">Chase1168_2025!G7</f>
        <v>Mike Paytonjian - Payroll</v>
      </c>
      <c r="H7" s="15" t="n">
        <f aca="false">IF($B7="","",DATE(YEAR($B7),MONTH($B7),1))</f>
        <v>45992</v>
      </c>
      <c r="I7" s="0" t="str">
        <f aca="false">IF($G7="","Uncategorized — Review",IFERROR(INDEX(Mapping!$B:$B,MATCH($G7,Mapping!$A:$A,0)),"Uncategorized — Review"))</f>
        <v>Mike Paytonjian - Payroll</v>
      </c>
      <c r="J7" s="0" t="str">
        <f aca="false">IF($G7="","Uncategorized — Review",IFERROR(INDEX(Mapping!$C:$C,MATCH($G7,Mapping!$A:$A,0)),"Uncategorized — Review"))</f>
        <v>Payroll &amp; Contractors</v>
      </c>
    </row>
    <row r="8" customFormat="false" ht="15" hidden="false" customHeight="false" outlineLevel="0" collapsed="false">
      <c r="A8" s="0" t="str">
        <f aca="false">Chase1168_2025!A8</f>
        <v>DEBIT</v>
      </c>
      <c r="B8" s="14" t="n">
        <f aca="false">Chase1168_2025!B8</f>
        <v>46020</v>
      </c>
      <c r="C8" s="0" t="str">
        <f aca="false">Chase1168_2025!C8</f>
        <v>ORIG CO NAME:BANNER LIFE            ORIG ID:1521236145 DESC DATE:251228 CO ENTRY DESCR:PREM DEBITSEC:PPD    TRACE#:091000014535049 EED:251229   IND ID:                             IND NAME:ANGELA L DUNNING TRN: 3634535049TC</v>
      </c>
      <c r="D8" s="7" t="n">
        <f aca="false">Chase1168_2025!D8</f>
        <v>-12.5</v>
      </c>
      <c r="E8" s="0" t="str">
        <f aca="false">Chase1168_2025!E8</f>
        <v>ACH_DEBIT</v>
      </c>
      <c r="F8" s="7" t="n">
        <f aca="false">Chase1168_2025!F8</f>
        <v>36365.19</v>
      </c>
      <c r="G8" s="0" t="str">
        <f aca="false">Chase1168_2025!G8</f>
        <v>Personal - Life Insurance</v>
      </c>
      <c r="H8" s="15" t="n">
        <f aca="false">IF($B8="","",DATE(YEAR($B8),MONTH($B8),1))</f>
        <v>45992</v>
      </c>
      <c r="I8" s="0" t="str">
        <f aca="false">IF($G8="","Uncategorized — Review",IFERROR(INDEX(Mapping!$B:$B,MATCH($G8,Mapping!$A:$A,0)),"Uncategorized — Review"))</f>
        <v>Personal - Life Insurance</v>
      </c>
      <c r="J8" s="0" t="str">
        <f aca="false">IF($G8="","Uncategorized — Review",IFERROR(INDEX(Mapping!$C:$C,MATCH($G8,Mapping!$A:$A,0)),"Uncategorized — Review"))</f>
        <v>Personal — Owner</v>
      </c>
    </row>
    <row r="9" customFormat="false" ht="15" hidden="false" customHeight="false" outlineLevel="0" collapsed="false">
      <c r="A9" s="0" t="str">
        <f aca="false">Chase1168_2025!A9</f>
        <v>DEBIT</v>
      </c>
      <c r="B9" s="14" t="n">
        <f aca="false">Chase1168_2025!B9</f>
        <v>46020</v>
      </c>
      <c r="C9" s="0" t="str">
        <f aca="false">Chase1168_2025!C9</f>
        <v>ORIG CO NAME:BANNER LIFE            ORIG ID:1521236145 DESC DATE:251228 CO ENTRY DESCR:PREM DEBITSEC:PPD    TRACE#:091000014535050 EED:251229   IND ID:                             IND NAME:JOHN  DUNNING TRN: 3634535050TC</v>
      </c>
      <c r="D9" s="7" t="n">
        <f aca="false">Chase1168_2025!D9</f>
        <v>-22.92</v>
      </c>
      <c r="E9" s="0" t="str">
        <f aca="false">Chase1168_2025!E9</f>
        <v>ACH_DEBIT</v>
      </c>
      <c r="F9" s="7" t="n">
        <f aca="false">Chase1168_2025!F9</f>
        <v>36377.69</v>
      </c>
      <c r="G9" s="0" t="str">
        <f aca="false">Chase1168_2025!G9</f>
        <v>Personal - Life Insurance</v>
      </c>
      <c r="H9" s="15" t="n">
        <f aca="false">IF($B9="","",DATE(YEAR($B9),MONTH($B9),1))</f>
        <v>45992</v>
      </c>
      <c r="I9" s="0" t="str">
        <f aca="false">IF($G9="","Uncategorized — Review",IFERROR(INDEX(Mapping!$B:$B,MATCH($G9,Mapping!$A:$A,0)),"Uncategorized — Review"))</f>
        <v>Personal - Life Insurance</v>
      </c>
      <c r="J9" s="0" t="str">
        <f aca="false">IF($G9="","Uncategorized — Review",IFERROR(INDEX(Mapping!$C:$C,MATCH($G9,Mapping!$A:$A,0)),"Uncategorized — Review"))</f>
        <v>Personal — Owner</v>
      </c>
    </row>
    <row r="10" customFormat="false" ht="15" hidden="false" customHeight="false" outlineLevel="0" collapsed="false">
      <c r="A10" s="0" t="str">
        <f aca="false">Chase1168_2025!A10</f>
        <v>DEBIT</v>
      </c>
      <c r="B10" s="14" t="n">
        <f aca="false">Chase1168_2025!B10</f>
        <v>46020</v>
      </c>
      <c r="C10" s="0" t="str">
        <f aca="false">Chase1168_2025!C10</f>
        <v>ORIG CO NAME:INTUIT *               ORIG ID:0000756346 DESC DATE:251227 CO ENTRY DESCR:QBooks OnlSEC:CCD    TRACE#:021000023968943 EED:251229   IND ID:9445751                      IND NAME:DWG CAPITAL GROUP                                                                                            800-446-8848 TRN: 3633968943TC</v>
      </c>
      <c r="D10" s="7" t="n">
        <f aca="false">Chase1168_2025!D10</f>
        <v>-121.21</v>
      </c>
      <c r="E10" s="0" t="str">
        <f aca="false">Chase1168_2025!E10</f>
        <v>ACH_DEBIT</v>
      </c>
      <c r="F10" s="7" t="n">
        <f aca="false">Chase1168_2025!F10</f>
        <v>36400.61</v>
      </c>
      <c r="G10" s="0" t="str">
        <f aca="false">Chase1168_2025!G10</f>
        <v>Software/Accounting</v>
      </c>
      <c r="H10" s="15" t="n">
        <f aca="false">IF($B10="","",DATE(YEAR($B10),MONTH($B10),1))</f>
        <v>45992</v>
      </c>
      <c r="I10" s="0" t="str">
        <f aca="false">IF($G10="","Uncategorized — Review",IFERROR(INDEX(Mapping!$B:$B,MATCH($G10,Mapping!$A:$A,0)),"Uncategorized — Review"))</f>
        <v>Software/Accounting</v>
      </c>
      <c r="J10" s="0" t="str">
        <f aca="false">IF($G10="","Uncategorized — Review",IFERROR(INDEX(Mapping!$C:$C,MATCH($G10,Mapping!$A:$A,0)),"Uncategorized — Review"))</f>
        <v>DWG Operating</v>
      </c>
    </row>
    <row r="11" customFormat="false" ht="15" hidden="false" customHeight="false" outlineLevel="0" collapsed="false">
      <c r="A11" s="0" t="str">
        <f aca="false">Chase1168_2025!A11</f>
        <v>DEBIT</v>
      </c>
      <c r="B11" s="14" t="n">
        <f aca="false">Chase1168_2025!B11</f>
        <v>46020</v>
      </c>
      <c r="C11" s="0" t="str">
        <f aca="false">Chase1168_2025!C11</f>
        <v>ORIG CO NAME:VENMO                  ORIG ID:3264681992 DESC DATE:251227 CO ENTRY DESCR:PAYMENT   SEC:WEB    TRACE#:021000024517263 EED:251229   IND ID:1047213591622                IND NAME:JUDD DUNNING                                                                                                 251227PPZSDJ TRN: 3634517263TC</v>
      </c>
      <c r="D11" s="7" t="n">
        <f aca="false">Chase1168_2025!D11</f>
        <v>-150</v>
      </c>
      <c r="E11" s="0" t="str">
        <f aca="false">Chase1168_2025!E11</f>
        <v>ACH_DEBIT</v>
      </c>
      <c r="F11" s="7" t="n">
        <f aca="false">Chase1168_2025!F11</f>
        <v>36521.82</v>
      </c>
      <c r="G11" s="0" t="str">
        <f aca="false">Chase1168_2025!G11</f>
        <v>Venmo</v>
      </c>
      <c r="H11" s="15" t="n">
        <f aca="false">IF($B11="","",DATE(YEAR($B11),MONTH($B11),1))</f>
        <v>45992</v>
      </c>
      <c r="I11" s="0" t="str">
        <f aca="false">IF($G11="","Uncategorized — Review",IFERROR(INDEX(Mapping!$B:$B,MATCH($G11,Mapping!$A:$A,0)),"Uncategorized — Review"))</f>
        <v>Venmo</v>
      </c>
      <c r="J11" s="0" t="str">
        <f aca="false">IF($G11="","Uncategorized — Review",IFERROR(INDEX(Mapping!$C:$C,MATCH($G11,Mapping!$A:$A,0)),"Uncategorized — Review"))</f>
        <v>P2P Payments (Zelle/Venmo/PayPal)</v>
      </c>
    </row>
    <row r="12" customFormat="false" ht="15" hidden="false" customHeight="false" outlineLevel="0" collapsed="false">
      <c r="A12" s="0" t="str">
        <f aca="false">Chase1168_2025!A12</f>
        <v>DEBIT</v>
      </c>
      <c r="B12" s="14" t="n">
        <f aca="false">Chase1168_2025!B12</f>
        <v>46020</v>
      </c>
      <c r="C12" s="0" t="str">
        <f aca="false">Chase1168_2025!C12</f>
        <v>ORIG CO NAME:AMERICAN EXPRESS       ORIG ID:2005032111 DESC DATE:251229 CO ENTRY DESCR:ACH PMT   SEC:CCD    TRACE#:021000024677083 EED:251229   IND ID:W9796                        IND NAME:John Dunning                                                                                                 ER AM TRN: 3634677083TC</v>
      </c>
      <c r="D12" s="7" t="n">
        <f aca="false">Chase1168_2025!D12</f>
        <v>-1581.75</v>
      </c>
      <c r="E12" s="0" t="str">
        <f aca="false">Chase1168_2025!E12</f>
        <v>ACH_DEBIT</v>
      </c>
      <c r="F12" s="7" t="n">
        <f aca="false">Chase1168_2025!F12</f>
        <v>36671.82</v>
      </c>
      <c r="G12" s="0" t="str">
        <f aca="false">Chase1168_2025!G12</f>
        <v>American Express Credit Card PMT</v>
      </c>
      <c r="H12" s="15" t="n">
        <f aca="false">IF($B12="","",DATE(YEAR($B12),MONTH($B12),1))</f>
        <v>45992</v>
      </c>
      <c r="I12" s="0" t="str">
        <f aca="false">IF($G12="","Uncategorized — Review",IFERROR(INDEX(Mapping!$B:$B,MATCH($G12,Mapping!$A:$A,0)),"Uncategorized — Review"))</f>
        <v>American Express Credit Card PMT</v>
      </c>
      <c r="J12" s="0" t="str">
        <f aca="false">IF($G12="","Uncategorized — Review",IFERROR(INDEX(Mapping!$C:$C,MATCH($G12,Mapping!$A:$A,0)),"Uncategorized — Review"))</f>
        <v>Credit Card &amp; Loan Payments</v>
      </c>
    </row>
    <row r="13" customFormat="false" ht="15" hidden="false" customHeight="false" outlineLevel="0" collapsed="false">
      <c r="A13" s="0" t="str">
        <f aca="false">Chase1168_2025!A13</f>
        <v>DEBIT</v>
      </c>
      <c r="B13" s="14" t="n">
        <f aca="false">Chase1168_2025!B13</f>
        <v>46020</v>
      </c>
      <c r="C13" s="0" t="str">
        <f aca="false">Chase1168_2025!C13</f>
        <v>ORIG CO NAME:GEICO                  ORIG ID:3530075853 DESC DATE:251228 CO ENTRY DESCR:PREM COLL SEC:PPD    TRACE#:021000024725505 EED:251229   IND ID:                             IND NAME:ANGELA DUNNING TRN: 3634725505TC</v>
      </c>
      <c r="D13" s="7" t="n">
        <f aca="false">Chase1168_2025!D13</f>
        <v>-2290.33</v>
      </c>
      <c r="E13" s="0" t="str">
        <f aca="false">Chase1168_2025!E13</f>
        <v>ACH_DEBIT</v>
      </c>
      <c r="F13" s="7" t="n">
        <f aca="false">Chase1168_2025!F13</f>
        <v>38253.57</v>
      </c>
      <c r="G13" s="0" t="str">
        <f aca="false">Chase1168_2025!G13</f>
        <v>Personal - Car Insurance</v>
      </c>
      <c r="H13" s="15" t="n">
        <f aca="false">IF($B13="","",DATE(YEAR($B13),MONTH($B13),1))</f>
        <v>45992</v>
      </c>
      <c r="I13" s="0" t="str">
        <f aca="false">IF($G13="","Uncategorized — Review",IFERROR(INDEX(Mapping!$B:$B,MATCH($G13,Mapping!$A:$A,0)),"Uncategorized — Review"))</f>
        <v>Personal - Car &amp; Auto</v>
      </c>
      <c r="J13" s="0" t="str">
        <f aca="false">IF($G13="","Uncategorized — Review",IFERROR(INDEX(Mapping!$C:$C,MATCH($G13,Mapping!$A:$A,0)),"Uncategorized — Review"))</f>
        <v>Personal — Owner</v>
      </c>
    </row>
    <row r="14" customFormat="false" ht="15" hidden="false" customHeight="false" outlineLevel="0" collapsed="false">
      <c r="A14" s="0" t="str">
        <f aca="false">Chase1168_2025!A14</f>
        <v>DEBIT</v>
      </c>
      <c r="B14" s="14" t="n">
        <f aca="false">Chase1168_2025!B14</f>
        <v>46020</v>
      </c>
      <c r="C14" s="0" t="str">
        <f aca="false">Chase1168_2025!C14</f>
        <v>ORIG CO NAME:AMERICAN EXPRESS       ORIG ID:2005032111 DESC DATE:251229 CO ENTRY DESCR:ACH PMT   SEC:CCD    TRACE#:021000025220488 EED:251229   IND ID:W4770                        IND NAME:John Dunning                                                                                                 ER AM TRN: 3635220488TC</v>
      </c>
      <c r="D14" s="7" t="n">
        <f aca="false">Chase1168_2025!D14</f>
        <v>-29571.15</v>
      </c>
      <c r="E14" s="0" t="str">
        <f aca="false">Chase1168_2025!E14</f>
        <v>ACH_DEBIT</v>
      </c>
      <c r="F14" s="7" t="n">
        <f aca="false">Chase1168_2025!F14</f>
        <v>40543.9</v>
      </c>
      <c r="G14" s="0" t="str">
        <f aca="false">Chase1168_2025!G14</f>
        <v>American Express Credit Card PMT</v>
      </c>
      <c r="H14" s="15" t="n">
        <f aca="false">IF($B14="","",DATE(YEAR($B14),MONTH($B14),1))</f>
        <v>45992</v>
      </c>
      <c r="I14" s="0" t="str">
        <f aca="false">IF($G14="","Uncategorized — Review",IFERROR(INDEX(Mapping!$B:$B,MATCH($G14,Mapping!$A:$A,0)),"Uncategorized — Review"))</f>
        <v>American Express Credit Card PMT</v>
      </c>
      <c r="J14" s="0" t="str">
        <f aca="false">IF($G14="","Uncategorized — Review",IFERROR(INDEX(Mapping!$C:$C,MATCH($G14,Mapping!$A:$A,0)),"Uncategorized — Review"))</f>
        <v>Credit Card &amp; Loan Payments</v>
      </c>
    </row>
    <row r="15" customFormat="false" ht="15" hidden="false" customHeight="false" outlineLevel="0" collapsed="false">
      <c r="A15" s="0" t="str">
        <f aca="false">Chase1168_2025!A15</f>
        <v>DEBIT</v>
      </c>
      <c r="B15" s="14" t="n">
        <f aca="false">Chase1168_2025!B15</f>
        <v>46020</v>
      </c>
      <c r="C15" s="0" t="str">
        <f aca="false">Chase1168_2025!C15</f>
        <v>PAYPAL *RUTHALCANCI 402-935-7733 CA          12/29</v>
      </c>
      <c r="D15" s="7" t="n">
        <f aca="false">Chase1168_2025!D15</f>
        <v>-300</v>
      </c>
      <c r="E15" s="0" t="str">
        <f aca="false">Chase1168_2025!E15</f>
        <v>DEBIT_CARD</v>
      </c>
      <c r="F15" s="7" t="n">
        <f aca="false">Chase1168_2025!F15</f>
        <v>70115.05</v>
      </c>
      <c r="G15" s="0" t="str">
        <f aca="false">Chase1168_2025!G15</f>
        <v>Ruth Alcancia - Forward Bridge Payment</v>
      </c>
      <c r="H15" s="15" t="n">
        <f aca="false">IF($B15="","",DATE(YEAR($B15),MONTH($B15),1))</f>
        <v>45992</v>
      </c>
      <c r="I15" s="0" t="str">
        <f aca="false">IF($G15="","Uncategorized — Review",IFERROR(INDEX(Mapping!$B:$B,MATCH($G15,Mapping!$A:$A,0)),"Uncategorized — Review"))</f>
        <v>Ruth Alcancia - Forward Bridge Payment</v>
      </c>
      <c r="J15" s="0" t="str">
        <f aca="false">IF($G15="","Uncategorized — Review",IFERROR(INDEX(Mapping!$C:$C,MATCH($G15,Mapping!$A:$A,0)),"Uncategorized — Review"))</f>
        <v>Payroll &amp; Contractors</v>
      </c>
    </row>
    <row r="16" customFormat="false" ht="15" hidden="false" customHeight="false" outlineLevel="0" collapsed="false">
      <c r="A16" s="0" t="str">
        <f aca="false">Chase1168_2025!A16</f>
        <v>DEBIT</v>
      </c>
      <c r="B16" s="14" t="n">
        <f aca="false">Chase1168_2025!B16</f>
        <v>46020</v>
      </c>
      <c r="C16" s="0" t="str">
        <f aca="false">Chase1168_2025!C16</f>
        <v>Online Payment 27487596823 To MERCEDES BENZ FINANCIAL 12/29</v>
      </c>
      <c r="D16" s="7" t="n">
        <f aca="false">Chase1168_2025!D16</f>
        <v>-500</v>
      </c>
      <c r="E16" s="0" t="str">
        <f aca="false">Chase1168_2025!E16</f>
        <v>BILLPAY</v>
      </c>
      <c r="F16" s="7" t="n">
        <f aca="false">Chase1168_2025!F16</f>
        <v>70415.05</v>
      </c>
      <c r="G16" s="0" t="str">
        <f aca="false">Chase1168_2025!G16</f>
        <v>Personal - Car (Mercedes)</v>
      </c>
      <c r="H16" s="15" t="n">
        <f aca="false">IF($B16="","",DATE(YEAR($B16),MONTH($B16),1))</f>
        <v>45992</v>
      </c>
      <c r="I16" s="0" t="str">
        <f aca="false">IF($G16="","Uncategorized — Review",IFERROR(INDEX(Mapping!$B:$B,MATCH($G16,Mapping!$A:$A,0)),"Uncategorized — Review"))</f>
        <v>Personal - Car &amp; Auto</v>
      </c>
      <c r="J16" s="0" t="str">
        <f aca="false">IF($G16="","Uncategorized — Review",IFERROR(INDEX(Mapping!$C:$C,MATCH($G16,Mapping!$A:$A,0)),"Uncategorized — Review"))</f>
        <v>Personal — Owner</v>
      </c>
    </row>
    <row r="17" customFormat="false" ht="15" hidden="false" customHeight="false" outlineLevel="0" collapsed="false">
      <c r="A17" s="0" t="str">
        <f aca="false">Chase1168_2025!A17</f>
        <v>DEBIT</v>
      </c>
      <c r="B17" s="14" t="n">
        <f aca="false">Chase1168_2025!B17</f>
        <v>46020</v>
      </c>
      <c r="C17" s="0" t="str">
        <f aca="false">Chase1168_2025!C17</f>
        <v>Online Payment 27487600858 To MERCEDES BENZ FINANCIAL SVCS 12/29</v>
      </c>
      <c r="D17" s="7" t="n">
        <f aca="false">Chase1168_2025!D17</f>
        <v>-1400</v>
      </c>
      <c r="E17" s="0" t="str">
        <f aca="false">Chase1168_2025!E17</f>
        <v>BILLPAY</v>
      </c>
      <c r="F17" s="7" t="n">
        <f aca="false">Chase1168_2025!F17</f>
        <v>70915.05</v>
      </c>
      <c r="G17" s="0" t="str">
        <f aca="false">Chase1168_2025!G17</f>
        <v>Personal - Car (Mercedes)</v>
      </c>
      <c r="H17" s="15" t="n">
        <f aca="false">IF($B17="","",DATE(YEAR($B17),MONTH($B17),1))</f>
        <v>45992</v>
      </c>
      <c r="I17" s="0" t="str">
        <f aca="false">IF($G17="","Uncategorized — Review",IFERROR(INDEX(Mapping!$B:$B,MATCH($G17,Mapping!$A:$A,0)),"Uncategorized — Review"))</f>
        <v>Personal - Car &amp; Auto</v>
      </c>
      <c r="J17" s="0" t="str">
        <f aca="false">IF($G17="","Uncategorized — Review",IFERROR(INDEX(Mapping!$C:$C,MATCH($G17,Mapping!$A:$A,0)),"Uncategorized — Review"))</f>
        <v>Personal — Owner</v>
      </c>
    </row>
    <row r="18" customFormat="false" ht="15" hidden="false" customHeight="false" outlineLevel="0" collapsed="false">
      <c r="A18" s="0" t="str">
        <f aca="false">Chase1168_2025!A18</f>
        <v>DEBIT</v>
      </c>
      <c r="B18" s="14" t="n">
        <f aca="false">Chase1168_2025!B18</f>
        <v>46020</v>
      </c>
      <c r="C18" s="0" t="str">
        <f aca="false">Chase1168_2025!C18</f>
        <v>Online Payment 27487611605 To MERCEDES BENZ FINANCIAL 12/29</v>
      </c>
      <c r="D18" s="7" t="n">
        <f aca="false">Chase1168_2025!D18</f>
        <v>-700</v>
      </c>
      <c r="E18" s="0" t="str">
        <f aca="false">Chase1168_2025!E18</f>
        <v>BILLPAY</v>
      </c>
      <c r="F18" s="7" t="n">
        <f aca="false">Chase1168_2025!F18</f>
        <v>72315.05</v>
      </c>
      <c r="G18" s="0" t="str">
        <f aca="false">Chase1168_2025!G18</f>
        <v>Personal - Car (Mercedes)</v>
      </c>
      <c r="H18" s="15" t="n">
        <f aca="false">IF($B18="","",DATE(YEAR($B18),MONTH($B18),1))</f>
        <v>45992</v>
      </c>
      <c r="I18" s="0" t="str">
        <f aca="false">IF($G18="","Uncategorized — Review",IFERROR(INDEX(Mapping!$B:$B,MATCH($G18,Mapping!$A:$A,0)),"Uncategorized — Review"))</f>
        <v>Personal - Car &amp; Auto</v>
      </c>
      <c r="J18" s="0" t="str">
        <f aca="false">IF($G18="","Uncategorized — Review",IFERROR(INDEX(Mapping!$C:$C,MATCH($G18,Mapping!$A:$A,0)),"Uncategorized — Review"))</f>
        <v>Personal — Owner</v>
      </c>
    </row>
    <row r="19" customFormat="false" ht="15" hidden="false" customHeight="false" outlineLevel="0" collapsed="false">
      <c r="A19" s="0" t="str">
        <f aca="false">Chase1168_2025!A19</f>
        <v>DEBIT</v>
      </c>
      <c r="B19" s="14" t="n">
        <f aca="false">Chase1168_2025!B19</f>
        <v>46020</v>
      </c>
      <c r="C19" s="0" t="str">
        <f aca="false">Chase1168_2025!C19</f>
        <v>Online Payment 27487593185 To PENTAGON FEDERAL CREDIT UNION 12/29</v>
      </c>
      <c r="D19" s="7" t="n">
        <f aca="false">Chase1168_2025!D19</f>
        <v>-7100</v>
      </c>
      <c r="E19" s="0" t="str">
        <f aca="false">Chase1168_2025!E19</f>
        <v>BILLPAY</v>
      </c>
      <c r="F19" s="7" t="n">
        <f aca="false">Chase1168_2025!F19</f>
        <v>73015.05</v>
      </c>
      <c r="G19" s="0" t="str">
        <f aca="false">Chase1168_2025!G19</f>
        <v>Personal - California Mortgage PMT</v>
      </c>
      <c r="H19" s="15" t="n">
        <f aca="false">IF($B19="","",DATE(YEAR($B19),MONTH($B19),1))</f>
        <v>45992</v>
      </c>
      <c r="I19" s="0" t="str">
        <f aca="false">IF($G19="","Uncategorized — Review",IFERROR(INDEX(Mapping!$B:$B,MATCH($G19,Mapping!$A:$A,0)),"Uncategorized — Review"))</f>
        <v>Personal - California Mortgage PMT</v>
      </c>
      <c r="J19" s="0" t="str">
        <f aca="false">IF($G19="","Uncategorized — Review",IFERROR(INDEX(Mapping!$C:$C,MATCH($G19,Mapping!$A:$A,0)),"Uncategorized — Review"))</f>
        <v>Personal — Owner</v>
      </c>
    </row>
    <row r="20" customFormat="false" ht="15" hidden="false" customHeight="false" outlineLevel="0" collapsed="false">
      <c r="A20" s="0" t="str">
        <f aca="false">Chase1168_2025!A20</f>
        <v>DEBIT</v>
      </c>
      <c r="B20" s="14" t="n">
        <f aca="false">Chase1168_2025!B20</f>
        <v>46020</v>
      </c>
      <c r="C20" s="0" t="str">
        <f aca="false">Chase1168_2025!C20</f>
        <v>Online Transfer to CHK ...6975 transaction#: 27487581801 12/29</v>
      </c>
      <c r="D20" s="7" t="n">
        <f aca="false">Chase1168_2025!D20</f>
        <v>-1000</v>
      </c>
      <c r="E20" s="0" t="str">
        <f aca="false">Chase1168_2025!E20</f>
        <v>ACCT_XFER</v>
      </c>
      <c r="F20" s="7" t="n">
        <f aca="false">Chase1168_2025!F20</f>
        <v>80115.05</v>
      </c>
      <c r="G20" s="0" t="str">
        <f aca="false">Chase1168_2025!G20</f>
        <v>Transfer to Ava Perez-Dunning</v>
      </c>
      <c r="H20" s="15" t="n">
        <f aca="false">IF($B20="","",DATE(YEAR($B20),MONTH($B20),1))</f>
        <v>45992</v>
      </c>
      <c r="I20" s="0" t="str">
        <f aca="false">IF($G20="","Uncategorized — Review",IFERROR(INDEX(Mapping!$B:$B,MATCH($G20,Mapping!$A:$A,0)),"Uncategorized — Review"))</f>
        <v>Transfer to Ava Perez-Dunning</v>
      </c>
      <c r="J20" s="0" t="str">
        <f aca="false">IF($G20="","Uncategorized — Review",IFERROR(INDEX(Mapping!$C:$C,MATCH($G20,Mapping!$A:$A,0)),"Uncategorized — Review"))</f>
        <v>Owner / Family Distributions</v>
      </c>
    </row>
    <row r="21" customFormat="false" ht="15" hidden="false" customHeight="false" outlineLevel="0" collapsed="false">
      <c r="A21" s="0" t="str">
        <f aca="false">Chase1168_2025!A21</f>
        <v>DEBIT</v>
      </c>
      <c r="B21" s="14" t="n">
        <f aca="false">Chase1168_2025!B21</f>
        <v>46020</v>
      </c>
      <c r="C21" s="0" t="str">
        <f aca="false">Chase1168_2025!C21</f>
        <v>Zelle payment to Natalie Cordova JPM99c008mdl</v>
      </c>
      <c r="D21" s="7" t="n">
        <f aca="false">Chase1168_2025!D21</f>
        <v>-500</v>
      </c>
      <c r="E21" s="0" t="str">
        <f aca="false">Chase1168_2025!E21</f>
        <v>CHASE_TO_PARTNERFI</v>
      </c>
      <c r="F21" s="7" t="n">
        <f aca="false">Chase1168_2025!F21</f>
        <v>81115.05</v>
      </c>
      <c r="G21" s="0" t="str">
        <f aca="false">Chase1168_2025!G21</f>
        <v>Zelle - Natalie C.</v>
      </c>
      <c r="H21" s="15" t="n">
        <f aca="false">IF($B21="","",DATE(YEAR($B21),MONTH($B21),1))</f>
        <v>45992</v>
      </c>
      <c r="I21" s="0" t="str">
        <f aca="false">IF($G21="","Uncategorized — Review",IFERROR(INDEX(Mapping!$B:$B,MATCH($G21,Mapping!$A:$A,0)),"Uncategorized — Review"))</f>
        <v>Zelle - Natalie C.</v>
      </c>
      <c r="J21" s="0" t="str">
        <f aca="false">IF($G21="","Uncategorized — Review",IFERROR(INDEX(Mapping!$C:$C,MATCH($G21,Mapping!$A:$A,0)),"Uncategorized — Review"))</f>
        <v>P2P Payments (Zelle/Venmo/PayPal)</v>
      </c>
    </row>
    <row r="22" customFormat="false" ht="15" hidden="false" customHeight="false" outlineLevel="0" collapsed="false">
      <c r="A22" s="0" t="str">
        <f aca="false">Chase1168_2025!A22</f>
        <v>DEBIT</v>
      </c>
      <c r="B22" s="14" t="n">
        <f aca="false">Chase1168_2025!B22</f>
        <v>46020</v>
      </c>
      <c r="C22" s="0" t="str">
        <f aca="false">Chase1168_2025!C22</f>
        <v>Zelle payment to Jeffrey Seider JPM99c008xu7</v>
      </c>
      <c r="D22" s="7" t="n">
        <f aca="false">Chase1168_2025!D22</f>
        <v>-500</v>
      </c>
      <c r="E22" s="0" t="str">
        <f aca="false">Chase1168_2025!E22</f>
        <v>CHASE_TO_PARTNERFI</v>
      </c>
      <c r="F22" s="7" t="n">
        <f aca="false">Chase1168_2025!F22</f>
        <v>81615.05</v>
      </c>
      <c r="G22" s="0" t="str">
        <f aca="false">Chase1168_2025!G22</f>
        <v>Zelle - Jeff Seider</v>
      </c>
      <c r="H22" s="15" t="n">
        <f aca="false">IF($B22="","",DATE(YEAR($B22),MONTH($B22),1))</f>
        <v>45992</v>
      </c>
      <c r="I22" s="0" t="str">
        <f aca="false">IF($G22="","Uncategorized — Review",IFERROR(INDEX(Mapping!$B:$B,MATCH($G22,Mapping!$A:$A,0)),"Uncategorized — Review"))</f>
        <v>Zelle - Jeff Seider</v>
      </c>
      <c r="J22" s="0" t="str">
        <f aca="false">IF($G22="","Uncategorized — Review",IFERROR(INDEX(Mapping!$C:$C,MATCH($G22,Mapping!$A:$A,0)),"Uncategorized — Review"))</f>
        <v>P2P Payments (Zelle/Venmo/PayPal)</v>
      </c>
    </row>
    <row r="23" customFormat="false" ht="15" hidden="false" customHeight="false" outlineLevel="0" collapsed="false">
      <c r="A23" s="0" t="str">
        <f aca="false">Chase1168_2025!A23</f>
        <v>DEBIT</v>
      </c>
      <c r="B23" s="14" t="n">
        <f aca="false">Chase1168_2025!B23</f>
        <v>46020</v>
      </c>
      <c r="C23" s="0" t="str">
        <f aca="false">Chase1168_2025!C23</f>
        <v>Zelle payment to Jeffrey Seider JPM99c008wzt</v>
      </c>
      <c r="D23" s="7" t="n">
        <f aca="false">Chase1168_2025!D23</f>
        <v>-100</v>
      </c>
      <c r="E23" s="0" t="str">
        <f aca="false">Chase1168_2025!E23</f>
        <v>CHASE_TO_PARTNERFI</v>
      </c>
      <c r="F23" s="7" t="n">
        <f aca="false">Chase1168_2025!F23</f>
        <v>82115.05</v>
      </c>
      <c r="G23" s="0" t="str">
        <f aca="false">Chase1168_2025!G23</f>
        <v>Zelle - Jeff Seider</v>
      </c>
      <c r="H23" s="15" t="n">
        <f aca="false">IF($B23="","",DATE(YEAR($B23),MONTH($B23),1))</f>
        <v>45992</v>
      </c>
      <c r="I23" s="0" t="str">
        <f aca="false">IF($G23="","Uncategorized — Review",IFERROR(INDEX(Mapping!$B:$B,MATCH($G23,Mapping!$A:$A,0)),"Uncategorized — Review"))</f>
        <v>Zelle - Jeff Seider</v>
      </c>
      <c r="J23" s="0" t="str">
        <f aca="false">IF($G23="","Uncategorized — Review",IFERROR(INDEX(Mapping!$C:$C,MATCH($G23,Mapping!$A:$A,0)),"Uncategorized — Review"))</f>
        <v>P2P Payments (Zelle/Venmo/PayPal)</v>
      </c>
    </row>
    <row r="24" customFormat="false" ht="15" hidden="false" customHeight="false" outlineLevel="0" collapsed="false">
      <c r="A24" s="0" t="str">
        <f aca="false">Chase1168_2025!A24</f>
        <v>DEBIT</v>
      </c>
      <c r="B24" s="14" t="n">
        <f aca="false">Chase1168_2025!B24</f>
        <v>46020</v>
      </c>
      <c r="C24" s="0" t="str">
        <f aca="false">Chase1168_2025!C24</f>
        <v>Zelle payment to Jeffrey Seider JPM99c008weh</v>
      </c>
      <c r="D24" s="7" t="n">
        <f aca="false">Chase1168_2025!D24</f>
        <v>-100</v>
      </c>
      <c r="E24" s="0" t="str">
        <f aca="false">Chase1168_2025!E24</f>
        <v>CHASE_TO_PARTNERFI</v>
      </c>
      <c r="F24" s="7" t="n">
        <f aca="false">Chase1168_2025!F24</f>
        <v>82215.05</v>
      </c>
      <c r="G24" s="0" t="str">
        <f aca="false">Chase1168_2025!G24</f>
        <v>Zelle - Jeff Seider</v>
      </c>
      <c r="H24" s="15" t="n">
        <f aca="false">IF($B24="","",DATE(YEAR($B24),MONTH($B24),1))</f>
        <v>45992</v>
      </c>
      <c r="I24" s="0" t="str">
        <f aca="false">IF($G24="","Uncategorized — Review",IFERROR(INDEX(Mapping!$B:$B,MATCH($G24,Mapping!$A:$A,0)),"Uncategorized — Review"))</f>
        <v>Zelle - Jeff Seider</v>
      </c>
      <c r="J24" s="0" t="str">
        <f aca="false">IF($G24="","Uncategorized — Review",IFERROR(INDEX(Mapping!$C:$C,MATCH($G24,Mapping!$A:$A,0)),"Uncategorized — Review"))</f>
        <v>P2P Payments (Zelle/Venmo/PayPal)</v>
      </c>
    </row>
    <row r="25" customFormat="false" ht="15" hidden="false" customHeight="false" outlineLevel="0" collapsed="false">
      <c r="A25" s="0" t="str">
        <f aca="false">Chase1168_2025!A25</f>
        <v>DEBIT</v>
      </c>
      <c r="B25" s="14" t="n">
        <f aca="false">Chase1168_2025!B25</f>
        <v>46017</v>
      </c>
      <c r="C25" s="0" t="str">
        <f aca="false">Chase1168_2025!C25</f>
        <v>DISNEY PLUS ECOM LAKE BUENA VI FL    018046  12/26</v>
      </c>
      <c r="D25" s="7" t="n">
        <f aca="false">Chase1168_2025!D25</f>
        <v>-20.51</v>
      </c>
      <c r="E25" s="0" t="str">
        <f aca="false">Chase1168_2025!E25</f>
        <v>DEBIT_CARD</v>
      </c>
      <c r="F25" s="7" t="n">
        <f aca="false">Chase1168_2025!F25</f>
        <v>82315.05</v>
      </c>
      <c r="G25" s="0" t="str">
        <f aca="false">Chase1168_2025!G25</f>
        <v>Personal - Subscriptions</v>
      </c>
      <c r="H25" s="15" t="n">
        <f aca="false">IF($B25="","",DATE(YEAR($B25),MONTH($B25),1))</f>
        <v>45992</v>
      </c>
      <c r="I25" s="0" t="str">
        <f aca="false">IF($G25="","Uncategorized — Review",IFERROR(INDEX(Mapping!$B:$B,MATCH($G25,Mapping!$A:$A,0)),"Uncategorized — Review"))</f>
        <v>Personal - Subscriptions</v>
      </c>
      <c r="J25" s="0" t="str">
        <f aca="false">IF($G25="","Uncategorized — Review",IFERROR(INDEX(Mapping!$C:$C,MATCH($G25,Mapping!$A:$A,0)),"Uncategorized — Review"))</f>
        <v>Personal — Owner</v>
      </c>
    </row>
    <row r="26" customFormat="false" ht="15" hidden="false" customHeight="false" outlineLevel="0" collapsed="false">
      <c r="A26" s="0" t="str">
        <f aca="false">Chase1168_2025!A26</f>
        <v>DEBIT</v>
      </c>
      <c r="B26" s="14" t="n">
        <f aca="false">Chase1168_2025!B26</f>
        <v>46015</v>
      </c>
      <c r="C26" s="0" t="str">
        <f aca="false">Chase1168_2025!C26</f>
        <v>ORIG CO NAME:VENMO                  ORIG ID:3264681992 DESC DATE:251224 CO ENTRY DESCR:PAYMENT   SEC:WEB    TRACE#:021000025850697 EED:251224   IND ID:1047159886455                IND NAME:JUDD DUNNING                                                                                                 251224PPZHFX TRN: 3585850697TC</v>
      </c>
      <c r="D26" s="7" t="n">
        <f aca="false">Chase1168_2025!D26</f>
        <v>-100</v>
      </c>
      <c r="E26" s="0" t="str">
        <f aca="false">Chase1168_2025!E26</f>
        <v>ACH_DEBIT</v>
      </c>
      <c r="F26" s="7" t="n">
        <f aca="false">Chase1168_2025!F26</f>
        <v>82335.56</v>
      </c>
      <c r="G26" s="0" t="str">
        <f aca="false">Chase1168_2025!G26</f>
        <v>Venmo</v>
      </c>
      <c r="H26" s="15" t="n">
        <f aca="false">IF($B26="","",DATE(YEAR($B26),MONTH($B26),1))</f>
        <v>45992</v>
      </c>
      <c r="I26" s="0" t="str">
        <f aca="false">IF($G26="","Uncategorized — Review",IFERROR(INDEX(Mapping!$B:$B,MATCH($G26,Mapping!$A:$A,0)),"Uncategorized — Review"))</f>
        <v>Venmo</v>
      </c>
      <c r="J26" s="0" t="str">
        <f aca="false">IF($G26="","Uncategorized — Review",IFERROR(INDEX(Mapping!$C:$C,MATCH($G26,Mapping!$A:$A,0)),"Uncategorized — Review"))</f>
        <v>P2P Payments (Zelle/Venmo/PayPal)</v>
      </c>
    </row>
    <row r="27" customFormat="false" ht="15" hidden="false" customHeight="false" outlineLevel="0" collapsed="false">
      <c r="A27" s="0" t="str">
        <f aca="false">Chase1168_2025!A27</f>
        <v>DEBIT</v>
      </c>
      <c r="B27" s="14" t="n">
        <f aca="false">Chase1168_2025!B27</f>
        <v>46015</v>
      </c>
      <c r="C27" s="0" t="str">
        <f aca="false">Chase1168_2025!C27</f>
        <v>ORIG CO NAME:ROBINHOOD              ORIG ID:5326394001 DESC DATE:       CO ENTRY DESCR:DEBITS    SEC:WEB    TRACE#:021000022717681 EED:251224   IND ID:465626935                    IND NAME:Judd Dunning TRN: 3582717681TC</v>
      </c>
      <c r="D27" s="7" t="n">
        <f aca="false">Chase1168_2025!D27</f>
        <v>-1000</v>
      </c>
      <c r="E27" s="0" t="str">
        <f aca="false">Chase1168_2025!E27</f>
        <v>ACH_DEBIT</v>
      </c>
      <c r="F27" s="7" t="n">
        <f aca="false">Chase1168_2025!F27</f>
        <v>82435.56</v>
      </c>
      <c r="G27" s="0" t="str">
        <f aca="false">Chase1168_2025!G27</f>
        <v>Personal - Investments</v>
      </c>
      <c r="H27" s="15" t="n">
        <f aca="false">IF($B27="","",DATE(YEAR($B27),MONTH($B27),1))</f>
        <v>45992</v>
      </c>
      <c r="I27" s="0" t="str">
        <f aca="false">IF($G27="","Uncategorized — Review",IFERROR(INDEX(Mapping!$B:$B,MATCH($G27,Mapping!$A:$A,0)),"Uncategorized — Review"))</f>
        <v>Personal - Investments</v>
      </c>
      <c r="J27" s="0" t="str">
        <f aca="false">IF($G27="","Uncategorized — Review",IFERROR(INDEX(Mapping!$C:$C,MATCH($G27,Mapping!$A:$A,0)),"Uncategorized — Review"))</f>
        <v>Personal — Owner</v>
      </c>
    </row>
    <row r="28" customFormat="false" ht="15" hidden="false" customHeight="false" outlineLevel="0" collapsed="false">
      <c r="A28" s="0" t="str">
        <f aca="false">Chase1168_2025!A28</f>
        <v>DEBIT</v>
      </c>
      <c r="B28" s="14" t="n">
        <f aca="false">Chase1168_2025!B28</f>
        <v>46014</v>
      </c>
      <c r="C28" s="0" t="str">
        <f aca="false">Chase1168_2025!C28</f>
        <v>ORIG CO NAME:PRINCIPAL-CCAPNL       ORIG ID:9INDPNLEFT DESC DATE:121925 CO ENTRY DESCR:PRIN FINANSEC:PPD    TRACE#:091000010909550 EED:251223   IND ID:                             IND NAME:JOHN B DUNNING TRN: 3570909550TC</v>
      </c>
      <c r="D28" s="7" t="n">
        <f aca="false">Chase1168_2025!D28</f>
        <v>-331.54</v>
      </c>
      <c r="E28" s="0" t="str">
        <f aca="false">Chase1168_2025!E28</f>
        <v>ACH_DEBIT</v>
      </c>
      <c r="F28" s="7" t="n">
        <f aca="false">Chase1168_2025!F28</f>
        <v>83435.56</v>
      </c>
      <c r="G28" s="0" t="str">
        <f aca="false">Chase1168_2025!G28</f>
        <v>???</v>
      </c>
      <c r="H28" s="15" t="n">
        <f aca="false">IF($B28="","",DATE(YEAR($B28),MONTH($B28),1))</f>
        <v>45992</v>
      </c>
      <c r="I28" s="0" t="str">
        <f aca="false">IF($G28="","Uncategorized — Review",IFERROR(INDEX(Mapping!$B:$B,MATCH($G28,Mapping!$A:$A,0)),"Uncategorized — Review"))</f>
        <v>???</v>
      </c>
      <c r="J28" s="0" t="str">
        <f aca="false">IF($G28="","Uncategorized — Review",IFERROR(INDEX(Mapping!$C:$C,MATCH($G28,Mapping!$A:$A,0)),"Uncategorized — Review"))</f>
        <v>Uncategorized — Review</v>
      </c>
    </row>
    <row r="29" customFormat="false" ht="15" hidden="false" customHeight="false" outlineLevel="0" collapsed="false">
      <c r="A29" s="0" t="str">
        <f aca="false">Chase1168_2025!A29</f>
        <v>DEBIT</v>
      </c>
      <c r="B29" s="14" t="n">
        <f aca="false">Chase1168_2025!B29</f>
        <v>46013</v>
      </c>
      <c r="C29" s="0" t="str">
        <f aca="false">Chase1168_2025!C29</f>
        <v>Zelle payment to Ashley Sarshar 27426767896</v>
      </c>
      <c r="D29" s="7" t="n">
        <f aca="false">Chase1168_2025!D29</f>
        <v>-10</v>
      </c>
      <c r="E29" s="0" t="str">
        <f aca="false">Chase1168_2025!E29</f>
        <v>QUICKPAY_DEBIT</v>
      </c>
      <c r="F29" s="7" t="n">
        <f aca="false">Chase1168_2025!F29</f>
        <v>83767.1</v>
      </c>
      <c r="G29" s="0" t="str">
        <f aca="false">Chase1168_2025!G29</f>
        <v>Office/Miscellaneous Reimbursement - Ashley S.</v>
      </c>
      <c r="H29" s="15" t="n">
        <f aca="false">IF($B29="","",DATE(YEAR($B29),MONTH($B29),1))</f>
        <v>45992</v>
      </c>
      <c r="I29" s="0" t="str">
        <f aca="false">IF($G29="","Uncategorized — Review",IFERROR(INDEX(Mapping!$B:$B,MATCH($G29,Mapping!$A:$A,0)),"Uncategorized — Review"))</f>
        <v>Office/Miscellaneous Reimbursement - Ashley S.</v>
      </c>
      <c r="J29" s="0" t="str">
        <f aca="false">IF($G29="","Uncategorized — Review",IFERROR(INDEX(Mapping!$C:$C,MATCH($G29,Mapping!$A:$A,0)),"Uncategorized — Review"))</f>
        <v>DWG Operating</v>
      </c>
    </row>
    <row r="30" customFormat="false" ht="15" hidden="false" customHeight="false" outlineLevel="0" collapsed="false">
      <c r="A30" s="0" t="str">
        <f aca="false">Chase1168_2025!A30</f>
        <v>DEBIT</v>
      </c>
      <c r="B30" s="14" t="n">
        <f aca="false">Chase1168_2025!B30</f>
        <v>46013</v>
      </c>
      <c r="C30" s="0" t="str">
        <f aca="false">Chase1168_2025!C30</f>
        <v>Zelle payment to Ashley Sarshar 27426159817</v>
      </c>
      <c r="D30" s="7" t="n">
        <f aca="false">Chase1168_2025!D30</f>
        <v>-4000</v>
      </c>
      <c r="E30" s="0" t="str">
        <f aca="false">Chase1168_2025!E30</f>
        <v>QUICKPAY_DEBIT</v>
      </c>
      <c r="F30" s="7" t="n">
        <f aca="false">Chase1168_2025!F30</f>
        <v>83777.1</v>
      </c>
      <c r="G30" s="0" t="str">
        <f aca="false">Chase1168_2025!G30</f>
        <v>Ashley Sarshar - Payroll</v>
      </c>
      <c r="H30" s="15" t="n">
        <f aca="false">IF($B30="","",DATE(YEAR($B30),MONTH($B30),1))</f>
        <v>45992</v>
      </c>
      <c r="I30" s="0" t="str">
        <f aca="false">IF($G30="","Uncategorized — Review",IFERROR(INDEX(Mapping!$B:$B,MATCH($G30,Mapping!$A:$A,0)),"Uncategorized — Review"))</f>
        <v>Ashley Sarshar - Payroll</v>
      </c>
      <c r="J30" s="0" t="str">
        <f aca="false">IF($G30="","Uncategorized — Review",IFERROR(INDEX(Mapping!$C:$C,MATCH($G30,Mapping!$A:$A,0)),"Uncategorized — Review"))</f>
        <v>Payroll &amp; Contractors</v>
      </c>
    </row>
    <row r="31" customFormat="false" ht="15" hidden="false" customHeight="false" outlineLevel="0" collapsed="false">
      <c r="A31" s="0" t="str">
        <f aca="false">Chase1168_2025!A31</f>
        <v>DEBIT</v>
      </c>
      <c r="B31" s="14" t="n">
        <f aca="false">Chase1168_2025!B31</f>
        <v>46013</v>
      </c>
      <c r="C31" s="0" t="str">
        <f aca="false">Chase1168_2025!C31</f>
        <v>Online Transfer to CHK ...1117 transaction#: 27426095666 12/22</v>
      </c>
      <c r="D31" s="7" t="n">
        <f aca="false">Chase1168_2025!D31</f>
        <v>-5000</v>
      </c>
      <c r="E31" s="0" t="str">
        <f aca="false">Chase1168_2025!E31</f>
        <v>ACCT_XFER</v>
      </c>
      <c r="F31" s="7" t="n">
        <f aca="false">Chase1168_2025!F31</f>
        <v>87777.1</v>
      </c>
      <c r="G31" s="0" t="str">
        <f aca="false">Chase1168_2025!G31</f>
        <v>Transfer to Angela Dunning</v>
      </c>
      <c r="H31" s="15" t="n">
        <f aca="false">IF($B31="","",DATE(YEAR($B31),MONTH($B31),1))</f>
        <v>45992</v>
      </c>
      <c r="I31" s="0" t="str">
        <f aca="false">IF($G31="","Uncategorized — Review",IFERROR(INDEX(Mapping!$B:$B,MATCH($G31,Mapping!$A:$A,0)),"Uncategorized — Review"))</f>
        <v>Transfer to Angela Dunning</v>
      </c>
      <c r="J31" s="0" t="str">
        <f aca="false">IF($G31="","Uncategorized — Review",IFERROR(INDEX(Mapping!$C:$C,MATCH($G31,Mapping!$A:$A,0)),"Uncategorized — Review"))</f>
        <v>Owner / Family Distributions</v>
      </c>
    </row>
    <row r="32" customFormat="false" ht="15" hidden="false" customHeight="false" outlineLevel="0" collapsed="false">
      <c r="A32" s="0" t="str">
        <f aca="false">Chase1168_2025!A32</f>
        <v>DEBIT</v>
      </c>
      <c r="B32" s="14" t="n">
        <f aca="false">Chase1168_2025!B32</f>
        <v>46013</v>
      </c>
      <c r="C32" s="0" t="str">
        <f aca="false">Chase1168_2025!C32</f>
        <v>Basic Online Payroll Payment 11199534819 to ########4122</v>
      </c>
      <c r="D32" s="7" t="n">
        <f aca="false">Chase1168_2025!D32</f>
        <v>-1500</v>
      </c>
      <c r="E32" s="0" t="str">
        <f aca="false">Chase1168_2025!E32</f>
        <v>BASIC_PAYROLL</v>
      </c>
      <c r="F32" s="7" t="n">
        <f aca="false">Chase1168_2025!F32</f>
        <v>92777.1</v>
      </c>
      <c r="G32" s="0" t="str">
        <f aca="false">Chase1168_2025!G32</f>
        <v>Mike Paytonjian - Payroll</v>
      </c>
      <c r="H32" s="15" t="n">
        <f aca="false">IF($B32="","",DATE(YEAR($B32),MONTH($B32),1))</f>
        <v>45992</v>
      </c>
      <c r="I32" s="0" t="str">
        <f aca="false">IF($G32="","Uncategorized — Review",IFERROR(INDEX(Mapping!$B:$B,MATCH($G32,Mapping!$A:$A,0)),"Uncategorized — Review"))</f>
        <v>Mike Paytonjian - Payroll</v>
      </c>
      <c r="J32" s="0" t="str">
        <f aca="false">IF($G32="","Uncategorized — Review",IFERROR(INDEX(Mapping!$C:$C,MATCH($G32,Mapping!$A:$A,0)),"Uncategorized — Review"))</f>
        <v>Payroll &amp; Contractors</v>
      </c>
    </row>
    <row r="33" customFormat="false" ht="15" hidden="false" customHeight="false" outlineLevel="0" collapsed="false">
      <c r="A33" s="0" t="str">
        <f aca="false">Chase1168_2025!A33</f>
        <v>DEBIT</v>
      </c>
      <c r="B33" s="14" t="n">
        <f aca="false">Chase1168_2025!B33</f>
        <v>46013</v>
      </c>
      <c r="C33" s="0" t="str">
        <f aca="false">Chase1168_2025!C33</f>
        <v>Experian* ProtectMyID 866-5849446 CA         12/22</v>
      </c>
      <c r="D33" s="7" t="n">
        <f aca="false">Chase1168_2025!D33</f>
        <v>-17.95</v>
      </c>
      <c r="E33" s="0" t="str">
        <f aca="false">Chase1168_2025!E33</f>
        <v>DEBIT_CARD</v>
      </c>
      <c r="F33" s="7" t="n">
        <f aca="false">Chase1168_2025!F33</f>
        <v>94277.1</v>
      </c>
      <c r="G33" s="0" t="str">
        <f aca="false">Chase1168_2025!G33</f>
        <v>Personal - Subscriptions</v>
      </c>
      <c r="H33" s="15" t="n">
        <f aca="false">IF($B33="","",DATE(YEAR($B33),MONTH($B33),1))</f>
        <v>45992</v>
      </c>
      <c r="I33" s="0" t="str">
        <f aca="false">IF($G33="","Uncategorized — Review",IFERROR(INDEX(Mapping!$B:$B,MATCH($G33,Mapping!$A:$A,0)),"Uncategorized — Review"))</f>
        <v>Personal - Subscriptions</v>
      </c>
      <c r="J33" s="0" t="str">
        <f aca="false">IF($G33="","Uncategorized — Review",IFERROR(INDEX(Mapping!$C:$C,MATCH($G33,Mapping!$A:$A,0)),"Uncategorized — Review"))</f>
        <v>Personal — Owner</v>
      </c>
    </row>
    <row r="34" customFormat="false" ht="15" hidden="false" customHeight="false" outlineLevel="0" collapsed="false">
      <c r="A34" s="0" t="str">
        <f aca="false">Chase1168_2025!A34</f>
        <v>DEBIT</v>
      </c>
      <c r="B34" s="14" t="n">
        <f aca="false">Chase1168_2025!B34</f>
        <v>46013</v>
      </c>
      <c r="C34" s="0" t="str">
        <f aca="false">Chase1168_2025!C34</f>
        <v>PAYPAL *BAFILEGIRL6 402-935-7733 CA          12/22</v>
      </c>
      <c r="D34" s="7" t="n">
        <f aca="false">Chase1168_2025!D34</f>
        <v>-309</v>
      </c>
      <c r="E34" s="0" t="str">
        <f aca="false">Chase1168_2025!E34</f>
        <v>DEBIT_CARD</v>
      </c>
      <c r="F34" s="7" t="n">
        <f aca="false">Chase1168_2025!F34</f>
        <v>94295.05</v>
      </c>
      <c r="G34" s="0" t="str">
        <f aca="false">Chase1168_2025!G34</f>
        <v>Personal - Health</v>
      </c>
      <c r="H34" s="15" t="n">
        <f aca="false">IF($B34="","",DATE(YEAR($B34),MONTH($B34),1))</f>
        <v>45992</v>
      </c>
      <c r="I34" s="0" t="str">
        <f aca="false">IF($G34="","Uncategorized — Review",IFERROR(INDEX(Mapping!$B:$B,MATCH($G34,Mapping!$A:$A,0)),"Uncategorized — Review"))</f>
        <v>Personal - Health (incl. Ins.)</v>
      </c>
      <c r="J34" s="0" t="str">
        <f aca="false">IF($G34="","Uncategorized — Review",IFERROR(INDEX(Mapping!$C:$C,MATCH($G34,Mapping!$A:$A,0)),"Uncategorized — Review"))</f>
        <v>Personal — Owner</v>
      </c>
    </row>
    <row r="35" customFormat="false" ht="15" hidden="false" customHeight="false" outlineLevel="0" collapsed="false">
      <c r="A35" s="0" t="str">
        <f aca="false">Chase1168_2025!A35</f>
        <v>DEBIT</v>
      </c>
      <c r="B35" s="14" t="n">
        <f aca="false">Chase1168_2025!B35</f>
        <v>46013</v>
      </c>
      <c r="C35" s="0" t="str">
        <f aca="false">Chase1168_2025!C35</f>
        <v>PAYPAL *RUTHALCANCI 402-935-7733 CA          12/20</v>
      </c>
      <c r="D35" s="7" t="n">
        <f aca="false">Chase1168_2025!D35</f>
        <v>-100</v>
      </c>
      <c r="E35" s="0" t="str">
        <f aca="false">Chase1168_2025!E35</f>
        <v>DEBIT_CARD</v>
      </c>
      <c r="F35" s="7" t="n">
        <f aca="false">Chase1168_2025!F35</f>
        <v>94604.05</v>
      </c>
      <c r="G35" s="0" t="str">
        <f aca="false">Chase1168_2025!G35</f>
        <v>Ruth Alcancia - Forward Bridge Payment</v>
      </c>
      <c r="H35" s="15" t="n">
        <f aca="false">IF($B35="","",DATE(YEAR($B35),MONTH($B35),1))</f>
        <v>45992</v>
      </c>
      <c r="I35" s="0" t="str">
        <f aca="false">IF($G35="","Uncategorized — Review",IFERROR(INDEX(Mapping!$B:$B,MATCH($G35,Mapping!$A:$A,0)),"Uncategorized — Review"))</f>
        <v>Ruth Alcancia - Forward Bridge Payment</v>
      </c>
      <c r="J35" s="0" t="str">
        <f aca="false">IF($G35="","Uncategorized — Review",IFERROR(INDEX(Mapping!$C:$C,MATCH($G35,Mapping!$A:$A,0)),"Uncategorized — Review"))</f>
        <v>Payroll &amp; Contractors</v>
      </c>
    </row>
    <row r="36" customFormat="false" ht="15" hidden="false" customHeight="false" outlineLevel="0" collapsed="false">
      <c r="A36" s="0" t="str">
        <f aca="false">Chase1168_2025!A36</f>
        <v>DEBIT</v>
      </c>
      <c r="B36" s="14" t="n">
        <f aca="false">Chase1168_2025!B36</f>
        <v>46010</v>
      </c>
      <c r="C36" s="0" t="str">
        <f aca="false">Chase1168_2025!C36</f>
        <v>Online Transfer to CHK ...1117 transaction#: 27395193487 12/19</v>
      </c>
      <c r="D36" s="7" t="n">
        <f aca="false">Chase1168_2025!D36</f>
        <v>-3000</v>
      </c>
      <c r="E36" s="0" t="str">
        <f aca="false">Chase1168_2025!E36</f>
        <v>ACCT_XFER</v>
      </c>
      <c r="F36" s="7" t="n">
        <f aca="false">Chase1168_2025!F36</f>
        <v>94704.05</v>
      </c>
      <c r="G36" s="0" t="str">
        <f aca="false">Chase1168_2025!G36</f>
        <v>Transfer to Angela Dunning</v>
      </c>
      <c r="H36" s="15" t="n">
        <f aca="false">IF($B36="","",DATE(YEAR($B36),MONTH($B36),1))</f>
        <v>45992</v>
      </c>
      <c r="I36" s="0" t="str">
        <f aca="false">IF($G36="","Uncategorized — Review",IFERROR(INDEX(Mapping!$B:$B,MATCH($G36,Mapping!$A:$A,0)),"Uncategorized — Review"))</f>
        <v>Transfer to Angela Dunning</v>
      </c>
      <c r="J36" s="0" t="str">
        <f aca="false">IF($G36="","Uncategorized — Review",IFERROR(INDEX(Mapping!$C:$C,MATCH($G36,Mapping!$A:$A,0)),"Uncategorized — Review"))</f>
        <v>Owner / Family Distributions</v>
      </c>
    </row>
    <row r="37" customFormat="false" ht="15" hidden="false" customHeight="false" outlineLevel="0" collapsed="false">
      <c r="A37" s="0" t="str">
        <f aca="false">Chase1168_2025!A37</f>
        <v>DEBIT</v>
      </c>
      <c r="B37" s="14" t="n">
        <f aca="false">Chase1168_2025!B37</f>
        <v>46010</v>
      </c>
      <c r="C37" s="0" t="str">
        <f aca="false">Chase1168_2025!C37</f>
        <v>DNH*GODADDY#3973381977 480-5058855 AZ        12/18</v>
      </c>
      <c r="D37" s="7" t="n">
        <f aca="false">Chase1168_2025!D37</f>
        <v>-15.98</v>
      </c>
      <c r="E37" s="0" t="str">
        <f aca="false">Chase1168_2025!E37</f>
        <v>DEBIT_CARD</v>
      </c>
      <c r="F37" s="7" t="n">
        <f aca="false">Chase1168_2025!F37</f>
        <v>97704.05</v>
      </c>
      <c r="G37" s="0" t="str">
        <f aca="false">Chase1168_2025!G37</f>
        <v>Go Daddy</v>
      </c>
      <c r="H37" s="15" t="n">
        <f aca="false">IF($B37="","",DATE(YEAR($B37),MONTH($B37),1))</f>
        <v>45992</v>
      </c>
      <c r="I37" s="0" t="str">
        <f aca="false">IF($G37="","Uncategorized — Review",IFERROR(INDEX(Mapping!$B:$B,MATCH($G37,Mapping!$A:$A,0)),"Uncategorized — Review"))</f>
        <v>Go Daddy</v>
      </c>
      <c r="J37" s="0" t="str">
        <f aca="false">IF($G37="","Uncategorized — Review",IFERROR(INDEX(Mapping!$C:$C,MATCH($G37,Mapping!$A:$A,0)),"Uncategorized — Review"))</f>
        <v>DWG Operating</v>
      </c>
    </row>
    <row r="38" customFormat="false" ht="15" hidden="false" customHeight="false" outlineLevel="0" collapsed="false">
      <c r="A38" s="0" t="str">
        <f aca="false">Chase1168_2025!A38</f>
        <v>DEBIT</v>
      </c>
      <c r="B38" s="14" t="n">
        <f aca="false">Chase1168_2025!B38</f>
        <v>46010</v>
      </c>
      <c r="C38" s="0" t="str">
        <f aca="false">Chase1168_2025!C38</f>
        <v>DNH*GODADDY#3973381166 480-5058855 AZ        12/18</v>
      </c>
      <c r="D38" s="7" t="n">
        <f aca="false">Chase1168_2025!D38</f>
        <v>-21.98</v>
      </c>
      <c r="E38" s="0" t="str">
        <f aca="false">Chase1168_2025!E38</f>
        <v>DEBIT_CARD</v>
      </c>
      <c r="F38" s="7" t="n">
        <f aca="false">Chase1168_2025!F38</f>
        <v>97720.03</v>
      </c>
      <c r="G38" s="0" t="str">
        <f aca="false">Chase1168_2025!G38</f>
        <v>Go Daddy</v>
      </c>
      <c r="H38" s="15" t="n">
        <f aca="false">IF($B38="","",DATE(YEAR($B38),MONTH($B38),1))</f>
        <v>45992</v>
      </c>
      <c r="I38" s="0" t="str">
        <f aca="false">IF($G38="","Uncategorized — Review",IFERROR(INDEX(Mapping!$B:$B,MATCH($G38,Mapping!$A:$A,0)),"Uncategorized — Review"))</f>
        <v>Go Daddy</v>
      </c>
      <c r="J38" s="0" t="str">
        <f aca="false">IF($G38="","Uncategorized — Review",IFERROR(INDEX(Mapping!$C:$C,MATCH($G38,Mapping!$A:$A,0)),"Uncategorized — Review"))</f>
        <v>DWG Operating</v>
      </c>
    </row>
    <row r="39" customFormat="false" ht="15" hidden="false" customHeight="false" outlineLevel="0" collapsed="false">
      <c r="A39" s="0" t="str">
        <f aca="false">Chase1168_2025!A39</f>
        <v>DEBIT</v>
      </c>
      <c r="B39" s="14" t="n">
        <f aca="false">Chase1168_2025!B39</f>
        <v>46009</v>
      </c>
      <c r="C39" s="0" t="str">
        <f aca="false">Chase1168_2025!C39</f>
        <v>ONLINE FX INTERNATIONAL WIRE FEE</v>
      </c>
      <c r="D39" s="7" t="n">
        <f aca="false">Chase1168_2025!D39</f>
        <v>-5</v>
      </c>
      <c r="E39" s="0" t="str">
        <f aca="false">Chase1168_2025!E39</f>
        <v>FEE_TRANSACTION</v>
      </c>
      <c r="F39" s="7" t="n">
        <f aca="false">Chase1168_2025!F39</f>
        <v>97742.01</v>
      </c>
      <c r="G39" s="0" t="str">
        <f aca="false">Chase1168_2025!G39</f>
        <v>Andres Alarcon Payroll</v>
      </c>
      <c r="H39" s="15" t="n">
        <f aca="false">IF($B39="","",DATE(YEAR($B39),MONTH($B39),1))</f>
        <v>45992</v>
      </c>
      <c r="I39" s="0" t="str">
        <f aca="false">IF($G39="","Uncategorized — Review",IFERROR(INDEX(Mapping!$B:$B,MATCH($G39,Mapping!$A:$A,0)),"Uncategorized — Review"))</f>
        <v>Andres Alarcon Payroll</v>
      </c>
      <c r="J39" s="0" t="str">
        <f aca="false">IF($G39="","Uncategorized — Review",IFERROR(INDEX(Mapping!$C:$C,MATCH($G39,Mapping!$A:$A,0)),"Uncategorized — Review"))</f>
        <v>Payroll &amp; Contractors</v>
      </c>
    </row>
    <row r="40" customFormat="false" ht="15" hidden="false" customHeight="false" outlineLevel="0" collapsed="false">
      <c r="A40" s="0" t="str">
        <f aca="false">Chase1168_2025!A40</f>
        <v>DEBIT</v>
      </c>
      <c r="B40" s="14" t="n">
        <f aca="false">Chase1168_2025!B40</f>
        <v>46009</v>
      </c>
      <c r="C40" s="0" t="str">
        <f aca="false">Chase1168_2025!C40</f>
        <v>ORIG CO NAME:VENMO                  ORIG ID:3264681992 DESC DATE:251218 CO ENTRY DESCR:PAYMENT   SEC:WEB    TRACE#:021000020278817 EED:251218   IND ID:1047022783088                IND NAME:JUDD DUNNING                                                                                                 251218PPZ9XP TRN: 3520278817TC</v>
      </c>
      <c r="D40" s="7" t="n">
        <f aca="false">Chase1168_2025!D40</f>
        <v>-800</v>
      </c>
      <c r="E40" s="0" t="str">
        <f aca="false">Chase1168_2025!E40</f>
        <v>ACH_DEBIT</v>
      </c>
      <c r="F40" s="7" t="n">
        <f aca="false">Chase1168_2025!F40</f>
        <v>97747.01</v>
      </c>
      <c r="G40" s="0" t="str">
        <f aca="false">Chase1168_2025!G40</f>
        <v>Venmo</v>
      </c>
      <c r="H40" s="15" t="n">
        <f aca="false">IF($B40="","",DATE(YEAR($B40),MONTH($B40),1))</f>
        <v>45992</v>
      </c>
      <c r="I40" s="0" t="str">
        <f aca="false">IF($G40="","Uncategorized — Review",IFERROR(INDEX(Mapping!$B:$B,MATCH($G40,Mapping!$A:$A,0)),"Uncategorized — Review"))</f>
        <v>Venmo</v>
      </c>
      <c r="J40" s="0" t="str">
        <f aca="false">IF($G40="","Uncategorized — Review",IFERROR(INDEX(Mapping!$C:$C,MATCH($G40,Mapping!$A:$A,0)),"Uncategorized — Review"))</f>
        <v>P2P Payments (Zelle/Venmo/PayPal)</v>
      </c>
    </row>
    <row r="41" customFormat="false" ht="15" hidden="false" customHeight="false" outlineLevel="0" collapsed="false">
      <c r="A41" s="0" t="str">
        <f aca="false">Chase1168_2025!A41</f>
        <v>DEBIT</v>
      </c>
      <c r="B41" s="14" t="n">
        <f aca="false">Chase1168_2025!B41</f>
        <v>46009</v>
      </c>
      <c r="C41" s="0" t="str">
        <f aca="false">Chase1168_2025!C41</f>
        <v>Zelle payment to Michael Paytonjian JPM99byvd5kp</v>
      </c>
      <c r="D41" s="7" t="n">
        <f aca="false">Chase1168_2025!D41</f>
        <v>-80</v>
      </c>
      <c r="E41" s="0" t="str">
        <f aca="false">Chase1168_2025!E41</f>
        <v>CHASE_TO_PARTNERFI</v>
      </c>
      <c r="F41" s="7" t="n">
        <f aca="false">Chase1168_2025!F41</f>
        <v>98547.01</v>
      </c>
      <c r="G41" s="0" t="str">
        <f aca="false">Chase1168_2025!G41</f>
        <v>Office/Miscellaneous Reimbursement - Mike P.</v>
      </c>
      <c r="H41" s="15" t="n">
        <f aca="false">IF($B41="","",DATE(YEAR($B41),MONTH($B41),1))</f>
        <v>45992</v>
      </c>
      <c r="I41" s="0" t="str">
        <f aca="false">IF($G41="","Uncategorized — Review",IFERROR(INDEX(Mapping!$B:$B,MATCH($G41,Mapping!$A:$A,0)),"Uncategorized — Review"))</f>
        <v>Office/Miscellaneous Reimbursement - Mike P.</v>
      </c>
      <c r="J41" s="0" t="str">
        <f aca="false">IF($G41="","Uncategorized — Review",IFERROR(INDEX(Mapping!$C:$C,MATCH($G41,Mapping!$A:$A,0)),"Uncategorized — Review"))</f>
        <v>DWG Operating</v>
      </c>
    </row>
    <row r="42" customFormat="false" ht="15" hidden="false" customHeight="false" outlineLevel="0" collapsed="false">
      <c r="A42" s="0" t="str">
        <f aca="false">Chase1168_2025!A42</f>
        <v>DEBIT</v>
      </c>
      <c r="B42" s="14" t="n">
        <f aca="false">Chase1168_2025!B42</f>
        <v>46009</v>
      </c>
      <c r="C42" s="0" t="str">
        <f aca="false">Chase1168_2025!C42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PAYMENTS/OCMT/COP27 67904,70/EXCH/3690.5396/CNTR/351015 02/INT/ANDRES_52763ATHOTMAIL.C TRN: 4330900352RE 12/18</v>
      </c>
      <c r="D42" s="7" t="n">
        <f aca="false">Chase1168_2025!D42</f>
        <v>-750</v>
      </c>
      <c r="E42" s="0" t="str">
        <f aca="false">Chase1168_2025!E42</f>
        <v>WIRE_OUTGOING</v>
      </c>
      <c r="F42" s="7" t="n">
        <f aca="false">Chase1168_2025!F42</f>
        <v>98627.01</v>
      </c>
      <c r="G42" s="0" t="str">
        <f aca="false">Chase1168_2025!G42</f>
        <v>Andres Alarcon Payroll</v>
      </c>
      <c r="H42" s="15" t="n">
        <f aca="false">IF($B42="","",DATE(YEAR($B42),MONTH($B42),1))</f>
        <v>45992</v>
      </c>
      <c r="I42" s="0" t="str">
        <f aca="false">IF($G42="","Uncategorized — Review",IFERROR(INDEX(Mapping!$B:$B,MATCH($G42,Mapping!$A:$A,0)),"Uncategorized — Review"))</f>
        <v>Andres Alarcon Payroll</v>
      </c>
      <c r="J42" s="0" t="str">
        <f aca="false">IF($G42="","Uncategorized — Review",IFERROR(INDEX(Mapping!$C:$C,MATCH($G42,Mapping!$A:$A,0)),"Uncategorized — Review"))</f>
        <v>Payroll &amp; Contractors</v>
      </c>
    </row>
    <row r="43" customFormat="false" ht="15" hidden="false" customHeight="false" outlineLevel="0" collapsed="false">
      <c r="A43" s="0" t="str">
        <f aca="false">Chase1168_2025!A43</f>
        <v>DEBIT</v>
      </c>
      <c r="B43" s="14" t="n">
        <f aca="false">Chase1168_2025!B43</f>
        <v>46008</v>
      </c>
      <c r="C43" s="0" t="str">
        <f aca="false">Chase1168_2025!C43</f>
        <v>ONLINE FX INTERNATIONAL WIRE FEE</v>
      </c>
      <c r="D43" s="7" t="n">
        <f aca="false">Chase1168_2025!D43</f>
        <v>-5</v>
      </c>
      <c r="E43" s="0" t="str">
        <f aca="false">Chase1168_2025!E43</f>
        <v>FEE_TRANSACTION</v>
      </c>
      <c r="F43" s="7" t="n">
        <f aca="false">Chase1168_2025!F43</f>
        <v>99377.01</v>
      </c>
      <c r="G43" s="0" t="str">
        <f aca="false">Chase1168_2025!G43</f>
        <v>Andres Alarcon Payroll</v>
      </c>
      <c r="H43" s="15" t="n">
        <f aca="false">IF($B43="","",DATE(YEAR($B43),MONTH($B43),1))</f>
        <v>45992</v>
      </c>
      <c r="I43" s="0" t="str">
        <f aca="false">IF($G43="","Uncategorized — Review",IFERROR(INDEX(Mapping!$B:$B,MATCH($G43,Mapping!$A:$A,0)),"Uncategorized — Review"))</f>
        <v>Andres Alarcon Payroll</v>
      </c>
      <c r="J43" s="0" t="str">
        <f aca="false">IF($G43="","Uncategorized — Review",IFERROR(INDEX(Mapping!$C:$C,MATCH($G43,Mapping!$A:$A,0)),"Uncategorized — Review"))</f>
        <v>Payroll &amp; Contractors</v>
      </c>
    </row>
    <row r="44" customFormat="false" ht="15" hidden="false" customHeight="false" outlineLevel="0" collapsed="false">
      <c r="A44" s="0" t="str">
        <f aca="false">Chase1168_2025!A44</f>
        <v>DEBIT</v>
      </c>
      <c r="B44" s="14" t="n">
        <f aca="false">Chase1168_2025!B44</f>
        <v>46008</v>
      </c>
      <c r="C44" s="0" t="str">
        <f aca="false">Chase1168_2025!C44</f>
        <v>ORIG CO NAME:VENMO                  ORIG ID:3264681992 DESC DATE:251217 CO ENTRY DESCR:PAYMENT   SEC:WEB    TRACE#:021000028480136 EED:251217   IND ID:1046996393513                IND NAME:JUDD DUNNING                                                                                                 251217PPZVTK TRN: 3518480136TC</v>
      </c>
      <c r="D44" s="7" t="n">
        <f aca="false">Chase1168_2025!D44</f>
        <v>-130</v>
      </c>
      <c r="E44" s="0" t="str">
        <f aca="false">Chase1168_2025!E44</f>
        <v>ACH_DEBIT</v>
      </c>
      <c r="F44" s="7" t="n">
        <f aca="false">Chase1168_2025!F44</f>
        <v>99382.01</v>
      </c>
      <c r="G44" s="0" t="str">
        <f aca="false">Chase1168_2025!G44</f>
        <v>Venmo</v>
      </c>
      <c r="H44" s="15" t="n">
        <f aca="false">IF($B44="","",DATE(YEAR($B44),MONTH($B44),1))</f>
        <v>45992</v>
      </c>
      <c r="I44" s="0" t="str">
        <f aca="false">IF($G44="","Uncategorized — Review",IFERROR(INDEX(Mapping!$B:$B,MATCH($G44,Mapping!$A:$A,0)),"Uncategorized — Review"))</f>
        <v>Venmo</v>
      </c>
      <c r="J44" s="0" t="str">
        <f aca="false">IF($G44="","Uncategorized — Review",IFERROR(INDEX(Mapping!$C:$C,MATCH($G44,Mapping!$A:$A,0)),"Uncategorized — Review"))</f>
        <v>P2P Payments (Zelle/Venmo/PayPal)</v>
      </c>
    </row>
    <row r="45" customFormat="false" ht="15" hidden="false" customHeight="false" outlineLevel="0" collapsed="false">
      <c r="A45" s="0" t="str">
        <f aca="false">Chase1168_2025!A45</f>
        <v>DEBIT</v>
      </c>
      <c r="B45" s="14" t="n">
        <f aca="false">Chase1168_2025!B45</f>
        <v>46008</v>
      </c>
      <c r="C45" s="0" t="str">
        <f aca="false">Chase1168_2025!C45</f>
        <v>ONLINE INTERNATIONAL WIRE TRANSFER A/C: FOREIGN CUR BUS ACCT BK 1 COLUMBUS NEWARK DE 197132107 US ORG: 00000000283681168 DWG CAPITAL GROUP BEN:/00714849981 MARIA FERNANDA ALARCON PIEDRAHITA REF: HAPPY HOLIDAYS TAXID1017222855/TEL573207819186/SAV/GIFT OR DONATION/OC MT/COP5535809,40/EXCH/3690.5396/CNT R/38271807/INT/ANDRES_52763ATH TRN: 3804000351RE 12/17</v>
      </c>
      <c r="D45" s="7" t="n">
        <f aca="false">Chase1168_2025!D45</f>
        <v>-1500</v>
      </c>
      <c r="E45" s="0" t="str">
        <f aca="false">Chase1168_2025!E45</f>
        <v>WIRE_OUTGOING</v>
      </c>
      <c r="F45" s="7" t="n">
        <f aca="false">Chase1168_2025!F45</f>
        <v>99512.01</v>
      </c>
      <c r="G45" s="0" t="str">
        <f aca="false">Chase1168_2025!G45</f>
        <v>Andres Alarcon Payroll</v>
      </c>
      <c r="H45" s="15" t="n">
        <f aca="false">IF($B45="","",DATE(YEAR($B45),MONTH($B45),1))</f>
        <v>45992</v>
      </c>
      <c r="I45" s="0" t="str">
        <f aca="false">IF($G45="","Uncategorized — Review",IFERROR(INDEX(Mapping!$B:$B,MATCH($G45,Mapping!$A:$A,0)),"Uncategorized — Review"))</f>
        <v>Andres Alarcon Payroll</v>
      </c>
      <c r="J45" s="0" t="str">
        <f aca="false">IF($G45="","Uncategorized — Review",IFERROR(INDEX(Mapping!$C:$C,MATCH($G45,Mapping!$A:$A,0)),"Uncategorized — Review"))</f>
        <v>Payroll &amp; Contractors</v>
      </c>
    </row>
    <row r="46" customFormat="false" ht="15" hidden="false" customHeight="false" outlineLevel="0" collapsed="false">
      <c r="A46" s="0" t="str">
        <f aca="false">Chase1168_2025!A46</f>
        <v>DEBIT</v>
      </c>
      <c r="B46" s="14" t="n">
        <f aca="false">Chase1168_2025!B46</f>
        <v>46007</v>
      </c>
      <c r="C46" s="0" t="str">
        <f aca="false">Chase1168_2025!C46</f>
        <v>ONLINE DOMESTIC WIRE FEE</v>
      </c>
      <c r="D46" s="7" t="n">
        <f aca="false">Chase1168_2025!D46</f>
        <v>-25</v>
      </c>
      <c r="E46" s="0" t="str">
        <f aca="false">Chase1168_2025!E46</f>
        <v>FEE_TRANSACTION</v>
      </c>
      <c r="F46" s="7" t="n">
        <f aca="false">Chase1168_2025!F46</f>
        <v>101012.01</v>
      </c>
      <c r="G46" s="0" t="str">
        <f aca="false">Chase1168_2025!G46</f>
        <v>Wire Fee</v>
      </c>
      <c r="H46" s="15" t="n">
        <f aca="false">IF($B46="","",DATE(YEAR($B46),MONTH($B46),1))</f>
        <v>45992</v>
      </c>
      <c r="I46" s="0" t="str">
        <f aca="false">IF($G46="","Uncategorized — Review",IFERROR(INDEX(Mapping!$B:$B,MATCH($G46,Mapping!$A:$A,0)),"Uncategorized — Review"))</f>
        <v>Wire Fee</v>
      </c>
      <c r="J46" s="0" t="str">
        <f aca="false">IF($G46="","Uncategorized — Review",IFERROR(INDEX(Mapping!$C:$C,MATCH($G46,Mapping!$A:$A,0)),"Uncategorized — Review"))</f>
        <v>DWG Operating</v>
      </c>
    </row>
    <row r="47" customFormat="false" ht="15" hidden="false" customHeight="false" outlineLevel="0" collapsed="false">
      <c r="A47" s="0" t="str">
        <f aca="false">Chase1168_2025!A47</f>
        <v>DEBIT</v>
      </c>
      <c r="B47" s="14" t="n">
        <f aca="false">Chase1168_2025!B47</f>
        <v>46007</v>
      </c>
      <c r="C47" s="0" t="str">
        <f aca="false">Chase1168_2025!C47</f>
        <v>ORIG CO NAME:VENMO                  ORIG ID:3264681992 DESC DATE:251216 CO ENTRY DESCR:PAYMENT   SEC:WEB    TRACE#:021000028405248 EED:251216   IND ID:1046983023197                IND NAME:JUDD DUNNING                                                                                                 251216PPZP1V TRN: 3508405248TC</v>
      </c>
      <c r="D47" s="7" t="n">
        <f aca="false">Chase1168_2025!D47</f>
        <v>-200</v>
      </c>
      <c r="E47" s="0" t="str">
        <f aca="false">Chase1168_2025!E47</f>
        <v>ACH_DEBIT</v>
      </c>
      <c r="F47" s="7" t="n">
        <f aca="false">Chase1168_2025!F47</f>
        <v>101037.01</v>
      </c>
      <c r="G47" s="0" t="str">
        <f aca="false">Chase1168_2025!G47</f>
        <v>Venmo</v>
      </c>
      <c r="H47" s="15" t="n">
        <f aca="false">IF($B47="","",DATE(YEAR($B47),MONTH($B47),1))</f>
        <v>45992</v>
      </c>
      <c r="I47" s="0" t="str">
        <f aca="false">IF($G47="","Uncategorized — Review",IFERROR(INDEX(Mapping!$B:$B,MATCH($G47,Mapping!$A:$A,0)),"Uncategorized — Review"))</f>
        <v>Venmo</v>
      </c>
      <c r="J47" s="0" t="str">
        <f aca="false">IF($G47="","Uncategorized — Review",IFERROR(INDEX(Mapping!$C:$C,MATCH($G47,Mapping!$A:$A,0)),"Uncategorized — Review"))</f>
        <v>P2P Payments (Zelle/Venmo/PayPal)</v>
      </c>
    </row>
    <row r="48" customFormat="false" ht="15" hidden="false" customHeight="false" outlineLevel="0" collapsed="false">
      <c r="A48" s="0" t="str">
        <f aca="false">Chase1168_2025!A48</f>
        <v>DEBIT</v>
      </c>
      <c r="B48" s="14" t="n">
        <f aca="false">Chase1168_2025!B48</f>
        <v>46007</v>
      </c>
      <c r="C48" s="0" t="str">
        <f aca="false">Chase1168_2025!C48</f>
        <v>Online Transfer to CHK ...6975 transaction#: 27352110897 12/16</v>
      </c>
      <c r="D48" s="7" t="n">
        <f aca="false">Chase1168_2025!D48</f>
        <v>-300</v>
      </c>
      <c r="E48" s="0" t="str">
        <f aca="false">Chase1168_2025!E48</f>
        <v>ACCT_XFER</v>
      </c>
      <c r="F48" s="7" t="n">
        <f aca="false">Chase1168_2025!F48</f>
        <v>101237.01</v>
      </c>
      <c r="G48" s="0" t="str">
        <f aca="false">Chase1168_2025!G48</f>
        <v>Transfer to Ava Perez-Dunning</v>
      </c>
      <c r="H48" s="15" t="n">
        <f aca="false">IF($B48="","",DATE(YEAR($B48),MONTH($B48),1))</f>
        <v>45992</v>
      </c>
      <c r="I48" s="0" t="str">
        <f aca="false">IF($G48="","Uncategorized — Review",IFERROR(INDEX(Mapping!$B:$B,MATCH($G48,Mapping!$A:$A,0)),"Uncategorized — Review"))</f>
        <v>Transfer to Ava Perez-Dunning</v>
      </c>
      <c r="J48" s="0" t="str">
        <f aca="false">IF($G48="","Uncategorized — Review",IFERROR(INDEX(Mapping!$C:$C,MATCH($G48,Mapping!$A:$A,0)),"Uncategorized — Review"))</f>
        <v>Owner / Family Distributions</v>
      </c>
    </row>
    <row r="49" customFormat="false" ht="15" hidden="false" customHeight="false" outlineLevel="0" collapsed="false">
      <c r="A49" s="0" t="str">
        <f aca="false">Chase1168_2025!A49</f>
        <v>DEBIT</v>
      </c>
      <c r="B49" s="14" t="n">
        <f aca="false">Chase1168_2025!B49</f>
        <v>46007</v>
      </c>
      <c r="C49" s="0" t="str">
        <f aca="false">Chase1168_2025!C49</f>
        <v>INDEED USI25-07286075 AUSTIN TX      132928  12/16</v>
      </c>
      <c r="D49" s="7" t="n">
        <f aca="false">Chase1168_2025!D49</f>
        <v>-500.19</v>
      </c>
      <c r="E49" s="0" t="str">
        <f aca="false">Chase1168_2025!E49</f>
        <v>DEBIT_CARD</v>
      </c>
      <c r="F49" s="7" t="n">
        <f aca="false">Chase1168_2025!F49</f>
        <v>101537.01</v>
      </c>
      <c r="G49" s="0" t="str">
        <f aca="false">Chase1168_2025!G49</f>
        <v>DWG HR</v>
      </c>
      <c r="H49" s="15" t="n">
        <f aca="false">IF($B49="","",DATE(YEAR($B49),MONTH($B49),1))</f>
        <v>45992</v>
      </c>
      <c r="I49" s="0" t="str">
        <f aca="false">IF($G49="","Uncategorized — Review",IFERROR(INDEX(Mapping!$B:$B,MATCH($G49,Mapping!$A:$A,0)),"Uncategorized — Review"))</f>
        <v>DWG HR</v>
      </c>
      <c r="J49" s="0" t="str">
        <f aca="false">IF($G49="","Uncategorized — Review",IFERROR(INDEX(Mapping!$C:$C,MATCH($G49,Mapping!$A:$A,0)),"Uncategorized — Review"))</f>
        <v>Payroll &amp; Contractors</v>
      </c>
    </row>
    <row r="50" customFormat="false" ht="15" hidden="false" customHeight="false" outlineLevel="0" collapsed="false">
      <c r="A50" s="0" t="str">
        <f aca="false">Chase1168_2025!A50</f>
        <v>DEBIT</v>
      </c>
      <c r="B50" s="14" t="n">
        <f aca="false">Chase1168_2025!B50</f>
        <v>46007</v>
      </c>
      <c r="C50" s="0" t="str">
        <f aca="false">Chase1168_2025!C50</f>
        <v>ORIG CO NAME:LEASEDIRECT            ORIG ID:138190450  DESC DATE:251215 CO ENTRY DESCR:15746_1   SEC:CCD    TRACE#:043000091771929 EED:251216   IND ID:1556926                      IND NAME:DWG CAPITAL GROUP          INV# 593215173 DUE 12/15/25 REC# 10 10465018                                      15747 TRN: 3501771929TC</v>
      </c>
      <c r="D50" s="7" t="n">
        <f aca="false">Chase1168_2025!D50</f>
        <v>-104.01</v>
      </c>
      <c r="E50" s="0" t="str">
        <f aca="false">Chase1168_2025!E50</f>
        <v>ACH_DEBIT</v>
      </c>
      <c r="F50" s="7" t="n">
        <f aca="false">Chase1168_2025!F50</f>
        <v>102037.2</v>
      </c>
      <c r="G50" s="0" t="str">
        <f aca="false">Chase1168_2025!G50</f>
        <v>DWG Marketing</v>
      </c>
      <c r="H50" s="15" t="n">
        <f aca="false">IF($B50="","",DATE(YEAR($B50),MONTH($B50),1))</f>
        <v>45992</v>
      </c>
      <c r="I50" s="0" t="str">
        <f aca="false">IF($G50="","Uncategorized — Review",IFERROR(INDEX(Mapping!$B:$B,MATCH($G50,Mapping!$A:$A,0)),"Uncategorized — Review"))</f>
        <v>DWG Marketing</v>
      </c>
      <c r="J50" s="0" t="str">
        <f aca="false">IF($G50="","Uncategorized — Review",IFERROR(INDEX(Mapping!$C:$C,MATCH($G50,Mapping!$A:$A,0)),"Uncategorized — Review"))</f>
        <v>DWG Operating</v>
      </c>
    </row>
    <row r="51" customFormat="false" ht="15" hidden="false" customHeight="false" outlineLevel="0" collapsed="false">
      <c r="A51" s="0" t="str">
        <f aca="false">Chase1168_2025!A51</f>
        <v>DEBIT</v>
      </c>
      <c r="B51" s="14" t="n">
        <f aca="false">Chase1168_2025!B51</f>
        <v>46007</v>
      </c>
      <c r="C51" s="0" t="str">
        <f aca="false">Chase1168_2025!C51</f>
        <v>ONLINE DOMESTIC WIRE TRANSFER A/C: ADMEER ADVISORY, LLC DANA POINT CA 92629-3313 US REF: CANDY BARS TRN: 3026235350ES 12/16</v>
      </c>
      <c r="D51" s="7" t="n">
        <f aca="false">Chase1168_2025!D51</f>
        <v>-5000</v>
      </c>
      <c r="E51" s="0" t="str">
        <f aca="false">Chase1168_2025!E51</f>
        <v>WIRE_OUTGOING</v>
      </c>
      <c r="F51" s="7" t="n">
        <f aca="false">Chase1168_2025!F51</f>
        <v>102141.21</v>
      </c>
      <c r="G51" s="0" t="str">
        <f aca="false">Chase1168_2025!G51</f>
        <v>MAG - Admeer Advisory Transfer</v>
      </c>
      <c r="H51" s="15" t="n">
        <f aca="false">IF($B51="","",DATE(YEAR($B51),MONTH($B51),1))</f>
        <v>45992</v>
      </c>
      <c r="I51" s="0" t="str">
        <f aca="false">IF($G51="","Uncategorized — Review",IFERROR(INDEX(Mapping!$B:$B,MATCH($G51,Mapping!$A:$A,0)),"Uncategorized — Review"))</f>
        <v>MAG - Admeer Advisory Transfer</v>
      </c>
      <c r="J51" s="0" t="str">
        <f aca="false">IF($G51="","Uncategorized — Review",IFERROR(INDEX(Mapping!$C:$C,MATCH($G51,Mapping!$A:$A,0)),"Uncategorized — Review"))</f>
        <v>MAG Pass-Through</v>
      </c>
    </row>
    <row r="52" customFormat="false" ht="15" hidden="false" customHeight="false" outlineLevel="0" collapsed="false">
      <c r="A52" s="0" t="str">
        <f aca="false">Chase1168_2025!A52</f>
        <v>DEBIT</v>
      </c>
      <c r="B52" s="14" t="n">
        <f aca="false">Chase1168_2025!B52</f>
        <v>46006</v>
      </c>
      <c r="C52" s="0" t="str">
        <f aca="false">Chase1168_2025!C52</f>
        <v>Basic Online Payroll Payment 11198602630 to ########4122</v>
      </c>
      <c r="D52" s="7" t="n">
        <f aca="false">Chase1168_2025!D52</f>
        <v>-1500</v>
      </c>
      <c r="E52" s="0" t="str">
        <f aca="false">Chase1168_2025!E52</f>
        <v>BASIC_PAYROLL</v>
      </c>
      <c r="F52" s="7" t="n">
        <f aca="false">Chase1168_2025!F52</f>
        <v>107141.21</v>
      </c>
      <c r="G52" s="0" t="str">
        <f aca="false">Chase1168_2025!G52</f>
        <v>Mike Paytonjian - Payroll</v>
      </c>
      <c r="H52" s="15" t="n">
        <f aca="false">IF($B52="","",DATE(YEAR($B52),MONTH($B52),1))</f>
        <v>45992</v>
      </c>
      <c r="I52" s="0" t="str">
        <f aca="false">IF($G52="","Uncategorized — Review",IFERROR(INDEX(Mapping!$B:$B,MATCH($G52,Mapping!$A:$A,0)),"Uncategorized — Review"))</f>
        <v>Mike Paytonjian - Payroll</v>
      </c>
      <c r="J52" s="0" t="str">
        <f aca="false">IF($G52="","Uncategorized — Review",IFERROR(INDEX(Mapping!$C:$C,MATCH($G52,Mapping!$A:$A,0)),"Uncategorized — Review"))</f>
        <v>Payroll &amp; Contractors</v>
      </c>
    </row>
    <row r="53" customFormat="false" ht="15" hidden="false" customHeight="false" outlineLevel="0" collapsed="false">
      <c r="A53" s="0" t="str">
        <f aca="false">Chase1168_2025!A53</f>
        <v>DEBIT</v>
      </c>
      <c r="B53" s="14" t="n">
        <f aca="false">Chase1168_2025!B53</f>
        <v>46006</v>
      </c>
      <c r="C53" s="0" t="str">
        <f aca="false">Chase1168_2025!C53</f>
        <v>ORIG CO NAME:VENMO                  ORIG ID:3264681992 DESC DATE:251213 CO ENTRY DESCR:PAYMENT   SEC:WEB    TRACE#:021000026340396 EED:251215   IND ID:1046902728984                IND NAME:JUDD DUNNING                                                                                                 251213PPZ41O TRN: 3496340396TC</v>
      </c>
      <c r="D53" s="7" t="n">
        <f aca="false">Chase1168_2025!D53</f>
        <v>-10</v>
      </c>
      <c r="E53" s="0" t="str">
        <f aca="false">Chase1168_2025!E53</f>
        <v>ACH_DEBIT</v>
      </c>
      <c r="F53" s="7" t="n">
        <f aca="false">Chase1168_2025!F53</f>
        <v>108641.21</v>
      </c>
      <c r="G53" s="0" t="str">
        <f aca="false">Chase1168_2025!G53</f>
        <v>Venmo</v>
      </c>
      <c r="H53" s="15" t="n">
        <f aca="false">IF($B53="","",DATE(YEAR($B53),MONTH($B53),1))</f>
        <v>45992</v>
      </c>
      <c r="I53" s="0" t="str">
        <f aca="false">IF($G53="","Uncategorized — Review",IFERROR(INDEX(Mapping!$B:$B,MATCH($G53,Mapping!$A:$A,0)),"Uncategorized — Review"))</f>
        <v>Venmo</v>
      </c>
      <c r="J53" s="0" t="str">
        <f aca="false">IF($G53="","Uncategorized — Review",IFERROR(INDEX(Mapping!$C:$C,MATCH($G53,Mapping!$A:$A,0)),"Uncategorized — Review"))</f>
        <v>P2P Payments (Zelle/Venmo/PayPal)</v>
      </c>
    </row>
    <row r="54" customFormat="false" ht="15" hidden="false" customHeight="false" outlineLevel="0" collapsed="false">
      <c r="A54" s="0" t="str">
        <f aca="false">Chase1168_2025!A54</f>
        <v>DEBIT</v>
      </c>
      <c r="B54" s="14" t="n">
        <f aca="false">Chase1168_2025!B54</f>
        <v>46006</v>
      </c>
      <c r="C54" s="0" t="str">
        <f aca="false">Chase1168_2025!C54</f>
        <v>ORIG CO NAME:VENMO                  ORIG ID:3264681992 DESC DATE:251214 CO ENTRY DESCR:PAYMENT   SEC:WEB    TRACE#:021000027449172 EED:251215   IND ID:1046904979431                IND NAME:JUDD DUNNING                                                                                                 251214PPZ5QP TRN: 3497449172TC</v>
      </c>
      <c r="D54" s="7" t="n">
        <f aca="false">Chase1168_2025!D54</f>
        <v>-60</v>
      </c>
      <c r="E54" s="0" t="str">
        <f aca="false">Chase1168_2025!E54</f>
        <v>ACH_DEBIT</v>
      </c>
      <c r="F54" s="7" t="n">
        <f aca="false">Chase1168_2025!F54</f>
        <v>108651.21</v>
      </c>
      <c r="G54" s="0" t="str">
        <f aca="false">Chase1168_2025!G54</f>
        <v>Venmo</v>
      </c>
      <c r="H54" s="15" t="n">
        <f aca="false">IF($B54="","",DATE(YEAR($B54),MONTH($B54),1))</f>
        <v>45992</v>
      </c>
      <c r="I54" s="0" t="str">
        <f aca="false">IF($G54="","Uncategorized — Review",IFERROR(INDEX(Mapping!$B:$B,MATCH($G54,Mapping!$A:$A,0)),"Uncategorized — Review"))</f>
        <v>Venmo</v>
      </c>
      <c r="J54" s="0" t="str">
        <f aca="false">IF($G54="","Uncategorized — Review",IFERROR(INDEX(Mapping!$C:$C,MATCH($G54,Mapping!$A:$A,0)),"Uncategorized — Review"))</f>
        <v>P2P Payments (Zelle/Venmo/PayPal)</v>
      </c>
    </row>
    <row r="55" customFormat="false" ht="15" hidden="false" customHeight="false" outlineLevel="0" collapsed="false">
      <c r="A55" s="0" t="str">
        <f aca="false">Chase1168_2025!A55</f>
        <v>DEBIT</v>
      </c>
      <c r="B55" s="14" t="n">
        <f aca="false">Chase1168_2025!B55</f>
        <v>46006</v>
      </c>
      <c r="C55" s="0" t="str">
        <f aca="false">Chase1168_2025!C55</f>
        <v>Zelle payment to Jeffrey Seider JPM99byel6f8</v>
      </c>
      <c r="D55" s="7" t="n">
        <f aca="false">Chase1168_2025!D55</f>
        <v>-150</v>
      </c>
      <c r="E55" s="0" t="str">
        <f aca="false">Chase1168_2025!E55</f>
        <v>CHASE_TO_PARTNERFI</v>
      </c>
      <c r="F55" s="7" t="n">
        <f aca="false">Chase1168_2025!F55</f>
        <v>108711.21</v>
      </c>
      <c r="G55" s="0" t="str">
        <f aca="false">Chase1168_2025!G55</f>
        <v>Zelle - Jeff Seider</v>
      </c>
      <c r="H55" s="15" t="n">
        <f aca="false">IF($B55="","",DATE(YEAR($B55),MONTH($B55),1))</f>
        <v>45992</v>
      </c>
      <c r="I55" s="0" t="str">
        <f aca="false">IF($G55="","Uncategorized — Review",IFERROR(INDEX(Mapping!$B:$B,MATCH($G55,Mapping!$A:$A,0)),"Uncategorized — Review"))</f>
        <v>Zelle - Jeff Seider</v>
      </c>
      <c r="J55" s="0" t="str">
        <f aca="false">IF($G55="","Uncategorized — Review",IFERROR(INDEX(Mapping!$C:$C,MATCH($G55,Mapping!$A:$A,0)),"Uncategorized — Review"))</f>
        <v>P2P Payments (Zelle/Venmo/PayPal)</v>
      </c>
    </row>
    <row r="56" customFormat="false" ht="15" hidden="false" customHeight="false" outlineLevel="0" collapsed="false">
      <c r="A56" s="0" t="str">
        <f aca="false">Chase1168_2025!A56</f>
        <v>DEBIT</v>
      </c>
      <c r="B56" s="14" t="n">
        <f aca="false">Chase1168_2025!B56</f>
        <v>46006</v>
      </c>
      <c r="C56" s="0" t="str">
        <f aca="false">Chase1168_2025!C56</f>
        <v>Zelle payment to Estella Martinez JPM99byelhnm</v>
      </c>
      <c r="D56" s="7" t="n">
        <f aca="false">Chase1168_2025!D56</f>
        <v>-500</v>
      </c>
      <c r="E56" s="0" t="str">
        <f aca="false">Chase1168_2025!E56</f>
        <v>CHASE_TO_PARTNERFI</v>
      </c>
      <c r="F56" s="7" t="n">
        <f aca="false">Chase1168_2025!F56</f>
        <v>108861.21</v>
      </c>
      <c r="G56" s="0" t="str">
        <f aca="false">Chase1168_2025!G56</f>
        <v>Zelle - Estella M.</v>
      </c>
      <c r="H56" s="15" t="n">
        <f aca="false">IF($B56="","",DATE(YEAR($B56),MONTH($B56),1))</f>
        <v>45992</v>
      </c>
      <c r="I56" s="0" t="str">
        <f aca="false">IF($G56="","Uncategorized — Review",IFERROR(INDEX(Mapping!$B:$B,MATCH($G56,Mapping!$A:$A,0)),"Uncategorized — Review"))</f>
        <v>Zelle - Estella M.</v>
      </c>
      <c r="J56" s="0" t="str">
        <f aca="false">IF($G56="","Uncategorized — Review",IFERROR(INDEX(Mapping!$C:$C,MATCH($G56,Mapping!$A:$A,0)),"Uncategorized — Review"))</f>
        <v>P2P Payments (Zelle/Venmo/PayPal)</v>
      </c>
    </row>
    <row r="57" customFormat="false" ht="15" hidden="false" customHeight="false" outlineLevel="0" collapsed="false">
      <c r="A57" s="0" t="str">
        <f aca="false">Chase1168_2025!A57</f>
        <v>DEBIT</v>
      </c>
      <c r="B57" s="14" t="n">
        <f aca="false">Chase1168_2025!B57</f>
        <v>46003</v>
      </c>
      <c r="C57" s="0" t="str">
        <f aca="false">Chase1168_2025!C57</f>
        <v>ORIG CO NAME:VENMO                  ORIG ID:3264681992 DESC DATE:251212 CO ENTRY DESCR:PAYMENT   SEC:WEB    TRACE#:021000028996964 EED:251212   IND ID:1046884283240                IND NAME:JUDD DUNNING                                                                                                 251212PPZ287 TRN: 3468996964TC</v>
      </c>
      <c r="D57" s="7" t="n">
        <f aca="false">Chase1168_2025!D57</f>
        <v>-2000</v>
      </c>
      <c r="E57" s="0" t="str">
        <f aca="false">Chase1168_2025!E57</f>
        <v>ACH_DEBIT</v>
      </c>
      <c r="F57" s="7" t="n">
        <f aca="false">Chase1168_2025!F57</f>
        <v>109361.21</v>
      </c>
      <c r="G57" s="0" t="str">
        <f aca="false">Chase1168_2025!G57</f>
        <v>Venmo</v>
      </c>
      <c r="H57" s="15" t="n">
        <f aca="false">IF($B57="","",DATE(YEAR($B57),MONTH($B57),1))</f>
        <v>45992</v>
      </c>
      <c r="I57" s="0" t="str">
        <f aca="false">IF($G57="","Uncategorized — Review",IFERROR(INDEX(Mapping!$B:$B,MATCH($G57,Mapping!$A:$A,0)),"Uncategorized — Review"))</f>
        <v>Venmo</v>
      </c>
      <c r="J57" s="0" t="str">
        <f aca="false">IF($G57="","Uncategorized — Review",IFERROR(INDEX(Mapping!$C:$C,MATCH($G57,Mapping!$A:$A,0)),"Uncategorized — Review"))</f>
        <v>P2P Payments (Zelle/Venmo/PayPal)</v>
      </c>
    </row>
    <row r="58" customFormat="false" ht="15" hidden="false" customHeight="false" outlineLevel="0" collapsed="false">
      <c r="A58" s="0" t="str">
        <f aca="false">Chase1168_2025!A58</f>
        <v>DEBIT</v>
      </c>
      <c r="B58" s="14" t="n">
        <f aca="false">Chase1168_2025!B58</f>
        <v>46003</v>
      </c>
      <c r="C58" s="0" t="str">
        <f aca="false">Chase1168_2025!C58</f>
        <v>ORIG CO NAME:VENMO                  ORIG ID:3264681992 DESC DATE:251212 CO ENTRY DESCR:PAYMENT   SEC:WEB    TRACE#:021000028160474 EED:251212   IND ID:1046871008005                IND NAME:JUDD DUNNING                                                                                                 251212PPZZEK TRN: 3468160474TC</v>
      </c>
      <c r="D58" s="7" t="n">
        <f aca="false">Chase1168_2025!D58</f>
        <v>-6</v>
      </c>
      <c r="E58" s="0" t="str">
        <f aca="false">Chase1168_2025!E58</f>
        <v>ACH_DEBIT</v>
      </c>
      <c r="F58" s="7" t="n">
        <f aca="false">Chase1168_2025!F58</f>
        <v>111361.21</v>
      </c>
      <c r="G58" s="0" t="str">
        <f aca="false">Chase1168_2025!G58</f>
        <v>Venmo</v>
      </c>
      <c r="H58" s="15" t="n">
        <f aca="false">IF($B58="","",DATE(YEAR($B58),MONTH($B58),1))</f>
        <v>45992</v>
      </c>
      <c r="I58" s="0" t="str">
        <f aca="false">IF($G58="","Uncategorized — Review",IFERROR(INDEX(Mapping!$B:$B,MATCH($G58,Mapping!$A:$A,0)),"Uncategorized — Review"))</f>
        <v>Venmo</v>
      </c>
      <c r="J58" s="0" t="str">
        <f aca="false">IF($G58="","Uncategorized — Review",IFERROR(INDEX(Mapping!$C:$C,MATCH($G58,Mapping!$A:$A,0)),"Uncategorized — Review"))</f>
        <v>P2P Payments (Zelle/Venmo/PayPal)</v>
      </c>
    </row>
    <row r="59" customFormat="false" ht="15" hidden="false" customHeight="false" outlineLevel="0" collapsed="false">
      <c r="A59" s="0" t="str">
        <f aca="false">Chase1168_2025!A59</f>
        <v>DEBIT</v>
      </c>
      <c r="B59" s="14" t="n">
        <f aca="false">Chase1168_2025!B59</f>
        <v>46003</v>
      </c>
      <c r="C59" s="0" t="str">
        <f aca="false">Chase1168_2025!C59</f>
        <v>Online Transfer to CHK ...1117 transaction#: 27302571456 12/12</v>
      </c>
      <c r="D59" s="7" t="n">
        <f aca="false">Chase1168_2025!D59</f>
        <v>-5000</v>
      </c>
      <c r="E59" s="0" t="str">
        <f aca="false">Chase1168_2025!E59</f>
        <v>ACCT_XFER</v>
      </c>
      <c r="F59" s="7" t="n">
        <f aca="false">Chase1168_2025!F59</f>
        <v>111367.21</v>
      </c>
      <c r="G59" s="0" t="str">
        <f aca="false">Chase1168_2025!G59</f>
        <v>Transfer to Angela Dunning</v>
      </c>
      <c r="H59" s="15" t="n">
        <f aca="false">IF($B59="","",DATE(YEAR($B59),MONTH($B59),1))</f>
        <v>45992</v>
      </c>
      <c r="I59" s="0" t="str">
        <f aca="false">IF($G59="","Uncategorized — Review",IFERROR(INDEX(Mapping!$B:$B,MATCH($G59,Mapping!$A:$A,0)),"Uncategorized — Review"))</f>
        <v>Transfer to Angela Dunning</v>
      </c>
      <c r="J59" s="0" t="str">
        <f aca="false">IF($G59="","Uncategorized — Review",IFERROR(INDEX(Mapping!$C:$C,MATCH($G59,Mapping!$A:$A,0)),"Uncategorized — Review"))</f>
        <v>Owner / Family Distributions</v>
      </c>
    </row>
    <row r="60" customFormat="false" ht="15" hidden="false" customHeight="false" outlineLevel="0" collapsed="false">
      <c r="A60" s="0" t="str">
        <f aca="false">Chase1168_2025!A60</f>
        <v>DEBIT</v>
      </c>
      <c r="B60" s="14" t="n">
        <f aca="false">Chase1168_2025!B60</f>
        <v>46002</v>
      </c>
      <c r="C60" s="0" t="str">
        <f aca="false">Chase1168_2025!C60</f>
        <v>ORIG CO NAME:VENMO                  ORIG ID:3264681992 DESC DATE:251211 CO ENTRY DESCR:PAYMENT   SEC:WEB    TRACE#:021000027104602 EED:251211   IND ID:1046838954639                IND NAME:JUDD DUNNING                                                                                                 251211PPZIP5 TRN: 3457104602TC</v>
      </c>
      <c r="D60" s="7" t="n">
        <f aca="false">Chase1168_2025!D60</f>
        <v>-6</v>
      </c>
      <c r="E60" s="0" t="str">
        <f aca="false">Chase1168_2025!E60</f>
        <v>ACH_DEBIT</v>
      </c>
      <c r="F60" s="7" t="n">
        <f aca="false">Chase1168_2025!F60</f>
        <v>116367.21</v>
      </c>
      <c r="G60" s="0" t="str">
        <f aca="false">Chase1168_2025!G60</f>
        <v>Venmo</v>
      </c>
      <c r="H60" s="15" t="n">
        <f aca="false">IF($B60="","",DATE(YEAR($B60),MONTH($B60),1))</f>
        <v>45992</v>
      </c>
      <c r="I60" s="0" t="str">
        <f aca="false">IF($G60="","Uncategorized — Review",IFERROR(INDEX(Mapping!$B:$B,MATCH($G60,Mapping!$A:$A,0)),"Uncategorized — Review"))</f>
        <v>Venmo</v>
      </c>
      <c r="J60" s="0" t="str">
        <f aca="false">IF($G60="","Uncategorized — Review",IFERROR(INDEX(Mapping!$C:$C,MATCH($G60,Mapping!$A:$A,0)),"Uncategorized — Review"))</f>
        <v>P2P Payments (Zelle/Venmo/PayPal)</v>
      </c>
    </row>
    <row r="61" customFormat="false" ht="15" hidden="false" customHeight="false" outlineLevel="0" collapsed="false">
      <c r="A61" s="0" t="str">
        <f aca="false">Chase1168_2025!A61</f>
        <v>DEBIT</v>
      </c>
      <c r="B61" s="14" t="n">
        <f aca="false">Chase1168_2025!B61</f>
        <v>46002</v>
      </c>
      <c r="C61" s="0" t="str">
        <f aca="false">Chase1168_2025!C61</f>
        <v>ORIG CO NAME:GM Financial           ORIG ID:I522190781 DESC DATE:251211 CO ENTRY DESCR:GMF Pymt  SEC:PPD    TRACE#:091000015147599 EED:251211   IND ID:                             IND NAME:ANGELA DUNNING TRN: 3455147599TC</v>
      </c>
      <c r="D61" s="7" t="n">
        <f aca="false">Chase1168_2025!D61</f>
        <v>-1249.96</v>
      </c>
      <c r="E61" s="0" t="str">
        <f aca="false">Chase1168_2025!E61</f>
        <v>ACH_DEBIT</v>
      </c>
      <c r="F61" s="7" t="n">
        <f aca="false">Chase1168_2025!F61</f>
        <v>116373.21</v>
      </c>
      <c r="G61" s="0" t="str">
        <f aca="false">Chase1168_2025!G61</f>
        <v>Personal - Car</v>
      </c>
      <c r="H61" s="15" t="n">
        <f aca="false">IF($B61="","",DATE(YEAR($B61),MONTH($B61),1))</f>
        <v>45992</v>
      </c>
      <c r="I61" s="0" t="str">
        <f aca="false">IF($G61="","Uncategorized — Review",IFERROR(INDEX(Mapping!$B:$B,MATCH($G61,Mapping!$A:$A,0)),"Uncategorized — Review"))</f>
        <v>Personal - Car &amp; Auto</v>
      </c>
      <c r="J61" s="0" t="str">
        <f aca="false">IF($G61="","Uncategorized — Review",IFERROR(INDEX(Mapping!$C:$C,MATCH($G61,Mapping!$A:$A,0)),"Uncategorized — Review"))</f>
        <v>Personal — Owner</v>
      </c>
    </row>
    <row r="62" customFormat="false" ht="15" hidden="false" customHeight="false" outlineLevel="0" collapsed="false">
      <c r="A62" s="0" t="str">
        <f aca="false">Chase1168_2025!A62</f>
        <v>DEBIT</v>
      </c>
      <c r="B62" s="14" t="n">
        <f aca="false">Chase1168_2025!B62</f>
        <v>46002</v>
      </c>
      <c r="C62" s="0" t="str">
        <f aca="false">Chase1168_2025!C62</f>
        <v>ORIG CO NAME:ALLSTATE V&amp;P INS       ORIG ID:1360719665 DESC DATE:DEC 25 CO ENTRY DESCR:INS PREM  SEC:PPD    TRACE#:021000025692455 EED:251211   IND ID:                             IND NAME:DUNNING TRN: 3455692455TC</v>
      </c>
      <c r="D62" s="7" t="n">
        <f aca="false">Chase1168_2025!D62</f>
        <v>-1533.71</v>
      </c>
      <c r="E62" s="0" t="str">
        <f aca="false">Chase1168_2025!E62</f>
        <v>ACH_DEBIT</v>
      </c>
      <c r="F62" s="7" t="n">
        <f aca="false">Chase1168_2025!F62</f>
        <v>117623.17</v>
      </c>
      <c r="G62" s="0" t="str">
        <f aca="false">Chase1168_2025!G62</f>
        <v>Personal - Car</v>
      </c>
      <c r="H62" s="15" t="n">
        <f aca="false">IF($B62="","",DATE(YEAR($B62),MONTH($B62),1))</f>
        <v>45992</v>
      </c>
      <c r="I62" s="0" t="str">
        <f aca="false">IF($G62="","Uncategorized — Review",IFERROR(INDEX(Mapping!$B:$B,MATCH($G62,Mapping!$A:$A,0)),"Uncategorized — Review"))</f>
        <v>Personal - Car &amp; Auto</v>
      </c>
      <c r="J62" s="0" t="str">
        <f aca="false">IF($G62="","Uncategorized — Review",IFERROR(INDEX(Mapping!$C:$C,MATCH($G62,Mapping!$A:$A,0)),"Uncategorized — Review"))</f>
        <v>Personal — Owner</v>
      </c>
    </row>
    <row r="63" customFormat="false" ht="15" hidden="false" customHeight="false" outlineLevel="0" collapsed="false">
      <c r="A63" s="0" t="str">
        <f aca="false">Chase1168_2025!A63</f>
        <v>DEBIT</v>
      </c>
      <c r="B63" s="14" t="n">
        <f aca="false">Chase1168_2025!B63</f>
        <v>46002</v>
      </c>
      <c r="C63" s="0" t="str">
        <f aca="false">Chase1168_2025!C63</f>
        <v>HLU*HULUPLUS hulu.com/bill CA                12/11</v>
      </c>
      <c r="D63" s="7" t="n">
        <f aca="false">Chase1168_2025!D63</f>
        <v>-56.97</v>
      </c>
      <c r="E63" s="0" t="str">
        <f aca="false">Chase1168_2025!E63</f>
        <v>DEBIT_CARD</v>
      </c>
      <c r="F63" s="7" t="n">
        <f aca="false">Chase1168_2025!F63</f>
        <v>119156.88</v>
      </c>
      <c r="G63" s="0" t="str">
        <f aca="false">Chase1168_2025!G63</f>
        <v>Personal - Subscriptions</v>
      </c>
      <c r="H63" s="15" t="n">
        <f aca="false">IF($B63="","",DATE(YEAR($B63),MONTH($B63),1))</f>
        <v>45992</v>
      </c>
      <c r="I63" s="0" t="str">
        <f aca="false">IF($G63="","Uncategorized — Review",IFERROR(INDEX(Mapping!$B:$B,MATCH($G63,Mapping!$A:$A,0)),"Uncategorized — Review"))</f>
        <v>Personal - Subscriptions</v>
      </c>
      <c r="J63" s="0" t="str">
        <f aca="false">IF($G63="","Uncategorized — Review",IFERROR(INDEX(Mapping!$C:$C,MATCH($G63,Mapping!$A:$A,0)),"Uncategorized — Review"))</f>
        <v>Personal — Owner</v>
      </c>
    </row>
    <row r="64" customFormat="false" ht="15" hidden="false" customHeight="false" outlineLevel="0" collapsed="false">
      <c r="A64" s="0" t="str">
        <f aca="false">Chase1168_2025!A64</f>
        <v>DEBIT</v>
      </c>
      <c r="B64" s="14" t="n">
        <f aca="false">Chase1168_2025!B64</f>
        <v>46001</v>
      </c>
      <c r="C64" s="0" t="str">
        <f aca="false">Chase1168_2025!C64</f>
        <v>Indeed USI25-07181461 800-4625842 TX         12/09</v>
      </c>
      <c r="D64" s="7" t="n">
        <f aca="false">Chase1168_2025!D64</f>
        <v>-500.71</v>
      </c>
      <c r="E64" s="0" t="str">
        <f aca="false">Chase1168_2025!E64</f>
        <v>DEBIT_CARD</v>
      </c>
      <c r="F64" s="7" t="n">
        <f aca="false">Chase1168_2025!F64</f>
        <v>119213.85</v>
      </c>
      <c r="G64" s="0" t="str">
        <f aca="false">Chase1168_2025!G64</f>
        <v>DWG HR</v>
      </c>
      <c r="H64" s="15" t="n">
        <f aca="false">IF($B64="","",DATE(YEAR($B64),MONTH($B64),1))</f>
        <v>45992</v>
      </c>
      <c r="I64" s="0" t="str">
        <f aca="false">IF($G64="","Uncategorized — Review",IFERROR(INDEX(Mapping!$B:$B,MATCH($G64,Mapping!$A:$A,0)),"Uncategorized — Review"))</f>
        <v>DWG HR</v>
      </c>
      <c r="J64" s="0" t="str">
        <f aca="false">IF($G64="","Uncategorized — Review",IFERROR(INDEX(Mapping!$C:$C,MATCH($G64,Mapping!$A:$A,0)),"Uncategorized — Review"))</f>
        <v>Payroll &amp; Contractors</v>
      </c>
    </row>
    <row r="65" customFormat="false" ht="15" hidden="false" customHeight="false" outlineLevel="0" collapsed="false">
      <c r="A65" s="0" t="str">
        <f aca="false">Chase1168_2025!A65</f>
        <v>DEBIT</v>
      </c>
      <c r="B65" s="14" t="n">
        <f aca="false">Chase1168_2025!B65</f>
        <v>46001</v>
      </c>
      <c r="C65" s="0" t="str">
        <f aca="false">Chase1168_2025!C65</f>
        <v>STARBUCKS STORE 09809 MONTGOMERY AL          12/09</v>
      </c>
      <c r="D65" s="7" t="n">
        <f aca="false">Chase1168_2025!D65</f>
        <v>-28.27</v>
      </c>
      <c r="E65" s="0" t="str">
        <f aca="false">Chase1168_2025!E65</f>
        <v>DEBIT_CARD</v>
      </c>
      <c r="F65" s="7" t="n">
        <f aca="false">Chase1168_2025!F65</f>
        <v>119714.56</v>
      </c>
      <c r="G65" s="0" t="str">
        <f aca="false">Chase1168_2025!G65</f>
        <v>Personal - Food</v>
      </c>
      <c r="H65" s="15" t="n">
        <f aca="false">IF($B65="","",DATE(YEAR($B65),MONTH($B65),1))</f>
        <v>45992</v>
      </c>
      <c r="I65" s="0" t="str">
        <f aca="false">IF($G65="","Uncategorized — Review",IFERROR(INDEX(Mapping!$B:$B,MATCH($G65,Mapping!$A:$A,0)),"Uncategorized — Review"))</f>
        <v>Personal - Food &amp; Dining</v>
      </c>
      <c r="J65" s="0" t="str">
        <f aca="false">IF($G65="","Uncategorized — Review",IFERROR(INDEX(Mapping!$C:$C,MATCH($G65,Mapping!$A:$A,0)),"Uncategorized — Review"))</f>
        <v>Personal — Owner</v>
      </c>
    </row>
    <row r="66" customFormat="false" ht="15" hidden="false" customHeight="false" outlineLevel="0" collapsed="false">
      <c r="A66" s="0" t="str">
        <f aca="false">Chase1168_2025!A66</f>
        <v>CREDIT</v>
      </c>
      <c r="B66" s="14" t="n">
        <f aca="false">Chase1168_2025!B66</f>
        <v>46001</v>
      </c>
      <c r="C66" s="0" t="str">
        <f aca="false">Chase1168_2025!C66</f>
        <v>Basic Online Payroll Payment 11198349886 to (########8562) - Reversed</v>
      </c>
      <c r="D66" s="7" t="n">
        <f aca="false">Chase1168_2025!D66</f>
        <v>750</v>
      </c>
      <c r="E66" s="0" t="str">
        <f aca="false">Chase1168_2025!E66</f>
        <v>MISC_CREDIT</v>
      </c>
      <c r="F66" s="7" t="n">
        <f aca="false">Chase1168_2025!F66</f>
        <v>119742.83</v>
      </c>
      <c r="G66" s="0" t="str">
        <f aca="false">Chase1168_2025!G66</f>
        <v>Online Payroll Payment Reversed</v>
      </c>
      <c r="H66" s="15" t="n">
        <f aca="false">IF($B66="","",DATE(YEAR($B66),MONTH($B66),1))</f>
        <v>45992</v>
      </c>
      <c r="I66" s="0" t="str">
        <f aca="false">IF($G66="","Uncategorized — Review",IFERROR(INDEX(Mapping!$B:$B,MATCH($G66,Mapping!$A:$A,0)),"Uncategorized — Review"))</f>
        <v>Online Payroll Payment Reversed</v>
      </c>
      <c r="J66" s="0" t="str">
        <f aca="false">IF($G66="","Uncategorized — Review",IFERROR(INDEX(Mapping!$C:$C,MATCH($G66,Mapping!$A:$A,0)),"Uncategorized — Review"))</f>
        <v>Payroll &amp; Contractors</v>
      </c>
    </row>
    <row r="67" customFormat="false" ht="15" hidden="false" customHeight="false" outlineLevel="0" collapsed="false">
      <c r="A67" s="0" t="str">
        <f aca="false">Chase1168_2025!A67</f>
        <v>DEBIT</v>
      </c>
      <c r="B67" s="14" t="n">
        <f aca="false">Chase1168_2025!B67</f>
        <v>46000</v>
      </c>
      <c r="C67" s="0" t="str">
        <f aca="false">Chase1168_2025!C67</f>
        <v>ONLINE DOMESTIC WIRE FEE</v>
      </c>
      <c r="D67" s="7" t="n">
        <f aca="false">Chase1168_2025!D67</f>
        <v>-25</v>
      </c>
      <c r="E67" s="0" t="str">
        <f aca="false">Chase1168_2025!E67</f>
        <v>FEE_TRANSACTION</v>
      </c>
      <c r="F67" s="7" t="n">
        <f aca="false">Chase1168_2025!F67</f>
        <v>118992.83</v>
      </c>
      <c r="G67" s="0" t="str">
        <f aca="false">Chase1168_2025!G67</f>
        <v>Wire Fee</v>
      </c>
      <c r="H67" s="15" t="n">
        <f aca="false">IF($B67="","",DATE(YEAR($B67),MONTH($B67),1))</f>
        <v>45992</v>
      </c>
      <c r="I67" s="0" t="str">
        <f aca="false">IF($G67="","Uncategorized — Review",IFERROR(INDEX(Mapping!$B:$B,MATCH($G67,Mapping!$A:$A,0)),"Uncategorized — Review"))</f>
        <v>Wire Fee</v>
      </c>
      <c r="J67" s="0" t="str">
        <f aca="false">IF($G67="","Uncategorized — Review",IFERROR(INDEX(Mapping!$C:$C,MATCH($G67,Mapping!$A:$A,0)),"Uncategorized — Review"))</f>
        <v>DWG Operating</v>
      </c>
    </row>
    <row r="68" customFormat="false" ht="15" hidden="false" customHeight="false" outlineLevel="0" collapsed="false">
      <c r="A68" s="0" t="str">
        <f aca="false">Chase1168_2025!A68</f>
        <v>DEBIT</v>
      </c>
      <c r="B68" s="14" t="n">
        <f aca="false">Chase1168_2025!B68</f>
        <v>46000</v>
      </c>
      <c r="C68" s="0" t="str">
        <f aca="false">Chase1168_2025!C68</f>
        <v>ORIG CO NAME:VENMO                  ORIG ID:3264681992 DESC DATE:251209 CO ENTRY DESCR:PAYMENT   SEC:WEB    TRACE#:021000025345215 EED:251209   IND ID:1046812136664                IND NAME:JUDD DUNNING                                                                                                 251209PPZ7CV TRN: 3435345215TC</v>
      </c>
      <c r="D68" s="7" t="n">
        <f aca="false">Chase1168_2025!D68</f>
        <v>-20</v>
      </c>
      <c r="E68" s="0" t="str">
        <f aca="false">Chase1168_2025!E68</f>
        <v>ACH_DEBIT</v>
      </c>
      <c r="F68" s="7" t="n">
        <f aca="false">Chase1168_2025!F68</f>
        <v>119042.83</v>
      </c>
      <c r="G68" s="0" t="str">
        <f aca="false">Chase1168_2025!G68</f>
        <v>Venmo</v>
      </c>
      <c r="H68" s="15" t="n">
        <f aca="false">IF($B68="","",DATE(YEAR($B68),MONTH($B68),1))</f>
        <v>45992</v>
      </c>
      <c r="I68" s="0" t="str">
        <f aca="false">IF($G68="","Uncategorized — Review",IFERROR(INDEX(Mapping!$B:$B,MATCH($G68,Mapping!$A:$A,0)),"Uncategorized — Review"))</f>
        <v>Venmo</v>
      </c>
      <c r="J68" s="0" t="str">
        <f aca="false">IF($G68="","Uncategorized — Review",IFERROR(INDEX(Mapping!$C:$C,MATCH($G68,Mapping!$A:$A,0)),"Uncategorized — Review"))</f>
        <v>P2P Payments (Zelle/Venmo/PayPal)</v>
      </c>
    </row>
    <row r="69" customFormat="false" ht="15" hidden="false" customHeight="false" outlineLevel="0" collapsed="false">
      <c r="A69" s="0" t="str">
        <f aca="false">Chase1168_2025!A69</f>
        <v>DEBIT</v>
      </c>
      <c r="B69" s="14" t="n">
        <f aca="false">Chase1168_2025!B69</f>
        <v>46000</v>
      </c>
      <c r="C69" s="0" t="str">
        <f aca="false">Chase1168_2025!C69</f>
        <v>ONLINE DOMESTIC WIRE TRANSFER A/C: ADMEER ADVISORY, LLC DANA POINT CA 92629-3313 US REF: CANDY BARS TRN: 3438675343ES 12/09</v>
      </c>
      <c r="D69" s="7" t="n">
        <f aca="false">Chase1168_2025!D69</f>
        <v>-5000</v>
      </c>
      <c r="E69" s="0" t="str">
        <f aca="false">Chase1168_2025!E69</f>
        <v>WIRE_OUTGOING</v>
      </c>
      <c r="F69" s="7" t="n">
        <f aca="false">Chase1168_2025!F69</f>
        <v>119062.83</v>
      </c>
      <c r="G69" s="0" t="str">
        <f aca="false">Chase1168_2025!G69</f>
        <v>MAG - Admeer Advisory Transfer</v>
      </c>
      <c r="H69" s="15" t="n">
        <f aca="false">IF($B69="","",DATE(YEAR($B69),MONTH($B69),1))</f>
        <v>45992</v>
      </c>
      <c r="I69" s="0" t="str">
        <f aca="false">IF($G69="","Uncategorized — Review",IFERROR(INDEX(Mapping!$B:$B,MATCH($G69,Mapping!$A:$A,0)),"Uncategorized — Review"))</f>
        <v>MAG - Admeer Advisory Transfer</v>
      </c>
      <c r="J69" s="0" t="str">
        <f aca="false">IF($G69="","Uncategorized — Review",IFERROR(INDEX(Mapping!$C:$C,MATCH($G69,Mapping!$A:$A,0)),"Uncategorized — Review"))</f>
        <v>MAG Pass-Through</v>
      </c>
    </row>
    <row r="70" customFormat="false" ht="15" hidden="false" customHeight="false" outlineLevel="0" collapsed="false">
      <c r="A70" s="0" t="str">
        <f aca="false">Chase1168_2025!A70</f>
        <v>DEBIT</v>
      </c>
      <c r="B70" s="14" t="n">
        <f aca="false">Chase1168_2025!B70</f>
        <v>46000</v>
      </c>
      <c r="C70" s="0" t="str">
        <f aca="false">Chase1168_2025!C70</f>
        <v>ONLINE DOMESTIC WIRE TRANSFER VIA: BK AMER NYC/026009593 A/C: BRIAN HENRY BOWIS NEWPORT BEACH CA 92661 US IMAD: 1209MMQFMP2K021929 TRN: 3389255343ES 12/09</v>
      </c>
      <c r="D70" s="7" t="n">
        <f aca="false">Chase1168_2025!D70</f>
        <v>-2500</v>
      </c>
      <c r="E70" s="0" t="str">
        <f aca="false">Chase1168_2025!E70</f>
        <v>WIRE_OUTGOING</v>
      </c>
      <c r="F70" s="7" t="n">
        <f aca="false">Chase1168_2025!F70</f>
        <v>124062.83</v>
      </c>
      <c r="G70" s="0" t="str">
        <f aca="false">Chase1168_2025!G70</f>
        <v>Wire to Brian Bowis (Charlmont)</v>
      </c>
      <c r="H70" s="15" t="n">
        <f aca="false">IF($B70="","",DATE(YEAR($B70),MONTH($B70),1))</f>
        <v>45992</v>
      </c>
      <c r="I70" s="0" t="str">
        <f aca="false">IF($G70="","Uncategorized — Review",IFERROR(INDEX(Mapping!$B:$B,MATCH($G70,Mapping!$A:$A,0)),"Uncategorized — Review"))</f>
        <v>Commission Paid: Brian Bowis (Charlmont)</v>
      </c>
      <c r="J70" s="0" t="str">
        <f aca="false">IF($G70="","Uncategorized — Review",IFERROR(INDEX(Mapping!$C:$C,MATCH($G70,Mapping!$A:$A,0)),"Uncategorized — Review"))</f>
        <v>Commissions — Outgoing</v>
      </c>
    </row>
    <row r="71" customFormat="false" ht="15" hidden="false" customHeight="false" outlineLevel="0" collapsed="false">
      <c r="A71" s="0" t="str">
        <f aca="false">Chase1168_2025!A71</f>
        <v>DEBIT</v>
      </c>
      <c r="B71" s="14" t="n">
        <f aca="false">Chase1168_2025!B71</f>
        <v>46000</v>
      </c>
      <c r="C71" s="0" t="str">
        <f aca="false">Chase1168_2025!C71</f>
        <v>Online Transfer to CHK ...7899 transaction#: 27260474195 12/09</v>
      </c>
      <c r="D71" s="7" t="n">
        <f aca="false">Chase1168_2025!D71</f>
        <v>-10000</v>
      </c>
      <c r="E71" s="0" t="str">
        <f aca="false">Chase1168_2025!E71</f>
        <v>ACCT_XFER</v>
      </c>
      <c r="F71" s="7" t="n">
        <f aca="false">Chase1168_2025!F71</f>
        <v>126562.83</v>
      </c>
      <c r="G71" s="0" t="str">
        <f aca="false">Chase1168_2025!G71</f>
        <v>Transfer to TX Personal Joint</v>
      </c>
      <c r="H71" s="15" t="n">
        <f aca="false">IF($B71="","",DATE(YEAR($B71),MONTH($B71),1))</f>
        <v>45992</v>
      </c>
      <c r="I71" s="0" t="str">
        <f aca="false">IF($G71="","Uncategorized — Review",IFERROR(INDEX(Mapping!$B:$B,MATCH($G71,Mapping!$A:$A,0)),"Uncategorized — Review"))</f>
        <v>Transfer to TX Personal Joint</v>
      </c>
      <c r="J71" s="0" t="str">
        <f aca="false">IF($G71="","Uncategorized — Review",IFERROR(INDEX(Mapping!$C:$C,MATCH($G71,Mapping!$A:$A,0)),"Uncategorized — Review"))</f>
        <v>Owner / Family Distributions</v>
      </c>
    </row>
    <row r="72" customFormat="false" ht="15" hidden="false" customHeight="false" outlineLevel="0" collapsed="false">
      <c r="A72" s="0" t="str">
        <f aca="false">Chase1168_2025!A72</f>
        <v>DEBIT</v>
      </c>
      <c r="B72" s="14" t="n">
        <f aca="false">Chase1168_2025!B72</f>
        <v>46000</v>
      </c>
      <c r="C72" s="0" t="str">
        <f aca="false">Chase1168_2025!C72</f>
        <v>UPWORK * -872796059 866-262-4478 CA          12/08</v>
      </c>
      <c r="D72" s="7" t="n">
        <f aca="false">Chase1168_2025!D72</f>
        <v>-813.75</v>
      </c>
      <c r="E72" s="0" t="str">
        <f aca="false">Chase1168_2025!E72</f>
        <v>DEBIT_CARD</v>
      </c>
      <c r="F72" s="7" t="n">
        <f aca="false">Chase1168_2025!F72</f>
        <v>136562.83</v>
      </c>
      <c r="G72" s="0" t="str">
        <f aca="false">Chase1168_2025!G72</f>
        <v>Upwork - Sergei M.</v>
      </c>
      <c r="H72" s="15" t="n">
        <f aca="false">IF($B72="","",DATE(YEAR($B72),MONTH($B72),1))</f>
        <v>45992</v>
      </c>
      <c r="I72" s="0" t="str">
        <f aca="false">IF($G72="","Uncategorized — Review",IFERROR(INDEX(Mapping!$B:$B,MATCH($G72,Mapping!$A:$A,0)),"Uncategorized — Review"))</f>
        <v>Upwork - Sergei M.</v>
      </c>
      <c r="J72" s="0" t="str">
        <f aca="false">IF($G72="","Uncategorized — Review",IFERROR(INDEX(Mapping!$C:$C,MATCH($G72,Mapping!$A:$A,0)),"Uncategorized — Review"))</f>
        <v>Payroll &amp; Contractors</v>
      </c>
    </row>
    <row r="73" customFormat="false" ht="15" hidden="false" customHeight="false" outlineLevel="0" collapsed="false">
      <c r="A73" s="0" t="str">
        <f aca="false">Chase1168_2025!A73</f>
        <v>DEBIT</v>
      </c>
      <c r="B73" s="14" t="n">
        <f aca="false">Chase1168_2025!B73</f>
        <v>45999</v>
      </c>
      <c r="C73" s="0" t="str">
        <f aca="false">Chase1168_2025!C73</f>
        <v>ONLINE DOMESTIC WIRE FEE</v>
      </c>
      <c r="D73" s="7" t="n">
        <f aca="false">Chase1168_2025!D73</f>
        <v>-25</v>
      </c>
      <c r="E73" s="0" t="str">
        <f aca="false">Chase1168_2025!E73</f>
        <v>FEE_TRANSACTION</v>
      </c>
      <c r="F73" s="7" t="n">
        <f aca="false">Chase1168_2025!F73</f>
        <v>137376.58</v>
      </c>
      <c r="G73" s="0" t="str">
        <f aca="false">Chase1168_2025!G73</f>
        <v>Wire Fee</v>
      </c>
      <c r="H73" s="15" t="n">
        <f aca="false">IF($B73="","",DATE(YEAR($B73),MONTH($B73),1))</f>
        <v>45992</v>
      </c>
      <c r="I73" s="0" t="str">
        <f aca="false">IF($G73="","Uncategorized — Review",IFERROR(INDEX(Mapping!$B:$B,MATCH($G73,Mapping!$A:$A,0)),"Uncategorized — Review"))</f>
        <v>Wire Fee</v>
      </c>
      <c r="J73" s="0" t="str">
        <f aca="false">IF($G73="","Uncategorized — Review",IFERROR(INDEX(Mapping!$C:$C,MATCH($G73,Mapping!$A:$A,0)),"Uncategorized — Review"))</f>
        <v>DWG Operating</v>
      </c>
    </row>
    <row r="74" customFormat="false" ht="15" hidden="false" customHeight="false" outlineLevel="0" collapsed="false">
      <c r="A74" s="0" t="str">
        <f aca="false">Chase1168_2025!A74</f>
        <v>DEBIT</v>
      </c>
      <c r="B74" s="14" t="n">
        <f aca="false">Chase1168_2025!B74</f>
        <v>45999</v>
      </c>
      <c r="C74" s="0" t="str">
        <f aca="false">Chase1168_2025!C74</f>
        <v>ONLINE DOMESTIC WIRE TRANSFER VIA: BK AMER NYC/026009593 A/C: BRIAN HENRY BOWIS NEWPORT BEACH CA 92661 US IMAD: 1208MMQFMP2M028185 TRN: 3778895342ES 12/08</v>
      </c>
      <c r="D74" s="7" t="n">
        <f aca="false">Chase1168_2025!D74</f>
        <v>-100000</v>
      </c>
      <c r="E74" s="0" t="str">
        <f aca="false">Chase1168_2025!E74</f>
        <v>WIRE_OUTGOING</v>
      </c>
      <c r="F74" s="7" t="n">
        <f aca="false">Chase1168_2025!F74</f>
        <v>137401.58</v>
      </c>
      <c r="G74" s="0" t="str">
        <f aca="false">Chase1168_2025!G74</f>
        <v>Wire to Brian Bowis (Charlmont)</v>
      </c>
      <c r="H74" s="15" t="n">
        <f aca="false">IF($B74="","",DATE(YEAR($B74),MONTH($B74),1))</f>
        <v>45992</v>
      </c>
      <c r="I74" s="0" t="str">
        <f aca="false">IF($G74="","Uncategorized — Review",IFERROR(INDEX(Mapping!$B:$B,MATCH($G74,Mapping!$A:$A,0)),"Uncategorized — Review"))</f>
        <v>Commission Paid: Brian Bowis (Charlmont)</v>
      </c>
      <c r="J74" s="0" t="str">
        <f aca="false">IF($G74="","Uncategorized — Review",IFERROR(INDEX(Mapping!$C:$C,MATCH($G74,Mapping!$A:$A,0)),"Uncategorized — Review"))</f>
        <v>Commissions — Outgoing</v>
      </c>
    </row>
    <row r="75" customFormat="false" ht="15" hidden="false" customHeight="false" outlineLevel="0" collapsed="false">
      <c r="A75" s="0" t="str">
        <f aca="false">Chase1168_2025!A75</f>
        <v>DEBIT</v>
      </c>
      <c r="B75" s="14" t="n">
        <f aca="false">Chase1168_2025!B75</f>
        <v>45999</v>
      </c>
      <c r="C75" s="0" t="str">
        <f aca="false">Chase1168_2025!C75</f>
        <v>Zelle payment to Menashe 27253818627</v>
      </c>
      <c r="D75" s="7" t="n">
        <f aca="false">Chase1168_2025!D75</f>
        <v>-5000</v>
      </c>
      <c r="E75" s="0" t="str">
        <f aca="false">Chase1168_2025!E75</f>
        <v>QUICKPAY_DEBIT</v>
      </c>
      <c r="F75" s="7" t="n">
        <f aca="false">Chase1168_2025!F75</f>
        <v>237401.58</v>
      </c>
      <c r="G75" s="0" t="str">
        <f aca="false">Chase1168_2025!G75</f>
        <v>Zelle - Menashe</v>
      </c>
      <c r="H75" s="15" t="n">
        <f aca="false">IF($B75="","",DATE(YEAR($B75),MONTH($B75),1))</f>
        <v>45992</v>
      </c>
      <c r="I75" s="0" t="str">
        <f aca="false">IF($G75="","Uncategorized — Review",IFERROR(INDEX(Mapping!$B:$B,MATCH($G75,Mapping!$A:$A,0)),"Uncategorized — Review"))</f>
        <v>Zelle - Menashe</v>
      </c>
      <c r="J75" s="0" t="str">
        <f aca="false">IF($G75="","Uncategorized — Review",IFERROR(INDEX(Mapping!$C:$C,MATCH($G75,Mapping!$A:$A,0)),"Uncategorized — Review"))</f>
        <v>P2P Payments (Zelle/Venmo/PayPal)</v>
      </c>
    </row>
    <row r="76" customFormat="false" ht="15" hidden="false" customHeight="false" outlineLevel="0" collapsed="false">
      <c r="A76" s="0" t="str">
        <f aca="false">Chase1168_2025!A76</f>
        <v>DEBIT</v>
      </c>
      <c r="B76" s="14" t="n">
        <f aca="false">Chase1168_2025!B76</f>
        <v>45999</v>
      </c>
      <c r="C76" s="0" t="str">
        <f aca="false">Chase1168_2025!C76</f>
        <v>ORIG CO NAME:VENMO                  ORIG ID:3264681992 DESC DATE:251208 CO ENTRY DESCR:PAYMENT   SEC:WEB    TRACE#:021000028372390 EED:251208   IND ID:1046766302724                IND NAME:JUDD DUNNING                                                                                                 251208PPZPGE TRN: 3428372390TC</v>
      </c>
      <c r="D76" s="7" t="n">
        <f aca="false">Chase1168_2025!D76</f>
        <v>-6</v>
      </c>
      <c r="E76" s="0" t="str">
        <f aca="false">Chase1168_2025!E76</f>
        <v>ACH_DEBIT</v>
      </c>
      <c r="F76" s="7" t="n">
        <f aca="false">Chase1168_2025!F76</f>
        <v>242401.58</v>
      </c>
      <c r="G76" s="0" t="str">
        <f aca="false">Chase1168_2025!G76</f>
        <v>Venmo</v>
      </c>
      <c r="H76" s="15" t="n">
        <f aca="false">IF($B76="","",DATE(YEAR($B76),MONTH($B76),1))</f>
        <v>45992</v>
      </c>
      <c r="I76" s="0" t="str">
        <f aca="false">IF($G76="","Uncategorized — Review",IFERROR(INDEX(Mapping!$B:$B,MATCH($G76,Mapping!$A:$A,0)),"Uncategorized — Review"))</f>
        <v>Venmo</v>
      </c>
      <c r="J76" s="0" t="str">
        <f aca="false">IF($G76="","Uncategorized — Review",IFERROR(INDEX(Mapping!$C:$C,MATCH($G76,Mapping!$A:$A,0)),"Uncategorized — Review"))</f>
        <v>P2P Payments (Zelle/Venmo/PayPal)</v>
      </c>
    </row>
    <row r="77" customFormat="false" ht="15" hidden="false" customHeight="false" outlineLevel="0" collapsed="false">
      <c r="A77" s="0" t="str">
        <f aca="false">Chase1168_2025!A77</f>
        <v>DEBIT</v>
      </c>
      <c r="B77" s="14" t="n">
        <f aca="false">Chase1168_2025!B77</f>
        <v>45999</v>
      </c>
      <c r="C77" s="0" t="str">
        <f aca="false">Chase1168_2025!C77</f>
        <v>Basic Online Payroll Payment 11197628822 to ########4122</v>
      </c>
      <c r="D77" s="7" t="n">
        <f aca="false">Chase1168_2025!D77</f>
        <v>-1500</v>
      </c>
      <c r="E77" s="0" t="str">
        <f aca="false">Chase1168_2025!E77</f>
        <v>BASIC_PAYROLL</v>
      </c>
      <c r="F77" s="7" t="n">
        <f aca="false">Chase1168_2025!F77</f>
        <v>242407.58</v>
      </c>
      <c r="G77" s="0" t="str">
        <f aca="false">Chase1168_2025!G77</f>
        <v>Mike Paytonjian - Payroll</v>
      </c>
      <c r="H77" s="15" t="n">
        <f aca="false">IF($B77="","",DATE(YEAR($B77),MONTH($B77),1))</f>
        <v>45992</v>
      </c>
      <c r="I77" s="0" t="str">
        <f aca="false">IF($G77="","Uncategorized — Review",IFERROR(INDEX(Mapping!$B:$B,MATCH($G77,Mapping!$A:$A,0)),"Uncategorized — Review"))</f>
        <v>Mike Paytonjian - Payroll</v>
      </c>
      <c r="J77" s="0" t="str">
        <f aca="false">IF($G77="","Uncategorized — Review",IFERROR(INDEX(Mapping!$C:$C,MATCH($G77,Mapping!$A:$A,0)),"Uncategorized — Review"))</f>
        <v>Payroll &amp; Contractors</v>
      </c>
    </row>
    <row r="78" customFormat="false" ht="15" hidden="false" customHeight="false" outlineLevel="0" collapsed="false">
      <c r="A78" s="0" t="str">
        <f aca="false">Chase1168_2025!A78</f>
        <v>DEBIT</v>
      </c>
      <c r="B78" s="14" t="n">
        <f aca="false">Chase1168_2025!B78</f>
        <v>45999</v>
      </c>
      <c r="C78" s="0" t="str">
        <f aca="false">Chase1168_2025!C78</f>
        <v>Online Transfer to CHK ...1117 transaction#: 27244081613 12/08</v>
      </c>
      <c r="D78" s="7" t="n">
        <f aca="false">Chase1168_2025!D78</f>
        <v>-5000</v>
      </c>
      <c r="E78" s="0" t="str">
        <f aca="false">Chase1168_2025!E78</f>
        <v>ACCT_XFER</v>
      </c>
      <c r="F78" s="7" t="n">
        <f aca="false">Chase1168_2025!F78</f>
        <v>243907.58</v>
      </c>
      <c r="G78" s="0" t="str">
        <f aca="false">Chase1168_2025!G78</f>
        <v>Transfer to Angela Dunning</v>
      </c>
      <c r="H78" s="15" t="n">
        <f aca="false">IF($B78="","",DATE(YEAR($B78),MONTH($B78),1))</f>
        <v>45992</v>
      </c>
      <c r="I78" s="0" t="str">
        <f aca="false">IF($G78="","Uncategorized — Review",IFERROR(INDEX(Mapping!$B:$B,MATCH($G78,Mapping!$A:$A,0)),"Uncategorized — Review"))</f>
        <v>Transfer to Angela Dunning</v>
      </c>
      <c r="J78" s="0" t="str">
        <f aca="false">IF($G78="","Uncategorized — Review",IFERROR(INDEX(Mapping!$C:$C,MATCH($G78,Mapping!$A:$A,0)),"Uncategorized — Review"))</f>
        <v>Owner / Family Distributions</v>
      </c>
    </row>
    <row r="79" customFormat="false" ht="15" hidden="false" customHeight="false" outlineLevel="0" collapsed="false">
      <c r="A79" s="0" t="str">
        <f aca="false">Chase1168_2025!A79</f>
        <v>DEBIT</v>
      </c>
      <c r="B79" s="14" t="n">
        <f aca="false">Chase1168_2025!B79</f>
        <v>45999</v>
      </c>
      <c r="C79" s="0" t="str">
        <f aca="false">Chase1168_2025!C79</f>
        <v>Online Transfer to CHK ...3922 transaction#: 27244098055 12/08</v>
      </c>
      <c r="D79" s="7" t="n">
        <f aca="false">Chase1168_2025!D79</f>
        <v>-1000</v>
      </c>
      <c r="E79" s="0" t="str">
        <f aca="false">Chase1168_2025!E79</f>
        <v>ACCT_XFER</v>
      </c>
      <c r="F79" s="7" t="n">
        <f aca="false">Chase1168_2025!F79</f>
        <v>248907.58</v>
      </c>
      <c r="G79" s="0" t="str">
        <f aca="false">Chase1168_2025!G79</f>
        <v>DWG Capital Partners - Outgoing</v>
      </c>
      <c r="H79" s="15" t="n">
        <f aca="false">IF($B79="","",DATE(YEAR($B79),MONTH($B79),1))</f>
        <v>45992</v>
      </c>
      <c r="I79" s="0" t="str">
        <f aca="false">IF($G79="","Uncategorized — Review",IFERROR(INDEX(Mapping!$B:$B,MATCH($G79,Mapping!$A:$A,0)),"Uncategorized — Review"))</f>
        <v>DWG Capital Partners - Outgoing</v>
      </c>
      <c r="J79" s="0" t="str">
        <f aca="false">IF($G79="","Uncategorized — Review",IFERROR(INDEX(Mapping!$C:$C,MATCH($G79,Mapping!$A:$A,0)),"Uncategorized — Review"))</f>
        <v>Intercompany &amp; Savings Transfers</v>
      </c>
    </row>
    <row r="80" customFormat="false" ht="15" hidden="false" customHeight="false" outlineLevel="0" collapsed="false">
      <c r="A80" s="0" t="str">
        <f aca="false">Chase1168_2025!A80</f>
        <v>DEBIT</v>
      </c>
      <c r="B80" s="14" t="n">
        <f aca="false">Chase1168_2025!B80</f>
        <v>45999</v>
      </c>
      <c r="C80" s="0" t="str">
        <f aca="false">Chase1168_2025!C80</f>
        <v>WWW.PERPLEXITY.AI WWW.PERPLEXIT CA           12/07</v>
      </c>
      <c r="D80" s="7" t="n">
        <f aca="false">Chase1168_2025!D80</f>
        <v>-21.28</v>
      </c>
      <c r="E80" s="0" t="str">
        <f aca="false">Chase1168_2025!E80</f>
        <v>DEBIT_CARD</v>
      </c>
      <c r="F80" s="7" t="n">
        <f aca="false">Chase1168_2025!F80</f>
        <v>249907.58</v>
      </c>
      <c r="G80" s="0" t="str">
        <f aca="false">Chase1168_2025!G80</f>
        <v>AI Subscriptions</v>
      </c>
      <c r="H80" s="15" t="n">
        <f aca="false">IF($B80="","",DATE(YEAR($B80),MONTH($B80),1))</f>
        <v>45992</v>
      </c>
      <c r="I80" s="0" t="str">
        <f aca="false">IF($G80="","Uncategorized — Review",IFERROR(INDEX(Mapping!$B:$B,MATCH($G80,Mapping!$A:$A,0)),"Uncategorized — Review"))</f>
        <v>AI Subscriptions</v>
      </c>
      <c r="J80" s="0" t="str">
        <f aca="false">IF($G80="","Uncategorized — Review",IFERROR(INDEX(Mapping!$C:$C,MATCH($G80,Mapping!$A:$A,0)),"Uncategorized — Review"))</f>
        <v>DWG Operating</v>
      </c>
    </row>
    <row r="81" customFormat="false" ht="15" hidden="false" customHeight="false" outlineLevel="0" collapsed="false">
      <c r="A81" s="0" t="str">
        <f aca="false">Chase1168_2025!A81</f>
        <v>DEBIT</v>
      </c>
      <c r="B81" s="14" t="n">
        <f aca="false">Chase1168_2025!B81</f>
        <v>45999</v>
      </c>
      <c r="C81" s="0" t="str">
        <f aca="false">Chase1168_2025!C81</f>
        <v>PAYPAL *RUTHALCANCI 402-935-7733 CA          12/07</v>
      </c>
      <c r="D81" s="7" t="n">
        <f aca="false">Chase1168_2025!D81</f>
        <v>-300</v>
      </c>
      <c r="E81" s="0" t="str">
        <f aca="false">Chase1168_2025!E81</f>
        <v>DEBIT_CARD</v>
      </c>
      <c r="F81" s="7" t="n">
        <f aca="false">Chase1168_2025!F81</f>
        <v>249928.86</v>
      </c>
      <c r="G81" s="0" t="str">
        <f aca="false">Chase1168_2025!G81</f>
        <v>Ruth Alcancia - Forward Bridge Payment</v>
      </c>
      <c r="H81" s="15" t="n">
        <f aca="false">IF($B81="","",DATE(YEAR($B81),MONTH($B81),1))</f>
        <v>45992</v>
      </c>
      <c r="I81" s="0" t="str">
        <f aca="false">IF($G81="","Uncategorized — Review",IFERROR(INDEX(Mapping!$B:$B,MATCH($G81,Mapping!$A:$A,0)),"Uncategorized — Review"))</f>
        <v>Ruth Alcancia - Forward Bridge Payment</v>
      </c>
      <c r="J81" s="0" t="str">
        <f aca="false">IF($G81="","Uncategorized — Review",IFERROR(INDEX(Mapping!$C:$C,MATCH($G81,Mapping!$A:$A,0)),"Uncategorized — Review"))</f>
        <v>Payroll &amp; Contractors</v>
      </c>
    </row>
    <row r="82" customFormat="false" ht="15" hidden="false" customHeight="false" outlineLevel="0" collapsed="false">
      <c r="A82" s="0" t="str">
        <f aca="false">Chase1168_2025!A82</f>
        <v>DEBIT</v>
      </c>
      <c r="B82" s="14" t="n">
        <f aca="false">Chase1168_2025!B82</f>
        <v>45999</v>
      </c>
      <c r="C82" s="0" t="str">
        <f aca="false">Chase1168_2025!C82</f>
        <v>Online Transfer to CHK ...1117 transaction#: 27228456762 12/08</v>
      </c>
      <c r="D82" s="7" t="n">
        <f aca="false">Chase1168_2025!D82</f>
        <v>-3000</v>
      </c>
      <c r="E82" s="0" t="str">
        <f aca="false">Chase1168_2025!E82</f>
        <v>ACCT_XFER</v>
      </c>
      <c r="F82" s="7" t="n">
        <f aca="false">Chase1168_2025!F82</f>
        <v>250228.86</v>
      </c>
      <c r="G82" s="0" t="str">
        <f aca="false">Chase1168_2025!G82</f>
        <v>Transfer to Angela Dunning</v>
      </c>
      <c r="H82" s="15" t="n">
        <f aca="false">IF($B82="","",DATE(YEAR($B82),MONTH($B82),1))</f>
        <v>45992</v>
      </c>
      <c r="I82" s="0" t="str">
        <f aca="false">IF($G82="","Uncategorized — Review",IFERROR(INDEX(Mapping!$B:$B,MATCH($G82,Mapping!$A:$A,0)),"Uncategorized — Review"))</f>
        <v>Transfer to Angela Dunning</v>
      </c>
      <c r="J82" s="0" t="str">
        <f aca="false">IF($G82="","Uncategorized — Review",IFERROR(INDEX(Mapping!$C:$C,MATCH($G82,Mapping!$A:$A,0)),"Uncategorized — Review"))</f>
        <v>Owner / Family Distributions</v>
      </c>
    </row>
    <row r="83" customFormat="false" ht="15" hidden="false" customHeight="false" outlineLevel="0" collapsed="false">
      <c r="A83" s="0" t="str">
        <f aca="false">Chase1168_2025!A83</f>
        <v>DEBIT</v>
      </c>
      <c r="B83" s="14" t="n">
        <f aca="false">Chase1168_2025!B83</f>
        <v>45999</v>
      </c>
      <c r="C83" s="0" t="str">
        <f aca="false">Chase1168_2025!C83</f>
        <v>Zelle payment to Jeffrey Seider JPM99bxarb8u</v>
      </c>
      <c r="D83" s="7" t="n">
        <f aca="false">Chase1168_2025!D83</f>
        <v>-180</v>
      </c>
      <c r="E83" s="0" t="str">
        <f aca="false">Chase1168_2025!E83</f>
        <v>CHASE_TO_PARTNERFI</v>
      </c>
      <c r="F83" s="7" t="n">
        <f aca="false">Chase1168_2025!F83</f>
        <v>253228.86</v>
      </c>
      <c r="G83" s="0" t="str">
        <f aca="false">Chase1168_2025!G83</f>
        <v>Zelle - Jeff Seider</v>
      </c>
      <c r="H83" s="15" t="n">
        <f aca="false">IF($B83="","",DATE(YEAR($B83),MONTH($B83),1))</f>
        <v>45992</v>
      </c>
      <c r="I83" s="0" t="str">
        <f aca="false">IF($G83="","Uncategorized — Review",IFERROR(INDEX(Mapping!$B:$B,MATCH($G83,Mapping!$A:$A,0)),"Uncategorized — Review"))</f>
        <v>Zelle - Jeff Seider</v>
      </c>
      <c r="J83" s="0" t="str">
        <f aca="false">IF($G83="","Uncategorized — Review",IFERROR(INDEX(Mapping!$C:$C,MATCH($G83,Mapping!$A:$A,0)),"Uncategorized — Review"))</f>
        <v>P2P Payments (Zelle/Venmo/PayPal)</v>
      </c>
    </row>
    <row r="84" customFormat="false" ht="15" hidden="false" customHeight="false" outlineLevel="0" collapsed="false">
      <c r="A84" s="0" t="str">
        <f aca="false">Chase1168_2025!A84</f>
        <v>DEBIT</v>
      </c>
      <c r="B84" s="14" t="n">
        <f aca="false">Chase1168_2025!B84</f>
        <v>45996</v>
      </c>
      <c r="C84" s="0" t="str">
        <f aca="false">Chase1168_2025!C84</f>
        <v>ONLINE FX INTERNATIONAL WIRE FEE</v>
      </c>
      <c r="D84" s="7" t="n">
        <f aca="false">Chase1168_2025!D84</f>
        <v>-5</v>
      </c>
      <c r="E84" s="0" t="str">
        <f aca="false">Chase1168_2025!E84</f>
        <v>FEE_TRANSACTION</v>
      </c>
      <c r="F84" s="7" t="n">
        <f aca="false">Chase1168_2025!F84</f>
        <v>253408.86</v>
      </c>
      <c r="G84" s="0" t="str">
        <f aca="false">Chase1168_2025!G84</f>
        <v>Andres Alarcon Payroll</v>
      </c>
      <c r="H84" s="15" t="n">
        <f aca="false">IF($B84="","",DATE(YEAR($B84),MONTH($B84),1))</f>
        <v>45992</v>
      </c>
      <c r="I84" s="0" t="str">
        <f aca="false">IF($G84="","Uncategorized — Review",IFERROR(INDEX(Mapping!$B:$B,MATCH($G84,Mapping!$A:$A,0)),"Uncategorized — Review"))</f>
        <v>Andres Alarcon Payroll</v>
      </c>
      <c r="J84" s="0" t="str">
        <f aca="false">IF($G84="","Uncategorized — Review",IFERROR(INDEX(Mapping!$C:$C,MATCH($G84,Mapping!$A:$A,0)),"Uncategorized — Review"))</f>
        <v>Payroll &amp; Contractors</v>
      </c>
    </row>
    <row r="85" customFormat="false" ht="15" hidden="false" customHeight="false" outlineLevel="0" collapsed="false">
      <c r="A85" s="0" t="str">
        <f aca="false">Chase1168_2025!A85</f>
        <v>DEBIT</v>
      </c>
      <c r="B85" s="14" t="n">
        <f aca="false">Chase1168_2025!B85</f>
        <v>45996</v>
      </c>
      <c r="C85" s="0" t="str">
        <f aca="false">Chase1168_2025!C85</f>
        <v>DOMESTIC INCOMING WIRE FEE</v>
      </c>
      <c r="D85" s="7" t="n">
        <f aca="false">Chase1168_2025!D85</f>
        <v>-15</v>
      </c>
      <c r="E85" s="0" t="str">
        <f aca="false">Chase1168_2025!E85</f>
        <v>FEE_TRANSACTION</v>
      </c>
      <c r="F85" s="7" t="n">
        <f aca="false">Chase1168_2025!F85</f>
        <v>253413.86</v>
      </c>
      <c r="G85" s="0" t="str">
        <f aca="false">Chase1168_2025!G85</f>
        <v>Wire Fee</v>
      </c>
      <c r="H85" s="15" t="n">
        <f aca="false">IF($B85="","",DATE(YEAR($B85),MONTH($B85),1))</f>
        <v>45992</v>
      </c>
      <c r="I85" s="0" t="str">
        <f aca="false">IF($G85="","Uncategorized — Review",IFERROR(INDEX(Mapping!$B:$B,MATCH($G85,Mapping!$A:$A,0)),"Uncategorized — Review"))</f>
        <v>Wire Fee</v>
      </c>
      <c r="J85" s="0" t="str">
        <f aca="false">IF($G85="","Uncategorized — Review",IFERROR(INDEX(Mapping!$C:$C,MATCH($G85,Mapping!$A:$A,0)),"Uncategorized — Review"))</f>
        <v>DWG Operating</v>
      </c>
    </row>
    <row r="86" customFormat="false" ht="15" hidden="false" customHeight="false" outlineLevel="0" collapsed="false">
      <c r="A86" s="0" t="str">
        <f aca="false">Chase1168_2025!A86</f>
        <v>DEBIT</v>
      </c>
      <c r="B86" s="14" t="n">
        <f aca="false">Chase1168_2025!B86</f>
        <v>45996</v>
      </c>
      <c r="C86" s="0" t="str">
        <f aca="false">Chase1168_2025!C86</f>
        <v>ONLINE INTERNATIONAL WIRE TRANSFER A/C: FOREIGN CUR BUS ACCT BK 1 COLUMBUS NEWARK DE 197132107 US ORG: 00000000283681168 DWG CAPITAL GROUP BEN:/00714849981 MARIA FERNANDA ALARCON PIEDRAHITA REF: TAXID1017222855/TEL573207819186/SAV/CONSULTANCY EXPENSES/OCMT/COP27383 75,48/EXCH/3651.1673/CNTR/84181818/INT/ANDRES_52763ATHOTMAIL.COM TRN: 9015400339RE 12/05</v>
      </c>
      <c r="D86" s="7" t="n">
        <f aca="false">Chase1168_2025!D86</f>
        <v>-750</v>
      </c>
      <c r="E86" s="0" t="str">
        <f aca="false">Chase1168_2025!E86</f>
        <v>WIRE_OUTGOING</v>
      </c>
      <c r="F86" s="7" t="n">
        <f aca="false">Chase1168_2025!F86</f>
        <v>253443.86</v>
      </c>
      <c r="G86" s="0" t="str">
        <f aca="false">Chase1168_2025!G86</f>
        <v>Andres Alarcon Payroll</v>
      </c>
      <c r="H86" s="15" t="n">
        <f aca="false">IF($B86="","",DATE(YEAR($B86),MONTH($B86),1))</f>
        <v>45992</v>
      </c>
      <c r="I86" s="0" t="str">
        <f aca="false">IF($G86="","Uncategorized — Review",IFERROR(INDEX(Mapping!$B:$B,MATCH($G86,Mapping!$A:$A,0)),"Uncategorized — Review"))</f>
        <v>Andres Alarcon Payroll</v>
      </c>
      <c r="J86" s="0" t="str">
        <f aca="false">IF($G86="","Uncategorized — Review",IFERROR(INDEX(Mapping!$C:$C,MATCH($G86,Mapping!$A:$A,0)),"Uncategorized — Review"))</f>
        <v>Payroll &amp; Contractors</v>
      </c>
    </row>
    <row r="87" customFormat="false" ht="15" hidden="false" customHeight="false" outlineLevel="0" collapsed="false">
      <c r="A87" s="0" t="str">
        <f aca="false">Chase1168_2025!A87</f>
        <v>DEBIT</v>
      </c>
      <c r="B87" s="14" t="n">
        <f aca="false">Chase1168_2025!B87</f>
        <v>45996</v>
      </c>
      <c r="C87" s="0" t="str">
        <f aca="false">Chase1168_2025!C87</f>
        <v>DNH*GODADDY#3961982485 480-5058855 AZ        12/04</v>
      </c>
      <c r="D87" s="7" t="n">
        <f aca="false">Chase1168_2025!D87</f>
        <v>-42.37</v>
      </c>
      <c r="E87" s="0" t="str">
        <f aca="false">Chase1168_2025!E87</f>
        <v>DEBIT_CARD</v>
      </c>
      <c r="F87" s="7" t="n">
        <f aca="false">Chase1168_2025!F87</f>
        <v>254193.86</v>
      </c>
      <c r="G87" s="0" t="str">
        <f aca="false">Chase1168_2025!G87</f>
        <v>Go Daddy</v>
      </c>
      <c r="H87" s="15" t="n">
        <f aca="false">IF($B87="","",DATE(YEAR($B87),MONTH($B87),1))</f>
        <v>45992</v>
      </c>
      <c r="I87" s="0" t="str">
        <f aca="false">IF($G87="","Uncategorized — Review",IFERROR(INDEX(Mapping!$B:$B,MATCH($G87,Mapping!$A:$A,0)),"Uncategorized — Review"))</f>
        <v>Go Daddy</v>
      </c>
      <c r="J87" s="0" t="str">
        <f aca="false">IF($G87="","Uncategorized — Review",IFERROR(INDEX(Mapping!$C:$C,MATCH($G87,Mapping!$A:$A,0)),"Uncategorized — Review"))</f>
        <v>DWG Operating</v>
      </c>
    </row>
    <row r="88" customFormat="false" ht="15" hidden="false" customHeight="false" outlineLevel="0" collapsed="false">
      <c r="A88" s="0" t="str">
        <f aca="false">Chase1168_2025!A88</f>
        <v>DEBIT</v>
      </c>
      <c r="B88" s="14" t="n">
        <f aca="false">Chase1168_2025!B88</f>
        <v>45996</v>
      </c>
      <c r="C88" s="0" t="str">
        <f aca="false">Chase1168_2025!C88</f>
        <v>PP*APPLE.COM/BILL 800-275-2273 CA            12/04</v>
      </c>
      <c r="D88" s="7" t="n">
        <f aca="false">Chase1168_2025!D88</f>
        <v>-38.99</v>
      </c>
      <c r="E88" s="0" t="str">
        <f aca="false">Chase1168_2025!E88</f>
        <v>DEBIT_CARD</v>
      </c>
      <c r="F88" s="7" t="n">
        <f aca="false">Chase1168_2025!F88</f>
        <v>254236.23</v>
      </c>
      <c r="G88" s="0" t="str">
        <f aca="false">Chase1168_2025!G88</f>
        <v>Personal - Subscriptions</v>
      </c>
      <c r="H88" s="15" t="n">
        <f aca="false">IF($B88="","",DATE(YEAR($B88),MONTH($B88),1))</f>
        <v>45992</v>
      </c>
      <c r="I88" s="0" t="str">
        <f aca="false">IF($G88="","Uncategorized — Review",IFERROR(INDEX(Mapping!$B:$B,MATCH($G88,Mapping!$A:$A,0)),"Uncategorized — Review"))</f>
        <v>Personal - Subscriptions</v>
      </c>
      <c r="J88" s="0" t="str">
        <f aca="false">IF($G88="","Uncategorized — Review",IFERROR(INDEX(Mapping!$C:$C,MATCH($G88,Mapping!$A:$A,0)),"Uncategorized — Review"))</f>
        <v>Personal — Owner</v>
      </c>
    </row>
    <row r="89" customFormat="false" ht="15" hidden="false" customHeight="false" outlineLevel="0" collapsed="false">
      <c r="A89" s="0" t="str">
        <f aca="false">Chase1168_2025!A89</f>
        <v>CREDIT</v>
      </c>
      <c r="B89" s="14" t="n">
        <f aca="false">Chase1168_2025!B89</f>
        <v>45996</v>
      </c>
      <c r="C89" s="0" t="str">
        <f aca="false">Chase1168_2025!C89</f>
        <v>FEDWIRE CREDIT VIA: EAST-WEST BANK/322070381 B/O: CHICAGO TITLE COMPANY RIVERSIDE CA 92505-3313 REF: CHASE NYC/CTR/BNF=DWG CAPITAL GROUP LOS ANGELES CA 90066-3638 US/AC-00 0000002836 RFB=FSD3385P00004391 OBI =/URI/FN-FBSC2510438 NON-FEE REIMBU R SEMENT CHARLMONT VILLAGE TOWNHOME S PROPADDR-1625 EAST G STR IMAD: 1205MMQFMP27003973 TRN: 1301821339FF</v>
      </c>
      <c r="D89" s="7" t="n">
        <f aca="false">Chase1168_2025!D89</f>
        <v>30000</v>
      </c>
      <c r="E89" s="0" t="str">
        <f aca="false">Chase1168_2025!E89</f>
        <v>WIRE_INCOMING</v>
      </c>
      <c r="F89" s="7" t="n">
        <f aca="false">Chase1168_2025!F89</f>
        <v>254275.22</v>
      </c>
      <c r="G89" s="0" t="str">
        <f aca="false">Chase1168_2025!G89</f>
        <v>Deal Specific: Charlmont Closing</v>
      </c>
      <c r="H89" s="15" t="n">
        <f aca="false">IF($B89="","",DATE(YEAR($B89),MONTH($B89),1))</f>
        <v>45992</v>
      </c>
      <c r="I89" s="0" t="str">
        <f aca="false">IF($G89="","Uncategorized — Review",IFERROR(INDEX(Mapping!$B:$B,MATCH($G89,Mapping!$A:$A,0)),"Uncategorized — Review"))</f>
        <v>Incoming Commission: Charlmont</v>
      </c>
      <c r="J89" s="0" t="str">
        <f aca="false">IF($G89="","Uncategorized — Review",IFERROR(INDEX(Mapping!$C:$C,MATCH($G89,Mapping!$A:$A,0)),"Uncategorized — Review"))</f>
        <v>Commissions — Incoming</v>
      </c>
    </row>
    <row r="90" customFormat="false" ht="15" hidden="false" customHeight="false" outlineLevel="0" collapsed="false">
      <c r="A90" s="0" t="str">
        <f aca="false">Chase1168_2025!A90</f>
        <v>CREDIT</v>
      </c>
      <c r="B90" s="14" t="n">
        <f aca="false">Chase1168_2025!B90</f>
        <v>45996</v>
      </c>
      <c r="C90" s="0" t="str">
        <f aca="false">Chase1168_2025!C90</f>
        <v>FEDWIRE CREDIT VIA: EAST-WEST BANK/322070381 B/O: CHICAGO TITLE COMPANY RIVERSIDE CA 92505-3313 REF: CHASE NYC/CTR/BNF=DWG CAPITAL GROUP LOS ANGELES CA 90066-3638 US/AC-00 0000002836 RFB=FSD3385P00004322 OBI =/URI/FN-FBSC2510438 BROKERAGE FEE C HARLMONT VILLAGE TOWNHOMES PROPAD DR -1625EAST G STREET, ONTA IMAD: 1205MMQFMP27003909 TRN: 1286401339FF</v>
      </c>
      <c r="D90" s="7" t="n">
        <f aca="false">Chase1168_2025!D90</f>
        <v>205000</v>
      </c>
      <c r="E90" s="0" t="str">
        <f aca="false">Chase1168_2025!E90</f>
        <v>WIRE_INCOMING</v>
      </c>
      <c r="F90" s="7" t="n">
        <f aca="false">Chase1168_2025!F90</f>
        <v>224275.22</v>
      </c>
      <c r="G90" s="0" t="str">
        <f aca="false">Chase1168_2025!G90</f>
        <v>Deal Specific: Charlmont Closing</v>
      </c>
      <c r="H90" s="15" t="n">
        <f aca="false">IF($B90="","",DATE(YEAR($B90),MONTH($B90),1))</f>
        <v>45992</v>
      </c>
      <c r="I90" s="0" t="str">
        <f aca="false">IF($G90="","Uncategorized — Review",IFERROR(INDEX(Mapping!$B:$B,MATCH($G90,Mapping!$A:$A,0)),"Uncategorized — Review"))</f>
        <v>Incoming Commission: Charlmont</v>
      </c>
      <c r="J90" s="0" t="str">
        <f aca="false">IF($G90="","Uncategorized — Review",IFERROR(INDEX(Mapping!$C:$C,MATCH($G90,Mapping!$A:$A,0)),"Uncategorized — Review"))</f>
        <v>Commissions — Incoming</v>
      </c>
    </row>
    <row r="91" customFormat="false" ht="15" hidden="false" customHeight="false" outlineLevel="0" collapsed="false">
      <c r="A91" s="0" t="str">
        <f aca="false">Chase1168_2025!A91</f>
        <v>DEBIT</v>
      </c>
      <c r="B91" s="14" t="n">
        <f aca="false">Chase1168_2025!B91</f>
        <v>45995</v>
      </c>
      <c r="C91" s="0" t="str">
        <f aca="false">Chase1168_2025!C91</f>
        <v>Basic Online Payroll Payment 11198349886 to ########8562</v>
      </c>
      <c r="D91" s="7" t="n">
        <f aca="false">Chase1168_2025!D91</f>
        <v>-750</v>
      </c>
      <c r="E91" s="0" t="str">
        <f aca="false">Chase1168_2025!E91</f>
        <v>BASIC_PAYROLL</v>
      </c>
      <c r="F91" s="7" t="n">
        <f aca="false">Chase1168_2025!F91</f>
        <v>19275.22</v>
      </c>
      <c r="G91" s="0" t="str">
        <f aca="false">Chase1168_2025!G91</f>
        <v>Online Payroll Payment Reversed</v>
      </c>
      <c r="H91" s="15" t="n">
        <f aca="false">IF($B91="","",DATE(YEAR($B91),MONTH($B91),1))</f>
        <v>45992</v>
      </c>
      <c r="I91" s="0" t="str">
        <f aca="false">IF($G91="","Uncategorized — Review",IFERROR(INDEX(Mapping!$B:$B,MATCH($G91,Mapping!$A:$A,0)),"Uncategorized — Review"))</f>
        <v>Online Payroll Payment Reversed</v>
      </c>
      <c r="J91" s="0" t="str">
        <f aca="false">IF($G91="","Uncategorized — Review",IFERROR(INDEX(Mapping!$C:$C,MATCH($G91,Mapping!$A:$A,0)),"Uncategorized — Review"))</f>
        <v>Payroll &amp; Contractors</v>
      </c>
    </row>
    <row r="92" customFormat="false" ht="15" hidden="false" customHeight="false" outlineLevel="0" collapsed="false">
      <c r="A92" s="0" t="str">
        <f aca="false">Chase1168_2025!A92</f>
        <v>DEBIT</v>
      </c>
      <c r="B92" s="14" t="n">
        <f aca="false">Chase1168_2025!B92</f>
        <v>45995</v>
      </c>
      <c r="C92" s="0" t="str">
        <f aca="false">Chase1168_2025!C92</f>
        <v>Online Transfer to CHK ...1117 transaction#: 27206053886 12/04</v>
      </c>
      <c r="D92" s="7" t="n">
        <f aca="false">Chase1168_2025!D92</f>
        <v>-5000</v>
      </c>
      <c r="E92" s="0" t="str">
        <f aca="false">Chase1168_2025!E92</f>
        <v>ACCT_XFER</v>
      </c>
      <c r="F92" s="7" t="n">
        <f aca="false">Chase1168_2025!F92</f>
        <v>20025.22</v>
      </c>
      <c r="G92" s="0" t="str">
        <f aca="false">Chase1168_2025!G92</f>
        <v>Transfer to Angela Dunning</v>
      </c>
      <c r="H92" s="15" t="n">
        <f aca="false">IF($B92="","",DATE(YEAR($B92),MONTH($B92),1))</f>
        <v>45992</v>
      </c>
      <c r="I92" s="0" t="str">
        <f aca="false">IF($G92="","Uncategorized — Review",IFERROR(INDEX(Mapping!$B:$B,MATCH($G92,Mapping!$A:$A,0)),"Uncategorized — Review"))</f>
        <v>Transfer to Angela Dunning</v>
      </c>
      <c r="J92" s="0" t="str">
        <f aca="false">IF($G92="","Uncategorized — Review",IFERROR(INDEX(Mapping!$C:$C,MATCH($G92,Mapping!$A:$A,0)),"Uncategorized — Review"))</f>
        <v>Owner / Family Distributions</v>
      </c>
    </row>
    <row r="93" customFormat="false" ht="15" hidden="false" customHeight="false" outlineLevel="0" collapsed="false">
      <c r="A93" s="0" t="str">
        <f aca="false">Chase1168_2025!A93</f>
        <v>DEBIT</v>
      </c>
      <c r="B93" s="14" t="n">
        <f aca="false">Chase1168_2025!B93</f>
        <v>45995</v>
      </c>
      <c r="C93" s="0" t="str">
        <f aca="false">Chase1168_2025!C93</f>
        <v>PAYPAL *PRAGERUNIVE P 833-772-4378 CA        12/03</v>
      </c>
      <c r="D93" s="7" t="n">
        <f aca="false">Chase1168_2025!D93</f>
        <v>-10.78</v>
      </c>
      <c r="E93" s="0" t="str">
        <f aca="false">Chase1168_2025!E93</f>
        <v>DEBIT_CARD</v>
      </c>
      <c r="F93" s="7" t="n">
        <f aca="false">Chase1168_2025!F93</f>
        <v>25025.22</v>
      </c>
      <c r="G93" s="0" t="str">
        <f aca="false">Chase1168_2025!G93</f>
        <v>DWGCP Business Development</v>
      </c>
      <c r="H93" s="15" t="n">
        <f aca="false">IF($B93="","",DATE(YEAR($B93),MONTH($B93),1))</f>
        <v>45992</v>
      </c>
      <c r="I93" s="0" t="str">
        <f aca="false">IF($G93="","Uncategorized — Review",IFERROR(INDEX(Mapping!$B:$B,MATCH($G93,Mapping!$A:$A,0)),"Uncategorized — Review"))</f>
        <v>DWGCP Business Development</v>
      </c>
      <c r="J93" s="0" t="str">
        <f aca="false">IF($G93="","Uncategorized — Review",IFERROR(INDEX(Mapping!$C:$C,MATCH($G93,Mapping!$A:$A,0)),"Uncategorized — Review"))</f>
        <v>DWG Operating</v>
      </c>
    </row>
    <row r="94" customFormat="false" ht="15" hidden="false" customHeight="false" outlineLevel="0" collapsed="false">
      <c r="A94" s="0" t="str">
        <f aca="false">Chase1168_2025!A94</f>
        <v>CREDIT</v>
      </c>
      <c r="B94" s="14" t="n">
        <f aca="false">Chase1168_2025!B94</f>
        <v>45995</v>
      </c>
      <c r="C94" s="0" t="str">
        <f aca="false">Chase1168_2025!C94</f>
        <v>Online Transfer from CHK ...9335 transaction#: 27206012968</v>
      </c>
      <c r="D94" s="7" t="n">
        <f aca="false">Chase1168_2025!D94</f>
        <v>20000</v>
      </c>
      <c r="E94" s="0" t="str">
        <f aca="false">Chase1168_2025!E94</f>
        <v>ACCT_XFER</v>
      </c>
      <c r="F94" s="7" t="n">
        <f aca="false">Chase1168_2025!F94</f>
        <v>25036</v>
      </c>
      <c r="G94" s="0" t="str">
        <f aca="false">Chase1168_2025!G94</f>
        <v>Poseidon Asset Group (Incoming)</v>
      </c>
      <c r="H94" s="15" t="n">
        <f aca="false">IF($B94="","",DATE(YEAR($B94),MONTH($B94),1))</f>
        <v>45992</v>
      </c>
      <c r="I94" s="0" t="str">
        <f aca="false">IF($G94="","Uncategorized — Review",IFERROR(INDEX(Mapping!$B:$B,MATCH($G94,Mapping!$A:$A,0)),"Uncategorized — Review"))</f>
        <v>Poseidon Asset Group (Incoming)</v>
      </c>
      <c r="J94" s="0" t="str">
        <f aca="false">IF($G94="","Uncategorized — Review",IFERROR(INDEX(Mapping!$C:$C,MATCH($G94,Mapping!$A:$A,0)),"Uncategorized — Review"))</f>
        <v>Poseidon Asset Group</v>
      </c>
    </row>
    <row r="95" customFormat="false" ht="15" hidden="false" customHeight="false" outlineLevel="0" collapsed="false">
      <c r="A95" s="0" t="str">
        <f aca="false">Chase1168_2025!A95</f>
        <v>DEBIT</v>
      </c>
      <c r="B95" s="14" t="n">
        <f aca="false">Chase1168_2025!B95</f>
        <v>45994</v>
      </c>
      <c r="C95" s="0" t="str">
        <f aca="false">Chase1168_2025!C95</f>
        <v>Zelle payment to Natalie Cordova JPM99bwygrp7</v>
      </c>
      <c r="D95" s="7" t="n">
        <f aca="false">Chase1168_2025!D95</f>
        <v>-500</v>
      </c>
      <c r="E95" s="0" t="str">
        <f aca="false">Chase1168_2025!E95</f>
        <v>CHASE_TO_PARTNERFI</v>
      </c>
      <c r="F95" s="7" t="n">
        <f aca="false">Chase1168_2025!F95</f>
        <v>5036</v>
      </c>
      <c r="G95" s="0" t="str">
        <f aca="false">Chase1168_2025!G95</f>
        <v>Zelle - Natalie C.</v>
      </c>
      <c r="H95" s="15" t="n">
        <f aca="false">IF($B95="","",DATE(YEAR($B95),MONTH($B95),1))</f>
        <v>45992</v>
      </c>
      <c r="I95" s="0" t="str">
        <f aca="false">IF($G95="","Uncategorized — Review",IFERROR(INDEX(Mapping!$B:$B,MATCH($G95,Mapping!$A:$A,0)),"Uncategorized — Review"))</f>
        <v>Zelle - Natalie C.</v>
      </c>
      <c r="J95" s="0" t="str">
        <f aca="false">IF($G95="","Uncategorized — Review",IFERROR(INDEX(Mapping!$C:$C,MATCH($G95,Mapping!$A:$A,0)),"Uncategorized — Review"))</f>
        <v>P2P Payments (Zelle/Venmo/PayPal)</v>
      </c>
    </row>
    <row r="96" customFormat="false" ht="15" hidden="false" customHeight="false" outlineLevel="0" collapsed="false">
      <c r="A96" s="0" t="str">
        <f aca="false">Chase1168_2025!A96</f>
        <v>DEBIT</v>
      </c>
      <c r="B96" s="14" t="n">
        <f aca="false">Chase1168_2025!B96</f>
        <v>45994</v>
      </c>
      <c r="C96" s="0" t="str">
        <f aca="false">Chase1168_2025!C96</f>
        <v>Online Transfer to CHK ...1117 transaction#: 27190448427 12/03</v>
      </c>
      <c r="D96" s="7" t="n">
        <f aca="false">Chase1168_2025!D96</f>
        <v>-2000</v>
      </c>
      <c r="E96" s="0" t="str">
        <f aca="false">Chase1168_2025!E96</f>
        <v>ACCT_XFER</v>
      </c>
      <c r="F96" s="7" t="n">
        <f aca="false">Chase1168_2025!F96</f>
        <v>5536</v>
      </c>
      <c r="G96" s="0" t="str">
        <f aca="false">Chase1168_2025!G96</f>
        <v>Transfer to Angela Dunning</v>
      </c>
      <c r="H96" s="15" t="n">
        <f aca="false">IF($B96="","",DATE(YEAR($B96),MONTH($B96),1))</f>
        <v>45992</v>
      </c>
      <c r="I96" s="0" t="str">
        <f aca="false">IF($G96="","Uncategorized — Review",IFERROR(INDEX(Mapping!$B:$B,MATCH($G96,Mapping!$A:$A,0)),"Uncategorized — Review"))</f>
        <v>Transfer to Angela Dunning</v>
      </c>
      <c r="J96" s="0" t="str">
        <f aca="false">IF($G96="","Uncategorized — Review",IFERROR(INDEX(Mapping!$C:$C,MATCH($G96,Mapping!$A:$A,0)),"Uncategorized — Review"))</f>
        <v>Owner / Family Distributions</v>
      </c>
    </row>
    <row r="97" customFormat="false" ht="15" hidden="false" customHeight="false" outlineLevel="0" collapsed="false">
      <c r="A97" s="0" t="str">
        <f aca="false">Chase1168_2025!A97</f>
        <v>DEBIT</v>
      </c>
      <c r="B97" s="14" t="n">
        <f aca="false">Chase1168_2025!B97</f>
        <v>45994</v>
      </c>
      <c r="C97" s="0" t="str">
        <f aca="false">Chase1168_2025!C97</f>
        <v>PP*APPLE.COM/BILL 800-275-2273 CA            12/03</v>
      </c>
      <c r="D97" s="7" t="n">
        <f aca="false">Chase1168_2025!D97</f>
        <v>-12.99</v>
      </c>
      <c r="E97" s="0" t="str">
        <f aca="false">Chase1168_2025!E97</f>
        <v>DEBIT_CARD</v>
      </c>
      <c r="F97" s="7" t="n">
        <f aca="false">Chase1168_2025!F97</f>
        <v>7536</v>
      </c>
      <c r="G97" s="0" t="str">
        <f aca="false">Chase1168_2025!G97</f>
        <v>Personal - Subscriptions</v>
      </c>
      <c r="H97" s="15" t="n">
        <f aca="false">IF($B97="","",DATE(YEAR($B97),MONTH($B97),1))</f>
        <v>45992</v>
      </c>
      <c r="I97" s="0" t="str">
        <f aca="false">IF($G97="","Uncategorized — Review",IFERROR(INDEX(Mapping!$B:$B,MATCH($G97,Mapping!$A:$A,0)),"Uncategorized — Review"))</f>
        <v>Personal - Subscriptions</v>
      </c>
      <c r="J97" s="0" t="str">
        <f aca="false">IF($G97="","Uncategorized — Review",IFERROR(INDEX(Mapping!$C:$C,MATCH($G97,Mapping!$A:$A,0)),"Uncategorized — Review"))</f>
        <v>Personal — Owner</v>
      </c>
    </row>
    <row r="98" customFormat="false" ht="15" hidden="false" customHeight="false" outlineLevel="0" collapsed="false">
      <c r="A98" s="0" t="str">
        <f aca="false">Chase1168_2025!A98</f>
        <v>DEBIT</v>
      </c>
      <c r="B98" s="14" t="n">
        <f aca="false">Chase1168_2025!B98</f>
        <v>45994</v>
      </c>
      <c r="C98" s="0" t="str">
        <f aca="false">Chase1168_2025!C98</f>
        <v>DNH*GODADDY#3960512450 480-5058855 AZ        12/02</v>
      </c>
      <c r="D98" s="7" t="n">
        <f aca="false">Chase1168_2025!D98</f>
        <v>-19.97</v>
      </c>
      <c r="E98" s="0" t="str">
        <f aca="false">Chase1168_2025!E98</f>
        <v>DEBIT_CARD</v>
      </c>
      <c r="F98" s="7" t="n">
        <f aca="false">Chase1168_2025!F98</f>
        <v>7548.99</v>
      </c>
      <c r="G98" s="0" t="str">
        <f aca="false">Chase1168_2025!G98</f>
        <v>Go Daddy</v>
      </c>
      <c r="H98" s="15" t="n">
        <f aca="false">IF($B98="","",DATE(YEAR($B98),MONTH($B98),1))</f>
        <v>45992</v>
      </c>
      <c r="I98" s="0" t="str">
        <f aca="false">IF($G98="","Uncategorized — Review",IFERROR(INDEX(Mapping!$B:$B,MATCH($G98,Mapping!$A:$A,0)),"Uncategorized — Review"))</f>
        <v>Go Daddy</v>
      </c>
      <c r="J98" s="0" t="str">
        <f aca="false">IF($G98="","Uncategorized — Review",IFERROR(INDEX(Mapping!$C:$C,MATCH($G98,Mapping!$A:$A,0)),"Uncategorized — Review"))</f>
        <v>DWG Operating</v>
      </c>
    </row>
    <row r="99" customFormat="false" ht="15" hidden="false" customHeight="false" outlineLevel="0" collapsed="false">
      <c r="A99" s="0" t="str">
        <f aca="false">Chase1168_2025!A99</f>
        <v>DEBIT</v>
      </c>
      <c r="B99" s="14" t="n">
        <f aca="false">Chase1168_2025!B99</f>
        <v>45994</v>
      </c>
      <c r="C99" s="0" t="str">
        <f aca="false">Chase1168_2025!C99</f>
        <v>PAYPAL *DIRECTV 800-531-5000 CA              12/02</v>
      </c>
      <c r="D99" s="7" t="n">
        <f aca="false">Chase1168_2025!D99</f>
        <v>-101.99</v>
      </c>
      <c r="E99" s="0" t="str">
        <f aca="false">Chase1168_2025!E99</f>
        <v>DEBIT_CARD</v>
      </c>
      <c r="F99" s="7" t="n">
        <f aca="false">Chase1168_2025!F99</f>
        <v>7568.96</v>
      </c>
      <c r="G99" s="0" t="str">
        <f aca="false">Chase1168_2025!G99</f>
        <v>Personal - Subscriptions</v>
      </c>
      <c r="H99" s="15" t="n">
        <f aca="false">IF($B99="","",DATE(YEAR($B99),MONTH($B99),1))</f>
        <v>45992</v>
      </c>
      <c r="I99" s="0" t="str">
        <f aca="false">IF($G99="","Uncategorized — Review",IFERROR(INDEX(Mapping!$B:$B,MATCH($G99,Mapping!$A:$A,0)),"Uncategorized — Review"))</f>
        <v>Personal - Subscriptions</v>
      </c>
      <c r="J99" s="0" t="str">
        <f aca="false">IF($G99="","Uncategorized — Review",IFERROR(INDEX(Mapping!$C:$C,MATCH($G99,Mapping!$A:$A,0)),"Uncategorized — Review"))</f>
        <v>Personal — Owner</v>
      </c>
    </row>
    <row r="100" customFormat="false" ht="15" hidden="false" customHeight="false" outlineLevel="0" collapsed="false">
      <c r="A100" s="0" t="str">
        <f aca="false">Chase1168_2025!A100</f>
        <v>DEBIT</v>
      </c>
      <c r="B100" s="14" t="n">
        <f aca="false">Chase1168_2025!B100</f>
        <v>45993</v>
      </c>
      <c r="C100" s="0" t="str">
        <f aca="false">Chase1168_2025!C100</f>
        <v>ORIG CO NAME:TXU ENERGY             ORIG ID:1001020329 DESC DATE:       CO ENTRY DESCR:TXUE_ACH  SEC:WEB    TRACE#:021000023979093 EED:251202   IND ID:900062431557                 IND NAME:DWG CAPITAL GROUP          17333702810000000000000000000003510 2443464                                       DIRECT DEBITING TRN: 3363979093TC</v>
      </c>
      <c r="D100" s="7" t="n">
        <f aca="false">Chase1168_2025!D100</f>
        <v>-444.36</v>
      </c>
      <c r="E100" s="0" t="str">
        <f aca="false">Chase1168_2025!E100</f>
        <v>ACH_DEBIT</v>
      </c>
      <c r="F100" s="7" t="n">
        <f aca="false">Chase1168_2025!F100</f>
        <v>7670.95</v>
      </c>
      <c r="G100" s="0" t="str">
        <f aca="false">Chase1168_2025!G100</f>
        <v>Texas - House Utilities</v>
      </c>
      <c r="H100" s="15" t="n">
        <f aca="false">IF($B100="","",DATE(YEAR($B100),MONTH($B100),1))</f>
        <v>45992</v>
      </c>
      <c r="I100" s="0" t="str">
        <f aca="false">IF($G100="","Uncategorized — Review",IFERROR(INDEX(Mapping!$B:$B,MATCH($G100,Mapping!$A:$A,0)),"Uncategorized — Review"))</f>
        <v>Texas - House Utilities</v>
      </c>
      <c r="J100" s="0" t="str">
        <f aca="false">IF($G100="","Uncategorized — Review",IFERROR(INDEX(Mapping!$C:$C,MATCH($G100,Mapping!$A:$A,0)),"Uncategorized — Review"))</f>
        <v>Personal — Owner</v>
      </c>
    </row>
    <row r="101" customFormat="false" ht="15" hidden="false" customHeight="false" outlineLevel="0" collapsed="false">
      <c r="A101" s="0" t="str">
        <f aca="false">Chase1168_2025!A101</f>
        <v>DEBIT</v>
      </c>
      <c r="B101" s="14" t="n">
        <f aca="false">Chase1168_2025!B101</f>
        <v>45993</v>
      </c>
      <c r="C101" s="0" t="str">
        <f aca="false">Chase1168_2025!C101</f>
        <v>ORIG CO NAME:VENMO                  ORIG ID:3264681992 DESC DATE:251202 CO ENTRY DESCR:PAYMENT   SEC:WEB    TRACE#:021000024046040 EED:251202   IND ID:1046630368433                IND NAME:JUDD DUNNING                                                                                                 251202PPZMWT TRN: 3364046040TC</v>
      </c>
      <c r="D101" s="7" t="n">
        <f aca="false">Chase1168_2025!D101</f>
        <v>-1000</v>
      </c>
      <c r="E101" s="0" t="str">
        <f aca="false">Chase1168_2025!E101</f>
        <v>ACH_DEBIT</v>
      </c>
      <c r="F101" s="7" t="n">
        <f aca="false">Chase1168_2025!F101</f>
        <v>8115.31</v>
      </c>
      <c r="G101" s="0" t="str">
        <f aca="false">Chase1168_2025!G101</f>
        <v>Venmo</v>
      </c>
      <c r="H101" s="15" t="n">
        <f aca="false">IF($B101="","",DATE(YEAR($B101),MONTH($B101),1))</f>
        <v>45992</v>
      </c>
      <c r="I101" s="0" t="str">
        <f aca="false">IF($G101="","Uncategorized — Review",IFERROR(INDEX(Mapping!$B:$B,MATCH($G101,Mapping!$A:$A,0)),"Uncategorized — Review"))</f>
        <v>Venmo</v>
      </c>
      <c r="J101" s="0" t="str">
        <f aca="false">IF($G101="","Uncategorized — Review",IFERROR(INDEX(Mapping!$C:$C,MATCH($G101,Mapping!$A:$A,0)),"Uncategorized — Review"))</f>
        <v>P2P Payments (Zelle/Venmo/PayPal)</v>
      </c>
    </row>
    <row r="102" customFormat="false" ht="15" hidden="false" customHeight="false" outlineLevel="0" collapsed="false">
      <c r="A102" s="0" t="str">
        <f aca="false">Chase1168_2025!A102</f>
        <v>DEBIT</v>
      </c>
      <c r="B102" s="14" t="n">
        <f aca="false">Chase1168_2025!B102</f>
        <v>45993</v>
      </c>
      <c r="C102" s="0" t="str">
        <f aca="false">Chase1168_2025!C102</f>
        <v>Indeed USI25-06944946 800-4625842 TX         12/02</v>
      </c>
      <c r="D102" s="7" t="n">
        <f aca="false">Chase1168_2025!D102</f>
        <v>-152.62</v>
      </c>
      <c r="E102" s="0" t="str">
        <f aca="false">Chase1168_2025!E102</f>
        <v>DEBIT_CARD</v>
      </c>
      <c r="F102" s="7" t="n">
        <f aca="false">Chase1168_2025!F102</f>
        <v>9115.31</v>
      </c>
      <c r="G102" s="0" t="str">
        <f aca="false">Chase1168_2025!G102</f>
        <v>DWG HR</v>
      </c>
      <c r="H102" s="15" t="n">
        <f aca="false">IF($B102="","",DATE(YEAR($B102),MONTH($B102),1))</f>
        <v>45992</v>
      </c>
      <c r="I102" s="0" t="str">
        <f aca="false">IF($G102="","Uncategorized — Review",IFERROR(INDEX(Mapping!$B:$B,MATCH($G102,Mapping!$A:$A,0)),"Uncategorized — Review"))</f>
        <v>DWG HR</v>
      </c>
      <c r="J102" s="0" t="str">
        <f aca="false">IF($G102="","Uncategorized — Review",IFERROR(INDEX(Mapping!$C:$C,MATCH($G102,Mapping!$A:$A,0)),"Uncategorized — Review"))</f>
        <v>Payroll &amp; Contractors</v>
      </c>
    </row>
    <row r="103" customFormat="false" ht="15" hidden="false" customHeight="false" outlineLevel="0" collapsed="false">
      <c r="A103" s="0" t="str">
        <f aca="false">Chase1168_2025!A103</f>
        <v>DEBIT</v>
      </c>
      <c r="B103" s="14" t="n">
        <f aca="false">Chase1168_2025!B103</f>
        <v>45993</v>
      </c>
      <c r="C103" s="0" t="str">
        <f aca="false">Chase1168_2025!C103</f>
        <v>PP*APPLE.COM/BILL 800-275-2273 CA            12/02</v>
      </c>
      <c r="D103" s="7" t="n">
        <f aca="false">Chase1168_2025!D103</f>
        <v>-15.99</v>
      </c>
      <c r="E103" s="0" t="str">
        <f aca="false">Chase1168_2025!E103</f>
        <v>DEBIT_CARD</v>
      </c>
      <c r="F103" s="7" t="n">
        <f aca="false">Chase1168_2025!F103</f>
        <v>9267.93</v>
      </c>
      <c r="G103" s="0" t="str">
        <f aca="false">Chase1168_2025!G103</f>
        <v>Personal - Subscriptions</v>
      </c>
      <c r="H103" s="15" t="n">
        <f aca="false">IF($B103="","",DATE(YEAR($B103),MONTH($B103),1))</f>
        <v>45992</v>
      </c>
      <c r="I103" s="0" t="str">
        <f aca="false">IF($G103="","Uncategorized — Review",IFERROR(INDEX(Mapping!$B:$B,MATCH($G103,Mapping!$A:$A,0)),"Uncategorized — Review"))</f>
        <v>Personal - Subscriptions</v>
      </c>
      <c r="J103" s="0" t="str">
        <f aca="false">IF($G103="","Uncategorized — Review",IFERROR(INDEX(Mapping!$C:$C,MATCH($G103,Mapping!$A:$A,0)),"Uncategorized — Review"))</f>
        <v>Personal — Owner</v>
      </c>
    </row>
    <row r="104" customFormat="false" ht="15" hidden="false" customHeight="false" outlineLevel="0" collapsed="false">
      <c r="A104" s="0" t="str">
        <f aca="false">Chase1168_2025!A104</f>
        <v>DEBIT</v>
      </c>
      <c r="B104" s="14" t="n">
        <f aca="false">Chase1168_2025!B104</f>
        <v>45993</v>
      </c>
      <c r="C104" s="0" t="str">
        <f aca="false">Chase1168_2025!C104</f>
        <v>UPWORK * -870662156 866-262-4478 CA          12/01</v>
      </c>
      <c r="D104" s="7" t="n">
        <f aca="false">Chase1168_2025!D104</f>
        <v>-1225</v>
      </c>
      <c r="E104" s="0" t="str">
        <f aca="false">Chase1168_2025!E104</f>
        <v>DEBIT_CARD</v>
      </c>
      <c r="F104" s="7" t="n">
        <f aca="false">Chase1168_2025!F104</f>
        <v>9283.92</v>
      </c>
      <c r="G104" s="0" t="str">
        <f aca="false">Chase1168_2025!G104</f>
        <v>Upwork - Sergei M.</v>
      </c>
      <c r="H104" s="15" t="n">
        <f aca="false">IF($B104="","",DATE(YEAR($B104),MONTH($B104),1))</f>
        <v>45992</v>
      </c>
      <c r="I104" s="0" t="str">
        <f aca="false">IF($G104="","Uncategorized — Review",IFERROR(INDEX(Mapping!$B:$B,MATCH($G104,Mapping!$A:$A,0)),"Uncategorized — Review"))</f>
        <v>Upwork - Sergei M.</v>
      </c>
      <c r="J104" s="0" t="str">
        <f aca="false">IF($G104="","Uncategorized — Review",IFERROR(INDEX(Mapping!$C:$C,MATCH($G104,Mapping!$A:$A,0)),"Uncategorized — Review"))</f>
        <v>Payroll &amp; Contractors</v>
      </c>
    </row>
    <row r="105" customFormat="false" ht="15" hidden="false" customHeight="false" outlineLevel="0" collapsed="false">
      <c r="A105" s="0" t="str">
        <f aca="false">Chase1168_2025!A105</f>
        <v>DEBIT</v>
      </c>
      <c r="B105" s="14" t="n">
        <f aca="false">Chase1168_2025!B105</f>
        <v>45993</v>
      </c>
      <c r="C105" s="0" t="str">
        <f aca="false">Chase1168_2025!C105</f>
        <v>PAYPAL *HULU 877-801-5441 CA                 12/01</v>
      </c>
      <c r="D105" s="7" t="n">
        <f aca="false">Chase1168_2025!D105</f>
        <v>-12.99</v>
      </c>
      <c r="E105" s="0" t="str">
        <f aca="false">Chase1168_2025!E105</f>
        <v>DEBIT_CARD</v>
      </c>
      <c r="F105" s="7" t="n">
        <f aca="false">Chase1168_2025!F105</f>
        <v>10508.92</v>
      </c>
      <c r="G105" s="0" t="str">
        <f aca="false">Chase1168_2025!G105</f>
        <v>Personal - Subscriptions</v>
      </c>
      <c r="H105" s="15" t="n">
        <f aca="false">IF($B105="","",DATE(YEAR($B105),MONTH($B105),1))</f>
        <v>45992</v>
      </c>
      <c r="I105" s="0" t="str">
        <f aca="false">IF($G105="","Uncategorized — Review",IFERROR(INDEX(Mapping!$B:$B,MATCH($G105,Mapping!$A:$A,0)),"Uncategorized — Review"))</f>
        <v>Personal - Subscriptions</v>
      </c>
      <c r="J105" s="0" t="str">
        <f aca="false">IF($G105="","Uncategorized — Review",IFERROR(INDEX(Mapping!$C:$C,MATCH($G105,Mapping!$A:$A,0)),"Uncategorized — Review"))</f>
        <v>Personal — Owner</v>
      </c>
    </row>
    <row r="106" customFormat="false" ht="15" hidden="false" customHeight="false" outlineLevel="0" collapsed="false">
      <c r="A106" s="0" t="str">
        <f aca="false">Chase1168_2025!A106</f>
        <v>DEBIT</v>
      </c>
      <c r="B106" s="14" t="n">
        <f aca="false">Chase1168_2025!B106</f>
        <v>45993</v>
      </c>
      <c r="C106" s="0" t="str">
        <f aca="false">Chase1168_2025!C106</f>
        <v>PAYPAL *GOOGLE LLC GO 650-253-0000 CA        12/01</v>
      </c>
      <c r="D106" s="7" t="n">
        <f aca="false">Chase1168_2025!D106</f>
        <v>-16.8</v>
      </c>
      <c r="E106" s="0" t="str">
        <f aca="false">Chase1168_2025!E106</f>
        <v>DEBIT_CARD</v>
      </c>
      <c r="F106" s="7" t="n">
        <f aca="false">Chase1168_2025!F106</f>
        <v>10521.91</v>
      </c>
      <c r="G106" s="0" t="str">
        <f aca="false">Chase1168_2025!G106</f>
        <v>Personal - Subscriptions</v>
      </c>
      <c r="H106" s="15" t="n">
        <f aca="false">IF($B106="","",DATE(YEAR($B106),MONTH($B106),1))</f>
        <v>45992</v>
      </c>
      <c r="I106" s="0" t="str">
        <f aca="false">IF($G106="","Uncategorized — Review",IFERROR(INDEX(Mapping!$B:$B,MATCH($G106,Mapping!$A:$A,0)),"Uncategorized — Review"))</f>
        <v>Personal - Subscriptions</v>
      </c>
      <c r="J106" s="0" t="str">
        <f aca="false">IF($G106="","Uncategorized — Review",IFERROR(INDEX(Mapping!$C:$C,MATCH($G106,Mapping!$A:$A,0)),"Uncategorized — Review"))</f>
        <v>Personal — Owner</v>
      </c>
    </row>
    <row r="107" customFormat="false" ht="15" hidden="false" customHeight="false" outlineLevel="0" collapsed="false">
      <c r="A107" s="0" t="str">
        <f aca="false">Chase1168_2025!A107</f>
        <v>DEBIT</v>
      </c>
      <c r="B107" s="14" t="n">
        <f aca="false">Chase1168_2025!B107</f>
        <v>45992</v>
      </c>
      <c r="C107" s="0" t="str">
        <f aca="false">Chase1168_2025!C107</f>
        <v>STANDARD ACH PMNTS INITIAL FEE QTY = 8</v>
      </c>
      <c r="D107" s="7" t="n">
        <f aca="false">Chase1168_2025!D107</f>
        <v>-20</v>
      </c>
      <c r="E107" s="0" t="str">
        <f aca="false">Chase1168_2025!E107</f>
        <v>FEE_TRANSACTION</v>
      </c>
      <c r="F107" s="7" t="n">
        <f aca="false">Chase1168_2025!F107</f>
        <v>10538.71</v>
      </c>
      <c r="G107" s="0" t="str">
        <f aca="false">Chase1168_2025!G107</f>
        <v>Bank Fees</v>
      </c>
      <c r="H107" s="15" t="n">
        <f aca="false">IF($B107="","",DATE(YEAR($B107),MONTH($B107),1))</f>
        <v>45992</v>
      </c>
      <c r="I107" s="0" t="str">
        <f aca="false">IF($G107="","Uncategorized — Review",IFERROR(INDEX(Mapping!$B:$B,MATCH($G107,Mapping!$A:$A,0)),"Uncategorized — Review"))</f>
        <v>Bank Fees</v>
      </c>
      <c r="J107" s="0" t="str">
        <f aca="false">IF($G107="","Uncategorized — Review",IFERROR(INDEX(Mapping!$C:$C,MATCH($G107,Mapping!$A:$A,0)),"Uncategorized — Review"))</f>
        <v>DWG Operating</v>
      </c>
    </row>
    <row r="108" customFormat="false" ht="15" hidden="false" customHeight="false" outlineLevel="0" collapsed="false">
      <c r="A108" s="0" t="str">
        <f aca="false">Chase1168_2025!A108</f>
        <v>DEBIT</v>
      </c>
      <c r="B108" s="14" t="n">
        <f aca="false">Chase1168_2025!B108</f>
        <v>45992</v>
      </c>
      <c r="C108" s="0" t="str">
        <f aca="false">Chase1168_2025!C108</f>
        <v>Online Payment 27169136243 To PENTAGON FEDERAL CREDIT UNION 12/01</v>
      </c>
      <c r="D108" s="7" t="n">
        <f aca="false">Chase1168_2025!D108</f>
        <v>-7100</v>
      </c>
      <c r="E108" s="0" t="str">
        <f aca="false">Chase1168_2025!E108</f>
        <v>BILLPAY</v>
      </c>
      <c r="F108" s="7" t="n">
        <f aca="false">Chase1168_2025!F108</f>
        <v>10558.71</v>
      </c>
      <c r="G108" s="0" t="str">
        <f aca="false">Chase1168_2025!G108</f>
        <v>Personal - California Mortgage PMT</v>
      </c>
      <c r="H108" s="15" t="n">
        <f aca="false">IF($B108="","",DATE(YEAR($B108),MONTH($B108),1))</f>
        <v>45992</v>
      </c>
      <c r="I108" s="0" t="str">
        <f aca="false">IF($G108="","Uncategorized — Review",IFERROR(INDEX(Mapping!$B:$B,MATCH($G108,Mapping!$A:$A,0)),"Uncategorized — Review"))</f>
        <v>Personal - California Mortgage PMT</v>
      </c>
      <c r="J108" s="0" t="str">
        <f aca="false">IF($G108="","Uncategorized — Review",IFERROR(INDEX(Mapping!$C:$C,MATCH($G108,Mapping!$A:$A,0)),"Uncategorized — Review"))</f>
        <v>Personal — Owner</v>
      </c>
    </row>
    <row r="109" customFormat="false" ht="15" hidden="false" customHeight="false" outlineLevel="0" collapsed="false">
      <c r="A109" s="0" t="str">
        <f aca="false">Chase1168_2025!A109</f>
        <v>DEBIT</v>
      </c>
      <c r="B109" s="14" t="n">
        <f aca="false">Chase1168_2025!B109</f>
        <v>45992</v>
      </c>
      <c r="C109" s="0" t="str">
        <f aca="false">Chase1168_2025!C109</f>
        <v>Online Payment 27169110766 To MERCEDES BENZ FINANCIAL SVCS 12/01</v>
      </c>
      <c r="D109" s="7" t="n">
        <f aca="false">Chase1168_2025!D109</f>
        <v>-1399.78</v>
      </c>
      <c r="E109" s="0" t="str">
        <f aca="false">Chase1168_2025!E109</f>
        <v>BILLPAY</v>
      </c>
      <c r="F109" s="7" t="n">
        <f aca="false">Chase1168_2025!F109</f>
        <v>17658.71</v>
      </c>
      <c r="G109" s="0" t="str">
        <f aca="false">Chase1168_2025!G109</f>
        <v>Personal - Car (Mercedes)</v>
      </c>
      <c r="H109" s="15" t="n">
        <f aca="false">IF($B109="","",DATE(YEAR($B109),MONTH($B109),1))</f>
        <v>45992</v>
      </c>
      <c r="I109" s="0" t="str">
        <f aca="false">IF($G109="","Uncategorized — Review",IFERROR(INDEX(Mapping!$B:$B,MATCH($G109,Mapping!$A:$A,0)),"Uncategorized — Review"))</f>
        <v>Personal - Car &amp; Auto</v>
      </c>
      <c r="J109" s="0" t="str">
        <f aca="false">IF($G109="","Uncategorized — Review",IFERROR(INDEX(Mapping!$C:$C,MATCH($G109,Mapping!$A:$A,0)),"Uncategorized — Review"))</f>
        <v>Personal — Owner</v>
      </c>
    </row>
    <row r="110" customFormat="false" ht="15" hidden="false" customHeight="false" outlineLevel="0" collapsed="false">
      <c r="A110" s="0" t="str">
        <f aca="false">Chase1168_2025!A110</f>
        <v>DEBIT</v>
      </c>
      <c r="B110" s="14" t="n">
        <f aca="false">Chase1168_2025!B110</f>
        <v>45992</v>
      </c>
      <c r="C110" s="0" t="str">
        <f aca="false">Chase1168_2025!C110</f>
        <v>Online Payment 27169068840 To MERCEDES BENZ FINANCIAL 12/01</v>
      </c>
      <c r="D110" s="7" t="n">
        <f aca="false">Chase1168_2025!D110</f>
        <v>-500</v>
      </c>
      <c r="E110" s="0" t="str">
        <f aca="false">Chase1168_2025!E110</f>
        <v>BILLPAY</v>
      </c>
      <c r="F110" s="7" t="n">
        <f aca="false">Chase1168_2025!F110</f>
        <v>19058.49</v>
      </c>
      <c r="G110" s="0" t="str">
        <f aca="false">Chase1168_2025!G110</f>
        <v>Personal - Car (Mercedes)</v>
      </c>
      <c r="H110" s="15" t="n">
        <f aca="false">IF($B110="","",DATE(YEAR($B110),MONTH($B110),1))</f>
        <v>45992</v>
      </c>
      <c r="I110" s="0" t="str">
        <f aca="false">IF($G110="","Uncategorized — Review",IFERROR(INDEX(Mapping!$B:$B,MATCH($G110,Mapping!$A:$A,0)),"Uncategorized — Review"))</f>
        <v>Personal - Car &amp; Auto</v>
      </c>
      <c r="J110" s="0" t="str">
        <f aca="false">IF($G110="","Uncategorized — Review",IFERROR(INDEX(Mapping!$C:$C,MATCH($G110,Mapping!$A:$A,0)),"Uncategorized — Review"))</f>
        <v>Personal — Owner</v>
      </c>
    </row>
    <row r="111" customFormat="false" ht="15" hidden="false" customHeight="false" outlineLevel="0" collapsed="false">
      <c r="A111" s="0" t="str">
        <f aca="false">Chase1168_2025!A111</f>
        <v>DEBIT</v>
      </c>
      <c r="B111" s="14" t="n">
        <f aca="false">Chase1168_2025!B111</f>
        <v>45992</v>
      </c>
      <c r="C111" s="0" t="str">
        <f aca="false">Chase1168_2025!C111</f>
        <v>Online Payment 27169056999 To MERCEDES BENZ FINANCIAL 12/01</v>
      </c>
      <c r="D111" s="7" t="n">
        <f aca="false">Chase1168_2025!D111</f>
        <v>-700</v>
      </c>
      <c r="E111" s="0" t="str">
        <f aca="false">Chase1168_2025!E111</f>
        <v>BILLPAY</v>
      </c>
      <c r="F111" s="7" t="n">
        <f aca="false">Chase1168_2025!F111</f>
        <v>19558.49</v>
      </c>
      <c r="G111" s="0" t="str">
        <f aca="false">Chase1168_2025!G111</f>
        <v>Personal - Car (Mercedes)</v>
      </c>
      <c r="H111" s="15" t="n">
        <f aca="false">IF($B111="","",DATE(YEAR($B111),MONTH($B111),1))</f>
        <v>45992</v>
      </c>
      <c r="I111" s="0" t="str">
        <f aca="false">IF($G111="","Uncategorized — Review",IFERROR(INDEX(Mapping!$B:$B,MATCH($G111,Mapping!$A:$A,0)),"Uncategorized — Review"))</f>
        <v>Personal - Car &amp; Auto</v>
      </c>
      <c r="J111" s="0" t="str">
        <f aca="false">IF($G111="","Uncategorized — Review",IFERROR(INDEX(Mapping!$C:$C,MATCH($G111,Mapping!$A:$A,0)),"Uncategorized — Review"))</f>
        <v>Personal — Owner</v>
      </c>
    </row>
    <row r="112" customFormat="false" ht="15" hidden="false" customHeight="false" outlineLevel="0" collapsed="false">
      <c r="A112" s="0" t="str">
        <f aca="false">Chase1168_2025!A112</f>
        <v>DEBIT</v>
      </c>
      <c r="B112" s="14" t="n">
        <f aca="false">Chase1168_2025!B112</f>
        <v>45992</v>
      </c>
      <c r="C112" s="0" t="str">
        <f aca="false">Chase1168_2025!C112</f>
        <v>Basic Online Payroll Payment 11196778300 to ########4122</v>
      </c>
      <c r="D112" s="7" t="n">
        <f aca="false">Chase1168_2025!D112</f>
        <v>-1500</v>
      </c>
      <c r="E112" s="0" t="str">
        <f aca="false">Chase1168_2025!E112</f>
        <v>BASIC_PAYROLL</v>
      </c>
      <c r="F112" s="7" t="n">
        <f aca="false">Chase1168_2025!F112</f>
        <v>20258.49</v>
      </c>
      <c r="G112" s="0" t="str">
        <f aca="false">Chase1168_2025!G112</f>
        <v>Mike Paytonjian - Payroll</v>
      </c>
      <c r="H112" s="15" t="n">
        <f aca="false">IF($B112="","",DATE(YEAR($B112),MONTH($B112),1))</f>
        <v>45992</v>
      </c>
      <c r="I112" s="0" t="str">
        <f aca="false">IF($G112="","Uncategorized — Review",IFERROR(INDEX(Mapping!$B:$B,MATCH($G112,Mapping!$A:$A,0)),"Uncategorized — Review"))</f>
        <v>Mike Paytonjian - Payroll</v>
      </c>
      <c r="J112" s="0" t="str">
        <f aca="false">IF($G112="","Uncategorized — Review",IFERROR(INDEX(Mapping!$C:$C,MATCH($G112,Mapping!$A:$A,0)),"Uncategorized — Review"))</f>
        <v>Payroll &amp; Contractors</v>
      </c>
    </row>
    <row r="113" customFormat="false" ht="15" hidden="false" customHeight="false" outlineLevel="0" collapsed="false">
      <c r="A113" s="0" t="str">
        <f aca="false">Chase1168_2025!A113</f>
        <v>DEBIT</v>
      </c>
      <c r="B113" s="14" t="n">
        <f aca="false">Chase1168_2025!B113</f>
        <v>45992</v>
      </c>
      <c r="C113" s="0" t="str">
        <f aca="false">Chase1168_2025!C113</f>
        <v>ORIG CO NAME:GEICO                  ORIG ID:3530075853 DESC DATE:251130 CO ENTRY DESCR:PREM COLL SEC:PPD    TRACE#:021000020932244 EED:251201   IND ID:                             IND NAME:ANGELA TRN: 3350932244TC</v>
      </c>
      <c r="D113" s="7" t="n">
        <f aca="false">Chase1168_2025!D113</f>
        <v>-619.87</v>
      </c>
      <c r="E113" s="0" t="str">
        <f aca="false">Chase1168_2025!E113</f>
        <v>ACH_DEBIT</v>
      </c>
      <c r="F113" s="7" t="n">
        <f aca="false">Chase1168_2025!F113</f>
        <v>21758.49</v>
      </c>
      <c r="G113" s="0" t="str">
        <f aca="false">Chase1168_2025!G113</f>
        <v>Personal - Car Insurance</v>
      </c>
      <c r="H113" s="15" t="n">
        <f aca="false">IF($B113="","",DATE(YEAR($B113),MONTH($B113),1))</f>
        <v>45992</v>
      </c>
      <c r="I113" s="0" t="str">
        <f aca="false">IF($G113="","Uncategorized — Review",IFERROR(INDEX(Mapping!$B:$B,MATCH($G113,Mapping!$A:$A,0)),"Uncategorized — Review"))</f>
        <v>Personal - Car &amp; Auto</v>
      </c>
      <c r="J113" s="0" t="str">
        <f aca="false">IF($G113="","Uncategorized — Review",IFERROR(INDEX(Mapping!$C:$C,MATCH($G113,Mapping!$A:$A,0)),"Uncategorized — Review"))</f>
        <v>Personal — Owner</v>
      </c>
    </row>
    <row r="114" customFormat="false" ht="15" hidden="false" customHeight="false" outlineLevel="0" collapsed="false">
      <c r="A114" s="0" t="str">
        <f aca="false">Chase1168_2025!A114</f>
        <v>DEBIT</v>
      </c>
      <c r="B114" s="14" t="n">
        <f aca="false">Chase1168_2025!B114</f>
        <v>45992</v>
      </c>
      <c r="C114" s="0" t="str">
        <f aca="false">Chase1168_2025!C114</f>
        <v>ORIG CO NAME:BLUESHIELDCA           ORIG ID:7529219311 DESC DATE:251130 CO ENTRY DESCR:BILL PAY  SEC:CCD    TRACE#:031101111124833 EED:251201   IND ID:15720676401                  IND NAME:ANGELA DUNNING TRN: 3351124833TC</v>
      </c>
      <c r="D114" s="7" t="n">
        <f aca="false">Chase1168_2025!D114</f>
        <v>-870.54</v>
      </c>
      <c r="E114" s="0" t="str">
        <f aca="false">Chase1168_2025!E114</f>
        <v>ACH_DEBIT</v>
      </c>
      <c r="F114" s="7" t="n">
        <f aca="false">Chase1168_2025!F114</f>
        <v>22378.36</v>
      </c>
      <c r="G114" s="0" t="str">
        <f aca="false">Chase1168_2025!G114</f>
        <v>Personal - Health Insurance</v>
      </c>
      <c r="H114" s="15" t="n">
        <f aca="false">IF($B114="","",DATE(YEAR($B114),MONTH($B114),1))</f>
        <v>45992</v>
      </c>
      <c r="I114" s="0" t="str">
        <f aca="false">IF($G114="","Uncategorized — Review",IFERROR(INDEX(Mapping!$B:$B,MATCH($G114,Mapping!$A:$A,0)),"Uncategorized — Review"))</f>
        <v>Personal - Health (incl. Ins.)</v>
      </c>
      <c r="J114" s="0" t="str">
        <f aca="false">IF($G114="","Uncategorized — Review",IFERROR(INDEX(Mapping!$C:$C,MATCH($G114,Mapping!$A:$A,0)),"Uncategorized — Review"))</f>
        <v>Personal — Owner</v>
      </c>
    </row>
    <row r="115" customFormat="false" ht="15" hidden="false" customHeight="false" outlineLevel="0" collapsed="false">
      <c r="A115" s="0" t="str">
        <f aca="false">Chase1168_2025!A115</f>
        <v>DEBIT</v>
      </c>
      <c r="B115" s="14" t="n">
        <f aca="false">Chase1168_2025!B115</f>
        <v>45992</v>
      </c>
      <c r="C115" s="0" t="str">
        <f aca="false">Chase1168_2025!C115</f>
        <v>Online Transfer to CHK ...1117 transaction#: 27139566934 12/01</v>
      </c>
      <c r="D115" s="7" t="n">
        <f aca="false">Chase1168_2025!D115</f>
        <v>-3000</v>
      </c>
      <c r="E115" s="0" t="str">
        <f aca="false">Chase1168_2025!E115</f>
        <v>ACCT_XFER</v>
      </c>
      <c r="F115" s="7" t="n">
        <f aca="false">Chase1168_2025!F115</f>
        <v>23248.9</v>
      </c>
      <c r="G115" s="0" t="str">
        <f aca="false">Chase1168_2025!G115</f>
        <v>Transfer to Angela Dunning</v>
      </c>
      <c r="H115" s="15" t="n">
        <f aca="false">IF($B115="","",DATE(YEAR($B115),MONTH($B115),1))</f>
        <v>45992</v>
      </c>
      <c r="I115" s="0" t="str">
        <f aca="false">IF($G115="","Uncategorized — Review",IFERROR(INDEX(Mapping!$B:$B,MATCH($G115,Mapping!$A:$A,0)),"Uncategorized — Review"))</f>
        <v>Transfer to Angela Dunning</v>
      </c>
      <c r="J115" s="0" t="str">
        <f aca="false">IF($G115="","Uncategorized — Review",IFERROR(INDEX(Mapping!$C:$C,MATCH($G115,Mapping!$A:$A,0)),"Uncategorized — Review"))</f>
        <v>Owner / Family Distributions</v>
      </c>
    </row>
    <row r="116" customFormat="false" ht="15" hidden="false" customHeight="false" outlineLevel="0" collapsed="false">
      <c r="A116" s="0" t="str">
        <f aca="false">Chase1168_2025!A116</f>
        <v>DEBIT</v>
      </c>
      <c r="B116" s="14" t="n">
        <f aca="false">Chase1168_2025!B116</f>
        <v>45992</v>
      </c>
      <c r="C116" s="0" t="str">
        <f aca="false">Chase1168_2025!C116</f>
        <v>Online Transfer to CHK ...6975 transaction#: 27139549051 12/01</v>
      </c>
      <c r="D116" s="7" t="n">
        <f aca="false">Chase1168_2025!D116</f>
        <v>-1000</v>
      </c>
      <c r="E116" s="0" t="str">
        <f aca="false">Chase1168_2025!E116</f>
        <v>ACCT_XFER</v>
      </c>
      <c r="F116" s="7" t="n">
        <f aca="false">Chase1168_2025!F116</f>
        <v>26248.9</v>
      </c>
      <c r="G116" s="0" t="str">
        <f aca="false">Chase1168_2025!G116</f>
        <v>Transfer to Ava Perez-Dunning</v>
      </c>
      <c r="H116" s="15" t="n">
        <f aca="false">IF($B116="","",DATE(YEAR($B116),MONTH($B116),1))</f>
        <v>45992</v>
      </c>
      <c r="I116" s="0" t="str">
        <f aca="false">IF($G116="","Uncategorized — Review",IFERROR(INDEX(Mapping!$B:$B,MATCH($G116,Mapping!$A:$A,0)),"Uncategorized — Review"))</f>
        <v>Transfer to Ava Perez-Dunning</v>
      </c>
      <c r="J116" s="0" t="str">
        <f aca="false">IF($G116="","Uncategorized — Review",IFERROR(INDEX(Mapping!$C:$C,MATCH($G116,Mapping!$A:$A,0)),"Uncategorized — Review"))</f>
        <v>Owner / Family Distributions</v>
      </c>
    </row>
    <row r="117" customFormat="false" ht="15" hidden="false" customHeight="false" outlineLevel="0" collapsed="false">
      <c r="A117" s="0" t="str">
        <f aca="false">Chase1168_2025!A117</f>
        <v>DEBIT</v>
      </c>
      <c r="B117" s="14" t="n">
        <f aca="false">Chase1168_2025!B117</f>
        <v>45992</v>
      </c>
      <c r="C117" s="0" t="str">
        <f aca="false">Chase1168_2025!C117</f>
        <v>ORIG CO NAME:GEICO                  ORIG ID:3530075853 DESC DATE:251128 CO ENTRY DESCR:PREM COLL SEC:PPD    TRACE#:021000025874967 EED:251201   IND ID:                             IND NAME:ANGELA DUNNING TRN: 3355874967TC</v>
      </c>
      <c r="D117" s="7" t="n">
        <f aca="false">Chase1168_2025!D117</f>
        <v>-753.28</v>
      </c>
      <c r="E117" s="0" t="str">
        <f aca="false">Chase1168_2025!E117</f>
        <v>ACH_DEBIT</v>
      </c>
      <c r="F117" s="7" t="n">
        <f aca="false">Chase1168_2025!F117</f>
        <v>27248.9</v>
      </c>
      <c r="G117" s="0" t="str">
        <f aca="false">Chase1168_2025!G117</f>
        <v>Personal - Car Insurance</v>
      </c>
      <c r="H117" s="15" t="n">
        <f aca="false">IF($B117="","",DATE(YEAR($B117),MONTH($B117),1))</f>
        <v>45992</v>
      </c>
      <c r="I117" s="0" t="str">
        <f aca="false">IF($G117="","Uncategorized — Review",IFERROR(INDEX(Mapping!$B:$B,MATCH($G117,Mapping!$A:$A,0)),"Uncategorized — Review"))</f>
        <v>Personal - Car &amp; Auto</v>
      </c>
      <c r="J117" s="0" t="str">
        <f aca="false">IF($G117="","Uncategorized — Review",IFERROR(INDEX(Mapping!$C:$C,MATCH($G117,Mapping!$A:$A,0)),"Uncategorized — Review"))</f>
        <v>Personal — Owner</v>
      </c>
    </row>
    <row r="118" customFormat="false" ht="15" hidden="false" customHeight="false" outlineLevel="0" collapsed="false">
      <c r="A118" s="0" t="str">
        <f aca="false">Chase1168_2025!A118</f>
        <v>DEBIT</v>
      </c>
      <c r="B118" s="14" t="n">
        <f aca="false">Chase1168_2025!B118</f>
        <v>45992</v>
      </c>
      <c r="C118" s="0" t="str">
        <f aca="false">Chase1168_2025!C118</f>
        <v>ORIG CO NAME:SBA EIDL LOAN          ORIG ID:7300000118 DESC DATE:251128 CO ENTRY DESCR:PAYMENT   SEC:CCD    TRACE#:041036042712034 EED:251201   IND ID:0000                         IND NAME:JOHN DUNNING               1871308204                                                                        ACH TRANSACTION TRN: 3352712034TC</v>
      </c>
      <c r="D118" s="7" t="n">
        <f aca="false">Chase1168_2025!D118</f>
        <v>-2524</v>
      </c>
      <c r="E118" s="0" t="str">
        <f aca="false">Chase1168_2025!E118</f>
        <v>ACH_DEBIT</v>
      </c>
      <c r="F118" s="7" t="n">
        <f aca="false">Chase1168_2025!F118</f>
        <v>28002.18</v>
      </c>
      <c r="G118" s="0" t="str">
        <f aca="false">Chase1168_2025!G118</f>
        <v>SBC EIDL Loan</v>
      </c>
      <c r="H118" s="15" t="n">
        <f aca="false">IF($B118="","",DATE(YEAR($B118),MONTH($B118),1))</f>
        <v>45992</v>
      </c>
      <c r="I118" s="0" t="str">
        <f aca="false">IF($G118="","Uncategorized — Review",IFERROR(INDEX(Mapping!$B:$B,MATCH($G118,Mapping!$A:$A,0)),"Uncategorized — Review"))</f>
        <v>SBC EIDL Loan</v>
      </c>
      <c r="J118" s="0" t="str">
        <f aca="false">IF($G118="","Uncategorized — Review",IFERROR(INDEX(Mapping!$C:$C,MATCH($G118,Mapping!$A:$A,0)),"Uncategorized — Review"))</f>
        <v>Credit Card &amp; Loan Payments</v>
      </c>
    </row>
    <row r="119" customFormat="false" ht="15" hidden="false" customHeight="false" outlineLevel="0" collapsed="false">
      <c r="A119" s="0" t="str">
        <f aca="false">Chase1168_2025!A119</f>
        <v>DEBIT</v>
      </c>
      <c r="B119" s="14" t="n">
        <f aca="false">Chase1168_2025!B119</f>
        <v>45992</v>
      </c>
      <c r="C119" s="0" t="str">
        <f aca="false">Chase1168_2025!C119</f>
        <v>WI SPA LOS ANGELES CA                        11/28</v>
      </c>
      <c r="D119" s="7" t="n">
        <f aca="false">Chase1168_2025!D119</f>
        <v>-190</v>
      </c>
      <c r="E119" s="0" t="str">
        <f aca="false">Chase1168_2025!E119</f>
        <v>DEBIT_CARD</v>
      </c>
      <c r="F119" s="7" t="n">
        <f aca="false">Chase1168_2025!F119</f>
        <v>30526.18</v>
      </c>
      <c r="G119" s="0" t="str">
        <f aca="false">Chase1168_2025!G119</f>
        <v>Personal - Health</v>
      </c>
      <c r="H119" s="15" t="n">
        <f aca="false">IF($B119="","",DATE(YEAR($B119),MONTH($B119),1))</f>
        <v>45992</v>
      </c>
      <c r="I119" s="0" t="str">
        <f aca="false">IF($G119="","Uncategorized — Review",IFERROR(INDEX(Mapping!$B:$B,MATCH($G119,Mapping!$A:$A,0)),"Uncategorized — Review"))</f>
        <v>Personal - Health (incl. Ins.)</v>
      </c>
      <c r="J119" s="0" t="str">
        <f aca="false">IF($G119="","Uncategorized — Review",IFERROR(INDEX(Mapping!$C:$C,MATCH($G119,Mapping!$A:$A,0)),"Uncategorized — Review"))</f>
        <v>Personal — Owner</v>
      </c>
    </row>
    <row r="120" customFormat="false" ht="15" hidden="false" customHeight="false" outlineLevel="0" collapsed="false">
      <c r="A120" s="0" t="str">
        <f aca="false">Chase1168_2025!A120</f>
        <v>DEBIT</v>
      </c>
      <c r="B120" s="14" t="n">
        <f aca="false">Chase1168_2025!B120</f>
        <v>45992</v>
      </c>
      <c r="C120" s="0" t="str">
        <f aca="false">Chase1168_2025!C120</f>
        <v>PAYPAL *LINKEDIN 402-935-7733 CA             11/28</v>
      </c>
      <c r="D120" s="7" t="n">
        <f aca="false">Chase1168_2025!D120</f>
        <v>-251.76</v>
      </c>
      <c r="E120" s="0" t="str">
        <f aca="false">Chase1168_2025!E120</f>
        <v>DEBIT_CARD</v>
      </c>
      <c r="F120" s="7" t="n">
        <f aca="false">Chase1168_2025!F120</f>
        <v>30716.18</v>
      </c>
      <c r="G120" s="0" t="str">
        <f aca="false">Chase1168_2025!G120</f>
        <v>DWG HR</v>
      </c>
      <c r="H120" s="15" t="n">
        <f aca="false">IF($B120="","",DATE(YEAR($B120),MONTH($B120),1))</f>
        <v>45992</v>
      </c>
      <c r="I120" s="0" t="str">
        <f aca="false">IF($G120="","Uncategorized — Review",IFERROR(INDEX(Mapping!$B:$B,MATCH($G120,Mapping!$A:$A,0)),"Uncategorized — Review"))</f>
        <v>DWG HR</v>
      </c>
      <c r="J120" s="0" t="str">
        <f aca="false">IF($G120="","Uncategorized — Review",IFERROR(INDEX(Mapping!$C:$C,MATCH($G120,Mapping!$A:$A,0)),"Uncategorized — Review"))</f>
        <v>Payroll &amp; Contractors</v>
      </c>
    </row>
    <row r="121" customFormat="false" ht="15" hidden="false" customHeight="false" outlineLevel="0" collapsed="false">
      <c r="A121" s="0" t="str">
        <f aca="false">Chase1168_2025!A121</f>
        <v>CREDIT</v>
      </c>
      <c r="B121" s="14" t="n">
        <f aca="false">Chase1168_2025!B121</f>
        <v>45992</v>
      </c>
      <c r="C121" s="0" t="str">
        <f aca="false">Chase1168_2025!C121</f>
        <v>Online Transfer from CHK ...9335 transaction#: 27139556362</v>
      </c>
      <c r="D121" s="7" t="n">
        <f aca="false">Chase1168_2025!D121</f>
        <v>10000</v>
      </c>
      <c r="E121" s="0" t="str">
        <f aca="false">Chase1168_2025!E121</f>
        <v>ACCT_XFER</v>
      </c>
      <c r="F121" s="7" t="n">
        <f aca="false">Chase1168_2025!F121</f>
        <v>30967.94</v>
      </c>
      <c r="G121" s="0" t="str">
        <f aca="false">Chase1168_2025!G121</f>
        <v>Poseidon Asset Group (Incoming)</v>
      </c>
      <c r="H121" s="15" t="n">
        <f aca="false">IF($B121="","",DATE(YEAR($B121),MONTH($B121),1))</f>
        <v>45992</v>
      </c>
      <c r="I121" s="0" t="str">
        <f aca="false">IF($G121="","Uncategorized — Review",IFERROR(INDEX(Mapping!$B:$B,MATCH($G121,Mapping!$A:$A,0)),"Uncategorized — Review"))</f>
        <v>Poseidon Asset Group (Incoming)</v>
      </c>
      <c r="J121" s="0" t="str">
        <f aca="false">IF($G121="","Uncategorized — Review",IFERROR(INDEX(Mapping!$C:$C,MATCH($G121,Mapping!$A:$A,0)),"Uncategorized — Review"))</f>
        <v>Poseidon Asset Group</v>
      </c>
    </row>
    <row r="122" customFormat="false" ht="15" hidden="false" customHeight="false" outlineLevel="0" collapsed="false">
      <c r="A122" s="0" t="str">
        <f aca="false">Chase1168_2025!A122</f>
        <v>CREDIT</v>
      </c>
      <c r="B122" s="14" t="n">
        <f aca="false">Chase1168_2025!B122</f>
        <v>45992</v>
      </c>
      <c r="C122" s="0" t="str">
        <f aca="false">Chase1168_2025!C122</f>
        <v>Online Transfer from CHK ...9335 transaction#: 27139532703</v>
      </c>
      <c r="D122" s="7" t="n">
        <f aca="false">Chase1168_2025!D122</f>
        <v>20000</v>
      </c>
      <c r="E122" s="0" t="str">
        <f aca="false">Chase1168_2025!E122</f>
        <v>ACCT_XFER</v>
      </c>
      <c r="F122" s="7" t="n">
        <f aca="false">Chase1168_2025!F122</f>
        <v>20967.94</v>
      </c>
      <c r="G122" s="0" t="str">
        <f aca="false">Chase1168_2025!G122</f>
        <v>Poseidon Asset Group (Incoming)</v>
      </c>
      <c r="H122" s="15" t="n">
        <f aca="false">IF($B122="","",DATE(YEAR($B122),MONTH($B122),1))</f>
        <v>45992</v>
      </c>
      <c r="I122" s="0" t="str">
        <f aca="false">IF($G122="","Uncategorized — Review",IFERROR(INDEX(Mapping!$B:$B,MATCH($G122,Mapping!$A:$A,0)),"Uncategorized — Review"))</f>
        <v>Poseidon Asset Group (Incoming)</v>
      </c>
      <c r="J122" s="0" t="str">
        <f aca="false">IF($G122="","Uncategorized — Review",IFERROR(INDEX(Mapping!$C:$C,MATCH($G122,Mapping!$A:$A,0)),"Uncategorized — Review"))</f>
        <v>Poseidon Asset Group</v>
      </c>
    </row>
    <row r="123" customFormat="false" ht="15" hidden="false" customHeight="false" outlineLevel="0" collapsed="false">
      <c r="A123" s="0" t="str">
        <f aca="false">Chase1168_2025!A123</f>
        <v>DEBIT</v>
      </c>
      <c r="B123" s="14" t="n">
        <f aca="false">Chase1168_2025!B123</f>
        <v>45989</v>
      </c>
      <c r="C123" s="0" t="str">
        <f aca="false">Chase1168_2025!C123</f>
        <v>NON-CHASE ATM FEE-WITH</v>
      </c>
      <c r="D123" s="7" t="n">
        <f aca="false">Chase1168_2025!D123</f>
        <v>-3</v>
      </c>
      <c r="E123" s="0" t="str">
        <f aca="false">Chase1168_2025!E123</f>
        <v>FEE_TRANSACTION</v>
      </c>
      <c r="F123" s="7" t="n">
        <f aca="false">Chase1168_2025!F123</f>
        <v>967.94</v>
      </c>
      <c r="G123" s="0" t="str">
        <f aca="false">Chase1168_2025!G123</f>
        <v>Bank Fees</v>
      </c>
      <c r="H123" s="15" t="n">
        <f aca="false">IF($B123="","",DATE(YEAR($B123),MONTH($B123),1))</f>
        <v>45962</v>
      </c>
      <c r="I123" s="0" t="str">
        <f aca="false">IF($G123="","Uncategorized — Review",IFERROR(INDEX(Mapping!$B:$B,MATCH($G123,Mapping!$A:$A,0)),"Uncategorized — Review"))</f>
        <v>Bank Fees</v>
      </c>
      <c r="J123" s="0" t="str">
        <f aca="false">IF($G123="","Uncategorized — Review",IFERROR(INDEX(Mapping!$C:$C,MATCH($G123,Mapping!$A:$A,0)),"Uncategorized — Review"))</f>
        <v>DWG Operating</v>
      </c>
    </row>
    <row r="124" customFormat="false" ht="15" hidden="false" customHeight="false" outlineLevel="0" collapsed="false">
      <c r="A124" s="0" t="str">
        <f aca="false">Chase1168_2025!A124</f>
        <v>DEBIT</v>
      </c>
      <c r="B124" s="14" t="n">
        <f aca="false">Chase1168_2025!B124</f>
        <v>45989</v>
      </c>
      <c r="C124" s="0" t="str">
        <f aca="false">Chase1168_2025!C124</f>
        <v>CVS/PHARMACY #09 09493 MAR VISTA CA  746968  11/28</v>
      </c>
      <c r="D124" s="7" t="n">
        <f aca="false">Chase1168_2025!D124</f>
        <v>-20.84</v>
      </c>
      <c r="E124" s="0" t="str">
        <f aca="false">Chase1168_2025!E124</f>
        <v>DEBIT_CARD</v>
      </c>
      <c r="F124" s="7" t="n">
        <f aca="false">Chase1168_2025!F124</f>
        <v>970.94</v>
      </c>
      <c r="G124" s="0" t="str">
        <f aca="false">Chase1168_2025!G124</f>
        <v>Personal - Health</v>
      </c>
      <c r="H124" s="15" t="n">
        <f aca="false">IF($B124="","",DATE(YEAR($B124),MONTH($B124),1))</f>
        <v>45962</v>
      </c>
      <c r="I124" s="0" t="str">
        <f aca="false">IF($G124="","Uncategorized — Review",IFERROR(INDEX(Mapping!$B:$B,MATCH($G124,Mapping!$A:$A,0)),"Uncategorized — Review"))</f>
        <v>Personal - Health (incl. Ins.)</v>
      </c>
      <c r="J124" s="0" t="str">
        <f aca="false">IF($G124="","Uncategorized — Review",IFERROR(INDEX(Mapping!$C:$C,MATCH($G124,Mapping!$A:$A,0)),"Uncategorized — Review"))</f>
        <v>Personal — Owner</v>
      </c>
    </row>
    <row r="125" customFormat="false" ht="15" hidden="false" customHeight="false" outlineLevel="0" collapsed="false">
      <c r="A125" s="0" t="str">
        <f aca="false">Chase1168_2025!A125</f>
        <v>DEBIT</v>
      </c>
      <c r="B125" s="14" t="n">
        <f aca="false">Chase1168_2025!B125</f>
        <v>45989</v>
      </c>
      <c r="C125" s="0" t="str">
        <f aca="false">Chase1168_2025!C125</f>
        <v>NON-CHASE ATM WITHDRAW               297801  11/282700 WILS</v>
      </c>
      <c r="D125" s="7" t="n">
        <f aca="false">Chase1168_2025!D125</f>
        <v>-102.95</v>
      </c>
      <c r="E125" s="0" t="str">
        <f aca="false">Chase1168_2025!E125</f>
        <v>ATM</v>
      </c>
      <c r="F125" s="7" t="n">
        <f aca="false">Chase1168_2025!F125</f>
        <v>991.78</v>
      </c>
      <c r="G125" s="0" t="str">
        <f aca="false">Chase1168_2025!G125</f>
        <v>ATM/Cash</v>
      </c>
      <c r="H125" s="15" t="n">
        <f aca="false">IF($B125="","",DATE(YEAR($B125),MONTH($B125),1))</f>
        <v>45962</v>
      </c>
      <c r="I125" s="0" t="str">
        <f aca="false">IF($G125="","Uncategorized — Review",IFERROR(INDEX(Mapping!$B:$B,MATCH($G125,Mapping!$A:$A,0)),"Uncategorized — Review"))</f>
        <v>ATM/Cash</v>
      </c>
      <c r="J125" s="0" t="str">
        <f aca="false">IF($G125="","Uncategorized — Review",IFERROR(INDEX(Mapping!$C:$C,MATCH($G125,Mapping!$A:$A,0)),"Uncategorized — Review"))</f>
        <v>Uncategorized — Review</v>
      </c>
    </row>
    <row r="126" customFormat="false" ht="15" hidden="false" customHeight="false" outlineLevel="0" collapsed="false">
      <c r="A126" s="0" t="str">
        <f aca="false">Chase1168_2025!A126</f>
        <v>DEBIT</v>
      </c>
      <c r="B126" s="14" t="n">
        <f aca="false">Chase1168_2025!B126</f>
        <v>45989</v>
      </c>
      <c r="C126" s="0" t="str">
        <f aca="false">Chase1168_2025!C126</f>
        <v>ORIG CO NAME:BANNER LIFE            ORIG ID:1521236145 DESC DATE:251127 CO ENTRY DESCR:PREM DEBITSEC:PPD    TRACE#:091000017979429 EED:251128   IND ID:                             IND NAME:ANGELA L DUNNING TRN: 3327979429TC</v>
      </c>
      <c r="D126" s="7" t="n">
        <f aca="false">Chase1168_2025!D126</f>
        <v>-12.5</v>
      </c>
      <c r="E126" s="0" t="str">
        <f aca="false">Chase1168_2025!E126</f>
        <v>ACH_DEBIT</v>
      </c>
      <c r="F126" s="7" t="n">
        <f aca="false">Chase1168_2025!F126</f>
        <v>1094.73</v>
      </c>
      <c r="G126" s="0" t="str">
        <f aca="false">Chase1168_2025!G126</f>
        <v>Personal - Life Insurance</v>
      </c>
      <c r="H126" s="15" t="n">
        <f aca="false">IF($B126="","",DATE(YEAR($B126),MONTH($B126),1))</f>
        <v>45962</v>
      </c>
      <c r="I126" s="0" t="str">
        <f aca="false">IF($G126="","Uncategorized — Review",IFERROR(INDEX(Mapping!$B:$B,MATCH($G126,Mapping!$A:$A,0)),"Uncategorized — Review"))</f>
        <v>Personal - Life Insurance</v>
      </c>
      <c r="J126" s="0" t="str">
        <f aca="false">IF($G126="","Uncategorized — Review",IFERROR(INDEX(Mapping!$C:$C,MATCH($G126,Mapping!$A:$A,0)),"Uncategorized — Review"))</f>
        <v>Personal — Owner</v>
      </c>
    </row>
    <row r="127" customFormat="false" ht="15" hidden="false" customHeight="false" outlineLevel="0" collapsed="false">
      <c r="A127" s="0" t="str">
        <f aca="false">Chase1168_2025!A127</f>
        <v>DEBIT</v>
      </c>
      <c r="B127" s="14" t="n">
        <f aca="false">Chase1168_2025!B127</f>
        <v>45989</v>
      </c>
      <c r="C127" s="0" t="str">
        <f aca="false">Chase1168_2025!C127</f>
        <v>ORIG CO NAME:BANNER LIFE            ORIG ID:1521236145 DESC DATE:251127 CO ENTRY DESCR:PREM DEBITSEC:PPD    TRACE#:091000017979430 EED:251128   IND ID:                             IND NAME:JOHN  DUNNING TRN: 3327979430TC</v>
      </c>
      <c r="D127" s="7" t="n">
        <f aca="false">Chase1168_2025!D127</f>
        <v>-22.92</v>
      </c>
      <c r="E127" s="0" t="str">
        <f aca="false">Chase1168_2025!E127</f>
        <v>ACH_DEBIT</v>
      </c>
      <c r="F127" s="7" t="n">
        <f aca="false">Chase1168_2025!F127</f>
        <v>1107.23</v>
      </c>
      <c r="G127" s="0" t="str">
        <f aca="false">Chase1168_2025!G127</f>
        <v>Personal - Life Insurance</v>
      </c>
      <c r="H127" s="15" t="n">
        <f aca="false">IF($B127="","",DATE(YEAR($B127),MONTH($B127),1))</f>
        <v>45962</v>
      </c>
      <c r="I127" s="0" t="str">
        <f aca="false">IF($G127="","Uncategorized — Review",IFERROR(INDEX(Mapping!$B:$B,MATCH($G127,Mapping!$A:$A,0)),"Uncategorized — Review"))</f>
        <v>Personal - Life Insurance</v>
      </c>
      <c r="J127" s="0" t="str">
        <f aca="false">IF($G127="","Uncategorized — Review",IFERROR(INDEX(Mapping!$C:$C,MATCH($G127,Mapping!$A:$A,0)),"Uncategorized — Review"))</f>
        <v>Personal — Owner</v>
      </c>
    </row>
    <row r="128" customFormat="false" ht="15" hidden="false" customHeight="false" outlineLevel="0" collapsed="false">
      <c r="A128" s="0" t="str">
        <f aca="false">Chase1168_2025!A128</f>
        <v>DEBIT</v>
      </c>
      <c r="B128" s="14" t="n">
        <f aca="false">Chase1168_2025!B128</f>
        <v>45989</v>
      </c>
      <c r="C128" s="0" t="str">
        <f aca="false">Chase1168_2025!C128</f>
        <v>ORIG CO NAME:INTUIT *               ORIG ID:0000756346 DESC DATE:251127 CO ENTRY DESCR:QBooks OnlSEC:CCD    TRACE#:021000027160543 EED:251128   IND ID:8598978                      IND NAME:DWG CAPITAL GROUP                                                                                            800-446-8848 TRN: 3327160543TC</v>
      </c>
      <c r="D128" s="7" t="n">
        <f aca="false">Chase1168_2025!D128</f>
        <v>-121.21</v>
      </c>
      <c r="E128" s="0" t="str">
        <f aca="false">Chase1168_2025!E128</f>
        <v>ACH_DEBIT</v>
      </c>
      <c r="F128" s="7" t="n">
        <f aca="false">Chase1168_2025!F128</f>
        <v>1130.15</v>
      </c>
      <c r="G128" s="0" t="str">
        <f aca="false">Chase1168_2025!G128</f>
        <v>Software/Accounting</v>
      </c>
      <c r="H128" s="15" t="n">
        <f aca="false">IF($B128="","",DATE(YEAR($B128),MONTH($B128),1))</f>
        <v>45962</v>
      </c>
      <c r="I128" s="0" t="str">
        <f aca="false">IF($G128="","Uncategorized — Review",IFERROR(INDEX(Mapping!$B:$B,MATCH($G128,Mapping!$A:$A,0)),"Uncategorized — Review"))</f>
        <v>Software/Accounting</v>
      </c>
      <c r="J128" s="0" t="str">
        <f aca="false">IF($G128="","Uncategorized — Review",IFERROR(INDEX(Mapping!$C:$C,MATCH($G128,Mapping!$A:$A,0)),"Uncategorized — Review"))</f>
        <v>DWG Operating</v>
      </c>
    </row>
    <row r="129" customFormat="false" ht="15" hidden="false" customHeight="false" outlineLevel="0" collapsed="false">
      <c r="A129" s="0" t="str">
        <f aca="false">Chase1168_2025!A129</f>
        <v>DEBIT</v>
      </c>
      <c r="B129" s="14" t="n">
        <f aca="false">Chase1168_2025!B129</f>
        <v>45989</v>
      </c>
      <c r="C129" s="0" t="str">
        <f aca="false">Chase1168_2025!C129</f>
        <v>PAYPAL *GRUBHUBFOOD T 877-585-7878 IL        11/28</v>
      </c>
      <c r="D129" s="7" t="n">
        <f aca="false">Chase1168_2025!D129</f>
        <v>-203.09</v>
      </c>
      <c r="E129" s="0" t="str">
        <f aca="false">Chase1168_2025!E129</f>
        <v>DEBIT_CARD</v>
      </c>
      <c r="F129" s="7" t="n">
        <f aca="false">Chase1168_2025!F129</f>
        <v>1251.36</v>
      </c>
      <c r="G129" s="0" t="str">
        <f aca="false">Chase1168_2025!G129</f>
        <v>Personal - Food</v>
      </c>
      <c r="H129" s="15" t="n">
        <f aca="false">IF($B129="","",DATE(YEAR($B129),MONTH($B129),1))</f>
        <v>45962</v>
      </c>
      <c r="I129" s="0" t="str">
        <f aca="false">IF($G129="","Uncategorized — Review",IFERROR(INDEX(Mapping!$B:$B,MATCH($G129,Mapping!$A:$A,0)),"Uncategorized — Review"))</f>
        <v>Personal - Food &amp; Dining</v>
      </c>
      <c r="J129" s="0" t="str">
        <f aca="false">IF($G129="","Uncategorized — Review",IFERROR(INDEX(Mapping!$C:$C,MATCH($G129,Mapping!$A:$A,0)),"Uncategorized — Review"))</f>
        <v>Personal — Owner</v>
      </c>
    </row>
    <row r="130" customFormat="false" ht="15" hidden="false" customHeight="false" outlineLevel="0" collapsed="false">
      <c r="A130" s="0" t="str">
        <f aca="false">Chase1168_2025!A130</f>
        <v>DEBIT</v>
      </c>
      <c r="B130" s="14" t="n">
        <f aca="false">Chase1168_2025!B130</f>
        <v>45989</v>
      </c>
      <c r="C130" s="0" t="str">
        <f aca="false">Chase1168_2025!C130</f>
        <v>PP*APPLE.COM/BILL 800-275-2273 CA            11/27</v>
      </c>
      <c r="D130" s="7" t="n">
        <f aca="false">Chase1168_2025!D130</f>
        <v>-18.49</v>
      </c>
      <c r="E130" s="0" t="str">
        <f aca="false">Chase1168_2025!E130</f>
        <v>DEBIT_CARD</v>
      </c>
      <c r="F130" s="7" t="n">
        <f aca="false">Chase1168_2025!F130</f>
        <v>1454.45</v>
      </c>
      <c r="G130" s="0" t="str">
        <f aca="false">Chase1168_2025!G130</f>
        <v>Personal - Subscriptions</v>
      </c>
      <c r="H130" s="15" t="n">
        <f aca="false">IF($B130="","",DATE(YEAR($B130),MONTH($B130),1))</f>
        <v>45962</v>
      </c>
      <c r="I130" s="0" t="str">
        <f aca="false">IF($G130="","Uncategorized — Review",IFERROR(INDEX(Mapping!$B:$B,MATCH($G130,Mapping!$A:$A,0)),"Uncategorized — Review"))</f>
        <v>Personal - Subscriptions</v>
      </c>
      <c r="J130" s="0" t="str">
        <f aca="false">IF($G130="","Uncategorized — Review",IFERROR(INDEX(Mapping!$C:$C,MATCH($G130,Mapping!$A:$A,0)),"Uncategorized — Review"))</f>
        <v>Personal — Owner</v>
      </c>
    </row>
    <row r="131" customFormat="false" ht="15" hidden="false" customHeight="false" outlineLevel="0" collapsed="false">
      <c r="A131" s="0" t="str">
        <f aca="false">Chase1168_2025!A131</f>
        <v>DEBIT</v>
      </c>
      <c r="B131" s="14" t="n">
        <f aca="false">Chase1168_2025!B131</f>
        <v>45989</v>
      </c>
      <c r="C131" s="0" t="str">
        <f aca="false">Chase1168_2025!C131</f>
        <v>PP*APPLE.COM/BILL 800-275-2273 CA            11/26</v>
      </c>
      <c r="D131" s="7" t="n">
        <f aca="false">Chase1168_2025!D131</f>
        <v>-9.99</v>
      </c>
      <c r="E131" s="0" t="str">
        <f aca="false">Chase1168_2025!E131</f>
        <v>DEBIT_CARD</v>
      </c>
      <c r="F131" s="7" t="n">
        <f aca="false">Chase1168_2025!F131</f>
        <v>1472.94</v>
      </c>
      <c r="G131" s="0" t="str">
        <f aca="false">Chase1168_2025!G131</f>
        <v>Personal - Subscriptions</v>
      </c>
      <c r="H131" s="15" t="n">
        <f aca="false">IF($B131="","",DATE(YEAR($B131),MONTH($B131),1))</f>
        <v>45962</v>
      </c>
      <c r="I131" s="0" t="str">
        <f aca="false">IF($G131="","Uncategorized — Review",IFERROR(INDEX(Mapping!$B:$B,MATCH($G131,Mapping!$A:$A,0)),"Uncategorized — Review"))</f>
        <v>Personal - Subscriptions</v>
      </c>
      <c r="J131" s="0" t="str">
        <f aca="false">IF($G131="","Uncategorized — Review",IFERROR(INDEX(Mapping!$C:$C,MATCH($G131,Mapping!$A:$A,0)),"Uncategorized — Review"))</f>
        <v>Personal — Owner</v>
      </c>
    </row>
    <row r="132" customFormat="false" ht="15" hidden="false" customHeight="false" outlineLevel="0" collapsed="false">
      <c r="A132" s="0" t="str">
        <f aca="false">Chase1168_2025!A132</f>
        <v>DEBIT</v>
      </c>
      <c r="B132" s="14" t="n">
        <f aca="false">Chase1168_2025!B132</f>
        <v>45989</v>
      </c>
      <c r="C132" s="0" t="str">
        <f aca="false">Chase1168_2025!C132</f>
        <v>PP*CONSUMRRPTS 800-333-0663 NY               11/26</v>
      </c>
      <c r="D132" s="7" t="n">
        <f aca="false">Chase1168_2025!D132</f>
        <v>-39</v>
      </c>
      <c r="E132" s="0" t="str">
        <f aca="false">Chase1168_2025!E132</f>
        <v>DEBIT_CARD</v>
      </c>
      <c r="F132" s="7" t="n">
        <f aca="false">Chase1168_2025!F132</f>
        <v>1482.93</v>
      </c>
      <c r="G132" s="0" t="str">
        <f aca="false">Chase1168_2025!G132</f>
        <v>Personal - Subscriptions</v>
      </c>
      <c r="H132" s="15" t="n">
        <f aca="false">IF($B132="","",DATE(YEAR($B132),MONTH($B132),1))</f>
        <v>45962</v>
      </c>
      <c r="I132" s="0" t="str">
        <f aca="false">IF($G132="","Uncategorized — Review",IFERROR(INDEX(Mapping!$B:$B,MATCH($G132,Mapping!$A:$A,0)),"Uncategorized — Review"))</f>
        <v>Personal - Subscriptions</v>
      </c>
      <c r="J132" s="0" t="str">
        <f aca="false">IF($G132="","Uncategorized — Review",IFERROR(INDEX(Mapping!$C:$C,MATCH($G132,Mapping!$A:$A,0)),"Uncategorized — Review"))</f>
        <v>Personal — Owner</v>
      </c>
    </row>
    <row r="133" customFormat="false" ht="15" hidden="false" customHeight="false" outlineLevel="0" collapsed="false">
      <c r="A133" s="0" t="str">
        <f aca="false">Chase1168_2025!A133</f>
        <v>DEBIT</v>
      </c>
      <c r="B133" s="14" t="n">
        <f aca="false">Chase1168_2025!B133</f>
        <v>45989</v>
      </c>
      <c r="C133" s="0" t="str">
        <f aca="false">Chase1168_2025!C133</f>
        <v>PAYPAL *GRUBHUBFOOD L 877-585-7878 IL        11/27</v>
      </c>
      <c r="D133" s="7" t="n">
        <f aca="false">Chase1168_2025!D133</f>
        <v>-36.54</v>
      </c>
      <c r="E133" s="0" t="str">
        <f aca="false">Chase1168_2025!E133</f>
        <v>DEBIT_CARD</v>
      </c>
      <c r="F133" s="7" t="n">
        <f aca="false">Chase1168_2025!F133</f>
        <v>1521.93</v>
      </c>
      <c r="G133" s="0" t="str">
        <f aca="false">Chase1168_2025!G133</f>
        <v>Personal - Food</v>
      </c>
      <c r="H133" s="15" t="n">
        <f aca="false">IF($B133="","",DATE(YEAR($B133),MONTH($B133),1))</f>
        <v>45962</v>
      </c>
      <c r="I133" s="0" t="str">
        <f aca="false">IF($G133="","Uncategorized — Review",IFERROR(INDEX(Mapping!$B:$B,MATCH($G133,Mapping!$A:$A,0)),"Uncategorized — Review"))</f>
        <v>Personal - Food &amp; Dining</v>
      </c>
      <c r="J133" s="0" t="str">
        <f aca="false">IF($G133="","Uncategorized — Review",IFERROR(INDEX(Mapping!$C:$C,MATCH($G133,Mapping!$A:$A,0)),"Uncategorized — Review"))</f>
        <v>Personal — Owner</v>
      </c>
    </row>
    <row r="134" customFormat="false" ht="15" hidden="false" customHeight="false" outlineLevel="0" collapsed="false">
      <c r="A134" s="0" t="str">
        <f aca="false">Chase1168_2025!A134</f>
        <v>DEBIT</v>
      </c>
      <c r="B134" s="14" t="n">
        <f aca="false">Chase1168_2025!B134</f>
        <v>45987</v>
      </c>
      <c r="C134" s="0" t="str">
        <f aca="false">Chase1168_2025!C134</f>
        <v>Disney Plus 888-9057888 CA                   11/26</v>
      </c>
      <c r="D134" s="7" t="n">
        <f aca="false">Chase1168_2025!D134</f>
        <v>-20.51</v>
      </c>
      <c r="E134" s="0" t="str">
        <f aca="false">Chase1168_2025!E134</f>
        <v>DEBIT_CARD</v>
      </c>
      <c r="F134" s="7" t="n">
        <f aca="false">Chase1168_2025!F134</f>
        <v>1558.47</v>
      </c>
      <c r="G134" s="0" t="str">
        <f aca="false">Chase1168_2025!G134</f>
        <v>Personal - Subscriptions</v>
      </c>
      <c r="H134" s="15" t="n">
        <f aca="false">IF($B134="","",DATE(YEAR($B134),MONTH($B134),1))</f>
        <v>45962</v>
      </c>
      <c r="I134" s="0" t="str">
        <f aca="false">IF($G134="","Uncategorized — Review",IFERROR(INDEX(Mapping!$B:$B,MATCH($G134,Mapping!$A:$A,0)),"Uncategorized — Review"))</f>
        <v>Personal - Subscriptions</v>
      </c>
      <c r="J134" s="0" t="str">
        <f aca="false">IF($G134="","Uncategorized — Review",IFERROR(INDEX(Mapping!$C:$C,MATCH($G134,Mapping!$A:$A,0)),"Uncategorized — Review"))</f>
        <v>Personal — Owner</v>
      </c>
    </row>
    <row r="135" customFormat="false" ht="15" hidden="false" customHeight="false" outlineLevel="0" collapsed="false">
      <c r="A135" s="0" t="str">
        <f aca="false">Chase1168_2025!A135</f>
        <v>DEBIT</v>
      </c>
      <c r="B135" s="14" t="n">
        <f aca="false">Chase1168_2025!B135</f>
        <v>45987</v>
      </c>
      <c r="C135" s="0" t="str">
        <f aca="false">Chase1168_2025!C135</f>
        <v>Zelle payment to Rosie Vazquez JPM99bw16t5s</v>
      </c>
      <c r="D135" s="7" t="n">
        <f aca="false">Chase1168_2025!D135</f>
        <v>-60</v>
      </c>
      <c r="E135" s="0" t="str">
        <f aca="false">Chase1168_2025!E135</f>
        <v>CHASE_TO_PARTNERFI</v>
      </c>
      <c r="F135" s="7" t="n">
        <f aca="false">Chase1168_2025!F135</f>
        <v>1578.98</v>
      </c>
      <c r="G135" s="0" t="str">
        <f aca="false">Chase1168_2025!G135</f>
        <v>Zelle/P2P</v>
      </c>
      <c r="H135" s="15" t="n">
        <f aca="false">IF($B135="","",DATE(YEAR($B135),MONTH($B135),1))</f>
        <v>45962</v>
      </c>
      <c r="I135" s="0" t="str">
        <f aca="false">IF($G135="","Uncategorized — Review",IFERROR(INDEX(Mapping!$B:$B,MATCH($G135,Mapping!$A:$A,0)),"Uncategorized — Review"))</f>
        <v>Zelle/P2P</v>
      </c>
      <c r="J135" s="0" t="str">
        <f aca="false">IF($G135="","Uncategorized — Review",IFERROR(INDEX(Mapping!$C:$C,MATCH($G135,Mapping!$A:$A,0)),"Uncategorized — Review"))</f>
        <v>P2P Payments (Zelle/Venmo/PayPal)</v>
      </c>
    </row>
    <row r="136" customFormat="false" ht="15" hidden="false" customHeight="false" outlineLevel="0" collapsed="false">
      <c r="A136" s="0" t="str">
        <f aca="false">Chase1168_2025!A136</f>
        <v>DEBIT</v>
      </c>
      <c r="B136" s="14" t="n">
        <f aca="false">Chase1168_2025!B136</f>
        <v>45987</v>
      </c>
      <c r="C136" s="0" t="str">
        <f aca="false">Chase1168_2025!C136</f>
        <v>PAYPAL *EPOCH TIMES T 833-699-1888 NY        11/25</v>
      </c>
      <c r="D136" s="7" t="n">
        <f aca="false">Chase1168_2025!D136</f>
        <v>-16</v>
      </c>
      <c r="E136" s="0" t="str">
        <f aca="false">Chase1168_2025!E136</f>
        <v>DEBIT_CARD</v>
      </c>
      <c r="F136" s="7" t="n">
        <f aca="false">Chase1168_2025!F136</f>
        <v>1638.98</v>
      </c>
      <c r="G136" s="0" t="str">
        <f aca="false">Chase1168_2025!G136</f>
        <v>Personal - Subscriptions</v>
      </c>
      <c r="H136" s="15" t="n">
        <f aca="false">IF($B136="","",DATE(YEAR($B136),MONTH($B136),1))</f>
        <v>45962</v>
      </c>
      <c r="I136" s="0" t="str">
        <f aca="false">IF($G136="","Uncategorized — Review",IFERROR(INDEX(Mapping!$B:$B,MATCH($G136,Mapping!$A:$A,0)),"Uncategorized — Review"))</f>
        <v>Personal - Subscriptions</v>
      </c>
      <c r="J136" s="0" t="str">
        <f aca="false">IF($G136="","Uncategorized — Review",IFERROR(INDEX(Mapping!$C:$C,MATCH($G136,Mapping!$A:$A,0)),"Uncategorized — Review"))</f>
        <v>Personal — Owner</v>
      </c>
    </row>
    <row r="137" customFormat="false" ht="15" hidden="false" customHeight="false" outlineLevel="0" collapsed="false">
      <c r="A137" s="0" t="str">
        <f aca="false">Chase1168_2025!A137</f>
        <v>DEBIT</v>
      </c>
      <c r="B137" s="14" t="n">
        <f aca="false">Chase1168_2025!B137</f>
        <v>45986</v>
      </c>
      <c r="C137" s="0" t="str">
        <f aca="false">Chase1168_2025!C137</f>
        <v>ORIG CO NAME:VENMO                  ORIG ID:3264681992 DESC DATE:251125 CO ENTRY DESCR:PAYMENT   SEC:WEB    TRACE#:021000027507829 EED:251125   IND ID:1046452214277                IND NAME:JUDD DUNNING                                                                                                 251125PPZJAC TRN: 3297507829TC</v>
      </c>
      <c r="D137" s="7" t="n">
        <f aca="false">Chase1168_2025!D137</f>
        <v>-1000</v>
      </c>
      <c r="E137" s="0" t="str">
        <f aca="false">Chase1168_2025!E137</f>
        <v>ACH_DEBIT</v>
      </c>
      <c r="F137" s="7" t="n">
        <f aca="false">Chase1168_2025!F137</f>
        <v>1654.98</v>
      </c>
      <c r="G137" s="0" t="str">
        <f aca="false">Chase1168_2025!G137</f>
        <v>Venmo</v>
      </c>
      <c r="H137" s="15" t="n">
        <f aca="false">IF($B137="","",DATE(YEAR($B137),MONTH($B137),1))</f>
        <v>45962</v>
      </c>
      <c r="I137" s="0" t="str">
        <f aca="false">IF($G137="","Uncategorized — Review",IFERROR(INDEX(Mapping!$B:$B,MATCH($G137,Mapping!$A:$A,0)),"Uncategorized — Review"))</f>
        <v>Venmo</v>
      </c>
      <c r="J137" s="0" t="str">
        <f aca="false">IF($G137="","Uncategorized — Review",IFERROR(INDEX(Mapping!$C:$C,MATCH($G137,Mapping!$A:$A,0)),"Uncategorized — Review"))</f>
        <v>P2P Payments (Zelle/Venmo/PayPal)</v>
      </c>
    </row>
    <row r="138" customFormat="false" ht="15" hidden="false" customHeight="false" outlineLevel="0" collapsed="false">
      <c r="A138" s="0" t="str">
        <f aca="false">Chase1168_2025!A138</f>
        <v>DEBIT</v>
      </c>
      <c r="B138" s="14" t="n">
        <f aca="false">Chase1168_2025!B138</f>
        <v>45986</v>
      </c>
      <c r="C138" s="0" t="str">
        <f aca="false">Chase1168_2025!C138</f>
        <v>Zelle payment to Jeffrey Seider JPM99bw0z6q5</v>
      </c>
      <c r="D138" s="7" t="n">
        <f aca="false">Chase1168_2025!D138</f>
        <v>-150</v>
      </c>
      <c r="E138" s="0" t="str">
        <f aca="false">Chase1168_2025!E138</f>
        <v>CHASE_TO_PARTNERFI</v>
      </c>
      <c r="F138" s="7" t="n">
        <f aca="false">Chase1168_2025!F138</f>
        <v>2654.98</v>
      </c>
      <c r="G138" s="0" t="str">
        <f aca="false">Chase1168_2025!G138</f>
        <v>Zelle - Jeff Seider</v>
      </c>
      <c r="H138" s="15" t="n">
        <f aca="false">IF($B138="","",DATE(YEAR($B138),MONTH($B138),1))</f>
        <v>45962</v>
      </c>
      <c r="I138" s="0" t="str">
        <f aca="false">IF($G138="","Uncategorized — Review",IFERROR(INDEX(Mapping!$B:$B,MATCH($G138,Mapping!$A:$A,0)),"Uncategorized — Review"))</f>
        <v>Zelle - Jeff Seider</v>
      </c>
      <c r="J138" s="0" t="str">
        <f aca="false">IF($G138="","Uncategorized — Review",IFERROR(INDEX(Mapping!$C:$C,MATCH($G138,Mapping!$A:$A,0)),"Uncategorized — Review"))</f>
        <v>P2P Payments (Zelle/Venmo/PayPal)</v>
      </c>
    </row>
    <row r="139" customFormat="false" ht="15" hidden="false" customHeight="false" outlineLevel="0" collapsed="false">
      <c r="A139" s="0" t="str">
        <f aca="false">Chase1168_2025!A139</f>
        <v>DEBIT</v>
      </c>
      <c r="B139" s="14" t="n">
        <f aca="false">Chase1168_2025!B139</f>
        <v>45986</v>
      </c>
      <c r="C139" s="0" t="str">
        <f aca="false">Chase1168_2025!C139</f>
        <v>Zelle payment to Jeff Fajardo JPM99bw0yayv</v>
      </c>
      <c r="D139" s="7" t="n">
        <f aca="false">Chase1168_2025!D139</f>
        <v>-200</v>
      </c>
      <c r="E139" s="0" t="str">
        <f aca="false">Chase1168_2025!E139</f>
        <v>CHASE_TO_PARTNERFI</v>
      </c>
      <c r="F139" s="7" t="n">
        <f aca="false">Chase1168_2025!F139</f>
        <v>2804.98</v>
      </c>
      <c r="G139" s="0" t="str">
        <f aca="false">Chase1168_2025!G139</f>
        <v>Zelle - Jeff Fajardo</v>
      </c>
      <c r="H139" s="15" t="n">
        <f aca="false">IF($B139="","",DATE(YEAR($B139),MONTH($B139),1))</f>
        <v>45962</v>
      </c>
      <c r="I139" s="0" t="str">
        <f aca="false">IF($G139="","Uncategorized — Review",IFERROR(INDEX(Mapping!$B:$B,MATCH($G139,Mapping!$A:$A,0)),"Uncategorized — Review"))</f>
        <v>Zelle - Jeff Fajardo</v>
      </c>
      <c r="J139" s="0" t="str">
        <f aca="false">IF($G139="","Uncategorized — Review",IFERROR(INDEX(Mapping!$C:$C,MATCH($G139,Mapping!$A:$A,0)),"Uncategorized — Review"))</f>
        <v>P2P Payments (Zelle/Venmo/PayPal)</v>
      </c>
    </row>
    <row r="140" customFormat="false" ht="15" hidden="false" customHeight="false" outlineLevel="0" collapsed="false">
      <c r="A140" s="0" t="str">
        <f aca="false">Chase1168_2025!A140</f>
        <v>DEBIT</v>
      </c>
      <c r="B140" s="14" t="n">
        <f aca="false">Chase1168_2025!B140</f>
        <v>45986</v>
      </c>
      <c r="C140" s="0" t="str">
        <f aca="false">Chase1168_2025!C140</f>
        <v>PAYPAL *CANVA 416-131-8870 DE                11/25</v>
      </c>
      <c r="D140" s="7" t="n">
        <f aca="false">Chase1168_2025!D140</f>
        <v>-12.99</v>
      </c>
      <c r="E140" s="0" t="str">
        <f aca="false">Chase1168_2025!E140</f>
        <v>DEBIT_CARD</v>
      </c>
      <c r="F140" s="7" t="n">
        <f aca="false">Chase1168_2025!F140</f>
        <v>3004.98</v>
      </c>
      <c r="G140" s="0" t="str">
        <f aca="false">Chase1168_2025!G140</f>
        <v>DWG Marketing</v>
      </c>
      <c r="H140" s="15" t="n">
        <f aca="false">IF($B140="","",DATE(YEAR($B140),MONTH($B140),1))</f>
        <v>45962</v>
      </c>
      <c r="I140" s="0" t="str">
        <f aca="false">IF($G140="","Uncategorized — Review",IFERROR(INDEX(Mapping!$B:$B,MATCH($G140,Mapping!$A:$A,0)),"Uncategorized — Review"))</f>
        <v>DWG Marketing</v>
      </c>
      <c r="J140" s="0" t="str">
        <f aca="false">IF($G140="","Uncategorized — Review",IFERROR(INDEX(Mapping!$C:$C,MATCH($G140,Mapping!$A:$A,0)),"Uncategorized — Review"))</f>
        <v>DWG Operating</v>
      </c>
    </row>
    <row r="141" customFormat="false" ht="15" hidden="false" customHeight="false" outlineLevel="0" collapsed="false">
      <c r="A141" s="0" t="str">
        <f aca="false">Chase1168_2025!A141</f>
        <v>DEBIT</v>
      </c>
      <c r="B141" s="14" t="n">
        <f aca="false">Chase1168_2025!B141</f>
        <v>45986</v>
      </c>
      <c r="C141" s="0" t="str">
        <f aca="false">Chase1168_2025!C141</f>
        <v>UPWORK * -868532179 866-262-4478 CA          11/24</v>
      </c>
      <c r="D141" s="7" t="n">
        <f aca="false">Chase1168_2025!D141</f>
        <v>-227.5</v>
      </c>
      <c r="E141" s="0" t="str">
        <f aca="false">Chase1168_2025!E141</f>
        <v>DEBIT_CARD</v>
      </c>
      <c r="F141" s="7" t="n">
        <f aca="false">Chase1168_2025!F141</f>
        <v>3017.97</v>
      </c>
      <c r="G141" s="0" t="str">
        <f aca="false">Chase1168_2025!G141</f>
        <v>Upwork - Sergei M.</v>
      </c>
      <c r="H141" s="15" t="n">
        <f aca="false">IF($B141="","",DATE(YEAR($B141),MONTH($B141),1))</f>
        <v>45962</v>
      </c>
      <c r="I141" s="0" t="str">
        <f aca="false">IF($G141="","Uncategorized — Review",IFERROR(INDEX(Mapping!$B:$B,MATCH($G141,Mapping!$A:$A,0)),"Uncategorized — Review"))</f>
        <v>Upwork - Sergei M.</v>
      </c>
      <c r="J141" s="0" t="str">
        <f aca="false">IF($G141="","Uncategorized — Review",IFERROR(INDEX(Mapping!$C:$C,MATCH($G141,Mapping!$A:$A,0)),"Uncategorized — Review"))</f>
        <v>Payroll &amp; Contractors</v>
      </c>
    </row>
    <row r="142" customFormat="false" ht="15" hidden="false" customHeight="false" outlineLevel="0" collapsed="false">
      <c r="A142" s="0" t="str">
        <f aca="false">Chase1168_2025!A142</f>
        <v>DEBIT</v>
      </c>
      <c r="B142" s="14" t="n">
        <f aca="false">Chase1168_2025!B142</f>
        <v>45986</v>
      </c>
      <c r="C142" s="0" t="str">
        <f aca="false">Chase1168_2025!C142</f>
        <v>PP*APPLE.COM/BILL 800-275-2273 CA            11/24</v>
      </c>
      <c r="D142" s="7" t="n">
        <f aca="false">Chase1168_2025!D142</f>
        <v>-250</v>
      </c>
      <c r="E142" s="0" t="str">
        <f aca="false">Chase1168_2025!E142</f>
        <v>DEBIT_CARD</v>
      </c>
      <c r="F142" s="7" t="n">
        <f aca="false">Chase1168_2025!F142</f>
        <v>3245.47</v>
      </c>
      <c r="G142" s="0" t="str">
        <f aca="false">Chase1168_2025!G142</f>
        <v>Personal - Subscriptions</v>
      </c>
      <c r="H142" s="15" t="n">
        <f aca="false">IF($B142="","",DATE(YEAR($B142),MONTH($B142),1))</f>
        <v>45962</v>
      </c>
      <c r="I142" s="0" t="str">
        <f aca="false">IF($G142="","Uncategorized — Review",IFERROR(INDEX(Mapping!$B:$B,MATCH($G142,Mapping!$A:$A,0)),"Uncategorized — Review"))</f>
        <v>Personal - Subscriptions</v>
      </c>
      <c r="J142" s="0" t="str">
        <f aca="false">IF($G142="","Uncategorized — Review",IFERROR(INDEX(Mapping!$C:$C,MATCH($G142,Mapping!$A:$A,0)),"Uncategorized — Review"))</f>
        <v>Personal — Owner</v>
      </c>
    </row>
    <row r="143" customFormat="false" ht="15" hidden="false" customHeight="false" outlineLevel="0" collapsed="false">
      <c r="A143" s="0" t="str">
        <f aca="false">Chase1168_2025!A143</f>
        <v>DEBIT</v>
      </c>
      <c r="B143" s="14" t="n">
        <f aca="false">Chase1168_2025!B143</f>
        <v>45985</v>
      </c>
      <c r="C143" s="0" t="str">
        <f aca="false">Chase1168_2025!C143</f>
        <v>ORIG CO NAME:VENMO                  ORIG ID:3264681992 DESC DATE:251124 CO ENTRY DESCR:PAYMENT   SEC:WEB    TRACE#:021000024770992 EED:251124   IND ID:1046413761762                IND NAME:JUDD DUNNING                                                                                                 251124PPZZL9 TRN: 3284770992TC</v>
      </c>
      <c r="D143" s="7" t="n">
        <f aca="false">Chase1168_2025!D143</f>
        <v>-50</v>
      </c>
      <c r="E143" s="0" t="str">
        <f aca="false">Chase1168_2025!E143</f>
        <v>ACH_DEBIT</v>
      </c>
      <c r="F143" s="7" t="n">
        <f aca="false">Chase1168_2025!F143</f>
        <v>3495.47</v>
      </c>
      <c r="G143" s="0" t="str">
        <f aca="false">Chase1168_2025!G143</f>
        <v>Venmo</v>
      </c>
      <c r="H143" s="15" t="n">
        <f aca="false">IF($B143="","",DATE(YEAR($B143),MONTH($B143),1))</f>
        <v>45962</v>
      </c>
      <c r="I143" s="0" t="str">
        <f aca="false">IF($G143="","Uncategorized — Review",IFERROR(INDEX(Mapping!$B:$B,MATCH($G143,Mapping!$A:$A,0)),"Uncategorized — Review"))</f>
        <v>Venmo</v>
      </c>
      <c r="J143" s="0" t="str">
        <f aca="false">IF($G143="","Uncategorized — Review",IFERROR(INDEX(Mapping!$C:$C,MATCH($G143,Mapping!$A:$A,0)),"Uncategorized — Review"))</f>
        <v>P2P Payments (Zelle/Venmo/PayPal)</v>
      </c>
    </row>
    <row r="144" customFormat="false" ht="15" hidden="false" customHeight="false" outlineLevel="0" collapsed="false">
      <c r="A144" s="0" t="str">
        <f aca="false">Chase1168_2025!A144</f>
        <v>DEBIT</v>
      </c>
      <c r="B144" s="14" t="n">
        <f aca="false">Chase1168_2025!B144</f>
        <v>45985</v>
      </c>
      <c r="C144" s="0" t="str">
        <f aca="false">Chase1168_2025!C144</f>
        <v>ORIG CO NAME:VENMO                  ORIG ID:3264681992 DESC DATE:251124 CO ENTRY DESCR:PAYMENT   SEC:WEB    TRACE#:021000024765692 EED:251124   IND ID:1046411565924                IND NAME:JUDD DUNNING                                                                                                 251124PPZZL9 TRN: 3284765692TC</v>
      </c>
      <c r="D144" s="7" t="n">
        <f aca="false">Chase1168_2025!D144</f>
        <v>-150</v>
      </c>
      <c r="E144" s="0" t="str">
        <f aca="false">Chase1168_2025!E144</f>
        <v>ACH_DEBIT</v>
      </c>
      <c r="F144" s="7" t="n">
        <f aca="false">Chase1168_2025!F144</f>
        <v>3545.47</v>
      </c>
      <c r="G144" s="0" t="str">
        <f aca="false">Chase1168_2025!G144</f>
        <v>Venmo</v>
      </c>
      <c r="H144" s="15" t="n">
        <f aca="false">IF($B144="","",DATE(YEAR($B144),MONTH($B144),1))</f>
        <v>45962</v>
      </c>
      <c r="I144" s="0" t="str">
        <f aca="false">IF($G144="","Uncategorized — Review",IFERROR(INDEX(Mapping!$B:$B,MATCH($G144,Mapping!$A:$A,0)),"Uncategorized — Review"))</f>
        <v>Venmo</v>
      </c>
      <c r="J144" s="0" t="str">
        <f aca="false">IF($G144="","Uncategorized — Review",IFERROR(INDEX(Mapping!$C:$C,MATCH($G144,Mapping!$A:$A,0)),"Uncategorized — Review"))</f>
        <v>P2P Payments (Zelle/Venmo/PayPal)</v>
      </c>
    </row>
    <row r="145" customFormat="false" ht="15" hidden="false" customHeight="false" outlineLevel="0" collapsed="false">
      <c r="A145" s="0" t="str">
        <f aca="false">Chase1168_2025!A145</f>
        <v>DEBIT</v>
      </c>
      <c r="B145" s="14" t="n">
        <f aca="false">Chase1168_2025!B145</f>
        <v>45985</v>
      </c>
      <c r="C145" s="0" t="str">
        <f aca="false">Chase1168_2025!C145</f>
        <v>Basic Online Payroll Payment 11195910527 to ########4122</v>
      </c>
      <c r="D145" s="7" t="n">
        <f aca="false">Chase1168_2025!D145</f>
        <v>-1500</v>
      </c>
      <c r="E145" s="0" t="str">
        <f aca="false">Chase1168_2025!E145</f>
        <v>BASIC_PAYROLL</v>
      </c>
      <c r="F145" s="7" t="n">
        <f aca="false">Chase1168_2025!F145</f>
        <v>3695.47</v>
      </c>
      <c r="G145" s="0" t="str">
        <f aca="false">Chase1168_2025!G145</f>
        <v>Mike Paytonjian - Payroll</v>
      </c>
      <c r="H145" s="15" t="n">
        <f aca="false">IF($B145="","",DATE(YEAR($B145),MONTH($B145),1))</f>
        <v>45962</v>
      </c>
      <c r="I145" s="0" t="str">
        <f aca="false">IF($G145="","Uncategorized — Review",IFERROR(INDEX(Mapping!$B:$B,MATCH($G145,Mapping!$A:$A,0)),"Uncategorized — Review"))</f>
        <v>Mike Paytonjian - Payroll</v>
      </c>
      <c r="J145" s="0" t="str">
        <f aca="false">IF($G145="","Uncategorized — Review",IFERROR(INDEX(Mapping!$C:$C,MATCH($G145,Mapping!$A:$A,0)),"Uncategorized — Review"))</f>
        <v>Payroll &amp; Contractors</v>
      </c>
    </row>
    <row r="146" customFormat="false" ht="15" hidden="false" customHeight="false" outlineLevel="0" collapsed="false">
      <c r="A146" s="0" t="str">
        <f aca="false">Chase1168_2025!A146</f>
        <v>DEBIT</v>
      </c>
      <c r="B146" s="14" t="n">
        <f aca="false">Chase1168_2025!B146</f>
        <v>45985</v>
      </c>
      <c r="C146" s="0" t="str">
        <f aca="false">Chase1168_2025!C146</f>
        <v>ORIG CO NAME:VENMO                  ORIG ID:3264681992 DESC DATE:251123 CO ENTRY DESCR:PAYMENT   SEC:WEB    TRACE#:021000025767841 EED:251124   IND ID:1046410022406                IND NAME:JUDD DUNNING                                                                                                 251123PPZYO1 TRN: 3285767841TC</v>
      </c>
      <c r="D146" s="7" t="n">
        <f aca="false">Chase1168_2025!D146</f>
        <v>-20</v>
      </c>
      <c r="E146" s="0" t="str">
        <f aca="false">Chase1168_2025!E146</f>
        <v>ACH_DEBIT</v>
      </c>
      <c r="F146" s="7" t="n">
        <f aca="false">Chase1168_2025!F146</f>
        <v>5195.47</v>
      </c>
      <c r="G146" s="0" t="str">
        <f aca="false">Chase1168_2025!G146</f>
        <v>Venmo</v>
      </c>
      <c r="H146" s="15" t="n">
        <f aca="false">IF($B146="","",DATE(YEAR($B146),MONTH($B146),1))</f>
        <v>45962</v>
      </c>
      <c r="I146" s="0" t="str">
        <f aca="false">IF($G146="","Uncategorized — Review",IFERROR(INDEX(Mapping!$B:$B,MATCH($G146,Mapping!$A:$A,0)),"Uncategorized — Review"))</f>
        <v>Venmo</v>
      </c>
      <c r="J146" s="0" t="str">
        <f aca="false">IF($G146="","Uncategorized — Review",IFERROR(INDEX(Mapping!$C:$C,MATCH($G146,Mapping!$A:$A,0)),"Uncategorized — Review"))</f>
        <v>P2P Payments (Zelle/Venmo/PayPal)</v>
      </c>
    </row>
    <row r="147" customFormat="false" ht="15" hidden="false" customHeight="false" outlineLevel="0" collapsed="false">
      <c r="A147" s="0" t="str">
        <f aca="false">Chase1168_2025!A147</f>
        <v>DEBIT</v>
      </c>
      <c r="B147" s="14" t="n">
        <f aca="false">Chase1168_2025!B147</f>
        <v>45985</v>
      </c>
      <c r="C147" s="0" t="str">
        <f aca="false">Chase1168_2025!C147</f>
        <v>ORIG CO NAME:VENMO                  ORIG ID:3264681992 DESC DATE:251123 CO ENTRY DESCR:PAYMENT   SEC:WEB    TRACE#:021000025873166 EED:251124   IND ID:1046405877547                IND NAME:JUDD DUNNING                                                                                                 251123PPZYMF TRN: 3285873166TC</v>
      </c>
      <c r="D147" s="7" t="n">
        <f aca="false">Chase1168_2025!D147</f>
        <v>-650.56</v>
      </c>
      <c r="E147" s="0" t="str">
        <f aca="false">Chase1168_2025!E147</f>
        <v>ACH_DEBIT</v>
      </c>
      <c r="F147" s="7" t="n">
        <f aca="false">Chase1168_2025!F147</f>
        <v>5215.47</v>
      </c>
      <c r="G147" s="0" t="str">
        <f aca="false">Chase1168_2025!G147</f>
        <v>Venmo</v>
      </c>
      <c r="H147" s="15" t="n">
        <f aca="false">IF($B147="","",DATE(YEAR($B147),MONTH($B147),1))</f>
        <v>45962</v>
      </c>
      <c r="I147" s="0" t="str">
        <f aca="false">IF($G147="","Uncategorized — Review",IFERROR(INDEX(Mapping!$B:$B,MATCH($G147,Mapping!$A:$A,0)),"Uncategorized — Review"))</f>
        <v>Venmo</v>
      </c>
      <c r="J147" s="0" t="str">
        <f aca="false">IF($G147="","Uncategorized — Review",IFERROR(INDEX(Mapping!$C:$C,MATCH($G147,Mapping!$A:$A,0)),"Uncategorized — Review"))</f>
        <v>P2P Payments (Zelle/Venmo/PayPal)</v>
      </c>
    </row>
    <row r="148" customFormat="false" ht="15" hidden="false" customHeight="false" outlineLevel="0" collapsed="false">
      <c r="A148" s="0" t="str">
        <f aca="false">Chase1168_2025!A148</f>
        <v>DEBIT</v>
      </c>
      <c r="B148" s="14" t="n">
        <f aca="false">Chase1168_2025!B148</f>
        <v>45985</v>
      </c>
      <c r="C148" s="0" t="str">
        <f aca="false">Chase1168_2025!C148</f>
        <v>PP*APPLE.COM/BILL 800-275-2273 CA            11/23</v>
      </c>
      <c r="D148" s="7" t="n">
        <f aca="false">Chase1168_2025!D148</f>
        <v>-9.99</v>
      </c>
      <c r="E148" s="0" t="str">
        <f aca="false">Chase1168_2025!E148</f>
        <v>DEBIT_CARD</v>
      </c>
      <c r="F148" s="7" t="n">
        <f aca="false">Chase1168_2025!F148</f>
        <v>5866.03</v>
      </c>
      <c r="G148" s="0" t="str">
        <f aca="false">Chase1168_2025!G148</f>
        <v>Personal - Subscriptions</v>
      </c>
      <c r="H148" s="15" t="n">
        <f aca="false">IF($B148="","",DATE(YEAR($B148),MONTH($B148),1))</f>
        <v>45962</v>
      </c>
      <c r="I148" s="0" t="str">
        <f aca="false">IF($G148="","Uncategorized — Review",IFERROR(INDEX(Mapping!$B:$B,MATCH($G148,Mapping!$A:$A,0)),"Uncategorized — Review"))</f>
        <v>Personal - Subscriptions</v>
      </c>
      <c r="J148" s="0" t="str">
        <f aca="false">IF($G148="","Uncategorized — Review",IFERROR(INDEX(Mapping!$C:$C,MATCH($G148,Mapping!$A:$A,0)),"Uncategorized — Review"))</f>
        <v>Personal — Owner</v>
      </c>
    </row>
    <row r="149" customFormat="false" ht="15" hidden="false" customHeight="false" outlineLevel="0" collapsed="false">
      <c r="A149" s="0" t="str">
        <f aca="false">Chase1168_2025!A149</f>
        <v>DEBIT</v>
      </c>
      <c r="B149" s="14" t="n">
        <f aca="false">Chase1168_2025!B149</f>
        <v>45985</v>
      </c>
      <c r="C149" s="0" t="str">
        <f aca="false">Chase1168_2025!C149</f>
        <v>PP*APPLE.COM/BILL 800-275-2273 CA            11/23</v>
      </c>
      <c r="D149" s="7" t="n">
        <f aca="false">Chase1168_2025!D149</f>
        <v>-8.99</v>
      </c>
      <c r="E149" s="0" t="str">
        <f aca="false">Chase1168_2025!E149</f>
        <v>DEBIT_CARD</v>
      </c>
      <c r="F149" s="7" t="n">
        <f aca="false">Chase1168_2025!F149</f>
        <v>5876.02</v>
      </c>
      <c r="G149" s="0" t="str">
        <f aca="false">Chase1168_2025!G149</f>
        <v>Personal - Subscriptions</v>
      </c>
      <c r="H149" s="15" t="n">
        <f aca="false">IF($B149="","",DATE(YEAR($B149),MONTH($B149),1))</f>
        <v>45962</v>
      </c>
      <c r="I149" s="0" t="str">
        <f aca="false">IF($G149="","Uncategorized — Review",IFERROR(INDEX(Mapping!$B:$B,MATCH($G149,Mapping!$A:$A,0)),"Uncategorized — Review"))</f>
        <v>Personal - Subscriptions</v>
      </c>
      <c r="J149" s="0" t="str">
        <f aca="false">IF($G149="","Uncategorized — Review",IFERROR(INDEX(Mapping!$C:$C,MATCH($G149,Mapping!$A:$A,0)),"Uncategorized — Review"))</f>
        <v>Personal — Owner</v>
      </c>
    </row>
    <row r="150" customFormat="false" ht="15" hidden="false" customHeight="false" outlineLevel="0" collapsed="false">
      <c r="A150" s="0" t="str">
        <f aca="false">Chase1168_2025!A150</f>
        <v>DEBIT</v>
      </c>
      <c r="B150" s="14" t="n">
        <f aca="false">Chase1168_2025!B150</f>
        <v>45985</v>
      </c>
      <c r="C150" s="0" t="str">
        <f aca="false">Chase1168_2025!C150</f>
        <v>Experian* ProtectMyID 866-5849446 CA         11/22</v>
      </c>
      <c r="D150" s="7" t="n">
        <f aca="false">Chase1168_2025!D150</f>
        <v>-17.95</v>
      </c>
      <c r="E150" s="0" t="str">
        <f aca="false">Chase1168_2025!E150</f>
        <v>DEBIT_CARD</v>
      </c>
      <c r="F150" s="7" t="n">
        <f aca="false">Chase1168_2025!F150</f>
        <v>5885.01</v>
      </c>
      <c r="G150" s="0" t="str">
        <f aca="false">Chase1168_2025!G150</f>
        <v>Personal - Subscriptions</v>
      </c>
      <c r="H150" s="15" t="n">
        <f aca="false">IF($B150="","",DATE(YEAR($B150),MONTH($B150),1))</f>
        <v>45962</v>
      </c>
      <c r="I150" s="0" t="str">
        <f aca="false">IF($G150="","Uncategorized — Review",IFERROR(INDEX(Mapping!$B:$B,MATCH($G150,Mapping!$A:$A,0)),"Uncategorized — Review"))</f>
        <v>Personal - Subscriptions</v>
      </c>
      <c r="J150" s="0" t="str">
        <f aca="false">IF($G150="","Uncategorized — Review",IFERROR(INDEX(Mapping!$C:$C,MATCH($G150,Mapping!$A:$A,0)),"Uncategorized — Review"))</f>
        <v>Personal — Owner</v>
      </c>
    </row>
    <row r="151" customFormat="false" ht="15" hidden="false" customHeight="false" outlineLevel="0" collapsed="false">
      <c r="A151" s="0" t="str">
        <f aca="false">Chase1168_2025!A151</f>
        <v>DEBIT</v>
      </c>
      <c r="B151" s="14" t="n">
        <f aca="false">Chase1168_2025!B151</f>
        <v>45985</v>
      </c>
      <c r="C151" s="0" t="str">
        <f aca="false">Chase1168_2025!C151</f>
        <v>PAYPAL *UBER 866-576-1039 CA                 11/22</v>
      </c>
      <c r="D151" s="7" t="n">
        <f aca="false">Chase1168_2025!D151</f>
        <v>-4</v>
      </c>
      <c r="E151" s="0" t="str">
        <f aca="false">Chase1168_2025!E151</f>
        <v>DEBIT_CARD</v>
      </c>
      <c r="F151" s="7" t="n">
        <f aca="false">Chase1168_2025!F151</f>
        <v>5902.96</v>
      </c>
      <c r="G151" s="0" t="str">
        <f aca="false">Chase1168_2025!G151</f>
        <v>Personal - Car</v>
      </c>
      <c r="H151" s="15" t="n">
        <f aca="false">IF($B151="","",DATE(YEAR($B151),MONTH($B151),1))</f>
        <v>45962</v>
      </c>
      <c r="I151" s="0" t="str">
        <f aca="false">IF($G151="","Uncategorized — Review",IFERROR(INDEX(Mapping!$B:$B,MATCH($G151,Mapping!$A:$A,0)),"Uncategorized — Review"))</f>
        <v>Personal - Car &amp; Auto</v>
      </c>
      <c r="J151" s="0" t="str">
        <f aca="false">IF($G151="","Uncategorized — Review",IFERROR(INDEX(Mapping!$C:$C,MATCH($G151,Mapping!$A:$A,0)),"Uncategorized — Review"))</f>
        <v>Personal — Owner</v>
      </c>
    </row>
    <row r="152" customFormat="false" ht="15" hidden="false" customHeight="false" outlineLevel="0" collapsed="false">
      <c r="A152" s="0" t="str">
        <f aca="false">Chase1168_2025!A152</f>
        <v>DEBIT</v>
      </c>
      <c r="B152" s="14" t="n">
        <f aca="false">Chase1168_2025!B152</f>
        <v>45985</v>
      </c>
      <c r="C152" s="0" t="str">
        <f aca="false">Chase1168_2025!C152</f>
        <v>PAYPAL *GRUBHUBFOOD C 877-585-7878 IL        11/22</v>
      </c>
      <c r="D152" s="7" t="n">
        <f aca="false">Chase1168_2025!D152</f>
        <v>-42.79</v>
      </c>
      <c r="E152" s="0" t="str">
        <f aca="false">Chase1168_2025!E152</f>
        <v>DEBIT_CARD</v>
      </c>
      <c r="F152" s="7" t="n">
        <f aca="false">Chase1168_2025!F152</f>
        <v>5906.96</v>
      </c>
      <c r="G152" s="0" t="str">
        <f aca="false">Chase1168_2025!G152</f>
        <v>Personal - Food</v>
      </c>
      <c r="H152" s="15" t="n">
        <f aca="false">IF($B152="","",DATE(YEAR($B152),MONTH($B152),1))</f>
        <v>45962</v>
      </c>
      <c r="I152" s="0" t="str">
        <f aca="false">IF($G152="","Uncategorized — Review",IFERROR(INDEX(Mapping!$B:$B,MATCH($G152,Mapping!$A:$A,0)),"Uncategorized — Review"))</f>
        <v>Personal - Food &amp; Dining</v>
      </c>
      <c r="J152" s="0" t="str">
        <f aca="false">IF($G152="","Uncategorized — Review",IFERROR(INDEX(Mapping!$C:$C,MATCH($G152,Mapping!$A:$A,0)),"Uncategorized — Review"))</f>
        <v>Personal — Owner</v>
      </c>
    </row>
    <row r="153" customFormat="false" ht="15" hidden="false" customHeight="false" outlineLevel="0" collapsed="false">
      <c r="A153" s="0" t="str">
        <f aca="false">Chase1168_2025!A153</f>
        <v>DEBIT</v>
      </c>
      <c r="B153" s="14" t="n">
        <f aca="false">Chase1168_2025!B153</f>
        <v>45985</v>
      </c>
      <c r="C153" s="0" t="str">
        <f aca="false">Chase1168_2025!C153</f>
        <v>PP*APPLE.COM/BILL 800-275-2273 CA            11/22</v>
      </c>
      <c r="D153" s="7" t="n">
        <f aca="false">Chase1168_2025!D153</f>
        <v>-30</v>
      </c>
      <c r="E153" s="0" t="str">
        <f aca="false">Chase1168_2025!E153</f>
        <v>DEBIT_CARD</v>
      </c>
      <c r="F153" s="7" t="n">
        <f aca="false">Chase1168_2025!F153</f>
        <v>5949.75</v>
      </c>
      <c r="G153" s="0" t="str">
        <f aca="false">Chase1168_2025!G153</f>
        <v>Personal - Subscriptions</v>
      </c>
      <c r="H153" s="15" t="n">
        <f aca="false">IF($B153="","",DATE(YEAR($B153),MONTH($B153),1))</f>
        <v>45962</v>
      </c>
      <c r="I153" s="0" t="str">
        <f aca="false">IF($G153="","Uncategorized — Review",IFERROR(INDEX(Mapping!$B:$B,MATCH($G153,Mapping!$A:$A,0)),"Uncategorized — Review"))</f>
        <v>Personal - Subscriptions</v>
      </c>
      <c r="J153" s="0" t="str">
        <f aca="false">IF($G153="","Uncategorized — Review",IFERROR(INDEX(Mapping!$C:$C,MATCH($G153,Mapping!$A:$A,0)),"Uncategorized — Review"))</f>
        <v>Personal — Owner</v>
      </c>
    </row>
    <row r="154" customFormat="false" ht="15" hidden="false" customHeight="false" outlineLevel="0" collapsed="false">
      <c r="A154" s="0" t="str">
        <f aca="false">Chase1168_2025!A154</f>
        <v>DEBIT</v>
      </c>
      <c r="B154" s="14" t="n">
        <f aca="false">Chase1168_2025!B154</f>
        <v>45982</v>
      </c>
      <c r="C154" s="0" t="str">
        <f aca="false">Chase1168_2025!C154</f>
        <v>ORIG CO NAME:VENMO                  ORIG ID:3264681992 DESC DATE:251121 CO ENTRY DESCR:PAYMENT   SEC:WEB    TRACE#:021000021103864 EED:251121   IND ID:1046360279260                IND NAME:JUDD DUNNING                                                                                                 251121PPZV04 TRN: 3251103864TC</v>
      </c>
      <c r="D154" s="7" t="n">
        <f aca="false">Chase1168_2025!D154</f>
        <v>-75</v>
      </c>
      <c r="E154" s="0" t="str">
        <f aca="false">Chase1168_2025!E154</f>
        <v>ACH_DEBIT</v>
      </c>
      <c r="F154" s="7" t="n">
        <f aca="false">Chase1168_2025!F154</f>
        <v>5979.75</v>
      </c>
      <c r="G154" s="0" t="str">
        <f aca="false">Chase1168_2025!G154</f>
        <v>Venmo</v>
      </c>
      <c r="H154" s="15" t="n">
        <f aca="false">IF($B154="","",DATE(YEAR($B154),MONTH($B154),1))</f>
        <v>45962</v>
      </c>
      <c r="I154" s="0" t="str">
        <f aca="false">IF($G154="","Uncategorized — Review",IFERROR(INDEX(Mapping!$B:$B,MATCH($G154,Mapping!$A:$A,0)),"Uncategorized — Review"))</f>
        <v>Venmo</v>
      </c>
      <c r="J154" s="0" t="str">
        <f aca="false">IF($G154="","Uncategorized — Review",IFERROR(INDEX(Mapping!$C:$C,MATCH($G154,Mapping!$A:$A,0)),"Uncategorized — Review"))</f>
        <v>P2P Payments (Zelle/Venmo/PayPal)</v>
      </c>
    </row>
    <row r="155" customFormat="false" ht="15" hidden="false" customHeight="false" outlineLevel="0" collapsed="false">
      <c r="A155" s="0" t="str">
        <f aca="false">Chase1168_2025!A155</f>
        <v>DEBIT</v>
      </c>
      <c r="B155" s="14" t="n">
        <f aca="false">Chase1168_2025!B155</f>
        <v>45982</v>
      </c>
      <c r="C155" s="0" t="str">
        <f aca="false">Chase1168_2025!C155</f>
        <v>ORIG CO NAME:VENMO                  ORIG ID:3264681992 DESC DATE:251121 CO ENTRY DESCR:PAYMENT   SEC:WEB    TRACE#:021000021109089 EED:251121   IND ID:1046361409006                IND NAME:JUDD DUNNING                                                                                                 251121PPZV04 TRN: 3251109089TC</v>
      </c>
      <c r="D155" s="7" t="n">
        <f aca="false">Chase1168_2025!D155</f>
        <v>-250</v>
      </c>
      <c r="E155" s="0" t="str">
        <f aca="false">Chase1168_2025!E155</f>
        <v>ACH_DEBIT</v>
      </c>
      <c r="F155" s="7" t="n">
        <f aca="false">Chase1168_2025!F155</f>
        <v>6054.75</v>
      </c>
      <c r="G155" s="0" t="str">
        <f aca="false">Chase1168_2025!G155</f>
        <v>Venmo</v>
      </c>
      <c r="H155" s="15" t="n">
        <f aca="false">IF($B155="","",DATE(YEAR($B155),MONTH($B155),1))</f>
        <v>45962</v>
      </c>
      <c r="I155" s="0" t="str">
        <f aca="false">IF($G155="","Uncategorized — Review",IFERROR(INDEX(Mapping!$B:$B,MATCH($G155,Mapping!$A:$A,0)),"Uncategorized — Review"))</f>
        <v>Venmo</v>
      </c>
      <c r="J155" s="0" t="str">
        <f aca="false">IF($G155="","Uncategorized — Review",IFERROR(INDEX(Mapping!$C:$C,MATCH($G155,Mapping!$A:$A,0)),"Uncategorized — Review"))</f>
        <v>P2P Payments (Zelle/Venmo/PayPal)</v>
      </c>
    </row>
    <row r="156" customFormat="false" ht="15" hidden="false" customHeight="false" outlineLevel="0" collapsed="false">
      <c r="A156" s="0" t="str">
        <f aca="false">Chase1168_2025!A156</f>
        <v>DEBIT</v>
      </c>
      <c r="B156" s="14" t="n">
        <f aca="false">Chase1168_2025!B156</f>
        <v>45982</v>
      </c>
      <c r="C156" s="0" t="str">
        <f aca="false">Chase1168_2025!C156</f>
        <v>Online Transfer to CHK ...1117 transaction#: 27047057340 11/21</v>
      </c>
      <c r="D156" s="7" t="n">
        <f aca="false">Chase1168_2025!D156</f>
        <v>-5000</v>
      </c>
      <c r="E156" s="0" t="str">
        <f aca="false">Chase1168_2025!E156</f>
        <v>ACCT_XFER</v>
      </c>
      <c r="F156" s="7" t="n">
        <f aca="false">Chase1168_2025!F156</f>
        <v>6304.75</v>
      </c>
      <c r="G156" s="0" t="str">
        <f aca="false">Chase1168_2025!G156</f>
        <v>Transfer to Angela Dunning</v>
      </c>
      <c r="H156" s="15" t="n">
        <f aca="false">IF($B156="","",DATE(YEAR($B156),MONTH($B156),1))</f>
        <v>45962</v>
      </c>
      <c r="I156" s="0" t="str">
        <f aca="false">IF($G156="","Uncategorized — Review",IFERROR(INDEX(Mapping!$B:$B,MATCH($G156,Mapping!$A:$A,0)),"Uncategorized — Review"))</f>
        <v>Transfer to Angela Dunning</v>
      </c>
      <c r="J156" s="0" t="str">
        <f aca="false">IF($G156="","Uncategorized — Review",IFERROR(INDEX(Mapping!$C:$C,MATCH($G156,Mapping!$A:$A,0)),"Uncategorized — Review"))</f>
        <v>Owner / Family Distributions</v>
      </c>
    </row>
    <row r="157" customFormat="false" ht="15" hidden="false" customHeight="false" outlineLevel="0" collapsed="false">
      <c r="A157" s="0" t="str">
        <f aca="false">Chase1168_2025!A157</f>
        <v>DEBIT</v>
      </c>
      <c r="B157" s="14" t="n">
        <f aca="false">Chase1168_2025!B157</f>
        <v>45982</v>
      </c>
      <c r="C157" s="0" t="str">
        <f aca="false">Chase1168_2025!C157</f>
        <v>Online Transfer to CHK ...0709 transaction#: 27047055589 11/21</v>
      </c>
      <c r="D157" s="7" t="n">
        <f aca="false">Chase1168_2025!D157</f>
        <v>-1000</v>
      </c>
      <c r="E157" s="0" t="str">
        <f aca="false">Chase1168_2025!E157</f>
        <v>ACCT_XFER</v>
      </c>
      <c r="F157" s="7" t="n">
        <f aca="false">Chase1168_2025!F157</f>
        <v>11304.75</v>
      </c>
      <c r="G157" s="0" t="str">
        <f aca="false">Chase1168_2025!G157</f>
        <v>Transfer to DWG Capital Group_Savings</v>
      </c>
      <c r="H157" s="15" t="n">
        <f aca="false">IF($B157="","",DATE(YEAR($B157),MONTH($B157),1))</f>
        <v>45962</v>
      </c>
      <c r="I157" s="0" t="str">
        <f aca="false">IF($G157="","Uncategorized — Review",IFERROR(INDEX(Mapping!$B:$B,MATCH($G157,Mapping!$A:$A,0)),"Uncategorized — Review"))</f>
        <v>Transfer to DWG Savings</v>
      </c>
      <c r="J157" s="0" t="str">
        <f aca="false">IF($G157="","Uncategorized — Review",IFERROR(INDEX(Mapping!$C:$C,MATCH($G157,Mapping!$A:$A,0)),"Uncategorized — Review"))</f>
        <v>Intercompany &amp; Savings Transfers</v>
      </c>
    </row>
    <row r="158" customFormat="false" ht="15" hidden="false" customHeight="false" outlineLevel="0" collapsed="false">
      <c r="A158" s="0" t="str">
        <f aca="false">Chase1168_2025!A158</f>
        <v>DEBIT</v>
      </c>
      <c r="B158" s="14" t="n">
        <f aca="false">Chase1168_2025!B158</f>
        <v>45982</v>
      </c>
      <c r="C158" s="0" t="str">
        <f aca="false">Chase1168_2025!C158</f>
        <v>Zelle payment to Michael Paytonjian JPM99bvitzuv</v>
      </c>
      <c r="D158" s="7" t="n">
        <f aca="false">Chase1168_2025!D158</f>
        <v>-44</v>
      </c>
      <c r="E158" s="0" t="str">
        <f aca="false">Chase1168_2025!E158</f>
        <v>CHASE_TO_PARTNERFI</v>
      </c>
      <c r="F158" s="7" t="n">
        <f aca="false">Chase1168_2025!F158</f>
        <v>12304.75</v>
      </c>
      <c r="G158" s="0" t="str">
        <f aca="false">Chase1168_2025!G158</f>
        <v>Office/Miscellaneous Reimbursement - Mike P.</v>
      </c>
      <c r="H158" s="15" t="n">
        <f aca="false">IF($B158="","",DATE(YEAR($B158),MONTH($B158),1))</f>
        <v>45962</v>
      </c>
      <c r="I158" s="0" t="str">
        <f aca="false">IF($G158="","Uncategorized — Review",IFERROR(INDEX(Mapping!$B:$B,MATCH($G158,Mapping!$A:$A,0)),"Uncategorized — Review"))</f>
        <v>Office/Miscellaneous Reimbursement - Mike P.</v>
      </c>
      <c r="J158" s="0" t="str">
        <f aca="false">IF($G158="","Uncategorized — Review",IFERROR(INDEX(Mapping!$C:$C,MATCH($G158,Mapping!$A:$A,0)),"Uncategorized — Review"))</f>
        <v>DWG Operating</v>
      </c>
    </row>
    <row r="159" customFormat="false" ht="15" hidden="false" customHeight="false" outlineLevel="0" collapsed="false">
      <c r="A159" s="0" t="str">
        <f aca="false">Chase1168_2025!A159</f>
        <v>DEBIT</v>
      </c>
      <c r="B159" s="14" t="n">
        <f aca="false">Chase1168_2025!B159</f>
        <v>45982</v>
      </c>
      <c r="C159" s="0" t="str">
        <f aca="false">Chase1168_2025!C159</f>
        <v>ORIG CO NAME:PENTAGON FEDERAL       ORIG ID:1530197038 DESC DATE:112025 CO ENTRY DESCR:MTG PYMT  SEC:PPD    TRACE#:256078449840164 EED:251121   IND ID:                             IND NAME:JOHN DUNNING TRN: 3259840164TC</v>
      </c>
      <c r="D159" s="7" t="n">
        <f aca="false">Chase1168_2025!D159</f>
        <v>-88.79</v>
      </c>
      <c r="E159" s="0" t="str">
        <f aca="false">Chase1168_2025!E159</f>
        <v>ACH_DEBIT</v>
      </c>
      <c r="F159" s="7" t="n">
        <f aca="false">Chase1168_2025!F159</f>
        <v>12348.75</v>
      </c>
      <c r="G159" s="0" t="str">
        <f aca="false">Chase1168_2025!G159</f>
        <v>Personal - California Mortgage PMT</v>
      </c>
      <c r="H159" s="15" t="n">
        <f aca="false">IF($B159="","",DATE(YEAR($B159),MONTH($B159),1))</f>
        <v>45962</v>
      </c>
      <c r="I159" s="0" t="str">
        <f aca="false">IF($G159="","Uncategorized — Review",IFERROR(INDEX(Mapping!$B:$B,MATCH($G159,Mapping!$A:$A,0)),"Uncategorized — Review"))</f>
        <v>Personal - California Mortgage PMT</v>
      </c>
      <c r="J159" s="0" t="str">
        <f aca="false">IF($G159="","Uncategorized — Review",IFERROR(INDEX(Mapping!$C:$C,MATCH($G159,Mapping!$A:$A,0)),"Uncategorized — Review"))</f>
        <v>Personal — Owner</v>
      </c>
    </row>
    <row r="160" customFormat="false" ht="15" hidden="false" customHeight="false" outlineLevel="0" collapsed="false">
      <c r="A160" s="0" t="str">
        <f aca="false">Chase1168_2025!A160</f>
        <v>DEBIT</v>
      </c>
      <c r="B160" s="14" t="n">
        <f aca="false">Chase1168_2025!B160</f>
        <v>45982</v>
      </c>
      <c r="C160" s="0" t="str">
        <f aca="false">Chase1168_2025!C160</f>
        <v>ORIG CO NAME:PRINCIPAL-CCAPNL       ORIG ID:9INDPNLEFT DESC DATE:111925 CO ENTRY DESCR:PRIN FINANSEC:PPD    TRACE#:091000016529609 EED:251121   IND ID:                             IND NAME:JOHN B DUNNING TRN: 3256529609TC</v>
      </c>
      <c r="D160" s="7" t="n">
        <f aca="false">Chase1168_2025!D160</f>
        <v>-331.54</v>
      </c>
      <c r="E160" s="0" t="str">
        <f aca="false">Chase1168_2025!E160</f>
        <v>ACH_DEBIT</v>
      </c>
      <c r="F160" s="7" t="n">
        <f aca="false">Chase1168_2025!F160</f>
        <v>12437.54</v>
      </c>
      <c r="G160" s="0" t="str">
        <f aca="false">Chase1168_2025!G160</f>
        <v>???</v>
      </c>
      <c r="H160" s="15" t="n">
        <f aca="false">IF($B160="","",DATE(YEAR($B160),MONTH($B160),1))</f>
        <v>45962</v>
      </c>
      <c r="I160" s="0" t="str">
        <f aca="false">IF($G160="","Uncategorized — Review",IFERROR(INDEX(Mapping!$B:$B,MATCH($G160,Mapping!$A:$A,0)),"Uncategorized — Review"))</f>
        <v>???</v>
      </c>
      <c r="J160" s="0" t="str">
        <f aca="false">IF($G160="","Uncategorized — Review",IFERROR(INDEX(Mapping!$C:$C,MATCH($G160,Mapping!$A:$A,0)),"Uncategorized — Review"))</f>
        <v>Uncategorized — Review</v>
      </c>
    </row>
    <row r="161" customFormat="false" ht="15" hidden="false" customHeight="false" outlineLevel="0" collapsed="false">
      <c r="A161" s="0" t="str">
        <f aca="false">Chase1168_2025!A161</f>
        <v>DEBIT</v>
      </c>
      <c r="B161" s="14" t="n">
        <f aca="false">Chase1168_2025!B161</f>
        <v>45982</v>
      </c>
      <c r="C161" s="0" t="str">
        <f aca="false">Chase1168_2025!C161</f>
        <v>PAYPAL *RUTHALCANCI 402-935-7733 CA          11/21</v>
      </c>
      <c r="D161" s="7" t="n">
        <f aca="false">Chase1168_2025!D161</f>
        <v>-250</v>
      </c>
      <c r="E161" s="0" t="str">
        <f aca="false">Chase1168_2025!E161</f>
        <v>DEBIT_CARD</v>
      </c>
      <c r="F161" s="7" t="n">
        <f aca="false">Chase1168_2025!F161</f>
        <v>12769.08</v>
      </c>
      <c r="G161" s="0" t="str">
        <f aca="false">Chase1168_2025!G161</f>
        <v>Ruth Alcancia - Forward Bridge Payment</v>
      </c>
      <c r="H161" s="15" t="n">
        <f aca="false">IF($B161="","",DATE(YEAR($B161),MONTH($B161),1))</f>
        <v>45962</v>
      </c>
      <c r="I161" s="0" t="str">
        <f aca="false">IF($G161="","Uncategorized — Review",IFERROR(INDEX(Mapping!$B:$B,MATCH($G161,Mapping!$A:$A,0)),"Uncategorized — Review"))</f>
        <v>Ruth Alcancia - Forward Bridge Payment</v>
      </c>
      <c r="J161" s="0" t="str">
        <f aca="false">IF($G161="","Uncategorized — Review",IFERROR(INDEX(Mapping!$C:$C,MATCH($G161,Mapping!$A:$A,0)),"Uncategorized — Review"))</f>
        <v>Payroll &amp; Contractors</v>
      </c>
    </row>
    <row r="162" customFormat="false" ht="15" hidden="false" customHeight="false" outlineLevel="0" collapsed="false">
      <c r="A162" s="0" t="str">
        <f aca="false">Chase1168_2025!A162</f>
        <v>DEBIT</v>
      </c>
      <c r="B162" s="14" t="n">
        <f aca="false">Chase1168_2025!B162</f>
        <v>45982</v>
      </c>
      <c r="C162" s="0" t="str">
        <f aca="false">Chase1168_2025!C162</f>
        <v>PAYPAL *BEENVERIFIE 786-482-6776 NY          11/21</v>
      </c>
      <c r="D162" s="7" t="n">
        <f aca="false">Chase1168_2025!D162</f>
        <v>-26.89</v>
      </c>
      <c r="E162" s="0" t="str">
        <f aca="false">Chase1168_2025!E162</f>
        <v>DEBIT_CARD</v>
      </c>
      <c r="F162" s="7" t="n">
        <f aca="false">Chase1168_2025!F162</f>
        <v>13019.08</v>
      </c>
      <c r="G162" s="0" t="str">
        <f aca="false">Chase1168_2025!G162</f>
        <v>Personal - Entertainment</v>
      </c>
      <c r="H162" s="15" t="n">
        <f aca="false">IF($B162="","",DATE(YEAR($B162),MONTH($B162),1))</f>
        <v>45962</v>
      </c>
      <c r="I162" s="0" t="str">
        <f aca="false">IF($G162="","Uncategorized — Review",IFERROR(INDEX(Mapping!$B:$B,MATCH($G162,Mapping!$A:$A,0)),"Uncategorized — Review"))</f>
        <v>Personal - Entertainment</v>
      </c>
      <c r="J162" s="0" t="str">
        <f aca="false">IF($G162="","Uncategorized — Review",IFERROR(INDEX(Mapping!$C:$C,MATCH($G162,Mapping!$A:$A,0)),"Uncategorized — Review"))</f>
        <v>Personal — Owner</v>
      </c>
    </row>
    <row r="163" customFormat="false" ht="15" hidden="false" customHeight="false" outlineLevel="0" collapsed="false">
      <c r="A163" s="0" t="str">
        <f aca="false">Chase1168_2025!A163</f>
        <v>CREDIT</v>
      </c>
      <c r="B163" s="14" t="n">
        <f aca="false">Chase1168_2025!B163</f>
        <v>45982</v>
      </c>
      <c r="C163" s="0" t="str">
        <f aca="false">Chase1168_2025!C163</f>
        <v>Online Transfer from CHK ...9335 transaction#: 27047021636</v>
      </c>
      <c r="D163" s="7" t="n">
        <f aca="false">Chase1168_2025!D163</f>
        <v>10000</v>
      </c>
      <c r="E163" s="0" t="str">
        <f aca="false">Chase1168_2025!E163</f>
        <v>ACCT_XFER</v>
      </c>
      <c r="F163" s="7" t="n">
        <f aca="false">Chase1168_2025!F163</f>
        <v>13045.97</v>
      </c>
      <c r="G163" s="0" t="str">
        <f aca="false">Chase1168_2025!G163</f>
        <v>Poseidon Asset Group (Incoming)</v>
      </c>
      <c r="H163" s="15" t="n">
        <f aca="false">IF($B163="","",DATE(YEAR($B163),MONTH($B163),1))</f>
        <v>45962</v>
      </c>
      <c r="I163" s="0" t="str">
        <f aca="false">IF($G163="","Uncategorized — Review",IFERROR(INDEX(Mapping!$B:$B,MATCH($G163,Mapping!$A:$A,0)),"Uncategorized — Review"))</f>
        <v>Poseidon Asset Group (Incoming)</v>
      </c>
      <c r="J163" s="0" t="str">
        <f aca="false">IF($G163="","Uncategorized — Review",IFERROR(INDEX(Mapping!$C:$C,MATCH($G163,Mapping!$A:$A,0)),"Uncategorized — Review"))</f>
        <v>Poseidon Asset Group</v>
      </c>
    </row>
    <row r="164" customFormat="false" ht="15" hidden="false" customHeight="false" outlineLevel="0" collapsed="false">
      <c r="A164" s="0" t="str">
        <f aca="false">Chase1168_2025!A164</f>
        <v>DEBIT</v>
      </c>
      <c r="B164" s="14" t="n">
        <f aca="false">Chase1168_2025!B164</f>
        <v>45981</v>
      </c>
      <c r="C164" s="0" t="str">
        <f aca="false">Chase1168_2025!C164</f>
        <v>ONLINE FX INTERNATIONAL WIRE FEE</v>
      </c>
      <c r="D164" s="7" t="n">
        <f aca="false">Chase1168_2025!D164</f>
        <v>-5</v>
      </c>
      <c r="E164" s="0" t="str">
        <f aca="false">Chase1168_2025!E164</f>
        <v>FEE_TRANSACTION</v>
      </c>
      <c r="F164" s="7" t="n">
        <f aca="false">Chase1168_2025!F164</f>
        <v>3045.97</v>
      </c>
      <c r="G164" s="0" t="str">
        <f aca="false">Chase1168_2025!G164</f>
        <v>Andres Alarcon Payroll</v>
      </c>
      <c r="H164" s="15" t="n">
        <f aca="false">IF($B164="","",DATE(YEAR($B164),MONTH($B164),1))</f>
        <v>45962</v>
      </c>
      <c r="I164" s="0" t="str">
        <f aca="false">IF($G164="","Uncategorized — Review",IFERROR(INDEX(Mapping!$B:$B,MATCH($G164,Mapping!$A:$A,0)),"Uncategorized — Review"))</f>
        <v>Andres Alarcon Payroll</v>
      </c>
      <c r="J164" s="0" t="str">
        <f aca="false">IF($G164="","Uncategorized — Review",IFERROR(INDEX(Mapping!$C:$C,MATCH($G164,Mapping!$A:$A,0)),"Uncategorized — Review"))</f>
        <v>Payroll &amp; Contractors</v>
      </c>
    </row>
    <row r="165" customFormat="false" ht="15" hidden="false" customHeight="false" outlineLevel="0" collapsed="false">
      <c r="A165" s="0" t="str">
        <f aca="false">Chase1168_2025!A165</f>
        <v>DEBIT</v>
      </c>
      <c r="B165" s="14" t="n">
        <f aca="false">Chase1168_2025!B165</f>
        <v>45981</v>
      </c>
      <c r="C165" s="0" t="str">
        <f aca="false">Chase1168_2025!C165</f>
        <v>ORIG CO NAME:VENMO                  ORIG ID:3264681992 DESC DATE:251120 CO ENTRY DESCR:PAYMENT   SEC:WEB    TRACE#:021000024072647 EED:251120   IND ID:1046333801332                IND NAME:JUDD DUNNING                                                                                                 251120PPZH9W TRN: 3244072647TC</v>
      </c>
      <c r="D165" s="7" t="n">
        <f aca="false">Chase1168_2025!D165</f>
        <v>-125</v>
      </c>
      <c r="E165" s="0" t="str">
        <f aca="false">Chase1168_2025!E165</f>
        <v>ACH_DEBIT</v>
      </c>
      <c r="F165" s="7" t="n">
        <f aca="false">Chase1168_2025!F165</f>
        <v>3050.97</v>
      </c>
      <c r="G165" s="0" t="str">
        <f aca="false">Chase1168_2025!G165</f>
        <v>Venmo</v>
      </c>
      <c r="H165" s="15" t="n">
        <f aca="false">IF($B165="","",DATE(YEAR($B165),MONTH($B165),1))</f>
        <v>45962</v>
      </c>
      <c r="I165" s="0" t="str">
        <f aca="false">IF($G165="","Uncategorized — Review",IFERROR(INDEX(Mapping!$B:$B,MATCH($G165,Mapping!$A:$A,0)),"Uncategorized — Review"))</f>
        <v>Venmo</v>
      </c>
      <c r="J165" s="0" t="str">
        <f aca="false">IF($G165="","Uncategorized — Review",IFERROR(INDEX(Mapping!$C:$C,MATCH($G165,Mapping!$A:$A,0)),"Uncategorized — Review"))</f>
        <v>P2P Payments (Zelle/Venmo/PayPal)</v>
      </c>
    </row>
    <row r="166" customFormat="false" ht="15" hidden="false" customHeight="false" outlineLevel="0" collapsed="false">
      <c r="A166" s="0" t="str">
        <f aca="false">Chase1168_2025!A166</f>
        <v>DEBIT</v>
      </c>
      <c r="B166" s="14" t="n">
        <f aca="false">Chase1168_2025!B166</f>
        <v>45981</v>
      </c>
      <c r="C166" s="0" t="str">
        <f aca="false">Chase1168_2025!C166</f>
        <v>ORIG CO NAME:VENMO                  ORIG ID:3264681992 DESC DATE:251120 CO ENTRY DESCR:PAYMENT   SEC:WEB    TRACE#:021000024096444 EED:251120   IND ID:1046330944559                IND NAME:JUDD DUNNING                                                                                                 251120PPZH9U TRN: 3244096444TC</v>
      </c>
      <c r="D166" s="7" t="n">
        <f aca="false">Chase1168_2025!D166</f>
        <v>-150</v>
      </c>
      <c r="E166" s="0" t="str">
        <f aca="false">Chase1168_2025!E166</f>
        <v>ACH_DEBIT</v>
      </c>
      <c r="F166" s="7" t="n">
        <f aca="false">Chase1168_2025!F166</f>
        <v>3175.97</v>
      </c>
      <c r="G166" s="0" t="str">
        <f aca="false">Chase1168_2025!G166</f>
        <v>Venmo</v>
      </c>
      <c r="H166" s="15" t="n">
        <f aca="false">IF($B166="","",DATE(YEAR($B166),MONTH($B166),1))</f>
        <v>45962</v>
      </c>
      <c r="I166" s="0" t="str">
        <f aca="false">IF($G166="","Uncategorized — Review",IFERROR(INDEX(Mapping!$B:$B,MATCH($G166,Mapping!$A:$A,0)),"Uncategorized — Review"))</f>
        <v>Venmo</v>
      </c>
      <c r="J166" s="0" t="str">
        <f aca="false">IF($G166="","Uncategorized — Review",IFERROR(INDEX(Mapping!$C:$C,MATCH($G166,Mapping!$A:$A,0)),"Uncategorized — Review"))</f>
        <v>P2P Payments (Zelle/Venmo/PayPal)</v>
      </c>
    </row>
    <row r="167" customFormat="false" ht="15" hidden="false" customHeight="false" outlineLevel="0" collapsed="false">
      <c r="A167" s="0" t="str">
        <f aca="false">Chase1168_2025!A167</f>
        <v>DEBIT</v>
      </c>
      <c r="B167" s="14" t="n">
        <f aca="false">Chase1168_2025!B167</f>
        <v>45981</v>
      </c>
      <c r="C167" s="0" t="str">
        <f aca="false">Chase1168_2025!C167</f>
        <v>Online Transfer to CHK ...1117 transaction#: 27030460003 11/20</v>
      </c>
      <c r="D167" s="7" t="n">
        <f aca="false">Chase1168_2025!D167</f>
        <v>-2000</v>
      </c>
      <c r="E167" s="0" t="str">
        <f aca="false">Chase1168_2025!E167</f>
        <v>ACCT_XFER</v>
      </c>
      <c r="F167" s="7" t="n">
        <f aca="false">Chase1168_2025!F167</f>
        <v>3325.97</v>
      </c>
      <c r="G167" s="0" t="str">
        <f aca="false">Chase1168_2025!G167</f>
        <v>Transfer to Angela Dunning</v>
      </c>
      <c r="H167" s="15" t="n">
        <f aca="false">IF($B167="","",DATE(YEAR($B167),MONTH($B167),1))</f>
        <v>45962</v>
      </c>
      <c r="I167" s="0" t="str">
        <f aca="false">IF($G167="","Uncategorized — Review",IFERROR(INDEX(Mapping!$B:$B,MATCH($G167,Mapping!$A:$A,0)),"Uncategorized — Review"))</f>
        <v>Transfer to Angela Dunning</v>
      </c>
      <c r="J167" s="0" t="str">
        <f aca="false">IF($G167="","Uncategorized — Review",IFERROR(INDEX(Mapping!$C:$C,MATCH($G167,Mapping!$A:$A,0)),"Uncategorized — Review"))</f>
        <v>Owner / Family Distributions</v>
      </c>
    </row>
    <row r="168" customFormat="false" ht="15" hidden="false" customHeight="false" outlineLevel="0" collapsed="false">
      <c r="A168" s="0" t="str">
        <f aca="false">Chase1168_2025!A168</f>
        <v>DEBIT</v>
      </c>
      <c r="B168" s="14" t="n">
        <f aca="false">Chase1168_2025!B168</f>
        <v>45981</v>
      </c>
      <c r="C168" s="0" t="str">
        <f aca="false">Chase1168_2025!C168</f>
        <v>ORIG CO NAME:AMERICAN EXPRESS       ORIG ID:2005032111 DESC DATE:251120 CO ENTRY DESCR:ACH PMT   SEC:CCD    TRACE#:021000025626442 EED:251120   IND ID:W9068                        IND NAME:John Dunning                                                                                                 ER AM TRN: 3245626442TC</v>
      </c>
      <c r="D168" s="7" t="n">
        <f aca="false">Chase1168_2025!D168</f>
        <v>-95</v>
      </c>
      <c r="E168" s="0" t="str">
        <f aca="false">Chase1168_2025!E168</f>
        <v>ACH_DEBIT</v>
      </c>
      <c r="F168" s="7" t="n">
        <f aca="false">Chase1168_2025!F168</f>
        <v>5325.97</v>
      </c>
      <c r="G168" s="0" t="str">
        <f aca="false">Chase1168_2025!G168</f>
        <v>American Express Credit Card PMT</v>
      </c>
      <c r="H168" s="15" t="n">
        <f aca="false">IF($B168="","",DATE(YEAR($B168),MONTH($B168),1))</f>
        <v>45962</v>
      </c>
      <c r="I168" s="0" t="str">
        <f aca="false">IF($G168="","Uncategorized — Review",IFERROR(INDEX(Mapping!$B:$B,MATCH($G168,Mapping!$A:$A,0)),"Uncategorized — Review"))</f>
        <v>American Express Credit Card PMT</v>
      </c>
      <c r="J168" s="0" t="str">
        <f aca="false">IF($G168="","Uncategorized — Review",IFERROR(INDEX(Mapping!$C:$C,MATCH($G168,Mapping!$A:$A,0)),"Uncategorized — Review"))</f>
        <v>Credit Card &amp; Loan Payments</v>
      </c>
    </row>
    <row r="169" customFormat="false" ht="15" hidden="false" customHeight="false" outlineLevel="0" collapsed="false">
      <c r="A169" s="0" t="str">
        <f aca="false">Chase1168_2025!A169</f>
        <v>DEBIT</v>
      </c>
      <c r="B169" s="14" t="n">
        <f aca="false">Chase1168_2025!B169</f>
        <v>45981</v>
      </c>
      <c r="C169" s="0" t="str">
        <f aca="false">Chase1168_2025!C169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PAYMENTS/OCMT/COP26 55142,20/EXCH/3540.1896/CNTR/532103 55/INT/ANDRES_52763ATHOTMAIL.C TRN: 4424800324RE 11/20</v>
      </c>
      <c r="D169" s="7" t="n">
        <f aca="false">Chase1168_2025!D169</f>
        <v>-750</v>
      </c>
      <c r="E169" s="0" t="str">
        <f aca="false">Chase1168_2025!E169</f>
        <v>WIRE_OUTGOING</v>
      </c>
      <c r="F169" s="7" t="n">
        <f aca="false">Chase1168_2025!F169</f>
        <v>5420.97</v>
      </c>
      <c r="G169" s="0" t="str">
        <f aca="false">Chase1168_2025!G169</f>
        <v>Andres Alarcon Payroll</v>
      </c>
      <c r="H169" s="15" t="n">
        <f aca="false">IF($B169="","",DATE(YEAR($B169),MONTH($B169),1))</f>
        <v>45962</v>
      </c>
      <c r="I169" s="0" t="str">
        <f aca="false">IF($G169="","Uncategorized — Review",IFERROR(INDEX(Mapping!$B:$B,MATCH($G169,Mapping!$A:$A,0)),"Uncategorized — Review"))</f>
        <v>Andres Alarcon Payroll</v>
      </c>
      <c r="J169" s="0" t="str">
        <f aca="false">IF($G169="","Uncategorized — Review",IFERROR(INDEX(Mapping!$C:$C,MATCH($G169,Mapping!$A:$A,0)),"Uncategorized — Review"))</f>
        <v>Payroll &amp; Contractors</v>
      </c>
    </row>
    <row r="170" customFormat="false" ht="15" hidden="false" customHeight="false" outlineLevel="0" collapsed="false">
      <c r="A170" s="0" t="str">
        <f aca="false">Chase1168_2025!A170</f>
        <v>DEBIT</v>
      </c>
      <c r="B170" s="14" t="n">
        <f aca="false">Chase1168_2025!B170</f>
        <v>45981</v>
      </c>
      <c r="C170" s="0" t="str">
        <f aca="false">Chase1168_2025!C170</f>
        <v>Online Transfer to CHK ...1117 transaction#: 27023994927 11/20</v>
      </c>
      <c r="D170" s="7" t="n">
        <f aca="false">Chase1168_2025!D170</f>
        <v>-2000</v>
      </c>
      <c r="E170" s="0" t="str">
        <f aca="false">Chase1168_2025!E170</f>
        <v>ACCT_XFER</v>
      </c>
      <c r="F170" s="7" t="n">
        <f aca="false">Chase1168_2025!F170</f>
        <v>6170.97</v>
      </c>
      <c r="G170" s="0" t="str">
        <f aca="false">Chase1168_2025!G170</f>
        <v>Transfer to Angela Dunning</v>
      </c>
      <c r="H170" s="15" t="n">
        <f aca="false">IF($B170="","",DATE(YEAR($B170),MONTH($B170),1))</f>
        <v>45962</v>
      </c>
      <c r="I170" s="0" t="str">
        <f aca="false">IF($G170="","Uncategorized — Review",IFERROR(INDEX(Mapping!$B:$B,MATCH($G170,Mapping!$A:$A,0)),"Uncategorized — Review"))</f>
        <v>Transfer to Angela Dunning</v>
      </c>
      <c r="J170" s="0" t="str">
        <f aca="false">IF($G170="","Uncategorized — Review",IFERROR(INDEX(Mapping!$C:$C,MATCH($G170,Mapping!$A:$A,0)),"Uncategorized — Review"))</f>
        <v>Owner / Family Distributions</v>
      </c>
    </row>
    <row r="171" customFormat="false" ht="15" hidden="false" customHeight="false" outlineLevel="0" collapsed="false">
      <c r="A171" s="0" t="str">
        <f aca="false">Chase1168_2025!A171</f>
        <v>DEBIT</v>
      </c>
      <c r="B171" s="14" t="n">
        <f aca="false">Chase1168_2025!B171</f>
        <v>45981</v>
      </c>
      <c r="C171" s="0" t="str">
        <f aca="false">Chase1168_2025!C171</f>
        <v>Online Payment 27023969838 To LOS ANGELES MUNICIPAL SERVICE 11/20</v>
      </c>
      <c r="D171" s="7" t="n">
        <f aca="false">Chase1168_2025!D171</f>
        <v>-1900</v>
      </c>
      <c r="E171" s="0" t="str">
        <f aca="false">Chase1168_2025!E171</f>
        <v>BILLPAY</v>
      </c>
      <c r="F171" s="7" t="n">
        <f aca="false">Chase1168_2025!F171</f>
        <v>8170.97</v>
      </c>
      <c r="G171" s="0" t="str">
        <f aca="false">Chase1168_2025!G171</f>
        <v>Bill Payment</v>
      </c>
      <c r="H171" s="15" t="n">
        <f aca="false">IF($B171="","",DATE(YEAR($B171),MONTH($B171),1))</f>
        <v>45962</v>
      </c>
      <c r="I171" s="0" t="str">
        <f aca="false">IF($G171="","Uncategorized — Review",IFERROR(INDEX(Mapping!$B:$B,MATCH($G171,Mapping!$A:$A,0)),"Uncategorized — Review"))</f>
        <v>Bill Payment</v>
      </c>
      <c r="J171" s="0" t="str">
        <f aca="false">IF($G171="","Uncategorized — Review",IFERROR(INDEX(Mapping!$C:$C,MATCH($G171,Mapping!$A:$A,0)),"Uncategorized — Review"))</f>
        <v>DWG Operating</v>
      </c>
    </row>
    <row r="172" customFormat="false" ht="15" hidden="false" customHeight="false" outlineLevel="0" collapsed="false">
      <c r="A172" s="0" t="str">
        <f aca="false">Chase1168_2025!A172</f>
        <v>DEBIT</v>
      </c>
      <c r="B172" s="14" t="n">
        <f aca="false">Chase1168_2025!B172</f>
        <v>45981</v>
      </c>
      <c r="C172" s="0" t="str">
        <f aca="false">Chase1168_2025!C172</f>
        <v>PP*APPLE.COM/BILL 800-275-2273 CA            11/20</v>
      </c>
      <c r="D172" s="7" t="n">
        <f aca="false">Chase1168_2025!D172</f>
        <v>-12.99</v>
      </c>
      <c r="E172" s="0" t="str">
        <f aca="false">Chase1168_2025!E172</f>
        <v>DEBIT_CARD</v>
      </c>
      <c r="F172" s="7" t="n">
        <f aca="false">Chase1168_2025!F172</f>
        <v>10070.97</v>
      </c>
      <c r="G172" s="0" t="str">
        <f aca="false">Chase1168_2025!G172</f>
        <v>Personal - Subscriptions</v>
      </c>
      <c r="H172" s="15" t="n">
        <f aca="false">IF($B172="","",DATE(YEAR($B172),MONTH($B172),1))</f>
        <v>45962</v>
      </c>
      <c r="I172" s="0" t="str">
        <f aca="false">IF($G172="","Uncategorized — Review",IFERROR(INDEX(Mapping!$B:$B,MATCH($G172,Mapping!$A:$A,0)),"Uncategorized — Review"))</f>
        <v>Personal - Subscriptions</v>
      </c>
      <c r="J172" s="0" t="str">
        <f aca="false">IF($G172="","Uncategorized — Review",IFERROR(INDEX(Mapping!$C:$C,MATCH($G172,Mapping!$A:$A,0)),"Uncategorized — Review"))</f>
        <v>Personal — Owner</v>
      </c>
    </row>
    <row r="173" customFormat="false" ht="15" hidden="false" customHeight="false" outlineLevel="0" collapsed="false">
      <c r="A173" s="0" t="str">
        <f aca="false">Chase1168_2025!A173</f>
        <v>DEBIT</v>
      </c>
      <c r="B173" s="14" t="n">
        <f aca="false">Chase1168_2025!B173</f>
        <v>45981</v>
      </c>
      <c r="C173" s="0" t="str">
        <f aca="false">Chase1168_2025!C173</f>
        <v>PAYPAL *THEREALDEAL O 212-260-1332 NY        11/19</v>
      </c>
      <c r="D173" s="7" t="n">
        <f aca="false">Chase1168_2025!D173</f>
        <v>-15</v>
      </c>
      <c r="E173" s="0" t="str">
        <f aca="false">Chase1168_2025!E173</f>
        <v>DEBIT_CARD</v>
      </c>
      <c r="F173" s="7" t="n">
        <f aca="false">Chase1168_2025!F173</f>
        <v>10083.96</v>
      </c>
      <c r="G173" s="0" t="str">
        <f aca="false">Chase1168_2025!G173</f>
        <v>Personal - Subscriptions</v>
      </c>
      <c r="H173" s="15" t="n">
        <f aca="false">IF($B173="","",DATE(YEAR($B173),MONTH($B173),1))</f>
        <v>45962</v>
      </c>
      <c r="I173" s="0" t="str">
        <f aca="false">IF($G173="","Uncategorized — Review",IFERROR(INDEX(Mapping!$B:$B,MATCH($G173,Mapping!$A:$A,0)),"Uncategorized — Review"))</f>
        <v>Personal - Subscriptions</v>
      </c>
      <c r="J173" s="0" t="str">
        <f aca="false">IF($G173="","Uncategorized — Review",IFERROR(INDEX(Mapping!$C:$C,MATCH($G173,Mapping!$A:$A,0)),"Uncategorized — Review"))</f>
        <v>Personal — Owner</v>
      </c>
    </row>
    <row r="174" customFormat="false" ht="15" hidden="false" customHeight="false" outlineLevel="0" collapsed="false">
      <c r="A174" s="0" t="str">
        <f aca="false">Chase1168_2025!A174</f>
        <v>DEBIT</v>
      </c>
      <c r="B174" s="14" t="n">
        <f aca="false">Chase1168_2025!B174</f>
        <v>45981</v>
      </c>
      <c r="C174" s="0" t="str">
        <f aca="false">Chase1168_2025!C174</f>
        <v>PAYPAL *GRUBHUBFOOD A 877-585-7878 IL        11/20</v>
      </c>
      <c r="D174" s="7" t="n">
        <f aca="false">Chase1168_2025!D174</f>
        <v>-90.83</v>
      </c>
      <c r="E174" s="0" t="str">
        <f aca="false">Chase1168_2025!E174</f>
        <v>DEBIT_CARD</v>
      </c>
      <c r="F174" s="7" t="n">
        <f aca="false">Chase1168_2025!F174</f>
        <v>10098.96</v>
      </c>
      <c r="G174" s="0" t="str">
        <f aca="false">Chase1168_2025!G174</f>
        <v>Personal - Food</v>
      </c>
      <c r="H174" s="15" t="n">
        <f aca="false">IF($B174="","",DATE(YEAR($B174),MONTH($B174),1))</f>
        <v>45962</v>
      </c>
      <c r="I174" s="0" t="str">
        <f aca="false">IF($G174="","Uncategorized — Review",IFERROR(INDEX(Mapping!$B:$B,MATCH($G174,Mapping!$A:$A,0)),"Uncategorized — Review"))</f>
        <v>Personal - Food &amp; Dining</v>
      </c>
      <c r="J174" s="0" t="str">
        <f aca="false">IF($G174="","Uncategorized — Review",IFERROR(INDEX(Mapping!$C:$C,MATCH($G174,Mapping!$A:$A,0)),"Uncategorized — Review"))</f>
        <v>Personal — Owner</v>
      </c>
    </row>
    <row r="175" customFormat="false" ht="15" hidden="false" customHeight="false" outlineLevel="0" collapsed="false">
      <c r="A175" s="0" t="str">
        <f aca="false">Chase1168_2025!A175</f>
        <v>DEBIT</v>
      </c>
      <c r="B175" s="14" t="n">
        <f aca="false">Chase1168_2025!B175</f>
        <v>45981</v>
      </c>
      <c r="C175" s="0" t="str">
        <f aca="false">Chase1168_2025!C175</f>
        <v>PAYPAL *LINKEDIN 402-935-7733 CA             11/19</v>
      </c>
      <c r="D175" s="7" t="n">
        <f aca="false">Chase1168_2025!D175</f>
        <v>-533.4</v>
      </c>
      <c r="E175" s="0" t="str">
        <f aca="false">Chase1168_2025!E175</f>
        <v>DEBIT_CARD</v>
      </c>
      <c r="F175" s="7" t="n">
        <f aca="false">Chase1168_2025!F175</f>
        <v>10189.79</v>
      </c>
      <c r="G175" s="0" t="str">
        <f aca="false">Chase1168_2025!G175</f>
        <v>DWG HR</v>
      </c>
      <c r="H175" s="15" t="n">
        <f aca="false">IF($B175="","",DATE(YEAR($B175),MONTH($B175),1))</f>
        <v>45962</v>
      </c>
      <c r="I175" s="0" t="str">
        <f aca="false">IF($G175="","Uncategorized — Review",IFERROR(INDEX(Mapping!$B:$B,MATCH($G175,Mapping!$A:$A,0)),"Uncategorized — Review"))</f>
        <v>DWG HR</v>
      </c>
      <c r="J175" s="0" t="str">
        <f aca="false">IF($G175="","Uncategorized — Review",IFERROR(INDEX(Mapping!$C:$C,MATCH($G175,Mapping!$A:$A,0)),"Uncategorized — Review"))</f>
        <v>Payroll &amp; Contractors</v>
      </c>
    </row>
    <row r="176" customFormat="false" ht="15" hidden="false" customHeight="false" outlineLevel="0" collapsed="false">
      <c r="A176" s="0" t="str">
        <f aca="false">Chase1168_2025!A176</f>
        <v>DEBIT</v>
      </c>
      <c r="B176" s="14" t="n">
        <f aca="false">Chase1168_2025!B176</f>
        <v>45980</v>
      </c>
      <c r="C176" s="0" t="str">
        <f aca="false">Chase1168_2025!C176</f>
        <v>Zelle payment to Kandis Rowe JPM99bva2iu9</v>
      </c>
      <c r="D176" s="7" t="n">
        <f aca="false">Chase1168_2025!D176</f>
        <v>-100</v>
      </c>
      <c r="E176" s="0" t="str">
        <f aca="false">Chase1168_2025!E176</f>
        <v>CHASE_TO_PARTNERFI</v>
      </c>
      <c r="F176" s="7" t="n">
        <f aca="false">Chase1168_2025!F176</f>
        <v>10723.19</v>
      </c>
      <c r="G176" s="0" t="str">
        <f aca="false">Chase1168_2025!G176</f>
        <v>Zelle/P2P</v>
      </c>
      <c r="H176" s="15" t="n">
        <f aca="false">IF($B176="","",DATE(YEAR($B176),MONTH($B176),1))</f>
        <v>45962</v>
      </c>
      <c r="I176" s="0" t="str">
        <f aca="false">IF($G176="","Uncategorized — Review",IFERROR(INDEX(Mapping!$B:$B,MATCH($G176,Mapping!$A:$A,0)),"Uncategorized — Review"))</f>
        <v>Zelle/P2P</v>
      </c>
      <c r="J176" s="0" t="str">
        <f aca="false">IF($G176="","Uncategorized — Review",IFERROR(INDEX(Mapping!$C:$C,MATCH($G176,Mapping!$A:$A,0)),"Uncategorized — Review"))</f>
        <v>P2P Payments (Zelle/Venmo/PayPal)</v>
      </c>
    </row>
    <row r="177" customFormat="false" ht="15" hidden="false" customHeight="false" outlineLevel="0" collapsed="false">
      <c r="A177" s="0" t="str">
        <f aca="false">Chase1168_2025!A177</f>
        <v>DEBIT</v>
      </c>
      <c r="B177" s="14" t="n">
        <f aca="false">Chase1168_2025!B177</f>
        <v>45980</v>
      </c>
      <c r="C177" s="0" t="str">
        <f aca="false">Chase1168_2025!C177</f>
        <v>PAYPAL *FOXCORP 888-596-3938 CA              11/19</v>
      </c>
      <c r="D177" s="7" t="n">
        <f aca="false">Chase1168_2025!D177</f>
        <v>-8.99</v>
      </c>
      <c r="E177" s="0" t="str">
        <f aca="false">Chase1168_2025!E177</f>
        <v>DEBIT_CARD</v>
      </c>
      <c r="F177" s="7" t="n">
        <f aca="false">Chase1168_2025!F177</f>
        <v>10823.19</v>
      </c>
      <c r="G177" s="0" t="str">
        <f aca="false">Chase1168_2025!G177</f>
        <v>Personal - Subscriptions</v>
      </c>
      <c r="H177" s="15" t="n">
        <f aca="false">IF($B177="","",DATE(YEAR($B177),MONTH($B177),1))</f>
        <v>45962</v>
      </c>
      <c r="I177" s="0" t="str">
        <f aca="false">IF($G177="","Uncategorized — Review",IFERROR(INDEX(Mapping!$B:$B,MATCH($G177,Mapping!$A:$A,0)),"Uncategorized — Review"))</f>
        <v>Personal - Subscriptions</v>
      </c>
      <c r="J177" s="0" t="str">
        <f aca="false">IF($G177="","Uncategorized — Review",IFERROR(INDEX(Mapping!$C:$C,MATCH($G177,Mapping!$A:$A,0)),"Uncategorized — Review"))</f>
        <v>Personal — Owner</v>
      </c>
    </row>
    <row r="178" customFormat="false" ht="15" hidden="false" customHeight="false" outlineLevel="0" collapsed="false">
      <c r="A178" s="0" t="str">
        <f aca="false">Chase1168_2025!A178</f>
        <v>DEBIT</v>
      </c>
      <c r="B178" s="14" t="n">
        <f aca="false">Chase1168_2025!B178</f>
        <v>45980</v>
      </c>
      <c r="C178" s="0" t="str">
        <f aca="false">Chase1168_2025!C178</f>
        <v>DNH*GODADDY#3949928723 480-5058855 AZ        11/18</v>
      </c>
      <c r="D178" s="7" t="n">
        <f aca="false">Chase1168_2025!D178</f>
        <v>-21.98</v>
      </c>
      <c r="E178" s="0" t="str">
        <f aca="false">Chase1168_2025!E178</f>
        <v>DEBIT_CARD</v>
      </c>
      <c r="F178" s="7" t="n">
        <f aca="false">Chase1168_2025!F178</f>
        <v>10832.18</v>
      </c>
      <c r="G178" s="0" t="str">
        <f aca="false">Chase1168_2025!G178</f>
        <v>Go Daddy</v>
      </c>
      <c r="H178" s="15" t="n">
        <f aca="false">IF($B178="","",DATE(YEAR($B178),MONTH($B178),1))</f>
        <v>45962</v>
      </c>
      <c r="I178" s="0" t="str">
        <f aca="false">IF($G178="","Uncategorized — Review",IFERROR(INDEX(Mapping!$B:$B,MATCH($G178,Mapping!$A:$A,0)),"Uncategorized — Review"))</f>
        <v>Go Daddy</v>
      </c>
      <c r="J178" s="0" t="str">
        <f aca="false">IF($G178="","Uncategorized — Review",IFERROR(INDEX(Mapping!$C:$C,MATCH($G178,Mapping!$A:$A,0)),"Uncategorized — Review"))</f>
        <v>DWG Operating</v>
      </c>
    </row>
    <row r="179" customFormat="false" ht="15" hidden="false" customHeight="false" outlineLevel="0" collapsed="false">
      <c r="A179" s="0" t="str">
        <f aca="false">Chase1168_2025!A179</f>
        <v>DEBIT</v>
      </c>
      <c r="B179" s="14" t="n">
        <f aca="false">Chase1168_2025!B179</f>
        <v>45980</v>
      </c>
      <c r="C179" s="0" t="str">
        <f aca="false">Chase1168_2025!C179</f>
        <v>DNH*GODADDY#3949928689 480-5058855 AZ        11/18</v>
      </c>
      <c r="D179" s="7" t="n">
        <f aca="false">Chase1168_2025!D179</f>
        <v>-15.98</v>
      </c>
      <c r="E179" s="0" t="str">
        <f aca="false">Chase1168_2025!E179</f>
        <v>DEBIT_CARD</v>
      </c>
      <c r="F179" s="7" t="n">
        <f aca="false">Chase1168_2025!F179</f>
        <v>10854.16</v>
      </c>
      <c r="G179" s="0" t="str">
        <f aca="false">Chase1168_2025!G179</f>
        <v>Go Daddy</v>
      </c>
      <c r="H179" s="15" t="n">
        <f aca="false">IF($B179="","",DATE(YEAR($B179),MONTH($B179),1))</f>
        <v>45962</v>
      </c>
      <c r="I179" s="0" t="str">
        <f aca="false">IF($G179="","Uncategorized — Review",IFERROR(INDEX(Mapping!$B:$B,MATCH($G179,Mapping!$A:$A,0)),"Uncategorized — Review"))</f>
        <v>Go Daddy</v>
      </c>
      <c r="J179" s="0" t="str">
        <f aca="false">IF($G179="","Uncategorized — Review",IFERROR(INDEX(Mapping!$C:$C,MATCH($G179,Mapping!$A:$A,0)),"Uncategorized — Review"))</f>
        <v>DWG Operating</v>
      </c>
    </row>
    <row r="180" customFormat="false" ht="15" hidden="false" customHeight="false" outlineLevel="0" collapsed="false">
      <c r="A180" s="0" t="str">
        <f aca="false">Chase1168_2025!A180</f>
        <v>DEBIT</v>
      </c>
      <c r="B180" s="14" t="n">
        <f aca="false">Chase1168_2025!B180</f>
        <v>45979</v>
      </c>
      <c r="C180" s="0" t="str">
        <f aca="false">Chase1168_2025!C180</f>
        <v>Zelle payment to Menashe 27007573483</v>
      </c>
      <c r="D180" s="7" t="n">
        <f aca="false">Chase1168_2025!D180</f>
        <v>-1000</v>
      </c>
      <c r="E180" s="0" t="str">
        <f aca="false">Chase1168_2025!E180</f>
        <v>QUICKPAY_DEBIT</v>
      </c>
      <c r="F180" s="7" t="n">
        <f aca="false">Chase1168_2025!F180</f>
        <v>10870.14</v>
      </c>
      <c r="G180" s="0" t="str">
        <f aca="false">Chase1168_2025!G180</f>
        <v>Zelle - Menashe</v>
      </c>
      <c r="H180" s="15" t="n">
        <f aca="false">IF($B180="","",DATE(YEAR($B180),MONTH($B180),1))</f>
        <v>45962</v>
      </c>
      <c r="I180" s="0" t="str">
        <f aca="false">IF($G180="","Uncategorized — Review",IFERROR(INDEX(Mapping!$B:$B,MATCH($G180,Mapping!$A:$A,0)),"Uncategorized — Review"))</f>
        <v>Zelle - Menashe</v>
      </c>
      <c r="J180" s="0" t="str">
        <f aca="false">IF($G180="","Uncategorized — Review",IFERROR(INDEX(Mapping!$C:$C,MATCH($G180,Mapping!$A:$A,0)),"Uncategorized — Review"))</f>
        <v>P2P Payments (Zelle/Venmo/PayPal)</v>
      </c>
    </row>
    <row r="181" customFormat="false" ht="15" hidden="false" customHeight="false" outlineLevel="0" collapsed="false">
      <c r="A181" s="0" t="str">
        <f aca="false">Chase1168_2025!A181</f>
        <v>DEBIT</v>
      </c>
      <c r="B181" s="14" t="n">
        <f aca="false">Chase1168_2025!B181</f>
        <v>45979</v>
      </c>
      <c r="C181" s="0" t="str">
        <f aca="false">Chase1168_2025!C181</f>
        <v>Zelle payment to Jeff Fajardo JPM99bv5y8n0</v>
      </c>
      <c r="D181" s="7" t="n">
        <f aca="false">Chase1168_2025!D181</f>
        <v>-290</v>
      </c>
      <c r="E181" s="0" t="str">
        <f aca="false">Chase1168_2025!E181</f>
        <v>CHASE_TO_PARTNERFI</v>
      </c>
      <c r="F181" s="7" t="n">
        <f aca="false">Chase1168_2025!F181</f>
        <v>11870.14</v>
      </c>
      <c r="G181" s="0" t="str">
        <f aca="false">Chase1168_2025!G181</f>
        <v>Zelle - Jeff Fajardo</v>
      </c>
      <c r="H181" s="15" t="n">
        <f aca="false">IF($B181="","",DATE(YEAR($B181),MONTH($B181),1))</f>
        <v>45962</v>
      </c>
      <c r="I181" s="0" t="str">
        <f aca="false">IF($G181="","Uncategorized — Review",IFERROR(INDEX(Mapping!$B:$B,MATCH($G181,Mapping!$A:$A,0)),"Uncategorized — Review"))</f>
        <v>Zelle - Jeff Fajardo</v>
      </c>
      <c r="J181" s="0" t="str">
        <f aca="false">IF($G181="","Uncategorized — Review",IFERROR(INDEX(Mapping!$C:$C,MATCH($G181,Mapping!$A:$A,0)),"Uncategorized — Review"))</f>
        <v>P2P Payments (Zelle/Venmo/PayPal)</v>
      </c>
    </row>
    <row r="182" customFormat="false" ht="15" hidden="false" customHeight="false" outlineLevel="0" collapsed="false">
      <c r="A182" s="0" t="str">
        <f aca="false">Chase1168_2025!A182</f>
        <v>DEBIT</v>
      </c>
      <c r="B182" s="14" t="n">
        <f aca="false">Chase1168_2025!B182</f>
        <v>45979</v>
      </c>
      <c r="C182" s="0" t="str">
        <f aca="false">Chase1168_2025!C182</f>
        <v>Zelle payment to Jeff Fajardo JPM99bv5yg5q</v>
      </c>
      <c r="D182" s="7" t="n">
        <f aca="false">Chase1168_2025!D182</f>
        <v>-550</v>
      </c>
      <c r="E182" s="0" t="str">
        <f aca="false">Chase1168_2025!E182</f>
        <v>CHASE_TO_PARTNERFI</v>
      </c>
      <c r="F182" s="7" t="n">
        <f aca="false">Chase1168_2025!F182</f>
        <v>12160.14</v>
      </c>
      <c r="G182" s="0" t="str">
        <f aca="false">Chase1168_2025!G182</f>
        <v>Zelle - Jeff Fajardo</v>
      </c>
      <c r="H182" s="15" t="n">
        <f aca="false">IF($B182="","",DATE(YEAR($B182),MONTH($B182),1))</f>
        <v>45962</v>
      </c>
      <c r="I182" s="0" t="str">
        <f aca="false">IF($G182="","Uncategorized — Review",IFERROR(INDEX(Mapping!$B:$B,MATCH($G182,Mapping!$A:$A,0)),"Uncategorized — Review"))</f>
        <v>Zelle - Jeff Fajardo</v>
      </c>
      <c r="J182" s="0" t="str">
        <f aca="false">IF($G182="","Uncategorized — Review",IFERROR(INDEX(Mapping!$C:$C,MATCH($G182,Mapping!$A:$A,0)),"Uncategorized — Review"))</f>
        <v>P2P Payments (Zelle/Venmo/PayPal)</v>
      </c>
    </row>
    <row r="183" customFormat="false" ht="15" hidden="false" customHeight="false" outlineLevel="0" collapsed="false">
      <c r="A183" s="0" t="str">
        <f aca="false">Chase1168_2025!A183</f>
        <v>DEBIT</v>
      </c>
      <c r="B183" s="14" t="n">
        <f aca="false">Chase1168_2025!B183</f>
        <v>45979</v>
      </c>
      <c r="C183" s="0" t="str">
        <f aca="false">Chase1168_2025!C183</f>
        <v>ORIG CO NAME:LEASEDIRECT            ORIG ID:138190450  DESC DATE:251117 CO ENTRY DESCR:15146_1   SEC:CCD    TRACE#:043000098245293 EED:251118   IND ID:1556926                      IND NAME:DWG CAPITAL GROUP          INV# 592680384 DUE 11/15/25 REC# 10 10338595                                      15147 TRN: 3228245293TC</v>
      </c>
      <c r="D183" s="7" t="n">
        <f aca="false">Chase1168_2025!D183</f>
        <v>-104.01</v>
      </c>
      <c r="E183" s="0" t="str">
        <f aca="false">Chase1168_2025!E183</f>
        <v>ACH_DEBIT</v>
      </c>
      <c r="F183" s="7" t="n">
        <f aca="false">Chase1168_2025!F183</f>
        <v>12710.14</v>
      </c>
      <c r="G183" s="0" t="str">
        <f aca="false">Chase1168_2025!G183</f>
        <v>DWG Marketing</v>
      </c>
      <c r="H183" s="15" t="n">
        <f aca="false">IF($B183="","",DATE(YEAR($B183),MONTH($B183),1))</f>
        <v>45962</v>
      </c>
      <c r="I183" s="0" t="str">
        <f aca="false">IF($G183="","Uncategorized — Review",IFERROR(INDEX(Mapping!$B:$B,MATCH($G183,Mapping!$A:$A,0)),"Uncategorized — Review"))</f>
        <v>DWG Marketing</v>
      </c>
      <c r="J183" s="0" t="str">
        <f aca="false">IF($G183="","Uncategorized — Review",IFERROR(INDEX(Mapping!$C:$C,MATCH($G183,Mapping!$A:$A,0)),"Uncategorized — Review"))</f>
        <v>DWG Operating</v>
      </c>
    </row>
    <row r="184" customFormat="false" ht="15" hidden="false" customHeight="false" outlineLevel="0" collapsed="false">
      <c r="A184" s="0" t="str">
        <f aca="false">Chase1168_2025!A184</f>
        <v>DEBIT</v>
      </c>
      <c r="B184" s="14" t="n">
        <f aca="false">Chase1168_2025!B184</f>
        <v>45979</v>
      </c>
      <c r="C184" s="0" t="str">
        <f aca="false">Chase1168_2025!C184</f>
        <v>ORIG CO NAME:BLUESHIELDCA           ORIG ID:7529219311 DESC DATE:251117 CO ENTRY DESCR:BILL PAY  SEC:CCD    TRACE#:031101117644338 EED:251118   IND ID:15215328731                  IND NAME:JOHN DUNNING TRN: 3227644338TC</v>
      </c>
      <c r="D184" s="7" t="n">
        <f aca="false">Chase1168_2025!D184</f>
        <v>-2380.98</v>
      </c>
      <c r="E184" s="0" t="str">
        <f aca="false">Chase1168_2025!E184</f>
        <v>ACH_DEBIT</v>
      </c>
      <c r="F184" s="7" t="n">
        <f aca="false">Chase1168_2025!F184</f>
        <v>12814.15</v>
      </c>
      <c r="G184" s="0" t="str">
        <f aca="false">Chase1168_2025!G184</f>
        <v>Personal - Health Insurance</v>
      </c>
      <c r="H184" s="15" t="n">
        <f aca="false">IF($B184="","",DATE(YEAR($B184),MONTH($B184),1))</f>
        <v>45962</v>
      </c>
      <c r="I184" s="0" t="str">
        <f aca="false">IF($G184="","Uncategorized — Review",IFERROR(INDEX(Mapping!$B:$B,MATCH($G184,Mapping!$A:$A,0)),"Uncategorized — Review"))</f>
        <v>Personal - Health (incl. Ins.)</v>
      </c>
      <c r="J184" s="0" t="str">
        <f aca="false">IF($G184="","Uncategorized — Review",IFERROR(INDEX(Mapping!$C:$C,MATCH($G184,Mapping!$A:$A,0)),"Uncategorized — Review"))</f>
        <v>Personal — Owner</v>
      </c>
    </row>
    <row r="185" customFormat="false" ht="15" hidden="false" customHeight="false" outlineLevel="0" collapsed="false">
      <c r="A185" s="0" t="str">
        <f aca="false">Chase1168_2025!A185</f>
        <v>DEBIT</v>
      </c>
      <c r="B185" s="14" t="n">
        <f aca="false">Chase1168_2025!B185</f>
        <v>45979</v>
      </c>
      <c r="C185" s="0" t="str">
        <f aca="false">Chase1168_2025!C185</f>
        <v>PP*APPLE.COM/BILL 800-275-2273 CA            11/17</v>
      </c>
      <c r="D185" s="7" t="n">
        <f aca="false">Chase1168_2025!D185</f>
        <v>-9.99</v>
      </c>
      <c r="E185" s="0" t="str">
        <f aca="false">Chase1168_2025!E185</f>
        <v>DEBIT_CARD</v>
      </c>
      <c r="F185" s="7" t="n">
        <f aca="false">Chase1168_2025!F185</f>
        <v>15195.13</v>
      </c>
      <c r="G185" s="0" t="str">
        <f aca="false">Chase1168_2025!G185</f>
        <v>Personal - Subscriptions</v>
      </c>
      <c r="H185" s="15" t="n">
        <f aca="false">IF($B185="","",DATE(YEAR($B185),MONTH($B185),1))</f>
        <v>45962</v>
      </c>
      <c r="I185" s="0" t="str">
        <f aca="false">IF($G185="","Uncategorized — Review",IFERROR(INDEX(Mapping!$B:$B,MATCH($G185,Mapping!$A:$A,0)),"Uncategorized — Review"))</f>
        <v>Personal - Subscriptions</v>
      </c>
      <c r="J185" s="0" t="str">
        <f aca="false">IF($G185="","Uncategorized — Review",IFERROR(INDEX(Mapping!$C:$C,MATCH($G185,Mapping!$A:$A,0)),"Uncategorized — Review"))</f>
        <v>Personal — Owner</v>
      </c>
    </row>
    <row r="186" customFormat="false" ht="15" hidden="false" customHeight="false" outlineLevel="0" collapsed="false">
      <c r="A186" s="0" t="str">
        <f aca="false">Chase1168_2025!A186</f>
        <v>DEBIT</v>
      </c>
      <c r="B186" s="14" t="n">
        <f aca="false">Chase1168_2025!B186</f>
        <v>45979</v>
      </c>
      <c r="C186" s="0" t="str">
        <f aca="false">Chase1168_2025!C186</f>
        <v>UPWORK * -866372688 866-262-4478 CA          11/17</v>
      </c>
      <c r="D186" s="7" t="n">
        <f aca="false">Chase1168_2025!D186</f>
        <v>-227.5</v>
      </c>
      <c r="E186" s="0" t="str">
        <f aca="false">Chase1168_2025!E186</f>
        <v>DEBIT_CARD</v>
      </c>
      <c r="F186" s="7" t="n">
        <f aca="false">Chase1168_2025!F186</f>
        <v>15205.12</v>
      </c>
      <c r="G186" s="0" t="str">
        <f aca="false">Chase1168_2025!G186</f>
        <v>Upwork - Sergei M.</v>
      </c>
      <c r="H186" s="15" t="n">
        <f aca="false">IF($B186="","",DATE(YEAR($B186),MONTH($B186),1))</f>
        <v>45962</v>
      </c>
      <c r="I186" s="0" t="str">
        <f aca="false">IF($G186="","Uncategorized — Review",IFERROR(INDEX(Mapping!$B:$B,MATCH($G186,Mapping!$A:$A,0)),"Uncategorized — Review"))</f>
        <v>Upwork - Sergei M.</v>
      </c>
      <c r="J186" s="0" t="str">
        <f aca="false">IF($G186="","Uncategorized — Review",IFERROR(INDEX(Mapping!$C:$C,MATCH($G186,Mapping!$A:$A,0)),"Uncategorized — Review"))</f>
        <v>Payroll &amp; Contractors</v>
      </c>
    </row>
    <row r="187" customFormat="false" ht="15" hidden="false" customHeight="false" outlineLevel="0" collapsed="false">
      <c r="A187" s="0" t="str">
        <f aca="false">Chase1168_2025!A187</f>
        <v>DEBIT</v>
      </c>
      <c r="B187" s="14" t="n">
        <f aca="false">Chase1168_2025!B187</f>
        <v>45978</v>
      </c>
      <c r="C187" s="0" t="str">
        <f aca="false">Chase1168_2025!C187</f>
        <v>ORIG CO NAME:VENMO                  ORIG ID:3264681992 DESC DATE:251117 CO ENTRY DESCR:PAYMENT   SEC:WEB    TRACE#:021000023031868 EED:251117   IND ID:1046262787315                IND NAME:JUDD DUNNING                                                                                                 251117PPZLXL TRN: 3213031868TC</v>
      </c>
      <c r="D187" s="7" t="n">
        <f aca="false">Chase1168_2025!D187</f>
        <v>-1500</v>
      </c>
      <c r="E187" s="0" t="str">
        <f aca="false">Chase1168_2025!E187</f>
        <v>ACH_DEBIT</v>
      </c>
      <c r="F187" s="7" t="n">
        <f aca="false">Chase1168_2025!F187</f>
        <v>15432.62</v>
      </c>
      <c r="G187" s="0" t="str">
        <f aca="false">Chase1168_2025!G187</f>
        <v>Venmo</v>
      </c>
      <c r="H187" s="15" t="n">
        <f aca="false">IF($B187="","",DATE(YEAR($B187),MONTH($B187),1))</f>
        <v>45962</v>
      </c>
      <c r="I187" s="0" t="str">
        <f aca="false">IF($G187="","Uncategorized — Review",IFERROR(INDEX(Mapping!$B:$B,MATCH($G187,Mapping!$A:$A,0)),"Uncategorized — Review"))</f>
        <v>Venmo</v>
      </c>
      <c r="J187" s="0" t="str">
        <f aca="false">IF($G187="","Uncategorized — Review",IFERROR(INDEX(Mapping!$C:$C,MATCH($G187,Mapping!$A:$A,0)),"Uncategorized — Review"))</f>
        <v>P2P Payments (Zelle/Venmo/PayPal)</v>
      </c>
    </row>
    <row r="188" customFormat="false" ht="15" hidden="false" customHeight="false" outlineLevel="0" collapsed="false">
      <c r="A188" s="0" t="str">
        <f aca="false">Chase1168_2025!A188</f>
        <v>DEBIT</v>
      </c>
      <c r="B188" s="14" t="n">
        <f aca="false">Chase1168_2025!B188</f>
        <v>45978</v>
      </c>
      <c r="C188" s="0" t="str">
        <f aca="false">Chase1168_2025!C188</f>
        <v>Zelle payment to Jeff Fajardo JPM99bv2lgnp</v>
      </c>
      <c r="D188" s="7" t="n">
        <f aca="false">Chase1168_2025!D188</f>
        <v>-4000</v>
      </c>
      <c r="E188" s="0" t="str">
        <f aca="false">Chase1168_2025!E188</f>
        <v>CHASE_TO_PARTNERFI</v>
      </c>
      <c r="F188" s="7" t="n">
        <f aca="false">Chase1168_2025!F188</f>
        <v>16932.62</v>
      </c>
      <c r="G188" s="0" t="str">
        <f aca="false">Chase1168_2025!G188</f>
        <v>Zelle - Jeff Fajardo</v>
      </c>
      <c r="H188" s="15" t="n">
        <f aca="false">IF($B188="","",DATE(YEAR($B188),MONTH($B188),1))</f>
        <v>45962</v>
      </c>
      <c r="I188" s="0" t="str">
        <f aca="false">IF($G188="","Uncategorized — Review",IFERROR(INDEX(Mapping!$B:$B,MATCH($G188,Mapping!$A:$A,0)),"Uncategorized — Review"))</f>
        <v>Zelle - Jeff Fajardo</v>
      </c>
      <c r="J188" s="0" t="str">
        <f aca="false">IF($G188="","Uncategorized — Review",IFERROR(INDEX(Mapping!$C:$C,MATCH($G188,Mapping!$A:$A,0)),"Uncategorized — Review"))</f>
        <v>P2P Payments (Zelle/Venmo/PayPal)</v>
      </c>
    </row>
    <row r="189" customFormat="false" ht="15" hidden="false" customHeight="false" outlineLevel="0" collapsed="false">
      <c r="A189" s="0" t="str">
        <f aca="false">Chase1168_2025!A189</f>
        <v>DEBIT</v>
      </c>
      <c r="B189" s="14" t="n">
        <f aca="false">Chase1168_2025!B189</f>
        <v>45978</v>
      </c>
      <c r="C189" s="0" t="str">
        <f aca="false">Chase1168_2025!C189</f>
        <v>Online Transfer to CHK ...1117 transaction#: 26997501218 11/17</v>
      </c>
      <c r="D189" s="7" t="n">
        <f aca="false">Chase1168_2025!D189</f>
        <v>-2000</v>
      </c>
      <c r="E189" s="0" t="str">
        <f aca="false">Chase1168_2025!E189</f>
        <v>ACCT_XFER</v>
      </c>
      <c r="F189" s="7" t="n">
        <f aca="false">Chase1168_2025!F189</f>
        <v>20932.62</v>
      </c>
      <c r="G189" s="0" t="str">
        <f aca="false">Chase1168_2025!G189</f>
        <v>Transfer to Angela Dunning</v>
      </c>
      <c r="H189" s="15" t="n">
        <f aca="false">IF($B189="","",DATE(YEAR($B189),MONTH($B189),1))</f>
        <v>45962</v>
      </c>
      <c r="I189" s="0" t="str">
        <f aca="false">IF($G189="","Uncategorized — Review",IFERROR(INDEX(Mapping!$B:$B,MATCH($G189,Mapping!$A:$A,0)),"Uncategorized — Review"))</f>
        <v>Transfer to Angela Dunning</v>
      </c>
      <c r="J189" s="0" t="str">
        <f aca="false">IF($G189="","Uncategorized — Review",IFERROR(INDEX(Mapping!$C:$C,MATCH($G189,Mapping!$A:$A,0)),"Uncategorized — Review"))</f>
        <v>Owner / Family Distributions</v>
      </c>
    </row>
    <row r="190" customFormat="false" ht="15" hidden="false" customHeight="false" outlineLevel="0" collapsed="false">
      <c r="A190" s="0" t="str">
        <f aca="false">Chase1168_2025!A190</f>
        <v>DEBIT</v>
      </c>
      <c r="B190" s="14" t="n">
        <f aca="false">Chase1168_2025!B190</f>
        <v>45978</v>
      </c>
      <c r="C190" s="0" t="str">
        <f aca="false">Chase1168_2025!C190</f>
        <v>Online Transfer to CHK ...7899 transaction#: 26997497908 11/17</v>
      </c>
      <c r="D190" s="7" t="n">
        <f aca="false">Chase1168_2025!D190</f>
        <v>-5000</v>
      </c>
      <c r="E190" s="0" t="str">
        <f aca="false">Chase1168_2025!E190</f>
        <v>ACCT_XFER</v>
      </c>
      <c r="F190" s="7" t="n">
        <f aca="false">Chase1168_2025!F190</f>
        <v>22932.62</v>
      </c>
      <c r="G190" s="0" t="str">
        <f aca="false">Chase1168_2025!G190</f>
        <v>Transfer to TX Personal Joint</v>
      </c>
      <c r="H190" s="15" t="n">
        <f aca="false">IF($B190="","",DATE(YEAR($B190),MONTH($B190),1))</f>
        <v>45962</v>
      </c>
      <c r="I190" s="0" t="str">
        <f aca="false">IF($G190="","Uncategorized — Review",IFERROR(INDEX(Mapping!$B:$B,MATCH($G190,Mapping!$A:$A,0)),"Uncategorized — Review"))</f>
        <v>Transfer to TX Personal Joint</v>
      </c>
      <c r="J190" s="0" t="str">
        <f aca="false">IF($G190="","Uncategorized — Review",IFERROR(INDEX(Mapping!$C:$C,MATCH($G190,Mapping!$A:$A,0)),"Uncategorized — Review"))</f>
        <v>Owner / Family Distributions</v>
      </c>
    </row>
    <row r="191" customFormat="false" ht="15" hidden="false" customHeight="false" outlineLevel="0" collapsed="false">
      <c r="A191" s="0" t="str">
        <f aca="false">Chase1168_2025!A191</f>
        <v>DEBIT</v>
      </c>
      <c r="B191" s="14" t="n">
        <f aca="false">Chase1168_2025!B191</f>
        <v>45978</v>
      </c>
      <c r="C191" s="0" t="str">
        <f aca="false">Chase1168_2025!C191</f>
        <v>Online Payment 26997477555 To MERCEDES BENZ FINANCIAL 11/17</v>
      </c>
      <c r="D191" s="7" t="n">
        <f aca="false">Chase1168_2025!D191</f>
        <v>-100</v>
      </c>
      <c r="E191" s="0" t="str">
        <f aca="false">Chase1168_2025!E191</f>
        <v>BILLPAY</v>
      </c>
      <c r="F191" s="7" t="n">
        <f aca="false">Chase1168_2025!F191</f>
        <v>27932.62</v>
      </c>
      <c r="G191" s="0" t="str">
        <f aca="false">Chase1168_2025!G191</f>
        <v>Personal - Car (Mercedes)</v>
      </c>
      <c r="H191" s="15" t="n">
        <f aca="false">IF($B191="","",DATE(YEAR($B191),MONTH($B191),1))</f>
        <v>45962</v>
      </c>
      <c r="I191" s="0" t="str">
        <f aca="false">IF($G191="","Uncategorized — Review",IFERROR(INDEX(Mapping!$B:$B,MATCH($G191,Mapping!$A:$A,0)),"Uncategorized — Review"))</f>
        <v>Personal - Car &amp; Auto</v>
      </c>
      <c r="J191" s="0" t="str">
        <f aca="false">IF($G191="","Uncategorized — Review",IFERROR(INDEX(Mapping!$C:$C,MATCH($G191,Mapping!$A:$A,0)),"Uncategorized — Review"))</f>
        <v>Personal — Owner</v>
      </c>
    </row>
    <row r="192" customFormat="false" ht="15" hidden="false" customHeight="false" outlineLevel="0" collapsed="false">
      <c r="A192" s="0" t="str">
        <f aca="false">Chase1168_2025!A192</f>
        <v>DEBIT</v>
      </c>
      <c r="B192" s="14" t="n">
        <f aca="false">Chase1168_2025!B192</f>
        <v>45978</v>
      </c>
      <c r="C192" s="0" t="str">
        <f aca="false">Chase1168_2025!C192</f>
        <v>Online Payment 26997488223 To MERCEDES BENZ FINANCIAL 11/17</v>
      </c>
      <c r="D192" s="7" t="n">
        <f aca="false">Chase1168_2025!D192</f>
        <v>-100</v>
      </c>
      <c r="E192" s="0" t="str">
        <f aca="false">Chase1168_2025!E192</f>
        <v>BILLPAY</v>
      </c>
      <c r="F192" s="7" t="n">
        <f aca="false">Chase1168_2025!F192</f>
        <v>28032.62</v>
      </c>
      <c r="G192" s="0" t="str">
        <f aca="false">Chase1168_2025!G192</f>
        <v>Personal - Car (Mercedes)</v>
      </c>
      <c r="H192" s="15" t="n">
        <f aca="false">IF($B192="","",DATE(YEAR($B192),MONTH($B192),1))</f>
        <v>45962</v>
      </c>
      <c r="I192" s="0" t="str">
        <f aca="false">IF($G192="","Uncategorized — Review",IFERROR(INDEX(Mapping!$B:$B,MATCH($G192,Mapping!$A:$A,0)),"Uncategorized — Review"))</f>
        <v>Personal - Car &amp; Auto</v>
      </c>
      <c r="J192" s="0" t="str">
        <f aca="false">IF($G192="","Uncategorized — Review",IFERROR(INDEX(Mapping!$C:$C,MATCH($G192,Mapping!$A:$A,0)),"Uncategorized — Review"))</f>
        <v>Personal — Owner</v>
      </c>
    </row>
    <row r="193" customFormat="false" ht="15" hidden="false" customHeight="false" outlineLevel="0" collapsed="false">
      <c r="A193" s="0" t="str">
        <f aca="false">Chase1168_2025!A193</f>
        <v>DEBIT</v>
      </c>
      <c r="B193" s="14" t="n">
        <f aca="false">Chase1168_2025!B193</f>
        <v>45978</v>
      </c>
      <c r="C193" s="0" t="str">
        <f aca="false">Chase1168_2025!C193</f>
        <v>Basic Online Payroll Payment 11194824245 to ########4122</v>
      </c>
      <c r="D193" s="7" t="n">
        <f aca="false">Chase1168_2025!D193</f>
        <v>-1500</v>
      </c>
      <c r="E193" s="0" t="str">
        <f aca="false">Chase1168_2025!E193</f>
        <v>BASIC_PAYROLL</v>
      </c>
      <c r="F193" s="7" t="n">
        <f aca="false">Chase1168_2025!F193</f>
        <v>28132.62</v>
      </c>
      <c r="G193" s="0" t="str">
        <f aca="false">Chase1168_2025!G193</f>
        <v>Mike Paytonjian - Payroll</v>
      </c>
      <c r="H193" s="15" t="n">
        <f aca="false">IF($B193="","",DATE(YEAR($B193),MONTH($B193),1))</f>
        <v>45962</v>
      </c>
      <c r="I193" s="0" t="str">
        <f aca="false">IF($G193="","Uncategorized — Review",IFERROR(INDEX(Mapping!$B:$B,MATCH($G193,Mapping!$A:$A,0)),"Uncategorized — Review"))</f>
        <v>Mike Paytonjian - Payroll</v>
      </c>
      <c r="J193" s="0" t="str">
        <f aca="false">IF($G193="","Uncategorized — Review",IFERROR(INDEX(Mapping!$C:$C,MATCH($G193,Mapping!$A:$A,0)),"Uncategorized — Review"))</f>
        <v>Payroll &amp; Contractors</v>
      </c>
    </row>
    <row r="194" customFormat="false" ht="15" hidden="false" customHeight="false" outlineLevel="0" collapsed="false">
      <c r="A194" s="0" t="str">
        <f aca="false">Chase1168_2025!A194</f>
        <v>DEBIT</v>
      </c>
      <c r="B194" s="14" t="n">
        <f aca="false">Chase1168_2025!B194</f>
        <v>45978</v>
      </c>
      <c r="C194" s="0" t="str">
        <f aca="false">Chase1168_2025!C194</f>
        <v>PP*APPLE.COM/BILL 800-275-2273 CA            11/17</v>
      </c>
      <c r="D194" s="7" t="n">
        <f aca="false">Chase1168_2025!D194</f>
        <v>-11</v>
      </c>
      <c r="E194" s="0" t="str">
        <f aca="false">Chase1168_2025!E194</f>
        <v>DEBIT_CARD</v>
      </c>
      <c r="F194" s="7" t="n">
        <f aca="false">Chase1168_2025!F194</f>
        <v>29632.62</v>
      </c>
      <c r="G194" s="0" t="str">
        <f aca="false">Chase1168_2025!G194</f>
        <v>Personal - Subscriptions</v>
      </c>
      <c r="H194" s="15" t="n">
        <f aca="false">IF($B194="","",DATE(YEAR($B194),MONTH($B194),1))</f>
        <v>45962</v>
      </c>
      <c r="I194" s="0" t="str">
        <f aca="false">IF($G194="","Uncategorized — Review",IFERROR(INDEX(Mapping!$B:$B,MATCH($G194,Mapping!$A:$A,0)),"Uncategorized — Review"))</f>
        <v>Personal - Subscriptions</v>
      </c>
      <c r="J194" s="0" t="str">
        <f aca="false">IF($G194="","Uncategorized — Review",IFERROR(INDEX(Mapping!$C:$C,MATCH($G194,Mapping!$A:$A,0)),"Uncategorized — Review"))</f>
        <v>Personal — Owner</v>
      </c>
    </row>
    <row r="195" customFormat="false" ht="15" hidden="false" customHeight="false" outlineLevel="0" collapsed="false">
      <c r="A195" s="0" t="str">
        <f aca="false">Chase1168_2025!A195</f>
        <v>DEBIT</v>
      </c>
      <c r="B195" s="14" t="n">
        <f aca="false">Chase1168_2025!B195</f>
        <v>45978</v>
      </c>
      <c r="C195" s="0" t="str">
        <f aca="false">Chase1168_2025!C195</f>
        <v>Zelle payment to Jeffrey Seider JPM99buyogp2</v>
      </c>
      <c r="D195" s="7" t="n">
        <f aca="false">Chase1168_2025!D195</f>
        <v>-100</v>
      </c>
      <c r="E195" s="0" t="str">
        <f aca="false">Chase1168_2025!E195</f>
        <v>CHASE_TO_PARTNERFI</v>
      </c>
      <c r="F195" s="7" t="n">
        <f aca="false">Chase1168_2025!F195</f>
        <v>29643.62</v>
      </c>
      <c r="G195" s="0" t="str">
        <f aca="false">Chase1168_2025!G195</f>
        <v>Zelle - Jeff Seider</v>
      </c>
      <c r="H195" s="15" t="n">
        <f aca="false">IF($B195="","",DATE(YEAR($B195),MONTH($B195),1))</f>
        <v>45962</v>
      </c>
      <c r="I195" s="0" t="str">
        <f aca="false">IF($G195="","Uncategorized — Review",IFERROR(INDEX(Mapping!$B:$B,MATCH($G195,Mapping!$A:$A,0)),"Uncategorized — Review"))</f>
        <v>Zelle - Jeff Seider</v>
      </c>
      <c r="J195" s="0" t="str">
        <f aca="false">IF($G195="","Uncategorized — Review",IFERROR(INDEX(Mapping!$C:$C,MATCH($G195,Mapping!$A:$A,0)),"Uncategorized — Review"))</f>
        <v>P2P Payments (Zelle/Venmo/PayPal)</v>
      </c>
    </row>
    <row r="196" customFormat="false" ht="15" hidden="false" customHeight="false" outlineLevel="0" collapsed="false">
      <c r="A196" s="0" t="str">
        <f aca="false">Chase1168_2025!A196</f>
        <v>DEBIT</v>
      </c>
      <c r="B196" s="14" t="n">
        <f aca="false">Chase1168_2025!B196</f>
        <v>45978</v>
      </c>
      <c r="C196" s="0" t="str">
        <f aca="false">Chase1168_2025!C196</f>
        <v>Online Transfer to CHK ...3922 transaction#: 26986349970 11/17</v>
      </c>
      <c r="D196" s="7" t="n">
        <f aca="false">Chase1168_2025!D196</f>
        <v>-500</v>
      </c>
      <c r="E196" s="0" t="str">
        <f aca="false">Chase1168_2025!E196</f>
        <v>ACCT_XFER</v>
      </c>
      <c r="F196" s="7" t="n">
        <f aca="false">Chase1168_2025!F196</f>
        <v>29743.62</v>
      </c>
      <c r="G196" s="0" t="str">
        <f aca="false">Chase1168_2025!G196</f>
        <v>DWG Capital Partners - Outgoing</v>
      </c>
      <c r="H196" s="15" t="n">
        <f aca="false">IF($B196="","",DATE(YEAR($B196),MONTH($B196),1))</f>
        <v>45962</v>
      </c>
      <c r="I196" s="0" t="str">
        <f aca="false">IF($G196="","Uncategorized — Review",IFERROR(INDEX(Mapping!$B:$B,MATCH($G196,Mapping!$A:$A,0)),"Uncategorized — Review"))</f>
        <v>DWG Capital Partners - Outgoing</v>
      </c>
      <c r="J196" s="0" t="str">
        <f aca="false">IF($G196="","Uncategorized — Review",IFERROR(INDEX(Mapping!$C:$C,MATCH($G196,Mapping!$A:$A,0)),"Uncategorized — Review"))</f>
        <v>Intercompany &amp; Savings Transfers</v>
      </c>
    </row>
    <row r="197" customFormat="false" ht="15" hidden="false" customHeight="false" outlineLevel="0" collapsed="false">
      <c r="A197" s="0" t="str">
        <f aca="false">Chase1168_2025!A197</f>
        <v>DEBIT</v>
      </c>
      <c r="B197" s="14" t="n">
        <f aca="false">Chase1168_2025!B197</f>
        <v>45978</v>
      </c>
      <c r="C197" s="0" t="str">
        <f aca="false">Chase1168_2025!C197</f>
        <v>PAYPAL *GRUBHUBFOOD N 877-585-7878 IL        11/16</v>
      </c>
      <c r="D197" s="7" t="n">
        <f aca="false">Chase1168_2025!D197</f>
        <v>-0.01</v>
      </c>
      <c r="E197" s="0" t="str">
        <f aca="false">Chase1168_2025!E197</f>
        <v>DEBIT_CARD</v>
      </c>
      <c r="F197" s="7" t="n">
        <f aca="false">Chase1168_2025!F197</f>
        <v>30243.62</v>
      </c>
      <c r="G197" s="0" t="str">
        <f aca="false">Chase1168_2025!G197</f>
        <v>Personal - Food</v>
      </c>
      <c r="H197" s="15" t="n">
        <f aca="false">IF($B197="","",DATE(YEAR($B197),MONTH($B197),1))</f>
        <v>45962</v>
      </c>
      <c r="I197" s="0" t="str">
        <f aca="false">IF($G197="","Uncategorized — Review",IFERROR(INDEX(Mapping!$B:$B,MATCH($G197,Mapping!$A:$A,0)),"Uncategorized — Review"))</f>
        <v>Personal - Food &amp; Dining</v>
      </c>
      <c r="J197" s="0" t="str">
        <f aca="false">IF($G197="","Uncategorized — Review",IFERROR(INDEX(Mapping!$C:$C,MATCH($G197,Mapping!$A:$A,0)),"Uncategorized — Review"))</f>
        <v>Personal — Owner</v>
      </c>
    </row>
    <row r="198" customFormat="false" ht="15" hidden="false" customHeight="false" outlineLevel="0" collapsed="false">
      <c r="A198" s="0" t="str">
        <f aca="false">Chase1168_2025!A198</f>
        <v>DEBIT</v>
      </c>
      <c r="B198" s="14" t="n">
        <f aca="false">Chase1168_2025!B198</f>
        <v>45978</v>
      </c>
      <c r="C198" s="0" t="str">
        <f aca="false">Chase1168_2025!C198</f>
        <v>PAYPAL *BAFILEGIRL6 402-935-7733 CA          11/16</v>
      </c>
      <c r="D198" s="7" t="n">
        <f aca="false">Chase1168_2025!D198</f>
        <v>-309</v>
      </c>
      <c r="E198" s="0" t="str">
        <f aca="false">Chase1168_2025!E198</f>
        <v>DEBIT_CARD</v>
      </c>
      <c r="F198" s="7" t="n">
        <f aca="false">Chase1168_2025!F198</f>
        <v>30243.63</v>
      </c>
      <c r="G198" s="0" t="str">
        <f aca="false">Chase1168_2025!G198</f>
        <v>Personal - Health</v>
      </c>
      <c r="H198" s="15" t="n">
        <f aca="false">IF($B198="","",DATE(YEAR($B198),MONTH($B198),1))</f>
        <v>45962</v>
      </c>
      <c r="I198" s="0" t="str">
        <f aca="false">IF($G198="","Uncategorized — Review",IFERROR(INDEX(Mapping!$B:$B,MATCH($G198,Mapping!$A:$A,0)),"Uncategorized — Review"))</f>
        <v>Personal - Health (incl. Ins.)</v>
      </c>
      <c r="J198" s="0" t="str">
        <f aca="false">IF($G198="","Uncategorized — Review",IFERROR(INDEX(Mapping!$C:$C,MATCH($G198,Mapping!$A:$A,0)),"Uncategorized — Review"))</f>
        <v>Personal — Owner</v>
      </c>
    </row>
    <row r="199" customFormat="false" ht="15" hidden="false" customHeight="false" outlineLevel="0" collapsed="false">
      <c r="A199" s="0" t="str">
        <f aca="false">Chase1168_2025!A199</f>
        <v>DEBIT</v>
      </c>
      <c r="B199" s="14" t="n">
        <f aca="false">Chase1168_2025!B199</f>
        <v>45978</v>
      </c>
      <c r="C199" s="0" t="str">
        <f aca="false">Chase1168_2025!C199</f>
        <v>PP*APPLE.COM/BILL 800-275-2273 CA            11/16</v>
      </c>
      <c r="D199" s="7" t="n">
        <f aca="false">Chase1168_2025!D199</f>
        <v>-8.99</v>
      </c>
      <c r="E199" s="0" t="str">
        <f aca="false">Chase1168_2025!E199</f>
        <v>DEBIT_CARD</v>
      </c>
      <c r="F199" s="7" t="n">
        <f aca="false">Chase1168_2025!F199</f>
        <v>30552.63</v>
      </c>
      <c r="G199" s="0" t="str">
        <f aca="false">Chase1168_2025!G199</f>
        <v>Personal - Subscriptions</v>
      </c>
      <c r="H199" s="15" t="n">
        <f aca="false">IF($B199="","",DATE(YEAR($B199),MONTH($B199),1))</f>
        <v>45962</v>
      </c>
      <c r="I199" s="0" t="str">
        <f aca="false">IF($G199="","Uncategorized — Review",IFERROR(INDEX(Mapping!$B:$B,MATCH($G199,Mapping!$A:$A,0)),"Uncategorized — Review"))</f>
        <v>Personal - Subscriptions</v>
      </c>
      <c r="J199" s="0" t="str">
        <f aca="false">IF($G199="","Uncategorized — Review",IFERROR(INDEX(Mapping!$C:$C,MATCH($G199,Mapping!$A:$A,0)),"Uncategorized — Review"))</f>
        <v>Personal — Owner</v>
      </c>
    </row>
    <row r="200" customFormat="false" ht="15" hidden="false" customHeight="false" outlineLevel="0" collapsed="false">
      <c r="A200" s="0" t="str">
        <f aca="false">Chase1168_2025!A200</f>
        <v>DEBIT</v>
      </c>
      <c r="B200" s="14" t="n">
        <f aca="false">Chase1168_2025!B200</f>
        <v>45978</v>
      </c>
      <c r="C200" s="0" t="str">
        <f aca="false">Chase1168_2025!C200</f>
        <v>PAYPAL *LINKEDIN 402-935-7733 CA             11/17</v>
      </c>
      <c r="D200" s="7" t="n">
        <f aca="false">Chase1168_2025!D200</f>
        <v>-69.99</v>
      </c>
      <c r="E200" s="0" t="str">
        <f aca="false">Chase1168_2025!E200</f>
        <v>DEBIT_CARD</v>
      </c>
      <c r="F200" s="7" t="n">
        <f aca="false">Chase1168_2025!F200</f>
        <v>30561.62</v>
      </c>
      <c r="G200" s="0" t="str">
        <f aca="false">Chase1168_2025!G200</f>
        <v>DWG HR</v>
      </c>
      <c r="H200" s="15" t="n">
        <f aca="false">IF($B200="","",DATE(YEAR($B200),MONTH($B200),1))</f>
        <v>45962</v>
      </c>
      <c r="I200" s="0" t="str">
        <f aca="false">IF($G200="","Uncategorized — Review",IFERROR(INDEX(Mapping!$B:$B,MATCH($G200,Mapping!$A:$A,0)),"Uncategorized — Review"))</f>
        <v>DWG HR</v>
      </c>
      <c r="J200" s="0" t="str">
        <f aca="false">IF($G200="","Uncategorized — Review",IFERROR(INDEX(Mapping!$C:$C,MATCH($G200,Mapping!$A:$A,0)),"Uncategorized — Review"))</f>
        <v>Payroll &amp; Contractors</v>
      </c>
    </row>
    <row r="201" customFormat="false" ht="15" hidden="false" customHeight="false" outlineLevel="0" collapsed="false">
      <c r="A201" s="0" t="str">
        <f aca="false">Chase1168_2025!A201</f>
        <v>DEBIT</v>
      </c>
      <c r="B201" s="14" t="n">
        <f aca="false">Chase1168_2025!B201</f>
        <v>45978</v>
      </c>
      <c r="C201" s="0" t="str">
        <f aca="false">Chase1168_2025!C201</f>
        <v>PAYPAL *LINKEDIN 402-935-7733 CA             11/17</v>
      </c>
      <c r="D201" s="7" t="n">
        <f aca="false">Chase1168_2025!D201</f>
        <v>-89.99</v>
      </c>
      <c r="E201" s="0" t="str">
        <f aca="false">Chase1168_2025!E201</f>
        <v>DEBIT_CARD</v>
      </c>
      <c r="F201" s="7" t="n">
        <f aca="false">Chase1168_2025!F201</f>
        <v>30631.61</v>
      </c>
      <c r="G201" s="0" t="str">
        <f aca="false">Chase1168_2025!G201</f>
        <v>DWG HR</v>
      </c>
      <c r="H201" s="15" t="n">
        <f aca="false">IF($B201="","",DATE(YEAR($B201),MONTH($B201),1))</f>
        <v>45962</v>
      </c>
      <c r="I201" s="0" t="str">
        <f aca="false">IF($G201="","Uncategorized — Review",IFERROR(INDEX(Mapping!$B:$B,MATCH($G201,Mapping!$A:$A,0)),"Uncategorized — Review"))</f>
        <v>DWG HR</v>
      </c>
      <c r="J201" s="0" t="str">
        <f aca="false">IF($G201="","Uncategorized — Review",IFERROR(INDEX(Mapping!$C:$C,MATCH($G201,Mapping!$A:$A,0)),"Uncategorized — Review"))</f>
        <v>Payroll &amp; Contractors</v>
      </c>
    </row>
    <row r="202" customFormat="false" ht="15" hidden="false" customHeight="false" outlineLevel="0" collapsed="false">
      <c r="A202" s="0" t="str">
        <f aca="false">Chase1168_2025!A202</f>
        <v>DEBIT</v>
      </c>
      <c r="B202" s="14" t="n">
        <f aca="false">Chase1168_2025!B202</f>
        <v>45978</v>
      </c>
      <c r="C202" s="0" t="str">
        <f aca="false">Chase1168_2025!C202</f>
        <v>PP*APPLE.COM/BILL 800-275-2273 CA            11/15</v>
      </c>
      <c r="D202" s="7" t="n">
        <f aca="false">Chase1168_2025!D202</f>
        <v>-5.99</v>
      </c>
      <c r="E202" s="0" t="str">
        <f aca="false">Chase1168_2025!E202</f>
        <v>DEBIT_CARD</v>
      </c>
      <c r="F202" s="7" t="n">
        <f aca="false">Chase1168_2025!F202</f>
        <v>30721.6</v>
      </c>
      <c r="G202" s="0" t="str">
        <f aca="false">Chase1168_2025!G202</f>
        <v>Personal - Subscriptions</v>
      </c>
      <c r="H202" s="15" t="n">
        <f aca="false">IF($B202="","",DATE(YEAR($B202),MONTH($B202),1))</f>
        <v>45962</v>
      </c>
      <c r="I202" s="0" t="str">
        <f aca="false">IF($G202="","Uncategorized — Review",IFERROR(INDEX(Mapping!$B:$B,MATCH($G202,Mapping!$A:$A,0)),"Uncategorized — Review"))</f>
        <v>Personal - Subscriptions</v>
      </c>
      <c r="J202" s="0" t="str">
        <f aca="false">IF($G202="","Uncategorized — Review",IFERROR(INDEX(Mapping!$C:$C,MATCH($G202,Mapping!$A:$A,0)),"Uncategorized — Review"))</f>
        <v>Personal — Owner</v>
      </c>
    </row>
    <row r="203" customFormat="false" ht="15" hidden="false" customHeight="false" outlineLevel="0" collapsed="false">
      <c r="A203" s="0" t="str">
        <f aca="false">Chase1168_2025!A203</f>
        <v>DEBIT</v>
      </c>
      <c r="B203" s="14" t="n">
        <f aca="false">Chase1168_2025!B203</f>
        <v>45978</v>
      </c>
      <c r="C203" s="0" t="str">
        <f aca="false">Chase1168_2025!C203</f>
        <v>PAYPAL *GRUBHUBFOOD N 877-585-7878 IL        11/16</v>
      </c>
      <c r="D203" s="7" t="n">
        <f aca="false">Chase1168_2025!D203</f>
        <v>-107.37</v>
      </c>
      <c r="E203" s="0" t="str">
        <f aca="false">Chase1168_2025!E203</f>
        <v>DEBIT_CARD</v>
      </c>
      <c r="F203" s="7" t="n">
        <f aca="false">Chase1168_2025!F203</f>
        <v>30727.59</v>
      </c>
      <c r="G203" s="0" t="str">
        <f aca="false">Chase1168_2025!G203</f>
        <v>Personal - Food</v>
      </c>
      <c r="H203" s="15" t="n">
        <f aca="false">IF($B203="","",DATE(YEAR($B203),MONTH($B203),1))</f>
        <v>45962</v>
      </c>
      <c r="I203" s="0" t="str">
        <f aca="false">IF($G203="","Uncategorized — Review",IFERROR(INDEX(Mapping!$B:$B,MATCH($G203,Mapping!$A:$A,0)),"Uncategorized — Review"))</f>
        <v>Personal - Food &amp; Dining</v>
      </c>
      <c r="J203" s="0" t="str">
        <f aca="false">IF($G203="","Uncategorized — Review",IFERROR(INDEX(Mapping!$C:$C,MATCH($G203,Mapping!$A:$A,0)),"Uncategorized — Review"))</f>
        <v>Personal — Owner</v>
      </c>
    </row>
    <row r="204" customFormat="false" ht="15" hidden="false" customHeight="false" outlineLevel="0" collapsed="false">
      <c r="A204" s="0" t="str">
        <f aca="false">Chase1168_2025!A204</f>
        <v>DEBIT</v>
      </c>
      <c r="B204" s="14" t="n">
        <f aca="false">Chase1168_2025!B204</f>
        <v>45978</v>
      </c>
      <c r="C204" s="0" t="str">
        <f aca="false">Chase1168_2025!C204</f>
        <v>PP*GOOGLE GOOGLE ONE 855-836-3987 CA         11/14</v>
      </c>
      <c r="D204" s="7" t="n">
        <f aca="false">Chase1168_2025!D204</f>
        <v>-1.99</v>
      </c>
      <c r="E204" s="0" t="str">
        <f aca="false">Chase1168_2025!E204</f>
        <v>DEBIT_CARD</v>
      </c>
      <c r="F204" s="7" t="n">
        <f aca="false">Chase1168_2025!F204</f>
        <v>30834.96</v>
      </c>
      <c r="G204" s="0" t="str">
        <f aca="false">Chase1168_2025!G204</f>
        <v>Personal - Subscriptions</v>
      </c>
      <c r="H204" s="15" t="n">
        <f aca="false">IF($B204="","",DATE(YEAR($B204),MONTH($B204),1))</f>
        <v>45962</v>
      </c>
      <c r="I204" s="0" t="str">
        <f aca="false">IF($G204="","Uncategorized — Review",IFERROR(INDEX(Mapping!$B:$B,MATCH($G204,Mapping!$A:$A,0)),"Uncategorized — Review"))</f>
        <v>Personal - Subscriptions</v>
      </c>
      <c r="J204" s="0" t="str">
        <f aca="false">IF($G204="","Uncategorized — Review",IFERROR(INDEX(Mapping!$C:$C,MATCH($G204,Mapping!$A:$A,0)),"Uncategorized — Review"))</f>
        <v>Personal — Owner</v>
      </c>
    </row>
    <row r="205" customFormat="false" ht="15" hidden="false" customHeight="false" outlineLevel="0" collapsed="false">
      <c r="A205" s="0" t="str">
        <f aca="false">Chase1168_2025!A205</f>
        <v>DEBIT</v>
      </c>
      <c r="B205" s="14" t="n">
        <f aca="false">Chase1168_2025!B205</f>
        <v>45978</v>
      </c>
      <c r="C205" s="0" t="str">
        <f aca="false">Chase1168_2025!C205</f>
        <v>PP*APPLE.COM/BILL 800-275-2273 CA            11/14</v>
      </c>
      <c r="D205" s="7" t="n">
        <f aca="false">Chase1168_2025!D205</f>
        <v>-10.99</v>
      </c>
      <c r="E205" s="0" t="str">
        <f aca="false">Chase1168_2025!E205</f>
        <v>DEBIT_CARD</v>
      </c>
      <c r="F205" s="7" t="n">
        <f aca="false">Chase1168_2025!F205</f>
        <v>30836.95</v>
      </c>
      <c r="G205" s="0" t="str">
        <f aca="false">Chase1168_2025!G205</f>
        <v>Personal - Subscriptions</v>
      </c>
      <c r="H205" s="15" t="n">
        <f aca="false">IF($B205="","",DATE(YEAR($B205),MONTH($B205),1))</f>
        <v>45962</v>
      </c>
      <c r="I205" s="0" t="str">
        <f aca="false">IF($G205="","Uncategorized — Review",IFERROR(INDEX(Mapping!$B:$B,MATCH($G205,Mapping!$A:$A,0)),"Uncategorized — Review"))</f>
        <v>Personal - Subscriptions</v>
      </c>
      <c r="J205" s="0" t="str">
        <f aca="false">IF($G205="","Uncategorized — Review",IFERROR(INDEX(Mapping!$C:$C,MATCH($G205,Mapping!$A:$A,0)),"Uncategorized — Review"))</f>
        <v>Personal — Owner</v>
      </c>
    </row>
    <row r="206" customFormat="false" ht="15" hidden="false" customHeight="false" outlineLevel="0" collapsed="false">
      <c r="A206" s="0" t="str">
        <f aca="false">Chase1168_2025!A206</f>
        <v>DEBIT</v>
      </c>
      <c r="B206" s="14" t="n">
        <f aca="false">Chase1168_2025!B206</f>
        <v>45978</v>
      </c>
      <c r="C206" s="0" t="str">
        <f aca="false">Chase1168_2025!C206</f>
        <v>PP*APPLE.COM/BILL 800-275-2273 CA            11/15</v>
      </c>
      <c r="D206" s="7" t="n">
        <f aca="false">Chase1168_2025!D206</f>
        <v>-69.99</v>
      </c>
      <c r="E206" s="0" t="str">
        <f aca="false">Chase1168_2025!E206</f>
        <v>DEBIT_CARD</v>
      </c>
      <c r="F206" s="7" t="n">
        <f aca="false">Chase1168_2025!F206</f>
        <v>30847.94</v>
      </c>
      <c r="G206" s="0" t="str">
        <f aca="false">Chase1168_2025!G206</f>
        <v>Personal - Subscriptions</v>
      </c>
      <c r="H206" s="15" t="n">
        <f aca="false">IF($B206="","",DATE(YEAR($B206),MONTH($B206),1))</f>
        <v>45962</v>
      </c>
      <c r="I206" s="0" t="str">
        <f aca="false">IF($G206="","Uncategorized — Review",IFERROR(INDEX(Mapping!$B:$B,MATCH($G206,Mapping!$A:$A,0)),"Uncategorized — Review"))</f>
        <v>Personal - Subscriptions</v>
      </c>
      <c r="J206" s="0" t="str">
        <f aca="false">IF($G206="","Uncategorized — Review",IFERROR(INDEX(Mapping!$C:$C,MATCH($G206,Mapping!$A:$A,0)),"Uncategorized — Review"))</f>
        <v>Personal — Owner</v>
      </c>
    </row>
    <row r="207" customFormat="false" ht="15" hidden="false" customHeight="false" outlineLevel="0" collapsed="false">
      <c r="A207" s="0" t="str">
        <f aca="false">Chase1168_2025!A207</f>
        <v>DEBIT</v>
      </c>
      <c r="B207" s="14" t="n">
        <f aca="false">Chase1168_2025!B207</f>
        <v>45978</v>
      </c>
      <c r="C207" s="0" t="str">
        <f aca="false">Chase1168_2025!C207</f>
        <v>PAYPAL *GRUBHUBFOOD N 877-585-7878 IL        11/15</v>
      </c>
      <c r="D207" s="7" t="n">
        <f aca="false">Chase1168_2025!D207</f>
        <v>-31.88</v>
      </c>
      <c r="E207" s="0" t="str">
        <f aca="false">Chase1168_2025!E207</f>
        <v>DEBIT_CARD</v>
      </c>
      <c r="F207" s="7" t="n">
        <f aca="false">Chase1168_2025!F207</f>
        <v>30917.93</v>
      </c>
      <c r="G207" s="0" t="str">
        <f aca="false">Chase1168_2025!G207</f>
        <v>Personal - Food</v>
      </c>
      <c r="H207" s="15" t="n">
        <f aca="false">IF($B207="","",DATE(YEAR($B207),MONTH($B207),1))</f>
        <v>45962</v>
      </c>
      <c r="I207" s="0" t="str">
        <f aca="false">IF($G207="","Uncategorized — Review",IFERROR(INDEX(Mapping!$B:$B,MATCH($G207,Mapping!$A:$A,0)),"Uncategorized — Review"))</f>
        <v>Personal - Food &amp; Dining</v>
      </c>
      <c r="J207" s="0" t="str">
        <f aca="false">IF($G207="","Uncategorized — Review",IFERROR(INDEX(Mapping!$C:$C,MATCH($G207,Mapping!$A:$A,0)),"Uncategorized — Review"))</f>
        <v>Personal — Owner</v>
      </c>
    </row>
    <row r="208" customFormat="false" ht="15" hidden="false" customHeight="false" outlineLevel="0" collapsed="false">
      <c r="A208" s="0" t="str">
        <f aca="false">Chase1168_2025!A208</f>
        <v>DEBIT</v>
      </c>
      <c r="B208" s="14" t="n">
        <f aca="false">Chase1168_2025!B208</f>
        <v>45978</v>
      </c>
      <c r="C208" s="0" t="str">
        <f aca="false">Chase1168_2025!C208</f>
        <v>PAYPAL *GRUBHUBFOOD S 877-585-7878 IL        11/15</v>
      </c>
      <c r="D208" s="7" t="n">
        <f aca="false">Chase1168_2025!D208</f>
        <v>-54.02</v>
      </c>
      <c r="E208" s="0" t="str">
        <f aca="false">Chase1168_2025!E208</f>
        <v>DEBIT_CARD</v>
      </c>
      <c r="F208" s="7" t="n">
        <f aca="false">Chase1168_2025!F208</f>
        <v>30949.81</v>
      </c>
      <c r="G208" s="0" t="str">
        <f aca="false">Chase1168_2025!G208</f>
        <v>Personal - Food</v>
      </c>
      <c r="H208" s="15" t="n">
        <f aca="false">IF($B208="","",DATE(YEAR($B208),MONTH($B208),1))</f>
        <v>45962</v>
      </c>
      <c r="I208" s="0" t="str">
        <f aca="false">IF($G208="","Uncategorized — Review",IFERROR(INDEX(Mapping!$B:$B,MATCH($G208,Mapping!$A:$A,0)),"Uncategorized — Review"))</f>
        <v>Personal - Food &amp; Dining</v>
      </c>
      <c r="J208" s="0" t="str">
        <f aca="false">IF($G208="","Uncategorized — Review",IFERROR(INDEX(Mapping!$C:$C,MATCH($G208,Mapping!$A:$A,0)),"Uncategorized — Review"))</f>
        <v>Personal — Owner</v>
      </c>
    </row>
    <row r="209" customFormat="false" ht="15" hidden="false" customHeight="false" outlineLevel="0" collapsed="false">
      <c r="A209" s="0" t="str">
        <f aca="false">Chase1168_2025!A209</f>
        <v>CREDIT</v>
      </c>
      <c r="B209" s="14" t="n">
        <f aca="false">Chase1168_2025!B209</f>
        <v>45978</v>
      </c>
      <c r="C209" s="0" t="str">
        <f aca="false">Chase1168_2025!C209</f>
        <v>Online Transfer from CHK ...9335 transaction#: 26986352426</v>
      </c>
      <c r="D209" s="7" t="n">
        <f aca="false">Chase1168_2025!D209</f>
        <v>10000</v>
      </c>
      <c r="E209" s="0" t="str">
        <f aca="false">Chase1168_2025!E209</f>
        <v>ACCT_XFER</v>
      </c>
      <c r="F209" s="7" t="n">
        <f aca="false">Chase1168_2025!F209</f>
        <v>31003.83</v>
      </c>
      <c r="G209" s="0" t="str">
        <f aca="false">Chase1168_2025!G209</f>
        <v>Poseidon Asset Group (Incoming)</v>
      </c>
      <c r="H209" s="15" t="n">
        <f aca="false">IF($B209="","",DATE(YEAR($B209),MONTH($B209),1))</f>
        <v>45962</v>
      </c>
      <c r="I209" s="0" t="str">
        <f aca="false">IF($G209="","Uncategorized — Review",IFERROR(INDEX(Mapping!$B:$B,MATCH($G209,Mapping!$A:$A,0)),"Uncategorized — Review"))</f>
        <v>Poseidon Asset Group (Incoming)</v>
      </c>
      <c r="J209" s="0" t="str">
        <f aca="false">IF($G209="","Uncategorized — Review",IFERROR(INDEX(Mapping!$C:$C,MATCH($G209,Mapping!$A:$A,0)),"Uncategorized — Review"))</f>
        <v>Poseidon Asset Group</v>
      </c>
    </row>
    <row r="210" customFormat="false" ht="15" hidden="false" customHeight="false" outlineLevel="0" collapsed="false">
      <c r="A210" s="0" t="str">
        <f aca="false">Chase1168_2025!A210</f>
        <v>CREDIT</v>
      </c>
      <c r="B210" s="14" t="n">
        <f aca="false">Chase1168_2025!B210</f>
        <v>45978</v>
      </c>
      <c r="C210" s="0" t="str">
        <f aca="false">Chase1168_2025!C210</f>
        <v>Online Transfer from CHK ...9335 transaction#: 26997500273</v>
      </c>
      <c r="D210" s="7" t="n">
        <f aca="false">Chase1168_2025!D210</f>
        <v>15000</v>
      </c>
      <c r="E210" s="0" t="str">
        <f aca="false">Chase1168_2025!E210</f>
        <v>ACCT_XFER</v>
      </c>
      <c r="F210" s="7" t="n">
        <f aca="false">Chase1168_2025!F210</f>
        <v>21003.83</v>
      </c>
      <c r="G210" s="0" t="str">
        <f aca="false">Chase1168_2025!G210</f>
        <v>Poseidon Asset Group (Incoming)</v>
      </c>
      <c r="H210" s="15" t="n">
        <f aca="false">IF($B210="","",DATE(YEAR($B210),MONTH($B210),1))</f>
        <v>45962</v>
      </c>
      <c r="I210" s="0" t="str">
        <f aca="false">IF($G210="","Uncategorized — Review",IFERROR(INDEX(Mapping!$B:$B,MATCH($G210,Mapping!$A:$A,0)),"Uncategorized — Review"))</f>
        <v>Poseidon Asset Group (Incoming)</v>
      </c>
      <c r="J210" s="0" t="str">
        <f aca="false">IF($G210="","Uncategorized — Review",IFERROR(INDEX(Mapping!$C:$C,MATCH($G210,Mapping!$A:$A,0)),"Uncategorized — Review"))</f>
        <v>Poseidon Asset Group</v>
      </c>
    </row>
    <row r="211" customFormat="false" ht="15" hidden="false" customHeight="false" outlineLevel="0" collapsed="false">
      <c r="A211" s="0" t="str">
        <f aca="false">Chase1168_2025!A211</f>
        <v>DEBIT</v>
      </c>
      <c r="B211" s="14" t="n">
        <f aca="false">Chase1168_2025!B211</f>
        <v>45975</v>
      </c>
      <c r="C211" s="0" t="str">
        <f aca="false">Chase1168_2025!C211</f>
        <v>PP*APPLE.COM/BILL 800-275-2273 CA            11/13</v>
      </c>
      <c r="D211" s="7" t="n">
        <f aca="false">Chase1168_2025!D211</f>
        <v>-17.99</v>
      </c>
      <c r="E211" s="0" t="str">
        <f aca="false">Chase1168_2025!E211</f>
        <v>DEBIT_CARD</v>
      </c>
      <c r="F211" s="7" t="n">
        <f aca="false">Chase1168_2025!F211</f>
        <v>6003.83</v>
      </c>
      <c r="G211" s="0" t="str">
        <f aca="false">Chase1168_2025!G211</f>
        <v>Personal - Subscriptions</v>
      </c>
      <c r="H211" s="15" t="n">
        <f aca="false">IF($B211="","",DATE(YEAR($B211),MONTH($B211),1))</f>
        <v>45962</v>
      </c>
      <c r="I211" s="0" t="str">
        <f aca="false">IF($G211="","Uncategorized — Review",IFERROR(INDEX(Mapping!$B:$B,MATCH($G211,Mapping!$A:$A,0)),"Uncategorized — Review"))</f>
        <v>Personal - Subscriptions</v>
      </c>
      <c r="J211" s="0" t="str">
        <f aca="false">IF($G211="","Uncategorized — Review",IFERROR(INDEX(Mapping!$C:$C,MATCH($G211,Mapping!$A:$A,0)),"Uncategorized — Review"))</f>
        <v>Personal — Owner</v>
      </c>
    </row>
    <row r="212" customFormat="false" ht="15" hidden="false" customHeight="false" outlineLevel="0" collapsed="false">
      <c r="A212" s="0" t="str">
        <f aca="false">Chase1168_2025!A212</f>
        <v>DEBIT</v>
      </c>
      <c r="B212" s="14" t="n">
        <f aca="false">Chase1168_2025!B212</f>
        <v>45974</v>
      </c>
      <c r="C212" s="0" t="str">
        <f aca="false">Chase1168_2025!C212</f>
        <v>ORIG CO NAME:VENMO                  ORIG ID:3264681992 DESC DATE:251113 CO ENTRY DESCR:PAYMENT   SEC:WEB    TRACE#:021000020915464 EED:251113   IND ID:1046178338423                IND NAME:JUDD DUNNING                                                                                                 251113PPZ2JS TRN: 3170915464TC</v>
      </c>
      <c r="D212" s="7" t="n">
        <f aca="false">Chase1168_2025!D212</f>
        <v>-125</v>
      </c>
      <c r="E212" s="0" t="str">
        <f aca="false">Chase1168_2025!E212</f>
        <v>ACH_DEBIT</v>
      </c>
      <c r="F212" s="7" t="n">
        <f aca="false">Chase1168_2025!F212</f>
        <v>6021.82</v>
      </c>
      <c r="G212" s="0" t="str">
        <f aca="false">Chase1168_2025!G212</f>
        <v>Venmo</v>
      </c>
      <c r="H212" s="15" t="n">
        <f aca="false">IF($B212="","",DATE(YEAR($B212),MONTH($B212),1))</f>
        <v>45962</v>
      </c>
      <c r="I212" s="0" t="str">
        <f aca="false">IF($G212="","Uncategorized — Review",IFERROR(INDEX(Mapping!$B:$B,MATCH($G212,Mapping!$A:$A,0)),"Uncategorized — Review"))</f>
        <v>Venmo</v>
      </c>
      <c r="J212" s="0" t="str">
        <f aca="false">IF($G212="","Uncategorized — Review",IFERROR(INDEX(Mapping!$C:$C,MATCH($G212,Mapping!$A:$A,0)),"Uncategorized — Review"))</f>
        <v>P2P Payments (Zelle/Venmo/PayPal)</v>
      </c>
    </row>
    <row r="213" customFormat="false" ht="15" hidden="false" customHeight="false" outlineLevel="0" collapsed="false">
      <c r="A213" s="0" t="str">
        <f aca="false">Chase1168_2025!A213</f>
        <v>DEBIT</v>
      </c>
      <c r="B213" s="14" t="n">
        <f aca="false">Chase1168_2025!B213</f>
        <v>45974</v>
      </c>
      <c r="C213" s="0" t="str">
        <f aca="false">Chase1168_2025!C213</f>
        <v>Online Transfer to CHK ...1117 transaction#: 26948042394 11/13</v>
      </c>
      <c r="D213" s="7" t="n">
        <f aca="false">Chase1168_2025!D213</f>
        <v>-2000</v>
      </c>
      <c r="E213" s="0" t="str">
        <f aca="false">Chase1168_2025!E213</f>
        <v>ACCT_XFER</v>
      </c>
      <c r="F213" s="7" t="n">
        <f aca="false">Chase1168_2025!F213</f>
        <v>6146.82</v>
      </c>
      <c r="G213" s="0" t="str">
        <f aca="false">Chase1168_2025!G213</f>
        <v>Transfer to Angela Dunning</v>
      </c>
      <c r="H213" s="15" t="n">
        <f aca="false">IF($B213="","",DATE(YEAR($B213),MONTH($B213),1))</f>
        <v>45962</v>
      </c>
      <c r="I213" s="0" t="str">
        <f aca="false">IF($G213="","Uncategorized — Review",IFERROR(INDEX(Mapping!$B:$B,MATCH($G213,Mapping!$A:$A,0)),"Uncategorized — Review"))</f>
        <v>Transfer to Angela Dunning</v>
      </c>
      <c r="J213" s="0" t="str">
        <f aca="false">IF($G213="","Uncategorized — Review",IFERROR(INDEX(Mapping!$C:$C,MATCH($G213,Mapping!$A:$A,0)),"Uncategorized — Review"))</f>
        <v>Owner / Family Distributions</v>
      </c>
    </row>
    <row r="214" customFormat="false" ht="15" hidden="false" customHeight="false" outlineLevel="0" collapsed="false">
      <c r="A214" s="0" t="str">
        <f aca="false">Chase1168_2025!A214</f>
        <v>DEBIT</v>
      </c>
      <c r="B214" s="14" t="n">
        <f aca="false">Chase1168_2025!B214</f>
        <v>45974</v>
      </c>
      <c r="C214" s="0" t="str">
        <f aca="false">Chase1168_2025!C214</f>
        <v>Zelle payment to Jeffrey Seider JPM99bui99xh</v>
      </c>
      <c r="D214" s="7" t="n">
        <f aca="false">Chase1168_2025!D214</f>
        <v>-200</v>
      </c>
      <c r="E214" s="0" t="str">
        <f aca="false">Chase1168_2025!E214</f>
        <v>CHASE_TO_PARTNERFI</v>
      </c>
      <c r="F214" s="7" t="n">
        <f aca="false">Chase1168_2025!F214</f>
        <v>8146.82</v>
      </c>
      <c r="G214" s="0" t="str">
        <f aca="false">Chase1168_2025!G214</f>
        <v>Zelle - Jeff Seider</v>
      </c>
      <c r="H214" s="15" t="n">
        <f aca="false">IF($B214="","",DATE(YEAR($B214),MONTH($B214),1))</f>
        <v>45962</v>
      </c>
      <c r="I214" s="0" t="str">
        <f aca="false">IF($G214="","Uncategorized — Review",IFERROR(INDEX(Mapping!$B:$B,MATCH($G214,Mapping!$A:$A,0)),"Uncategorized — Review"))</f>
        <v>Zelle - Jeff Seider</v>
      </c>
      <c r="J214" s="0" t="str">
        <f aca="false">IF($G214="","Uncategorized — Review",IFERROR(INDEX(Mapping!$C:$C,MATCH($G214,Mapping!$A:$A,0)),"Uncategorized — Review"))</f>
        <v>P2P Payments (Zelle/Venmo/PayPal)</v>
      </c>
    </row>
    <row r="215" customFormat="false" ht="15" hidden="false" customHeight="false" outlineLevel="0" collapsed="false">
      <c r="A215" s="0" t="str">
        <f aca="false">Chase1168_2025!A215</f>
        <v>DEBIT</v>
      </c>
      <c r="B215" s="14" t="n">
        <f aca="false">Chase1168_2025!B215</f>
        <v>45974</v>
      </c>
      <c r="C215" s="0" t="str">
        <f aca="false">Chase1168_2025!C215</f>
        <v>PAYPAL *HULU 877-801-5441 CA                 11/12</v>
      </c>
      <c r="D215" s="7" t="n">
        <f aca="false">Chase1168_2025!D215</f>
        <v>-18.99</v>
      </c>
      <c r="E215" s="0" t="str">
        <f aca="false">Chase1168_2025!E215</f>
        <v>DEBIT_CARD</v>
      </c>
      <c r="F215" s="7" t="n">
        <f aca="false">Chase1168_2025!F215</f>
        <v>8346.82</v>
      </c>
      <c r="G215" s="0" t="str">
        <f aca="false">Chase1168_2025!G215</f>
        <v>Personal - Subscriptions</v>
      </c>
      <c r="H215" s="15" t="n">
        <f aca="false">IF($B215="","",DATE(YEAR($B215),MONTH($B215),1))</f>
        <v>45962</v>
      </c>
      <c r="I215" s="0" t="str">
        <f aca="false">IF($G215="","Uncategorized — Review",IFERROR(INDEX(Mapping!$B:$B,MATCH($G215,Mapping!$A:$A,0)),"Uncategorized — Review"))</f>
        <v>Personal - Subscriptions</v>
      </c>
      <c r="J215" s="0" t="str">
        <f aca="false">IF($G215="","Uncategorized — Review",IFERROR(INDEX(Mapping!$C:$C,MATCH($G215,Mapping!$A:$A,0)),"Uncategorized — Review"))</f>
        <v>Personal — Owner</v>
      </c>
    </row>
    <row r="216" customFormat="false" ht="15" hidden="false" customHeight="false" outlineLevel="0" collapsed="false">
      <c r="A216" s="0" t="str">
        <f aca="false">Chase1168_2025!A216</f>
        <v>DEBIT</v>
      </c>
      <c r="B216" s="14" t="n">
        <f aca="false">Chase1168_2025!B216</f>
        <v>45973</v>
      </c>
      <c r="C216" s="0" t="str">
        <f aca="false">Chase1168_2025!C216</f>
        <v>ORIG CO NAME:VENMO                  ORIG ID:3264681992 DESC DATE:251112 CO ENTRY DESCR:PAYMENT   SEC:WEB    TRACE#:021000026760671 EED:251112   IND ID:1046141567691                IND NAME:JUDD DUNNING                                                                                                 251112PPZHS9 TRN: 3166760671TC</v>
      </c>
      <c r="D216" s="7" t="n">
        <f aca="false">Chase1168_2025!D216</f>
        <v>-5</v>
      </c>
      <c r="E216" s="0" t="str">
        <f aca="false">Chase1168_2025!E216</f>
        <v>ACH_DEBIT</v>
      </c>
      <c r="F216" s="7" t="n">
        <f aca="false">Chase1168_2025!F216</f>
        <v>8365.81</v>
      </c>
      <c r="G216" s="0" t="str">
        <f aca="false">Chase1168_2025!G216</f>
        <v>Venmo</v>
      </c>
      <c r="H216" s="15" t="n">
        <f aca="false">IF($B216="","",DATE(YEAR($B216),MONTH($B216),1))</f>
        <v>45962</v>
      </c>
      <c r="I216" s="0" t="str">
        <f aca="false">IF($G216="","Uncategorized — Review",IFERROR(INDEX(Mapping!$B:$B,MATCH($G216,Mapping!$A:$A,0)),"Uncategorized — Review"))</f>
        <v>Venmo</v>
      </c>
      <c r="J216" s="0" t="str">
        <f aca="false">IF($G216="","Uncategorized — Review",IFERROR(INDEX(Mapping!$C:$C,MATCH($G216,Mapping!$A:$A,0)),"Uncategorized — Review"))</f>
        <v>P2P Payments (Zelle/Venmo/PayPal)</v>
      </c>
    </row>
    <row r="217" customFormat="false" ht="15" hidden="false" customHeight="false" outlineLevel="0" collapsed="false">
      <c r="A217" s="0" t="str">
        <f aca="false">Chase1168_2025!A217</f>
        <v>DEBIT</v>
      </c>
      <c r="B217" s="14" t="n">
        <f aca="false">Chase1168_2025!B217</f>
        <v>45973</v>
      </c>
      <c r="C217" s="0" t="str">
        <f aca="false">Chase1168_2025!C217</f>
        <v>ORIG CO NAME:ALLSTATE V&amp;P INS       ORIG ID:1360719665 DESC DATE:NOV 25 CO ENTRY DESCR:INS PREM  SEC:PPD    TRACE#:021000028877165 EED:251112   IND ID:                             IND NAME:DUNNING TRN: 3168877165TC</v>
      </c>
      <c r="D217" s="7" t="n">
        <f aca="false">Chase1168_2025!D217</f>
        <v>-1533.71</v>
      </c>
      <c r="E217" s="0" t="str">
        <f aca="false">Chase1168_2025!E217</f>
        <v>ACH_DEBIT</v>
      </c>
      <c r="F217" s="7" t="n">
        <f aca="false">Chase1168_2025!F217</f>
        <v>8370.81</v>
      </c>
      <c r="G217" s="0" t="str">
        <f aca="false">Chase1168_2025!G217</f>
        <v>Personal - Car</v>
      </c>
      <c r="H217" s="15" t="n">
        <f aca="false">IF($B217="","",DATE(YEAR($B217),MONTH($B217),1))</f>
        <v>45962</v>
      </c>
      <c r="I217" s="0" t="str">
        <f aca="false">IF($G217="","Uncategorized — Review",IFERROR(INDEX(Mapping!$B:$B,MATCH($G217,Mapping!$A:$A,0)),"Uncategorized — Review"))</f>
        <v>Personal - Car &amp; Auto</v>
      </c>
      <c r="J217" s="0" t="str">
        <f aca="false">IF($G217="","Uncategorized — Review",IFERROR(INDEX(Mapping!$C:$C,MATCH($G217,Mapping!$A:$A,0)),"Uncategorized — Review"))</f>
        <v>Personal — Owner</v>
      </c>
    </row>
    <row r="218" customFormat="false" ht="15" hidden="false" customHeight="false" outlineLevel="0" collapsed="false">
      <c r="A218" s="0" t="str">
        <f aca="false">Chase1168_2025!A218</f>
        <v>DEBIT</v>
      </c>
      <c r="B218" s="14" t="n">
        <f aca="false">Chase1168_2025!B218</f>
        <v>45973</v>
      </c>
      <c r="C218" s="0" t="str">
        <f aca="false">Chase1168_2025!C218</f>
        <v>PP*SPOTIFY*P3C55B66FC 203-318-9708 NY        11/12</v>
      </c>
      <c r="D218" s="7" t="n">
        <f aca="false">Chase1168_2025!D218</f>
        <v>-11.99</v>
      </c>
      <c r="E218" s="0" t="str">
        <f aca="false">Chase1168_2025!E218</f>
        <v>DEBIT_CARD</v>
      </c>
      <c r="F218" s="7" t="n">
        <f aca="false">Chase1168_2025!F218</f>
        <v>9904.52</v>
      </c>
      <c r="G218" s="0" t="str">
        <f aca="false">Chase1168_2025!G218</f>
        <v>Personal - Subscriptions</v>
      </c>
      <c r="H218" s="15" t="n">
        <f aca="false">IF($B218="","",DATE(YEAR($B218),MONTH($B218),1))</f>
        <v>45962</v>
      </c>
      <c r="I218" s="0" t="str">
        <f aca="false">IF($G218="","Uncategorized — Review",IFERROR(INDEX(Mapping!$B:$B,MATCH($G218,Mapping!$A:$A,0)),"Uncategorized — Review"))</f>
        <v>Personal - Subscriptions</v>
      </c>
      <c r="J218" s="0" t="str">
        <f aca="false">IF($G218="","Uncategorized — Review",IFERROR(INDEX(Mapping!$C:$C,MATCH($G218,Mapping!$A:$A,0)),"Uncategorized — Review"))</f>
        <v>Personal — Owner</v>
      </c>
    </row>
    <row r="219" customFormat="false" ht="15" hidden="false" customHeight="false" outlineLevel="0" collapsed="false">
      <c r="A219" s="0" t="str">
        <f aca="false">Chase1168_2025!A219</f>
        <v>DEBIT</v>
      </c>
      <c r="B219" s="14" t="n">
        <f aca="false">Chase1168_2025!B219</f>
        <v>45973</v>
      </c>
      <c r="C219" s="0" t="str">
        <f aca="false">Chase1168_2025!C219</f>
        <v>ORIG CO NAME:GM Financial           ORIG ID:I522190781 DESC DATE:251112 CO ENTRY DESCR:GMF Pymt  SEC:PPD    TRACE#:091000017475888 EED:251112   IND ID:                             IND NAME:ANGELA DUNNING TRN: 3167475888TC</v>
      </c>
      <c r="D219" s="7" t="n">
        <f aca="false">Chase1168_2025!D219</f>
        <v>-1249.96</v>
      </c>
      <c r="E219" s="0" t="str">
        <f aca="false">Chase1168_2025!E219</f>
        <v>ACH_DEBIT</v>
      </c>
      <c r="F219" s="7" t="n">
        <f aca="false">Chase1168_2025!F219</f>
        <v>9916.51</v>
      </c>
      <c r="G219" s="0" t="str">
        <f aca="false">Chase1168_2025!G219</f>
        <v>Personal - Car</v>
      </c>
      <c r="H219" s="15" t="n">
        <f aca="false">IF($B219="","",DATE(YEAR($B219),MONTH($B219),1))</f>
        <v>45962</v>
      </c>
      <c r="I219" s="0" t="str">
        <f aca="false">IF($G219="","Uncategorized — Review",IFERROR(INDEX(Mapping!$B:$B,MATCH($G219,Mapping!$A:$A,0)),"Uncategorized — Review"))</f>
        <v>Personal - Car &amp; Auto</v>
      </c>
      <c r="J219" s="0" t="str">
        <f aca="false">IF($G219="","Uncategorized — Review",IFERROR(INDEX(Mapping!$C:$C,MATCH($G219,Mapping!$A:$A,0)),"Uncategorized — Review"))</f>
        <v>Personal — Owner</v>
      </c>
    </row>
    <row r="220" customFormat="false" ht="15" hidden="false" customHeight="false" outlineLevel="0" collapsed="false">
      <c r="A220" s="0" t="str">
        <f aca="false">Chase1168_2025!A220</f>
        <v>DEBIT</v>
      </c>
      <c r="B220" s="14" t="n">
        <f aca="false">Chase1168_2025!B220</f>
        <v>45973</v>
      </c>
      <c r="C220" s="0" t="str">
        <f aca="false">Chase1168_2025!C220</f>
        <v>HLU*HULUPLUS hulu.com/bill CA                11/11</v>
      </c>
      <c r="D220" s="7" t="n">
        <f aca="false">Chase1168_2025!D220</f>
        <v>-56.97</v>
      </c>
      <c r="E220" s="0" t="str">
        <f aca="false">Chase1168_2025!E220</f>
        <v>DEBIT_CARD</v>
      </c>
      <c r="F220" s="7" t="n">
        <f aca="false">Chase1168_2025!F220</f>
        <v>11166.47</v>
      </c>
      <c r="G220" s="0" t="str">
        <f aca="false">Chase1168_2025!G220</f>
        <v>Personal - Subscriptions</v>
      </c>
      <c r="H220" s="15" t="n">
        <f aca="false">IF($B220="","",DATE(YEAR($B220),MONTH($B220),1))</f>
        <v>45962</v>
      </c>
      <c r="I220" s="0" t="str">
        <f aca="false">IF($G220="","Uncategorized — Review",IFERROR(INDEX(Mapping!$B:$B,MATCH($G220,Mapping!$A:$A,0)),"Uncategorized — Review"))</f>
        <v>Personal - Subscriptions</v>
      </c>
      <c r="J220" s="0" t="str">
        <f aca="false">IF($G220="","Uncategorized — Review",IFERROR(INDEX(Mapping!$C:$C,MATCH($G220,Mapping!$A:$A,0)),"Uncategorized — Review"))</f>
        <v>Personal — Owner</v>
      </c>
    </row>
    <row r="221" customFormat="false" ht="15" hidden="false" customHeight="false" outlineLevel="0" collapsed="false">
      <c r="A221" s="0" t="str">
        <f aca="false">Chase1168_2025!A221</f>
        <v>DEBIT</v>
      </c>
      <c r="B221" s="14" t="n">
        <f aca="false">Chase1168_2025!B221</f>
        <v>45973</v>
      </c>
      <c r="C221" s="0" t="str">
        <f aca="false">Chase1168_2025!C221</f>
        <v>PAYPAL *GRUBHUBFOOD S 877-585-7878 IL        11/12</v>
      </c>
      <c r="D221" s="7" t="n">
        <f aca="false">Chase1168_2025!D221</f>
        <v>-103.91</v>
      </c>
      <c r="E221" s="0" t="str">
        <f aca="false">Chase1168_2025!E221</f>
        <v>DEBIT_CARD</v>
      </c>
      <c r="F221" s="7" t="n">
        <f aca="false">Chase1168_2025!F221</f>
        <v>11223.44</v>
      </c>
      <c r="G221" s="0" t="str">
        <f aca="false">Chase1168_2025!G221</f>
        <v>Personal - Food</v>
      </c>
      <c r="H221" s="15" t="n">
        <f aca="false">IF($B221="","",DATE(YEAR($B221),MONTH($B221),1))</f>
        <v>45962</v>
      </c>
      <c r="I221" s="0" t="str">
        <f aca="false">IF($G221="","Uncategorized — Review",IFERROR(INDEX(Mapping!$B:$B,MATCH($G221,Mapping!$A:$A,0)),"Uncategorized — Review"))</f>
        <v>Personal - Food &amp; Dining</v>
      </c>
      <c r="J221" s="0" t="str">
        <f aca="false">IF($G221="","Uncategorized — Review",IFERROR(INDEX(Mapping!$C:$C,MATCH($G221,Mapping!$A:$A,0)),"Uncategorized — Review"))</f>
        <v>Personal — Owner</v>
      </c>
    </row>
    <row r="222" customFormat="false" ht="15" hidden="false" customHeight="false" outlineLevel="0" collapsed="false">
      <c r="A222" s="0" t="str">
        <f aca="false">Chase1168_2025!A222</f>
        <v>DEBIT</v>
      </c>
      <c r="B222" s="14" t="n">
        <f aca="false">Chase1168_2025!B222</f>
        <v>45973</v>
      </c>
      <c r="C222" s="0" t="str">
        <f aca="false">Chase1168_2025!C222</f>
        <v>UPWORK * -864203870 866-262-4478 CA          11/10</v>
      </c>
      <c r="D222" s="7" t="n">
        <f aca="false">Chase1168_2025!D222</f>
        <v>-105</v>
      </c>
      <c r="E222" s="0" t="str">
        <f aca="false">Chase1168_2025!E222</f>
        <v>DEBIT_CARD</v>
      </c>
      <c r="F222" s="7" t="n">
        <f aca="false">Chase1168_2025!F222</f>
        <v>11327.35</v>
      </c>
      <c r="G222" s="0" t="str">
        <f aca="false">Chase1168_2025!G222</f>
        <v>Upwork - Sergei M.</v>
      </c>
      <c r="H222" s="15" t="n">
        <f aca="false">IF($B222="","",DATE(YEAR($B222),MONTH($B222),1))</f>
        <v>45962</v>
      </c>
      <c r="I222" s="0" t="str">
        <f aca="false">IF($G222="","Uncategorized — Review",IFERROR(INDEX(Mapping!$B:$B,MATCH($G222,Mapping!$A:$A,0)),"Uncategorized — Review"))</f>
        <v>Upwork - Sergei M.</v>
      </c>
      <c r="J222" s="0" t="str">
        <f aca="false">IF($G222="","Uncategorized — Review",IFERROR(INDEX(Mapping!$C:$C,MATCH($G222,Mapping!$A:$A,0)),"Uncategorized — Review"))</f>
        <v>Payroll &amp; Contractors</v>
      </c>
    </row>
    <row r="223" customFormat="false" ht="15" hidden="false" customHeight="false" outlineLevel="0" collapsed="false">
      <c r="A223" s="0" t="str">
        <f aca="false">Chase1168_2025!A223</f>
        <v>DEBIT</v>
      </c>
      <c r="B223" s="14" t="n">
        <f aca="false">Chase1168_2025!B223</f>
        <v>45971</v>
      </c>
      <c r="C223" s="0" t="str">
        <f aca="false">Chase1168_2025!C223</f>
        <v>ORIG CO NAME:VENMO                  ORIG ID:3264681992 DESC DATE:251108 CO ENTRY DESCR:PAYMENT   SEC:WEB    TRACE#:021000027090114 EED:251110   IND ID:1046066126684                IND NAME:JUDD DUNNING                                                                                                 251108PPZZOY TRN: 3147090114TC</v>
      </c>
      <c r="D223" s="7" t="n">
        <f aca="false">Chase1168_2025!D223</f>
        <v>-20</v>
      </c>
      <c r="E223" s="0" t="str">
        <f aca="false">Chase1168_2025!E223</f>
        <v>ACH_DEBIT</v>
      </c>
      <c r="F223" s="7" t="n">
        <f aca="false">Chase1168_2025!F223</f>
        <v>11432.35</v>
      </c>
      <c r="G223" s="0" t="str">
        <f aca="false">Chase1168_2025!G223</f>
        <v>Venmo</v>
      </c>
      <c r="H223" s="15" t="n">
        <f aca="false">IF($B223="","",DATE(YEAR($B223),MONTH($B223),1))</f>
        <v>45962</v>
      </c>
      <c r="I223" s="0" t="str">
        <f aca="false">IF($G223="","Uncategorized — Review",IFERROR(INDEX(Mapping!$B:$B,MATCH($G223,Mapping!$A:$A,0)),"Uncategorized — Review"))</f>
        <v>Venmo</v>
      </c>
      <c r="J223" s="0" t="str">
        <f aca="false">IF($G223="","Uncategorized — Review",IFERROR(INDEX(Mapping!$C:$C,MATCH($G223,Mapping!$A:$A,0)),"Uncategorized — Review"))</f>
        <v>P2P Payments (Zelle/Venmo/PayPal)</v>
      </c>
    </row>
    <row r="224" customFormat="false" ht="15" hidden="false" customHeight="false" outlineLevel="0" collapsed="false">
      <c r="A224" s="0" t="str">
        <f aca="false">Chase1168_2025!A224</f>
        <v>DEBIT</v>
      </c>
      <c r="B224" s="14" t="n">
        <f aca="false">Chase1168_2025!B224</f>
        <v>45971</v>
      </c>
      <c r="C224" s="0" t="str">
        <f aca="false">Chase1168_2025!C224</f>
        <v>Zelle payment to Jeffrey Seider JPM99bu6zt3e</v>
      </c>
      <c r="D224" s="7" t="n">
        <f aca="false">Chase1168_2025!D224</f>
        <v>-250</v>
      </c>
      <c r="E224" s="0" t="str">
        <f aca="false">Chase1168_2025!E224</f>
        <v>CHASE_TO_PARTNERFI</v>
      </c>
      <c r="F224" s="7" t="n">
        <f aca="false">Chase1168_2025!F224</f>
        <v>11452.35</v>
      </c>
      <c r="G224" s="0" t="str">
        <f aca="false">Chase1168_2025!G224</f>
        <v>Zelle - Jeff Seider</v>
      </c>
      <c r="H224" s="15" t="n">
        <f aca="false">IF($B224="","",DATE(YEAR($B224),MONTH($B224),1))</f>
        <v>45962</v>
      </c>
      <c r="I224" s="0" t="str">
        <f aca="false">IF($G224="","Uncategorized — Review",IFERROR(INDEX(Mapping!$B:$B,MATCH($G224,Mapping!$A:$A,0)),"Uncategorized — Review"))</f>
        <v>Zelle - Jeff Seider</v>
      </c>
      <c r="J224" s="0" t="str">
        <f aca="false">IF($G224="","Uncategorized — Review",IFERROR(INDEX(Mapping!$C:$C,MATCH($G224,Mapping!$A:$A,0)),"Uncategorized — Review"))</f>
        <v>P2P Payments (Zelle/Venmo/PayPal)</v>
      </c>
    </row>
    <row r="225" customFormat="false" ht="15" hidden="false" customHeight="false" outlineLevel="0" collapsed="false">
      <c r="A225" s="0" t="str">
        <f aca="false">Chase1168_2025!A225</f>
        <v>DEBIT</v>
      </c>
      <c r="B225" s="14" t="n">
        <f aca="false">Chase1168_2025!B225</f>
        <v>45971</v>
      </c>
      <c r="C225" s="0" t="str">
        <f aca="false">Chase1168_2025!C225</f>
        <v>PAYPAL *BAFILEGIRL6 402-935-7733 CA          11/10</v>
      </c>
      <c r="D225" s="7" t="n">
        <f aca="false">Chase1168_2025!D225</f>
        <v>-309</v>
      </c>
      <c r="E225" s="0" t="str">
        <f aca="false">Chase1168_2025!E225</f>
        <v>DEBIT_CARD</v>
      </c>
      <c r="F225" s="7" t="n">
        <f aca="false">Chase1168_2025!F225</f>
        <v>11702.35</v>
      </c>
      <c r="G225" s="0" t="str">
        <f aca="false">Chase1168_2025!G225</f>
        <v>Personal - Health</v>
      </c>
      <c r="H225" s="15" t="n">
        <f aca="false">IF($B225="","",DATE(YEAR($B225),MONTH($B225),1))</f>
        <v>45962</v>
      </c>
      <c r="I225" s="0" t="str">
        <f aca="false">IF($G225="","Uncategorized — Review",IFERROR(INDEX(Mapping!$B:$B,MATCH($G225,Mapping!$A:$A,0)),"Uncategorized — Review"))</f>
        <v>Personal - Health (incl. Ins.)</v>
      </c>
      <c r="J225" s="0" t="str">
        <f aca="false">IF($G225="","Uncategorized — Review",IFERROR(INDEX(Mapping!$C:$C,MATCH($G225,Mapping!$A:$A,0)),"Uncategorized — Review"))</f>
        <v>Personal — Owner</v>
      </c>
    </row>
    <row r="226" customFormat="false" ht="15" hidden="false" customHeight="false" outlineLevel="0" collapsed="false">
      <c r="A226" s="0" t="str">
        <f aca="false">Chase1168_2025!A226</f>
        <v>DEBIT</v>
      </c>
      <c r="B226" s="14" t="n">
        <f aca="false">Chase1168_2025!B226</f>
        <v>45971</v>
      </c>
      <c r="C226" s="0" t="str">
        <f aca="false">Chase1168_2025!C226</f>
        <v>Zelle payment to Natalie Cordova JPM99bu5ycdb</v>
      </c>
      <c r="D226" s="7" t="n">
        <f aca="false">Chase1168_2025!D226</f>
        <v>-500</v>
      </c>
      <c r="E226" s="0" t="str">
        <f aca="false">Chase1168_2025!E226</f>
        <v>CHASE_TO_PARTNERFI</v>
      </c>
      <c r="F226" s="7" t="n">
        <f aca="false">Chase1168_2025!F226</f>
        <v>12011.35</v>
      </c>
      <c r="G226" s="0" t="str">
        <f aca="false">Chase1168_2025!G226</f>
        <v>Zelle - Natalie C.</v>
      </c>
      <c r="H226" s="15" t="n">
        <f aca="false">IF($B226="","",DATE(YEAR($B226),MONTH($B226),1))</f>
        <v>45962</v>
      </c>
      <c r="I226" s="0" t="str">
        <f aca="false">IF($G226="","Uncategorized — Review",IFERROR(INDEX(Mapping!$B:$B,MATCH($G226,Mapping!$A:$A,0)),"Uncategorized — Review"))</f>
        <v>Zelle - Natalie C.</v>
      </c>
      <c r="J226" s="0" t="str">
        <f aca="false">IF($G226="","Uncategorized — Review",IFERROR(INDEX(Mapping!$C:$C,MATCH($G226,Mapping!$A:$A,0)),"Uncategorized — Review"))</f>
        <v>P2P Payments (Zelle/Venmo/PayPal)</v>
      </c>
    </row>
    <row r="227" customFormat="false" ht="15" hidden="false" customHeight="false" outlineLevel="0" collapsed="false">
      <c r="A227" s="0" t="str">
        <f aca="false">Chase1168_2025!A227</f>
        <v>DEBIT</v>
      </c>
      <c r="B227" s="14" t="n">
        <f aca="false">Chase1168_2025!B227</f>
        <v>45971</v>
      </c>
      <c r="C227" s="0" t="str">
        <f aca="false">Chase1168_2025!C227</f>
        <v>Online Transfer to CHK ...1117 transaction#: 26903952731 11/10</v>
      </c>
      <c r="D227" s="7" t="n">
        <f aca="false">Chase1168_2025!D227</f>
        <v>-2000</v>
      </c>
      <c r="E227" s="0" t="str">
        <f aca="false">Chase1168_2025!E227</f>
        <v>ACCT_XFER</v>
      </c>
      <c r="F227" s="7" t="n">
        <f aca="false">Chase1168_2025!F227</f>
        <v>12511.35</v>
      </c>
      <c r="G227" s="0" t="str">
        <f aca="false">Chase1168_2025!G227</f>
        <v>Transfer to Angela Dunning</v>
      </c>
      <c r="H227" s="15" t="n">
        <f aca="false">IF($B227="","",DATE(YEAR($B227),MONTH($B227),1))</f>
        <v>45962</v>
      </c>
      <c r="I227" s="0" t="str">
        <f aca="false">IF($G227="","Uncategorized — Review",IFERROR(INDEX(Mapping!$B:$B,MATCH($G227,Mapping!$A:$A,0)),"Uncategorized — Review"))</f>
        <v>Transfer to Angela Dunning</v>
      </c>
      <c r="J227" s="0" t="str">
        <f aca="false">IF($G227="","Uncategorized — Review",IFERROR(INDEX(Mapping!$C:$C,MATCH($G227,Mapping!$A:$A,0)),"Uncategorized — Review"))</f>
        <v>Owner / Family Distributions</v>
      </c>
    </row>
    <row r="228" customFormat="false" ht="15" hidden="false" customHeight="false" outlineLevel="0" collapsed="false">
      <c r="A228" s="0" t="str">
        <f aca="false">Chase1168_2025!A228</f>
        <v>DEBIT</v>
      </c>
      <c r="B228" s="14" t="n">
        <f aca="false">Chase1168_2025!B228</f>
        <v>45971</v>
      </c>
      <c r="C228" s="0" t="str">
        <f aca="false">Chase1168_2025!C228</f>
        <v>Zelle payment to Estella Martinez JPM99bu50zmk</v>
      </c>
      <c r="D228" s="7" t="n">
        <f aca="false">Chase1168_2025!D228</f>
        <v>-800</v>
      </c>
      <c r="E228" s="0" t="str">
        <f aca="false">Chase1168_2025!E228</f>
        <v>CHASE_TO_PARTNERFI</v>
      </c>
      <c r="F228" s="7" t="n">
        <f aca="false">Chase1168_2025!F228</f>
        <v>14511.35</v>
      </c>
      <c r="G228" s="0" t="str">
        <f aca="false">Chase1168_2025!G228</f>
        <v>Zelle - Estella M.</v>
      </c>
      <c r="H228" s="15" t="n">
        <f aca="false">IF($B228="","",DATE(YEAR($B228),MONTH($B228),1))</f>
        <v>45962</v>
      </c>
      <c r="I228" s="0" t="str">
        <f aca="false">IF($G228="","Uncategorized — Review",IFERROR(INDEX(Mapping!$B:$B,MATCH($G228,Mapping!$A:$A,0)),"Uncategorized — Review"))</f>
        <v>Zelle - Estella M.</v>
      </c>
      <c r="J228" s="0" t="str">
        <f aca="false">IF($G228="","Uncategorized — Review",IFERROR(INDEX(Mapping!$C:$C,MATCH($G228,Mapping!$A:$A,0)),"Uncategorized — Review"))</f>
        <v>P2P Payments (Zelle/Venmo/PayPal)</v>
      </c>
    </row>
    <row r="229" customFormat="false" ht="15" hidden="false" customHeight="false" outlineLevel="0" collapsed="false">
      <c r="A229" s="0" t="str">
        <f aca="false">Chase1168_2025!A229</f>
        <v>DEBIT</v>
      </c>
      <c r="B229" s="14" t="n">
        <f aca="false">Chase1168_2025!B229</f>
        <v>45971</v>
      </c>
      <c r="C229" s="0" t="str">
        <f aca="false">Chase1168_2025!C229</f>
        <v>PAYPAL *BED BATH BE 800-843-2446 UT          11/10</v>
      </c>
      <c r="D229" s="7" t="n">
        <f aca="false">Chase1168_2025!D229</f>
        <v>-27.38</v>
      </c>
      <c r="E229" s="0" t="str">
        <f aca="false">Chase1168_2025!E229</f>
        <v>DEBIT_CARD</v>
      </c>
      <c r="F229" s="7" t="n">
        <f aca="false">Chase1168_2025!F229</f>
        <v>15311.35</v>
      </c>
      <c r="G229" s="0" t="str">
        <f aca="false">Chase1168_2025!G229</f>
        <v>PayPal</v>
      </c>
      <c r="H229" s="15" t="n">
        <f aca="false">IF($B229="","",DATE(YEAR($B229),MONTH($B229),1))</f>
        <v>45962</v>
      </c>
      <c r="I229" s="0" t="str">
        <f aca="false">IF($G229="","Uncategorized — Review",IFERROR(INDEX(Mapping!$B:$B,MATCH($G229,Mapping!$A:$A,0)),"Uncategorized — Review"))</f>
        <v>PayPal</v>
      </c>
      <c r="J229" s="0" t="str">
        <f aca="false">IF($G229="","Uncategorized — Review",IFERROR(INDEX(Mapping!$C:$C,MATCH($G229,Mapping!$A:$A,0)),"Uncategorized — Review"))</f>
        <v>P2P Payments (Zelle/Venmo/PayPal)</v>
      </c>
    </row>
    <row r="230" customFormat="false" ht="15" hidden="false" customHeight="false" outlineLevel="0" collapsed="false">
      <c r="A230" s="0" t="str">
        <f aca="false">Chase1168_2025!A230</f>
        <v>DEBIT</v>
      </c>
      <c r="B230" s="14" t="n">
        <f aca="false">Chase1168_2025!B230</f>
        <v>45971</v>
      </c>
      <c r="C230" s="0" t="str">
        <f aca="false">Chase1168_2025!C230</f>
        <v>PP*APPLE.COM/BILL 800-275-2273 CA            11/09</v>
      </c>
      <c r="D230" s="7" t="n">
        <f aca="false">Chase1168_2025!D230</f>
        <v>-8.99</v>
      </c>
      <c r="E230" s="0" t="str">
        <f aca="false">Chase1168_2025!E230</f>
        <v>DEBIT_CARD</v>
      </c>
      <c r="F230" s="7" t="n">
        <f aca="false">Chase1168_2025!F230</f>
        <v>15338.73</v>
      </c>
      <c r="G230" s="0" t="str">
        <f aca="false">Chase1168_2025!G230</f>
        <v>Personal - Subscriptions</v>
      </c>
      <c r="H230" s="15" t="n">
        <f aca="false">IF($B230="","",DATE(YEAR($B230),MONTH($B230),1))</f>
        <v>45962</v>
      </c>
      <c r="I230" s="0" t="str">
        <f aca="false">IF($G230="","Uncategorized — Review",IFERROR(INDEX(Mapping!$B:$B,MATCH($G230,Mapping!$A:$A,0)),"Uncategorized — Review"))</f>
        <v>Personal - Subscriptions</v>
      </c>
      <c r="J230" s="0" t="str">
        <f aca="false">IF($G230="","Uncategorized — Review",IFERROR(INDEX(Mapping!$C:$C,MATCH($G230,Mapping!$A:$A,0)),"Uncategorized — Review"))</f>
        <v>Personal — Owner</v>
      </c>
    </row>
    <row r="231" customFormat="false" ht="15" hidden="false" customHeight="false" outlineLevel="0" collapsed="false">
      <c r="A231" s="0" t="str">
        <f aca="false">Chase1168_2025!A231</f>
        <v>DEBIT</v>
      </c>
      <c r="B231" s="14" t="n">
        <f aca="false">Chase1168_2025!B231</f>
        <v>45971</v>
      </c>
      <c r="C231" s="0" t="str">
        <f aca="false">Chase1168_2025!C231</f>
        <v>PP*APPLE.COM/BILL 800-275-2273 CA            11/08</v>
      </c>
      <c r="D231" s="7" t="n">
        <f aca="false">Chase1168_2025!D231</f>
        <v>-11.99</v>
      </c>
      <c r="E231" s="0" t="str">
        <f aca="false">Chase1168_2025!E231</f>
        <v>DEBIT_CARD</v>
      </c>
      <c r="F231" s="7" t="n">
        <f aca="false">Chase1168_2025!F231</f>
        <v>15347.72</v>
      </c>
      <c r="G231" s="0" t="str">
        <f aca="false">Chase1168_2025!G231</f>
        <v>Personal - Subscriptions</v>
      </c>
      <c r="H231" s="15" t="n">
        <f aca="false">IF($B231="","",DATE(YEAR($B231),MONTH($B231),1))</f>
        <v>45962</v>
      </c>
      <c r="I231" s="0" t="str">
        <f aca="false">IF($G231="","Uncategorized — Review",IFERROR(INDEX(Mapping!$B:$B,MATCH($G231,Mapping!$A:$A,0)),"Uncategorized — Review"))</f>
        <v>Personal - Subscriptions</v>
      </c>
      <c r="J231" s="0" t="str">
        <f aca="false">IF($G231="","Uncategorized — Review",IFERROR(INDEX(Mapping!$C:$C,MATCH($G231,Mapping!$A:$A,0)),"Uncategorized — Review"))</f>
        <v>Personal — Owner</v>
      </c>
    </row>
    <row r="232" customFormat="false" ht="15" hidden="false" customHeight="false" outlineLevel="0" collapsed="false">
      <c r="A232" s="0" t="str">
        <f aca="false">Chase1168_2025!A232</f>
        <v>DEBIT</v>
      </c>
      <c r="B232" s="14" t="n">
        <f aca="false">Chase1168_2025!B232</f>
        <v>45971</v>
      </c>
      <c r="C232" s="0" t="str">
        <f aca="false">Chase1168_2025!C232</f>
        <v>ORIG CO NAME:TXWORKFORCECOMM        ORIG ID:2146000320 DESC DATE:251107 CO ENTRY DESCR:DEBIT     SEC:CCD    TRACE#:021000024872254 EED:251110   IND ID:(512)463-2325                IND NAME:TWC-203092024                                                                                                TWC UI TAX TRN: 3144872254TC</v>
      </c>
      <c r="D232" s="7" t="n">
        <f aca="false">Chase1168_2025!D232</f>
        <v>-15</v>
      </c>
      <c r="E232" s="0" t="str">
        <f aca="false">Chase1168_2025!E232</f>
        <v>ACH_DEBIT</v>
      </c>
      <c r="F232" s="7" t="n">
        <f aca="false">Chase1168_2025!F232</f>
        <v>15359.71</v>
      </c>
      <c r="G232" s="0" t="str">
        <f aca="false">Chase1168_2025!G232</f>
        <v>Taxes</v>
      </c>
      <c r="H232" s="15" t="n">
        <f aca="false">IF($B232="","",DATE(YEAR($B232),MONTH($B232),1))</f>
        <v>45962</v>
      </c>
      <c r="I232" s="0" t="str">
        <f aca="false">IF($G232="","Uncategorized — Review",IFERROR(INDEX(Mapping!$B:$B,MATCH($G232,Mapping!$A:$A,0)),"Uncategorized — Review"))</f>
        <v>Taxes</v>
      </c>
      <c r="J232" s="0" t="str">
        <f aca="false">IF($G232="","Uncategorized — Review",IFERROR(INDEX(Mapping!$C:$C,MATCH($G232,Mapping!$A:$A,0)),"Uncategorized — Review"))</f>
        <v>Taxes</v>
      </c>
    </row>
    <row r="233" customFormat="false" ht="15" hidden="false" customHeight="false" outlineLevel="0" collapsed="false">
      <c r="A233" s="0" t="str">
        <f aca="false">Chase1168_2025!A233</f>
        <v>DEBIT</v>
      </c>
      <c r="B233" s="14" t="n">
        <f aca="false">Chase1168_2025!B233</f>
        <v>45971</v>
      </c>
      <c r="C233" s="0" t="str">
        <f aca="false">Chase1168_2025!C233</f>
        <v>PAYPAL *GRUBHUBFOOD L 877-585-7878 IL        11/09</v>
      </c>
      <c r="D233" s="7" t="n">
        <f aca="false">Chase1168_2025!D233</f>
        <v>-57.95</v>
      </c>
      <c r="E233" s="0" t="str">
        <f aca="false">Chase1168_2025!E233</f>
        <v>DEBIT_CARD</v>
      </c>
      <c r="F233" s="7" t="n">
        <f aca="false">Chase1168_2025!F233</f>
        <v>15374.71</v>
      </c>
      <c r="G233" s="0" t="str">
        <f aca="false">Chase1168_2025!G233</f>
        <v>Personal - Food</v>
      </c>
      <c r="H233" s="15" t="n">
        <f aca="false">IF($B233="","",DATE(YEAR($B233),MONTH($B233),1))</f>
        <v>45962</v>
      </c>
      <c r="I233" s="0" t="str">
        <f aca="false">IF($G233="","Uncategorized — Review",IFERROR(INDEX(Mapping!$B:$B,MATCH($G233,Mapping!$A:$A,0)),"Uncategorized — Review"))</f>
        <v>Personal - Food &amp; Dining</v>
      </c>
      <c r="J233" s="0" t="str">
        <f aca="false">IF($G233="","Uncategorized — Review",IFERROR(INDEX(Mapping!$C:$C,MATCH($G233,Mapping!$A:$A,0)),"Uncategorized — Review"))</f>
        <v>Personal — Owner</v>
      </c>
    </row>
    <row r="234" customFormat="false" ht="15" hidden="false" customHeight="false" outlineLevel="0" collapsed="false">
      <c r="A234" s="0" t="str">
        <f aca="false">Chase1168_2025!A234</f>
        <v>DEBIT</v>
      </c>
      <c r="B234" s="14" t="n">
        <f aca="false">Chase1168_2025!B234</f>
        <v>45971</v>
      </c>
      <c r="C234" s="0" t="str">
        <f aca="false">Chase1168_2025!C234</f>
        <v>PAYPAL *DROPBOX 855-337-6726 CA              11/09</v>
      </c>
      <c r="D234" s="7" t="n">
        <f aca="false">Chase1168_2025!D234</f>
        <v>-119.88</v>
      </c>
      <c r="E234" s="0" t="str">
        <f aca="false">Chase1168_2025!E234</f>
        <v>DEBIT_CARD</v>
      </c>
      <c r="F234" s="7" t="n">
        <f aca="false">Chase1168_2025!F234</f>
        <v>15432.66</v>
      </c>
      <c r="G234" s="0" t="str">
        <f aca="false">Chase1168_2025!G234</f>
        <v>Personal - Subscriptions</v>
      </c>
      <c r="H234" s="15" t="n">
        <f aca="false">IF($B234="","",DATE(YEAR($B234),MONTH($B234),1))</f>
        <v>45962</v>
      </c>
      <c r="I234" s="0" t="str">
        <f aca="false">IF($G234="","Uncategorized — Review",IFERROR(INDEX(Mapping!$B:$B,MATCH($G234,Mapping!$A:$A,0)),"Uncategorized — Review"))</f>
        <v>Personal - Subscriptions</v>
      </c>
      <c r="J234" s="0" t="str">
        <f aca="false">IF($G234="","Uncategorized — Review",IFERROR(INDEX(Mapping!$C:$C,MATCH($G234,Mapping!$A:$A,0)),"Uncategorized — Review"))</f>
        <v>Personal — Owner</v>
      </c>
    </row>
    <row r="235" customFormat="false" ht="15" hidden="false" customHeight="false" outlineLevel="0" collapsed="false">
      <c r="A235" s="0" t="str">
        <f aca="false">Chase1168_2025!A235</f>
        <v>DEBIT</v>
      </c>
      <c r="B235" s="14" t="n">
        <f aca="false">Chase1168_2025!B235</f>
        <v>45971</v>
      </c>
      <c r="C235" s="0" t="str">
        <f aca="false">Chase1168_2025!C235</f>
        <v>WWW.PERPLEXITY.AI WWW.PERPLEXIT CA           11/07</v>
      </c>
      <c r="D235" s="7" t="n">
        <f aca="false">Chase1168_2025!D235</f>
        <v>-21.28</v>
      </c>
      <c r="E235" s="0" t="str">
        <f aca="false">Chase1168_2025!E235</f>
        <v>DEBIT_CARD</v>
      </c>
      <c r="F235" s="7" t="n">
        <f aca="false">Chase1168_2025!F235</f>
        <v>15552.54</v>
      </c>
      <c r="G235" s="0" t="str">
        <f aca="false">Chase1168_2025!G235</f>
        <v>AI Subscriptions</v>
      </c>
      <c r="H235" s="15" t="n">
        <f aca="false">IF($B235="","",DATE(YEAR($B235),MONTH($B235),1))</f>
        <v>45962</v>
      </c>
      <c r="I235" s="0" t="str">
        <f aca="false">IF($G235="","Uncategorized — Review",IFERROR(INDEX(Mapping!$B:$B,MATCH($G235,Mapping!$A:$A,0)),"Uncategorized — Review"))</f>
        <v>AI Subscriptions</v>
      </c>
      <c r="J235" s="0" t="str">
        <f aca="false">IF($G235="","Uncategorized — Review",IFERROR(INDEX(Mapping!$C:$C,MATCH($G235,Mapping!$A:$A,0)),"Uncategorized — Review"))</f>
        <v>DWG Operating</v>
      </c>
    </row>
    <row r="236" customFormat="false" ht="15" hidden="false" customHeight="false" outlineLevel="0" collapsed="false">
      <c r="A236" s="0" t="str">
        <f aca="false">Chase1168_2025!A236</f>
        <v>DEBIT</v>
      </c>
      <c r="B236" s="14" t="n">
        <f aca="false">Chase1168_2025!B236</f>
        <v>45971</v>
      </c>
      <c r="C236" s="0" t="str">
        <f aca="false">Chase1168_2025!C236</f>
        <v>PP*APPLE.COM/BILL 800-275-2273 CA            11/07</v>
      </c>
      <c r="D236" s="7" t="n">
        <f aca="false">Chase1168_2025!D236</f>
        <v>-100</v>
      </c>
      <c r="E236" s="0" t="str">
        <f aca="false">Chase1168_2025!E236</f>
        <v>DEBIT_CARD</v>
      </c>
      <c r="F236" s="7" t="n">
        <f aca="false">Chase1168_2025!F236</f>
        <v>15573.82</v>
      </c>
      <c r="G236" s="0" t="str">
        <f aca="false">Chase1168_2025!G236</f>
        <v>Personal - Subscriptions</v>
      </c>
      <c r="H236" s="15" t="n">
        <f aca="false">IF($B236="","",DATE(YEAR($B236),MONTH($B236),1))</f>
        <v>45962</v>
      </c>
      <c r="I236" s="0" t="str">
        <f aca="false">IF($G236="","Uncategorized — Review",IFERROR(INDEX(Mapping!$B:$B,MATCH($G236,Mapping!$A:$A,0)),"Uncategorized — Review"))</f>
        <v>Personal - Subscriptions</v>
      </c>
      <c r="J236" s="0" t="str">
        <f aca="false">IF($G236="","Uncategorized — Review",IFERROR(INDEX(Mapping!$C:$C,MATCH($G236,Mapping!$A:$A,0)),"Uncategorized — Review"))</f>
        <v>Personal — Owner</v>
      </c>
    </row>
    <row r="237" customFormat="false" ht="15" hidden="false" customHeight="false" outlineLevel="0" collapsed="false">
      <c r="A237" s="0" t="str">
        <f aca="false">Chase1168_2025!A237</f>
        <v>DEBIT</v>
      </c>
      <c r="B237" s="14" t="n">
        <f aca="false">Chase1168_2025!B237</f>
        <v>45968</v>
      </c>
      <c r="C237" s="0" t="str">
        <f aca="false">Chase1168_2025!C237</f>
        <v>Basic Online Payroll Payment 11194053436 to ########4122</v>
      </c>
      <c r="D237" s="7" t="n">
        <f aca="false">Chase1168_2025!D237</f>
        <v>-1500</v>
      </c>
      <c r="E237" s="0" t="str">
        <f aca="false">Chase1168_2025!E237</f>
        <v>BASIC_PAYROLL</v>
      </c>
      <c r="F237" s="7" t="n">
        <f aca="false">Chase1168_2025!F237</f>
        <v>15673.82</v>
      </c>
      <c r="G237" s="0" t="str">
        <f aca="false">Chase1168_2025!G237</f>
        <v>Mike Paytonjian - Payroll</v>
      </c>
      <c r="H237" s="15" t="n">
        <f aca="false">IF($B237="","",DATE(YEAR($B237),MONTH($B237),1))</f>
        <v>45962</v>
      </c>
      <c r="I237" s="0" t="str">
        <f aca="false">IF($G237="","Uncategorized — Review",IFERROR(INDEX(Mapping!$B:$B,MATCH($G237,Mapping!$A:$A,0)),"Uncategorized — Review"))</f>
        <v>Mike Paytonjian - Payroll</v>
      </c>
      <c r="J237" s="0" t="str">
        <f aca="false">IF($G237="","Uncategorized — Review",IFERROR(INDEX(Mapping!$C:$C,MATCH($G237,Mapping!$A:$A,0)),"Uncategorized — Review"))</f>
        <v>Payroll &amp; Contractors</v>
      </c>
    </row>
    <row r="238" customFormat="false" ht="15" hidden="false" customHeight="false" outlineLevel="0" collapsed="false">
      <c r="A238" s="0" t="str">
        <f aca="false">Chase1168_2025!A238</f>
        <v>DEBIT</v>
      </c>
      <c r="B238" s="14" t="n">
        <f aca="false">Chase1168_2025!B238</f>
        <v>45968</v>
      </c>
      <c r="C238" s="0" t="str">
        <f aca="false">Chase1168_2025!C238</f>
        <v>PAYPAL *UBER 866-576-1039 CA                 11/07</v>
      </c>
      <c r="D238" s="7" t="n">
        <f aca="false">Chase1168_2025!D238</f>
        <v>-24.98</v>
      </c>
      <c r="E238" s="0" t="str">
        <f aca="false">Chase1168_2025!E238</f>
        <v>DEBIT_CARD</v>
      </c>
      <c r="F238" s="7" t="n">
        <f aca="false">Chase1168_2025!F238</f>
        <v>17173.82</v>
      </c>
      <c r="G238" s="0" t="str">
        <f aca="false">Chase1168_2025!G238</f>
        <v>Personal - Car</v>
      </c>
      <c r="H238" s="15" t="n">
        <f aca="false">IF($B238="","",DATE(YEAR($B238),MONTH($B238),1))</f>
        <v>45962</v>
      </c>
      <c r="I238" s="0" t="str">
        <f aca="false">IF($G238="","Uncategorized — Review",IFERROR(INDEX(Mapping!$B:$B,MATCH($G238,Mapping!$A:$A,0)),"Uncategorized — Review"))</f>
        <v>Personal - Car &amp; Auto</v>
      </c>
      <c r="J238" s="0" t="str">
        <f aca="false">IF($G238="","Uncategorized — Review",IFERROR(INDEX(Mapping!$C:$C,MATCH($G238,Mapping!$A:$A,0)),"Uncategorized — Review"))</f>
        <v>Personal — Owner</v>
      </c>
    </row>
    <row r="239" customFormat="false" ht="15" hidden="false" customHeight="false" outlineLevel="0" collapsed="false">
      <c r="A239" s="0" t="str">
        <f aca="false">Chase1168_2025!A239</f>
        <v>DEBIT</v>
      </c>
      <c r="B239" s="14" t="n">
        <f aca="false">Chase1168_2025!B239</f>
        <v>45968</v>
      </c>
      <c r="C239" s="0" t="str">
        <f aca="false">Chase1168_2025!C239</f>
        <v>PAYPAL *UBER 866-576-1039 CA                 11/07</v>
      </c>
      <c r="D239" s="7" t="n">
        <f aca="false">Chase1168_2025!D239</f>
        <v>-9.97</v>
      </c>
      <c r="E239" s="0" t="str">
        <f aca="false">Chase1168_2025!E239</f>
        <v>DEBIT_CARD</v>
      </c>
      <c r="F239" s="7" t="n">
        <f aca="false">Chase1168_2025!F239</f>
        <v>17198.8</v>
      </c>
      <c r="G239" s="0" t="str">
        <f aca="false">Chase1168_2025!G239</f>
        <v>Personal - Car</v>
      </c>
      <c r="H239" s="15" t="n">
        <f aca="false">IF($B239="","",DATE(YEAR($B239),MONTH($B239),1))</f>
        <v>45962</v>
      </c>
      <c r="I239" s="0" t="str">
        <f aca="false">IF($G239="","Uncategorized — Review",IFERROR(INDEX(Mapping!$B:$B,MATCH($G239,Mapping!$A:$A,0)),"Uncategorized — Review"))</f>
        <v>Personal - Car &amp; Auto</v>
      </c>
      <c r="J239" s="0" t="str">
        <f aca="false">IF($G239="","Uncategorized — Review",IFERROR(INDEX(Mapping!$C:$C,MATCH($G239,Mapping!$A:$A,0)),"Uncategorized — Review"))</f>
        <v>Personal — Owner</v>
      </c>
    </row>
    <row r="240" customFormat="false" ht="15" hidden="false" customHeight="false" outlineLevel="0" collapsed="false">
      <c r="A240" s="0" t="str">
        <f aca="false">Chase1168_2025!A240</f>
        <v>DEBIT</v>
      </c>
      <c r="B240" s="14" t="n">
        <f aca="false">Chase1168_2025!B240</f>
        <v>45968</v>
      </c>
      <c r="C240" s="0" t="str">
        <f aca="false">Chase1168_2025!C240</f>
        <v>PAYPAL *UBER 866-576-1039 CA                 11/07</v>
      </c>
      <c r="D240" s="7" t="n">
        <f aca="false">Chase1168_2025!D240</f>
        <v>-66.46</v>
      </c>
      <c r="E240" s="0" t="str">
        <f aca="false">Chase1168_2025!E240</f>
        <v>DEBIT_CARD</v>
      </c>
      <c r="F240" s="7" t="n">
        <f aca="false">Chase1168_2025!F240</f>
        <v>17208.77</v>
      </c>
      <c r="G240" s="0" t="str">
        <f aca="false">Chase1168_2025!G240</f>
        <v>Personal - Car</v>
      </c>
      <c r="H240" s="15" t="n">
        <f aca="false">IF($B240="","",DATE(YEAR($B240),MONTH($B240),1))</f>
        <v>45962</v>
      </c>
      <c r="I240" s="0" t="str">
        <f aca="false">IF($G240="","Uncategorized — Review",IFERROR(INDEX(Mapping!$B:$B,MATCH($G240,Mapping!$A:$A,0)),"Uncategorized — Review"))</f>
        <v>Personal - Car &amp; Auto</v>
      </c>
      <c r="J240" s="0" t="str">
        <f aca="false">IF($G240="","Uncategorized — Review",IFERROR(INDEX(Mapping!$C:$C,MATCH($G240,Mapping!$A:$A,0)),"Uncategorized — Review"))</f>
        <v>Personal — Owner</v>
      </c>
    </row>
    <row r="241" customFormat="false" ht="15" hidden="false" customHeight="false" outlineLevel="0" collapsed="false">
      <c r="A241" s="0" t="str">
        <f aca="false">Chase1168_2025!A241</f>
        <v>DEBIT</v>
      </c>
      <c r="B241" s="14" t="n">
        <f aca="false">Chase1168_2025!B241</f>
        <v>45968</v>
      </c>
      <c r="C241" s="0" t="str">
        <f aca="false">Chase1168_2025!C241</f>
        <v>PAYPAL *UBER 866-576-1039 CA                 11/07</v>
      </c>
      <c r="D241" s="7" t="n">
        <f aca="false">Chase1168_2025!D241</f>
        <v>-9.57</v>
      </c>
      <c r="E241" s="0" t="str">
        <f aca="false">Chase1168_2025!E241</f>
        <v>DEBIT_CARD</v>
      </c>
      <c r="F241" s="7" t="n">
        <f aca="false">Chase1168_2025!F241</f>
        <v>17275.23</v>
      </c>
      <c r="G241" s="0" t="str">
        <f aca="false">Chase1168_2025!G241</f>
        <v>Personal - Car</v>
      </c>
      <c r="H241" s="15" t="n">
        <f aca="false">IF($B241="","",DATE(YEAR($B241),MONTH($B241),1))</f>
        <v>45962</v>
      </c>
      <c r="I241" s="0" t="str">
        <f aca="false">IF($G241="","Uncategorized — Review",IFERROR(INDEX(Mapping!$B:$B,MATCH($G241,Mapping!$A:$A,0)),"Uncategorized — Review"))</f>
        <v>Personal - Car &amp; Auto</v>
      </c>
      <c r="J241" s="0" t="str">
        <f aca="false">IF($G241="","Uncategorized — Review",IFERROR(INDEX(Mapping!$C:$C,MATCH($G241,Mapping!$A:$A,0)),"Uncategorized — Review"))</f>
        <v>Personal — Owner</v>
      </c>
    </row>
    <row r="242" customFormat="false" ht="15" hidden="false" customHeight="false" outlineLevel="0" collapsed="false">
      <c r="A242" s="0" t="str">
        <f aca="false">Chase1168_2025!A242</f>
        <v>DEBIT</v>
      </c>
      <c r="B242" s="14" t="n">
        <f aca="false">Chase1168_2025!B242</f>
        <v>45967</v>
      </c>
      <c r="C242" s="0" t="str">
        <f aca="false">Chase1168_2025!C242</f>
        <v>ONLINE FX INTERNATIONAL WIRE FEE</v>
      </c>
      <c r="D242" s="7" t="n">
        <f aca="false">Chase1168_2025!D242</f>
        <v>-5</v>
      </c>
      <c r="E242" s="0" t="str">
        <f aca="false">Chase1168_2025!E242</f>
        <v>FEE_TRANSACTION</v>
      </c>
      <c r="F242" s="7" t="n">
        <f aca="false">Chase1168_2025!F242</f>
        <v>17284.8</v>
      </c>
      <c r="G242" s="0" t="str">
        <f aca="false">Chase1168_2025!G242</f>
        <v>Andres Alarcon Payroll</v>
      </c>
      <c r="H242" s="15" t="n">
        <f aca="false">IF($B242="","",DATE(YEAR($B242),MONTH($B242),1))</f>
        <v>45962</v>
      </c>
      <c r="I242" s="0" t="str">
        <f aca="false">IF($G242="","Uncategorized — Review",IFERROR(INDEX(Mapping!$B:$B,MATCH($G242,Mapping!$A:$A,0)),"Uncategorized — Review"))</f>
        <v>Andres Alarcon Payroll</v>
      </c>
      <c r="J242" s="0" t="str">
        <f aca="false">IF($G242="","Uncategorized — Review",IFERROR(INDEX(Mapping!$C:$C,MATCH($G242,Mapping!$A:$A,0)),"Uncategorized — Review"))</f>
        <v>Payroll &amp; Contractors</v>
      </c>
    </row>
    <row r="243" customFormat="false" ht="15" hidden="false" customHeight="false" outlineLevel="0" collapsed="false">
      <c r="A243" s="0" t="str">
        <f aca="false">Chase1168_2025!A243</f>
        <v>DEBIT</v>
      </c>
      <c r="B243" s="14" t="n">
        <f aca="false">Chase1168_2025!B243</f>
        <v>45967</v>
      </c>
      <c r="C243" s="0" t="str">
        <f aca="false">Chase1168_2025!C243</f>
        <v>ORIG CO NAME:VENMO                  ORIG ID:3264681992 DESC DATE:251106 CO ENTRY DESCR:PAYMENT   SEC:WEB    TRACE#:021000026468332 EED:251106   IND ID:1046027739904                IND NAME:JUDD DUNNING                                                                                                 251106PPZOR3 TRN: 3106468332TC</v>
      </c>
      <c r="D243" s="7" t="n">
        <f aca="false">Chase1168_2025!D243</f>
        <v>-100</v>
      </c>
      <c r="E243" s="0" t="str">
        <f aca="false">Chase1168_2025!E243</f>
        <v>ACH_DEBIT</v>
      </c>
      <c r="F243" s="7" t="n">
        <f aca="false">Chase1168_2025!F243</f>
        <v>17289.8</v>
      </c>
      <c r="G243" s="0" t="str">
        <f aca="false">Chase1168_2025!G243</f>
        <v>Venmo</v>
      </c>
      <c r="H243" s="15" t="n">
        <f aca="false">IF($B243="","",DATE(YEAR($B243),MONTH($B243),1))</f>
        <v>45962</v>
      </c>
      <c r="I243" s="0" t="str">
        <f aca="false">IF($G243="","Uncategorized — Review",IFERROR(INDEX(Mapping!$B:$B,MATCH($G243,Mapping!$A:$A,0)),"Uncategorized — Review"))</f>
        <v>Venmo</v>
      </c>
      <c r="J243" s="0" t="str">
        <f aca="false">IF($G243="","Uncategorized — Review",IFERROR(INDEX(Mapping!$C:$C,MATCH($G243,Mapping!$A:$A,0)),"Uncategorized — Review"))</f>
        <v>P2P Payments (Zelle/Venmo/PayPal)</v>
      </c>
    </row>
    <row r="244" customFormat="false" ht="15" hidden="false" customHeight="false" outlineLevel="0" collapsed="false">
      <c r="A244" s="0" t="str">
        <f aca="false">Chase1168_2025!A244</f>
        <v>DEBIT</v>
      </c>
      <c r="B244" s="14" t="n">
        <f aca="false">Chase1168_2025!B244</f>
        <v>45967</v>
      </c>
      <c r="C244" s="0" t="str">
        <f aca="false">Chase1168_2025!C244</f>
        <v>ORIG CO NAME:VENMO                  ORIG ID:3264681992 DESC DATE:251106 CO ENTRY DESCR:PAYMENT   SEC:WEB    TRACE#:021000025147078 EED:251106   IND ID:1046019811525                IND NAME:JUDD DUNNING                                                                                                 251106PPZL5P TRN: 3105147078TC</v>
      </c>
      <c r="D244" s="7" t="n">
        <f aca="false">Chase1168_2025!D244</f>
        <v>-150</v>
      </c>
      <c r="E244" s="0" t="str">
        <f aca="false">Chase1168_2025!E244</f>
        <v>ACH_DEBIT</v>
      </c>
      <c r="F244" s="7" t="n">
        <f aca="false">Chase1168_2025!F244</f>
        <v>17389.8</v>
      </c>
      <c r="G244" s="0" t="str">
        <f aca="false">Chase1168_2025!G244</f>
        <v>Venmo</v>
      </c>
      <c r="H244" s="15" t="n">
        <f aca="false">IF($B244="","",DATE(YEAR($B244),MONTH($B244),1))</f>
        <v>45962</v>
      </c>
      <c r="I244" s="0" t="str">
        <f aca="false">IF($G244="","Uncategorized — Review",IFERROR(INDEX(Mapping!$B:$B,MATCH($G244,Mapping!$A:$A,0)),"Uncategorized — Review"))</f>
        <v>Venmo</v>
      </c>
      <c r="J244" s="0" t="str">
        <f aca="false">IF($G244="","Uncategorized — Review",IFERROR(INDEX(Mapping!$C:$C,MATCH($G244,Mapping!$A:$A,0)),"Uncategorized — Review"))</f>
        <v>P2P Payments (Zelle/Venmo/PayPal)</v>
      </c>
    </row>
    <row r="245" customFormat="false" ht="15" hidden="false" customHeight="false" outlineLevel="0" collapsed="false">
      <c r="A245" s="0" t="str">
        <f aca="false">Chase1168_2025!A245</f>
        <v>DEBIT</v>
      </c>
      <c r="B245" s="14" t="n">
        <f aca="false">Chase1168_2025!B245</f>
        <v>45967</v>
      </c>
      <c r="C245" s="0" t="str">
        <f aca="false">Chase1168_2025!C245</f>
        <v>ORIG CO NAME:VENMO                  ORIG ID:3264681992 DESC DATE:251106 CO ENTRY DESCR:PAYMENT   SEC:WEB    TRACE#:021000025163731 EED:251106   IND ID:1046014766979                IND NAME:JUDD DUNNING                                                                                                 251106PPZL5R TRN: 3105163731TC</v>
      </c>
      <c r="D245" s="7" t="n">
        <f aca="false">Chase1168_2025!D245</f>
        <v>-1500</v>
      </c>
      <c r="E245" s="0" t="str">
        <f aca="false">Chase1168_2025!E245</f>
        <v>ACH_DEBIT</v>
      </c>
      <c r="F245" s="7" t="n">
        <f aca="false">Chase1168_2025!F245</f>
        <v>17539.8</v>
      </c>
      <c r="G245" s="0" t="str">
        <f aca="false">Chase1168_2025!G245</f>
        <v>Venmo</v>
      </c>
      <c r="H245" s="15" t="n">
        <f aca="false">IF($B245="","",DATE(YEAR($B245),MONTH($B245),1))</f>
        <v>45962</v>
      </c>
      <c r="I245" s="0" t="str">
        <f aca="false">IF($G245="","Uncategorized — Review",IFERROR(INDEX(Mapping!$B:$B,MATCH($G245,Mapping!$A:$A,0)),"Uncategorized — Review"))</f>
        <v>Venmo</v>
      </c>
      <c r="J245" s="0" t="str">
        <f aca="false">IF($G245="","Uncategorized — Review",IFERROR(INDEX(Mapping!$C:$C,MATCH($G245,Mapping!$A:$A,0)),"Uncategorized — Review"))</f>
        <v>P2P Payments (Zelle/Venmo/PayPal)</v>
      </c>
    </row>
    <row r="246" customFormat="false" ht="15" hidden="false" customHeight="false" outlineLevel="0" collapsed="false">
      <c r="A246" s="0" t="str">
        <f aca="false">Chase1168_2025!A246</f>
        <v>DEBIT</v>
      </c>
      <c r="B246" s="14" t="n">
        <f aca="false">Chase1168_2025!B246</f>
        <v>45967</v>
      </c>
      <c r="C246" s="0" t="str">
        <f aca="false">Chase1168_2025!C246</f>
        <v>Zelle payment to Jeffrey Seider JPM99btpnkvu</v>
      </c>
      <c r="D246" s="7" t="n">
        <f aca="false">Chase1168_2025!D246</f>
        <v>-250</v>
      </c>
      <c r="E246" s="0" t="str">
        <f aca="false">Chase1168_2025!E246</f>
        <v>CHASE_TO_PARTNERFI</v>
      </c>
      <c r="F246" s="7" t="n">
        <f aca="false">Chase1168_2025!F246</f>
        <v>19039.8</v>
      </c>
      <c r="G246" s="0" t="str">
        <f aca="false">Chase1168_2025!G246</f>
        <v>Zelle - Jeff Seider</v>
      </c>
      <c r="H246" s="15" t="n">
        <f aca="false">IF($B246="","",DATE(YEAR($B246),MONTH($B246),1))</f>
        <v>45962</v>
      </c>
      <c r="I246" s="0" t="str">
        <f aca="false">IF($G246="","Uncategorized — Review",IFERROR(INDEX(Mapping!$B:$B,MATCH($G246,Mapping!$A:$A,0)),"Uncategorized — Review"))</f>
        <v>Zelle - Jeff Seider</v>
      </c>
      <c r="J246" s="0" t="str">
        <f aca="false">IF($G246="","Uncategorized — Review",IFERROR(INDEX(Mapping!$C:$C,MATCH($G246,Mapping!$A:$A,0)),"Uncategorized — Review"))</f>
        <v>P2P Payments (Zelle/Venmo/PayPal)</v>
      </c>
    </row>
    <row r="247" customFormat="false" ht="15" hidden="false" customHeight="false" outlineLevel="0" collapsed="false">
      <c r="A247" s="0" t="str">
        <f aca="false">Chase1168_2025!A247</f>
        <v>DEBIT</v>
      </c>
      <c r="B247" s="14" t="n">
        <f aca="false">Chase1168_2025!B247</f>
        <v>45967</v>
      </c>
      <c r="C247" s="0" t="str">
        <f aca="false">Chase1168_2025!C247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PAYMENTS/OCMT/COP27 44952,08/EXCH/3659.9361/CNTR/596440 62/INT/ANDRES_52763ATHOTMAIL.C TRN: 4929100310RE 11/06</v>
      </c>
      <c r="D247" s="7" t="n">
        <f aca="false">Chase1168_2025!D247</f>
        <v>-750</v>
      </c>
      <c r="E247" s="0" t="str">
        <f aca="false">Chase1168_2025!E247</f>
        <v>WIRE_OUTGOING</v>
      </c>
      <c r="F247" s="7" t="n">
        <f aca="false">Chase1168_2025!F247</f>
        <v>19289.8</v>
      </c>
      <c r="G247" s="0" t="str">
        <f aca="false">Chase1168_2025!G247</f>
        <v>Andres Alarcon Payroll</v>
      </c>
      <c r="H247" s="15" t="n">
        <f aca="false">IF($B247="","",DATE(YEAR($B247),MONTH($B247),1))</f>
        <v>45962</v>
      </c>
      <c r="I247" s="0" t="str">
        <f aca="false">IF($G247="","Uncategorized — Review",IFERROR(INDEX(Mapping!$B:$B,MATCH($G247,Mapping!$A:$A,0)),"Uncategorized — Review"))</f>
        <v>Andres Alarcon Payroll</v>
      </c>
      <c r="J247" s="0" t="str">
        <f aca="false">IF($G247="","Uncategorized — Review",IFERROR(INDEX(Mapping!$C:$C,MATCH($G247,Mapping!$A:$A,0)),"Uncategorized — Review"))</f>
        <v>Payroll &amp; Contractors</v>
      </c>
    </row>
    <row r="248" customFormat="false" ht="15" hidden="false" customHeight="false" outlineLevel="0" collapsed="false">
      <c r="A248" s="0" t="str">
        <f aca="false">Chase1168_2025!A248</f>
        <v>DEBIT</v>
      </c>
      <c r="B248" s="14" t="n">
        <f aca="false">Chase1168_2025!B248</f>
        <v>45967</v>
      </c>
      <c r="C248" s="0" t="str">
        <f aca="false">Chase1168_2025!C248</f>
        <v>PP*APPLE.COM/BILL 800-275-2273 CA            11/06</v>
      </c>
      <c r="D248" s="7" t="n">
        <f aca="false">Chase1168_2025!D248</f>
        <v>-5</v>
      </c>
      <c r="E248" s="0" t="str">
        <f aca="false">Chase1168_2025!E248</f>
        <v>DEBIT_CARD</v>
      </c>
      <c r="F248" s="7" t="n">
        <f aca="false">Chase1168_2025!F248</f>
        <v>20039.8</v>
      </c>
      <c r="G248" s="0" t="str">
        <f aca="false">Chase1168_2025!G248</f>
        <v>Personal - Subscriptions</v>
      </c>
      <c r="H248" s="15" t="n">
        <f aca="false">IF($B248="","",DATE(YEAR($B248),MONTH($B248),1))</f>
        <v>45962</v>
      </c>
      <c r="I248" s="0" t="str">
        <f aca="false">IF($G248="","Uncategorized — Review",IFERROR(INDEX(Mapping!$B:$B,MATCH($G248,Mapping!$A:$A,0)),"Uncategorized — Review"))</f>
        <v>Personal - Subscriptions</v>
      </c>
      <c r="J248" s="0" t="str">
        <f aca="false">IF($G248="","Uncategorized — Review",IFERROR(INDEX(Mapping!$C:$C,MATCH($G248,Mapping!$A:$A,0)),"Uncategorized — Review"))</f>
        <v>Personal — Owner</v>
      </c>
    </row>
    <row r="249" customFormat="false" ht="15" hidden="false" customHeight="false" outlineLevel="0" collapsed="false">
      <c r="A249" s="0" t="str">
        <f aca="false">Chase1168_2025!A249</f>
        <v>DEBIT</v>
      </c>
      <c r="B249" s="14" t="n">
        <f aca="false">Chase1168_2025!B249</f>
        <v>45967</v>
      </c>
      <c r="C249" s="0" t="str">
        <f aca="false">Chase1168_2025!C249</f>
        <v>PP*APPLE.COM/BILL 800-275-2273 CA            11/05</v>
      </c>
      <c r="D249" s="7" t="n">
        <f aca="false">Chase1168_2025!D249</f>
        <v>-29.99</v>
      </c>
      <c r="E249" s="0" t="str">
        <f aca="false">Chase1168_2025!E249</f>
        <v>DEBIT_CARD</v>
      </c>
      <c r="F249" s="7" t="n">
        <f aca="false">Chase1168_2025!F249</f>
        <v>20044.8</v>
      </c>
      <c r="G249" s="0" t="str">
        <f aca="false">Chase1168_2025!G249</f>
        <v>Personal - Subscriptions</v>
      </c>
      <c r="H249" s="15" t="n">
        <f aca="false">IF($B249="","",DATE(YEAR($B249),MONTH($B249),1))</f>
        <v>45962</v>
      </c>
      <c r="I249" s="0" t="str">
        <f aca="false">IF($G249="","Uncategorized — Review",IFERROR(INDEX(Mapping!$B:$B,MATCH($G249,Mapping!$A:$A,0)),"Uncategorized — Review"))</f>
        <v>Personal - Subscriptions</v>
      </c>
      <c r="J249" s="0" t="str">
        <f aca="false">IF($G249="","Uncategorized — Review",IFERROR(INDEX(Mapping!$C:$C,MATCH($G249,Mapping!$A:$A,0)),"Uncategorized — Review"))</f>
        <v>Personal — Owner</v>
      </c>
    </row>
    <row r="250" customFormat="false" ht="15" hidden="false" customHeight="false" outlineLevel="0" collapsed="false">
      <c r="A250" s="0" t="str">
        <f aca="false">Chase1168_2025!A250</f>
        <v>DEBIT</v>
      </c>
      <c r="B250" s="14" t="n">
        <f aca="false">Chase1168_2025!B250</f>
        <v>45966</v>
      </c>
      <c r="C250" s="0" t="str">
        <f aca="false">Chase1168_2025!C250</f>
        <v>ORIG CO NAME:VENMO                  ORIG ID:3264681992 DESC DATE:251105 CO ENTRY DESCR:PAYMENT   SEC:WEB    TRACE#:021000025294405 EED:251105   IND ID:1046001565579                IND NAME:JUDD DUNNING                                                                                                 251105PPZDCP TRN: 3095294405TC</v>
      </c>
      <c r="D250" s="7" t="n">
        <f aca="false">Chase1168_2025!D250</f>
        <v>-150</v>
      </c>
      <c r="E250" s="0" t="str">
        <f aca="false">Chase1168_2025!E250</f>
        <v>ACH_DEBIT</v>
      </c>
      <c r="F250" s="7" t="n">
        <f aca="false">Chase1168_2025!F250</f>
        <v>20074.79</v>
      </c>
      <c r="G250" s="0" t="str">
        <f aca="false">Chase1168_2025!G250</f>
        <v>Venmo</v>
      </c>
      <c r="H250" s="15" t="n">
        <f aca="false">IF($B250="","",DATE(YEAR($B250),MONTH($B250),1))</f>
        <v>45962</v>
      </c>
      <c r="I250" s="0" t="str">
        <f aca="false">IF($G250="","Uncategorized — Review",IFERROR(INDEX(Mapping!$B:$B,MATCH($G250,Mapping!$A:$A,0)),"Uncategorized — Review"))</f>
        <v>Venmo</v>
      </c>
      <c r="J250" s="0" t="str">
        <f aca="false">IF($G250="","Uncategorized — Review",IFERROR(INDEX(Mapping!$C:$C,MATCH($G250,Mapping!$A:$A,0)),"Uncategorized — Review"))</f>
        <v>P2P Payments (Zelle/Venmo/PayPal)</v>
      </c>
    </row>
    <row r="251" customFormat="false" ht="15" hidden="false" customHeight="false" outlineLevel="0" collapsed="false">
      <c r="A251" s="0" t="str">
        <f aca="false">Chase1168_2025!A251</f>
        <v>DEBIT</v>
      </c>
      <c r="B251" s="14" t="n">
        <f aca="false">Chase1168_2025!B251</f>
        <v>45966</v>
      </c>
      <c r="C251" s="0" t="str">
        <f aca="false">Chase1168_2025!C251</f>
        <v>ORIG CO NAME:VENMO                  ORIG ID:3264681992 DESC DATE:251105 CO ENTRY DESCR:PAYMENT   SEC:WEB    TRACE#:021000022522429 EED:251105   IND ID:1045992255727                IND NAME:JUDD DUNNING                                                                                                 251105PPZA7K TRN: 3092522429TC</v>
      </c>
      <c r="D251" s="7" t="n">
        <f aca="false">Chase1168_2025!D251</f>
        <v>-500</v>
      </c>
      <c r="E251" s="0" t="str">
        <f aca="false">Chase1168_2025!E251</f>
        <v>ACH_DEBIT</v>
      </c>
      <c r="F251" s="7" t="n">
        <f aca="false">Chase1168_2025!F251</f>
        <v>20224.79</v>
      </c>
      <c r="G251" s="0" t="str">
        <f aca="false">Chase1168_2025!G251</f>
        <v>Venmo</v>
      </c>
      <c r="H251" s="15" t="n">
        <f aca="false">IF($B251="","",DATE(YEAR($B251),MONTH($B251),1))</f>
        <v>45962</v>
      </c>
      <c r="I251" s="0" t="str">
        <f aca="false">IF($G251="","Uncategorized — Review",IFERROR(INDEX(Mapping!$B:$B,MATCH($G251,Mapping!$A:$A,0)),"Uncategorized — Review"))</f>
        <v>Venmo</v>
      </c>
      <c r="J251" s="0" t="str">
        <f aca="false">IF($G251="","Uncategorized — Review",IFERROR(INDEX(Mapping!$C:$C,MATCH($G251,Mapping!$A:$A,0)),"Uncategorized — Review"))</f>
        <v>P2P Payments (Zelle/Venmo/PayPal)</v>
      </c>
    </row>
    <row r="252" customFormat="false" ht="15" hidden="false" customHeight="false" outlineLevel="0" collapsed="false">
      <c r="A252" s="0" t="str">
        <f aca="false">Chase1168_2025!A252</f>
        <v>DEBIT</v>
      </c>
      <c r="B252" s="14" t="n">
        <f aca="false">Chase1168_2025!B252</f>
        <v>45966</v>
      </c>
      <c r="C252" s="0" t="str">
        <f aca="false">Chase1168_2025!C252</f>
        <v>Online Transfer to CHK ...1117 transaction#: 26851521144 11/05</v>
      </c>
      <c r="D252" s="7" t="n">
        <f aca="false">Chase1168_2025!D252</f>
        <v>-5000</v>
      </c>
      <c r="E252" s="0" t="str">
        <f aca="false">Chase1168_2025!E252</f>
        <v>ACCT_XFER</v>
      </c>
      <c r="F252" s="7" t="n">
        <f aca="false">Chase1168_2025!F252</f>
        <v>20724.79</v>
      </c>
      <c r="G252" s="0" t="str">
        <f aca="false">Chase1168_2025!G252</f>
        <v>Transfer to Angela Dunning</v>
      </c>
      <c r="H252" s="15" t="n">
        <f aca="false">IF($B252="","",DATE(YEAR($B252),MONTH($B252),1))</f>
        <v>45962</v>
      </c>
      <c r="I252" s="0" t="str">
        <f aca="false">IF($G252="","Uncategorized — Review",IFERROR(INDEX(Mapping!$B:$B,MATCH($G252,Mapping!$A:$A,0)),"Uncategorized — Review"))</f>
        <v>Transfer to Angela Dunning</v>
      </c>
      <c r="J252" s="0" t="str">
        <f aca="false">IF($G252="","Uncategorized — Review",IFERROR(INDEX(Mapping!$C:$C,MATCH($G252,Mapping!$A:$A,0)),"Uncategorized — Review"))</f>
        <v>Owner / Family Distributions</v>
      </c>
    </row>
    <row r="253" customFormat="false" ht="15" hidden="false" customHeight="false" outlineLevel="0" collapsed="false">
      <c r="A253" s="0" t="str">
        <f aca="false">Chase1168_2025!A253</f>
        <v>DEBIT</v>
      </c>
      <c r="B253" s="14" t="n">
        <f aca="false">Chase1168_2025!B253</f>
        <v>45966</v>
      </c>
      <c r="C253" s="0" t="str">
        <f aca="false">Chase1168_2025!C253</f>
        <v>UPWORK * -862473714 866-262-4478 CA          11/05</v>
      </c>
      <c r="D253" s="7" t="n">
        <f aca="false">Chase1168_2025!D253</f>
        <v>-29.99</v>
      </c>
      <c r="E253" s="0" t="str">
        <f aca="false">Chase1168_2025!E253</f>
        <v>DEBIT_CARD</v>
      </c>
      <c r="F253" s="7" t="n">
        <f aca="false">Chase1168_2025!F253</f>
        <v>25724.79</v>
      </c>
      <c r="G253" s="0" t="str">
        <f aca="false">Chase1168_2025!G253</f>
        <v>Upwork - Sergei M.</v>
      </c>
      <c r="H253" s="15" t="n">
        <f aca="false">IF($B253="","",DATE(YEAR($B253),MONTH($B253),1))</f>
        <v>45962</v>
      </c>
      <c r="I253" s="0" t="str">
        <f aca="false">IF($G253="","Uncategorized — Review",IFERROR(INDEX(Mapping!$B:$B,MATCH($G253,Mapping!$A:$A,0)),"Uncategorized — Review"))</f>
        <v>Upwork - Sergei M.</v>
      </c>
      <c r="J253" s="0" t="str">
        <f aca="false">IF($G253="","Uncategorized — Review",IFERROR(INDEX(Mapping!$C:$C,MATCH($G253,Mapping!$A:$A,0)),"Uncategorized — Review"))</f>
        <v>Payroll &amp; Contractors</v>
      </c>
    </row>
    <row r="254" customFormat="false" ht="15" hidden="false" customHeight="false" outlineLevel="0" collapsed="false">
      <c r="A254" s="0" t="str">
        <f aca="false">Chase1168_2025!A254</f>
        <v>DEBIT</v>
      </c>
      <c r="B254" s="14" t="n">
        <f aca="false">Chase1168_2025!B254</f>
        <v>45966</v>
      </c>
      <c r="C254" s="0" t="str">
        <f aca="false">Chase1168_2025!C254</f>
        <v>ORIG CO NAME:VENMO                  ORIG ID:3264681992 DESC DATE:251105 CO ENTRY DESCR:PAYMENT   SEC:WEB    TRACE#:021000020648083 EED:251105   IND ID:1045983625092                IND NAME:JUDD DUNNING                                                                                                 251105PPZ4G9 TRN: 3090648083TC</v>
      </c>
      <c r="D254" s="7" t="n">
        <f aca="false">Chase1168_2025!D254</f>
        <v>-150</v>
      </c>
      <c r="E254" s="0" t="str">
        <f aca="false">Chase1168_2025!E254</f>
        <v>ACH_DEBIT</v>
      </c>
      <c r="F254" s="7" t="n">
        <f aca="false">Chase1168_2025!F254</f>
        <v>25754.78</v>
      </c>
      <c r="G254" s="0" t="str">
        <f aca="false">Chase1168_2025!G254</f>
        <v>Venmo</v>
      </c>
      <c r="H254" s="15" t="n">
        <f aca="false">IF($B254="","",DATE(YEAR($B254),MONTH($B254),1))</f>
        <v>45962</v>
      </c>
      <c r="I254" s="0" t="str">
        <f aca="false">IF($G254="","Uncategorized — Review",IFERROR(INDEX(Mapping!$B:$B,MATCH($G254,Mapping!$A:$A,0)),"Uncategorized — Review"))</f>
        <v>Venmo</v>
      </c>
      <c r="J254" s="0" t="str">
        <f aca="false">IF($G254="","Uncategorized — Review",IFERROR(INDEX(Mapping!$C:$C,MATCH($G254,Mapping!$A:$A,0)),"Uncategorized — Review"))</f>
        <v>P2P Payments (Zelle/Venmo/PayPal)</v>
      </c>
    </row>
    <row r="255" customFormat="false" ht="15" hidden="false" customHeight="false" outlineLevel="0" collapsed="false">
      <c r="A255" s="0" t="str">
        <f aca="false">Chase1168_2025!A255</f>
        <v>CREDIT</v>
      </c>
      <c r="B255" s="14" t="n">
        <f aca="false">Chase1168_2025!B255</f>
        <v>45966</v>
      </c>
      <c r="C255" s="0" t="str">
        <f aca="false">Chase1168_2025!C255</f>
        <v>Online Transfer from CHK ...9335 transaction#: 26851553614</v>
      </c>
      <c r="D255" s="7" t="n">
        <f aca="false">Chase1168_2025!D255</f>
        <v>10000</v>
      </c>
      <c r="E255" s="0" t="str">
        <f aca="false">Chase1168_2025!E255</f>
        <v>ACCT_XFER</v>
      </c>
      <c r="F255" s="7" t="n">
        <f aca="false">Chase1168_2025!F255</f>
        <v>25904.78</v>
      </c>
      <c r="G255" s="0" t="str">
        <f aca="false">Chase1168_2025!G255</f>
        <v>Poseidon Asset Group (Incoming)</v>
      </c>
      <c r="H255" s="15" t="n">
        <f aca="false">IF($B255="","",DATE(YEAR($B255),MONTH($B255),1))</f>
        <v>45962</v>
      </c>
      <c r="I255" s="0" t="str">
        <f aca="false">IF($G255="","Uncategorized — Review",IFERROR(INDEX(Mapping!$B:$B,MATCH($G255,Mapping!$A:$A,0)),"Uncategorized — Review"))</f>
        <v>Poseidon Asset Group (Incoming)</v>
      </c>
      <c r="J255" s="0" t="str">
        <f aca="false">IF($G255="","Uncategorized — Review",IFERROR(INDEX(Mapping!$C:$C,MATCH($G255,Mapping!$A:$A,0)),"Uncategorized — Review"))</f>
        <v>Poseidon Asset Group</v>
      </c>
    </row>
    <row r="256" customFormat="false" ht="15" hidden="false" customHeight="false" outlineLevel="0" collapsed="false">
      <c r="A256" s="0" t="str">
        <f aca="false">Chase1168_2025!A256</f>
        <v>DEBIT</v>
      </c>
      <c r="B256" s="14" t="n">
        <f aca="false">Chase1168_2025!B256</f>
        <v>45965</v>
      </c>
      <c r="C256" s="0" t="str">
        <f aca="false">Chase1168_2025!C256</f>
        <v>INDEED USI25-06384325 AUSTIN TX      132149  11/04</v>
      </c>
      <c r="D256" s="7" t="n">
        <f aca="false">Chase1168_2025!D256</f>
        <v>-321.83</v>
      </c>
      <c r="E256" s="0" t="str">
        <f aca="false">Chase1168_2025!E256</f>
        <v>DEBIT_CARD</v>
      </c>
      <c r="F256" s="7" t="n">
        <f aca="false">Chase1168_2025!F256</f>
        <v>15904.78</v>
      </c>
      <c r="G256" s="0" t="str">
        <f aca="false">Chase1168_2025!G256</f>
        <v>DWG HR</v>
      </c>
      <c r="H256" s="15" t="n">
        <f aca="false">IF($B256="","",DATE(YEAR($B256),MONTH($B256),1))</f>
        <v>45962</v>
      </c>
      <c r="I256" s="0" t="str">
        <f aca="false">IF($G256="","Uncategorized — Review",IFERROR(INDEX(Mapping!$B:$B,MATCH($G256,Mapping!$A:$A,0)),"Uncategorized — Review"))</f>
        <v>DWG HR</v>
      </c>
      <c r="J256" s="0" t="str">
        <f aca="false">IF($G256="","Uncategorized — Review",IFERROR(INDEX(Mapping!$C:$C,MATCH($G256,Mapping!$A:$A,0)),"Uncategorized — Review"))</f>
        <v>Payroll &amp; Contractors</v>
      </c>
    </row>
    <row r="257" customFormat="false" ht="15" hidden="false" customHeight="false" outlineLevel="0" collapsed="false">
      <c r="A257" s="0" t="str">
        <f aca="false">Chase1168_2025!A257</f>
        <v>DEBIT</v>
      </c>
      <c r="B257" s="14" t="n">
        <f aca="false">Chase1168_2025!B257</f>
        <v>45965</v>
      </c>
      <c r="C257" s="0" t="str">
        <f aca="false">Chase1168_2025!C257</f>
        <v>UPWORK * -862014018 866-262-4478 CA          11/03</v>
      </c>
      <c r="D257" s="7" t="n">
        <f aca="false">Chase1168_2025!D257</f>
        <v>-157.5</v>
      </c>
      <c r="E257" s="0" t="str">
        <f aca="false">Chase1168_2025!E257</f>
        <v>DEBIT_CARD</v>
      </c>
      <c r="F257" s="7" t="n">
        <f aca="false">Chase1168_2025!F257</f>
        <v>16226.61</v>
      </c>
      <c r="G257" s="0" t="str">
        <f aca="false">Chase1168_2025!G257</f>
        <v>Upwork - Sergei M.</v>
      </c>
      <c r="H257" s="15" t="n">
        <f aca="false">IF($B257="","",DATE(YEAR($B257),MONTH($B257),1))</f>
        <v>45962</v>
      </c>
      <c r="I257" s="0" t="str">
        <f aca="false">IF($G257="","Uncategorized — Review",IFERROR(INDEX(Mapping!$B:$B,MATCH($G257,Mapping!$A:$A,0)),"Uncategorized — Review"))</f>
        <v>Upwork - Sergei M.</v>
      </c>
      <c r="J257" s="0" t="str">
        <f aca="false">IF($G257="","Uncategorized — Review",IFERROR(INDEX(Mapping!$C:$C,MATCH($G257,Mapping!$A:$A,0)),"Uncategorized — Review"))</f>
        <v>Payroll &amp; Contractors</v>
      </c>
    </row>
    <row r="258" customFormat="false" ht="15" hidden="false" customHeight="false" outlineLevel="0" collapsed="false">
      <c r="A258" s="0" t="str">
        <f aca="false">Chase1168_2025!A258</f>
        <v>DEBIT</v>
      </c>
      <c r="B258" s="14" t="n">
        <f aca="false">Chase1168_2025!B258</f>
        <v>45965</v>
      </c>
      <c r="C258" s="0" t="str">
        <f aca="false">Chase1168_2025!C258</f>
        <v>PAYPAL *SANDYPR COM 402-935-7733 CA          11/03</v>
      </c>
      <c r="D258" s="7" t="n">
        <f aca="false">Chase1168_2025!D258</f>
        <v>-300</v>
      </c>
      <c r="E258" s="0" t="str">
        <f aca="false">Chase1168_2025!E258</f>
        <v>DEBIT_CARD</v>
      </c>
      <c r="F258" s="7" t="n">
        <f aca="false">Chase1168_2025!F258</f>
        <v>16384.11</v>
      </c>
      <c r="G258" s="0" t="str">
        <f aca="false">Chase1168_2025!G258</f>
        <v>Sandy PR Payment</v>
      </c>
      <c r="H258" s="15" t="n">
        <f aca="false">IF($B258="","",DATE(YEAR($B258),MONTH($B258),1))</f>
        <v>45962</v>
      </c>
      <c r="I258" s="0" t="str">
        <f aca="false">IF($G258="","Uncategorized — Review",IFERROR(INDEX(Mapping!$B:$B,MATCH($G258,Mapping!$A:$A,0)),"Uncategorized — Review"))</f>
        <v>Sandy PR Payment</v>
      </c>
      <c r="J258" s="0" t="str">
        <f aca="false">IF($G258="","Uncategorized — Review",IFERROR(INDEX(Mapping!$C:$C,MATCH($G258,Mapping!$A:$A,0)),"Uncategorized — Review"))</f>
        <v>DWG Operating</v>
      </c>
    </row>
    <row r="259" customFormat="false" ht="15" hidden="false" customHeight="false" outlineLevel="0" collapsed="false">
      <c r="A259" s="0" t="str">
        <f aca="false">Chase1168_2025!A259</f>
        <v>DEBIT</v>
      </c>
      <c r="B259" s="14" t="n">
        <f aca="false">Chase1168_2025!B259</f>
        <v>45965</v>
      </c>
      <c r="C259" s="0" t="str">
        <f aca="false">Chase1168_2025!C259</f>
        <v>PAYPAL *PRAGERUNIVE P 833-772-4378 CA        11/03</v>
      </c>
      <c r="D259" s="7" t="n">
        <f aca="false">Chase1168_2025!D259</f>
        <v>-10.78</v>
      </c>
      <c r="E259" s="0" t="str">
        <f aca="false">Chase1168_2025!E259</f>
        <v>DEBIT_CARD</v>
      </c>
      <c r="F259" s="7" t="n">
        <f aca="false">Chase1168_2025!F259</f>
        <v>16684.11</v>
      </c>
      <c r="G259" s="0" t="str">
        <f aca="false">Chase1168_2025!G259</f>
        <v>DWGCP Business Development</v>
      </c>
      <c r="H259" s="15" t="n">
        <f aca="false">IF($B259="","",DATE(YEAR($B259),MONTH($B259),1))</f>
        <v>45962</v>
      </c>
      <c r="I259" s="0" t="str">
        <f aca="false">IF($G259="","Uncategorized — Review",IFERROR(INDEX(Mapping!$B:$B,MATCH($G259,Mapping!$A:$A,0)),"Uncategorized — Review"))</f>
        <v>DWGCP Business Development</v>
      </c>
      <c r="J259" s="0" t="str">
        <f aca="false">IF($G259="","Uncategorized — Review",IFERROR(INDEX(Mapping!$C:$C,MATCH($G259,Mapping!$A:$A,0)),"Uncategorized — Review"))</f>
        <v>DWG Operating</v>
      </c>
    </row>
    <row r="260" customFormat="false" ht="15" hidden="false" customHeight="false" outlineLevel="0" collapsed="false">
      <c r="A260" s="0" t="str">
        <f aca="false">Chase1168_2025!A260</f>
        <v>DEBIT</v>
      </c>
      <c r="B260" s="14" t="n">
        <f aca="false">Chase1168_2025!B260</f>
        <v>45965</v>
      </c>
      <c r="C260" s="0" t="str">
        <f aca="false">Chase1168_2025!C260</f>
        <v>PP*APPLE.COM/BILL 800-275-2273 CA            11/03</v>
      </c>
      <c r="D260" s="7" t="n">
        <f aca="false">Chase1168_2025!D260</f>
        <v>-38.99</v>
      </c>
      <c r="E260" s="0" t="str">
        <f aca="false">Chase1168_2025!E260</f>
        <v>DEBIT_CARD</v>
      </c>
      <c r="F260" s="7" t="n">
        <f aca="false">Chase1168_2025!F260</f>
        <v>16694.89</v>
      </c>
      <c r="G260" s="0" t="str">
        <f aca="false">Chase1168_2025!G260</f>
        <v>Personal - Subscriptions</v>
      </c>
      <c r="H260" s="15" t="n">
        <f aca="false">IF($B260="","",DATE(YEAR($B260),MONTH($B260),1))</f>
        <v>45962</v>
      </c>
      <c r="I260" s="0" t="str">
        <f aca="false">IF($G260="","Uncategorized — Review",IFERROR(INDEX(Mapping!$B:$B,MATCH($G260,Mapping!$A:$A,0)),"Uncategorized — Review"))</f>
        <v>Personal - Subscriptions</v>
      </c>
      <c r="J260" s="0" t="str">
        <f aca="false">IF($G260="","Uncategorized — Review",IFERROR(INDEX(Mapping!$C:$C,MATCH($G260,Mapping!$A:$A,0)),"Uncategorized — Review"))</f>
        <v>Personal — Owner</v>
      </c>
    </row>
    <row r="261" customFormat="false" ht="15" hidden="false" customHeight="false" outlineLevel="0" collapsed="false">
      <c r="A261" s="0" t="str">
        <f aca="false">Chase1168_2025!A261</f>
        <v>DEBIT</v>
      </c>
      <c r="B261" s="14" t="n">
        <f aca="false">Chase1168_2025!B261</f>
        <v>45964</v>
      </c>
      <c r="C261" s="0" t="str">
        <f aca="false">Chase1168_2025!C261</f>
        <v>STD ACH PMNTS VOLUME FEE QTY = 2</v>
      </c>
      <c r="D261" s="7" t="n">
        <f aca="false">Chase1168_2025!D261</f>
        <v>-0.3</v>
      </c>
      <c r="E261" s="0" t="str">
        <f aca="false">Chase1168_2025!E261</f>
        <v>FEE_TRANSACTION</v>
      </c>
      <c r="F261" s="7" t="n">
        <f aca="false">Chase1168_2025!F261</f>
        <v>16733.88</v>
      </c>
      <c r="G261" s="0" t="str">
        <f aca="false">Chase1168_2025!G261</f>
        <v>Bank Fees</v>
      </c>
      <c r="H261" s="15" t="n">
        <f aca="false">IF($B261="","",DATE(YEAR($B261),MONTH($B261),1))</f>
        <v>45962</v>
      </c>
      <c r="I261" s="0" t="str">
        <f aca="false">IF($G261="","Uncategorized — Review",IFERROR(INDEX(Mapping!$B:$B,MATCH($G261,Mapping!$A:$A,0)),"Uncategorized — Review"))</f>
        <v>Bank Fees</v>
      </c>
      <c r="J261" s="0" t="str">
        <f aca="false">IF($G261="","Uncategorized — Review",IFERROR(INDEX(Mapping!$C:$C,MATCH($G261,Mapping!$A:$A,0)),"Uncategorized — Review"))</f>
        <v>DWG Operating</v>
      </c>
    </row>
    <row r="262" customFormat="false" ht="15" hidden="false" customHeight="false" outlineLevel="0" collapsed="false">
      <c r="A262" s="0" t="str">
        <f aca="false">Chase1168_2025!A262</f>
        <v>DEBIT</v>
      </c>
      <c r="B262" s="14" t="n">
        <f aca="false">Chase1168_2025!B262</f>
        <v>45964</v>
      </c>
      <c r="C262" s="0" t="str">
        <f aca="false">Chase1168_2025!C262</f>
        <v>STANDARD ACH PMNTS INITIAL FEE QTY = 10</v>
      </c>
      <c r="D262" s="7" t="n">
        <f aca="false">Chase1168_2025!D262</f>
        <v>-25</v>
      </c>
      <c r="E262" s="0" t="str">
        <f aca="false">Chase1168_2025!E262</f>
        <v>FEE_TRANSACTION</v>
      </c>
      <c r="F262" s="7" t="n">
        <f aca="false">Chase1168_2025!F262</f>
        <v>16734.18</v>
      </c>
      <c r="G262" s="0" t="str">
        <f aca="false">Chase1168_2025!G262</f>
        <v>Bank Fees</v>
      </c>
      <c r="H262" s="15" t="n">
        <f aca="false">IF($B262="","",DATE(YEAR($B262),MONTH($B262),1))</f>
        <v>45962</v>
      </c>
      <c r="I262" s="0" t="str">
        <f aca="false">IF($G262="","Uncategorized — Review",IFERROR(INDEX(Mapping!$B:$B,MATCH($G262,Mapping!$A:$A,0)),"Uncategorized — Review"))</f>
        <v>Bank Fees</v>
      </c>
      <c r="J262" s="0" t="str">
        <f aca="false">IF($G262="","Uncategorized — Review",IFERROR(INDEX(Mapping!$C:$C,MATCH($G262,Mapping!$A:$A,0)),"Uncategorized — Review"))</f>
        <v>DWG Operating</v>
      </c>
    </row>
    <row r="263" customFormat="false" ht="15" hidden="false" customHeight="false" outlineLevel="0" collapsed="false">
      <c r="A263" s="0" t="str">
        <f aca="false">Chase1168_2025!A263</f>
        <v>DEBIT</v>
      </c>
      <c r="B263" s="14" t="n">
        <f aca="false">Chase1168_2025!B263</f>
        <v>45964</v>
      </c>
      <c r="C263" s="0" t="str">
        <f aca="false">Chase1168_2025!C263</f>
        <v>RTP/Same Day - High Value</v>
      </c>
      <c r="D263" s="7" t="n">
        <f aca="false">Chase1168_2025!D263</f>
        <v>-25</v>
      </c>
      <c r="E263" s="0" t="str">
        <f aca="false">Chase1168_2025!E263</f>
        <v>FEE_TRANSACTION</v>
      </c>
      <c r="F263" s="7" t="n">
        <f aca="false">Chase1168_2025!F263</f>
        <v>16759.18</v>
      </c>
      <c r="G263" s="0" t="str">
        <f aca="false">Chase1168_2025!G263</f>
        <v>Bank Fees</v>
      </c>
      <c r="H263" s="15" t="n">
        <f aca="false">IF($B263="","",DATE(YEAR($B263),MONTH($B263),1))</f>
        <v>45962</v>
      </c>
      <c r="I263" s="0" t="str">
        <f aca="false">IF($G263="","Uncategorized — Review",IFERROR(INDEX(Mapping!$B:$B,MATCH($G263,Mapping!$A:$A,0)),"Uncategorized — Review"))</f>
        <v>Bank Fees</v>
      </c>
      <c r="J263" s="0" t="str">
        <f aca="false">IF($G263="","Uncategorized — Review",IFERROR(INDEX(Mapping!$C:$C,MATCH($G263,Mapping!$A:$A,0)),"Uncategorized — Review"))</f>
        <v>DWG Operating</v>
      </c>
    </row>
    <row r="264" customFormat="false" ht="15" hidden="false" customHeight="false" outlineLevel="0" collapsed="false">
      <c r="A264" s="0" t="str">
        <f aca="false">Chase1168_2025!A264</f>
        <v>DEBIT</v>
      </c>
      <c r="B264" s="14" t="n">
        <f aca="false">Chase1168_2025!B264</f>
        <v>45964</v>
      </c>
      <c r="C264" s="0" t="str">
        <f aca="false">Chase1168_2025!C264</f>
        <v>ORIG CO NAME:VENMO                  ORIG ID:3264681992 DESC DATE:251103 CO ENTRY DESCR:PAYMENT   SEC:WEB    TRACE#:021000021030388 EED:251103   IND ID:1045956463007                IND NAME:JUDD DUNNING                                                                                                 251103PPZTA1 TRN: 3071030388TC</v>
      </c>
      <c r="D264" s="7" t="n">
        <f aca="false">Chase1168_2025!D264</f>
        <v>-1250</v>
      </c>
      <c r="E264" s="0" t="str">
        <f aca="false">Chase1168_2025!E264</f>
        <v>ACH_DEBIT</v>
      </c>
      <c r="F264" s="7" t="n">
        <f aca="false">Chase1168_2025!F264</f>
        <v>16784.18</v>
      </c>
      <c r="G264" s="0" t="str">
        <f aca="false">Chase1168_2025!G264</f>
        <v>Venmo</v>
      </c>
      <c r="H264" s="15" t="n">
        <f aca="false">IF($B264="","",DATE(YEAR($B264),MONTH($B264),1))</f>
        <v>45962</v>
      </c>
      <c r="I264" s="0" t="str">
        <f aca="false">IF($G264="","Uncategorized — Review",IFERROR(INDEX(Mapping!$B:$B,MATCH($G264,Mapping!$A:$A,0)),"Uncategorized — Review"))</f>
        <v>Venmo</v>
      </c>
      <c r="J264" s="0" t="str">
        <f aca="false">IF($G264="","Uncategorized — Review",IFERROR(INDEX(Mapping!$C:$C,MATCH($G264,Mapping!$A:$A,0)),"Uncategorized — Review"))</f>
        <v>P2P Payments (Zelle/Venmo/PayPal)</v>
      </c>
    </row>
    <row r="265" customFormat="false" ht="15" hidden="false" customHeight="false" outlineLevel="0" collapsed="false">
      <c r="A265" s="0" t="str">
        <f aca="false">Chase1168_2025!A265</f>
        <v>DEBIT</v>
      </c>
      <c r="B265" s="14" t="n">
        <f aca="false">Chase1168_2025!B265</f>
        <v>45964</v>
      </c>
      <c r="C265" s="0" t="str">
        <f aca="false">Chase1168_2025!C265</f>
        <v>Online Transfer to CHK ...1117 transaction#: 26826976865 11/03</v>
      </c>
      <c r="D265" s="7" t="n">
        <f aca="false">Chase1168_2025!D265</f>
        <v>-3000</v>
      </c>
      <c r="E265" s="0" t="str">
        <f aca="false">Chase1168_2025!E265</f>
        <v>ACCT_XFER</v>
      </c>
      <c r="F265" s="7" t="n">
        <f aca="false">Chase1168_2025!F265</f>
        <v>18034.18</v>
      </c>
      <c r="G265" s="0" t="str">
        <f aca="false">Chase1168_2025!G265</f>
        <v>Transfer to Angela Dunning</v>
      </c>
      <c r="H265" s="15" t="n">
        <f aca="false">IF($B265="","",DATE(YEAR($B265),MONTH($B265),1))</f>
        <v>45962</v>
      </c>
      <c r="I265" s="0" t="str">
        <f aca="false">IF($G265="","Uncategorized — Review",IFERROR(INDEX(Mapping!$B:$B,MATCH($G265,Mapping!$A:$A,0)),"Uncategorized — Review"))</f>
        <v>Transfer to Angela Dunning</v>
      </c>
      <c r="J265" s="0" t="str">
        <f aca="false">IF($G265="","Uncategorized — Review",IFERROR(INDEX(Mapping!$C:$C,MATCH($G265,Mapping!$A:$A,0)),"Uncategorized — Review"))</f>
        <v>Owner / Family Distributions</v>
      </c>
    </row>
    <row r="266" customFormat="false" ht="15" hidden="false" customHeight="false" outlineLevel="0" collapsed="false">
      <c r="A266" s="0" t="str">
        <f aca="false">Chase1168_2025!A266</f>
        <v>DEBIT</v>
      </c>
      <c r="B266" s="14" t="n">
        <f aca="false">Chase1168_2025!B266</f>
        <v>45964</v>
      </c>
      <c r="C266" s="0" t="str">
        <f aca="false">Chase1168_2025!C266</f>
        <v>Basic Online Payroll Payment 11193071986 to ########4122</v>
      </c>
      <c r="D266" s="7" t="n">
        <f aca="false">Chase1168_2025!D266</f>
        <v>-1500</v>
      </c>
      <c r="E266" s="0" t="str">
        <f aca="false">Chase1168_2025!E266</f>
        <v>BASIC_PAYROLL</v>
      </c>
      <c r="F266" s="7" t="n">
        <f aca="false">Chase1168_2025!F266</f>
        <v>21034.18</v>
      </c>
      <c r="G266" s="0" t="str">
        <f aca="false">Chase1168_2025!G266</f>
        <v>Mike Paytonjian - Payroll</v>
      </c>
      <c r="H266" s="15" t="n">
        <f aca="false">IF($B266="","",DATE(YEAR($B266),MONTH($B266),1))</f>
        <v>45962</v>
      </c>
      <c r="I266" s="0" t="str">
        <f aca="false">IF($G266="","Uncategorized — Review",IFERROR(INDEX(Mapping!$B:$B,MATCH($G266,Mapping!$A:$A,0)),"Uncategorized — Review"))</f>
        <v>Mike Paytonjian - Payroll</v>
      </c>
      <c r="J266" s="0" t="str">
        <f aca="false">IF($G266="","Uncategorized — Review",IFERROR(INDEX(Mapping!$C:$C,MATCH($G266,Mapping!$A:$A,0)),"Uncategorized — Review"))</f>
        <v>Payroll &amp; Contractors</v>
      </c>
    </row>
    <row r="267" customFormat="false" ht="15" hidden="false" customHeight="false" outlineLevel="0" collapsed="false">
      <c r="A267" s="0" t="str">
        <f aca="false">Chase1168_2025!A267</f>
        <v>DEBIT</v>
      </c>
      <c r="B267" s="14" t="n">
        <f aca="false">Chase1168_2025!B267</f>
        <v>45964</v>
      </c>
      <c r="C267" s="0" t="str">
        <f aca="false">Chase1168_2025!C267</f>
        <v>PP*APPLE.COM/BILL 800-275-2273 CA            11/03</v>
      </c>
      <c r="D267" s="7" t="n">
        <f aca="false">Chase1168_2025!D267</f>
        <v>-12.99</v>
      </c>
      <c r="E267" s="0" t="str">
        <f aca="false">Chase1168_2025!E267</f>
        <v>DEBIT_CARD</v>
      </c>
      <c r="F267" s="7" t="n">
        <f aca="false">Chase1168_2025!F267</f>
        <v>22534.18</v>
      </c>
      <c r="G267" s="0" t="str">
        <f aca="false">Chase1168_2025!G267</f>
        <v>Personal - Subscriptions</v>
      </c>
      <c r="H267" s="15" t="n">
        <f aca="false">IF($B267="","",DATE(YEAR($B267),MONTH($B267),1))</f>
        <v>45962</v>
      </c>
      <c r="I267" s="0" t="str">
        <f aca="false">IF($G267="","Uncategorized — Review",IFERROR(INDEX(Mapping!$B:$B,MATCH($G267,Mapping!$A:$A,0)),"Uncategorized — Review"))</f>
        <v>Personal - Subscriptions</v>
      </c>
      <c r="J267" s="0" t="str">
        <f aca="false">IF($G267="","Uncategorized — Review",IFERROR(INDEX(Mapping!$C:$C,MATCH($G267,Mapping!$A:$A,0)),"Uncategorized — Review"))</f>
        <v>Personal — Owner</v>
      </c>
    </row>
    <row r="268" customFormat="false" ht="15" hidden="false" customHeight="false" outlineLevel="0" collapsed="false">
      <c r="A268" s="0" t="str">
        <f aca="false">Chase1168_2025!A268</f>
        <v>DEBIT</v>
      </c>
      <c r="B268" s="14" t="n">
        <f aca="false">Chase1168_2025!B268</f>
        <v>45964</v>
      </c>
      <c r="C268" s="0" t="str">
        <f aca="false">Chase1168_2025!C268</f>
        <v>PAYPAL *DIRECTV 800-531-5000 CA              11/02</v>
      </c>
      <c r="D268" s="7" t="n">
        <f aca="false">Chase1168_2025!D268</f>
        <v>-101.99</v>
      </c>
      <c r="E268" s="0" t="str">
        <f aca="false">Chase1168_2025!E268</f>
        <v>DEBIT_CARD</v>
      </c>
      <c r="F268" s="7" t="n">
        <f aca="false">Chase1168_2025!F268</f>
        <v>22547.17</v>
      </c>
      <c r="G268" s="0" t="str">
        <f aca="false">Chase1168_2025!G268</f>
        <v>Personal - Subscriptions</v>
      </c>
      <c r="H268" s="15" t="n">
        <f aca="false">IF($B268="","",DATE(YEAR($B268),MONTH($B268),1))</f>
        <v>45962</v>
      </c>
      <c r="I268" s="0" t="str">
        <f aca="false">IF($G268="","Uncategorized — Review",IFERROR(INDEX(Mapping!$B:$B,MATCH($G268,Mapping!$A:$A,0)),"Uncategorized — Review"))</f>
        <v>Personal - Subscriptions</v>
      </c>
      <c r="J268" s="0" t="str">
        <f aca="false">IF($G268="","Uncategorized — Review",IFERROR(INDEX(Mapping!$C:$C,MATCH($G268,Mapping!$A:$A,0)),"Uncategorized — Review"))</f>
        <v>Personal — Owner</v>
      </c>
    </row>
    <row r="269" customFormat="false" ht="15" hidden="false" customHeight="false" outlineLevel="0" collapsed="false">
      <c r="A269" s="0" t="str">
        <f aca="false">Chase1168_2025!A269</f>
        <v>DEBIT</v>
      </c>
      <c r="B269" s="14" t="n">
        <f aca="false">Chase1168_2025!B269</f>
        <v>45964</v>
      </c>
      <c r="C269" s="0" t="str">
        <f aca="false">Chase1168_2025!C269</f>
        <v>PP*APPLE.COM/BILL 800-275-2273 CA            11/02</v>
      </c>
      <c r="D269" s="7" t="n">
        <f aca="false">Chase1168_2025!D269</f>
        <v>-8.99</v>
      </c>
      <c r="E269" s="0" t="str">
        <f aca="false">Chase1168_2025!E269</f>
        <v>DEBIT_CARD</v>
      </c>
      <c r="F269" s="7" t="n">
        <f aca="false">Chase1168_2025!F269</f>
        <v>22649.16</v>
      </c>
      <c r="G269" s="0" t="str">
        <f aca="false">Chase1168_2025!G269</f>
        <v>Personal - Subscriptions</v>
      </c>
      <c r="H269" s="15" t="n">
        <f aca="false">IF($B269="","",DATE(YEAR($B269),MONTH($B269),1))</f>
        <v>45962</v>
      </c>
      <c r="I269" s="0" t="str">
        <f aca="false">IF($G269="","Uncategorized — Review",IFERROR(INDEX(Mapping!$B:$B,MATCH($G269,Mapping!$A:$A,0)),"Uncategorized — Review"))</f>
        <v>Personal - Subscriptions</v>
      </c>
      <c r="J269" s="0" t="str">
        <f aca="false">IF($G269="","Uncategorized — Review",IFERROR(INDEX(Mapping!$C:$C,MATCH($G269,Mapping!$A:$A,0)),"Uncategorized — Review"))</f>
        <v>Personal — Owner</v>
      </c>
    </row>
    <row r="270" customFormat="false" ht="15" hidden="false" customHeight="false" outlineLevel="0" collapsed="false">
      <c r="A270" s="0" t="str">
        <f aca="false">Chase1168_2025!A270</f>
        <v>DEBIT</v>
      </c>
      <c r="B270" s="14" t="n">
        <f aca="false">Chase1168_2025!B270</f>
        <v>45964</v>
      </c>
      <c r="C270" s="0" t="str">
        <f aca="false">Chase1168_2025!C270</f>
        <v>PAYPAL *RUTHALCANCI 402-935-7733 CA          11/02</v>
      </c>
      <c r="D270" s="7" t="n">
        <f aca="false">Chase1168_2025!D270</f>
        <v>-200</v>
      </c>
      <c r="E270" s="0" t="str">
        <f aca="false">Chase1168_2025!E270</f>
        <v>DEBIT_CARD</v>
      </c>
      <c r="F270" s="7" t="n">
        <f aca="false">Chase1168_2025!F270</f>
        <v>22658.15</v>
      </c>
      <c r="G270" s="0" t="str">
        <f aca="false">Chase1168_2025!G270</f>
        <v>Ruth Alcancia - Forward Bridge Payment</v>
      </c>
      <c r="H270" s="15" t="n">
        <f aca="false">IF($B270="","",DATE(YEAR($B270),MONTH($B270),1))</f>
        <v>45962</v>
      </c>
      <c r="I270" s="0" t="str">
        <f aca="false">IF($G270="","Uncategorized — Review",IFERROR(INDEX(Mapping!$B:$B,MATCH($G270,Mapping!$A:$A,0)),"Uncategorized — Review"))</f>
        <v>Ruth Alcancia - Forward Bridge Payment</v>
      </c>
      <c r="J270" s="0" t="str">
        <f aca="false">IF($G270="","Uncategorized — Review",IFERROR(INDEX(Mapping!$C:$C,MATCH($G270,Mapping!$A:$A,0)),"Uncategorized — Review"))</f>
        <v>Payroll &amp; Contractors</v>
      </c>
    </row>
    <row r="271" customFormat="false" ht="15" hidden="false" customHeight="false" outlineLevel="0" collapsed="false">
      <c r="A271" s="0" t="str">
        <f aca="false">Chase1168_2025!A271</f>
        <v>DEBIT</v>
      </c>
      <c r="B271" s="14" t="n">
        <f aca="false">Chase1168_2025!B271</f>
        <v>45964</v>
      </c>
      <c r="C271" s="0" t="str">
        <f aca="false">Chase1168_2025!C271</f>
        <v>Online Transfer to CHK ...1117 transaction#: 26805748908 11/03</v>
      </c>
      <c r="D271" s="7" t="n">
        <f aca="false">Chase1168_2025!D271</f>
        <v>-3000</v>
      </c>
      <c r="E271" s="0" t="str">
        <f aca="false">Chase1168_2025!E271</f>
        <v>ACCT_XFER</v>
      </c>
      <c r="F271" s="7" t="n">
        <f aca="false">Chase1168_2025!F271</f>
        <v>22858.15</v>
      </c>
      <c r="G271" s="0" t="str">
        <f aca="false">Chase1168_2025!G271</f>
        <v>Transfer to Angela Dunning</v>
      </c>
      <c r="H271" s="15" t="n">
        <f aca="false">IF($B271="","",DATE(YEAR($B271),MONTH($B271),1))</f>
        <v>45962</v>
      </c>
      <c r="I271" s="0" t="str">
        <f aca="false">IF($G271="","Uncategorized — Review",IFERROR(INDEX(Mapping!$B:$B,MATCH($G271,Mapping!$A:$A,0)),"Uncategorized — Review"))</f>
        <v>Transfer to Angela Dunning</v>
      </c>
      <c r="J271" s="0" t="str">
        <f aca="false">IF($G271="","Uncategorized — Review",IFERROR(INDEX(Mapping!$C:$C,MATCH($G271,Mapping!$A:$A,0)),"Uncategorized — Review"))</f>
        <v>Owner / Family Distributions</v>
      </c>
    </row>
    <row r="272" customFormat="false" ht="15" hidden="false" customHeight="false" outlineLevel="0" collapsed="false">
      <c r="A272" s="0" t="str">
        <f aca="false">Chase1168_2025!A272</f>
        <v>DEBIT</v>
      </c>
      <c r="B272" s="14" t="n">
        <f aca="false">Chase1168_2025!B272</f>
        <v>45964</v>
      </c>
      <c r="C272" s="0" t="str">
        <f aca="false">Chase1168_2025!C272</f>
        <v>PAYPAL *HULU 877-801-5441 CA                 11/01</v>
      </c>
      <c r="D272" s="7" t="n">
        <f aca="false">Chase1168_2025!D272</f>
        <v>-12.99</v>
      </c>
      <c r="E272" s="0" t="str">
        <f aca="false">Chase1168_2025!E272</f>
        <v>DEBIT_CARD</v>
      </c>
      <c r="F272" s="7" t="n">
        <f aca="false">Chase1168_2025!F272</f>
        <v>25858.15</v>
      </c>
      <c r="G272" s="0" t="str">
        <f aca="false">Chase1168_2025!G272</f>
        <v>Personal - Subscriptions</v>
      </c>
      <c r="H272" s="15" t="n">
        <f aca="false">IF($B272="","",DATE(YEAR($B272),MONTH($B272),1))</f>
        <v>45962</v>
      </c>
      <c r="I272" s="0" t="str">
        <f aca="false">IF($G272="","Uncategorized — Review",IFERROR(INDEX(Mapping!$B:$B,MATCH($G272,Mapping!$A:$A,0)),"Uncategorized — Review"))</f>
        <v>Personal - Subscriptions</v>
      </c>
      <c r="J272" s="0" t="str">
        <f aca="false">IF($G272="","Uncategorized — Review",IFERROR(INDEX(Mapping!$C:$C,MATCH($G272,Mapping!$A:$A,0)),"Uncategorized — Review"))</f>
        <v>Personal — Owner</v>
      </c>
    </row>
    <row r="273" customFormat="false" ht="15" hidden="false" customHeight="false" outlineLevel="0" collapsed="false">
      <c r="A273" s="0" t="str">
        <f aca="false">Chase1168_2025!A273</f>
        <v>DEBIT</v>
      </c>
      <c r="B273" s="14" t="n">
        <f aca="false">Chase1168_2025!B273</f>
        <v>45964</v>
      </c>
      <c r="C273" s="0" t="str">
        <f aca="false">Chase1168_2025!C273</f>
        <v>PAYPAL *GOOGLE LLC GO 650-253-0000 CA        11/01</v>
      </c>
      <c r="D273" s="7" t="n">
        <f aca="false">Chase1168_2025!D273</f>
        <v>-16.8</v>
      </c>
      <c r="E273" s="0" t="str">
        <f aca="false">Chase1168_2025!E273</f>
        <v>DEBIT_CARD</v>
      </c>
      <c r="F273" s="7" t="n">
        <f aca="false">Chase1168_2025!F273</f>
        <v>25871.14</v>
      </c>
      <c r="G273" s="0" t="str">
        <f aca="false">Chase1168_2025!G273</f>
        <v>Personal - Subscriptions</v>
      </c>
      <c r="H273" s="15" t="n">
        <f aca="false">IF($B273="","",DATE(YEAR($B273),MONTH($B273),1))</f>
        <v>45962</v>
      </c>
      <c r="I273" s="0" t="str">
        <f aca="false">IF($G273="","Uncategorized — Review",IFERROR(INDEX(Mapping!$B:$B,MATCH($G273,Mapping!$A:$A,0)),"Uncategorized — Review"))</f>
        <v>Personal - Subscriptions</v>
      </c>
      <c r="J273" s="0" t="str">
        <f aca="false">IF($G273="","Uncategorized — Review",IFERROR(INDEX(Mapping!$C:$C,MATCH($G273,Mapping!$A:$A,0)),"Uncategorized — Review"))</f>
        <v>Personal — Owner</v>
      </c>
    </row>
    <row r="274" customFormat="false" ht="15" hidden="false" customHeight="false" outlineLevel="0" collapsed="false">
      <c r="A274" s="0" t="str">
        <f aca="false">Chase1168_2025!A274</f>
        <v>DEBIT</v>
      </c>
      <c r="B274" s="14" t="n">
        <f aca="false">Chase1168_2025!B274</f>
        <v>45964</v>
      </c>
      <c r="C274" s="0" t="str">
        <f aca="false">Chase1168_2025!C274</f>
        <v>PP*APPLE.COM/BILL 800-275-2273 CA            11/02</v>
      </c>
      <c r="D274" s="7" t="n">
        <f aca="false">Chase1168_2025!D274</f>
        <v>-15.99</v>
      </c>
      <c r="E274" s="0" t="str">
        <f aca="false">Chase1168_2025!E274</f>
        <v>DEBIT_CARD</v>
      </c>
      <c r="F274" s="7" t="n">
        <f aca="false">Chase1168_2025!F274</f>
        <v>25887.94</v>
      </c>
      <c r="G274" s="0" t="str">
        <f aca="false">Chase1168_2025!G274</f>
        <v>Personal - Subscriptions</v>
      </c>
      <c r="H274" s="15" t="n">
        <f aca="false">IF($B274="","",DATE(YEAR($B274),MONTH($B274),1))</f>
        <v>45962</v>
      </c>
      <c r="I274" s="0" t="str">
        <f aca="false">IF($G274="","Uncategorized — Review",IFERROR(INDEX(Mapping!$B:$B,MATCH($G274,Mapping!$A:$A,0)),"Uncategorized — Review"))</f>
        <v>Personal - Subscriptions</v>
      </c>
      <c r="J274" s="0" t="str">
        <f aca="false">IF($G274="","Uncategorized — Review",IFERROR(INDEX(Mapping!$C:$C,MATCH($G274,Mapping!$A:$A,0)),"Uncategorized — Review"))</f>
        <v>Personal — Owner</v>
      </c>
    </row>
    <row r="275" customFormat="false" ht="15" hidden="false" customHeight="false" outlineLevel="0" collapsed="false">
      <c r="A275" s="0" t="str">
        <f aca="false">Chase1168_2025!A275</f>
        <v>DEBIT</v>
      </c>
      <c r="B275" s="14" t="n">
        <f aca="false">Chase1168_2025!B275</f>
        <v>45964</v>
      </c>
      <c r="C275" s="0" t="str">
        <f aca="false">Chase1168_2025!C275</f>
        <v>ORIG CO NAME:BLUESHIELDCA           ORIG ID:7529219311 DESC DATE:251031 CO ENTRY DESCR:BILL PAY  SEC:CCD    TRACE#:031101116324450 EED:251103   IND ID:15712360471                  IND NAME:ANGELA DUNNING TRN: 3076324450TC</v>
      </c>
      <c r="D275" s="7" t="n">
        <f aca="false">Chase1168_2025!D275</f>
        <v>-870.54</v>
      </c>
      <c r="E275" s="0" t="str">
        <f aca="false">Chase1168_2025!E275</f>
        <v>ACH_DEBIT</v>
      </c>
      <c r="F275" s="7" t="n">
        <f aca="false">Chase1168_2025!F275</f>
        <v>25903.93</v>
      </c>
      <c r="G275" s="0" t="str">
        <f aca="false">Chase1168_2025!G275</f>
        <v>Personal - Health Insurance</v>
      </c>
      <c r="H275" s="15" t="n">
        <f aca="false">IF($B275="","",DATE(YEAR($B275),MONTH($B275),1))</f>
        <v>45962</v>
      </c>
      <c r="I275" s="0" t="str">
        <f aca="false">IF($G275="","Uncategorized — Review",IFERROR(INDEX(Mapping!$B:$B,MATCH($G275,Mapping!$A:$A,0)),"Uncategorized — Review"))</f>
        <v>Personal - Health (incl. Ins.)</v>
      </c>
      <c r="J275" s="0" t="str">
        <f aca="false">IF($G275="","Uncategorized — Review",IFERROR(INDEX(Mapping!$C:$C,MATCH($G275,Mapping!$A:$A,0)),"Uncategorized — Review"))</f>
        <v>Personal — Owner</v>
      </c>
    </row>
    <row r="276" customFormat="false" ht="15" hidden="false" customHeight="false" outlineLevel="0" collapsed="false">
      <c r="A276" s="0" t="str">
        <f aca="false">Chase1168_2025!A276</f>
        <v>CREDIT</v>
      </c>
      <c r="B276" s="14" t="n">
        <f aca="false">Chase1168_2025!B276</f>
        <v>45964</v>
      </c>
      <c r="C276" s="0" t="str">
        <f aca="false">Chase1168_2025!C276</f>
        <v>Online Transfer from CHK ...9335 transaction#: 26805756804</v>
      </c>
      <c r="D276" s="7" t="n">
        <f aca="false">Chase1168_2025!D276</f>
        <v>20000</v>
      </c>
      <c r="E276" s="0" t="str">
        <f aca="false">Chase1168_2025!E276</f>
        <v>ACCT_XFER</v>
      </c>
      <c r="F276" s="7" t="n">
        <f aca="false">Chase1168_2025!F276</f>
        <v>26774.47</v>
      </c>
      <c r="G276" s="0" t="str">
        <f aca="false">Chase1168_2025!G276</f>
        <v>Poseidon Asset Group (Incoming)</v>
      </c>
      <c r="H276" s="15" t="n">
        <f aca="false">IF($B276="","",DATE(YEAR($B276),MONTH($B276),1))</f>
        <v>45962</v>
      </c>
      <c r="I276" s="0" t="str">
        <f aca="false">IF($G276="","Uncategorized — Review",IFERROR(INDEX(Mapping!$B:$B,MATCH($G276,Mapping!$A:$A,0)),"Uncategorized — Review"))</f>
        <v>Poseidon Asset Group (Incoming)</v>
      </c>
      <c r="J276" s="0" t="str">
        <f aca="false">IF($G276="","Uncategorized — Review",IFERROR(INDEX(Mapping!$C:$C,MATCH($G276,Mapping!$A:$A,0)),"Uncategorized — Review"))</f>
        <v>Poseidon Asset Group</v>
      </c>
    </row>
    <row r="277" customFormat="false" ht="15" hidden="false" customHeight="false" outlineLevel="0" collapsed="false">
      <c r="A277" s="0" t="str">
        <f aca="false">Chase1168_2025!A277</f>
        <v>DEBIT</v>
      </c>
      <c r="B277" s="14" t="n">
        <f aca="false">Chase1168_2025!B277</f>
        <v>45961</v>
      </c>
      <c r="C277" s="0" t="str">
        <f aca="false">Chase1168_2025!C277</f>
        <v>Online Transfer to CHK ...1117 transaction#: 26790501746 10/31</v>
      </c>
      <c r="D277" s="7" t="n">
        <f aca="false">Chase1168_2025!D277</f>
        <v>-1000</v>
      </c>
      <c r="E277" s="0" t="str">
        <f aca="false">Chase1168_2025!E277</f>
        <v>ACCT_XFER</v>
      </c>
      <c r="F277" s="7" t="n">
        <f aca="false">Chase1168_2025!F277</f>
        <v>6774.47</v>
      </c>
      <c r="G277" s="0" t="str">
        <f aca="false">Chase1168_2025!G277</f>
        <v>Transfer to Angela Dunning</v>
      </c>
      <c r="H277" s="15" t="n">
        <f aca="false">IF($B277="","",DATE(YEAR($B277),MONTH($B277),1))</f>
        <v>45931</v>
      </c>
      <c r="I277" s="0" t="str">
        <f aca="false">IF($G277="","Uncategorized — Review",IFERROR(INDEX(Mapping!$B:$B,MATCH($G277,Mapping!$A:$A,0)),"Uncategorized — Review"))</f>
        <v>Transfer to Angela Dunning</v>
      </c>
      <c r="J277" s="0" t="str">
        <f aca="false">IF($G277="","Uncategorized — Review",IFERROR(INDEX(Mapping!$C:$C,MATCH($G277,Mapping!$A:$A,0)),"Uncategorized — Review"))</f>
        <v>Owner / Family Distributions</v>
      </c>
    </row>
    <row r="278" customFormat="false" ht="15" hidden="false" customHeight="false" outlineLevel="0" collapsed="false">
      <c r="A278" s="0" t="str">
        <f aca="false">Chase1168_2025!A278</f>
        <v>DEBIT</v>
      </c>
      <c r="B278" s="14" t="n">
        <f aca="false">Chase1168_2025!B278</f>
        <v>45961</v>
      </c>
      <c r="C278" s="0" t="str">
        <f aca="false">Chase1168_2025!C278</f>
        <v>Online Transfer to CHK ...6975 transaction#: 26790509294 10/31</v>
      </c>
      <c r="D278" s="7" t="n">
        <f aca="false">Chase1168_2025!D278</f>
        <v>-500</v>
      </c>
      <c r="E278" s="0" t="str">
        <f aca="false">Chase1168_2025!E278</f>
        <v>ACCT_XFER</v>
      </c>
      <c r="F278" s="7" t="n">
        <f aca="false">Chase1168_2025!F278</f>
        <v>7774.47</v>
      </c>
      <c r="G278" s="0" t="str">
        <f aca="false">Chase1168_2025!G278</f>
        <v>Transfer to Ava Perez-Dunning</v>
      </c>
      <c r="H278" s="15" t="n">
        <f aca="false">IF($B278="","",DATE(YEAR($B278),MONTH($B278),1))</f>
        <v>45931</v>
      </c>
      <c r="I278" s="0" t="str">
        <f aca="false">IF($G278="","Uncategorized — Review",IFERROR(INDEX(Mapping!$B:$B,MATCH($G278,Mapping!$A:$A,0)),"Uncategorized — Review"))</f>
        <v>Transfer to Ava Perez-Dunning</v>
      </c>
      <c r="J278" s="0" t="str">
        <f aca="false">IF($G278="","Uncategorized — Review",IFERROR(INDEX(Mapping!$C:$C,MATCH($G278,Mapping!$A:$A,0)),"Uncategorized — Review"))</f>
        <v>Owner / Family Distributions</v>
      </c>
    </row>
    <row r="279" customFormat="false" ht="15" hidden="false" customHeight="false" outlineLevel="0" collapsed="false">
      <c r="A279" s="0" t="str">
        <f aca="false">Chase1168_2025!A279</f>
        <v>DEBIT</v>
      </c>
      <c r="B279" s="14" t="n">
        <f aca="false">Chase1168_2025!B279</f>
        <v>45961</v>
      </c>
      <c r="C279" s="0" t="str">
        <f aca="false">Chase1168_2025!C279</f>
        <v>ORIG CO NAME:GEICO                  ORIG ID:3530075853 DESC DATE:251030 CO ENTRY DESCR:PREM COLL SEC:PPD    TRACE#:021000021808358 EED:251031   IND ID:                             IND NAME:ANGELA TRN: 3041808358TC</v>
      </c>
      <c r="D279" s="7" t="n">
        <f aca="false">Chase1168_2025!D279</f>
        <v>-619.87</v>
      </c>
      <c r="E279" s="0" t="str">
        <f aca="false">Chase1168_2025!E279</f>
        <v>ACH_DEBIT</v>
      </c>
      <c r="F279" s="7" t="n">
        <f aca="false">Chase1168_2025!F279</f>
        <v>8274.47</v>
      </c>
      <c r="G279" s="0" t="str">
        <f aca="false">Chase1168_2025!G279</f>
        <v>Personal - Car Insurance</v>
      </c>
      <c r="H279" s="15" t="n">
        <f aca="false">IF($B279="","",DATE(YEAR($B279),MONTH($B279),1))</f>
        <v>45931</v>
      </c>
      <c r="I279" s="0" t="str">
        <f aca="false">IF($G279="","Uncategorized — Review",IFERROR(INDEX(Mapping!$B:$B,MATCH($G279,Mapping!$A:$A,0)),"Uncategorized — Review"))</f>
        <v>Personal - Car &amp; Auto</v>
      </c>
      <c r="J279" s="0" t="str">
        <f aca="false">IF($G279="","Uncategorized — Review",IFERROR(INDEX(Mapping!$C:$C,MATCH($G279,Mapping!$A:$A,0)),"Uncategorized — Review"))</f>
        <v>Personal — Owner</v>
      </c>
    </row>
    <row r="280" customFormat="false" ht="15" hidden="false" customHeight="false" outlineLevel="0" collapsed="false">
      <c r="A280" s="0" t="str">
        <f aca="false">Chase1168_2025!A280</f>
        <v>DEBIT</v>
      </c>
      <c r="B280" s="14" t="n">
        <f aca="false">Chase1168_2025!B280</f>
        <v>45961</v>
      </c>
      <c r="C280" s="0" t="str">
        <f aca="false">Chase1168_2025!C280</f>
        <v>PP*APPLE.COM/BILL 800-275-2273 CA            10/31</v>
      </c>
      <c r="D280" s="7" t="n">
        <f aca="false">Chase1168_2025!D280</f>
        <v>-18.99</v>
      </c>
      <c r="E280" s="0" t="str">
        <f aca="false">Chase1168_2025!E280</f>
        <v>DEBIT_CARD</v>
      </c>
      <c r="F280" s="7" t="n">
        <f aca="false">Chase1168_2025!F280</f>
        <v>8894.34</v>
      </c>
      <c r="G280" s="0" t="str">
        <f aca="false">Chase1168_2025!G280</f>
        <v>Personal - Subscriptions</v>
      </c>
      <c r="H280" s="15" t="n">
        <f aca="false">IF($B280="","",DATE(YEAR($B280),MONTH($B280),1))</f>
        <v>45931</v>
      </c>
      <c r="I280" s="0" t="str">
        <f aca="false">IF($G280="","Uncategorized — Review",IFERROR(INDEX(Mapping!$B:$B,MATCH($G280,Mapping!$A:$A,0)),"Uncategorized — Review"))</f>
        <v>Personal - Subscriptions</v>
      </c>
      <c r="J280" s="0" t="str">
        <f aca="false">IF($G280="","Uncategorized — Review",IFERROR(INDEX(Mapping!$C:$C,MATCH($G280,Mapping!$A:$A,0)),"Uncategorized — Review"))</f>
        <v>Personal — Owner</v>
      </c>
    </row>
    <row r="281" customFormat="false" ht="15" hidden="false" customHeight="false" outlineLevel="0" collapsed="false">
      <c r="A281" s="0" t="str">
        <f aca="false">Chase1168_2025!A281</f>
        <v>DEBIT</v>
      </c>
      <c r="B281" s="14" t="n">
        <f aca="false">Chase1168_2025!B281</f>
        <v>45960</v>
      </c>
      <c r="C281" s="0" t="str">
        <f aca="false">Chase1168_2025!C281</f>
        <v>ORIG CO NAME:SBA EIDL LOAN          ORIG ID:7300000118 DESC DATE:251029 CO ENTRY DESCR:PAYMENT   SEC:CCD    TRACE#:041036043276194 EED:251030   IND ID:0000                         IND NAME:JOHN DUNNING               1871308204                                                                        ACH TRANSACTION TRN: 3033276194TC</v>
      </c>
      <c r="D281" s="7" t="n">
        <f aca="false">Chase1168_2025!D281</f>
        <v>-2524</v>
      </c>
      <c r="E281" s="0" t="str">
        <f aca="false">Chase1168_2025!E281</f>
        <v>ACH_DEBIT</v>
      </c>
      <c r="F281" s="7" t="n">
        <f aca="false">Chase1168_2025!F281</f>
        <v>8913.33</v>
      </c>
      <c r="G281" s="0" t="str">
        <f aca="false">Chase1168_2025!G281</f>
        <v>SBC EIDL Loan</v>
      </c>
      <c r="H281" s="15" t="n">
        <f aca="false">IF($B281="","",DATE(YEAR($B281),MONTH($B281),1))</f>
        <v>45931</v>
      </c>
      <c r="I281" s="0" t="str">
        <f aca="false">IF($G281="","Uncategorized — Review",IFERROR(INDEX(Mapping!$B:$B,MATCH($G281,Mapping!$A:$A,0)),"Uncategorized — Review"))</f>
        <v>SBC EIDL Loan</v>
      </c>
      <c r="J281" s="0" t="str">
        <f aca="false">IF($G281="","Uncategorized — Review",IFERROR(INDEX(Mapping!$C:$C,MATCH($G281,Mapping!$A:$A,0)),"Uncategorized — Review"))</f>
        <v>Credit Card &amp; Loan Payments</v>
      </c>
    </row>
    <row r="282" customFormat="false" ht="15" hidden="false" customHeight="false" outlineLevel="0" collapsed="false">
      <c r="A282" s="0" t="str">
        <f aca="false">Chase1168_2025!A282</f>
        <v>DEBIT</v>
      </c>
      <c r="B282" s="14" t="n">
        <f aca="false">Chase1168_2025!B282</f>
        <v>45959</v>
      </c>
      <c r="C282" s="0" t="str">
        <f aca="false">Chase1168_2025!C282</f>
        <v>ORIG CO NAME:VENMO                  ORIG ID:3264681992 DESC DATE:251029 CO ENTRY DESCR:PAYMENT   SEC:WEB    TRACE#:021000021050460 EED:251029   IND ID:1045822639891                IND NAME:JUDD DUNNING                                                                                                 251029PPZTPK TRN: 3021050460TC</v>
      </c>
      <c r="D282" s="7" t="n">
        <f aca="false">Chase1168_2025!D282</f>
        <v>-12</v>
      </c>
      <c r="E282" s="0" t="str">
        <f aca="false">Chase1168_2025!E282</f>
        <v>ACH_DEBIT</v>
      </c>
      <c r="F282" s="7" t="n">
        <f aca="false">Chase1168_2025!F282</f>
        <v>11437.33</v>
      </c>
      <c r="G282" s="0" t="str">
        <f aca="false">Chase1168_2025!G282</f>
        <v>Venmo</v>
      </c>
      <c r="H282" s="15" t="n">
        <f aca="false">IF($B282="","",DATE(YEAR($B282),MONTH($B282),1))</f>
        <v>45931</v>
      </c>
      <c r="I282" s="0" t="str">
        <f aca="false">IF($G282="","Uncategorized — Review",IFERROR(INDEX(Mapping!$B:$B,MATCH($G282,Mapping!$A:$A,0)),"Uncategorized — Review"))</f>
        <v>Venmo</v>
      </c>
      <c r="J282" s="0" t="str">
        <f aca="false">IF($G282="","Uncategorized — Review",IFERROR(INDEX(Mapping!$C:$C,MATCH($G282,Mapping!$A:$A,0)),"Uncategorized — Review"))</f>
        <v>P2P Payments (Zelle/Venmo/PayPal)</v>
      </c>
    </row>
    <row r="283" customFormat="false" ht="15" hidden="false" customHeight="false" outlineLevel="0" collapsed="false">
      <c r="A283" s="0" t="str">
        <f aca="false">Chase1168_2025!A283</f>
        <v>DEBIT</v>
      </c>
      <c r="B283" s="14" t="n">
        <f aca="false">Chase1168_2025!B283</f>
        <v>45959</v>
      </c>
      <c r="C283" s="0" t="str">
        <f aca="false">Chase1168_2025!C283</f>
        <v>ORIG CO NAME:TXU ENERGY             ORIG ID:1001020329 DESC DATE:       CO ENTRY DESCR:TXUE_ACH  SEC:WEB    TRACE#:021000021006874 EED:251029   IND ID:900062431557                 IND NAME:DWG CAPITAL GROUP          17333702810000000000000000000003501 3291265                                       DIRECT DEBITING TRN: 3021006874TC</v>
      </c>
      <c r="D283" s="7" t="n">
        <f aca="false">Chase1168_2025!D283</f>
        <v>-494.92</v>
      </c>
      <c r="E283" s="0" t="str">
        <f aca="false">Chase1168_2025!E283</f>
        <v>ACH_DEBIT</v>
      </c>
      <c r="F283" s="7" t="n">
        <f aca="false">Chase1168_2025!F283</f>
        <v>11449.33</v>
      </c>
      <c r="G283" s="0" t="str">
        <f aca="false">Chase1168_2025!G283</f>
        <v>Texas - House Utilities</v>
      </c>
      <c r="H283" s="15" t="n">
        <f aca="false">IF($B283="","",DATE(YEAR($B283),MONTH($B283),1))</f>
        <v>45931</v>
      </c>
      <c r="I283" s="0" t="str">
        <f aca="false">IF($G283="","Uncategorized — Review",IFERROR(INDEX(Mapping!$B:$B,MATCH($G283,Mapping!$A:$A,0)),"Uncategorized — Review"))</f>
        <v>Texas - House Utilities</v>
      </c>
      <c r="J283" s="0" t="str">
        <f aca="false">IF($G283="","Uncategorized — Review",IFERROR(INDEX(Mapping!$C:$C,MATCH($G283,Mapping!$A:$A,0)),"Uncategorized — Review"))</f>
        <v>Personal — Owner</v>
      </c>
    </row>
    <row r="284" customFormat="false" ht="15" hidden="false" customHeight="false" outlineLevel="0" collapsed="false">
      <c r="A284" s="0" t="str">
        <f aca="false">Chase1168_2025!A284</f>
        <v>DEBIT</v>
      </c>
      <c r="B284" s="14" t="n">
        <f aca="false">Chase1168_2025!B284</f>
        <v>45959</v>
      </c>
      <c r="C284" s="0" t="str">
        <f aca="false">Chase1168_2025!C284</f>
        <v>ORIG CO NAME:GEICO                  ORIG ID:3530075853 DESC DATE:251028 CO ENTRY DESCR:PREM COLL SEC:PPD    TRACE#:021000023330588 EED:251029   IND ID:                             IND NAME:ANGELA DUNNING TRN: 3023330588TC</v>
      </c>
      <c r="D284" s="7" t="n">
        <f aca="false">Chase1168_2025!D284</f>
        <v>-753.28</v>
      </c>
      <c r="E284" s="0" t="str">
        <f aca="false">Chase1168_2025!E284</f>
        <v>ACH_DEBIT</v>
      </c>
      <c r="F284" s="7" t="n">
        <f aca="false">Chase1168_2025!F284</f>
        <v>11944.25</v>
      </c>
      <c r="G284" s="0" t="str">
        <f aca="false">Chase1168_2025!G284</f>
        <v>Personal - Car Insurance</v>
      </c>
      <c r="H284" s="15" t="n">
        <f aca="false">IF($B284="","",DATE(YEAR($B284),MONTH($B284),1))</f>
        <v>45931</v>
      </c>
      <c r="I284" s="0" t="str">
        <f aca="false">IF($G284="","Uncategorized — Review",IFERROR(INDEX(Mapping!$B:$B,MATCH($G284,Mapping!$A:$A,0)),"Uncategorized — Review"))</f>
        <v>Personal - Car &amp; Auto</v>
      </c>
      <c r="J284" s="0" t="str">
        <f aca="false">IF($G284="","Uncategorized — Review",IFERROR(INDEX(Mapping!$C:$C,MATCH($G284,Mapping!$A:$A,0)),"Uncategorized — Review"))</f>
        <v>Personal — Owner</v>
      </c>
    </row>
    <row r="285" customFormat="false" ht="15" hidden="false" customHeight="false" outlineLevel="0" collapsed="false">
      <c r="A285" s="0" t="str">
        <f aca="false">Chase1168_2025!A285</f>
        <v>DEBIT</v>
      </c>
      <c r="B285" s="14" t="n">
        <f aca="false">Chase1168_2025!B285</f>
        <v>45959</v>
      </c>
      <c r="C285" s="0" t="str">
        <f aca="false">Chase1168_2025!C285</f>
        <v>PAYPAL *EPOCH TIMES T 833-699-1888 NY        10/28</v>
      </c>
      <c r="D285" s="7" t="n">
        <f aca="false">Chase1168_2025!D285</f>
        <v>-16</v>
      </c>
      <c r="E285" s="0" t="str">
        <f aca="false">Chase1168_2025!E285</f>
        <v>DEBIT_CARD</v>
      </c>
      <c r="F285" s="7" t="n">
        <f aca="false">Chase1168_2025!F285</f>
        <v>12697.53</v>
      </c>
      <c r="G285" s="0" t="str">
        <f aca="false">Chase1168_2025!G285</f>
        <v>Personal - Subscriptions</v>
      </c>
      <c r="H285" s="15" t="n">
        <f aca="false">IF($B285="","",DATE(YEAR($B285),MONTH($B285),1))</f>
        <v>45931</v>
      </c>
      <c r="I285" s="0" t="str">
        <f aca="false">IF($G285="","Uncategorized — Review",IFERROR(INDEX(Mapping!$B:$B,MATCH($G285,Mapping!$A:$A,0)),"Uncategorized — Review"))</f>
        <v>Personal - Subscriptions</v>
      </c>
      <c r="J285" s="0" t="str">
        <f aca="false">IF($G285="","Uncategorized — Review",IFERROR(INDEX(Mapping!$C:$C,MATCH($G285,Mapping!$A:$A,0)),"Uncategorized — Review"))</f>
        <v>Personal — Owner</v>
      </c>
    </row>
    <row r="286" customFormat="false" ht="15" hidden="false" customHeight="false" outlineLevel="0" collapsed="false">
      <c r="A286" s="0" t="str">
        <f aca="false">Chase1168_2025!A286</f>
        <v>DEBIT</v>
      </c>
      <c r="B286" s="14" t="n">
        <f aca="false">Chase1168_2025!B286</f>
        <v>45958</v>
      </c>
      <c r="C286" s="0" t="str">
        <f aca="false">Chase1168_2025!C286</f>
        <v>Online Payment 26745736867 To PENTAGON FEDERAL CREDIT UNION 10/28</v>
      </c>
      <c r="D286" s="7" t="n">
        <f aca="false">Chase1168_2025!D286</f>
        <v>-7010</v>
      </c>
      <c r="E286" s="0" t="str">
        <f aca="false">Chase1168_2025!E286</f>
        <v>BILLPAY</v>
      </c>
      <c r="F286" s="7" t="n">
        <f aca="false">Chase1168_2025!F286</f>
        <v>12713.53</v>
      </c>
      <c r="G286" s="0" t="str">
        <f aca="false">Chase1168_2025!G286</f>
        <v>Personal - California Mortgage PMT</v>
      </c>
      <c r="H286" s="15" t="n">
        <f aca="false">IF($B286="","",DATE(YEAR($B286),MONTH($B286),1))</f>
        <v>45931</v>
      </c>
      <c r="I286" s="0" t="str">
        <f aca="false">IF($G286="","Uncategorized — Review",IFERROR(INDEX(Mapping!$B:$B,MATCH($G286,Mapping!$A:$A,0)),"Uncategorized — Review"))</f>
        <v>Personal - California Mortgage PMT</v>
      </c>
      <c r="J286" s="0" t="str">
        <f aca="false">IF($G286="","Uncategorized — Review",IFERROR(INDEX(Mapping!$C:$C,MATCH($G286,Mapping!$A:$A,0)),"Uncategorized — Review"))</f>
        <v>Personal — Owner</v>
      </c>
    </row>
    <row r="287" customFormat="false" ht="15" hidden="false" customHeight="false" outlineLevel="0" collapsed="false">
      <c r="A287" s="0" t="str">
        <f aca="false">Chase1168_2025!A287</f>
        <v>DEBIT</v>
      </c>
      <c r="B287" s="14" t="n">
        <f aca="false">Chase1168_2025!B287</f>
        <v>45958</v>
      </c>
      <c r="C287" s="0" t="str">
        <f aca="false">Chase1168_2025!C287</f>
        <v>Online Payment 26745734261 To MERCEDES BENZ FINANCIAL 10/28</v>
      </c>
      <c r="D287" s="7" t="n">
        <f aca="false">Chase1168_2025!D287</f>
        <v>-412</v>
      </c>
      <c r="E287" s="0" t="str">
        <f aca="false">Chase1168_2025!E287</f>
        <v>BILLPAY</v>
      </c>
      <c r="F287" s="7" t="n">
        <f aca="false">Chase1168_2025!F287</f>
        <v>19723.53</v>
      </c>
      <c r="G287" s="0" t="str">
        <f aca="false">Chase1168_2025!G287</f>
        <v>Personal - Car (Mercedes)</v>
      </c>
      <c r="H287" s="15" t="n">
        <f aca="false">IF($B287="","",DATE(YEAR($B287),MONTH($B287),1))</f>
        <v>45931</v>
      </c>
      <c r="I287" s="0" t="str">
        <f aca="false">IF($G287="","Uncategorized — Review",IFERROR(INDEX(Mapping!$B:$B,MATCH($G287,Mapping!$A:$A,0)),"Uncategorized — Review"))</f>
        <v>Personal - Car &amp; Auto</v>
      </c>
      <c r="J287" s="0" t="str">
        <f aca="false">IF($G287="","Uncategorized — Review",IFERROR(INDEX(Mapping!$C:$C,MATCH($G287,Mapping!$A:$A,0)),"Uncategorized — Review"))</f>
        <v>Personal — Owner</v>
      </c>
    </row>
    <row r="288" customFormat="false" ht="15" hidden="false" customHeight="false" outlineLevel="0" collapsed="false">
      <c r="A288" s="0" t="str">
        <f aca="false">Chase1168_2025!A288</f>
        <v>DEBIT</v>
      </c>
      <c r="B288" s="14" t="n">
        <f aca="false">Chase1168_2025!B288</f>
        <v>45958</v>
      </c>
      <c r="C288" s="0" t="str">
        <f aca="false">Chase1168_2025!C288</f>
        <v>Online Payment 26745718353 To MERCEDES BENZ FINANCIAL SVCS 10/28</v>
      </c>
      <c r="D288" s="7" t="n">
        <f aca="false">Chase1168_2025!D288</f>
        <v>-1399.78</v>
      </c>
      <c r="E288" s="0" t="str">
        <f aca="false">Chase1168_2025!E288</f>
        <v>BILLPAY</v>
      </c>
      <c r="F288" s="7" t="n">
        <f aca="false">Chase1168_2025!F288</f>
        <v>20135.53</v>
      </c>
      <c r="G288" s="0" t="str">
        <f aca="false">Chase1168_2025!G288</f>
        <v>Personal - Car (Mercedes)</v>
      </c>
      <c r="H288" s="15" t="n">
        <f aca="false">IF($B288="","",DATE(YEAR($B288),MONTH($B288),1))</f>
        <v>45931</v>
      </c>
      <c r="I288" s="0" t="str">
        <f aca="false">IF($G288="","Uncategorized — Review",IFERROR(INDEX(Mapping!$B:$B,MATCH($G288,Mapping!$A:$A,0)),"Uncategorized — Review"))</f>
        <v>Personal - Car &amp; Auto</v>
      </c>
      <c r="J288" s="0" t="str">
        <f aca="false">IF($G288="","Uncategorized — Review",IFERROR(INDEX(Mapping!$C:$C,MATCH($G288,Mapping!$A:$A,0)),"Uncategorized — Review"))</f>
        <v>Personal — Owner</v>
      </c>
    </row>
    <row r="289" customFormat="false" ht="15" hidden="false" customHeight="false" outlineLevel="0" collapsed="false">
      <c r="A289" s="0" t="str">
        <f aca="false">Chase1168_2025!A289</f>
        <v>DEBIT</v>
      </c>
      <c r="B289" s="14" t="n">
        <f aca="false">Chase1168_2025!B289</f>
        <v>45958</v>
      </c>
      <c r="C289" s="0" t="str">
        <f aca="false">Chase1168_2025!C289</f>
        <v>Online Payment 26745723315 To MERCEDES BENZ FINANCIAL 10/28</v>
      </c>
      <c r="D289" s="7" t="n">
        <f aca="false">Chase1168_2025!D289</f>
        <v>-612</v>
      </c>
      <c r="E289" s="0" t="str">
        <f aca="false">Chase1168_2025!E289</f>
        <v>BILLPAY</v>
      </c>
      <c r="F289" s="7" t="n">
        <f aca="false">Chase1168_2025!F289</f>
        <v>21535.31</v>
      </c>
      <c r="G289" s="0" t="str">
        <f aca="false">Chase1168_2025!G289</f>
        <v>Personal - Car (Mercedes)</v>
      </c>
      <c r="H289" s="15" t="n">
        <f aca="false">IF($B289="","",DATE(YEAR($B289),MONTH($B289),1))</f>
        <v>45931</v>
      </c>
      <c r="I289" s="0" t="str">
        <f aca="false">IF($G289="","Uncategorized — Review",IFERROR(INDEX(Mapping!$B:$B,MATCH($G289,Mapping!$A:$A,0)),"Uncategorized — Review"))</f>
        <v>Personal - Car &amp; Auto</v>
      </c>
      <c r="J289" s="0" t="str">
        <f aca="false">IF($G289="","Uncategorized — Review",IFERROR(INDEX(Mapping!$C:$C,MATCH($G289,Mapping!$A:$A,0)),"Uncategorized — Review"))</f>
        <v>Personal — Owner</v>
      </c>
    </row>
    <row r="290" customFormat="false" ht="15" hidden="false" customHeight="false" outlineLevel="0" collapsed="false">
      <c r="A290" s="0" t="str">
        <f aca="false">Chase1168_2025!A290</f>
        <v>DEBIT</v>
      </c>
      <c r="B290" s="14" t="n">
        <f aca="false">Chase1168_2025!B290</f>
        <v>45958</v>
      </c>
      <c r="C290" s="0" t="str">
        <f aca="false">Chase1168_2025!C290</f>
        <v>Online Transfer to CHK ...6975 transaction#: 26745685885 10/28</v>
      </c>
      <c r="D290" s="7" t="n">
        <f aca="false">Chase1168_2025!D290</f>
        <v>-1000</v>
      </c>
      <c r="E290" s="0" t="str">
        <f aca="false">Chase1168_2025!E290</f>
        <v>ACCT_XFER</v>
      </c>
      <c r="F290" s="7" t="n">
        <f aca="false">Chase1168_2025!F290</f>
        <v>22147.31</v>
      </c>
      <c r="G290" s="0" t="str">
        <f aca="false">Chase1168_2025!G290</f>
        <v>Transfer to Ava Perez-Dunning</v>
      </c>
      <c r="H290" s="15" t="n">
        <f aca="false">IF($B290="","",DATE(YEAR($B290),MONTH($B290),1))</f>
        <v>45931</v>
      </c>
      <c r="I290" s="0" t="str">
        <f aca="false">IF($G290="","Uncategorized — Review",IFERROR(INDEX(Mapping!$B:$B,MATCH($G290,Mapping!$A:$A,0)),"Uncategorized — Review"))</f>
        <v>Transfer to Ava Perez-Dunning</v>
      </c>
      <c r="J290" s="0" t="str">
        <f aca="false">IF($G290="","Uncategorized — Review",IFERROR(INDEX(Mapping!$C:$C,MATCH($G290,Mapping!$A:$A,0)),"Uncategorized — Review"))</f>
        <v>Owner / Family Distributions</v>
      </c>
    </row>
    <row r="291" customFormat="false" ht="15" hidden="false" customHeight="false" outlineLevel="0" collapsed="false">
      <c r="A291" s="0" t="str">
        <f aca="false">Chase1168_2025!A291</f>
        <v>DEBIT</v>
      </c>
      <c r="B291" s="14" t="n">
        <f aca="false">Chase1168_2025!B291</f>
        <v>45958</v>
      </c>
      <c r="C291" s="0" t="str">
        <f aca="false">Chase1168_2025!C291</f>
        <v>Online Transfer to CHK ...1117 transaction#: 26745678520 10/28</v>
      </c>
      <c r="D291" s="7" t="n">
        <f aca="false">Chase1168_2025!D291</f>
        <v>-3000</v>
      </c>
      <c r="E291" s="0" t="str">
        <f aca="false">Chase1168_2025!E291</f>
        <v>ACCT_XFER</v>
      </c>
      <c r="F291" s="7" t="n">
        <f aca="false">Chase1168_2025!F291</f>
        <v>23147.31</v>
      </c>
      <c r="G291" s="0" t="str">
        <f aca="false">Chase1168_2025!G291</f>
        <v>Transfer to Angela Dunning</v>
      </c>
      <c r="H291" s="15" t="n">
        <f aca="false">IF($B291="","",DATE(YEAR($B291),MONTH($B291),1))</f>
        <v>45931</v>
      </c>
      <c r="I291" s="0" t="str">
        <f aca="false">IF($G291="","Uncategorized — Review",IFERROR(INDEX(Mapping!$B:$B,MATCH($G291,Mapping!$A:$A,0)),"Uncategorized — Review"))</f>
        <v>Transfer to Angela Dunning</v>
      </c>
      <c r="J291" s="0" t="str">
        <f aca="false">IF($G291="","Uncategorized — Review",IFERROR(INDEX(Mapping!$C:$C,MATCH($G291,Mapping!$A:$A,0)),"Uncategorized — Review"))</f>
        <v>Owner / Family Distributions</v>
      </c>
    </row>
    <row r="292" customFormat="false" ht="15" hidden="false" customHeight="false" outlineLevel="0" collapsed="false">
      <c r="A292" s="0" t="str">
        <f aca="false">Chase1168_2025!A292</f>
        <v>DEBIT</v>
      </c>
      <c r="B292" s="14" t="n">
        <f aca="false">Chase1168_2025!B292</f>
        <v>45958</v>
      </c>
      <c r="C292" s="0" t="str">
        <f aca="false">Chase1168_2025!C292</f>
        <v>Online Transfer to CHK ...7899 transaction#: 26745659787 10/28</v>
      </c>
      <c r="D292" s="7" t="n">
        <f aca="false">Chase1168_2025!D292</f>
        <v>-10000</v>
      </c>
      <c r="E292" s="0" t="str">
        <f aca="false">Chase1168_2025!E292</f>
        <v>ACCT_XFER</v>
      </c>
      <c r="F292" s="7" t="n">
        <f aca="false">Chase1168_2025!F292</f>
        <v>26147.31</v>
      </c>
      <c r="G292" s="0" t="str">
        <f aca="false">Chase1168_2025!G292</f>
        <v>Transfer to TX Personal Joint</v>
      </c>
      <c r="H292" s="15" t="n">
        <f aca="false">IF($B292="","",DATE(YEAR($B292),MONTH($B292),1))</f>
        <v>45931</v>
      </c>
      <c r="I292" s="0" t="str">
        <f aca="false">IF($G292="","Uncategorized — Review",IFERROR(INDEX(Mapping!$B:$B,MATCH($G292,Mapping!$A:$A,0)),"Uncategorized — Review"))</f>
        <v>Transfer to TX Personal Joint</v>
      </c>
      <c r="J292" s="0" t="str">
        <f aca="false">IF($G292="","Uncategorized — Review",IFERROR(INDEX(Mapping!$C:$C,MATCH($G292,Mapping!$A:$A,0)),"Uncategorized — Review"))</f>
        <v>Owner / Family Distributions</v>
      </c>
    </row>
    <row r="293" customFormat="false" ht="15" hidden="false" customHeight="false" outlineLevel="0" collapsed="false">
      <c r="A293" s="0" t="str">
        <f aca="false">Chase1168_2025!A293</f>
        <v>DEBIT</v>
      </c>
      <c r="B293" s="14" t="n">
        <f aca="false">Chase1168_2025!B293</f>
        <v>45958</v>
      </c>
      <c r="C293" s="0" t="str">
        <f aca="false">Chase1168_2025!C293</f>
        <v>ORIG CO NAME:VENMO                  ORIG ID:3264681992 DESC DATE:251027 CO ENTRY DESCR:PAYMENT   SEC:WEB    TRACE#:021000029011676 EED:251028   IND ID:1045797988305                IND NAME:JUDD DUNNING                                                                                                 251028PPZDJM TRN: 3019011676TC</v>
      </c>
      <c r="D293" s="7" t="n">
        <f aca="false">Chase1168_2025!D293</f>
        <v>-300</v>
      </c>
      <c r="E293" s="0" t="str">
        <f aca="false">Chase1168_2025!E293</f>
        <v>ACH_DEBIT</v>
      </c>
      <c r="F293" s="7" t="n">
        <f aca="false">Chase1168_2025!F293</f>
        <v>36147.31</v>
      </c>
      <c r="G293" s="0" t="str">
        <f aca="false">Chase1168_2025!G293</f>
        <v>Venmo</v>
      </c>
      <c r="H293" s="15" t="n">
        <f aca="false">IF($B293="","",DATE(YEAR($B293),MONTH($B293),1))</f>
        <v>45931</v>
      </c>
      <c r="I293" s="0" t="str">
        <f aca="false">IF($G293="","Uncategorized — Review",IFERROR(INDEX(Mapping!$B:$B,MATCH($G293,Mapping!$A:$A,0)),"Uncategorized — Review"))</f>
        <v>Venmo</v>
      </c>
      <c r="J293" s="0" t="str">
        <f aca="false">IF($G293="","Uncategorized — Review",IFERROR(INDEX(Mapping!$C:$C,MATCH($G293,Mapping!$A:$A,0)),"Uncategorized — Review"))</f>
        <v>P2P Payments (Zelle/Venmo/PayPal)</v>
      </c>
    </row>
    <row r="294" customFormat="false" ht="15" hidden="false" customHeight="false" outlineLevel="0" collapsed="false">
      <c r="A294" s="0" t="str">
        <f aca="false">Chase1168_2025!A294</f>
        <v>DEBIT</v>
      </c>
      <c r="B294" s="14" t="n">
        <f aca="false">Chase1168_2025!B294</f>
        <v>45958</v>
      </c>
      <c r="C294" s="0" t="str">
        <f aca="false">Chase1168_2025!C294</f>
        <v>ORIG CO NAME:BANNER LIFE            ORIG ID:1521236145 DESC DATE:251027 CO ENTRY DESCR:PREM DEBITSEC:PPD    TRACE#:091000014623588 EED:251028   IND ID:                             IND NAME:ANGELA L DUNNING TRN: 3014623588TC</v>
      </c>
      <c r="D294" s="7" t="n">
        <f aca="false">Chase1168_2025!D294</f>
        <v>-12.5</v>
      </c>
      <c r="E294" s="0" t="str">
        <f aca="false">Chase1168_2025!E294</f>
        <v>ACH_DEBIT</v>
      </c>
      <c r="F294" s="7" t="n">
        <f aca="false">Chase1168_2025!F294</f>
        <v>36447.31</v>
      </c>
      <c r="G294" s="0" t="str">
        <f aca="false">Chase1168_2025!G294</f>
        <v>Personal - Life Insurance</v>
      </c>
      <c r="H294" s="15" t="n">
        <f aca="false">IF($B294="","",DATE(YEAR($B294),MONTH($B294),1))</f>
        <v>45931</v>
      </c>
      <c r="I294" s="0" t="str">
        <f aca="false">IF($G294="","Uncategorized — Review",IFERROR(INDEX(Mapping!$B:$B,MATCH($G294,Mapping!$A:$A,0)),"Uncategorized — Review"))</f>
        <v>Personal - Life Insurance</v>
      </c>
      <c r="J294" s="0" t="str">
        <f aca="false">IF($G294="","Uncategorized — Review",IFERROR(INDEX(Mapping!$C:$C,MATCH($G294,Mapping!$A:$A,0)),"Uncategorized — Review"))</f>
        <v>Personal — Owner</v>
      </c>
    </row>
    <row r="295" customFormat="false" ht="15" hidden="false" customHeight="false" outlineLevel="0" collapsed="false">
      <c r="A295" s="0" t="str">
        <f aca="false">Chase1168_2025!A295</f>
        <v>DEBIT</v>
      </c>
      <c r="B295" s="14" t="n">
        <f aca="false">Chase1168_2025!B295</f>
        <v>45958</v>
      </c>
      <c r="C295" s="0" t="str">
        <f aca="false">Chase1168_2025!C295</f>
        <v>ORIG CO NAME:BANNER LIFE            ORIG ID:1521236145 DESC DATE:251027 CO ENTRY DESCR:PREM DEBITSEC:PPD    TRACE#:091000014623589 EED:251028   IND ID:                             IND NAME:JOHN  DUNNING TRN: 3014623589TC</v>
      </c>
      <c r="D295" s="7" t="n">
        <f aca="false">Chase1168_2025!D295</f>
        <v>-22.92</v>
      </c>
      <c r="E295" s="0" t="str">
        <f aca="false">Chase1168_2025!E295</f>
        <v>ACH_DEBIT</v>
      </c>
      <c r="F295" s="7" t="n">
        <f aca="false">Chase1168_2025!F295</f>
        <v>36459.81</v>
      </c>
      <c r="G295" s="0" t="str">
        <f aca="false">Chase1168_2025!G295</f>
        <v>Personal - Life Insurance</v>
      </c>
      <c r="H295" s="15" t="n">
        <f aca="false">IF($B295="","",DATE(YEAR($B295),MONTH($B295),1))</f>
        <v>45931</v>
      </c>
      <c r="I295" s="0" t="str">
        <f aca="false">IF($G295="","Uncategorized — Review",IFERROR(INDEX(Mapping!$B:$B,MATCH($G295,Mapping!$A:$A,0)),"Uncategorized — Review"))</f>
        <v>Personal - Life Insurance</v>
      </c>
      <c r="J295" s="0" t="str">
        <f aca="false">IF($G295="","Uncategorized — Review",IFERROR(INDEX(Mapping!$C:$C,MATCH($G295,Mapping!$A:$A,0)),"Uncategorized — Review"))</f>
        <v>Personal — Owner</v>
      </c>
    </row>
    <row r="296" customFormat="false" ht="15" hidden="false" customHeight="false" outlineLevel="0" collapsed="false">
      <c r="A296" s="0" t="str">
        <f aca="false">Chase1168_2025!A296</f>
        <v>CREDIT</v>
      </c>
      <c r="B296" s="14" t="n">
        <f aca="false">Chase1168_2025!B296</f>
        <v>45958</v>
      </c>
      <c r="C296" s="0" t="str">
        <f aca="false">Chase1168_2025!C296</f>
        <v>Online Transfer from CHK ...9335 transaction#: 26745657866</v>
      </c>
      <c r="D296" s="7" t="n">
        <f aca="false">Chase1168_2025!D296</f>
        <v>30000</v>
      </c>
      <c r="E296" s="0" t="str">
        <f aca="false">Chase1168_2025!E296</f>
        <v>ACCT_XFER</v>
      </c>
      <c r="F296" s="7" t="n">
        <f aca="false">Chase1168_2025!F296</f>
        <v>36482.73</v>
      </c>
      <c r="G296" s="0" t="str">
        <f aca="false">Chase1168_2025!G296</f>
        <v>Poseidon Asset Group (Incoming)</v>
      </c>
      <c r="H296" s="15" t="n">
        <f aca="false">IF($B296="","",DATE(YEAR($B296),MONTH($B296),1))</f>
        <v>45931</v>
      </c>
      <c r="I296" s="0" t="str">
        <f aca="false">IF($G296="","Uncategorized — Review",IFERROR(INDEX(Mapping!$B:$B,MATCH($G296,Mapping!$A:$A,0)),"Uncategorized — Review"))</f>
        <v>Poseidon Asset Group (Incoming)</v>
      </c>
      <c r="J296" s="0" t="str">
        <f aca="false">IF($G296="","Uncategorized — Review",IFERROR(INDEX(Mapping!$C:$C,MATCH($G296,Mapping!$A:$A,0)),"Uncategorized — Review"))</f>
        <v>Poseidon Asset Group</v>
      </c>
    </row>
    <row r="297" customFormat="false" ht="15" hidden="false" customHeight="false" outlineLevel="0" collapsed="false">
      <c r="A297" s="0" t="str">
        <f aca="false">Chase1168_2025!A297</f>
        <v>DEBIT</v>
      </c>
      <c r="B297" s="14" t="n">
        <f aca="false">Chase1168_2025!B297</f>
        <v>45957</v>
      </c>
      <c r="C297" s="0" t="str">
        <f aca="false">Chase1168_2025!C297</f>
        <v>ORIG CO NAME:AMERICAN EXPRESS       ORIG ID:2005032111 DESC DATE:251027 CO ENTRY DESCR:ACH PMT   SEC:CCD    TRACE#:021000024159159 EED:251027   IND ID:W4048                        IND NAME:John Dunning                                                                                                 ER AM TRN: 3004159159TC</v>
      </c>
      <c r="D297" s="7" t="n">
        <f aca="false">Chase1168_2025!D297</f>
        <v>-177.41</v>
      </c>
      <c r="E297" s="0" t="str">
        <f aca="false">Chase1168_2025!E297</f>
        <v>ACH_DEBIT</v>
      </c>
      <c r="F297" s="7" t="n">
        <f aca="false">Chase1168_2025!F297</f>
        <v>6482.73</v>
      </c>
      <c r="G297" s="0" t="str">
        <f aca="false">Chase1168_2025!G297</f>
        <v>American Express Credit Card PMT</v>
      </c>
      <c r="H297" s="15" t="n">
        <f aca="false">IF($B297="","",DATE(YEAR($B297),MONTH($B297),1))</f>
        <v>45931</v>
      </c>
      <c r="I297" s="0" t="str">
        <f aca="false">IF($G297="","Uncategorized — Review",IFERROR(INDEX(Mapping!$B:$B,MATCH($G297,Mapping!$A:$A,0)),"Uncategorized — Review"))</f>
        <v>American Express Credit Card PMT</v>
      </c>
      <c r="J297" s="0" t="str">
        <f aca="false">IF($G297="","Uncategorized — Review",IFERROR(INDEX(Mapping!$C:$C,MATCH($G297,Mapping!$A:$A,0)),"Uncategorized — Review"))</f>
        <v>Credit Card &amp; Loan Payments</v>
      </c>
    </row>
    <row r="298" customFormat="false" ht="15" hidden="false" customHeight="false" outlineLevel="0" collapsed="false">
      <c r="A298" s="0" t="str">
        <f aca="false">Chase1168_2025!A298</f>
        <v>DEBIT</v>
      </c>
      <c r="B298" s="14" t="n">
        <f aca="false">Chase1168_2025!B298</f>
        <v>45957</v>
      </c>
      <c r="C298" s="0" t="str">
        <f aca="false">Chase1168_2025!C298</f>
        <v>Zelle payment to Rami Frankl 26736506438</v>
      </c>
      <c r="D298" s="7" t="n">
        <f aca="false">Chase1168_2025!D298</f>
        <v>-1250</v>
      </c>
      <c r="E298" s="0" t="str">
        <f aca="false">Chase1168_2025!E298</f>
        <v>QUICKPAY_DEBIT</v>
      </c>
      <c r="F298" s="7" t="n">
        <f aca="false">Chase1168_2025!F298</f>
        <v>6660.14</v>
      </c>
      <c r="G298" s="0" t="str">
        <f aca="false">Chase1168_2025!G298</f>
        <v>Rami Frankl - Payroll</v>
      </c>
      <c r="H298" s="15" t="n">
        <f aca="false">IF($B298="","",DATE(YEAR($B298),MONTH($B298),1))</f>
        <v>45931</v>
      </c>
      <c r="I298" s="0" t="str">
        <f aca="false">IF($G298="","Uncategorized — Review",IFERROR(INDEX(Mapping!$B:$B,MATCH($G298,Mapping!$A:$A,0)),"Uncategorized — Review"))</f>
        <v>Rami Frankl - Payroll</v>
      </c>
      <c r="J298" s="0" t="str">
        <f aca="false">IF($G298="","Uncategorized — Review",IFERROR(INDEX(Mapping!$C:$C,MATCH($G298,Mapping!$A:$A,0)),"Uncategorized — Review"))</f>
        <v>Payroll &amp; Contractors</v>
      </c>
    </row>
    <row r="299" customFormat="false" ht="15" hidden="false" customHeight="false" outlineLevel="0" collapsed="false">
      <c r="A299" s="0" t="str">
        <f aca="false">Chase1168_2025!A299</f>
        <v>DEBIT</v>
      </c>
      <c r="B299" s="14" t="n">
        <f aca="false">Chase1168_2025!B299</f>
        <v>45957</v>
      </c>
      <c r="C299" s="0" t="str">
        <f aca="false">Chase1168_2025!C299</f>
        <v>ORIG CO NAME:INTUIT *               ORIG ID:0000756346 DESC DATE:251027 CO ENTRY DESCR:QBooks OnlSEC:CCD    TRACE#:021000024121828 EED:251027   IND ID:7671335                      IND NAME:DWG CAPITAL GROUP                                                                                            800-446-8848 TRN: 3004121828TC</v>
      </c>
      <c r="D299" s="7" t="n">
        <f aca="false">Chase1168_2025!D299</f>
        <v>-121.21</v>
      </c>
      <c r="E299" s="0" t="str">
        <f aca="false">Chase1168_2025!E299</f>
        <v>ACH_DEBIT</v>
      </c>
      <c r="F299" s="7" t="n">
        <f aca="false">Chase1168_2025!F299</f>
        <v>7910.14</v>
      </c>
      <c r="G299" s="0" t="str">
        <f aca="false">Chase1168_2025!G299</f>
        <v>Software/Accounting</v>
      </c>
      <c r="H299" s="15" t="n">
        <f aca="false">IF($B299="","",DATE(YEAR($B299),MONTH($B299),1))</f>
        <v>45931</v>
      </c>
      <c r="I299" s="0" t="str">
        <f aca="false">IF($G299="","Uncategorized — Review",IFERROR(INDEX(Mapping!$B:$B,MATCH($G299,Mapping!$A:$A,0)),"Uncategorized — Review"))</f>
        <v>Software/Accounting</v>
      </c>
      <c r="J299" s="0" t="str">
        <f aca="false">IF($G299="","Uncategorized — Review",IFERROR(INDEX(Mapping!$C:$C,MATCH($G299,Mapping!$A:$A,0)),"Uncategorized — Review"))</f>
        <v>DWG Operating</v>
      </c>
    </row>
    <row r="300" customFormat="false" ht="15" hidden="false" customHeight="false" outlineLevel="0" collapsed="false">
      <c r="A300" s="0" t="str">
        <f aca="false">Chase1168_2025!A300</f>
        <v>DEBIT</v>
      </c>
      <c r="B300" s="14" t="n">
        <f aca="false">Chase1168_2025!B300</f>
        <v>45957</v>
      </c>
      <c r="C300" s="0" t="str">
        <f aca="false">Chase1168_2025!C300</f>
        <v>Basic Online Payroll Payment 11192247763 to ########4122</v>
      </c>
      <c r="D300" s="7" t="n">
        <f aca="false">Chase1168_2025!D300</f>
        <v>-1500</v>
      </c>
      <c r="E300" s="0" t="str">
        <f aca="false">Chase1168_2025!E300</f>
        <v>BASIC_PAYROLL</v>
      </c>
      <c r="F300" s="7" t="n">
        <f aca="false">Chase1168_2025!F300</f>
        <v>8031.35</v>
      </c>
      <c r="G300" s="0" t="str">
        <f aca="false">Chase1168_2025!G300</f>
        <v>Mike Paytonjian - Payroll</v>
      </c>
      <c r="H300" s="15" t="n">
        <f aca="false">IF($B300="","",DATE(YEAR($B300),MONTH($B300),1))</f>
        <v>45931</v>
      </c>
      <c r="I300" s="0" t="str">
        <f aca="false">IF($G300="","Uncategorized — Review",IFERROR(INDEX(Mapping!$B:$B,MATCH($G300,Mapping!$A:$A,0)),"Uncategorized — Review"))</f>
        <v>Mike Paytonjian - Payroll</v>
      </c>
      <c r="J300" s="0" t="str">
        <f aca="false">IF($G300="","Uncategorized — Review",IFERROR(INDEX(Mapping!$C:$C,MATCH($G300,Mapping!$A:$A,0)),"Uncategorized — Review"))</f>
        <v>Payroll &amp; Contractors</v>
      </c>
    </row>
    <row r="301" customFormat="false" ht="15" hidden="false" customHeight="false" outlineLevel="0" collapsed="false">
      <c r="A301" s="0" t="str">
        <f aca="false">Chase1168_2025!A301</f>
        <v>DEBIT</v>
      </c>
      <c r="B301" s="14" t="n">
        <f aca="false">Chase1168_2025!B301</f>
        <v>45957</v>
      </c>
      <c r="C301" s="0" t="str">
        <f aca="false">Chase1168_2025!C301</f>
        <v>ORIG CO NAME:VENMO                  ORIG ID:3264681992 DESC DATE:251026 CO ENTRY DESCR:PAYMENT   SEC:WEB    TRACE#:021000026929691 EED:251027   IND ID:1045755030766                IND NAME:JUDD DUNNING                                                                                                 251027PPZ4G2 TRN: 3006929691TC</v>
      </c>
      <c r="D301" s="7" t="n">
        <f aca="false">Chase1168_2025!D301</f>
        <v>-8</v>
      </c>
      <c r="E301" s="0" t="str">
        <f aca="false">Chase1168_2025!E301</f>
        <v>ACH_DEBIT</v>
      </c>
      <c r="F301" s="7" t="n">
        <f aca="false">Chase1168_2025!F301</f>
        <v>9531.35</v>
      </c>
      <c r="G301" s="0" t="str">
        <f aca="false">Chase1168_2025!G301</f>
        <v>Venmo</v>
      </c>
      <c r="H301" s="15" t="n">
        <f aca="false">IF($B301="","",DATE(YEAR($B301),MONTH($B301),1))</f>
        <v>45931</v>
      </c>
      <c r="I301" s="0" t="str">
        <f aca="false">IF($G301="","Uncategorized — Review",IFERROR(INDEX(Mapping!$B:$B,MATCH($G301,Mapping!$A:$A,0)),"Uncategorized — Review"))</f>
        <v>Venmo</v>
      </c>
      <c r="J301" s="0" t="str">
        <f aca="false">IF($G301="","Uncategorized — Review",IFERROR(INDEX(Mapping!$C:$C,MATCH($G301,Mapping!$A:$A,0)),"Uncategorized — Review"))</f>
        <v>P2P Payments (Zelle/Venmo/PayPal)</v>
      </c>
    </row>
    <row r="302" customFormat="false" ht="15" hidden="false" customHeight="false" outlineLevel="0" collapsed="false">
      <c r="A302" s="0" t="str">
        <f aca="false">Chase1168_2025!A302</f>
        <v>DEBIT</v>
      </c>
      <c r="B302" s="14" t="n">
        <f aca="false">Chase1168_2025!B302</f>
        <v>45957</v>
      </c>
      <c r="C302" s="0" t="str">
        <f aca="false">Chase1168_2025!C302</f>
        <v>PP*APPLE.COM/BILL 800-275-2273 CA            10/27</v>
      </c>
      <c r="D302" s="7" t="n">
        <f aca="false">Chase1168_2025!D302</f>
        <v>-16.99</v>
      </c>
      <c r="E302" s="0" t="str">
        <f aca="false">Chase1168_2025!E302</f>
        <v>DEBIT_CARD</v>
      </c>
      <c r="F302" s="7" t="n">
        <f aca="false">Chase1168_2025!F302</f>
        <v>9539.35</v>
      </c>
      <c r="G302" s="0" t="str">
        <f aca="false">Chase1168_2025!G302</f>
        <v>Personal - Subscriptions</v>
      </c>
      <c r="H302" s="15" t="n">
        <f aca="false">IF($B302="","",DATE(YEAR($B302),MONTH($B302),1))</f>
        <v>45931</v>
      </c>
      <c r="I302" s="0" t="str">
        <f aca="false">IF($G302="","Uncategorized — Review",IFERROR(INDEX(Mapping!$B:$B,MATCH($G302,Mapping!$A:$A,0)),"Uncategorized — Review"))</f>
        <v>Personal - Subscriptions</v>
      </c>
      <c r="J302" s="0" t="str">
        <f aca="false">IF($G302="","Uncategorized — Review",IFERROR(INDEX(Mapping!$C:$C,MATCH($G302,Mapping!$A:$A,0)),"Uncategorized — Review"))</f>
        <v>Personal — Owner</v>
      </c>
    </row>
    <row r="303" customFormat="false" ht="15" hidden="false" customHeight="false" outlineLevel="0" collapsed="false">
      <c r="A303" s="0" t="str">
        <f aca="false">Chase1168_2025!A303</f>
        <v>DEBIT</v>
      </c>
      <c r="B303" s="14" t="n">
        <f aca="false">Chase1168_2025!B303</f>
        <v>45957</v>
      </c>
      <c r="C303" s="0" t="str">
        <f aca="false">Chase1168_2025!C303</f>
        <v>Online Transfer to CHK ...1117 transaction#: 26726374041 10/27</v>
      </c>
      <c r="D303" s="7" t="n">
        <f aca="false">Chase1168_2025!D303</f>
        <v>-2000</v>
      </c>
      <c r="E303" s="0" t="str">
        <f aca="false">Chase1168_2025!E303</f>
        <v>ACCT_XFER</v>
      </c>
      <c r="F303" s="7" t="n">
        <f aca="false">Chase1168_2025!F303</f>
        <v>9556.34</v>
      </c>
      <c r="G303" s="0" t="str">
        <f aca="false">Chase1168_2025!G303</f>
        <v>Transfer to Angela Dunning</v>
      </c>
      <c r="H303" s="15" t="n">
        <f aca="false">IF($B303="","",DATE(YEAR($B303),MONTH($B303),1))</f>
        <v>45931</v>
      </c>
      <c r="I303" s="0" t="str">
        <f aca="false">IF($G303="","Uncategorized — Review",IFERROR(INDEX(Mapping!$B:$B,MATCH($G303,Mapping!$A:$A,0)),"Uncategorized — Review"))</f>
        <v>Transfer to Angela Dunning</v>
      </c>
      <c r="J303" s="0" t="str">
        <f aca="false">IF($G303="","Uncategorized — Review",IFERROR(INDEX(Mapping!$C:$C,MATCH($G303,Mapping!$A:$A,0)),"Uncategorized — Review"))</f>
        <v>Owner / Family Distributions</v>
      </c>
    </row>
    <row r="304" customFormat="false" ht="15" hidden="false" customHeight="false" outlineLevel="0" collapsed="false">
      <c r="A304" s="0" t="str">
        <f aca="false">Chase1168_2025!A304</f>
        <v>DEBIT</v>
      </c>
      <c r="B304" s="14" t="n">
        <f aca="false">Chase1168_2025!B304</f>
        <v>45957</v>
      </c>
      <c r="C304" s="0" t="str">
        <f aca="false">Chase1168_2025!C304</f>
        <v>PP*APPLE.COM/BILL 800-275-2273 CA            10/27</v>
      </c>
      <c r="D304" s="7" t="n">
        <f aca="false">Chase1168_2025!D304</f>
        <v>-9.99</v>
      </c>
      <c r="E304" s="0" t="str">
        <f aca="false">Chase1168_2025!E304</f>
        <v>DEBIT_CARD</v>
      </c>
      <c r="F304" s="7" t="n">
        <f aca="false">Chase1168_2025!F304</f>
        <v>11556.34</v>
      </c>
      <c r="G304" s="0" t="str">
        <f aca="false">Chase1168_2025!G304</f>
        <v>Personal - Subscriptions</v>
      </c>
      <c r="H304" s="15" t="n">
        <f aca="false">IF($B304="","",DATE(YEAR($B304),MONTH($B304),1))</f>
        <v>45931</v>
      </c>
      <c r="I304" s="0" t="str">
        <f aca="false">IF($G304="","Uncategorized — Review",IFERROR(INDEX(Mapping!$B:$B,MATCH($G304,Mapping!$A:$A,0)),"Uncategorized — Review"))</f>
        <v>Personal - Subscriptions</v>
      </c>
      <c r="J304" s="0" t="str">
        <f aca="false">IF($G304="","Uncategorized — Review",IFERROR(INDEX(Mapping!$C:$C,MATCH($G304,Mapping!$A:$A,0)),"Uncategorized — Review"))</f>
        <v>Personal — Owner</v>
      </c>
    </row>
    <row r="305" customFormat="false" ht="15" hidden="false" customHeight="false" outlineLevel="0" collapsed="false">
      <c r="A305" s="0" t="str">
        <f aca="false">Chase1168_2025!A305</f>
        <v>DEBIT</v>
      </c>
      <c r="B305" s="14" t="n">
        <f aca="false">Chase1168_2025!B305</f>
        <v>45957</v>
      </c>
      <c r="C305" s="0" t="str">
        <f aca="false">Chase1168_2025!C305</f>
        <v>DISNEY PLUS ECOM LAKE BUENA VI FL    027311  10/26</v>
      </c>
      <c r="D305" s="7" t="n">
        <f aca="false">Chase1168_2025!D305</f>
        <v>-20.51</v>
      </c>
      <c r="E305" s="0" t="str">
        <f aca="false">Chase1168_2025!E305</f>
        <v>DEBIT_CARD</v>
      </c>
      <c r="F305" s="7" t="n">
        <f aca="false">Chase1168_2025!F305</f>
        <v>11566.33</v>
      </c>
      <c r="G305" s="0" t="str">
        <f aca="false">Chase1168_2025!G305</f>
        <v>Personal - Subscriptions</v>
      </c>
      <c r="H305" s="15" t="n">
        <f aca="false">IF($B305="","",DATE(YEAR($B305),MONTH($B305),1))</f>
        <v>45931</v>
      </c>
      <c r="I305" s="0" t="str">
        <f aca="false">IF($G305="","Uncategorized — Review",IFERROR(INDEX(Mapping!$B:$B,MATCH($G305,Mapping!$A:$A,0)),"Uncategorized — Review"))</f>
        <v>Personal - Subscriptions</v>
      </c>
      <c r="J305" s="0" t="str">
        <f aca="false">IF($G305="","Uncategorized — Review",IFERROR(INDEX(Mapping!$C:$C,MATCH($G305,Mapping!$A:$A,0)),"Uncategorized — Review"))</f>
        <v>Personal — Owner</v>
      </c>
    </row>
    <row r="306" customFormat="false" ht="15" hidden="false" customHeight="false" outlineLevel="0" collapsed="false">
      <c r="A306" s="0" t="str">
        <f aca="false">Chase1168_2025!A306</f>
        <v>DEBIT</v>
      </c>
      <c r="B306" s="14" t="n">
        <f aca="false">Chase1168_2025!B306</f>
        <v>45957</v>
      </c>
      <c r="C306" s="0" t="str">
        <f aca="false">Chase1168_2025!C306</f>
        <v>PP*APPLE.COM/BILL 800-275-2273 CA            10/26</v>
      </c>
      <c r="D306" s="7" t="n">
        <f aca="false">Chase1168_2025!D306</f>
        <v>-8.99</v>
      </c>
      <c r="E306" s="0" t="str">
        <f aca="false">Chase1168_2025!E306</f>
        <v>DEBIT_CARD</v>
      </c>
      <c r="F306" s="7" t="n">
        <f aca="false">Chase1168_2025!F306</f>
        <v>11586.84</v>
      </c>
      <c r="G306" s="0" t="str">
        <f aca="false">Chase1168_2025!G306</f>
        <v>Personal - Subscriptions</v>
      </c>
      <c r="H306" s="15" t="n">
        <f aca="false">IF($B306="","",DATE(YEAR($B306),MONTH($B306),1))</f>
        <v>45931</v>
      </c>
      <c r="I306" s="0" t="str">
        <f aca="false">IF($G306="","Uncategorized — Review",IFERROR(INDEX(Mapping!$B:$B,MATCH($G306,Mapping!$A:$A,0)),"Uncategorized — Review"))</f>
        <v>Personal - Subscriptions</v>
      </c>
      <c r="J306" s="0" t="str">
        <f aca="false">IF($G306="","Uncategorized — Review",IFERROR(INDEX(Mapping!$C:$C,MATCH($G306,Mapping!$A:$A,0)),"Uncategorized — Review"))</f>
        <v>Personal — Owner</v>
      </c>
    </row>
    <row r="307" customFormat="false" ht="15" hidden="false" customHeight="false" outlineLevel="0" collapsed="false">
      <c r="A307" s="0" t="str">
        <f aca="false">Chase1168_2025!A307</f>
        <v>DEBIT</v>
      </c>
      <c r="B307" s="14" t="n">
        <f aca="false">Chase1168_2025!B307</f>
        <v>45957</v>
      </c>
      <c r="C307" s="0" t="str">
        <f aca="false">Chase1168_2025!C307</f>
        <v>Zelle payment to Jeff Fajardo JPM99bs6bd9j</v>
      </c>
      <c r="D307" s="7" t="n">
        <f aca="false">Chase1168_2025!D307</f>
        <v>-250</v>
      </c>
      <c r="E307" s="0" t="str">
        <f aca="false">Chase1168_2025!E307</f>
        <v>CHASE_TO_PARTNERFI</v>
      </c>
      <c r="F307" s="7" t="n">
        <f aca="false">Chase1168_2025!F307</f>
        <v>11595.83</v>
      </c>
      <c r="G307" s="0" t="str">
        <f aca="false">Chase1168_2025!G307</f>
        <v>Zelle - Jeff Fajardo</v>
      </c>
      <c r="H307" s="15" t="n">
        <f aca="false">IF($B307="","",DATE(YEAR($B307),MONTH($B307),1))</f>
        <v>45931</v>
      </c>
      <c r="I307" s="0" t="str">
        <f aca="false">IF($G307="","Uncategorized — Review",IFERROR(INDEX(Mapping!$B:$B,MATCH($G307,Mapping!$A:$A,0)),"Uncategorized — Review"))</f>
        <v>Zelle - Jeff Fajardo</v>
      </c>
      <c r="J307" s="0" t="str">
        <f aca="false">IF($G307="","Uncategorized — Review",IFERROR(INDEX(Mapping!$C:$C,MATCH($G307,Mapping!$A:$A,0)),"Uncategorized — Review"))</f>
        <v>P2P Payments (Zelle/Venmo/PayPal)</v>
      </c>
    </row>
    <row r="308" customFormat="false" ht="15" hidden="false" customHeight="false" outlineLevel="0" collapsed="false">
      <c r="A308" s="0" t="str">
        <f aca="false">Chase1168_2025!A308</f>
        <v>DEBIT</v>
      </c>
      <c r="B308" s="14" t="n">
        <f aca="false">Chase1168_2025!B308</f>
        <v>45957</v>
      </c>
      <c r="C308" s="0" t="str">
        <f aca="false">Chase1168_2025!C308</f>
        <v>PAYPAL *CANVA 416-131-8870 DE                10/25</v>
      </c>
      <c r="D308" s="7" t="n">
        <f aca="false">Chase1168_2025!D308</f>
        <v>-12.99</v>
      </c>
      <c r="E308" s="0" t="str">
        <f aca="false">Chase1168_2025!E308</f>
        <v>DEBIT_CARD</v>
      </c>
      <c r="F308" s="7" t="n">
        <f aca="false">Chase1168_2025!F308</f>
        <v>11845.83</v>
      </c>
      <c r="G308" s="0" t="str">
        <f aca="false">Chase1168_2025!G308</f>
        <v>DWG Marketing</v>
      </c>
      <c r="H308" s="15" t="n">
        <f aca="false">IF($B308="","",DATE(YEAR($B308),MONTH($B308),1))</f>
        <v>45931</v>
      </c>
      <c r="I308" s="0" t="str">
        <f aca="false">IF($G308="","Uncategorized — Review",IFERROR(INDEX(Mapping!$B:$B,MATCH($G308,Mapping!$A:$A,0)),"Uncategorized — Review"))</f>
        <v>DWG Marketing</v>
      </c>
      <c r="J308" s="0" t="str">
        <f aca="false">IF($G308="","Uncategorized — Review",IFERROR(INDEX(Mapping!$C:$C,MATCH($G308,Mapping!$A:$A,0)),"Uncategorized — Review"))</f>
        <v>DWG Operating</v>
      </c>
    </row>
    <row r="309" customFormat="false" ht="15" hidden="false" customHeight="false" outlineLevel="0" collapsed="false">
      <c r="A309" s="0" t="str">
        <f aca="false">Chase1168_2025!A309</f>
        <v>DEBIT</v>
      </c>
      <c r="B309" s="14" t="n">
        <f aca="false">Chase1168_2025!B309</f>
        <v>45954</v>
      </c>
      <c r="C309" s="0" t="str">
        <f aca="false">Chase1168_2025!C309</f>
        <v>Online Transfer to CHK ...1117 transaction#: 26703923651 10/24</v>
      </c>
      <c r="D309" s="7" t="n">
        <f aca="false">Chase1168_2025!D309</f>
        <v>-3000</v>
      </c>
      <c r="E309" s="0" t="str">
        <f aca="false">Chase1168_2025!E309</f>
        <v>ACCT_XFER</v>
      </c>
      <c r="F309" s="7" t="n">
        <f aca="false">Chase1168_2025!F309</f>
        <v>11858.82</v>
      </c>
      <c r="G309" s="0" t="str">
        <f aca="false">Chase1168_2025!G309</f>
        <v>Transfer to Angela Dunning</v>
      </c>
      <c r="H309" s="15" t="n">
        <f aca="false">IF($B309="","",DATE(YEAR($B309),MONTH($B309),1))</f>
        <v>45931</v>
      </c>
      <c r="I309" s="0" t="str">
        <f aca="false">IF($G309="","Uncategorized — Review",IFERROR(INDEX(Mapping!$B:$B,MATCH($G309,Mapping!$A:$A,0)),"Uncategorized — Review"))</f>
        <v>Transfer to Angela Dunning</v>
      </c>
      <c r="J309" s="0" t="str">
        <f aca="false">IF($G309="","Uncategorized — Review",IFERROR(INDEX(Mapping!$C:$C,MATCH($G309,Mapping!$A:$A,0)),"Uncategorized — Review"))</f>
        <v>Owner / Family Distributions</v>
      </c>
    </row>
    <row r="310" customFormat="false" ht="15" hidden="false" customHeight="false" outlineLevel="0" collapsed="false">
      <c r="A310" s="0" t="str">
        <f aca="false">Chase1168_2025!A310</f>
        <v>DEBIT</v>
      </c>
      <c r="B310" s="14" t="n">
        <f aca="false">Chase1168_2025!B310</f>
        <v>45954</v>
      </c>
      <c r="C310" s="0" t="str">
        <f aca="false">Chase1168_2025!C310</f>
        <v>PP*APPLE.COM/BILL 800-275-2273 CA            10/24</v>
      </c>
      <c r="D310" s="7" t="n">
        <f aca="false">Chase1168_2025!D310</f>
        <v>-9.99</v>
      </c>
      <c r="E310" s="0" t="str">
        <f aca="false">Chase1168_2025!E310</f>
        <v>DEBIT_CARD</v>
      </c>
      <c r="F310" s="7" t="n">
        <f aca="false">Chase1168_2025!F310</f>
        <v>14858.82</v>
      </c>
      <c r="G310" s="0" t="str">
        <f aca="false">Chase1168_2025!G310</f>
        <v>Personal - Subscriptions</v>
      </c>
      <c r="H310" s="15" t="n">
        <f aca="false">IF($B310="","",DATE(YEAR($B310),MONTH($B310),1))</f>
        <v>45931</v>
      </c>
      <c r="I310" s="0" t="str">
        <f aca="false">IF($G310="","Uncategorized — Review",IFERROR(INDEX(Mapping!$B:$B,MATCH($G310,Mapping!$A:$A,0)),"Uncategorized — Review"))</f>
        <v>Personal - Subscriptions</v>
      </c>
      <c r="J310" s="0" t="str">
        <f aca="false">IF($G310="","Uncategorized — Review",IFERROR(INDEX(Mapping!$C:$C,MATCH($G310,Mapping!$A:$A,0)),"Uncategorized — Review"))</f>
        <v>Personal — Owner</v>
      </c>
    </row>
    <row r="311" customFormat="false" ht="15" hidden="false" customHeight="false" outlineLevel="0" collapsed="false">
      <c r="A311" s="0" t="str">
        <f aca="false">Chase1168_2025!A311</f>
        <v>DEBIT</v>
      </c>
      <c r="B311" s="14" t="n">
        <f aca="false">Chase1168_2025!B311</f>
        <v>45954</v>
      </c>
      <c r="C311" s="0" t="str">
        <f aca="false">Chase1168_2025!C311</f>
        <v>Experian* ProtectMyID 866-5849446 CA         10/23</v>
      </c>
      <c r="D311" s="7" t="n">
        <f aca="false">Chase1168_2025!D311</f>
        <v>-17.95</v>
      </c>
      <c r="E311" s="0" t="str">
        <f aca="false">Chase1168_2025!E311</f>
        <v>DEBIT_CARD</v>
      </c>
      <c r="F311" s="7" t="n">
        <f aca="false">Chase1168_2025!F311</f>
        <v>14868.81</v>
      </c>
      <c r="G311" s="0" t="str">
        <f aca="false">Chase1168_2025!G311</f>
        <v>Personal - Subscriptions</v>
      </c>
      <c r="H311" s="15" t="n">
        <f aca="false">IF($B311="","",DATE(YEAR($B311),MONTH($B311),1))</f>
        <v>45931</v>
      </c>
      <c r="I311" s="0" t="str">
        <f aca="false">IF($G311="","Uncategorized — Review",IFERROR(INDEX(Mapping!$B:$B,MATCH($G311,Mapping!$A:$A,0)),"Uncategorized — Review"))</f>
        <v>Personal - Subscriptions</v>
      </c>
      <c r="J311" s="0" t="str">
        <f aca="false">IF($G311="","Uncategorized — Review",IFERROR(INDEX(Mapping!$C:$C,MATCH($G311,Mapping!$A:$A,0)),"Uncategorized — Review"))</f>
        <v>Personal — Owner</v>
      </c>
    </row>
    <row r="312" customFormat="false" ht="15" hidden="false" customHeight="false" outlineLevel="0" collapsed="false">
      <c r="A312" s="0" t="str">
        <f aca="false">Chase1168_2025!A312</f>
        <v>DEBIT</v>
      </c>
      <c r="B312" s="14" t="n">
        <f aca="false">Chase1168_2025!B312</f>
        <v>45954</v>
      </c>
      <c r="C312" s="0" t="str">
        <f aca="false">Chase1168_2025!C312</f>
        <v>PAYPAL *LINKEDIN 402-935-7733 CA             10/23</v>
      </c>
      <c r="D312" s="7" t="n">
        <f aca="false">Chase1168_2025!D312</f>
        <v>-232</v>
      </c>
      <c r="E312" s="0" t="str">
        <f aca="false">Chase1168_2025!E312</f>
        <v>DEBIT_CARD</v>
      </c>
      <c r="F312" s="7" t="n">
        <f aca="false">Chase1168_2025!F312</f>
        <v>14886.76</v>
      </c>
      <c r="G312" s="0" t="str">
        <f aca="false">Chase1168_2025!G312</f>
        <v>DWG HR</v>
      </c>
      <c r="H312" s="15" t="n">
        <f aca="false">IF($B312="","",DATE(YEAR($B312),MONTH($B312),1))</f>
        <v>45931</v>
      </c>
      <c r="I312" s="0" t="str">
        <f aca="false">IF($G312="","Uncategorized — Review",IFERROR(INDEX(Mapping!$B:$B,MATCH($G312,Mapping!$A:$A,0)),"Uncategorized — Review"))</f>
        <v>DWG HR</v>
      </c>
      <c r="J312" s="0" t="str">
        <f aca="false">IF($G312="","Uncategorized — Review",IFERROR(INDEX(Mapping!$C:$C,MATCH($G312,Mapping!$A:$A,0)),"Uncategorized — Review"))</f>
        <v>Payroll &amp; Contractors</v>
      </c>
    </row>
    <row r="313" customFormat="false" ht="15" hidden="false" customHeight="false" outlineLevel="0" collapsed="false">
      <c r="A313" s="0" t="str">
        <f aca="false">Chase1168_2025!A313</f>
        <v>DEBIT</v>
      </c>
      <c r="B313" s="14" t="n">
        <f aca="false">Chase1168_2025!B313</f>
        <v>45953</v>
      </c>
      <c r="C313" s="0" t="str">
        <f aca="false">Chase1168_2025!C313</f>
        <v>ONLINE FX INTERNATIONAL WIRE FEE</v>
      </c>
      <c r="D313" s="7" t="n">
        <f aca="false">Chase1168_2025!D313</f>
        <v>-5</v>
      </c>
      <c r="E313" s="0" t="str">
        <f aca="false">Chase1168_2025!E313</f>
        <v>FEE_TRANSACTION</v>
      </c>
      <c r="F313" s="7" t="n">
        <f aca="false">Chase1168_2025!F313</f>
        <v>15118.76</v>
      </c>
      <c r="G313" s="0" t="str">
        <f aca="false">Chase1168_2025!G313</f>
        <v>Andres Alarcon Payroll</v>
      </c>
      <c r="H313" s="15" t="n">
        <f aca="false">IF($B313="","",DATE(YEAR($B313),MONTH($B313),1))</f>
        <v>45931</v>
      </c>
      <c r="I313" s="0" t="str">
        <f aca="false">IF($G313="","Uncategorized — Review",IFERROR(INDEX(Mapping!$B:$B,MATCH($G313,Mapping!$A:$A,0)),"Uncategorized — Review"))</f>
        <v>Andres Alarcon Payroll</v>
      </c>
      <c r="J313" s="0" t="str">
        <f aca="false">IF($G313="","Uncategorized — Review",IFERROR(INDEX(Mapping!$C:$C,MATCH($G313,Mapping!$A:$A,0)),"Uncategorized — Review"))</f>
        <v>Payroll &amp; Contractors</v>
      </c>
    </row>
    <row r="314" customFormat="false" ht="15" hidden="false" customHeight="false" outlineLevel="0" collapsed="false">
      <c r="A314" s="0" t="str">
        <f aca="false">Chase1168_2025!A314</f>
        <v>DEBIT</v>
      </c>
      <c r="B314" s="14" t="n">
        <f aca="false">Chase1168_2025!B314</f>
        <v>45953</v>
      </c>
      <c r="C314" s="0" t="str">
        <f aca="false">Chase1168_2025!C314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PAYMENTS/OCMT/COP27 94473,00/EXCH/3725.9640/CNTR/249276 08/INT/ANDRES_52763ATHOTMAIL.C TRN: 6531000296RE 10/23</v>
      </c>
      <c r="D314" s="7" t="n">
        <f aca="false">Chase1168_2025!D314</f>
        <v>-750</v>
      </c>
      <c r="E314" s="0" t="str">
        <f aca="false">Chase1168_2025!E314</f>
        <v>WIRE_OUTGOING</v>
      </c>
      <c r="F314" s="7" t="n">
        <f aca="false">Chase1168_2025!F314</f>
        <v>15123.76</v>
      </c>
      <c r="G314" s="0" t="str">
        <f aca="false">Chase1168_2025!G314</f>
        <v>Andres Alarcon Payroll</v>
      </c>
      <c r="H314" s="15" t="n">
        <f aca="false">IF($B314="","",DATE(YEAR($B314),MONTH($B314),1))</f>
        <v>45931</v>
      </c>
      <c r="I314" s="0" t="str">
        <f aca="false">IF($G314="","Uncategorized — Review",IFERROR(INDEX(Mapping!$B:$B,MATCH($G314,Mapping!$A:$A,0)),"Uncategorized — Review"))</f>
        <v>Andres Alarcon Payroll</v>
      </c>
      <c r="J314" s="0" t="str">
        <f aca="false">IF($G314="","Uncategorized — Review",IFERROR(INDEX(Mapping!$C:$C,MATCH($G314,Mapping!$A:$A,0)),"Uncategorized — Review"))</f>
        <v>Payroll &amp; Contractors</v>
      </c>
    </row>
    <row r="315" customFormat="false" ht="15" hidden="false" customHeight="false" outlineLevel="0" collapsed="false">
      <c r="A315" s="0" t="str">
        <f aca="false">Chase1168_2025!A315</f>
        <v>DEBIT</v>
      </c>
      <c r="B315" s="14" t="n">
        <f aca="false">Chase1168_2025!B315</f>
        <v>45953</v>
      </c>
      <c r="C315" s="0" t="str">
        <f aca="false">Chase1168_2025!C315</f>
        <v>PP*APPLE.COM/BILL 800-275-2273 CA            10/22</v>
      </c>
      <c r="D315" s="7" t="n">
        <f aca="false">Chase1168_2025!D315</f>
        <v>-8.99</v>
      </c>
      <c r="E315" s="0" t="str">
        <f aca="false">Chase1168_2025!E315</f>
        <v>DEBIT_CARD</v>
      </c>
      <c r="F315" s="7" t="n">
        <f aca="false">Chase1168_2025!F315</f>
        <v>15873.76</v>
      </c>
      <c r="G315" s="0" t="str">
        <f aca="false">Chase1168_2025!G315</f>
        <v>Personal - Subscriptions</v>
      </c>
      <c r="H315" s="15" t="n">
        <f aca="false">IF($B315="","",DATE(YEAR($B315),MONTH($B315),1))</f>
        <v>45931</v>
      </c>
      <c r="I315" s="0" t="str">
        <f aca="false">IF($G315="","Uncategorized — Review",IFERROR(INDEX(Mapping!$B:$B,MATCH($G315,Mapping!$A:$A,0)),"Uncategorized — Review"))</f>
        <v>Personal - Subscriptions</v>
      </c>
      <c r="J315" s="0" t="str">
        <f aca="false">IF($G315="","Uncategorized — Review",IFERROR(INDEX(Mapping!$C:$C,MATCH($G315,Mapping!$A:$A,0)),"Uncategorized — Review"))</f>
        <v>Personal — Owner</v>
      </c>
    </row>
    <row r="316" customFormat="false" ht="15" hidden="false" customHeight="false" outlineLevel="0" collapsed="false">
      <c r="A316" s="0" t="str">
        <f aca="false">Chase1168_2025!A316</f>
        <v>DEBIT</v>
      </c>
      <c r="B316" s="14" t="n">
        <f aca="false">Chase1168_2025!B316</f>
        <v>45952</v>
      </c>
      <c r="C316" s="0" t="str">
        <f aca="false">Chase1168_2025!C316</f>
        <v>ORIG CO NAME:VENMO                  ORIG ID:3264681992 DESC DATE:251022 CO ENTRY DESCR:PAYMENT   SEC:WEB    TRACE#:021000026110007 EED:251022   IND ID:1045683568841                IND NAME:JUDD DUNNING                                                                                                 251022PPZDJZ TRN: 2956110007TC</v>
      </c>
      <c r="D316" s="7" t="n">
        <f aca="false">Chase1168_2025!D316</f>
        <v>-900</v>
      </c>
      <c r="E316" s="0" t="str">
        <f aca="false">Chase1168_2025!E316</f>
        <v>ACH_DEBIT</v>
      </c>
      <c r="F316" s="7" t="n">
        <f aca="false">Chase1168_2025!F316</f>
        <v>15882.75</v>
      </c>
      <c r="G316" s="0" t="str">
        <f aca="false">Chase1168_2025!G316</f>
        <v>Venmo</v>
      </c>
      <c r="H316" s="15" t="n">
        <f aca="false">IF($B316="","",DATE(YEAR($B316),MONTH($B316),1))</f>
        <v>45931</v>
      </c>
      <c r="I316" s="0" t="str">
        <f aca="false">IF($G316="","Uncategorized — Review",IFERROR(INDEX(Mapping!$B:$B,MATCH($G316,Mapping!$A:$A,0)),"Uncategorized — Review"))</f>
        <v>Venmo</v>
      </c>
      <c r="J316" s="0" t="str">
        <f aca="false">IF($G316="","Uncategorized — Review",IFERROR(INDEX(Mapping!$C:$C,MATCH($G316,Mapping!$A:$A,0)),"Uncategorized — Review"))</f>
        <v>P2P Payments (Zelle/Venmo/PayPal)</v>
      </c>
    </row>
    <row r="317" customFormat="false" ht="15" hidden="false" customHeight="false" outlineLevel="0" collapsed="false">
      <c r="A317" s="0" t="str">
        <f aca="false">Chase1168_2025!A317</f>
        <v>DEBIT</v>
      </c>
      <c r="B317" s="14" t="n">
        <f aca="false">Chase1168_2025!B317</f>
        <v>45951</v>
      </c>
      <c r="C317" s="0" t="str">
        <f aca="false">Chase1168_2025!C317</f>
        <v>ORIG CO NAME:VENMO                  ORIG ID:3264681992 DESC DATE:251021 CO ENTRY DESCR:PAYMENT   SEC:WEB    TRACE#:021000026301453 EED:251021   IND ID:1045648871557                IND NAME:JUDD DUNNING                                                                                                 251021PPZXXA TRN: 2946301453TC</v>
      </c>
      <c r="D317" s="7" t="n">
        <f aca="false">Chase1168_2025!D317</f>
        <v>-150</v>
      </c>
      <c r="E317" s="0" t="str">
        <f aca="false">Chase1168_2025!E317</f>
        <v>ACH_DEBIT</v>
      </c>
      <c r="F317" s="7" t="n">
        <f aca="false">Chase1168_2025!F317</f>
        <v>16782.75</v>
      </c>
      <c r="G317" s="0" t="str">
        <f aca="false">Chase1168_2025!G317</f>
        <v>Venmo</v>
      </c>
      <c r="H317" s="15" t="n">
        <f aca="false">IF($B317="","",DATE(YEAR($B317),MONTH($B317),1))</f>
        <v>45931</v>
      </c>
      <c r="I317" s="0" t="str">
        <f aca="false">IF($G317="","Uncategorized — Review",IFERROR(INDEX(Mapping!$B:$B,MATCH($G317,Mapping!$A:$A,0)),"Uncategorized — Review"))</f>
        <v>Venmo</v>
      </c>
      <c r="J317" s="0" t="str">
        <f aca="false">IF($G317="","Uncategorized — Review",IFERROR(INDEX(Mapping!$C:$C,MATCH($G317,Mapping!$A:$A,0)),"Uncategorized — Review"))</f>
        <v>P2P Payments (Zelle/Venmo/PayPal)</v>
      </c>
    </row>
    <row r="318" customFormat="false" ht="15" hidden="false" customHeight="false" outlineLevel="0" collapsed="false">
      <c r="A318" s="0" t="str">
        <f aca="false">Chase1168_2025!A318</f>
        <v>DEBIT</v>
      </c>
      <c r="B318" s="14" t="n">
        <f aca="false">Chase1168_2025!B318</f>
        <v>45951</v>
      </c>
      <c r="C318" s="0" t="str">
        <f aca="false">Chase1168_2025!C318</f>
        <v>ORIG CO NAME:PRINCIPAL-CCAPNL       ORIG ID:9INDPNLEFT DESC DATE:101925 CO ENTRY DESCR:PRIN FINANSEC:PPD    TRACE#:091000012173356 EED:251021   IND ID:                             IND NAME:JOHN B DUNNING TRN: 2942173356TC</v>
      </c>
      <c r="D318" s="7" t="n">
        <f aca="false">Chase1168_2025!D318</f>
        <v>-331.54</v>
      </c>
      <c r="E318" s="0" t="str">
        <f aca="false">Chase1168_2025!E318</f>
        <v>ACH_DEBIT</v>
      </c>
      <c r="F318" s="7" t="n">
        <f aca="false">Chase1168_2025!F318</f>
        <v>16932.75</v>
      </c>
      <c r="G318" s="0" t="str">
        <f aca="false">Chase1168_2025!G318</f>
        <v>???</v>
      </c>
      <c r="H318" s="15" t="n">
        <f aca="false">IF($B318="","",DATE(YEAR($B318),MONTH($B318),1))</f>
        <v>45931</v>
      </c>
      <c r="I318" s="0" t="str">
        <f aca="false">IF($G318="","Uncategorized — Review",IFERROR(INDEX(Mapping!$B:$B,MATCH($G318,Mapping!$A:$A,0)),"Uncategorized — Review"))</f>
        <v>???</v>
      </c>
      <c r="J318" s="0" t="str">
        <f aca="false">IF($G318="","Uncategorized — Review",IFERROR(INDEX(Mapping!$C:$C,MATCH($G318,Mapping!$A:$A,0)),"Uncategorized — Review"))</f>
        <v>Uncategorized — Review</v>
      </c>
    </row>
    <row r="319" customFormat="false" ht="15" hidden="false" customHeight="false" outlineLevel="0" collapsed="false">
      <c r="A319" s="0" t="str">
        <f aca="false">Chase1168_2025!A319</f>
        <v>DEBIT</v>
      </c>
      <c r="B319" s="14" t="n">
        <f aca="false">Chase1168_2025!B319</f>
        <v>45951</v>
      </c>
      <c r="C319" s="0" t="str">
        <f aca="false">Chase1168_2025!C319</f>
        <v>UPWORK * -857680736 866-262-4478 CA          10/20</v>
      </c>
      <c r="D319" s="7" t="n">
        <f aca="false">Chase1168_2025!D319</f>
        <v>-166.25</v>
      </c>
      <c r="E319" s="0" t="str">
        <f aca="false">Chase1168_2025!E319</f>
        <v>DEBIT_CARD</v>
      </c>
      <c r="F319" s="7" t="n">
        <f aca="false">Chase1168_2025!F319</f>
        <v>17264.29</v>
      </c>
      <c r="G319" s="0" t="str">
        <f aca="false">Chase1168_2025!G319</f>
        <v>Upwork - Sergei M.</v>
      </c>
      <c r="H319" s="15" t="n">
        <f aca="false">IF($B319="","",DATE(YEAR($B319),MONTH($B319),1))</f>
        <v>45931</v>
      </c>
      <c r="I319" s="0" t="str">
        <f aca="false">IF($G319="","Uncategorized — Review",IFERROR(INDEX(Mapping!$B:$B,MATCH($G319,Mapping!$A:$A,0)),"Uncategorized — Review"))</f>
        <v>Upwork - Sergei M.</v>
      </c>
      <c r="J319" s="0" t="str">
        <f aca="false">IF($G319="","Uncategorized — Review",IFERROR(INDEX(Mapping!$C:$C,MATCH($G319,Mapping!$A:$A,0)),"Uncategorized — Review"))</f>
        <v>Payroll &amp; Contractors</v>
      </c>
    </row>
    <row r="320" customFormat="false" ht="15" hidden="false" customHeight="false" outlineLevel="0" collapsed="false">
      <c r="A320" s="0" t="str">
        <f aca="false">Chase1168_2025!A320</f>
        <v>DEBIT</v>
      </c>
      <c r="B320" s="14" t="n">
        <f aca="false">Chase1168_2025!B320</f>
        <v>45951</v>
      </c>
      <c r="C320" s="0" t="str">
        <f aca="false">Chase1168_2025!C320</f>
        <v>PAYPAL *BEENVERIFIE 786-482-6776 NY          10/21</v>
      </c>
      <c r="D320" s="7" t="n">
        <f aca="false">Chase1168_2025!D320</f>
        <v>-26.89</v>
      </c>
      <c r="E320" s="0" t="str">
        <f aca="false">Chase1168_2025!E320</f>
        <v>DEBIT_CARD</v>
      </c>
      <c r="F320" s="7" t="n">
        <f aca="false">Chase1168_2025!F320</f>
        <v>17430.54</v>
      </c>
      <c r="G320" s="0" t="str">
        <f aca="false">Chase1168_2025!G320</f>
        <v>Personal - Subscriptions</v>
      </c>
      <c r="H320" s="15" t="n">
        <f aca="false">IF($B320="","",DATE(YEAR($B320),MONTH($B320),1))</f>
        <v>45931</v>
      </c>
      <c r="I320" s="0" t="str">
        <f aca="false">IF($G320="","Uncategorized — Review",IFERROR(INDEX(Mapping!$B:$B,MATCH($G320,Mapping!$A:$A,0)),"Uncategorized — Review"))</f>
        <v>Personal - Subscriptions</v>
      </c>
      <c r="J320" s="0" t="str">
        <f aca="false">IF($G320="","Uncategorized — Review",IFERROR(INDEX(Mapping!$C:$C,MATCH($G320,Mapping!$A:$A,0)),"Uncategorized — Review"))</f>
        <v>Personal — Owner</v>
      </c>
    </row>
    <row r="321" customFormat="false" ht="15" hidden="false" customHeight="false" outlineLevel="0" collapsed="false">
      <c r="A321" s="0" t="str">
        <f aca="false">Chase1168_2025!A321</f>
        <v>DEBIT</v>
      </c>
      <c r="B321" s="14" t="n">
        <f aca="false">Chase1168_2025!B321</f>
        <v>45950</v>
      </c>
      <c r="C321" s="0" t="str">
        <f aca="false">Chase1168_2025!C321</f>
        <v>Basic Online Payroll Payment 11191198741 to ########4122</v>
      </c>
      <c r="D321" s="7" t="n">
        <f aca="false">Chase1168_2025!D321</f>
        <v>-1500</v>
      </c>
      <c r="E321" s="0" t="str">
        <f aca="false">Chase1168_2025!E321</f>
        <v>BASIC_PAYROLL</v>
      </c>
      <c r="F321" s="7" t="n">
        <f aca="false">Chase1168_2025!F321</f>
        <v>17457.43</v>
      </c>
      <c r="G321" s="0" t="str">
        <f aca="false">Chase1168_2025!G321</f>
        <v>Mike Paytonjian - Payroll</v>
      </c>
      <c r="H321" s="15" t="n">
        <f aca="false">IF($B321="","",DATE(YEAR($B321),MONTH($B321),1))</f>
        <v>45931</v>
      </c>
      <c r="I321" s="0" t="str">
        <f aca="false">IF($G321="","Uncategorized — Review",IFERROR(INDEX(Mapping!$B:$B,MATCH($G321,Mapping!$A:$A,0)),"Uncategorized — Review"))</f>
        <v>Mike Paytonjian - Payroll</v>
      </c>
      <c r="J321" s="0" t="str">
        <f aca="false">IF($G321="","Uncategorized — Review",IFERROR(INDEX(Mapping!$C:$C,MATCH($G321,Mapping!$A:$A,0)),"Uncategorized — Review"))</f>
        <v>Payroll &amp; Contractors</v>
      </c>
    </row>
    <row r="322" customFormat="false" ht="15" hidden="false" customHeight="false" outlineLevel="0" collapsed="false">
      <c r="A322" s="0" t="str">
        <f aca="false">Chase1168_2025!A322</f>
        <v>DEBIT</v>
      </c>
      <c r="B322" s="14" t="n">
        <f aca="false">Chase1168_2025!B322</f>
        <v>45950</v>
      </c>
      <c r="C322" s="0" t="str">
        <f aca="false">Chase1168_2025!C322</f>
        <v>ORIG CO NAME:VENMO                  ORIG ID:3264681992 DESC DATE:251019 CO ENTRY DESCR:PAYMENT   SEC:WEB    TRACE#:021000026308755 EED:251020   IND ID:1045607450468                IND NAME:JUDD DUNNING                                                                                                 251019PPZO0L TRN: 2936308755TC</v>
      </c>
      <c r="D322" s="7" t="n">
        <f aca="false">Chase1168_2025!D322</f>
        <v>-1000</v>
      </c>
      <c r="E322" s="0" t="str">
        <f aca="false">Chase1168_2025!E322</f>
        <v>ACH_DEBIT</v>
      </c>
      <c r="F322" s="7" t="n">
        <f aca="false">Chase1168_2025!F322</f>
        <v>18957.43</v>
      </c>
      <c r="G322" s="0" t="str">
        <f aca="false">Chase1168_2025!G322</f>
        <v>Venmo</v>
      </c>
      <c r="H322" s="15" t="n">
        <f aca="false">IF($B322="","",DATE(YEAR($B322),MONTH($B322),1))</f>
        <v>45931</v>
      </c>
      <c r="I322" s="0" t="str">
        <f aca="false">IF($G322="","Uncategorized — Review",IFERROR(INDEX(Mapping!$B:$B,MATCH($G322,Mapping!$A:$A,0)),"Uncategorized — Review"))</f>
        <v>Venmo</v>
      </c>
      <c r="J322" s="0" t="str">
        <f aca="false">IF($G322="","Uncategorized — Review",IFERROR(INDEX(Mapping!$C:$C,MATCH($G322,Mapping!$A:$A,0)),"Uncategorized — Review"))</f>
        <v>P2P Payments (Zelle/Venmo/PayPal)</v>
      </c>
    </row>
    <row r="323" customFormat="false" ht="15" hidden="false" customHeight="false" outlineLevel="0" collapsed="false">
      <c r="A323" s="0" t="str">
        <f aca="false">Chase1168_2025!A323</f>
        <v>DEBIT</v>
      </c>
      <c r="B323" s="14" t="n">
        <f aca="false">Chase1168_2025!B323</f>
        <v>45950</v>
      </c>
      <c r="C323" s="0" t="str">
        <f aca="false">Chase1168_2025!C323</f>
        <v>Zelle payment to Jeff Fajardo JPM99brl3uf8</v>
      </c>
      <c r="D323" s="7" t="n">
        <f aca="false">Chase1168_2025!D323</f>
        <v>-715</v>
      </c>
      <c r="E323" s="0" t="str">
        <f aca="false">Chase1168_2025!E323</f>
        <v>CHASE_TO_PARTNERFI</v>
      </c>
      <c r="F323" s="7" t="n">
        <f aca="false">Chase1168_2025!F323</f>
        <v>19957.43</v>
      </c>
      <c r="G323" s="0" t="str">
        <f aca="false">Chase1168_2025!G323</f>
        <v>Zelle - Jeff Fajardo</v>
      </c>
      <c r="H323" s="15" t="n">
        <f aca="false">IF($B323="","",DATE(YEAR($B323),MONTH($B323),1))</f>
        <v>45931</v>
      </c>
      <c r="I323" s="0" t="str">
        <f aca="false">IF($G323="","Uncategorized — Review",IFERROR(INDEX(Mapping!$B:$B,MATCH($G323,Mapping!$A:$A,0)),"Uncategorized — Review"))</f>
        <v>Zelle - Jeff Fajardo</v>
      </c>
      <c r="J323" s="0" t="str">
        <f aca="false">IF($G323="","Uncategorized — Review",IFERROR(INDEX(Mapping!$C:$C,MATCH($G323,Mapping!$A:$A,0)),"Uncategorized — Review"))</f>
        <v>P2P Payments (Zelle/Venmo/PayPal)</v>
      </c>
    </row>
    <row r="324" customFormat="false" ht="15" hidden="false" customHeight="false" outlineLevel="0" collapsed="false">
      <c r="A324" s="0" t="str">
        <f aca="false">Chase1168_2025!A324</f>
        <v>DEBIT</v>
      </c>
      <c r="B324" s="14" t="n">
        <f aca="false">Chase1168_2025!B324</f>
        <v>45950</v>
      </c>
      <c r="C324" s="0" t="str">
        <f aca="false">Chase1168_2025!C324</f>
        <v>Online Transfer to CHK ...6975 transaction#: 26651035781 10/20</v>
      </c>
      <c r="D324" s="7" t="n">
        <f aca="false">Chase1168_2025!D324</f>
        <v>-200</v>
      </c>
      <c r="E324" s="0" t="str">
        <f aca="false">Chase1168_2025!E324</f>
        <v>ACCT_XFER</v>
      </c>
      <c r="F324" s="7" t="n">
        <f aca="false">Chase1168_2025!F324</f>
        <v>20672.43</v>
      </c>
      <c r="G324" s="0" t="str">
        <f aca="false">Chase1168_2025!G324</f>
        <v>Transfer to Ava Perez-Dunning</v>
      </c>
      <c r="H324" s="15" t="n">
        <f aca="false">IF($B324="","",DATE(YEAR($B324),MONTH($B324),1))</f>
        <v>45931</v>
      </c>
      <c r="I324" s="0" t="str">
        <f aca="false">IF($G324="","Uncategorized — Review",IFERROR(INDEX(Mapping!$B:$B,MATCH($G324,Mapping!$A:$A,0)),"Uncategorized — Review"))</f>
        <v>Transfer to Ava Perez-Dunning</v>
      </c>
      <c r="J324" s="0" t="str">
        <f aca="false">IF($G324="","Uncategorized — Review",IFERROR(INDEX(Mapping!$C:$C,MATCH($G324,Mapping!$A:$A,0)),"Uncategorized — Review"))</f>
        <v>Owner / Family Distributions</v>
      </c>
    </row>
    <row r="325" customFormat="false" ht="15" hidden="false" customHeight="false" outlineLevel="0" collapsed="false">
      <c r="A325" s="0" t="str">
        <f aca="false">Chase1168_2025!A325</f>
        <v>DEBIT</v>
      </c>
      <c r="B325" s="14" t="n">
        <f aca="false">Chase1168_2025!B325</f>
        <v>45950</v>
      </c>
      <c r="C325" s="0" t="str">
        <f aca="false">Chase1168_2025!C325</f>
        <v>Online Transfer to CHK ...6975 transaction#: 26651034417 10/20</v>
      </c>
      <c r="D325" s="7" t="n">
        <f aca="false">Chase1168_2025!D325</f>
        <v>-300</v>
      </c>
      <c r="E325" s="0" t="str">
        <f aca="false">Chase1168_2025!E325</f>
        <v>ACCT_XFER</v>
      </c>
      <c r="F325" s="7" t="n">
        <f aca="false">Chase1168_2025!F325</f>
        <v>20872.43</v>
      </c>
      <c r="G325" s="0" t="str">
        <f aca="false">Chase1168_2025!G325</f>
        <v>Transfer to Ava Perez-Dunning</v>
      </c>
      <c r="H325" s="15" t="n">
        <f aca="false">IF($B325="","",DATE(YEAR($B325),MONTH($B325),1))</f>
        <v>45931</v>
      </c>
      <c r="I325" s="0" t="str">
        <f aca="false">IF($G325="","Uncategorized — Review",IFERROR(INDEX(Mapping!$B:$B,MATCH($G325,Mapping!$A:$A,0)),"Uncategorized — Review"))</f>
        <v>Transfer to Ava Perez-Dunning</v>
      </c>
      <c r="J325" s="0" t="str">
        <f aca="false">IF($G325="","Uncategorized — Review",IFERROR(INDEX(Mapping!$C:$C,MATCH($G325,Mapping!$A:$A,0)),"Uncategorized — Review"))</f>
        <v>Owner / Family Distributions</v>
      </c>
    </row>
    <row r="326" customFormat="false" ht="15" hidden="false" customHeight="false" outlineLevel="0" collapsed="false">
      <c r="A326" s="0" t="str">
        <f aca="false">Chase1168_2025!A326</f>
        <v>DEBIT</v>
      </c>
      <c r="B326" s="14" t="n">
        <f aca="false">Chase1168_2025!B326</f>
        <v>45950</v>
      </c>
      <c r="C326" s="0" t="str">
        <f aca="false">Chase1168_2025!C326</f>
        <v>Online Transfer to CHK ...1117 transaction#: 26650936452 10/20</v>
      </c>
      <c r="D326" s="7" t="n">
        <f aca="false">Chase1168_2025!D326</f>
        <v>-3000</v>
      </c>
      <c r="E326" s="0" t="str">
        <f aca="false">Chase1168_2025!E326</f>
        <v>ACCT_XFER</v>
      </c>
      <c r="F326" s="7" t="n">
        <f aca="false">Chase1168_2025!F326</f>
        <v>21172.43</v>
      </c>
      <c r="G326" s="0" t="str">
        <f aca="false">Chase1168_2025!G326</f>
        <v>Transfer to Angela Dunning</v>
      </c>
      <c r="H326" s="15" t="n">
        <f aca="false">IF($B326="","",DATE(YEAR($B326),MONTH($B326),1))</f>
        <v>45931</v>
      </c>
      <c r="I326" s="0" t="str">
        <f aca="false">IF($G326="","Uncategorized — Review",IFERROR(INDEX(Mapping!$B:$B,MATCH($G326,Mapping!$A:$A,0)),"Uncategorized — Review"))</f>
        <v>Transfer to Angela Dunning</v>
      </c>
      <c r="J326" s="0" t="str">
        <f aca="false">IF($G326="","Uncategorized — Review",IFERROR(INDEX(Mapping!$C:$C,MATCH($G326,Mapping!$A:$A,0)),"Uncategorized — Review"))</f>
        <v>Owner / Family Distributions</v>
      </c>
    </row>
    <row r="327" customFormat="false" ht="15" hidden="false" customHeight="false" outlineLevel="0" collapsed="false">
      <c r="A327" s="0" t="str">
        <f aca="false">Chase1168_2025!A327</f>
        <v>DEBIT</v>
      </c>
      <c r="B327" s="14" t="n">
        <f aca="false">Chase1168_2025!B327</f>
        <v>45950</v>
      </c>
      <c r="C327" s="0" t="str">
        <f aca="false">Chase1168_2025!C327</f>
        <v>PP*APPLE.COM/BILL 800-275-2273 CA            10/20</v>
      </c>
      <c r="D327" s="7" t="n">
        <f aca="false">Chase1168_2025!D327</f>
        <v>-12.99</v>
      </c>
      <c r="E327" s="0" t="str">
        <f aca="false">Chase1168_2025!E327</f>
        <v>DEBIT_CARD</v>
      </c>
      <c r="F327" s="7" t="n">
        <f aca="false">Chase1168_2025!F327</f>
        <v>24172.43</v>
      </c>
      <c r="G327" s="0" t="str">
        <f aca="false">Chase1168_2025!G327</f>
        <v>Personal - Subscriptions</v>
      </c>
      <c r="H327" s="15" t="n">
        <f aca="false">IF($B327="","",DATE(YEAR($B327),MONTH($B327),1))</f>
        <v>45931</v>
      </c>
      <c r="I327" s="0" t="str">
        <f aca="false">IF($G327="","Uncategorized — Review",IFERROR(INDEX(Mapping!$B:$B,MATCH($G327,Mapping!$A:$A,0)),"Uncategorized — Review"))</f>
        <v>Personal - Subscriptions</v>
      </c>
      <c r="J327" s="0" t="str">
        <f aca="false">IF($G327="","Uncategorized — Review",IFERROR(INDEX(Mapping!$C:$C,MATCH($G327,Mapping!$A:$A,0)),"Uncategorized — Review"))</f>
        <v>Personal — Owner</v>
      </c>
    </row>
    <row r="328" customFormat="false" ht="15" hidden="false" customHeight="false" outlineLevel="0" collapsed="false">
      <c r="A328" s="0" t="str">
        <f aca="false">Chase1168_2025!A328</f>
        <v>DEBIT</v>
      </c>
      <c r="B328" s="14" t="n">
        <f aca="false">Chase1168_2025!B328</f>
        <v>45950</v>
      </c>
      <c r="C328" s="0" t="str">
        <f aca="false">Chase1168_2025!C328</f>
        <v>PAYPAL *THEREALDEAL O 212-260-1332 NY        10/19</v>
      </c>
      <c r="D328" s="7" t="n">
        <f aca="false">Chase1168_2025!D328</f>
        <v>-15</v>
      </c>
      <c r="E328" s="0" t="str">
        <f aca="false">Chase1168_2025!E328</f>
        <v>DEBIT_CARD</v>
      </c>
      <c r="F328" s="7" t="n">
        <f aca="false">Chase1168_2025!F328</f>
        <v>24185.42</v>
      </c>
      <c r="G328" s="0" t="str">
        <f aca="false">Chase1168_2025!G328</f>
        <v>Personal - Subscriptions</v>
      </c>
      <c r="H328" s="15" t="n">
        <f aca="false">IF($B328="","",DATE(YEAR($B328),MONTH($B328),1))</f>
        <v>45931</v>
      </c>
      <c r="I328" s="0" t="str">
        <f aca="false">IF($G328="","Uncategorized — Review",IFERROR(INDEX(Mapping!$B:$B,MATCH($G328,Mapping!$A:$A,0)),"Uncategorized — Review"))</f>
        <v>Personal - Subscriptions</v>
      </c>
      <c r="J328" s="0" t="str">
        <f aca="false">IF($G328="","Uncategorized — Review",IFERROR(INDEX(Mapping!$C:$C,MATCH($G328,Mapping!$A:$A,0)),"Uncategorized — Review"))</f>
        <v>Personal — Owner</v>
      </c>
    </row>
    <row r="329" customFormat="false" ht="15" hidden="false" customHeight="false" outlineLevel="0" collapsed="false">
      <c r="A329" s="0" t="str">
        <f aca="false">Chase1168_2025!A329</f>
        <v>DEBIT</v>
      </c>
      <c r="B329" s="14" t="n">
        <f aca="false">Chase1168_2025!B329</f>
        <v>45950</v>
      </c>
      <c r="C329" s="0" t="str">
        <f aca="false">Chase1168_2025!C329</f>
        <v>PAYPAL *FOXCORP 888-596-3938 CA              10/19</v>
      </c>
      <c r="D329" s="7" t="n">
        <f aca="false">Chase1168_2025!D329</f>
        <v>-8.99</v>
      </c>
      <c r="E329" s="0" t="str">
        <f aca="false">Chase1168_2025!E329</f>
        <v>DEBIT_CARD</v>
      </c>
      <c r="F329" s="7" t="n">
        <f aca="false">Chase1168_2025!F329</f>
        <v>24200.42</v>
      </c>
      <c r="G329" s="0" t="str">
        <f aca="false">Chase1168_2025!G329</f>
        <v>Personal - Subscriptions</v>
      </c>
      <c r="H329" s="15" t="n">
        <f aca="false">IF($B329="","",DATE(YEAR($B329),MONTH($B329),1))</f>
        <v>45931</v>
      </c>
      <c r="I329" s="0" t="str">
        <f aca="false">IF($G329="","Uncategorized — Review",IFERROR(INDEX(Mapping!$B:$B,MATCH($G329,Mapping!$A:$A,0)),"Uncategorized — Review"))</f>
        <v>Personal - Subscriptions</v>
      </c>
      <c r="J329" s="0" t="str">
        <f aca="false">IF($G329="","Uncategorized — Review",IFERROR(INDEX(Mapping!$C:$C,MATCH($G329,Mapping!$A:$A,0)),"Uncategorized — Review"))</f>
        <v>Personal — Owner</v>
      </c>
    </row>
    <row r="330" customFormat="false" ht="15" hidden="false" customHeight="false" outlineLevel="0" collapsed="false">
      <c r="A330" s="0" t="str">
        <f aca="false">Chase1168_2025!A330</f>
        <v>DEBIT</v>
      </c>
      <c r="B330" s="14" t="n">
        <f aca="false">Chase1168_2025!B330</f>
        <v>45950</v>
      </c>
      <c r="C330" s="0" t="str">
        <f aca="false">Chase1168_2025!C330</f>
        <v>DNH*GODADDY#3925969922 480-5058855 AZ        10/18</v>
      </c>
      <c r="D330" s="7" t="n">
        <f aca="false">Chase1168_2025!D330</f>
        <v>-21.98</v>
      </c>
      <c r="E330" s="0" t="str">
        <f aca="false">Chase1168_2025!E330</f>
        <v>DEBIT_CARD</v>
      </c>
      <c r="F330" s="7" t="n">
        <f aca="false">Chase1168_2025!F330</f>
        <v>24209.41</v>
      </c>
      <c r="G330" s="0" t="str">
        <f aca="false">Chase1168_2025!G330</f>
        <v>Go Daddy</v>
      </c>
      <c r="H330" s="15" t="n">
        <f aca="false">IF($B330="","",DATE(YEAR($B330),MONTH($B330),1))</f>
        <v>45931</v>
      </c>
      <c r="I330" s="0" t="str">
        <f aca="false">IF($G330="","Uncategorized — Review",IFERROR(INDEX(Mapping!$B:$B,MATCH($G330,Mapping!$A:$A,0)),"Uncategorized — Review"))</f>
        <v>Go Daddy</v>
      </c>
      <c r="J330" s="0" t="str">
        <f aca="false">IF($G330="","Uncategorized — Review",IFERROR(INDEX(Mapping!$C:$C,MATCH($G330,Mapping!$A:$A,0)),"Uncategorized — Review"))</f>
        <v>DWG Operating</v>
      </c>
    </row>
    <row r="331" customFormat="false" ht="15" hidden="false" customHeight="false" outlineLevel="0" collapsed="false">
      <c r="A331" s="0" t="str">
        <f aca="false">Chase1168_2025!A331</f>
        <v>DEBIT</v>
      </c>
      <c r="B331" s="14" t="n">
        <f aca="false">Chase1168_2025!B331</f>
        <v>45950</v>
      </c>
      <c r="C331" s="0" t="str">
        <f aca="false">Chase1168_2025!C331</f>
        <v>DNH*GODADDY#3925969829 480-5058855 AZ        10/18</v>
      </c>
      <c r="D331" s="7" t="n">
        <f aca="false">Chase1168_2025!D331</f>
        <v>-15.98</v>
      </c>
      <c r="E331" s="0" t="str">
        <f aca="false">Chase1168_2025!E331</f>
        <v>DEBIT_CARD</v>
      </c>
      <c r="F331" s="7" t="n">
        <f aca="false">Chase1168_2025!F331</f>
        <v>24231.39</v>
      </c>
      <c r="G331" s="0" t="str">
        <f aca="false">Chase1168_2025!G331</f>
        <v>Go Daddy</v>
      </c>
      <c r="H331" s="15" t="n">
        <f aca="false">IF($B331="","",DATE(YEAR($B331),MONTH($B331),1))</f>
        <v>45931</v>
      </c>
      <c r="I331" s="0" t="str">
        <f aca="false">IF($G331="","Uncategorized — Review",IFERROR(INDEX(Mapping!$B:$B,MATCH($G331,Mapping!$A:$A,0)),"Uncategorized — Review"))</f>
        <v>Go Daddy</v>
      </c>
      <c r="J331" s="0" t="str">
        <f aca="false">IF($G331="","Uncategorized — Review",IFERROR(INDEX(Mapping!$C:$C,MATCH($G331,Mapping!$A:$A,0)),"Uncategorized — Review"))</f>
        <v>DWG Operating</v>
      </c>
    </row>
    <row r="332" customFormat="false" ht="15" hidden="false" customHeight="false" outlineLevel="0" collapsed="false">
      <c r="A332" s="0" t="str">
        <f aca="false">Chase1168_2025!A332</f>
        <v>DEBIT</v>
      </c>
      <c r="B332" s="14" t="n">
        <f aca="false">Chase1168_2025!B332</f>
        <v>45950</v>
      </c>
      <c r="C332" s="0" t="str">
        <f aca="false">Chase1168_2025!C332</f>
        <v>PP*APPLE.COM/BILL 800-275-2273 CA            10/18</v>
      </c>
      <c r="D332" s="7" t="n">
        <f aca="false">Chase1168_2025!D332</f>
        <v>-11</v>
      </c>
      <c r="E332" s="0" t="str">
        <f aca="false">Chase1168_2025!E332</f>
        <v>DEBIT_CARD</v>
      </c>
      <c r="F332" s="7" t="n">
        <f aca="false">Chase1168_2025!F332</f>
        <v>24247.37</v>
      </c>
      <c r="G332" s="0" t="str">
        <f aca="false">Chase1168_2025!G332</f>
        <v>Personal - Subscriptions</v>
      </c>
      <c r="H332" s="15" t="n">
        <f aca="false">IF($B332="","",DATE(YEAR($B332),MONTH($B332),1))</f>
        <v>45931</v>
      </c>
      <c r="I332" s="0" t="str">
        <f aca="false">IF($G332="","Uncategorized — Review",IFERROR(INDEX(Mapping!$B:$B,MATCH($G332,Mapping!$A:$A,0)),"Uncategorized — Review"))</f>
        <v>Personal - Subscriptions</v>
      </c>
      <c r="J332" s="0" t="str">
        <f aca="false">IF($G332="","Uncategorized — Review",IFERROR(INDEX(Mapping!$C:$C,MATCH($G332,Mapping!$A:$A,0)),"Uncategorized — Review"))</f>
        <v>Personal — Owner</v>
      </c>
    </row>
    <row r="333" customFormat="false" ht="15" hidden="false" customHeight="false" outlineLevel="0" collapsed="false">
      <c r="A333" s="0" t="str">
        <f aca="false">Chase1168_2025!A333</f>
        <v>DEBIT</v>
      </c>
      <c r="B333" s="14" t="n">
        <f aca="false">Chase1168_2025!B333</f>
        <v>45950</v>
      </c>
      <c r="C333" s="0" t="str">
        <f aca="false">Chase1168_2025!C333</f>
        <v>PAYPAL *RUTHALCANCI 402-935-7733 CA          10/18</v>
      </c>
      <c r="D333" s="7" t="n">
        <f aca="false">Chase1168_2025!D333</f>
        <v>-350</v>
      </c>
      <c r="E333" s="0" t="str">
        <f aca="false">Chase1168_2025!E333</f>
        <v>DEBIT_CARD</v>
      </c>
      <c r="F333" s="7" t="n">
        <f aca="false">Chase1168_2025!F333</f>
        <v>24258.37</v>
      </c>
      <c r="G333" s="0" t="str">
        <f aca="false">Chase1168_2025!G333</f>
        <v>Ruth Alcancia - Forward Bridge Payment</v>
      </c>
      <c r="H333" s="15" t="n">
        <f aca="false">IF($B333="","",DATE(YEAR($B333),MONTH($B333),1))</f>
        <v>45931</v>
      </c>
      <c r="I333" s="0" t="str">
        <f aca="false">IF($G333="","Uncategorized — Review",IFERROR(INDEX(Mapping!$B:$B,MATCH($G333,Mapping!$A:$A,0)),"Uncategorized — Review"))</f>
        <v>Ruth Alcancia - Forward Bridge Payment</v>
      </c>
      <c r="J333" s="0" t="str">
        <f aca="false">IF($G333="","Uncategorized — Review",IFERROR(INDEX(Mapping!$C:$C,MATCH($G333,Mapping!$A:$A,0)),"Uncategorized — Review"))</f>
        <v>Payroll &amp; Contractors</v>
      </c>
    </row>
    <row r="334" customFormat="false" ht="15" hidden="false" customHeight="false" outlineLevel="0" collapsed="false">
      <c r="A334" s="0" t="str">
        <f aca="false">Chase1168_2025!A334</f>
        <v>DEBIT</v>
      </c>
      <c r="B334" s="14" t="n">
        <f aca="false">Chase1168_2025!B334</f>
        <v>45950</v>
      </c>
      <c r="C334" s="0" t="str">
        <f aca="false">Chase1168_2025!C334</f>
        <v>PP*APPLE.COM/BILL 800-275-2273 CA            10/18</v>
      </c>
      <c r="D334" s="7" t="n">
        <f aca="false">Chase1168_2025!D334</f>
        <v>-9.99</v>
      </c>
      <c r="E334" s="0" t="str">
        <f aca="false">Chase1168_2025!E334</f>
        <v>DEBIT_CARD</v>
      </c>
      <c r="F334" s="7" t="n">
        <f aca="false">Chase1168_2025!F334</f>
        <v>24608.37</v>
      </c>
      <c r="G334" s="0" t="str">
        <f aca="false">Chase1168_2025!G334</f>
        <v>Personal - Subscriptions</v>
      </c>
      <c r="H334" s="15" t="n">
        <f aca="false">IF($B334="","",DATE(YEAR($B334),MONTH($B334),1))</f>
        <v>45931</v>
      </c>
      <c r="I334" s="0" t="str">
        <f aca="false">IF($G334="","Uncategorized — Review",IFERROR(INDEX(Mapping!$B:$B,MATCH($G334,Mapping!$A:$A,0)),"Uncategorized — Review"))</f>
        <v>Personal - Subscriptions</v>
      </c>
      <c r="J334" s="0" t="str">
        <f aca="false">IF($G334="","Uncategorized — Review",IFERROR(INDEX(Mapping!$C:$C,MATCH($G334,Mapping!$A:$A,0)),"Uncategorized — Review"))</f>
        <v>Personal — Owner</v>
      </c>
    </row>
    <row r="335" customFormat="false" ht="15" hidden="false" customHeight="false" outlineLevel="0" collapsed="false">
      <c r="A335" s="0" t="str">
        <f aca="false">Chase1168_2025!A335</f>
        <v>DEBIT</v>
      </c>
      <c r="B335" s="14" t="n">
        <f aca="false">Chase1168_2025!B335</f>
        <v>45947</v>
      </c>
      <c r="C335" s="0" t="str">
        <f aca="false">Chase1168_2025!C335</f>
        <v>ORIG CO NAME:VENMO                  ORIG ID:3264681992 DESC DATE:251017 CO ENTRY DESCR:PAYMENT   SEC:WEB    TRACE#:021000020577749 EED:251017   IND ID:1045581609920                IND NAME:JUDD DUNNING                                                                                                 251017PPZKLY TRN: 2900577749TC</v>
      </c>
      <c r="D335" s="7" t="n">
        <f aca="false">Chase1168_2025!D335</f>
        <v>-1500</v>
      </c>
      <c r="E335" s="0" t="str">
        <f aca="false">Chase1168_2025!E335</f>
        <v>ACH_DEBIT</v>
      </c>
      <c r="F335" s="7" t="n">
        <f aca="false">Chase1168_2025!F335</f>
        <v>24618.36</v>
      </c>
      <c r="G335" s="0" t="str">
        <f aca="false">Chase1168_2025!G335</f>
        <v>Venmo</v>
      </c>
      <c r="H335" s="15" t="n">
        <f aca="false">IF($B335="","",DATE(YEAR($B335),MONTH($B335),1))</f>
        <v>45931</v>
      </c>
      <c r="I335" s="0" t="str">
        <f aca="false">IF($G335="","Uncategorized — Review",IFERROR(INDEX(Mapping!$B:$B,MATCH($G335,Mapping!$A:$A,0)),"Uncategorized — Review"))</f>
        <v>Venmo</v>
      </c>
      <c r="J335" s="0" t="str">
        <f aca="false">IF($G335="","Uncategorized — Review",IFERROR(INDEX(Mapping!$C:$C,MATCH($G335,Mapping!$A:$A,0)),"Uncategorized — Review"))</f>
        <v>P2P Payments (Zelle/Venmo/PayPal)</v>
      </c>
    </row>
    <row r="336" customFormat="false" ht="15" hidden="false" customHeight="false" outlineLevel="0" collapsed="false">
      <c r="A336" s="0" t="str">
        <f aca="false">Chase1168_2025!A336</f>
        <v>DEBIT</v>
      </c>
      <c r="B336" s="14" t="n">
        <f aca="false">Chase1168_2025!B336</f>
        <v>45947</v>
      </c>
      <c r="C336" s="0" t="str">
        <f aca="false">Chase1168_2025!C336</f>
        <v>Zelle payment to Francisco Bautista  26616165701</v>
      </c>
      <c r="D336" s="7" t="n">
        <f aca="false">Chase1168_2025!D336</f>
        <v>-400</v>
      </c>
      <c r="E336" s="0" t="str">
        <f aca="false">Chase1168_2025!E336</f>
        <v>QUICKPAY_DEBIT</v>
      </c>
      <c r="F336" s="7" t="n">
        <f aca="false">Chase1168_2025!F336</f>
        <v>26118.36</v>
      </c>
      <c r="G336" s="0" t="str">
        <f aca="false">Chase1168_2025!G336</f>
        <v>Zelle - Francisco Bautista</v>
      </c>
      <c r="H336" s="15" t="n">
        <f aca="false">IF($B336="","",DATE(YEAR($B336),MONTH($B336),1))</f>
        <v>45931</v>
      </c>
      <c r="I336" s="0" t="str">
        <f aca="false">IF($G336="","Uncategorized — Review",IFERROR(INDEX(Mapping!$B:$B,MATCH($G336,Mapping!$A:$A,0)),"Uncategorized — Review"))</f>
        <v>Zelle - Francisco Bautista</v>
      </c>
      <c r="J336" s="0" t="str">
        <f aca="false">IF($G336="","Uncategorized — Review",IFERROR(INDEX(Mapping!$C:$C,MATCH($G336,Mapping!$A:$A,0)),"Uncategorized — Review"))</f>
        <v>P2P Payments (Zelle/Venmo/PayPal)</v>
      </c>
    </row>
    <row r="337" customFormat="false" ht="15" hidden="false" customHeight="false" outlineLevel="0" collapsed="false">
      <c r="A337" s="0" t="str">
        <f aca="false">Chase1168_2025!A337</f>
        <v>DEBIT</v>
      </c>
      <c r="B337" s="14" t="n">
        <f aca="false">Chase1168_2025!B337</f>
        <v>45947</v>
      </c>
      <c r="C337" s="0" t="str">
        <f aca="false">Chase1168_2025!C337</f>
        <v>PAYPAL *NICKOBOYLE2 4029357733               10/16</v>
      </c>
      <c r="D337" s="7" t="n">
        <f aca="false">Chase1168_2025!D337</f>
        <v>-165</v>
      </c>
      <c r="E337" s="0" t="str">
        <f aca="false">Chase1168_2025!E337</f>
        <v>DEBIT_CARD</v>
      </c>
      <c r="F337" s="7" t="n">
        <f aca="false">Chase1168_2025!F337</f>
        <v>26518.36</v>
      </c>
      <c r="G337" s="0" t="str">
        <f aca="false">Chase1168_2025!G337</f>
        <v>PayPal</v>
      </c>
      <c r="H337" s="15" t="n">
        <f aca="false">IF($B337="","",DATE(YEAR($B337),MONTH($B337),1))</f>
        <v>45931</v>
      </c>
      <c r="I337" s="0" t="str">
        <f aca="false">IF($G337="","Uncategorized — Review",IFERROR(INDEX(Mapping!$B:$B,MATCH($G337,Mapping!$A:$A,0)),"Uncategorized — Review"))</f>
        <v>PayPal</v>
      </c>
      <c r="J337" s="0" t="str">
        <f aca="false">IF($G337="","Uncategorized — Review",IFERROR(INDEX(Mapping!$C:$C,MATCH($G337,Mapping!$A:$A,0)),"Uncategorized — Review"))</f>
        <v>P2P Payments (Zelle/Venmo/PayPal)</v>
      </c>
    </row>
    <row r="338" customFormat="false" ht="15" hidden="false" customHeight="false" outlineLevel="0" collapsed="false">
      <c r="A338" s="0" t="str">
        <f aca="false">Chase1168_2025!A338</f>
        <v>DEBIT</v>
      </c>
      <c r="B338" s="14" t="n">
        <f aca="false">Chase1168_2025!B338</f>
        <v>45947</v>
      </c>
      <c r="C338" s="0" t="str">
        <f aca="false">Chase1168_2025!C338</f>
        <v>PAYPAL *LINKEDIN 402-935-7733 CA             10/17</v>
      </c>
      <c r="D338" s="7" t="n">
        <f aca="false">Chase1168_2025!D338</f>
        <v>-69.99</v>
      </c>
      <c r="E338" s="0" t="str">
        <f aca="false">Chase1168_2025!E338</f>
        <v>DEBIT_CARD</v>
      </c>
      <c r="F338" s="7" t="n">
        <f aca="false">Chase1168_2025!F338</f>
        <v>26683.36</v>
      </c>
      <c r="G338" s="0" t="str">
        <f aca="false">Chase1168_2025!G338</f>
        <v>DWG HR</v>
      </c>
      <c r="H338" s="15" t="n">
        <f aca="false">IF($B338="","",DATE(YEAR($B338),MONTH($B338),1))</f>
        <v>45931</v>
      </c>
      <c r="I338" s="0" t="str">
        <f aca="false">IF($G338="","Uncategorized — Review",IFERROR(INDEX(Mapping!$B:$B,MATCH($G338,Mapping!$A:$A,0)),"Uncategorized — Review"))</f>
        <v>DWG HR</v>
      </c>
      <c r="J338" s="0" t="str">
        <f aca="false">IF($G338="","Uncategorized — Review",IFERROR(INDEX(Mapping!$C:$C,MATCH($G338,Mapping!$A:$A,0)),"Uncategorized — Review"))</f>
        <v>Payroll &amp; Contractors</v>
      </c>
    </row>
    <row r="339" customFormat="false" ht="15" hidden="false" customHeight="false" outlineLevel="0" collapsed="false">
      <c r="A339" s="0" t="str">
        <f aca="false">Chase1168_2025!A339</f>
        <v>DEBIT</v>
      </c>
      <c r="B339" s="14" t="n">
        <f aca="false">Chase1168_2025!B339</f>
        <v>45947</v>
      </c>
      <c r="C339" s="0" t="str">
        <f aca="false">Chase1168_2025!C339</f>
        <v>PAYPAL *LINKEDIN 402-935-7733 CA             10/17</v>
      </c>
      <c r="D339" s="7" t="n">
        <f aca="false">Chase1168_2025!D339</f>
        <v>-89.99</v>
      </c>
      <c r="E339" s="0" t="str">
        <f aca="false">Chase1168_2025!E339</f>
        <v>DEBIT_CARD</v>
      </c>
      <c r="F339" s="7" t="n">
        <f aca="false">Chase1168_2025!F339</f>
        <v>26753.35</v>
      </c>
      <c r="G339" s="0" t="str">
        <f aca="false">Chase1168_2025!G339</f>
        <v>DWG HR</v>
      </c>
      <c r="H339" s="15" t="n">
        <f aca="false">IF($B339="","",DATE(YEAR($B339),MONTH($B339),1))</f>
        <v>45931</v>
      </c>
      <c r="I339" s="0" t="str">
        <f aca="false">IF($G339="","Uncategorized — Review",IFERROR(INDEX(Mapping!$B:$B,MATCH($G339,Mapping!$A:$A,0)),"Uncategorized — Review"))</f>
        <v>DWG HR</v>
      </c>
      <c r="J339" s="0" t="str">
        <f aca="false">IF($G339="","Uncategorized — Review",IFERROR(INDEX(Mapping!$C:$C,MATCH($G339,Mapping!$A:$A,0)),"Uncategorized — Review"))</f>
        <v>Payroll &amp; Contractors</v>
      </c>
    </row>
    <row r="340" customFormat="false" ht="15" hidden="false" customHeight="false" outlineLevel="0" collapsed="false">
      <c r="A340" s="0" t="str">
        <f aca="false">Chase1168_2025!A340</f>
        <v>DEBIT</v>
      </c>
      <c r="B340" s="14" t="n">
        <f aca="false">Chase1168_2025!B340</f>
        <v>45946</v>
      </c>
      <c r="C340" s="0" t="str">
        <f aca="false">Chase1168_2025!C340</f>
        <v>ORIG CO NAME:VENMO                  ORIG ID:3264681992 DESC DATE:251016 CO ENTRY DESCR:PAYMENT   SEC:WEB    TRACE#:021000029405550 EED:251016   IND ID:1045561062849                IND NAME:JUDD DUNNING                                                                                                 251016PPZB7C TRN: 2899405550TC</v>
      </c>
      <c r="D340" s="7" t="n">
        <f aca="false">Chase1168_2025!D340</f>
        <v>-150</v>
      </c>
      <c r="E340" s="0" t="str">
        <f aca="false">Chase1168_2025!E340</f>
        <v>ACH_DEBIT</v>
      </c>
      <c r="F340" s="7" t="n">
        <f aca="false">Chase1168_2025!F340</f>
        <v>26843.34</v>
      </c>
      <c r="G340" s="0" t="str">
        <f aca="false">Chase1168_2025!G340</f>
        <v>Venmo</v>
      </c>
      <c r="H340" s="15" t="n">
        <f aca="false">IF($B340="","",DATE(YEAR($B340),MONTH($B340),1))</f>
        <v>45931</v>
      </c>
      <c r="I340" s="0" t="str">
        <f aca="false">IF($G340="","Uncategorized — Review",IFERROR(INDEX(Mapping!$B:$B,MATCH($G340,Mapping!$A:$A,0)),"Uncategorized — Review"))</f>
        <v>Venmo</v>
      </c>
      <c r="J340" s="0" t="str">
        <f aca="false">IF($G340="","Uncategorized — Review",IFERROR(INDEX(Mapping!$C:$C,MATCH($G340,Mapping!$A:$A,0)),"Uncategorized — Review"))</f>
        <v>P2P Payments (Zelle/Venmo/PayPal)</v>
      </c>
    </row>
    <row r="341" customFormat="false" ht="15" hidden="false" customHeight="false" outlineLevel="0" collapsed="false">
      <c r="A341" s="0" t="str">
        <f aca="false">Chase1168_2025!A341</f>
        <v>DEBIT</v>
      </c>
      <c r="B341" s="14" t="n">
        <f aca="false">Chase1168_2025!B341</f>
        <v>45946</v>
      </c>
      <c r="C341" s="0" t="str">
        <f aca="false">Chase1168_2025!C341</f>
        <v>Zelle payment to Jeffrey Seider JPM99br5vz7k</v>
      </c>
      <c r="D341" s="7" t="n">
        <f aca="false">Chase1168_2025!D341</f>
        <v>-100</v>
      </c>
      <c r="E341" s="0" t="str">
        <f aca="false">Chase1168_2025!E341</f>
        <v>CHASE_TO_PARTNERFI</v>
      </c>
      <c r="F341" s="7" t="n">
        <f aca="false">Chase1168_2025!F341</f>
        <v>26993.34</v>
      </c>
      <c r="G341" s="0" t="str">
        <f aca="false">Chase1168_2025!G341</f>
        <v>Zelle - Jeff Seider</v>
      </c>
      <c r="H341" s="15" t="n">
        <f aca="false">IF($B341="","",DATE(YEAR($B341),MONTH($B341),1))</f>
        <v>45931</v>
      </c>
      <c r="I341" s="0" t="str">
        <f aca="false">IF($G341="","Uncategorized — Review",IFERROR(INDEX(Mapping!$B:$B,MATCH($G341,Mapping!$A:$A,0)),"Uncategorized — Review"))</f>
        <v>Zelle - Jeff Seider</v>
      </c>
      <c r="J341" s="0" t="str">
        <f aca="false">IF($G341="","Uncategorized — Review",IFERROR(INDEX(Mapping!$C:$C,MATCH($G341,Mapping!$A:$A,0)),"Uncategorized — Review"))</f>
        <v>P2P Payments (Zelle/Venmo/PayPal)</v>
      </c>
    </row>
    <row r="342" customFormat="false" ht="15" hidden="false" customHeight="false" outlineLevel="0" collapsed="false">
      <c r="A342" s="0" t="str">
        <f aca="false">Chase1168_2025!A342</f>
        <v>DEBIT</v>
      </c>
      <c r="B342" s="14" t="n">
        <f aca="false">Chase1168_2025!B342</f>
        <v>45946</v>
      </c>
      <c r="C342" s="0" t="str">
        <f aca="false">Chase1168_2025!C342</f>
        <v>Zelle payment to Jeffrey Seider JPM99br5w14s</v>
      </c>
      <c r="D342" s="7" t="n">
        <f aca="false">Chase1168_2025!D342</f>
        <v>-150</v>
      </c>
      <c r="E342" s="0" t="str">
        <f aca="false">Chase1168_2025!E342</f>
        <v>CHASE_TO_PARTNERFI</v>
      </c>
      <c r="F342" s="7" t="n">
        <f aca="false">Chase1168_2025!F342</f>
        <v>27093.34</v>
      </c>
      <c r="G342" s="0" t="str">
        <f aca="false">Chase1168_2025!G342</f>
        <v>Zelle - Jeff Seider</v>
      </c>
      <c r="H342" s="15" t="n">
        <f aca="false">IF($B342="","",DATE(YEAR($B342),MONTH($B342),1))</f>
        <v>45931</v>
      </c>
      <c r="I342" s="0" t="str">
        <f aca="false">IF($G342="","Uncategorized — Review",IFERROR(INDEX(Mapping!$B:$B,MATCH($G342,Mapping!$A:$A,0)),"Uncategorized — Review"))</f>
        <v>Zelle - Jeff Seider</v>
      </c>
      <c r="J342" s="0" t="str">
        <f aca="false">IF($G342="","Uncategorized — Review",IFERROR(INDEX(Mapping!$C:$C,MATCH($G342,Mapping!$A:$A,0)),"Uncategorized — Review"))</f>
        <v>P2P Payments (Zelle/Venmo/PayPal)</v>
      </c>
    </row>
    <row r="343" customFormat="false" ht="15" hidden="false" customHeight="false" outlineLevel="0" collapsed="false">
      <c r="A343" s="0" t="str">
        <f aca="false">Chase1168_2025!A343</f>
        <v>DEBIT</v>
      </c>
      <c r="B343" s="14" t="n">
        <f aca="false">Chase1168_2025!B343</f>
        <v>45946</v>
      </c>
      <c r="C343" s="0" t="str">
        <f aca="false">Chase1168_2025!C343</f>
        <v>Online Transfer to CHK ...1117 transaction#: 26609843786 10/16</v>
      </c>
      <c r="D343" s="7" t="n">
        <f aca="false">Chase1168_2025!D343</f>
        <v>-3000</v>
      </c>
      <c r="E343" s="0" t="str">
        <f aca="false">Chase1168_2025!E343</f>
        <v>ACCT_XFER</v>
      </c>
      <c r="F343" s="7" t="n">
        <f aca="false">Chase1168_2025!F343</f>
        <v>27243.34</v>
      </c>
      <c r="G343" s="0" t="str">
        <f aca="false">Chase1168_2025!G343</f>
        <v>Transfer to Angela Dunning</v>
      </c>
      <c r="H343" s="15" t="n">
        <f aca="false">IF($B343="","",DATE(YEAR($B343),MONTH($B343),1))</f>
        <v>45931</v>
      </c>
      <c r="I343" s="0" t="str">
        <f aca="false">IF($G343="","Uncategorized — Review",IFERROR(INDEX(Mapping!$B:$B,MATCH($G343,Mapping!$A:$A,0)),"Uncategorized — Review"))</f>
        <v>Transfer to Angela Dunning</v>
      </c>
      <c r="J343" s="0" t="str">
        <f aca="false">IF($G343="","Uncategorized — Review",IFERROR(INDEX(Mapping!$C:$C,MATCH($G343,Mapping!$A:$A,0)),"Uncategorized — Review"))</f>
        <v>Owner / Family Distributions</v>
      </c>
    </row>
    <row r="344" customFormat="false" ht="15" hidden="false" customHeight="false" outlineLevel="0" collapsed="false">
      <c r="A344" s="0" t="str">
        <f aca="false">Chase1168_2025!A344</f>
        <v>DEBIT</v>
      </c>
      <c r="B344" s="14" t="n">
        <f aca="false">Chase1168_2025!B344</f>
        <v>45946</v>
      </c>
      <c r="C344" s="0" t="str">
        <f aca="false">Chase1168_2025!C344</f>
        <v>ORIG CO NAME:LEASEDIRECT            ORIG ID:138190450  DESC DATE:251015 CO ENTRY DESCR:14449_1   SEC:CCD    TRACE#:043000094788173 EED:251016   IND ID:1556926                      IND NAME:DWG CAPITAL GROUP          INV# 592317315 DUE 10/15/25 REC# 10 10231224                                      14450 TRN: 2894788173TC</v>
      </c>
      <c r="D344" s="7" t="n">
        <f aca="false">Chase1168_2025!D344</f>
        <v>-104.01</v>
      </c>
      <c r="E344" s="0" t="str">
        <f aca="false">Chase1168_2025!E344</f>
        <v>ACH_DEBIT</v>
      </c>
      <c r="F344" s="7" t="n">
        <f aca="false">Chase1168_2025!F344</f>
        <v>30243.34</v>
      </c>
      <c r="G344" s="0" t="str">
        <f aca="false">Chase1168_2025!G344</f>
        <v>DWG Marketing</v>
      </c>
      <c r="H344" s="15" t="n">
        <f aca="false">IF($B344="","",DATE(YEAR($B344),MONTH($B344),1))</f>
        <v>45931</v>
      </c>
      <c r="I344" s="0" t="str">
        <f aca="false">IF($G344="","Uncategorized — Review",IFERROR(INDEX(Mapping!$B:$B,MATCH($G344,Mapping!$A:$A,0)),"Uncategorized — Review"))</f>
        <v>DWG Marketing</v>
      </c>
      <c r="J344" s="0" t="str">
        <f aca="false">IF($G344="","Uncategorized — Review",IFERROR(INDEX(Mapping!$C:$C,MATCH($G344,Mapping!$A:$A,0)),"Uncategorized — Review"))</f>
        <v>DWG Operating</v>
      </c>
    </row>
    <row r="345" customFormat="false" ht="15" hidden="false" customHeight="false" outlineLevel="0" collapsed="false">
      <c r="A345" s="0" t="str">
        <f aca="false">Chase1168_2025!A345</f>
        <v>DEBIT</v>
      </c>
      <c r="B345" s="14" t="n">
        <f aca="false">Chase1168_2025!B345</f>
        <v>45946</v>
      </c>
      <c r="C345" s="0" t="str">
        <f aca="false">Chase1168_2025!C345</f>
        <v>PP*APPLE.COM/BILL 800-275-2273 CA            10/16</v>
      </c>
      <c r="D345" s="7" t="n">
        <f aca="false">Chase1168_2025!D345</f>
        <v>-5.99</v>
      </c>
      <c r="E345" s="0" t="str">
        <f aca="false">Chase1168_2025!E345</f>
        <v>DEBIT_CARD</v>
      </c>
      <c r="F345" s="7" t="n">
        <f aca="false">Chase1168_2025!F345</f>
        <v>30347.35</v>
      </c>
      <c r="G345" s="0" t="str">
        <f aca="false">Chase1168_2025!G345</f>
        <v>Personal - Subscriptions</v>
      </c>
      <c r="H345" s="15" t="n">
        <f aca="false">IF($B345="","",DATE(YEAR($B345),MONTH($B345),1))</f>
        <v>45931</v>
      </c>
      <c r="I345" s="0" t="str">
        <f aca="false">IF($G345="","Uncategorized — Review",IFERROR(INDEX(Mapping!$B:$B,MATCH($G345,Mapping!$A:$A,0)),"Uncategorized — Review"))</f>
        <v>Personal - Subscriptions</v>
      </c>
      <c r="J345" s="0" t="str">
        <f aca="false">IF($G345="","Uncategorized — Review",IFERROR(INDEX(Mapping!$C:$C,MATCH($G345,Mapping!$A:$A,0)),"Uncategorized — Review"))</f>
        <v>Personal — Owner</v>
      </c>
    </row>
    <row r="346" customFormat="false" ht="15" hidden="false" customHeight="false" outlineLevel="0" collapsed="false">
      <c r="A346" s="0" t="str">
        <f aca="false">Chase1168_2025!A346</f>
        <v>DEBIT</v>
      </c>
      <c r="B346" s="14" t="n">
        <f aca="false">Chase1168_2025!B346</f>
        <v>45946</v>
      </c>
      <c r="C346" s="0" t="str">
        <f aca="false">Chase1168_2025!C346</f>
        <v>PAYPAL *UBER 866-576-1039 CA                 10/16</v>
      </c>
      <c r="D346" s="7" t="n">
        <f aca="false">Chase1168_2025!D346</f>
        <v>-53.19</v>
      </c>
      <c r="E346" s="0" t="str">
        <f aca="false">Chase1168_2025!E346</f>
        <v>DEBIT_CARD</v>
      </c>
      <c r="F346" s="7" t="n">
        <f aca="false">Chase1168_2025!F346</f>
        <v>30353.34</v>
      </c>
      <c r="G346" s="0" t="str">
        <f aca="false">Chase1168_2025!G346</f>
        <v>Personal - Car</v>
      </c>
      <c r="H346" s="15" t="n">
        <f aca="false">IF($B346="","",DATE(YEAR($B346),MONTH($B346),1))</f>
        <v>45931</v>
      </c>
      <c r="I346" s="0" t="str">
        <f aca="false">IF($G346="","Uncategorized — Review",IFERROR(INDEX(Mapping!$B:$B,MATCH($G346,Mapping!$A:$A,0)),"Uncategorized — Review"))</f>
        <v>Personal - Car &amp; Auto</v>
      </c>
      <c r="J346" s="0" t="str">
        <f aca="false">IF($G346="","Uncategorized — Review",IFERROR(INDEX(Mapping!$C:$C,MATCH($G346,Mapping!$A:$A,0)),"Uncategorized — Review"))</f>
        <v>Personal — Owner</v>
      </c>
    </row>
    <row r="347" customFormat="false" ht="15" hidden="false" customHeight="false" outlineLevel="0" collapsed="false">
      <c r="A347" s="0" t="str">
        <f aca="false">Chase1168_2025!A347</f>
        <v>DEBIT</v>
      </c>
      <c r="B347" s="14" t="n">
        <f aca="false">Chase1168_2025!B347</f>
        <v>45945</v>
      </c>
      <c r="C347" s="0" t="str">
        <f aca="false">Chase1168_2025!C347</f>
        <v>PP*APPLE.COM/BILL 800-275-2273 CA            10/15</v>
      </c>
      <c r="D347" s="7" t="n">
        <f aca="false">Chase1168_2025!D347</f>
        <v>-8.99</v>
      </c>
      <c r="E347" s="0" t="str">
        <f aca="false">Chase1168_2025!E347</f>
        <v>DEBIT_CARD</v>
      </c>
      <c r="F347" s="7" t="n">
        <f aca="false">Chase1168_2025!F347</f>
        <v>30406.53</v>
      </c>
      <c r="G347" s="0" t="str">
        <f aca="false">Chase1168_2025!G347</f>
        <v>Personal - Subscriptions</v>
      </c>
      <c r="H347" s="15" t="n">
        <f aca="false">IF($B347="","",DATE(YEAR($B347),MONTH($B347),1))</f>
        <v>45931</v>
      </c>
      <c r="I347" s="0" t="str">
        <f aca="false">IF($G347="","Uncategorized — Review",IFERROR(INDEX(Mapping!$B:$B,MATCH($G347,Mapping!$A:$A,0)),"Uncategorized — Review"))</f>
        <v>Personal - Subscriptions</v>
      </c>
      <c r="J347" s="0" t="str">
        <f aca="false">IF($G347="","Uncategorized — Review",IFERROR(INDEX(Mapping!$C:$C,MATCH($G347,Mapping!$A:$A,0)),"Uncategorized — Review"))</f>
        <v>Personal — Owner</v>
      </c>
    </row>
    <row r="348" customFormat="false" ht="15" hidden="false" customHeight="false" outlineLevel="0" collapsed="false">
      <c r="A348" s="0" t="str">
        <f aca="false">Chase1168_2025!A348</f>
        <v>DEBIT</v>
      </c>
      <c r="B348" s="14" t="n">
        <f aca="false">Chase1168_2025!B348</f>
        <v>45945</v>
      </c>
      <c r="C348" s="0" t="str">
        <f aca="false">Chase1168_2025!C348</f>
        <v>PP*GOOGLE GOOGLE ONE 855-836-3987 CA         10/15</v>
      </c>
      <c r="D348" s="7" t="n">
        <f aca="false">Chase1168_2025!D348</f>
        <v>-1.99</v>
      </c>
      <c r="E348" s="0" t="str">
        <f aca="false">Chase1168_2025!E348</f>
        <v>DEBIT_CARD</v>
      </c>
      <c r="F348" s="7" t="n">
        <f aca="false">Chase1168_2025!F348</f>
        <v>30415.52</v>
      </c>
      <c r="G348" s="0" t="str">
        <f aca="false">Chase1168_2025!G348</f>
        <v>Personal - Subscriptions</v>
      </c>
      <c r="H348" s="15" t="n">
        <f aca="false">IF($B348="","",DATE(YEAR($B348),MONTH($B348),1))</f>
        <v>45931</v>
      </c>
      <c r="I348" s="0" t="str">
        <f aca="false">IF($G348="","Uncategorized — Review",IFERROR(INDEX(Mapping!$B:$B,MATCH($G348,Mapping!$A:$A,0)),"Uncategorized — Review"))</f>
        <v>Personal - Subscriptions</v>
      </c>
      <c r="J348" s="0" t="str">
        <f aca="false">IF($G348="","Uncategorized — Review",IFERROR(INDEX(Mapping!$C:$C,MATCH($G348,Mapping!$A:$A,0)),"Uncategorized — Review"))</f>
        <v>Personal — Owner</v>
      </c>
    </row>
    <row r="349" customFormat="false" ht="15" hidden="false" customHeight="false" outlineLevel="0" collapsed="false">
      <c r="A349" s="0" t="str">
        <f aca="false">Chase1168_2025!A349</f>
        <v>DEBIT</v>
      </c>
      <c r="B349" s="14" t="n">
        <f aca="false">Chase1168_2025!B349</f>
        <v>45945</v>
      </c>
      <c r="C349" s="0" t="str">
        <f aca="false">Chase1168_2025!C349</f>
        <v>PP*APPLE.COM/BILL 800-275-2273 CA            10/14</v>
      </c>
      <c r="D349" s="7" t="n">
        <f aca="false">Chase1168_2025!D349</f>
        <v>-10.99</v>
      </c>
      <c r="E349" s="0" t="str">
        <f aca="false">Chase1168_2025!E349</f>
        <v>DEBIT_CARD</v>
      </c>
      <c r="F349" s="7" t="n">
        <f aca="false">Chase1168_2025!F349</f>
        <v>30417.51</v>
      </c>
      <c r="G349" s="0" t="str">
        <f aca="false">Chase1168_2025!G349</f>
        <v>Personal - Subscriptions</v>
      </c>
      <c r="H349" s="15" t="n">
        <f aca="false">IF($B349="","",DATE(YEAR($B349),MONTH($B349),1))</f>
        <v>45931</v>
      </c>
      <c r="I349" s="0" t="str">
        <f aca="false">IF($G349="","Uncategorized — Review",IFERROR(INDEX(Mapping!$B:$B,MATCH($G349,Mapping!$A:$A,0)),"Uncategorized — Review"))</f>
        <v>Personal - Subscriptions</v>
      </c>
      <c r="J349" s="0" t="str">
        <f aca="false">IF($G349="","Uncategorized — Review",IFERROR(INDEX(Mapping!$C:$C,MATCH($G349,Mapping!$A:$A,0)),"Uncategorized — Review"))</f>
        <v>Personal — Owner</v>
      </c>
    </row>
    <row r="350" customFormat="false" ht="15" hidden="false" customHeight="false" outlineLevel="0" collapsed="false">
      <c r="A350" s="0" t="str">
        <f aca="false">Chase1168_2025!A350</f>
        <v>DEBIT</v>
      </c>
      <c r="B350" s="14" t="n">
        <f aca="false">Chase1168_2025!B350</f>
        <v>45944</v>
      </c>
      <c r="C350" s="0" t="str">
        <f aca="false">Chase1168_2025!C350</f>
        <v>Online Transfer to CHK ...1117 transaction#: 26583611322 10/14</v>
      </c>
      <c r="D350" s="7" t="n">
        <f aca="false">Chase1168_2025!D350</f>
        <v>-2000</v>
      </c>
      <c r="E350" s="0" t="str">
        <f aca="false">Chase1168_2025!E350</f>
        <v>ACCT_XFER</v>
      </c>
      <c r="F350" s="7" t="n">
        <f aca="false">Chase1168_2025!F350</f>
        <v>30428.5</v>
      </c>
      <c r="G350" s="0" t="str">
        <f aca="false">Chase1168_2025!G350</f>
        <v>Transfer to Angela Dunning</v>
      </c>
      <c r="H350" s="15" t="n">
        <f aca="false">IF($B350="","",DATE(YEAR($B350),MONTH($B350),1))</f>
        <v>45931</v>
      </c>
      <c r="I350" s="0" t="str">
        <f aca="false">IF($G350="","Uncategorized — Review",IFERROR(INDEX(Mapping!$B:$B,MATCH($G350,Mapping!$A:$A,0)),"Uncategorized — Review"))</f>
        <v>Transfer to Angela Dunning</v>
      </c>
      <c r="J350" s="0" t="str">
        <f aca="false">IF($G350="","Uncategorized — Review",IFERROR(INDEX(Mapping!$C:$C,MATCH($G350,Mapping!$A:$A,0)),"Uncategorized — Review"))</f>
        <v>Owner / Family Distributions</v>
      </c>
    </row>
    <row r="351" customFormat="false" ht="15" hidden="false" customHeight="false" outlineLevel="0" collapsed="false">
      <c r="A351" s="0" t="str">
        <f aca="false">Chase1168_2025!A351</f>
        <v>DEBIT</v>
      </c>
      <c r="B351" s="14" t="n">
        <f aca="false">Chase1168_2025!B351</f>
        <v>45944</v>
      </c>
      <c r="C351" s="0" t="str">
        <f aca="false">Chase1168_2025!C351</f>
        <v>ORIG CO NAME:VENMO                  ORIG ID:3264681992 DESC DATE:251013 CO ENTRY DESCR:PAYMENT   SEC:WEB    TRACE#:021000024563458 EED:251014   IND ID:1045499456008                IND NAME:JUDD DUNNING                                                                                                 251013PPZGEJ TRN: 2874563458TC</v>
      </c>
      <c r="D351" s="7" t="n">
        <f aca="false">Chase1168_2025!D351</f>
        <v>-90</v>
      </c>
      <c r="E351" s="0" t="str">
        <f aca="false">Chase1168_2025!E351</f>
        <v>ACH_DEBIT</v>
      </c>
      <c r="F351" s="7" t="n">
        <f aca="false">Chase1168_2025!F351</f>
        <v>32428.5</v>
      </c>
      <c r="G351" s="0" t="str">
        <f aca="false">Chase1168_2025!G351</f>
        <v>Venmo</v>
      </c>
      <c r="H351" s="15" t="n">
        <f aca="false">IF($B351="","",DATE(YEAR($B351),MONTH($B351),1))</f>
        <v>45931</v>
      </c>
      <c r="I351" s="0" t="str">
        <f aca="false">IF($G351="","Uncategorized — Review",IFERROR(INDEX(Mapping!$B:$B,MATCH($G351,Mapping!$A:$A,0)),"Uncategorized — Review"))</f>
        <v>Venmo</v>
      </c>
      <c r="J351" s="0" t="str">
        <f aca="false">IF($G351="","Uncategorized — Review",IFERROR(INDEX(Mapping!$C:$C,MATCH($G351,Mapping!$A:$A,0)),"Uncategorized — Review"))</f>
        <v>P2P Payments (Zelle/Venmo/PayPal)</v>
      </c>
    </row>
    <row r="352" customFormat="false" ht="15" hidden="false" customHeight="false" outlineLevel="0" collapsed="false">
      <c r="A352" s="0" t="str">
        <f aca="false">Chase1168_2025!A352</f>
        <v>DEBIT</v>
      </c>
      <c r="B352" s="14" t="n">
        <f aca="false">Chase1168_2025!B352</f>
        <v>45944</v>
      </c>
      <c r="C352" s="0" t="str">
        <f aca="false">Chase1168_2025!C352</f>
        <v>ORIG CO NAME:VENMO                  ORIG ID:3264681992 DESC DATE:251013 CO ENTRY DESCR:PAYMENT   SEC:WEB    TRACE#:021000024563581 EED:251014   IND ID:1045499455072                IND NAME:JUDD DUNNING                                                                                                 251013PPZGEJ TRN: 2874563581TC</v>
      </c>
      <c r="D352" s="7" t="n">
        <f aca="false">Chase1168_2025!D352</f>
        <v>-125</v>
      </c>
      <c r="E352" s="0" t="str">
        <f aca="false">Chase1168_2025!E352</f>
        <v>ACH_DEBIT</v>
      </c>
      <c r="F352" s="7" t="n">
        <f aca="false">Chase1168_2025!F352</f>
        <v>32518.5</v>
      </c>
      <c r="G352" s="0" t="str">
        <f aca="false">Chase1168_2025!G352</f>
        <v>Venmo</v>
      </c>
      <c r="H352" s="15" t="n">
        <f aca="false">IF($B352="","",DATE(YEAR($B352),MONTH($B352),1))</f>
        <v>45931</v>
      </c>
      <c r="I352" s="0" t="str">
        <f aca="false">IF($G352="","Uncategorized — Review",IFERROR(INDEX(Mapping!$B:$B,MATCH($G352,Mapping!$A:$A,0)),"Uncategorized — Review"))</f>
        <v>Venmo</v>
      </c>
      <c r="J352" s="0" t="str">
        <f aca="false">IF($G352="","Uncategorized — Review",IFERROR(INDEX(Mapping!$C:$C,MATCH($G352,Mapping!$A:$A,0)),"Uncategorized — Review"))</f>
        <v>P2P Payments (Zelle/Venmo/PayPal)</v>
      </c>
    </row>
    <row r="353" customFormat="false" ht="15" hidden="false" customHeight="false" outlineLevel="0" collapsed="false">
      <c r="A353" s="0" t="str">
        <f aca="false">Chase1168_2025!A353</f>
        <v>DEBIT</v>
      </c>
      <c r="B353" s="14" t="n">
        <f aca="false">Chase1168_2025!B353</f>
        <v>45944</v>
      </c>
      <c r="C353" s="0" t="str">
        <f aca="false">Chase1168_2025!C353</f>
        <v>ORIG CO NAME:VENMO                  ORIG ID:3264681992 DESC DATE:251012 CO ENTRY DESCR:PAYMENT   SEC:WEB    TRACE#:021000023036849 EED:251014   IND ID:1045467495738                IND NAME:JUDD DUNNING                                                                                                 251012PPZAHF TRN: 2873036849TC</v>
      </c>
      <c r="D353" s="7" t="n">
        <f aca="false">Chase1168_2025!D353</f>
        <v>-200</v>
      </c>
      <c r="E353" s="0" t="str">
        <f aca="false">Chase1168_2025!E353</f>
        <v>ACH_DEBIT</v>
      </c>
      <c r="F353" s="7" t="n">
        <f aca="false">Chase1168_2025!F353</f>
        <v>32643.5</v>
      </c>
      <c r="G353" s="0" t="str">
        <f aca="false">Chase1168_2025!G353</f>
        <v>Venmo</v>
      </c>
      <c r="H353" s="15" t="n">
        <f aca="false">IF($B353="","",DATE(YEAR($B353),MONTH($B353),1))</f>
        <v>45931</v>
      </c>
      <c r="I353" s="0" t="str">
        <f aca="false">IF($G353="","Uncategorized — Review",IFERROR(INDEX(Mapping!$B:$B,MATCH($G353,Mapping!$A:$A,0)),"Uncategorized — Review"))</f>
        <v>Venmo</v>
      </c>
      <c r="J353" s="0" t="str">
        <f aca="false">IF($G353="","Uncategorized — Review",IFERROR(INDEX(Mapping!$C:$C,MATCH($G353,Mapping!$A:$A,0)),"Uncategorized — Review"))</f>
        <v>P2P Payments (Zelle/Venmo/PayPal)</v>
      </c>
    </row>
    <row r="354" customFormat="false" ht="15" hidden="false" customHeight="false" outlineLevel="0" collapsed="false">
      <c r="A354" s="0" t="str">
        <f aca="false">Chase1168_2025!A354</f>
        <v>DEBIT</v>
      </c>
      <c r="B354" s="14" t="n">
        <f aca="false">Chase1168_2025!B354</f>
        <v>45944</v>
      </c>
      <c r="C354" s="0" t="str">
        <f aca="false">Chase1168_2025!C354</f>
        <v>Zelle payment to Jeff Fajardo JPM99bquepdp</v>
      </c>
      <c r="D354" s="7" t="n">
        <f aca="false">Chase1168_2025!D354</f>
        <v>-150</v>
      </c>
      <c r="E354" s="0" t="str">
        <f aca="false">Chase1168_2025!E354</f>
        <v>CHASE_TO_PARTNERFI</v>
      </c>
      <c r="F354" s="7" t="n">
        <f aca="false">Chase1168_2025!F354</f>
        <v>32843.5</v>
      </c>
      <c r="G354" s="0" t="str">
        <f aca="false">Chase1168_2025!G354</f>
        <v>Zelle - Jeff Fajardo</v>
      </c>
      <c r="H354" s="15" t="n">
        <f aca="false">IF($B354="","",DATE(YEAR($B354),MONTH($B354),1))</f>
        <v>45931</v>
      </c>
      <c r="I354" s="0" t="str">
        <f aca="false">IF($G354="","Uncategorized — Review",IFERROR(INDEX(Mapping!$B:$B,MATCH($G354,Mapping!$A:$A,0)),"Uncategorized — Review"))</f>
        <v>Zelle - Jeff Fajardo</v>
      </c>
      <c r="J354" s="0" t="str">
        <f aca="false">IF($G354="","Uncategorized — Review",IFERROR(INDEX(Mapping!$C:$C,MATCH($G354,Mapping!$A:$A,0)),"Uncategorized — Review"))</f>
        <v>P2P Payments (Zelle/Venmo/PayPal)</v>
      </c>
    </row>
    <row r="355" customFormat="false" ht="15" hidden="false" customHeight="false" outlineLevel="0" collapsed="false">
      <c r="A355" s="0" t="str">
        <f aca="false">Chase1168_2025!A355</f>
        <v>DEBIT</v>
      </c>
      <c r="B355" s="14" t="n">
        <f aca="false">Chase1168_2025!B355</f>
        <v>45944</v>
      </c>
      <c r="C355" s="0" t="str">
        <f aca="false">Chase1168_2025!C355</f>
        <v>Zelle payment to Jeff Fajardo JPM99bquf0i7</v>
      </c>
      <c r="D355" s="7" t="n">
        <f aca="false">Chase1168_2025!D355</f>
        <v>-650</v>
      </c>
      <c r="E355" s="0" t="str">
        <f aca="false">Chase1168_2025!E355</f>
        <v>CHASE_TO_PARTNERFI</v>
      </c>
      <c r="F355" s="7" t="n">
        <f aca="false">Chase1168_2025!F355</f>
        <v>32993.5</v>
      </c>
      <c r="G355" s="0" t="str">
        <f aca="false">Chase1168_2025!G355</f>
        <v>Zelle - Jeff Fajardo</v>
      </c>
      <c r="H355" s="15" t="n">
        <f aca="false">IF($B355="","",DATE(YEAR($B355),MONTH($B355),1))</f>
        <v>45931</v>
      </c>
      <c r="I355" s="0" t="str">
        <f aca="false">IF($G355="","Uncategorized — Review",IFERROR(INDEX(Mapping!$B:$B,MATCH($G355,Mapping!$A:$A,0)),"Uncategorized — Review"))</f>
        <v>Zelle - Jeff Fajardo</v>
      </c>
      <c r="J355" s="0" t="str">
        <f aca="false">IF($G355="","Uncategorized — Review",IFERROR(INDEX(Mapping!$C:$C,MATCH($G355,Mapping!$A:$A,0)),"Uncategorized — Review"))</f>
        <v>P2P Payments (Zelle/Venmo/PayPal)</v>
      </c>
    </row>
    <row r="356" customFormat="false" ht="15" hidden="false" customHeight="false" outlineLevel="0" collapsed="false">
      <c r="A356" s="0" t="str">
        <f aca="false">Chase1168_2025!A356</f>
        <v>DEBIT</v>
      </c>
      <c r="B356" s="14" t="n">
        <f aca="false">Chase1168_2025!B356</f>
        <v>45944</v>
      </c>
      <c r="C356" s="0" t="str">
        <f aca="false">Chase1168_2025!C356</f>
        <v>Zelle payment to Jeff Fajardo JPM99bquej4v</v>
      </c>
      <c r="D356" s="7" t="n">
        <f aca="false">Chase1168_2025!D356</f>
        <v>-1500</v>
      </c>
      <c r="E356" s="0" t="str">
        <f aca="false">Chase1168_2025!E356</f>
        <v>CHASE_TO_PARTNERFI</v>
      </c>
      <c r="F356" s="7" t="n">
        <f aca="false">Chase1168_2025!F356</f>
        <v>33643.5</v>
      </c>
      <c r="G356" s="0" t="str">
        <f aca="false">Chase1168_2025!G356</f>
        <v>Zelle - Jeff Fajardo</v>
      </c>
      <c r="H356" s="15" t="n">
        <f aca="false">IF($B356="","",DATE(YEAR($B356),MONTH($B356),1))</f>
        <v>45931</v>
      </c>
      <c r="I356" s="0" t="str">
        <f aca="false">IF($G356="","Uncategorized — Review",IFERROR(INDEX(Mapping!$B:$B,MATCH($G356,Mapping!$A:$A,0)),"Uncategorized — Review"))</f>
        <v>Zelle - Jeff Fajardo</v>
      </c>
      <c r="J356" s="0" t="str">
        <f aca="false">IF($G356="","Uncategorized — Review",IFERROR(INDEX(Mapping!$C:$C,MATCH($G356,Mapping!$A:$A,0)),"Uncategorized — Review"))</f>
        <v>P2P Payments (Zelle/Venmo/PayPal)</v>
      </c>
    </row>
    <row r="357" customFormat="false" ht="15" hidden="false" customHeight="false" outlineLevel="0" collapsed="false">
      <c r="A357" s="0" t="str">
        <f aca="false">Chase1168_2025!A357</f>
        <v>DEBIT</v>
      </c>
      <c r="B357" s="14" t="n">
        <f aca="false">Chase1168_2025!B357</f>
        <v>45944</v>
      </c>
      <c r="C357" s="0" t="str">
        <f aca="false">Chase1168_2025!C357</f>
        <v>Online Transfer to CHK ...1117 transaction#: 26575731814 10/14</v>
      </c>
      <c r="D357" s="7" t="n">
        <f aca="false">Chase1168_2025!D357</f>
        <v>-2000</v>
      </c>
      <c r="E357" s="0" t="str">
        <f aca="false">Chase1168_2025!E357</f>
        <v>ACCT_XFER</v>
      </c>
      <c r="F357" s="7" t="n">
        <f aca="false">Chase1168_2025!F357</f>
        <v>35143.5</v>
      </c>
      <c r="G357" s="0" t="str">
        <f aca="false">Chase1168_2025!G357</f>
        <v>Transfer to Angela Dunning</v>
      </c>
      <c r="H357" s="15" t="n">
        <f aca="false">IF($B357="","",DATE(YEAR($B357),MONTH($B357),1))</f>
        <v>45931</v>
      </c>
      <c r="I357" s="0" t="str">
        <f aca="false">IF($G357="","Uncategorized — Review",IFERROR(INDEX(Mapping!$B:$B,MATCH($G357,Mapping!$A:$A,0)),"Uncategorized — Review"))</f>
        <v>Transfer to Angela Dunning</v>
      </c>
      <c r="J357" s="0" t="str">
        <f aca="false">IF($G357="","Uncategorized — Review",IFERROR(INDEX(Mapping!$C:$C,MATCH($G357,Mapping!$A:$A,0)),"Uncategorized — Review"))</f>
        <v>Owner / Family Distributions</v>
      </c>
    </row>
    <row r="358" customFormat="false" ht="15" hidden="false" customHeight="false" outlineLevel="0" collapsed="false">
      <c r="A358" s="0" t="str">
        <f aca="false">Chase1168_2025!A358</f>
        <v>DEBIT</v>
      </c>
      <c r="B358" s="14" t="n">
        <f aca="false">Chase1168_2025!B358</f>
        <v>45944</v>
      </c>
      <c r="C358" s="0" t="str">
        <f aca="false">Chase1168_2025!C358</f>
        <v>Zelle payment to Jeffrey Seider JPM99bqr82a5</v>
      </c>
      <c r="D358" s="7" t="n">
        <f aca="false">Chase1168_2025!D358</f>
        <v>-150</v>
      </c>
      <c r="E358" s="0" t="str">
        <f aca="false">Chase1168_2025!E358</f>
        <v>CHASE_TO_PARTNERFI</v>
      </c>
      <c r="F358" s="7" t="n">
        <f aca="false">Chase1168_2025!F358</f>
        <v>37143.5</v>
      </c>
      <c r="G358" s="0" t="str">
        <f aca="false">Chase1168_2025!G358</f>
        <v>Zelle - Jeff Seider</v>
      </c>
      <c r="H358" s="15" t="n">
        <f aca="false">IF($B358="","",DATE(YEAR($B358),MONTH($B358),1))</f>
        <v>45931</v>
      </c>
      <c r="I358" s="0" t="str">
        <f aca="false">IF($G358="","Uncategorized — Review",IFERROR(INDEX(Mapping!$B:$B,MATCH($G358,Mapping!$A:$A,0)),"Uncategorized — Review"))</f>
        <v>Zelle - Jeff Seider</v>
      </c>
      <c r="J358" s="0" t="str">
        <f aca="false">IF($G358="","Uncategorized — Review",IFERROR(INDEX(Mapping!$C:$C,MATCH($G358,Mapping!$A:$A,0)),"Uncategorized — Review"))</f>
        <v>P2P Payments (Zelle/Venmo/PayPal)</v>
      </c>
    </row>
    <row r="359" customFormat="false" ht="15" hidden="false" customHeight="false" outlineLevel="0" collapsed="false">
      <c r="A359" s="0" t="str">
        <f aca="false">Chase1168_2025!A359</f>
        <v>DEBIT</v>
      </c>
      <c r="B359" s="14" t="n">
        <f aca="false">Chase1168_2025!B359</f>
        <v>45944</v>
      </c>
      <c r="C359" s="0" t="str">
        <f aca="false">Chase1168_2025!C359</f>
        <v>Zelle payment to Jeff Fajardo JPM99bqr85fz</v>
      </c>
      <c r="D359" s="7" t="n">
        <f aca="false">Chase1168_2025!D359</f>
        <v>-635</v>
      </c>
      <c r="E359" s="0" t="str">
        <f aca="false">Chase1168_2025!E359</f>
        <v>CHASE_TO_PARTNERFI</v>
      </c>
      <c r="F359" s="7" t="n">
        <f aca="false">Chase1168_2025!F359</f>
        <v>37293.5</v>
      </c>
      <c r="G359" s="0" t="str">
        <f aca="false">Chase1168_2025!G359</f>
        <v>Zelle - Jeff Fajardo</v>
      </c>
      <c r="H359" s="15" t="n">
        <f aca="false">IF($B359="","",DATE(YEAR($B359),MONTH($B359),1))</f>
        <v>45931</v>
      </c>
      <c r="I359" s="0" t="str">
        <f aca="false">IF($G359="","Uncategorized — Review",IFERROR(INDEX(Mapping!$B:$B,MATCH($G359,Mapping!$A:$A,0)),"Uncategorized — Review"))</f>
        <v>Zelle - Jeff Fajardo</v>
      </c>
      <c r="J359" s="0" t="str">
        <f aca="false">IF($G359="","Uncategorized — Review",IFERROR(INDEX(Mapping!$C:$C,MATCH($G359,Mapping!$A:$A,0)),"Uncategorized — Review"))</f>
        <v>P2P Payments (Zelle/Venmo/PayPal)</v>
      </c>
    </row>
    <row r="360" customFormat="false" ht="15" hidden="false" customHeight="false" outlineLevel="0" collapsed="false">
      <c r="A360" s="0" t="str">
        <f aca="false">Chase1168_2025!A360</f>
        <v>DEBIT</v>
      </c>
      <c r="B360" s="14" t="n">
        <f aca="false">Chase1168_2025!B360</f>
        <v>45944</v>
      </c>
      <c r="C360" s="0" t="str">
        <f aca="false">Chase1168_2025!C360</f>
        <v>PAYPAL *UBER 866-576-1039 CA                 10/13</v>
      </c>
      <c r="D360" s="7" t="n">
        <f aca="false">Chase1168_2025!D360</f>
        <v>-9.49</v>
      </c>
      <c r="E360" s="0" t="str">
        <f aca="false">Chase1168_2025!E360</f>
        <v>DEBIT_CARD</v>
      </c>
      <c r="F360" s="7" t="n">
        <f aca="false">Chase1168_2025!F360</f>
        <v>37928.5</v>
      </c>
      <c r="G360" s="0" t="str">
        <f aca="false">Chase1168_2025!G360</f>
        <v>Personal - Car</v>
      </c>
      <c r="H360" s="15" t="n">
        <f aca="false">IF($B360="","",DATE(YEAR($B360),MONTH($B360),1))</f>
        <v>45931</v>
      </c>
      <c r="I360" s="0" t="str">
        <f aca="false">IF($G360="","Uncategorized — Review",IFERROR(INDEX(Mapping!$B:$B,MATCH($G360,Mapping!$A:$A,0)),"Uncategorized — Review"))</f>
        <v>Personal - Car &amp; Auto</v>
      </c>
      <c r="J360" s="0" t="str">
        <f aca="false">IF($G360="","Uncategorized — Review",IFERROR(INDEX(Mapping!$C:$C,MATCH($G360,Mapping!$A:$A,0)),"Uncategorized — Review"))</f>
        <v>Personal — Owner</v>
      </c>
    </row>
    <row r="361" customFormat="false" ht="15" hidden="false" customHeight="false" outlineLevel="0" collapsed="false">
      <c r="A361" s="0" t="str">
        <f aca="false">Chase1168_2025!A361</f>
        <v>DEBIT</v>
      </c>
      <c r="B361" s="14" t="n">
        <f aca="false">Chase1168_2025!B361</f>
        <v>45944</v>
      </c>
      <c r="C361" s="0" t="str">
        <f aca="false">Chase1168_2025!C361</f>
        <v>PAYPAL *UBER 866-576-1039 CA                 10/13</v>
      </c>
      <c r="D361" s="7" t="n">
        <f aca="false">Chase1168_2025!D361</f>
        <v>-5</v>
      </c>
      <c r="E361" s="0" t="str">
        <f aca="false">Chase1168_2025!E361</f>
        <v>DEBIT_CARD</v>
      </c>
      <c r="F361" s="7" t="n">
        <f aca="false">Chase1168_2025!F361</f>
        <v>37937.99</v>
      </c>
      <c r="G361" s="0" t="str">
        <f aca="false">Chase1168_2025!G361</f>
        <v>Personal - Car</v>
      </c>
      <c r="H361" s="15" t="n">
        <f aca="false">IF($B361="","",DATE(YEAR($B361),MONTH($B361),1))</f>
        <v>45931</v>
      </c>
      <c r="I361" s="0" t="str">
        <f aca="false">IF($G361="","Uncategorized — Review",IFERROR(INDEX(Mapping!$B:$B,MATCH($G361,Mapping!$A:$A,0)),"Uncategorized — Review"))</f>
        <v>Personal - Car &amp; Auto</v>
      </c>
      <c r="J361" s="0" t="str">
        <f aca="false">IF($G361="","Uncategorized — Review",IFERROR(INDEX(Mapping!$C:$C,MATCH($G361,Mapping!$A:$A,0)),"Uncategorized — Review"))</f>
        <v>Personal — Owner</v>
      </c>
    </row>
    <row r="362" customFormat="false" ht="15" hidden="false" customHeight="false" outlineLevel="0" collapsed="false">
      <c r="A362" s="0" t="str">
        <f aca="false">Chase1168_2025!A362</f>
        <v>DEBIT</v>
      </c>
      <c r="B362" s="14" t="n">
        <f aca="false">Chase1168_2025!B362</f>
        <v>45944</v>
      </c>
      <c r="C362" s="0" t="str">
        <f aca="false">Chase1168_2025!C362</f>
        <v>PAYPAL *HULU 877-801-5441 CA                 10/12</v>
      </c>
      <c r="D362" s="7" t="n">
        <f aca="false">Chase1168_2025!D362</f>
        <v>-18.99</v>
      </c>
      <c r="E362" s="0" t="str">
        <f aca="false">Chase1168_2025!E362</f>
        <v>DEBIT_CARD</v>
      </c>
      <c r="F362" s="7" t="n">
        <f aca="false">Chase1168_2025!F362</f>
        <v>37942.99</v>
      </c>
      <c r="G362" s="0" t="str">
        <f aca="false">Chase1168_2025!G362</f>
        <v>Personal - Subscriptions</v>
      </c>
      <c r="H362" s="15" t="n">
        <f aca="false">IF($B362="","",DATE(YEAR($B362),MONTH($B362),1))</f>
        <v>45931</v>
      </c>
      <c r="I362" s="0" t="str">
        <f aca="false">IF($G362="","Uncategorized — Review",IFERROR(INDEX(Mapping!$B:$B,MATCH($G362,Mapping!$A:$A,0)),"Uncategorized — Review"))</f>
        <v>Personal - Subscriptions</v>
      </c>
      <c r="J362" s="0" t="str">
        <f aca="false">IF($G362="","Uncategorized — Review",IFERROR(INDEX(Mapping!$C:$C,MATCH($G362,Mapping!$A:$A,0)),"Uncategorized — Review"))</f>
        <v>Personal — Owner</v>
      </c>
    </row>
    <row r="363" customFormat="false" ht="15" hidden="false" customHeight="false" outlineLevel="0" collapsed="false">
      <c r="A363" s="0" t="str">
        <f aca="false">Chase1168_2025!A363</f>
        <v>DEBIT</v>
      </c>
      <c r="B363" s="14" t="n">
        <f aca="false">Chase1168_2025!B363</f>
        <v>45944</v>
      </c>
      <c r="C363" s="0" t="str">
        <f aca="false">Chase1168_2025!C363</f>
        <v>PP*SPOTIFY*P3B68DC4B2 203-318-9708 NY        10/12</v>
      </c>
      <c r="D363" s="7" t="n">
        <f aca="false">Chase1168_2025!D363</f>
        <v>-11.99</v>
      </c>
      <c r="E363" s="0" t="str">
        <f aca="false">Chase1168_2025!E363</f>
        <v>DEBIT_CARD</v>
      </c>
      <c r="F363" s="7" t="n">
        <f aca="false">Chase1168_2025!F363</f>
        <v>37961.98</v>
      </c>
      <c r="G363" s="0" t="str">
        <f aca="false">Chase1168_2025!G363</f>
        <v>Personal - Subscriptions</v>
      </c>
      <c r="H363" s="15" t="n">
        <f aca="false">IF($B363="","",DATE(YEAR($B363),MONTH($B363),1))</f>
        <v>45931</v>
      </c>
      <c r="I363" s="0" t="str">
        <f aca="false">IF($G363="","Uncategorized — Review",IFERROR(INDEX(Mapping!$B:$B,MATCH($G363,Mapping!$A:$A,0)),"Uncategorized — Review"))</f>
        <v>Personal - Subscriptions</v>
      </c>
      <c r="J363" s="0" t="str">
        <f aca="false">IF($G363="","Uncategorized — Review",IFERROR(INDEX(Mapping!$C:$C,MATCH($G363,Mapping!$A:$A,0)),"Uncategorized — Review"))</f>
        <v>Personal — Owner</v>
      </c>
    </row>
    <row r="364" customFormat="false" ht="15" hidden="false" customHeight="false" outlineLevel="0" collapsed="false">
      <c r="A364" s="0" t="str">
        <f aca="false">Chase1168_2025!A364</f>
        <v>DEBIT</v>
      </c>
      <c r="B364" s="14" t="n">
        <f aca="false">Chase1168_2025!B364</f>
        <v>45944</v>
      </c>
      <c r="C364" s="0" t="str">
        <f aca="false">Chase1168_2025!C364</f>
        <v>PP*APPLE.COM/BILL 800-275-2273 CA            10/12</v>
      </c>
      <c r="D364" s="7" t="n">
        <f aca="false">Chase1168_2025!D364</f>
        <v>-17.99</v>
      </c>
      <c r="E364" s="0" t="str">
        <f aca="false">Chase1168_2025!E364</f>
        <v>DEBIT_CARD</v>
      </c>
      <c r="F364" s="7" t="n">
        <f aca="false">Chase1168_2025!F364</f>
        <v>37973.97</v>
      </c>
      <c r="G364" s="0" t="str">
        <f aca="false">Chase1168_2025!G364</f>
        <v>Personal - Subscriptions</v>
      </c>
      <c r="H364" s="15" t="n">
        <f aca="false">IF($B364="","",DATE(YEAR($B364),MONTH($B364),1))</f>
        <v>45931</v>
      </c>
      <c r="I364" s="0" t="str">
        <f aca="false">IF($G364="","Uncategorized — Review",IFERROR(INDEX(Mapping!$B:$B,MATCH($G364,Mapping!$A:$A,0)),"Uncategorized — Review"))</f>
        <v>Personal - Subscriptions</v>
      </c>
      <c r="J364" s="0" t="str">
        <f aca="false">IF($G364="","Uncategorized — Review",IFERROR(INDEX(Mapping!$C:$C,MATCH($G364,Mapping!$A:$A,0)),"Uncategorized — Review"))</f>
        <v>Personal — Owner</v>
      </c>
    </row>
    <row r="365" customFormat="false" ht="15" hidden="false" customHeight="false" outlineLevel="0" collapsed="false">
      <c r="A365" s="0" t="str">
        <f aca="false">Chase1168_2025!A365</f>
        <v>DEBIT</v>
      </c>
      <c r="B365" s="14" t="n">
        <f aca="false">Chase1168_2025!B365</f>
        <v>45944</v>
      </c>
      <c r="C365" s="0" t="str">
        <f aca="false">Chase1168_2025!C365</f>
        <v>ORIG CO NAME:BANNER LIFE            ORIG ID:1521236145 DESC DATE:251010 CO ENTRY DESCR:PREM DEBITSEC:PPD    TRACE#:091000013173466 EED:251014   IND ID:                             IND NAME:ANGELA L DUNNING TRN: 2873173466TC</v>
      </c>
      <c r="D365" s="7" t="n">
        <f aca="false">Chase1168_2025!D365</f>
        <v>-171.21</v>
      </c>
      <c r="E365" s="0" t="str">
        <f aca="false">Chase1168_2025!E365</f>
        <v>ACH_DEBIT</v>
      </c>
      <c r="F365" s="7" t="n">
        <f aca="false">Chase1168_2025!F365</f>
        <v>37991.96</v>
      </c>
      <c r="G365" s="0" t="str">
        <f aca="false">Chase1168_2025!G365</f>
        <v>Personal - Life Insurance</v>
      </c>
      <c r="H365" s="15" t="n">
        <f aca="false">IF($B365="","",DATE(YEAR($B365),MONTH($B365),1))</f>
        <v>45931</v>
      </c>
      <c r="I365" s="0" t="str">
        <f aca="false">IF($G365="","Uncategorized — Review",IFERROR(INDEX(Mapping!$B:$B,MATCH($G365,Mapping!$A:$A,0)),"Uncategorized — Review"))</f>
        <v>Personal - Life Insurance</v>
      </c>
      <c r="J365" s="0" t="str">
        <f aca="false">IF($G365="","Uncategorized — Review",IFERROR(INDEX(Mapping!$C:$C,MATCH($G365,Mapping!$A:$A,0)),"Uncategorized — Review"))</f>
        <v>Personal — Owner</v>
      </c>
    </row>
    <row r="366" customFormat="false" ht="15" hidden="false" customHeight="false" outlineLevel="0" collapsed="false">
      <c r="A366" s="0" t="str">
        <f aca="false">Chase1168_2025!A366</f>
        <v>DEBIT</v>
      </c>
      <c r="B366" s="14" t="n">
        <f aca="false">Chase1168_2025!B366</f>
        <v>45944</v>
      </c>
      <c r="C366" s="0" t="str">
        <f aca="false">Chase1168_2025!C366</f>
        <v>ORIG CO NAME:GM Financial           ORIG ID:I522190781 DESC DATE:251014 CO ENTRY DESCR:GMF Pymt  SEC:PPD    TRACE#:091000013458110 EED:251014   IND ID:                             IND NAME:ANGELA DUNNING TRN: 2873458110TC</v>
      </c>
      <c r="D366" s="7" t="n">
        <f aca="false">Chase1168_2025!D366</f>
        <v>-1249.96</v>
      </c>
      <c r="E366" s="0" t="str">
        <f aca="false">Chase1168_2025!E366</f>
        <v>ACH_DEBIT</v>
      </c>
      <c r="F366" s="7" t="n">
        <f aca="false">Chase1168_2025!F366</f>
        <v>38163.17</v>
      </c>
      <c r="G366" s="0" t="str">
        <f aca="false">Chase1168_2025!G366</f>
        <v>Personal - Car</v>
      </c>
      <c r="H366" s="15" t="n">
        <f aca="false">IF($B366="","",DATE(YEAR($B366),MONTH($B366),1))</f>
        <v>45931</v>
      </c>
      <c r="I366" s="0" t="str">
        <f aca="false">IF($G366="","Uncategorized — Review",IFERROR(INDEX(Mapping!$B:$B,MATCH($G366,Mapping!$A:$A,0)),"Uncategorized — Review"))</f>
        <v>Personal - Car &amp; Auto</v>
      </c>
      <c r="J366" s="0" t="str">
        <f aca="false">IF($G366="","Uncategorized — Review",IFERROR(INDEX(Mapping!$C:$C,MATCH($G366,Mapping!$A:$A,0)),"Uncategorized — Review"))</f>
        <v>Personal — Owner</v>
      </c>
    </row>
    <row r="367" customFormat="false" ht="15" hidden="false" customHeight="false" outlineLevel="0" collapsed="false">
      <c r="A367" s="0" t="str">
        <f aca="false">Chase1168_2025!A367</f>
        <v>DEBIT</v>
      </c>
      <c r="B367" s="14" t="n">
        <f aca="false">Chase1168_2025!B367</f>
        <v>45944</v>
      </c>
      <c r="C367" s="0" t="str">
        <f aca="false">Chase1168_2025!C367</f>
        <v>ORIG CO NAME:ALLSTATE V&amp;P INS       ORIG ID:1360719665 DESC DATE:OCT 25 CO ENTRY DESCR:INS PREM  SEC:PPD    TRACE#:021000025312002 EED:251014   IND ID:                             IND NAME:DUNNING TRN: 2875312002TC</v>
      </c>
      <c r="D367" s="7" t="n">
        <f aca="false">Chase1168_2025!D367</f>
        <v>-1533.71</v>
      </c>
      <c r="E367" s="0" t="str">
        <f aca="false">Chase1168_2025!E367</f>
        <v>ACH_DEBIT</v>
      </c>
      <c r="F367" s="7" t="n">
        <f aca="false">Chase1168_2025!F367</f>
        <v>39413.13</v>
      </c>
      <c r="G367" s="0" t="str">
        <f aca="false">Chase1168_2025!G367</f>
        <v>Personal - Car</v>
      </c>
      <c r="H367" s="15" t="n">
        <f aca="false">IF($B367="","",DATE(YEAR($B367),MONTH($B367),1))</f>
        <v>45931</v>
      </c>
      <c r="I367" s="0" t="str">
        <f aca="false">IF($G367="","Uncategorized — Review",IFERROR(INDEX(Mapping!$B:$B,MATCH($G367,Mapping!$A:$A,0)),"Uncategorized — Review"))</f>
        <v>Personal - Car &amp; Auto</v>
      </c>
      <c r="J367" s="0" t="str">
        <f aca="false">IF($G367="","Uncategorized — Review",IFERROR(INDEX(Mapping!$C:$C,MATCH($G367,Mapping!$A:$A,0)),"Uncategorized — Review"))</f>
        <v>Personal — Owner</v>
      </c>
    </row>
    <row r="368" customFormat="false" ht="15" hidden="false" customHeight="false" outlineLevel="0" collapsed="false">
      <c r="A368" s="0" t="str">
        <f aca="false">Chase1168_2025!A368</f>
        <v>DEBIT</v>
      </c>
      <c r="B368" s="14" t="n">
        <f aca="false">Chase1168_2025!B368</f>
        <v>45944</v>
      </c>
      <c r="C368" s="0" t="str">
        <f aca="false">Chase1168_2025!C368</f>
        <v>HLU*HULUPLUS hulu.com/bill CA                10/11</v>
      </c>
      <c r="D368" s="7" t="n">
        <f aca="false">Chase1168_2025!D368</f>
        <v>-53.97</v>
      </c>
      <c r="E368" s="0" t="str">
        <f aca="false">Chase1168_2025!E368</f>
        <v>DEBIT_CARD</v>
      </c>
      <c r="F368" s="7" t="n">
        <f aca="false">Chase1168_2025!F368</f>
        <v>40946.84</v>
      </c>
      <c r="G368" s="0" t="str">
        <f aca="false">Chase1168_2025!G368</f>
        <v>Personal - Subscriptions</v>
      </c>
      <c r="H368" s="15" t="n">
        <f aca="false">IF($B368="","",DATE(YEAR($B368),MONTH($B368),1))</f>
        <v>45931</v>
      </c>
      <c r="I368" s="0" t="str">
        <f aca="false">IF($G368="","Uncategorized — Review",IFERROR(INDEX(Mapping!$B:$B,MATCH($G368,Mapping!$A:$A,0)),"Uncategorized — Review"))</f>
        <v>Personal - Subscriptions</v>
      </c>
      <c r="J368" s="0" t="str">
        <f aca="false">IF($G368="","Uncategorized — Review",IFERROR(INDEX(Mapping!$C:$C,MATCH($G368,Mapping!$A:$A,0)),"Uncategorized — Review"))</f>
        <v>Personal — Owner</v>
      </c>
    </row>
    <row r="369" customFormat="false" ht="15" hidden="false" customHeight="false" outlineLevel="0" collapsed="false">
      <c r="A369" s="0" t="str">
        <f aca="false">Chase1168_2025!A369</f>
        <v>DEBIT</v>
      </c>
      <c r="B369" s="14" t="n">
        <f aca="false">Chase1168_2025!B369</f>
        <v>45944</v>
      </c>
      <c r="C369" s="0" t="str">
        <f aca="false">Chase1168_2025!C369</f>
        <v>PAYPAL *AVAST 541-554-6727 AZ                10/12</v>
      </c>
      <c r="D369" s="7" t="n">
        <f aca="false">Chase1168_2025!D369</f>
        <v>-99.99</v>
      </c>
      <c r="E369" s="0" t="str">
        <f aca="false">Chase1168_2025!E369</f>
        <v>DEBIT_CARD</v>
      </c>
      <c r="F369" s="7" t="n">
        <f aca="false">Chase1168_2025!F369</f>
        <v>41000.81</v>
      </c>
      <c r="G369" s="0" t="str">
        <f aca="false">Chase1168_2025!G369</f>
        <v>PayPal</v>
      </c>
      <c r="H369" s="15" t="n">
        <f aca="false">IF($B369="","",DATE(YEAR($B369),MONTH($B369),1))</f>
        <v>45931</v>
      </c>
      <c r="I369" s="0" t="str">
        <f aca="false">IF($G369="","Uncategorized — Review",IFERROR(INDEX(Mapping!$B:$B,MATCH($G369,Mapping!$A:$A,0)),"Uncategorized — Review"))</f>
        <v>PayPal</v>
      </c>
      <c r="J369" s="0" t="str">
        <f aca="false">IF($G369="","Uncategorized — Review",IFERROR(INDEX(Mapping!$C:$C,MATCH($G369,Mapping!$A:$A,0)),"Uncategorized — Review"))</f>
        <v>P2P Payments (Zelle/Venmo/PayPal)</v>
      </c>
    </row>
    <row r="370" customFormat="false" ht="15" hidden="false" customHeight="false" outlineLevel="0" collapsed="false">
      <c r="A370" s="0" t="str">
        <f aca="false">Chase1168_2025!A370</f>
        <v>CREDIT</v>
      </c>
      <c r="B370" s="14" t="n">
        <f aca="false">Chase1168_2025!B370</f>
        <v>45944</v>
      </c>
      <c r="C370" s="0" t="str">
        <f aca="false">Chase1168_2025!C370</f>
        <v>Online Transfer from CHK ...9335 transaction#: 26575788785</v>
      </c>
      <c r="D370" s="7" t="n">
        <f aca="false">Chase1168_2025!D370</f>
        <v>30000</v>
      </c>
      <c r="E370" s="0" t="str">
        <f aca="false">Chase1168_2025!E370</f>
        <v>ACCT_XFER</v>
      </c>
      <c r="F370" s="7" t="n">
        <f aca="false">Chase1168_2025!F370</f>
        <v>41100.8</v>
      </c>
      <c r="G370" s="0" t="str">
        <f aca="false">Chase1168_2025!G370</f>
        <v>Poseidon Asset Group (Incoming)</v>
      </c>
      <c r="H370" s="15" t="n">
        <f aca="false">IF($B370="","",DATE(YEAR($B370),MONTH($B370),1))</f>
        <v>45931</v>
      </c>
      <c r="I370" s="0" t="str">
        <f aca="false">IF($G370="","Uncategorized — Review",IFERROR(INDEX(Mapping!$B:$B,MATCH($G370,Mapping!$A:$A,0)),"Uncategorized — Review"))</f>
        <v>Poseidon Asset Group (Incoming)</v>
      </c>
      <c r="J370" s="0" t="str">
        <f aca="false">IF($G370="","Uncategorized — Review",IFERROR(INDEX(Mapping!$C:$C,MATCH($G370,Mapping!$A:$A,0)),"Uncategorized — Review"))</f>
        <v>Poseidon Asset Group</v>
      </c>
    </row>
    <row r="371" customFormat="false" ht="15" hidden="false" customHeight="false" outlineLevel="0" collapsed="false">
      <c r="A371" s="0" t="str">
        <f aca="false">Chase1168_2025!A371</f>
        <v>DEBIT</v>
      </c>
      <c r="B371" s="14" t="n">
        <f aca="false">Chase1168_2025!B371</f>
        <v>45940</v>
      </c>
      <c r="C371" s="0" t="str">
        <f aca="false">Chase1168_2025!C371</f>
        <v>Basic Online Payroll Payment 11190490719 to ########4122</v>
      </c>
      <c r="D371" s="7" t="n">
        <f aca="false">Chase1168_2025!D371</f>
        <v>-1500</v>
      </c>
      <c r="E371" s="0" t="str">
        <f aca="false">Chase1168_2025!E371</f>
        <v>BASIC_PAYROLL</v>
      </c>
      <c r="F371" s="7" t="n">
        <f aca="false">Chase1168_2025!F371</f>
        <v>11100.8</v>
      </c>
      <c r="G371" s="0" t="str">
        <f aca="false">Chase1168_2025!G371</f>
        <v>Mike Paytonjian - Payroll</v>
      </c>
      <c r="H371" s="15" t="n">
        <f aca="false">IF($B371="","",DATE(YEAR($B371),MONTH($B371),1))</f>
        <v>45931</v>
      </c>
      <c r="I371" s="0" t="str">
        <f aca="false">IF($G371="","Uncategorized — Review",IFERROR(INDEX(Mapping!$B:$B,MATCH($G371,Mapping!$A:$A,0)),"Uncategorized — Review"))</f>
        <v>Mike Paytonjian - Payroll</v>
      </c>
      <c r="J371" s="0" t="str">
        <f aca="false">IF($G371="","Uncategorized — Review",IFERROR(INDEX(Mapping!$C:$C,MATCH($G371,Mapping!$A:$A,0)),"Uncategorized — Review"))</f>
        <v>Payroll &amp; Contractors</v>
      </c>
    </row>
    <row r="372" customFormat="false" ht="15" hidden="false" customHeight="false" outlineLevel="0" collapsed="false">
      <c r="A372" s="0" t="str">
        <f aca="false">Chase1168_2025!A372</f>
        <v>DEBIT</v>
      </c>
      <c r="B372" s="14" t="n">
        <f aca="false">Chase1168_2025!B372</f>
        <v>45940</v>
      </c>
      <c r="C372" s="0" t="str">
        <f aca="false">Chase1168_2025!C372</f>
        <v>PAYPAL *AVAST 541-554-6727 AZ                10/10</v>
      </c>
      <c r="D372" s="7" t="n">
        <f aca="false">Chase1168_2025!D372</f>
        <v>-19.99</v>
      </c>
      <c r="E372" s="0" t="str">
        <f aca="false">Chase1168_2025!E372</f>
        <v>DEBIT_CARD</v>
      </c>
      <c r="F372" s="7" t="n">
        <f aca="false">Chase1168_2025!F372</f>
        <v>12600.8</v>
      </c>
      <c r="G372" s="0" t="str">
        <f aca="false">Chase1168_2025!G372</f>
        <v>PayPal</v>
      </c>
      <c r="H372" s="15" t="n">
        <f aca="false">IF($B372="","",DATE(YEAR($B372),MONTH($B372),1))</f>
        <v>45931</v>
      </c>
      <c r="I372" s="0" t="str">
        <f aca="false">IF($G372="","Uncategorized — Review",IFERROR(INDEX(Mapping!$B:$B,MATCH($G372,Mapping!$A:$A,0)),"Uncategorized — Review"))</f>
        <v>PayPal</v>
      </c>
      <c r="J372" s="0" t="str">
        <f aca="false">IF($G372="","Uncategorized — Review",IFERROR(INDEX(Mapping!$C:$C,MATCH($G372,Mapping!$A:$A,0)),"Uncategorized — Review"))</f>
        <v>P2P Payments (Zelle/Venmo/PayPal)</v>
      </c>
    </row>
    <row r="373" customFormat="false" ht="15" hidden="false" customHeight="false" outlineLevel="0" collapsed="false">
      <c r="A373" s="0" t="str">
        <f aca="false">Chase1168_2025!A373</f>
        <v>DEBIT</v>
      </c>
      <c r="B373" s="14" t="n">
        <f aca="false">Chase1168_2025!B373</f>
        <v>45940</v>
      </c>
      <c r="C373" s="0" t="str">
        <f aca="false">Chase1168_2025!C373</f>
        <v>PAYPAL *UBER 866-576-1039 CA                 10/10</v>
      </c>
      <c r="D373" s="7" t="n">
        <f aca="false">Chase1168_2025!D373</f>
        <v>-19.89</v>
      </c>
      <c r="E373" s="0" t="str">
        <f aca="false">Chase1168_2025!E373</f>
        <v>DEBIT_CARD</v>
      </c>
      <c r="F373" s="7" t="n">
        <f aca="false">Chase1168_2025!F373</f>
        <v>12620.79</v>
      </c>
      <c r="G373" s="0" t="str">
        <f aca="false">Chase1168_2025!G373</f>
        <v>Personal - Car</v>
      </c>
      <c r="H373" s="15" t="n">
        <f aca="false">IF($B373="","",DATE(YEAR($B373),MONTH($B373),1))</f>
        <v>45931</v>
      </c>
      <c r="I373" s="0" t="str">
        <f aca="false">IF($G373="","Uncategorized — Review",IFERROR(INDEX(Mapping!$B:$B,MATCH($G373,Mapping!$A:$A,0)),"Uncategorized — Review"))</f>
        <v>Personal - Car &amp; Auto</v>
      </c>
      <c r="J373" s="0" t="str">
        <f aca="false">IF($G373="","Uncategorized — Review",IFERROR(INDEX(Mapping!$C:$C,MATCH($G373,Mapping!$A:$A,0)),"Uncategorized — Review"))</f>
        <v>Personal — Owner</v>
      </c>
    </row>
    <row r="374" customFormat="false" ht="15" hidden="false" customHeight="false" outlineLevel="0" collapsed="false">
      <c r="A374" s="0" t="str">
        <f aca="false">Chase1168_2025!A374</f>
        <v>DEBIT</v>
      </c>
      <c r="B374" s="14" t="n">
        <f aca="false">Chase1168_2025!B374</f>
        <v>45940</v>
      </c>
      <c r="C374" s="0" t="str">
        <f aca="false">Chase1168_2025!C374</f>
        <v>PP*APPLE.COM/BILL 800-275-2273 CA            10/10</v>
      </c>
      <c r="D374" s="7" t="n">
        <f aca="false">Chase1168_2025!D374</f>
        <v>-11.99</v>
      </c>
      <c r="E374" s="0" t="str">
        <f aca="false">Chase1168_2025!E374</f>
        <v>DEBIT_CARD</v>
      </c>
      <c r="F374" s="7" t="n">
        <f aca="false">Chase1168_2025!F374</f>
        <v>12640.68</v>
      </c>
      <c r="G374" s="0" t="str">
        <f aca="false">Chase1168_2025!G374</f>
        <v>Personal - Subscriptions</v>
      </c>
      <c r="H374" s="15" t="n">
        <f aca="false">IF($B374="","",DATE(YEAR($B374),MONTH($B374),1))</f>
        <v>45931</v>
      </c>
      <c r="I374" s="0" t="str">
        <f aca="false">IF($G374="","Uncategorized — Review",IFERROR(INDEX(Mapping!$B:$B,MATCH($G374,Mapping!$A:$A,0)),"Uncategorized — Review"))</f>
        <v>Personal - Subscriptions</v>
      </c>
      <c r="J374" s="0" t="str">
        <f aca="false">IF($G374="","Uncategorized — Review",IFERROR(INDEX(Mapping!$C:$C,MATCH($G374,Mapping!$A:$A,0)),"Uncategorized — Review"))</f>
        <v>Personal — Owner</v>
      </c>
    </row>
    <row r="375" customFormat="false" ht="15" hidden="false" customHeight="false" outlineLevel="0" collapsed="false">
      <c r="A375" s="0" t="str">
        <f aca="false">Chase1168_2025!A375</f>
        <v>DEBIT</v>
      </c>
      <c r="B375" s="14" t="n">
        <f aca="false">Chase1168_2025!B375</f>
        <v>45939</v>
      </c>
      <c r="C375" s="0" t="str">
        <f aca="false">Chase1168_2025!C375</f>
        <v>ONLINE FX INTERNATIONAL WIRE FEE</v>
      </c>
      <c r="D375" s="7" t="n">
        <f aca="false">Chase1168_2025!D375</f>
        <v>-5</v>
      </c>
      <c r="E375" s="0" t="str">
        <f aca="false">Chase1168_2025!E375</f>
        <v>FEE_TRANSACTION</v>
      </c>
      <c r="F375" s="7" t="n">
        <f aca="false">Chase1168_2025!F375</f>
        <v>12652.67</v>
      </c>
      <c r="G375" s="0" t="str">
        <f aca="false">Chase1168_2025!G375</f>
        <v>Andres Alarcon Payroll</v>
      </c>
      <c r="H375" s="15" t="n">
        <f aca="false">IF($B375="","",DATE(YEAR($B375),MONTH($B375),1))</f>
        <v>45931</v>
      </c>
      <c r="I375" s="0" t="str">
        <f aca="false">IF($G375="","Uncategorized — Review",IFERROR(INDEX(Mapping!$B:$B,MATCH($G375,Mapping!$A:$A,0)),"Uncategorized — Review"))</f>
        <v>Andres Alarcon Payroll</v>
      </c>
      <c r="J375" s="0" t="str">
        <f aca="false">IF($G375="","Uncategorized — Review",IFERROR(INDEX(Mapping!$C:$C,MATCH($G375,Mapping!$A:$A,0)),"Uncategorized — Review"))</f>
        <v>Payroll &amp; Contractors</v>
      </c>
    </row>
    <row r="376" customFormat="false" ht="15" hidden="false" customHeight="false" outlineLevel="0" collapsed="false">
      <c r="A376" s="0" t="str">
        <f aca="false">Chase1168_2025!A376</f>
        <v>DEBIT</v>
      </c>
      <c r="B376" s="14" t="n">
        <f aca="false">Chase1168_2025!B376</f>
        <v>45939</v>
      </c>
      <c r="C376" s="0" t="str">
        <f aca="false">Chase1168_2025!C376</f>
        <v>Online Transfer to CHK ...1117 transaction#: 26525916775 10/09</v>
      </c>
      <c r="D376" s="7" t="n">
        <f aca="false">Chase1168_2025!D376</f>
        <v>-1000</v>
      </c>
      <c r="E376" s="0" t="str">
        <f aca="false">Chase1168_2025!E376</f>
        <v>ACCT_XFER</v>
      </c>
      <c r="F376" s="7" t="n">
        <f aca="false">Chase1168_2025!F376</f>
        <v>12657.67</v>
      </c>
      <c r="G376" s="0" t="str">
        <f aca="false">Chase1168_2025!G376</f>
        <v>Transfer to Angela Dunning</v>
      </c>
      <c r="H376" s="15" t="n">
        <f aca="false">IF($B376="","",DATE(YEAR($B376),MONTH($B376),1))</f>
        <v>45931</v>
      </c>
      <c r="I376" s="0" t="str">
        <f aca="false">IF($G376="","Uncategorized — Review",IFERROR(INDEX(Mapping!$B:$B,MATCH($G376,Mapping!$A:$A,0)),"Uncategorized — Review"))</f>
        <v>Transfer to Angela Dunning</v>
      </c>
      <c r="J376" s="0" t="str">
        <f aca="false">IF($G376="","Uncategorized — Review",IFERROR(INDEX(Mapping!$C:$C,MATCH($G376,Mapping!$A:$A,0)),"Uncategorized — Review"))</f>
        <v>Owner / Family Distributions</v>
      </c>
    </row>
    <row r="377" customFormat="false" ht="15" hidden="false" customHeight="false" outlineLevel="0" collapsed="false">
      <c r="A377" s="0" t="str">
        <f aca="false">Chase1168_2025!A377</f>
        <v>DEBIT</v>
      </c>
      <c r="B377" s="14" t="n">
        <f aca="false">Chase1168_2025!B377</f>
        <v>45939</v>
      </c>
      <c r="C377" s="0" t="str">
        <f aca="false">Chase1168_2025!C377</f>
        <v>Zelle payment to jeff Fajardo JPM99bqa35h7</v>
      </c>
      <c r="D377" s="7" t="n">
        <f aca="false">Chase1168_2025!D377</f>
        <v>-675</v>
      </c>
      <c r="E377" s="0" t="str">
        <f aca="false">Chase1168_2025!E377</f>
        <v>CHASE_TO_PARTNERFI</v>
      </c>
      <c r="F377" s="7" t="n">
        <f aca="false">Chase1168_2025!F377</f>
        <v>13657.67</v>
      </c>
      <c r="G377" s="0" t="str">
        <f aca="false">Chase1168_2025!G377</f>
        <v>Zelle - Jeff Fajardo</v>
      </c>
      <c r="H377" s="15" t="n">
        <f aca="false">IF($B377="","",DATE(YEAR($B377),MONTH($B377),1))</f>
        <v>45931</v>
      </c>
      <c r="I377" s="0" t="str">
        <f aca="false">IF($G377="","Uncategorized — Review",IFERROR(INDEX(Mapping!$B:$B,MATCH($G377,Mapping!$A:$A,0)),"Uncategorized — Review"))</f>
        <v>Zelle - Jeff Fajardo</v>
      </c>
      <c r="J377" s="0" t="str">
        <f aca="false">IF($G377="","Uncategorized — Review",IFERROR(INDEX(Mapping!$C:$C,MATCH($G377,Mapping!$A:$A,0)),"Uncategorized — Review"))</f>
        <v>P2P Payments (Zelle/Venmo/PayPal)</v>
      </c>
    </row>
    <row r="378" customFormat="false" ht="15" hidden="false" customHeight="false" outlineLevel="0" collapsed="false">
      <c r="A378" s="0" t="str">
        <f aca="false">Chase1168_2025!A378</f>
        <v>DEBIT</v>
      </c>
      <c r="B378" s="14" t="n">
        <f aca="false">Chase1168_2025!B378</f>
        <v>45939</v>
      </c>
      <c r="C378" s="0" t="str">
        <f aca="false">Chase1168_2025!C378</f>
        <v>Zelle payment to jeff Fajardo JPM99bqa33ir</v>
      </c>
      <c r="D378" s="7" t="n">
        <f aca="false">Chase1168_2025!D378</f>
        <v>-700</v>
      </c>
      <c r="E378" s="0" t="str">
        <f aca="false">Chase1168_2025!E378</f>
        <v>CHASE_TO_PARTNERFI</v>
      </c>
      <c r="F378" s="7" t="n">
        <f aca="false">Chase1168_2025!F378</f>
        <v>14332.67</v>
      </c>
      <c r="G378" s="0" t="str">
        <f aca="false">Chase1168_2025!G378</f>
        <v>Zelle - Jeff Fajardo</v>
      </c>
      <c r="H378" s="15" t="n">
        <f aca="false">IF($B378="","",DATE(YEAR($B378),MONTH($B378),1))</f>
        <v>45931</v>
      </c>
      <c r="I378" s="0" t="str">
        <f aca="false">IF($G378="","Uncategorized — Review",IFERROR(INDEX(Mapping!$B:$B,MATCH($G378,Mapping!$A:$A,0)),"Uncategorized — Review"))</f>
        <v>Zelle - Jeff Fajardo</v>
      </c>
      <c r="J378" s="0" t="str">
        <f aca="false">IF($G378="","Uncategorized — Review",IFERROR(INDEX(Mapping!$C:$C,MATCH($G378,Mapping!$A:$A,0)),"Uncategorized — Review"))</f>
        <v>P2P Payments (Zelle/Venmo/PayPal)</v>
      </c>
    </row>
    <row r="379" customFormat="false" ht="15" hidden="false" customHeight="false" outlineLevel="0" collapsed="false">
      <c r="A379" s="0" t="str">
        <f aca="false">Chase1168_2025!A379</f>
        <v>DEBIT</v>
      </c>
      <c r="B379" s="14" t="n">
        <f aca="false">Chase1168_2025!B379</f>
        <v>45939</v>
      </c>
      <c r="C379" s="0" t="str">
        <f aca="false">Chase1168_2025!C379</f>
        <v>Online Transfer to CHK ...1117 transaction#: 26525858310 10/09</v>
      </c>
      <c r="D379" s="7" t="n">
        <f aca="false">Chase1168_2025!D379</f>
        <v>-3000</v>
      </c>
      <c r="E379" s="0" t="str">
        <f aca="false">Chase1168_2025!E379</f>
        <v>ACCT_XFER</v>
      </c>
      <c r="F379" s="7" t="n">
        <f aca="false">Chase1168_2025!F379</f>
        <v>15032.67</v>
      </c>
      <c r="G379" s="0" t="str">
        <f aca="false">Chase1168_2025!G379</f>
        <v>Transfer to Angela Dunning</v>
      </c>
      <c r="H379" s="15" t="n">
        <f aca="false">IF($B379="","",DATE(YEAR($B379),MONTH($B379),1))</f>
        <v>45931</v>
      </c>
      <c r="I379" s="0" t="str">
        <f aca="false">IF($G379="","Uncategorized — Review",IFERROR(INDEX(Mapping!$B:$B,MATCH($G379,Mapping!$A:$A,0)),"Uncategorized — Review"))</f>
        <v>Transfer to Angela Dunning</v>
      </c>
      <c r="J379" s="0" t="str">
        <f aca="false">IF($G379="","Uncategorized — Review",IFERROR(INDEX(Mapping!$C:$C,MATCH($G379,Mapping!$A:$A,0)),"Uncategorized — Review"))</f>
        <v>Owner / Family Distributions</v>
      </c>
    </row>
    <row r="380" customFormat="false" ht="15" hidden="false" customHeight="false" outlineLevel="0" collapsed="false">
      <c r="A380" s="0" t="str">
        <f aca="false">Chase1168_2025!A380</f>
        <v>DEBIT</v>
      </c>
      <c r="B380" s="14" t="n">
        <f aca="false">Chase1168_2025!B380</f>
        <v>45939</v>
      </c>
      <c r="C380" s="0" t="str">
        <f aca="false">Chase1168_2025!C380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PAYMENTS/OCMT/COP27 86616,00/EXCH/3715.4880/CNTR/186391 37/INT/ANDRES_52763ATHOTMAIL.C TRN: 3283800282RE 10/09</v>
      </c>
      <c r="D380" s="7" t="n">
        <f aca="false">Chase1168_2025!D380</f>
        <v>-750</v>
      </c>
      <c r="E380" s="0" t="str">
        <f aca="false">Chase1168_2025!E380</f>
        <v>WIRE_OUTGOING</v>
      </c>
      <c r="F380" s="7" t="n">
        <f aca="false">Chase1168_2025!F380</f>
        <v>18032.67</v>
      </c>
      <c r="G380" s="0" t="str">
        <f aca="false">Chase1168_2025!G380</f>
        <v>Andres Alarcon Payroll</v>
      </c>
      <c r="H380" s="15" t="n">
        <f aca="false">IF($B380="","",DATE(YEAR($B380),MONTH($B380),1))</f>
        <v>45931</v>
      </c>
      <c r="I380" s="0" t="str">
        <f aca="false">IF($G380="","Uncategorized — Review",IFERROR(INDEX(Mapping!$B:$B,MATCH($G380,Mapping!$A:$A,0)),"Uncategorized — Review"))</f>
        <v>Andres Alarcon Payroll</v>
      </c>
      <c r="J380" s="0" t="str">
        <f aca="false">IF($G380="","Uncategorized — Review",IFERROR(INDEX(Mapping!$C:$C,MATCH($G380,Mapping!$A:$A,0)),"Uncategorized — Review"))</f>
        <v>Payroll &amp; Contractors</v>
      </c>
    </row>
    <row r="381" customFormat="false" ht="15" hidden="false" customHeight="false" outlineLevel="0" collapsed="false">
      <c r="A381" s="0" t="str">
        <f aca="false">Chase1168_2025!A381</f>
        <v>DEBIT</v>
      </c>
      <c r="B381" s="14" t="n">
        <f aca="false">Chase1168_2025!B381</f>
        <v>45938</v>
      </c>
      <c r="C381" s="0" t="str">
        <f aca="false">Chase1168_2025!C381</f>
        <v>ORIG CO NAME:VENMO                  ORIG ID:3264681992 DESC DATE:251008 CO ENTRY DESCR:PAYMENT   SEC:WEB    TRACE#:021000027273220 EED:251008   IND ID:1045389723874                IND NAME:JUDD DUNNING                                                                                                 251008PPZMID TRN: 2817273220TC</v>
      </c>
      <c r="D381" s="7" t="n">
        <f aca="false">Chase1168_2025!D381</f>
        <v>-1250</v>
      </c>
      <c r="E381" s="0" t="str">
        <f aca="false">Chase1168_2025!E381</f>
        <v>ACH_DEBIT</v>
      </c>
      <c r="F381" s="7" t="n">
        <f aca="false">Chase1168_2025!F381</f>
        <v>18782.67</v>
      </c>
      <c r="G381" s="0" t="str">
        <f aca="false">Chase1168_2025!G381</f>
        <v>Venmo</v>
      </c>
      <c r="H381" s="15" t="n">
        <f aca="false">IF($B381="","",DATE(YEAR($B381),MONTH($B381),1))</f>
        <v>45931</v>
      </c>
      <c r="I381" s="0" t="str">
        <f aca="false">IF($G381="","Uncategorized — Review",IFERROR(INDEX(Mapping!$B:$B,MATCH($G381,Mapping!$A:$A,0)),"Uncategorized — Review"))</f>
        <v>Venmo</v>
      </c>
      <c r="J381" s="0" t="str">
        <f aca="false">IF($G381="","Uncategorized — Review",IFERROR(INDEX(Mapping!$C:$C,MATCH($G381,Mapping!$A:$A,0)),"Uncategorized — Review"))</f>
        <v>P2P Payments (Zelle/Venmo/PayPal)</v>
      </c>
    </row>
    <row r="382" customFormat="false" ht="15" hidden="false" customHeight="false" outlineLevel="0" collapsed="false">
      <c r="A382" s="0" t="str">
        <f aca="false">Chase1168_2025!A382</f>
        <v>DEBIT</v>
      </c>
      <c r="B382" s="14" t="n">
        <f aca="false">Chase1168_2025!B382</f>
        <v>45938</v>
      </c>
      <c r="C382" s="0" t="str">
        <f aca="false">Chase1168_2025!C382</f>
        <v>ORIG CO NAME:VENMO                  ORIG ID:3264681992 DESC DATE:251008 CO ENTRY DESCR:PAYMENT   SEC:WEB    TRACE#:021000027876547 EED:251008   IND ID:1045371779844                IND NAME:JUDD DUNNING                                                                                                 251008PPZDU5 TRN: 2817876547TC</v>
      </c>
      <c r="D382" s="7" t="n">
        <f aca="false">Chase1168_2025!D382</f>
        <v>-625</v>
      </c>
      <c r="E382" s="0" t="str">
        <f aca="false">Chase1168_2025!E382</f>
        <v>ACH_DEBIT</v>
      </c>
      <c r="F382" s="7" t="n">
        <f aca="false">Chase1168_2025!F382</f>
        <v>20032.67</v>
      </c>
      <c r="G382" s="0" t="str">
        <f aca="false">Chase1168_2025!G382</f>
        <v>Venmo</v>
      </c>
      <c r="H382" s="15" t="n">
        <f aca="false">IF($B382="","",DATE(YEAR($B382),MONTH($B382),1))</f>
        <v>45931</v>
      </c>
      <c r="I382" s="0" t="str">
        <f aca="false">IF($G382="","Uncategorized — Review",IFERROR(INDEX(Mapping!$B:$B,MATCH($G382,Mapping!$A:$A,0)),"Uncategorized — Review"))</f>
        <v>Venmo</v>
      </c>
      <c r="J382" s="0" t="str">
        <f aca="false">IF($G382="","Uncategorized — Review",IFERROR(INDEX(Mapping!$C:$C,MATCH($G382,Mapping!$A:$A,0)),"Uncategorized — Review"))</f>
        <v>P2P Payments (Zelle/Venmo/PayPal)</v>
      </c>
    </row>
    <row r="383" customFormat="false" ht="15" hidden="false" customHeight="false" outlineLevel="0" collapsed="false">
      <c r="A383" s="0" t="str">
        <f aca="false">Chase1168_2025!A383</f>
        <v>DEBIT</v>
      </c>
      <c r="B383" s="14" t="n">
        <f aca="false">Chase1168_2025!B383</f>
        <v>45938</v>
      </c>
      <c r="C383" s="0" t="str">
        <f aca="false">Chase1168_2025!C383</f>
        <v>PP*APPLE.COM/BILL 800-275-2273 CA            10/08</v>
      </c>
      <c r="D383" s="7" t="n">
        <f aca="false">Chase1168_2025!D383</f>
        <v>-8.99</v>
      </c>
      <c r="E383" s="0" t="str">
        <f aca="false">Chase1168_2025!E383</f>
        <v>DEBIT_CARD</v>
      </c>
      <c r="F383" s="7" t="n">
        <f aca="false">Chase1168_2025!F383</f>
        <v>20657.67</v>
      </c>
      <c r="G383" s="0" t="str">
        <f aca="false">Chase1168_2025!G383</f>
        <v>Personal - Subscriptions</v>
      </c>
      <c r="H383" s="15" t="n">
        <f aca="false">IF($B383="","",DATE(YEAR($B383),MONTH($B383),1))</f>
        <v>45931</v>
      </c>
      <c r="I383" s="0" t="str">
        <f aca="false">IF($G383="","Uncategorized — Review",IFERROR(INDEX(Mapping!$B:$B,MATCH($G383,Mapping!$A:$A,0)),"Uncategorized — Review"))</f>
        <v>Personal - Subscriptions</v>
      </c>
      <c r="J383" s="0" t="str">
        <f aca="false">IF($G383="","Uncategorized — Review",IFERROR(INDEX(Mapping!$C:$C,MATCH($G383,Mapping!$A:$A,0)),"Uncategorized — Review"))</f>
        <v>Personal — Owner</v>
      </c>
    </row>
    <row r="384" customFormat="false" ht="15" hidden="false" customHeight="false" outlineLevel="0" collapsed="false">
      <c r="A384" s="0" t="str">
        <f aca="false">Chase1168_2025!A384</f>
        <v>DEBIT</v>
      </c>
      <c r="B384" s="14" t="n">
        <f aca="false">Chase1168_2025!B384</f>
        <v>45938</v>
      </c>
      <c r="C384" s="0" t="str">
        <f aca="false">Chase1168_2025!C384</f>
        <v>WWW.PERPLEXITY.AI WWW.PERPLEXIT CA           10/07</v>
      </c>
      <c r="D384" s="7" t="n">
        <f aca="false">Chase1168_2025!D384</f>
        <v>-21.28</v>
      </c>
      <c r="E384" s="0" t="str">
        <f aca="false">Chase1168_2025!E384</f>
        <v>DEBIT_CARD</v>
      </c>
      <c r="F384" s="7" t="n">
        <f aca="false">Chase1168_2025!F384</f>
        <v>20666.66</v>
      </c>
      <c r="G384" s="0" t="str">
        <f aca="false">Chase1168_2025!G384</f>
        <v>AI Subscriptions</v>
      </c>
      <c r="H384" s="15" t="n">
        <f aca="false">IF($B384="","",DATE(YEAR($B384),MONTH($B384),1))</f>
        <v>45931</v>
      </c>
      <c r="I384" s="0" t="str">
        <f aca="false">IF($G384="","Uncategorized — Review",IFERROR(INDEX(Mapping!$B:$B,MATCH($G384,Mapping!$A:$A,0)),"Uncategorized — Review"))</f>
        <v>AI Subscriptions</v>
      </c>
      <c r="J384" s="0" t="str">
        <f aca="false">IF($G384="","Uncategorized — Review",IFERROR(INDEX(Mapping!$C:$C,MATCH($G384,Mapping!$A:$A,0)),"Uncategorized — Review"))</f>
        <v>DWG Operating</v>
      </c>
    </row>
    <row r="385" customFormat="false" ht="15" hidden="false" customHeight="false" outlineLevel="0" collapsed="false">
      <c r="A385" s="0" t="str">
        <f aca="false">Chase1168_2025!A385</f>
        <v>DEBIT</v>
      </c>
      <c r="B385" s="14" t="n">
        <f aca="false">Chase1168_2025!B385</f>
        <v>45937</v>
      </c>
      <c r="C385" s="0" t="str">
        <f aca="false">Chase1168_2025!C385</f>
        <v>PAYPAL *GRUBHUBFOOD L 877-585-7878 IL        10/07</v>
      </c>
      <c r="D385" s="7" t="n">
        <f aca="false">Chase1168_2025!D385</f>
        <v>-55.3</v>
      </c>
      <c r="E385" s="0" t="str">
        <f aca="false">Chase1168_2025!E385</f>
        <v>DEBIT_CARD</v>
      </c>
      <c r="F385" s="7" t="n">
        <f aca="false">Chase1168_2025!F385</f>
        <v>20687.94</v>
      </c>
      <c r="G385" s="0" t="str">
        <f aca="false">Chase1168_2025!G385</f>
        <v>Personal - Food</v>
      </c>
      <c r="H385" s="15" t="n">
        <f aca="false">IF($B385="","",DATE(YEAR($B385),MONTH($B385),1))</f>
        <v>45931</v>
      </c>
      <c r="I385" s="0" t="str">
        <f aca="false">IF($G385="","Uncategorized — Review",IFERROR(INDEX(Mapping!$B:$B,MATCH($G385,Mapping!$A:$A,0)),"Uncategorized — Review"))</f>
        <v>Personal - Food &amp; Dining</v>
      </c>
      <c r="J385" s="0" t="str">
        <f aca="false">IF($G385="","Uncategorized — Review",IFERROR(INDEX(Mapping!$C:$C,MATCH($G385,Mapping!$A:$A,0)),"Uncategorized — Review"))</f>
        <v>Personal — Owner</v>
      </c>
    </row>
    <row r="386" customFormat="false" ht="15" hidden="false" customHeight="false" outlineLevel="0" collapsed="false">
      <c r="A386" s="0" t="str">
        <f aca="false">Chase1168_2025!A386</f>
        <v>DEBIT</v>
      </c>
      <c r="B386" s="14" t="n">
        <f aca="false">Chase1168_2025!B386</f>
        <v>45937</v>
      </c>
      <c r="C386" s="0" t="str">
        <f aca="false">Chase1168_2025!C386</f>
        <v>PAYPAL *FANDANGO 866-857-5191 CA             10/07</v>
      </c>
      <c r="D386" s="7" t="n">
        <f aca="false">Chase1168_2025!D386</f>
        <v>-43.74</v>
      </c>
      <c r="E386" s="0" t="str">
        <f aca="false">Chase1168_2025!E386</f>
        <v>DEBIT_CARD</v>
      </c>
      <c r="F386" s="7" t="n">
        <f aca="false">Chase1168_2025!F386</f>
        <v>20743.24</v>
      </c>
      <c r="G386" s="0" t="str">
        <f aca="false">Chase1168_2025!G386</f>
        <v>Personal - Entertainment</v>
      </c>
      <c r="H386" s="15" t="n">
        <f aca="false">IF($B386="","",DATE(YEAR($B386),MONTH($B386),1))</f>
        <v>45931</v>
      </c>
      <c r="I386" s="0" t="str">
        <f aca="false">IF($G386="","Uncategorized — Review",IFERROR(INDEX(Mapping!$B:$B,MATCH($G386,Mapping!$A:$A,0)),"Uncategorized — Review"))</f>
        <v>Personal - Entertainment</v>
      </c>
      <c r="J386" s="0" t="str">
        <f aca="false">IF($G386="","Uncategorized — Review",IFERROR(INDEX(Mapping!$C:$C,MATCH($G386,Mapping!$A:$A,0)),"Uncategorized — Review"))</f>
        <v>Personal — Owner</v>
      </c>
    </row>
    <row r="387" customFormat="false" ht="15" hidden="false" customHeight="false" outlineLevel="0" collapsed="false">
      <c r="A387" s="0" t="str">
        <f aca="false">Chase1168_2025!A387</f>
        <v>DEBIT</v>
      </c>
      <c r="B387" s="14" t="n">
        <f aca="false">Chase1168_2025!B387</f>
        <v>45936</v>
      </c>
      <c r="C387" s="0" t="str">
        <f aca="false">Chase1168_2025!C387</f>
        <v>Online Transfer to CHK ...0709 transaction#: 26491667901 10/06</v>
      </c>
      <c r="D387" s="7" t="n">
        <f aca="false">Chase1168_2025!D387</f>
        <v>-2000</v>
      </c>
      <c r="E387" s="0" t="str">
        <f aca="false">Chase1168_2025!E387</f>
        <v>ACCT_XFER</v>
      </c>
      <c r="F387" s="7" t="n">
        <f aca="false">Chase1168_2025!F387</f>
        <v>20786.98</v>
      </c>
      <c r="G387" s="0" t="str">
        <f aca="false">Chase1168_2025!G387</f>
        <v>Transfer to DWG Capital Group_Savings</v>
      </c>
      <c r="H387" s="15" t="n">
        <f aca="false">IF($B387="","",DATE(YEAR($B387),MONTH($B387),1))</f>
        <v>45931</v>
      </c>
      <c r="I387" s="0" t="str">
        <f aca="false">IF($G387="","Uncategorized — Review",IFERROR(INDEX(Mapping!$B:$B,MATCH($G387,Mapping!$A:$A,0)),"Uncategorized — Review"))</f>
        <v>Transfer to DWG Savings</v>
      </c>
      <c r="J387" s="0" t="str">
        <f aca="false">IF($G387="","Uncategorized — Review",IFERROR(INDEX(Mapping!$C:$C,MATCH($G387,Mapping!$A:$A,0)),"Uncategorized — Review"))</f>
        <v>Intercompany &amp; Savings Transfers</v>
      </c>
    </row>
    <row r="388" customFormat="false" ht="15" hidden="false" customHeight="false" outlineLevel="0" collapsed="false">
      <c r="A388" s="0" t="str">
        <f aca="false">Chase1168_2025!A388</f>
        <v>DEBIT</v>
      </c>
      <c r="B388" s="14" t="n">
        <f aca="false">Chase1168_2025!B388</f>
        <v>45936</v>
      </c>
      <c r="C388" s="0" t="str">
        <f aca="false">Chase1168_2025!C388</f>
        <v>Basic Online Payroll Payment 11189456900 to ########4122</v>
      </c>
      <c r="D388" s="7" t="n">
        <f aca="false">Chase1168_2025!D388</f>
        <v>-1500</v>
      </c>
      <c r="E388" s="0" t="str">
        <f aca="false">Chase1168_2025!E388</f>
        <v>BASIC_PAYROLL</v>
      </c>
      <c r="F388" s="7" t="n">
        <f aca="false">Chase1168_2025!F388</f>
        <v>22786.98</v>
      </c>
      <c r="G388" s="0" t="str">
        <f aca="false">Chase1168_2025!G388</f>
        <v>Mike Paytonjian - Payroll</v>
      </c>
      <c r="H388" s="15" t="n">
        <f aca="false">IF($B388="","",DATE(YEAR($B388),MONTH($B388),1))</f>
        <v>45931</v>
      </c>
      <c r="I388" s="0" t="str">
        <f aca="false">IF($G388="","Uncategorized — Review",IFERROR(INDEX(Mapping!$B:$B,MATCH($G388,Mapping!$A:$A,0)),"Uncategorized — Review"))</f>
        <v>Mike Paytonjian - Payroll</v>
      </c>
      <c r="J388" s="0" t="str">
        <f aca="false">IF($G388="","Uncategorized — Review",IFERROR(INDEX(Mapping!$C:$C,MATCH($G388,Mapping!$A:$A,0)),"Uncategorized — Review"))</f>
        <v>Payroll &amp; Contractors</v>
      </c>
    </row>
    <row r="389" customFormat="false" ht="15" hidden="false" customHeight="false" outlineLevel="0" collapsed="false">
      <c r="A389" s="0" t="str">
        <f aca="false">Chase1168_2025!A389</f>
        <v>DEBIT</v>
      </c>
      <c r="B389" s="14" t="n">
        <f aca="false">Chase1168_2025!B389</f>
        <v>45936</v>
      </c>
      <c r="C389" s="0" t="str">
        <f aca="false">Chase1168_2025!C389</f>
        <v>ORIG CO NAME:VENMO                  ORIG ID:3264681992 DESC DATE:251004 CO ENTRY DESCR:PAYMENT   SEC:WEB    TRACE#:021000027916763 EED:251006   IND ID:1045296524285                IND NAME:JUDD DUNNING                                                                                                 251004PPZSAY TRN: 2797916763TC</v>
      </c>
      <c r="D389" s="7" t="n">
        <f aca="false">Chase1168_2025!D389</f>
        <v>-20</v>
      </c>
      <c r="E389" s="0" t="str">
        <f aca="false">Chase1168_2025!E389</f>
        <v>ACH_DEBIT</v>
      </c>
      <c r="F389" s="7" t="n">
        <f aca="false">Chase1168_2025!F389</f>
        <v>24286.98</v>
      </c>
      <c r="G389" s="0" t="str">
        <f aca="false">Chase1168_2025!G389</f>
        <v>Venmo</v>
      </c>
      <c r="H389" s="15" t="n">
        <f aca="false">IF($B389="","",DATE(YEAR($B389),MONTH($B389),1))</f>
        <v>45931</v>
      </c>
      <c r="I389" s="0" t="str">
        <f aca="false">IF($G389="","Uncategorized — Review",IFERROR(INDEX(Mapping!$B:$B,MATCH($G389,Mapping!$A:$A,0)),"Uncategorized — Review"))</f>
        <v>Venmo</v>
      </c>
      <c r="J389" s="0" t="str">
        <f aca="false">IF($G389="","Uncategorized — Review",IFERROR(INDEX(Mapping!$C:$C,MATCH($G389,Mapping!$A:$A,0)),"Uncategorized — Review"))</f>
        <v>P2P Payments (Zelle/Venmo/PayPal)</v>
      </c>
    </row>
    <row r="390" customFormat="false" ht="15" hidden="false" customHeight="false" outlineLevel="0" collapsed="false">
      <c r="A390" s="0" t="str">
        <f aca="false">Chase1168_2025!A390</f>
        <v>DEBIT</v>
      </c>
      <c r="B390" s="14" t="n">
        <f aca="false">Chase1168_2025!B390</f>
        <v>45936</v>
      </c>
      <c r="C390" s="0" t="str">
        <f aca="false">Chase1168_2025!C390</f>
        <v>ORIG CO NAME:VENMO                  ORIG ID:3264681992 DESC DATE:251005 CO ENTRY DESCR:PAYMENT   SEC:WEB    TRACE#:021000028892854 EED:251006   IND ID:1045318294298                IND NAME:JUDD DUNNING                                                                                                 251005PPZTXU TRN: 2798892854TC</v>
      </c>
      <c r="D390" s="7" t="n">
        <f aca="false">Chase1168_2025!D390</f>
        <v>-1250</v>
      </c>
      <c r="E390" s="0" t="str">
        <f aca="false">Chase1168_2025!E390</f>
        <v>ACH_DEBIT</v>
      </c>
      <c r="F390" s="7" t="n">
        <f aca="false">Chase1168_2025!F390</f>
        <v>24306.98</v>
      </c>
      <c r="G390" s="0" t="str">
        <f aca="false">Chase1168_2025!G390</f>
        <v>Venmo</v>
      </c>
      <c r="H390" s="15" t="n">
        <f aca="false">IF($B390="","",DATE(YEAR($B390),MONTH($B390),1))</f>
        <v>45931</v>
      </c>
      <c r="I390" s="0" t="str">
        <f aca="false">IF($G390="","Uncategorized — Review",IFERROR(INDEX(Mapping!$B:$B,MATCH($G390,Mapping!$A:$A,0)),"Uncategorized — Review"))</f>
        <v>Venmo</v>
      </c>
      <c r="J390" s="0" t="str">
        <f aca="false">IF($G390="","Uncategorized — Review",IFERROR(INDEX(Mapping!$C:$C,MATCH($G390,Mapping!$A:$A,0)),"Uncategorized — Review"))</f>
        <v>P2P Payments (Zelle/Venmo/PayPal)</v>
      </c>
    </row>
    <row r="391" customFormat="false" ht="15" hidden="false" customHeight="false" outlineLevel="0" collapsed="false">
      <c r="A391" s="0" t="str">
        <f aca="false">Chase1168_2025!A391</f>
        <v>DEBIT</v>
      </c>
      <c r="B391" s="14" t="n">
        <f aca="false">Chase1168_2025!B391</f>
        <v>45936</v>
      </c>
      <c r="C391" s="0" t="str">
        <f aca="false">Chase1168_2025!C391</f>
        <v>Zelle payment to Jeff Fajardo JPM99bpt1gap</v>
      </c>
      <c r="D391" s="7" t="n">
        <f aca="false">Chase1168_2025!D391</f>
        <v>-750</v>
      </c>
      <c r="E391" s="0" t="str">
        <f aca="false">Chase1168_2025!E391</f>
        <v>CHASE_TO_PARTNERFI</v>
      </c>
      <c r="F391" s="7" t="n">
        <f aca="false">Chase1168_2025!F391</f>
        <v>25556.98</v>
      </c>
      <c r="G391" s="0" t="str">
        <f aca="false">Chase1168_2025!G391</f>
        <v>Zelle - Jeff Fajardo</v>
      </c>
      <c r="H391" s="15" t="n">
        <f aca="false">IF($B391="","",DATE(YEAR($B391),MONTH($B391),1))</f>
        <v>45931</v>
      </c>
      <c r="I391" s="0" t="str">
        <f aca="false">IF($G391="","Uncategorized — Review",IFERROR(INDEX(Mapping!$B:$B,MATCH($G391,Mapping!$A:$A,0)),"Uncategorized — Review"))</f>
        <v>Zelle - Jeff Fajardo</v>
      </c>
      <c r="J391" s="0" t="str">
        <f aca="false">IF($G391="","Uncategorized — Review",IFERROR(INDEX(Mapping!$C:$C,MATCH($G391,Mapping!$A:$A,0)),"Uncategorized — Review"))</f>
        <v>P2P Payments (Zelle/Venmo/PayPal)</v>
      </c>
    </row>
    <row r="392" customFormat="false" ht="15" hidden="false" customHeight="false" outlineLevel="0" collapsed="false">
      <c r="A392" s="0" t="str">
        <f aca="false">Chase1168_2025!A392</f>
        <v>DEBIT</v>
      </c>
      <c r="B392" s="14" t="n">
        <f aca="false">Chase1168_2025!B392</f>
        <v>45936</v>
      </c>
      <c r="C392" s="0" t="str">
        <f aca="false">Chase1168_2025!C392</f>
        <v>PP*APPLE.COM/BILL 800-275-2273 CA            10/05</v>
      </c>
      <c r="D392" s="7" t="n">
        <f aca="false">Chase1168_2025!D392</f>
        <v>-5</v>
      </c>
      <c r="E392" s="0" t="str">
        <f aca="false">Chase1168_2025!E392</f>
        <v>DEBIT_CARD</v>
      </c>
      <c r="F392" s="7" t="n">
        <f aca="false">Chase1168_2025!F392</f>
        <v>26306.98</v>
      </c>
      <c r="G392" s="0" t="str">
        <f aca="false">Chase1168_2025!G392</f>
        <v>Personal - Subscriptions</v>
      </c>
      <c r="H392" s="15" t="n">
        <f aca="false">IF($B392="","",DATE(YEAR($B392),MONTH($B392),1))</f>
        <v>45931</v>
      </c>
      <c r="I392" s="0" t="str">
        <f aca="false">IF($G392="","Uncategorized — Review",IFERROR(INDEX(Mapping!$B:$B,MATCH($G392,Mapping!$A:$A,0)),"Uncategorized — Review"))</f>
        <v>Personal - Subscriptions</v>
      </c>
      <c r="J392" s="0" t="str">
        <f aca="false">IF($G392="","Uncategorized — Review",IFERROR(INDEX(Mapping!$C:$C,MATCH($G392,Mapping!$A:$A,0)),"Uncategorized — Review"))</f>
        <v>Personal — Owner</v>
      </c>
    </row>
    <row r="393" customFormat="false" ht="15" hidden="false" customHeight="false" outlineLevel="0" collapsed="false">
      <c r="A393" s="0" t="str">
        <f aca="false">Chase1168_2025!A393</f>
        <v>DEBIT</v>
      </c>
      <c r="B393" s="14" t="n">
        <f aca="false">Chase1168_2025!B393</f>
        <v>45936</v>
      </c>
      <c r="C393" s="0" t="str">
        <f aca="false">Chase1168_2025!C393</f>
        <v>PP*APPLE.COM/BILL 800-275-2273 CA            10/05</v>
      </c>
      <c r="D393" s="7" t="n">
        <f aca="false">Chase1168_2025!D393</f>
        <v>-29.99</v>
      </c>
      <c r="E393" s="0" t="str">
        <f aca="false">Chase1168_2025!E393</f>
        <v>DEBIT_CARD</v>
      </c>
      <c r="F393" s="7" t="n">
        <f aca="false">Chase1168_2025!F393</f>
        <v>26311.98</v>
      </c>
      <c r="G393" s="0" t="str">
        <f aca="false">Chase1168_2025!G393</f>
        <v>Personal - Subscriptions</v>
      </c>
      <c r="H393" s="15" t="n">
        <f aca="false">IF($B393="","",DATE(YEAR($B393),MONTH($B393),1))</f>
        <v>45931</v>
      </c>
      <c r="I393" s="0" t="str">
        <f aca="false">IF($G393="","Uncategorized — Review",IFERROR(INDEX(Mapping!$B:$B,MATCH($G393,Mapping!$A:$A,0)),"Uncategorized — Review"))</f>
        <v>Personal - Subscriptions</v>
      </c>
      <c r="J393" s="0" t="str">
        <f aca="false">IF($G393="","Uncategorized — Review",IFERROR(INDEX(Mapping!$C:$C,MATCH($G393,Mapping!$A:$A,0)),"Uncategorized — Review"))</f>
        <v>Personal — Owner</v>
      </c>
    </row>
    <row r="394" customFormat="false" ht="15" hidden="false" customHeight="false" outlineLevel="0" collapsed="false">
      <c r="A394" s="0" t="str">
        <f aca="false">Chase1168_2025!A394</f>
        <v>DEBIT</v>
      </c>
      <c r="B394" s="14" t="n">
        <f aca="false">Chase1168_2025!B394</f>
        <v>45936</v>
      </c>
      <c r="C394" s="0" t="str">
        <f aca="false">Chase1168_2025!C394</f>
        <v>PAYPAL *SANDYPR COM 402-935-7733 CA          10/03</v>
      </c>
      <c r="D394" s="7" t="n">
        <f aca="false">Chase1168_2025!D394</f>
        <v>-300</v>
      </c>
      <c r="E394" s="0" t="str">
        <f aca="false">Chase1168_2025!E394</f>
        <v>DEBIT_CARD</v>
      </c>
      <c r="F394" s="7" t="n">
        <f aca="false">Chase1168_2025!F394</f>
        <v>26341.97</v>
      </c>
      <c r="G394" s="0" t="str">
        <f aca="false">Chase1168_2025!G394</f>
        <v>Sandy PR Payment</v>
      </c>
      <c r="H394" s="15" t="n">
        <f aca="false">IF($B394="","",DATE(YEAR($B394),MONTH($B394),1))</f>
        <v>45931</v>
      </c>
      <c r="I394" s="0" t="str">
        <f aca="false">IF($G394="","Uncategorized — Review",IFERROR(INDEX(Mapping!$B:$B,MATCH($G394,Mapping!$A:$A,0)),"Uncategorized — Review"))</f>
        <v>Sandy PR Payment</v>
      </c>
      <c r="J394" s="0" t="str">
        <f aca="false">IF($G394="","Uncategorized — Review",IFERROR(INDEX(Mapping!$C:$C,MATCH($G394,Mapping!$A:$A,0)),"Uncategorized — Review"))</f>
        <v>DWG Operating</v>
      </c>
    </row>
    <row r="395" customFormat="false" ht="15" hidden="false" customHeight="false" outlineLevel="0" collapsed="false">
      <c r="A395" s="0" t="str">
        <f aca="false">Chase1168_2025!A395</f>
        <v>DEBIT</v>
      </c>
      <c r="B395" s="14" t="n">
        <f aca="false">Chase1168_2025!B395</f>
        <v>45936</v>
      </c>
      <c r="C395" s="0" t="str">
        <f aca="false">Chase1168_2025!C395</f>
        <v>PAYPAL *PRAGERUNIVE P 833-772-4378 CA        10/03</v>
      </c>
      <c r="D395" s="7" t="n">
        <f aca="false">Chase1168_2025!D395</f>
        <v>-10.78</v>
      </c>
      <c r="E395" s="0" t="str">
        <f aca="false">Chase1168_2025!E395</f>
        <v>DEBIT_CARD</v>
      </c>
      <c r="F395" s="7" t="n">
        <f aca="false">Chase1168_2025!F395</f>
        <v>26641.97</v>
      </c>
      <c r="G395" s="0" t="str">
        <f aca="false">Chase1168_2025!G395</f>
        <v>DWGCP Business Development</v>
      </c>
      <c r="H395" s="15" t="n">
        <f aca="false">IF($B395="","",DATE(YEAR($B395),MONTH($B395),1))</f>
        <v>45931</v>
      </c>
      <c r="I395" s="0" t="str">
        <f aca="false">IF($G395="","Uncategorized — Review",IFERROR(INDEX(Mapping!$B:$B,MATCH($G395,Mapping!$A:$A,0)),"Uncategorized — Review"))</f>
        <v>DWGCP Business Development</v>
      </c>
      <c r="J395" s="0" t="str">
        <f aca="false">IF($G395="","Uncategorized — Review",IFERROR(INDEX(Mapping!$C:$C,MATCH($G395,Mapping!$A:$A,0)),"Uncategorized — Review"))</f>
        <v>DWG Operating</v>
      </c>
    </row>
    <row r="396" customFormat="false" ht="15" hidden="false" customHeight="false" outlineLevel="0" collapsed="false">
      <c r="A396" s="0" t="str">
        <f aca="false">Chase1168_2025!A396</f>
        <v>DEBIT</v>
      </c>
      <c r="B396" s="14" t="n">
        <f aca="false">Chase1168_2025!B396</f>
        <v>45936</v>
      </c>
      <c r="C396" s="0" t="str">
        <f aca="false">Chase1168_2025!C396</f>
        <v>PP*APPLE.COM/BILL 800-275-2273 CA            10/04</v>
      </c>
      <c r="D396" s="7" t="n">
        <f aca="false">Chase1168_2025!D396</f>
        <v>-38.99</v>
      </c>
      <c r="E396" s="0" t="str">
        <f aca="false">Chase1168_2025!E396</f>
        <v>DEBIT_CARD</v>
      </c>
      <c r="F396" s="7" t="n">
        <f aca="false">Chase1168_2025!F396</f>
        <v>26652.75</v>
      </c>
      <c r="G396" s="0" t="str">
        <f aca="false">Chase1168_2025!G396</f>
        <v>Personal - Subscriptions</v>
      </c>
      <c r="H396" s="15" t="n">
        <f aca="false">IF($B396="","",DATE(YEAR($B396),MONTH($B396),1))</f>
        <v>45931</v>
      </c>
      <c r="I396" s="0" t="str">
        <f aca="false">IF($G396="","Uncategorized — Review",IFERROR(INDEX(Mapping!$B:$B,MATCH($G396,Mapping!$A:$A,0)),"Uncategorized — Review"))</f>
        <v>Personal - Subscriptions</v>
      </c>
      <c r="J396" s="0" t="str">
        <f aca="false">IF($G396="","Uncategorized — Review",IFERROR(INDEX(Mapping!$C:$C,MATCH($G396,Mapping!$A:$A,0)),"Uncategorized — Review"))</f>
        <v>Personal — Owner</v>
      </c>
    </row>
    <row r="397" customFormat="false" ht="15" hidden="false" customHeight="false" outlineLevel="0" collapsed="false">
      <c r="A397" s="0" t="str">
        <f aca="false">Chase1168_2025!A397</f>
        <v>DEBIT</v>
      </c>
      <c r="B397" s="14" t="n">
        <f aca="false">Chase1168_2025!B397</f>
        <v>45936</v>
      </c>
      <c r="C397" s="0" t="str">
        <f aca="false">Chase1168_2025!C397</f>
        <v>PAYPAL *DIRECTV 800-531-5000 TX              10/04</v>
      </c>
      <c r="D397" s="7" t="n">
        <f aca="false">Chase1168_2025!D397</f>
        <v>-101.99</v>
      </c>
      <c r="E397" s="0" t="str">
        <f aca="false">Chase1168_2025!E397</f>
        <v>DEBIT_CARD</v>
      </c>
      <c r="F397" s="7" t="n">
        <f aca="false">Chase1168_2025!F397</f>
        <v>26691.74</v>
      </c>
      <c r="G397" s="0" t="str">
        <f aca="false">Chase1168_2025!G397</f>
        <v>Personal - Subscriptions</v>
      </c>
      <c r="H397" s="15" t="n">
        <f aca="false">IF($B397="","",DATE(YEAR($B397),MONTH($B397),1))</f>
        <v>45931</v>
      </c>
      <c r="I397" s="0" t="str">
        <f aca="false">IF($G397="","Uncategorized — Review",IFERROR(INDEX(Mapping!$B:$B,MATCH($G397,Mapping!$A:$A,0)),"Uncategorized — Review"))</f>
        <v>Personal - Subscriptions</v>
      </c>
      <c r="J397" s="0" t="str">
        <f aca="false">IF($G397="","Uncategorized — Review",IFERROR(INDEX(Mapping!$C:$C,MATCH($G397,Mapping!$A:$A,0)),"Uncategorized — Review"))</f>
        <v>Personal — Owner</v>
      </c>
    </row>
    <row r="398" customFormat="false" ht="15" hidden="false" customHeight="false" outlineLevel="0" collapsed="false">
      <c r="A398" s="0" t="str">
        <f aca="false">Chase1168_2025!A398</f>
        <v>DEBIT</v>
      </c>
      <c r="B398" s="14" t="n">
        <f aca="false">Chase1168_2025!B398</f>
        <v>45933</v>
      </c>
      <c r="C398" s="0" t="str">
        <f aca="false">Chase1168_2025!C398</f>
        <v>Online Transfer to CHK ...5153 transaction#: 26458362558 10/03</v>
      </c>
      <c r="D398" s="7" t="n">
        <f aca="false">Chase1168_2025!D398</f>
        <v>-100</v>
      </c>
      <c r="E398" s="0" t="str">
        <f aca="false">Chase1168_2025!E398</f>
        <v>ACCT_XFER</v>
      </c>
      <c r="F398" s="7" t="n">
        <f aca="false">Chase1168_2025!F398</f>
        <v>26793.73</v>
      </c>
      <c r="G398" s="0" t="str">
        <f aca="false">Chase1168_2025!G398</f>
        <v>Transfer to Stryten</v>
      </c>
      <c r="H398" s="15" t="n">
        <f aca="false">IF($B398="","",DATE(YEAR($B398),MONTH($B398),1))</f>
        <v>45931</v>
      </c>
      <c r="I398" s="0" t="str">
        <f aca="false">IF($G398="","Uncategorized — Review",IFERROR(INDEX(Mapping!$B:$B,MATCH($G398,Mapping!$A:$A,0)),"Uncategorized — Review"))</f>
        <v>Transfer to Stryten</v>
      </c>
      <c r="J398" s="0" t="str">
        <f aca="false">IF($G398="","Uncategorized — Review",IFERROR(INDEX(Mapping!$C:$C,MATCH($G398,Mapping!$A:$A,0)),"Uncategorized — Review"))</f>
        <v>Intercompany &amp; Savings Transfers</v>
      </c>
    </row>
    <row r="399" customFormat="false" ht="15" hidden="false" customHeight="false" outlineLevel="0" collapsed="false">
      <c r="A399" s="0" t="str">
        <f aca="false">Chase1168_2025!A399</f>
        <v>DEBIT</v>
      </c>
      <c r="B399" s="14" t="n">
        <f aca="false">Chase1168_2025!B399</f>
        <v>45933</v>
      </c>
      <c r="C399" s="0" t="str">
        <f aca="false">Chase1168_2025!C399</f>
        <v>Online Transfer to CHK ...5369 transaction#: 26458360462 10/03</v>
      </c>
      <c r="D399" s="7" t="n">
        <f aca="false">Chase1168_2025!D399</f>
        <v>-200</v>
      </c>
      <c r="E399" s="0" t="str">
        <f aca="false">Chase1168_2025!E399</f>
        <v>ACCT_XFER</v>
      </c>
      <c r="F399" s="7" t="n">
        <f aca="false">Chase1168_2025!F399</f>
        <v>26893.73</v>
      </c>
      <c r="G399" s="0" t="str">
        <f aca="false">Chase1168_2025!G399</f>
        <v>Transfer to Kalkaska</v>
      </c>
      <c r="H399" s="15" t="n">
        <f aca="false">IF($B399="","",DATE(YEAR($B399),MONTH($B399),1))</f>
        <v>45931</v>
      </c>
      <c r="I399" s="0" t="str">
        <f aca="false">IF($G399="","Uncategorized — Review",IFERROR(INDEX(Mapping!$B:$B,MATCH($G399,Mapping!$A:$A,0)),"Uncategorized — Review"))</f>
        <v>Transfer to Kalkaska</v>
      </c>
      <c r="J399" s="0" t="str">
        <f aca="false">IF($G399="","Uncategorized — Review",IFERROR(INDEX(Mapping!$C:$C,MATCH($G399,Mapping!$A:$A,0)),"Uncategorized — Review"))</f>
        <v>Intercompany &amp; Savings Transfers</v>
      </c>
    </row>
    <row r="400" customFormat="false" ht="15" hidden="false" customHeight="false" outlineLevel="0" collapsed="false">
      <c r="A400" s="0" t="str">
        <f aca="false">Chase1168_2025!A400</f>
        <v>DEBIT</v>
      </c>
      <c r="B400" s="14" t="n">
        <f aca="false">Chase1168_2025!B400</f>
        <v>45933</v>
      </c>
      <c r="C400" s="0" t="str">
        <f aca="false">Chase1168_2025!C400</f>
        <v>Zelle payment to Jeffrey Seider JPM99bpkpryb</v>
      </c>
      <c r="D400" s="7" t="n">
        <f aca="false">Chase1168_2025!D400</f>
        <v>-100</v>
      </c>
      <c r="E400" s="0" t="str">
        <f aca="false">Chase1168_2025!E400</f>
        <v>CHASE_TO_PARTNERFI</v>
      </c>
      <c r="F400" s="7" t="n">
        <f aca="false">Chase1168_2025!F400</f>
        <v>27093.73</v>
      </c>
      <c r="G400" s="0" t="str">
        <f aca="false">Chase1168_2025!G400</f>
        <v>Zelle - Jeff Seider</v>
      </c>
      <c r="H400" s="15" t="n">
        <f aca="false">IF($B400="","",DATE(YEAR($B400),MONTH($B400),1))</f>
        <v>45931</v>
      </c>
      <c r="I400" s="0" t="str">
        <f aca="false">IF($G400="","Uncategorized — Review",IFERROR(INDEX(Mapping!$B:$B,MATCH($G400,Mapping!$A:$A,0)),"Uncategorized — Review"))</f>
        <v>Zelle - Jeff Seider</v>
      </c>
      <c r="J400" s="0" t="str">
        <f aca="false">IF($G400="","Uncategorized — Review",IFERROR(INDEX(Mapping!$C:$C,MATCH($G400,Mapping!$A:$A,0)),"Uncategorized — Review"))</f>
        <v>P2P Payments (Zelle/Venmo/PayPal)</v>
      </c>
    </row>
    <row r="401" customFormat="false" ht="15" hidden="false" customHeight="false" outlineLevel="0" collapsed="false">
      <c r="A401" s="0" t="str">
        <f aca="false">Chase1168_2025!A401</f>
        <v>DEBIT</v>
      </c>
      <c r="B401" s="14" t="n">
        <f aca="false">Chase1168_2025!B401</f>
        <v>45933</v>
      </c>
      <c r="C401" s="0" t="str">
        <f aca="false">Chase1168_2025!C401</f>
        <v>Zelle payment to Estella Martinez JPM99bpko76g</v>
      </c>
      <c r="D401" s="7" t="n">
        <f aca="false">Chase1168_2025!D401</f>
        <v>-800</v>
      </c>
      <c r="E401" s="0" t="str">
        <f aca="false">Chase1168_2025!E401</f>
        <v>CHASE_TO_PARTNERFI</v>
      </c>
      <c r="F401" s="7" t="n">
        <f aca="false">Chase1168_2025!F401</f>
        <v>27193.73</v>
      </c>
      <c r="G401" s="0" t="str">
        <f aca="false">Chase1168_2025!G401</f>
        <v>Zelle - Estella M.</v>
      </c>
      <c r="H401" s="15" t="n">
        <f aca="false">IF($B401="","",DATE(YEAR($B401),MONTH($B401),1))</f>
        <v>45931</v>
      </c>
      <c r="I401" s="0" t="str">
        <f aca="false">IF($G401="","Uncategorized — Review",IFERROR(INDEX(Mapping!$B:$B,MATCH($G401,Mapping!$A:$A,0)),"Uncategorized — Review"))</f>
        <v>Zelle - Estella M.</v>
      </c>
      <c r="J401" s="0" t="str">
        <f aca="false">IF($G401="","Uncategorized — Review",IFERROR(INDEX(Mapping!$C:$C,MATCH($G401,Mapping!$A:$A,0)),"Uncategorized — Review"))</f>
        <v>P2P Payments (Zelle/Venmo/PayPal)</v>
      </c>
    </row>
    <row r="402" customFormat="false" ht="15" hidden="false" customHeight="false" outlineLevel="0" collapsed="false">
      <c r="A402" s="0" t="str">
        <f aca="false">Chase1168_2025!A402</f>
        <v>DEBIT</v>
      </c>
      <c r="B402" s="14" t="n">
        <f aca="false">Chase1168_2025!B402</f>
        <v>45933</v>
      </c>
      <c r="C402" s="0" t="str">
        <f aca="false">Chase1168_2025!C402</f>
        <v>ORIG CO NAME:VENMO                  ORIG ID:3264681992 DESC DATE:251003 CO ENTRY DESCR:PAYMENT   SEC:WEB    TRACE#:021000028588869 EED:251003   IND ID:1045258271388                IND NAME:JUDD DUNNING                                                                                                 251003PPZIO3 TRN: 2768588869TC</v>
      </c>
      <c r="D402" s="7" t="n">
        <f aca="false">Chase1168_2025!D402</f>
        <v>-50</v>
      </c>
      <c r="E402" s="0" t="str">
        <f aca="false">Chase1168_2025!E402</f>
        <v>ACH_DEBIT</v>
      </c>
      <c r="F402" s="7" t="n">
        <f aca="false">Chase1168_2025!F402</f>
        <v>27993.73</v>
      </c>
      <c r="G402" s="0" t="str">
        <f aca="false">Chase1168_2025!G402</f>
        <v>Venmo</v>
      </c>
      <c r="H402" s="15" t="n">
        <f aca="false">IF($B402="","",DATE(YEAR($B402),MONTH($B402),1))</f>
        <v>45931</v>
      </c>
      <c r="I402" s="0" t="str">
        <f aca="false">IF($G402="","Uncategorized — Review",IFERROR(INDEX(Mapping!$B:$B,MATCH($G402,Mapping!$A:$A,0)),"Uncategorized — Review"))</f>
        <v>Venmo</v>
      </c>
      <c r="J402" s="0" t="str">
        <f aca="false">IF($G402="","Uncategorized — Review",IFERROR(INDEX(Mapping!$C:$C,MATCH($G402,Mapping!$A:$A,0)),"Uncategorized — Review"))</f>
        <v>P2P Payments (Zelle/Venmo/PayPal)</v>
      </c>
    </row>
    <row r="403" customFormat="false" ht="15" hidden="false" customHeight="false" outlineLevel="0" collapsed="false">
      <c r="A403" s="0" t="str">
        <f aca="false">Chase1168_2025!A403</f>
        <v>DEBIT</v>
      </c>
      <c r="B403" s="14" t="n">
        <f aca="false">Chase1168_2025!B403</f>
        <v>45933</v>
      </c>
      <c r="C403" s="0" t="str">
        <f aca="false">Chase1168_2025!C403</f>
        <v>ORIG CO NAME:LEASEDIRECT            ORIG ID:138190450  DESC DATE:251002 CO ENTRY DESCR:14329_1   SEC:CCD    TRACE#:043000095193982 EED:251003   IND ID:1556926                      IND NAME:DWG CAPITAL GROUP          INV# 592117759 DUE 10/02/25 REC# 10 10207864                                      14330 TRN: 2765193982TC</v>
      </c>
      <c r="D403" s="7" t="n">
        <f aca="false">Chase1168_2025!D403</f>
        <v>-23.2</v>
      </c>
      <c r="E403" s="0" t="str">
        <f aca="false">Chase1168_2025!E403</f>
        <v>ACH_DEBIT</v>
      </c>
      <c r="F403" s="7" t="n">
        <f aca="false">Chase1168_2025!F403</f>
        <v>28043.73</v>
      </c>
      <c r="G403" s="0" t="str">
        <f aca="false">Chase1168_2025!G403</f>
        <v>DWG Marketing</v>
      </c>
      <c r="H403" s="15" t="n">
        <f aca="false">IF($B403="","",DATE(YEAR($B403),MONTH($B403),1))</f>
        <v>45931</v>
      </c>
      <c r="I403" s="0" t="str">
        <f aca="false">IF($G403="","Uncategorized — Review",IFERROR(INDEX(Mapping!$B:$B,MATCH($G403,Mapping!$A:$A,0)),"Uncategorized — Review"))</f>
        <v>DWG Marketing</v>
      </c>
      <c r="J403" s="0" t="str">
        <f aca="false">IF($G403="","Uncategorized — Review",IFERROR(INDEX(Mapping!$C:$C,MATCH($G403,Mapping!$A:$A,0)),"Uncategorized — Review"))</f>
        <v>DWG Operating</v>
      </c>
    </row>
    <row r="404" customFormat="false" ht="15" hidden="false" customHeight="false" outlineLevel="0" collapsed="false">
      <c r="A404" s="0" t="str">
        <f aca="false">Chase1168_2025!A404</f>
        <v>DEBIT</v>
      </c>
      <c r="B404" s="14" t="n">
        <f aca="false">Chase1168_2025!B404</f>
        <v>45933</v>
      </c>
      <c r="C404" s="0" t="str">
        <f aca="false">Chase1168_2025!C404</f>
        <v>PP*APPLE.COM/BILL 800-275-2273 CA            10/03</v>
      </c>
      <c r="D404" s="7" t="n">
        <f aca="false">Chase1168_2025!D404</f>
        <v>-12.99</v>
      </c>
      <c r="E404" s="0" t="str">
        <f aca="false">Chase1168_2025!E404</f>
        <v>DEBIT_CARD</v>
      </c>
      <c r="F404" s="7" t="n">
        <f aca="false">Chase1168_2025!F404</f>
        <v>28066.93</v>
      </c>
      <c r="G404" s="0" t="str">
        <f aca="false">Chase1168_2025!G404</f>
        <v>Personal - Subscriptions</v>
      </c>
      <c r="H404" s="15" t="n">
        <f aca="false">IF($B404="","",DATE(YEAR($B404),MONTH($B404),1))</f>
        <v>45931</v>
      </c>
      <c r="I404" s="0" t="str">
        <f aca="false">IF($G404="","Uncategorized — Review",IFERROR(INDEX(Mapping!$B:$B,MATCH($G404,Mapping!$A:$A,0)),"Uncategorized — Review"))</f>
        <v>Personal - Subscriptions</v>
      </c>
      <c r="J404" s="0" t="str">
        <f aca="false">IF($G404="","Uncategorized — Review",IFERROR(INDEX(Mapping!$C:$C,MATCH($G404,Mapping!$A:$A,0)),"Uncategorized — Review"))</f>
        <v>Personal — Owner</v>
      </c>
    </row>
    <row r="405" customFormat="false" ht="15" hidden="false" customHeight="false" outlineLevel="0" collapsed="false">
      <c r="A405" s="0" t="str">
        <f aca="false">Chase1168_2025!A405</f>
        <v>DEBIT</v>
      </c>
      <c r="B405" s="14" t="n">
        <f aca="false">Chase1168_2025!B405</f>
        <v>45932</v>
      </c>
      <c r="C405" s="0" t="str">
        <f aca="false">Chase1168_2025!C405</f>
        <v>ORIG CO NAME:VENMO                  ORIG ID:3264681992 DESC DATE:251002 CO ENTRY DESCR:PAYMENT   SEC:WEB    TRACE#:021000022300299 EED:251002   IND ID:1045250674942                IND NAME:JUDD DUNNING                                                                                                 251002PPZHCC TRN: 2752300299TC</v>
      </c>
      <c r="D405" s="7" t="n">
        <f aca="false">Chase1168_2025!D405</f>
        <v>-135</v>
      </c>
      <c r="E405" s="0" t="str">
        <f aca="false">Chase1168_2025!E405</f>
        <v>ACH_DEBIT</v>
      </c>
      <c r="F405" s="7" t="n">
        <f aca="false">Chase1168_2025!F405</f>
        <v>28079.92</v>
      </c>
      <c r="G405" s="0" t="str">
        <f aca="false">Chase1168_2025!G405</f>
        <v>Venmo</v>
      </c>
      <c r="H405" s="15" t="n">
        <f aca="false">IF($B405="","",DATE(YEAR($B405),MONTH($B405),1))</f>
        <v>45931</v>
      </c>
      <c r="I405" s="0" t="str">
        <f aca="false">IF($G405="","Uncategorized — Review",IFERROR(INDEX(Mapping!$B:$B,MATCH($G405,Mapping!$A:$A,0)),"Uncategorized — Review"))</f>
        <v>Venmo</v>
      </c>
      <c r="J405" s="0" t="str">
        <f aca="false">IF($G405="","Uncategorized — Review",IFERROR(INDEX(Mapping!$C:$C,MATCH($G405,Mapping!$A:$A,0)),"Uncategorized — Review"))</f>
        <v>P2P Payments (Zelle/Venmo/PayPal)</v>
      </c>
    </row>
    <row r="406" customFormat="false" ht="15" hidden="false" customHeight="false" outlineLevel="0" collapsed="false">
      <c r="A406" s="0" t="str">
        <f aca="false">Chase1168_2025!A406</f>
        <v>DEBIT</v>
      </c>
      <c r="B406" s="14" t="n">
        <f aca="false">Chase1168_2025!B406</f>
        <v>45932</v>
      </c>
      <c r="C406" s="0" t="str">
        <f aca="false">Chase1168_2025!C406</f>
        <v>ORIG CO NAME:VENMO                  ORIG ID:3264681992 DESC DATE:251002 CO ENTRY DESCR:PAYMENT   SEC:WEB    TRACE#:021000022244955 EED:251002   IND ID:1045249552055                IND NAME:JUDD DUNNING                                                                                                 251002PPZHCF TRN: 2752244955TC</v>
      </c>
      <c r="D406" s="7" t="n">
        <f aca="false">Chase1168_2025!D406</f>
        <v>-235</v>
      </c>
      <c r="E406" s="0" t="str">
        <f aca="false">Chase1168_2025!E406</f>
        <v>ACH_DEBIT</v>
      </c>
      <c r="F406" s="7" t="n">
        <f aca="false">Chase1168_2025!F406</f>
        <v>28214.92</v>
      </c>
      <c r="G406" s="0" t="str">
        <f aca="false">Chase1168_2025!G406</f>
        <v>Venmo</v>
      </c>
      <c r="H406" s="15" t="n">
        <f aca="false">IF($B406="","",DATE(YEAR($B406),MONTH($B406),1))</f>
        <v>45931</v>
      </c>
      <c r="I406" s="0" t="str">
        <f aca="false">IF($G406="","Uncategorized — Review",IFERROR(INDEX(Mapping!$B:$B,MATCH($G406,Mapping!$A:$A,0)),"Uncategorized — Review"))</f>
        <v>Venmo</v>
      </c>
      <c r="J406" s="0" t="str">
        <f aca="false">IF($G406="","Uncategorized — Review",IFERROR(INDEX(Mapping!$C:$C,MATCH($G406,Mapping!$A:$A,0)),"Uncategorized — Review"))</f>
        <v>P2P Payments (Zelle/Venmo/PayPal)</v>
      </c>
    </row>
    <row r="407" customFormat="false" ht="15" hidden="false" customHeight="false" outlineLevel="0" collapsed="false">
      <c r="A407" s="0" t="str">
        <f aca="false">Chase1168_2025!A407</f>
        <v>DEBIT</v>
      </c>
      <c r="B407" s="14" t="n">
        <f aca="false">Chase1168_2025!B407</f>
        <v>45932</v>
      </c>
      <c r="C407" s="0" t="str">
        <f aca="false">Chase1168_2025!C407</f>
        <v>Online Transfer to CHK ...1117 transaction#: 26444487991 10/02</v>
      </c>
      <c r="D407" s="7" t="n">
        <f aca="false">Chase1168_2025!D407</f>
        <v>-3000</v>
      </c>
      <c r="E407" s="0" t="str">
        <f aca="false">Chase1168_2025!E407</f>
        <v>ACCT_XFER</v>
      </c>
      <c r="F407" s="7" t="n">
        <f aca="false">Chase1168_2025!F407</f>
        <v>28449.92</v>
      </c>
      <c r="G407" s="0" t="str">
        <f aca="false">Chase1168_2025!G407</f>
        <v>Transfer to Angela Dunning</v>
      </c>
      <c r="H407" s="15" t="n">
        <f aca="false">IF($B407="","",DATE(YEAR($B407),MONTH($B407),1))</f>
        <v>45931</v>
      </c>
      <c r="I407" s="0" t="str">
        <f aca="false">IF($G407="","Uncategorized — Review",IFERROR(INDEX(Mapping!$B:$B,MATCH($G407,Mapping!$A:$A,0)),"Uncategorized — Review"))</f>
        <v>Transfer to Angela Dunning</v>
      </c>
      <c r="J407" s="0" t="str">
        <f aca="false">IF($G407="","Uncategorized — Review",IFERROR(INDEX(Mapping!$C:$C,MATCH($G407,Mapping!$A:$A,0)),"Uncategorized — Review"))</f>
        <v>Owner / Family Distributions</v>
      </c>
    </row>
    <row r="408" customFormat="false" ht="15" hidden="false" customHeight="false" outlineLevel="0" collapsed="false">
      <c r="A408" s="0" t="str">
        <f aca="false">Chase1168_2025!A408</f>
        <v>DEBIT</v>
      </c>
      <c r="B408" s="14" t="n">
        <f aca="false">Chase1168_2025!B408</f>
        <v>45932</v>
      </c>
      <c r="C408" s="0" t="str">
        <f aca="false">Chase1168_2025!C408</f>
        <v>INDEED USI25-05412393 AUSTIN TX      142452  10/02</v>
      </c>
      <c r="D408" s="7" t="n">
        <f aca="false">Chase1168_2025!D408</f>
        <v>-217.74</v>
      </c>
      <c r="E408" s="0" t="str">
        <f aca="false">Chase1168_2025!E408</f>
        <v>DEBIT_CARD</v>
      </c>
      <c r="F408" s="7" t="n">
        <f aca="false">Chase1168_2025!F408</f>
        <v>31449.92</v>
      </c>
      <c r="G408" s="0" t="str">
        <f aca="false">Chase1168_2025!G408</f>
        <v>DWG HR</v>
      </c>
      <c r="H408" s="15" t="n">
        <f aca="false">IF($B408="","",DATE(YEAR($B408),MONTH($B408),1))</f>
        <v>45931</v>
      </c>
      <c r="I408" s="0" t="str">
        <f aca="false">IF($G408="","Uncategorized — Review",IFERROR(INDEX(Mapping!$B:$B,MATCH($G408,Mapping!$A:$A,0)),"Uncategorized — Review"))</f>
        <v>DWG HR</v>
      </c>
      <c r="J408" s="0" t="str">
        <f aca="false">IF($G408="","Uncategorized — Review",IFERROR(INDEX(Mapping!$C:$C,MATCH($G408,Mapping!$A:$A,0)),"Uncategorized — Review"))</f>
        <v>Payroll &amp; Contractors</v>
      </c>
    </row>
    <row r="409" customFormat="false" ht="15" hidden="false" customHeight="false" outlineLevel="0" collapsed="false">
      <c r="A409" s="0" t="str">
        <f aca="false">Chase1168_2025!A409</f>
        <v>DEBIT</v>
      </c>
      <c r="B409" s="14" t="n">
        <f aca="false">Chase1168_2025!B409</f>
        <v>45932</v>
      </c>
      <c r="C409" s="0" t="str">
        <f aca="false">Chase1168_2025!C409</f>
        <v>PP*APPLE.COM/BILL 800-275-2273 CA            10/02</v>
      </c>
      <c r="D409" s="7" t="n">
        <f aca="false">Chase1168_2025!D409</f>
        <v>-15.99</v>
      </c>
      <c r="E409" s="0" t="str">
        <f aca="false">Chase1168_2025!E409</f>
        <v>DEBIT_CARD</v>
      </c>
      <c r="F409" s="7" t="n">
        <f aca="false">Chase1168_2025!F409</f>
        <v>31667.66</v>
      </c>
      <c r="G409" s="0" t="str">
        <f aca="false">Chase1168_2025!G409</f>
        <v>Personal - Subscriptions</v>
      </c>
      <c r="H409" s="15" t="n">
        <f aca="false">IF($B409="","",DATE(YEAR($B409),MONTH($B409),1))</f>
        <v>45931</v>
      </c>
      <c r="I409" s="0" t="str">
        <f aca="false">IF($G409="","Uncategorized — Review",IFERROR(INDEX(Mapping!$B:$B,MATCH($G409,Mapping!$A:$A,0)),"Uncategorized — Review"))</f>
        <v>Personal - Subscriptions</v>
      </c>
      <c r="J409" s="0" t="str">
        <f aca="false">IF($G409="","Uncategorized — Review",IFERROR(INDEX(Mapping!$C:$C,MATCH($G409,Mapping!$A:$A,0)),"Uncategorized — Review"))</f>
        <v>Personal — Owner</v>
      </c>
    </row>
    <row r="410" customFormat="false" ht="15" hidden="false" customHeight="false" outlineLevel="0" collapsed="false">
      <c r="A410" s="0" t="str">
        <f aca="false">Chase1168_2025!A410</f>
        <v>DEBIT</v>
      </c>
      <c r="B410" s="14" t="n">
        <f aca="false">Chase1168_2025!B410</f>
        <v>45932</v>
      </c>
      <c r="C410" s="0" t="str">
        <f aca="false">Chase1168_2025!C410</f>
        <v>PAYPAL *HULU 877-801-5441 CA                 10/02</v>
      </c>
      <c r="D410" s="7" t="n">
        <f aca="false">Chase1168_2025!D410</f>
        <v>-10.99</v>
      </c>
      <c r="E410" s="0" t="str">
        <f aca="false">Chase1168_2025!E410</f>
        <v>DEBIT_CARD</v>
      </c>
      <c r="F410" s="7" t="n">
        <f aca="false">Chase1168_2025!F410</f>
        <v>31683.65</v>
      </c>
      <c r="G410" s="0" t="str">
        <f aca="false">Chase1168_2025!G410</f>
        <v>Personal - Subscriptions</v>
      </c>
      <c r="H410" s="15" t="n">
        <f aca="false">IF($B410="","",DATE(YEAR($B410),MONTH($B410),1))</f>
        <v>45931</v>
      </c>
      <c r="I410" s="0" t="str">
        <f aca="false">IF($G410="","Uncategorized — Review",IFERROR(INDEX(Mapping!$B:$B,MATCH($G410,Mapping!$A:$A,0)),"Uncategorized — Review"))</f>
        <v>Personal - Subscriptions</v>
      </c>
      <c r="J410" s="0" t="str">
        <f aca="false">IF($G410="","Uncategorized — Review",IFERROR(INDEX(Mapping!$C:$C,MATCH($G410,Mapping!$A:$A,0)),"Uncategorized — Review"))</f>
        <v>Personal — Owner</v>
      </c>
    </row>
    <row r="411" customFormat="false" ht="15" hidden="false" customHeight="false" outlineLevel="0" collapsed="false">
      <c r="A411" s="0" t="str">
        <f aca="false">Chase1168_2025!A411</f>
        <v>DEBIT</v>
      </c>
      <c r="B411" s="14" t="n">
        <f aca="false">Chase1168_2025!B411</f>
        <v>45932</v>
      </c>
      <c r="C411" s="0" t="str">
        <f aca="false">Chase1168_2025!C411</f>
        <v>PAYPAL *GOOGLE LLC GO 650-253-0000 CA        10/01</v>
      </c>
      <c r="D411" s="7" t="n">
        <f aca="false">Chase1168_2025!D411</f>
        <v>-16.8</v>
      </c>
      <c r="E411" s="0" t="str">
        <f aca="false">Chase1168_2025!E411</f>
        <v>DEBIT_CARD</v>
      </c>
      <c r="F411" s="7" t="n">
        <f aca="false">Chase1168_2025!F411</f>
        <v>31694.64</v>
      </c>
      <c r="G411" s="0" t="str">
        <f aca="false">Chase1168_2025!G411</f>
        <v>Personal - Subscriptions</v>
      </c>
      <c r="H411" s="15" t="n">
        <f aca="false">IF($B411="","",DATE(YEAR($B411),MONTH($B411),1))</f>
        <v>45931</v>
      </c>
      <c r="I411" s="0" t="str">
        <f aca="false">IF($G411="","Uncategorized — Review",IFERROR(INDEX(Mapping!$B:$B,MATCH($G411,Mapping!$A:$A,0)),"Uncategorized — Review"))</f>
        <v>Personal - Subscriptions</v>
      </c>
      <c r="J411" s="0" t="str">
        <f aca="false">IF($G411="","Uncategorized — Review",IFERROR(INDEX(Mapping!$C:$C,MATCH($G411,Mapping!$A:$A,0)),"Uncategorized — Review"))</f>
        <v>Personal — Owner</v>
      </c>
    </row>
    <row r="412" customFormat="false" ht="15" hidden="false" customHeight="false" outlineLevel="0" collapsed="false">
      <c r="A412" s="0" t="str">
        <f aca="false">Chase1168_2025!A412</f>
        <v>DEBIT</v>
      </c>
      <c r="B412" s="14" t="n">
        <f aca="false">Chase1168_2025!B412</f>
        <v>45932</v>
      </c>
      <c r="C412" s="0" t="str">
        <f aca="false">Chase1168_2025!C412</f>
        <v>PAYPAL *BABBEL BABBEL. 35314369001           09/29</v>
      </c>
      <c r="D412" s="7" t="n">
        <f aca="false">Chase1168_2025!D412</f>
        <v>-27.16</v>
      </c>
      <c r="E412" s="0" t="str">
        <f aca="false">Chase1168_2025!E412</f>
        <v>DEBIT_CARD</v>
      </c>
      <c r="F412" s="7" t="n">
        <f aca="false">Chase1168_2025!F412</f>
        <v>31711.44</v>
      </c>
      <c r="G412" s="0" t="str">
        <f aca="false">Chase1168_2025!G412</f>
        <v>Personal - Subscriptions</v>
      </c>
      <c r="H412" s="15" t="n">
        <f aca="false">IF($B412="","",DATE(YEAR($B412),MONTH($B412),1))</f>
        <v>45931</v>
      </c>
      <c r="I412" s="0" t="str">
        <f aca="false">IF($G412="","Uncategorized — Review",IFERROR(INDEX(Mapping!$B:$B,MATCH($G412,Mapping!$A:$A,0)),"Uncategorized — Review"))</f>
        <v>Personal - Subscriptions</v>
      </c>
      <c r="J412" s="0" t="str">
        <f aca="false">IF($G412="","Uncategorized — Review",IFERROR(INDEX(Mapping!$C:$C,MATCH($G412,Mapping!$A:$A,0)),"Uncategorized — Review"))</f>
        <v>Personal — Owner</v>
      </c>
    </row>
    <row r="413" customFormat="false" ht="15" hidden="false" customHeight="false" outlineLevel="0" collapsed="false">
      <c r="A413" s="0" t="str">
        <f aca="false">Chase1168_2025!A413</f>
        <v>DEBIT</v>
      </c>
      <c r="B413" s="14" t="n">
        <f aca="false">Chase1168_2025!B413</f>
        <v>45931</v>
      </c>
      <c r="C413" s="0" t="str">
        <f aca="false">Chase1168_2025!C413</f>
        <v>FOREIGN EXCHANGE RATE ADJUSTMENT FEE         09/29BARBER SH</v>
      </c>
      <c r="D413" s="7" t="n">
        <f aca="false">Chase1168_2025!D413</f>
        <v>-0.6</v>
      </c>
      <c r="E413" s="0" t="str">
        <f aca="false">Chase1168_2025!E413</f>
        <v>FEE_TRANSACTION</v>
      </c>
      <c r="F413" s="7" t="n">
        <f aca="false">Chase1168_2025!F413</f>
        <v>31738.6</v>
      </c>
      <c r="G413" s="0" t="str">
        <f aca="false">Chase1168_2025!G413</f>
        <v>Bank Fees</v>
      </c>
      <c r="H413" s="15" t="n">
        <f aca="false">IF($B413="","",DATE(YEAR($B413),MONTH($B413),1))</f>
        <v>45931</v>
      </c>
      <c r="I413" s="0" t="str">
        <f aca="false">IF($G413="","Uncategorized — Review",IFERROR(INDEX(Mapping!$B:$B,MATCH($G413,Mapping!$A:$A,0)),"Uncategorized — Review"))</f>
        <v>Bank Fees</v>
      </c>
      <c r="J413" s="0" t="str">
        <f aca="false">IF($G413="","Uncategorized — Review",IFERROR(INDEX(Mapping!$C:$C,MATCH($G413,Mapping!$A:$A,0)),"Uncategorized — Review"))</f>
        <v>DWG Operating</v>
      </c>
    </row>
    <row r="414" customFormat="false" ht="15" hidden="false" customHeight="false" outlineLevel="0" collapsed="false">
      <c r="A414" s="0" t="str">
        <f aca="false">Chase1168_2025!A414</f>
        <v>DEBIT</v>
      </c>
      <c r="B414" s="14" t="n">
        <f aca="false">Chase1168_2025!B414</f>
        <v>45931</v>
      </c>
      <c r="C414" s="0" t="str">
        <f aca="false">Chase1168_2025!C414</f>
        <v>STANDARD ACH PMNTS INITIAL FEE QTY = 8</v>
      </c>
      <c r="D414" s="7" t="n">
        <f aca="false">Chase1168_2025!D414</f>
        <v>-20</v>
      </c>
      <c r="E414" s="0" t="str">
        <f aca="false">Chase1168_2025!E414</f>
        <v>FEE_TRANSACTION</v>
      </c>
      <c r="F414" s="7" t="n">
        <f aca="false">Chase1168_2025!F414</f>
        <v>31739.2</v>
      </c>
      <c r="G414" s="0" t="str">
        <f aca="false">Chase1168_2025!G414</f>
        <v>Bank Fees</v>
      </c>
      <c r="H414" s="15" t="n">
        <f aca="false">IF($B414="","",DATE(YEAR($B414),MONTH($B414),1))</f>
        <v>45931</v>
      </c>
      <c r="I414" s="0" t="str">
        <f aca="false">IF($G414="","Uncategorized — Review",IFERROR(INDEX(Mapping!$B:$B,MATCH($G414,Mapping!$A:$A,0)),"Uncategorized — Review"))</f>
        <v>Bank Fees</v>
      </c>
      <c r="J414" s="0" t="str">
        <f aca="false">IF($G414="","Uncategorized — Review",IFERROR(INDEX(Mapping!$C:$C,MATCH($G414,Mapping!$A:$A,0)),"Uncategorized — Review"))</f>
        <v>DWG Operating</v>
      </c>
    </row>
    <row r="415" customFormat="false" ht="15" hidden="false" customHeight="false" outlineLevel="0" collapsed="false">
      <c r="A415" s="0" t="str">
        <f aca="false">Chase1168_2025!A415</f>
        <v>DEBIT</v>
      </c>
      <c r="B415" s="14" t="n">
        <f aca="false">Chase1168_2025!B415</f>
        <v>45931</v>
      </c>
      <c r="C415" s="0" t="str">
        <f aca="false">Chase1168_2025!C415</f>
        <v>DOMESTIC WIRE FEE</v>
      </c>
      <c r="D415" s="7" t="n">
        <f aca="false">Chase1168_2025!D415</f>
        <v>-35</v>
      </c>
      <c r="E415" s="0" t="str">
        <f aca="false">Chase1168_2025!E415</f>
        <v>FEE_TRANSACTION</v>
      </c>
      <c r="F415" s="7" t="n">
        <f aca="false">Chase1168_2025!F415</f>
        <v>31759.2</v>
      </c>
      <c r="G415" s="0" t="str">
        <f aca="false">Chase1168_2025!G415</f>
        <v>Wire Fee</v>
      </c>
      <c r="H415" s="15" t="n">
        <f aca="false">IF($B415="","",DATE(YEAR($B415),MONTH($B415),1))</f>
        <v>45931</v>
      </c>
      <c r="I415" s="0" t="str">
        <f aca="false">IF($G415="","Uncategorized — Review",IFERROR(INDEX(Mapping!$B:$B,MATCH($G415,Mapping!$A:$A,0)),"Uncategorized — Review"))</f>
        <v>Wire Fee</v>
      </c>
      <c r="J415" s="0" t="str">
        <f aca="false">IF($G415="","Uncategorized — Review",IFERROR(INDEX(Mapping!$C:$C,MATCH($G415,Mapping!$A:$A,0)),"Uncategorized — Review"))</f>
        <v>DWG Operating</v>
      </c>
    </row>
    <row r="416" customFormat="false" ht="15" hidden="false" customHeight="false" outlineLevel="0" collapsed="false">
      <c r="A416" s="0" t="str">
        <f aca="false">Chase1168_2025!A416</f>
        <v>DEBIT</v>
      </c>
      <c r="B416" s="14" t="n">
        <f aca="false">Chase1168_2025!B416</f>
        <v>45931</v>
      </c>
      <c r="C416" s="0" t="str">
        <f aca="false">Chase1168_2025!C416</f>
        <v>ORIG CO NAME:VENMO                  ORIG ID:3264681992 DESC DATE:251001 CO ENTRY DESCR:PAYMENT   SEC:WEB    TRACE#:021000025616153 EED:251001   IND ID:1045234163574                IND NAME:JUDD DUNNING                                                                                                 251001PPZ6YN TRN: 2745616153TC</v>
      </c>
      <c r="D416" s="7" t="n">
        <f aca="false">Chase1168_2025!D416</f>
        <v>-150</v>
      </c>
      <c r="E416" s="0" t="str">
        <f aca="false">Chase1168_2025!E416</f>
        <v>ACH_DEBIT</v>
      </c>
      <c r="F416" s="7" t="n">
        <f aca="false">Chase1168_2025!F416</f>
        <v>31794.2</v>
      </c>
      <c r="G416" s="0" t="str">
        <f aca="false">Chase1168_2025!G416</f>
        <v>Venmo</v>
      </c>
      <c r="H416" s="15" t="n">
        <f aca="false">IF($B416="","",DATE(YEAR($B416),MONTH($B416),1))</f>
        <v>45931</v>
      </c>
      <c r="I416" s="0" t="str">
        <f aca="false">IF($G416="","Uncategorized — Review",IFERROR(INDEX(Mapping!$B:$B,MATCH($G416,Mapping!$A:$A,0)),"Uncategorized — Review"))</f>
        <v>Venmo</v>
      </c>
      <c r="J416" s="0" t="str">
        <f aca="false">IF($G416="","Uncategorized — Review",IFERROR(INDEX(Mapping!$C:$C,MATCH($G416,Mapping!$A:$A,0)),"Uncategorized — Review"))</f>
        <v>P2P Payments (Zelle/Venmo/PayPal)</v>
      </c>
    </row>
    <row r="417" customFormat="false" ht="15" hidden="false" customHeight="false" outlineLevel="0" collapsed="false">
      <c r="A417" s="0" t="str">
        <f aca="false">Chase1168_2025!A417</f>
        <v>DEBIT</v>
      </c>
      <c r="B417" s="14" t="n">
        <f aca="false">Chase1168_2025!B417</f>
        <v>45931</v>
      </c>
      <c r="C417" s="0" t="str">
        <f aca="false">Chase1168_2025!C417</f>
        <v>DOMESTIC WIRE TRANSFER A/C: OFFSET CAPITAL, LLC BOSTON MA 02129-2499 US REF: CHARLMONT APARTMENTS OFFSET ADD. LOAN DEPOSIT TRN: 4211375274ES 10/01</v>
      </c>
      <c r="D417" s="7" t="n">
        <f aca="false">Chase1168_2025!D417</f>
        <v>-25000</v>
      </c>
      <c r="E417" s="0" t="str">
        <f aca="false">Chase1168_2025!E417</f>
        <v>WIRE_OUTGOING</v>
      </c>
      <c r="F417" s="7" t="n">
        <f aca="false">Chase1168_2025!F417</f>
        <v>31944.2</v>
      </c>
      <c r="G417" s="0" t="str">
        <f aca="false">Chase1168_2025!G417</f>
        <v>Deal Specific: Charlmont Closing</v>
      </c>
      <c r="H417" s="15" t="n">
        <f aca="false">IF($B417="","",DATE(YEAR($B417),MONTH($B417),1))</f>
        <v>45931</v>
      </c>
      <c r="I417" s="0" t="str">
        <f aca="false">IF($G417="","Uncategorized — Review",IFERROR(INDEX(Mapping!$B:$B,MATCH($G417,Mapping!$A:$A,0)),"Uncategorized — Review"))</f>
        <v>Incoming Commission: Charlmont</v>
      </c>
      <c r="J417" s="0" t="str">
        <f aca="false">IF($G417="","Uncategorized — Review",IFERROR(INDEX(Mapping!$C:$C,MATCH($G417,Mapping!$A:$A,0)),"Uncategorized — Review"))</f>
        <v>Commissions — Incoming</v>
      </c>
    </row>
    <row r="418" customFormat="false" ht="15" hidden="false" customHeight="false" outlineLevel="0" collapsed="false">
      <c r="A418" s="0" t="str">
        <f aca="false">Chase1168_2025!A418</f>
        <v>DEBIT</v>
      </c>
      <c r="B418" s="14" t="n">
        <f aca="false">Chase1168_2025!B418</f>
        <v>45931</v>
      </c>
      <c r="C418" s="0" t="str">
        <f aca="false">Chase1168_2025!C418</f>
        <v>ORIG CO NAME:TXU ENERGY             ORIG ID:1001020329 DESC DATE:       CO ENTRY DESCR:TXUE_ACH  SEC:WEB    TRACE#:021000026843652 EED:251001   IND ID:900062431557                 IND NAME:DWG CAPITAL GROUP          17333702810000000000000000000003540 9440681                                       DIRECT DEBITING TRN: 2746843652TC</v>
      </c>
      <c r="D418" s="7" t="n">
        <f aca="false">Chase1168_2025!D418</f>
        <v>-500.6</v>
      </c>
      <c r="E418" s="0" t="str">
        <f aca="false">Chase1168_2025!E418</f>
        <v>ACH_DEBIT</v>
      </c>
      <c r="F418" s="7" t="n">
        <f aca="false">Chase1168_2025!F418</f>
        <v>56944.2</v>
      </c>
      <c r="G418" s="0" t="str">
        <f aca="false">Chase1168_2025!G418</f>
        <v>Texas - House Utilities</v>
      </c>
      <c r="H418" s="15" t="n">
        <f aca="false">IF($B418="","",DATE(YEAR($B418),MONTH($B418),1))</f>
        <v>45931</v>
      </c>
      <c r="I418" s="0" t="str">
        <f aca="false">IF($G418="","Uncategorized — Review",IFERROR(INDEX(Mapping!$B:$B,MATCH($G418,Mapping!$A:$A,0)),"Uncategorized — Review"))</f>
        <v>Texas - House Utilities</v>
      </c>
      <c r="J418" s="0" t="str">
        <f aca="false">IF($G418="","Uncategorized — Review",IFERROR(INDEX(Mapping!$C:$C,MATCH($G418,Mapping!$A:$A,0)),"Uncategorized — Review"))</f>
        <v>Personal — Owner</v>
      </c>
    </row>
    <row r="419" customFormat="false" ht="15" hidden="false" customHeight="false" outlineLevel="0" collapsed="false">
      <c r="A419" s="0" t="str">
        <f aca="false">Chase1168_2025!A419</f>
        <v>DEBIT</v>
      </c>
      <c r="B419" s="14" t="n">
        <f aca="false">Chase1168_2025!B419</f>
        <v>45931</v>
      </c>
      <c r="C419" s="0" t="str">
        <f aca="false">Chase1168_2025!C419</f>
        <v>ORIG CO NAME:VENMO                  ORIG ID:3264681992 DESC DATE:251001 CO ENTRY DESCR:PAYMENT   SEC:WEB    TRACE#:021000023570572 EED:251001   IND ID:1045207876015                IND NAME:JUDD DUNNING                                                                                                 251001PPZX53 TRN: 2743570572TC</v>
      </c>
      <c r="D419" s="7" t="n">
        <f aca="false">Chase1168_2025!D419</f>
        <v>-150</v>
      </c>
      <c r="E419" s="0" t="str">
        <f aca="false">Chase1168_2025!E419</f>
        <v>ACH_DEBIT</v>
      </c>
      <c r="F419" s="7" t="n">
        <f aca="false">Chase1168_2025!F419</f>
        <v>57444.8</v>
      </c>
      <c r="G419" s="0" t="str">
        <f aca="false">Chase1168_2025!G419</f>
        <v>Venmo</v>
      </c>
      <c r="H419" s="15" t="n">
        <f aca="false">IF($B419="","",DATE(YEAR($B419),MONTH($B419),1))</f>
        <v>45931</v>
      </c>
      <c r="I419" s="0" t="str">
        <f aca="false">IF($G419="","Uncategorized — Review",IFERROR(INDEX(Mapping!$B:$B,MATCH($G419,Mapping!$A:$A,0)),"Uncategorized — Review"))</f>
        <v>Venmo</v>
      </c>
      <c r="J419" s="0" t="str">
        <f aca="false">IF($G419="","Uncategorized — Review",IFERROR(INDEX(Mapping!$C:$C,MATCH($G419,Mapping!$A:$A,0)),"Uncategorized — Review"))</f>
        <v>P2P Payments (Zelle/Venmo/PayPal)</v>
      </c>
    </row>
    <row r="420" customFormat="false" ht="15" hidden="false" customHeight="false" outlineLevel="0" collapsed="false">
      <c r="A420" s="0" t="str">
        <f aca="false">Chase1168_2025!A420</f>
        <v>DEBIT</v>
      </c>
      <c r="B420" s="14" t="n">
        <f aca="false">Chase1168_2025!B420</f>
        <v>45931</v>
      </c>
      <c r="C420" s="0" t="str">
        <f aca="false">Chase1168_2025!C420</f>
        <v>ORIG CO NAME:GEICO                  ORIG ID:3530075853 DESC DATE:250930 CO ENTRY DESCR:PREM COLL SEC:PPD    TRACE#:021000020534237 EED:251001   IND ID:                             IND NAME:ANGELA TRN: 2740534237TC</v>
      </c>
      <c r="D420" s="7" t="n">
        <f aca="false">Chase1168_2025!D420</f>
        <v>-619.87</v>
      </c>
      <c r="E420" s="0" t="str">
        <f aca="false">Chase1168_2025!E420</f>
        <v>ACH_DEBIT</v>
      </c>
      <c r="F420" s="7" t="n">
        <f aca="false">Chase1168_2025!F420</f>
        <v>57594.8</v>
      </c>
      <c r="G420" s="0" t="str">
        <f aca="false">Chase1168_2025!G420</f>
        <v>Personal - Car Insurance</v>
      </c>
      <c r="H420" s="15" t="n">
        <f aca="false">IF($B420="","",DATE(YEAR($B420),MONTH($B420),1))</f>
        <v>45931</v>
      </c>
      <c r="I420" s="0" t="str">
        <f aca="false">IF($G420="","Uncategorized — Review",IFERROR(INDEX(Mapping!$B:$B,MATCH($G420,Mapping!$A:$A,0)),"Uncategorized — Review"))</f>
        <v>Personal - Car &amp; Auto</v>
      </c>
      <c r="J420" s="0" t="str">
        <f aca="false">IF($G420="","Uncategorized — Review",IFERROR(INDEX(Mapping!$C:$C,MATCH($G420,Mapping!$A:$A,0)),"Uncategorized — Review"))</f>
        <v>Personal — Owner</v>
      </c>
    </row>
    <row r="421" customFormat="false" ht="15" hidden="false" customHeight="false" outlineLevel="0" collapsed="false">
      <c r="A421" s="0" t="str">
        <f aca="false">Chase1168_2025!A421</f>
        <v>DEBIT</v>
      </c>
      <c r="B421" s="14" t="n">
        <f aca="false">Chase1168_2025!B421</f>
        <v>45931</v>
      </c>
      <c r="C421" s="0" t="str">
        <f aca="false">Chase1168_2025!C421</f>
        <v>ORIG CO NAME:BLUESHIELDCA           ORIG ID:7529219311 DESC DATE:250930 CO ENTRY DESCR:BILL PAY  SEC:CCD    TRACE#:031101111334583 EED:251001   IND ID:15704366991                  IND NAME:ANGELA DUNNING TRN: 2741334583TC</v>
      </c>
      <c r="D421" s="7" t="n">
        <f aca="false">Chase1168_2025!D421</f>
        <v>-870.55</v>
      </c>
      <c r="E421" s="0" t="str">
        <f aca="false">Chase1168_2025!E421</f>
        <v>ACH_DEBIT</v>
      </c>
      <c r="F421" s="7" t="n">
        <f aca="false">Chase1168_2025!F421</f>
        <v>58214.67</v>
      </c>
      <c r="G421" s="0" t="str">
        <f aca="false">Chase1168_2025!G421</f>
        <v>Personal - Health Insurance</v>
      </c>
      <c r="H421" s="15" t="n">
        <f aca="false">IF($B421="","",DATE(YEAR($B421),MONTH($B421),1))</f>
        <v>45931</v>
      </c>
      <c r="I421" s="0" t="str">
        <f aca="false">IF($G421="","Uncategorized — Review",IFERROR(INDEX(Mapping!$B:$B,MATCH($G421,Mapping!$A:$A,0)),"Uncategorized — Review"))</f>
        <v>Personal - Health (incl. Ins.)</v>
      </c>
      <c r="J421" s="0" t="str">
        <f aca="false">IF($G421="","Uncategorized — Review",IFERROR(INDEX(Mapping!$C:$C,MATCH($G421,Mapping!$A:$A,0)),"Uncategorized — Review"))</f>
        <v>Personal — Owner</v>
      </c>
    </row>
    <row r="422" customFormat="false" ht="15" hidden="false" customHeight="false" outlineLevel="0" collapsed="false">
      <c r="A422" s="0" t="str">
        <f aca="false">Chase1168_2025!A422</f>
        <v>DEBIT</v>
      </c>
      <c r="B422" s="14" t="n">
        <f aca="false">Chase1168_2025!B422</f>
        <v>45931</v>
      </c>
      <c r="C422" s="0" t="str">
        <f aca="false">Chase1168_2025!C422</f>
        <v>Zelle payment to Jeff Fajardo JPM99bp70ud4</v>
      </c>
      <c r="D422" s="7" t="n">
        <f aca="false">Chase1168_2025!D422</f>
        <v>-525</v>
      </c>
      <c r="E422" s="0" t="str">
        <f aca="false">Chase1168_2025!E422</f>
        <v>CHASE_TO_PARTNERFI</v>
      </c>
      <c r="F422" s="7" t="n">
        <f aca="false">Chase1168_2025!F422</f>
        <v>59085.22</v>
      </c>
      <c r="G422" s="0" t="str">
        <f aca="false">Chase1168_2025!G422</f>
        <v>Zelle - Jeff Fajardo</v>
      </c>
      <c r="H422" s="15" t="n">
        <f aca="false">IF($B422="","",DATE(YEAR($B422),MONTH($B422),1))</f>
        <v>45931</v>
      </c>
      <c r="I422" s="0" t="str">
        <f aca="false">IF($G422="","Uncategorized — Review",IFERROR(INDEX(Mapping!$B:$B,MATCH($G422,Mapping!$A:$A,0)),"Uncategorized — Review"))</f>
        <v>Zelle - Jeff Fajardo</v>
      </c>
      <c r="J422" s="0" t="str">
        <f aca="false">IF($G422="","Uncategorized — Review",IFERROR(INDEX(Mapping!$C:$C,MATCH($G422,Mapping!$A:$A,0)),"Uncategorized — Review"))</f>
        <v>P2P Payments (Zelle/Venmo/PayPal)</v>
      </c>
    </row>
    <row r="423" customFormat="false" ht="15" hidden="false" customHeight="false" outlineLevel="0" collapsed="false">
      <c r="A423" s="0" t="str">
        <f aca="false">Chase1168_2025!A423</f>
        <v>DEBIT</v>
      </c>
      <c r="B423" s="14" t="n">
        <f aca="false">Chase1168_2025!B423</f>
        <v>45931</v>
      </c>
      <c r="C423" s="0" t="str">
        <f aca="false">Chase1168_2025!C423</f>
        <v>PAYPAL *EPOCH TIMES T 833-699-1888 NY        09/30</v>
      </c>
      <c r="D423" s="7" t="n">
        <f aca="false">Chase1168_2025!D423</f>
        <v>-16</v>
      </c>
      <c r="E423" s="0" t="str">
        <f aca="false">Chase1168_2025!E423</f>
        <v>DEBIT_CARD</v>
      </c>
      <c r="F423" s="7" t="n">
        <f aca="false">Chase1168_2025!F423</f>
        <v>59610.22</v>
      </c>
      <c r="G423" s="0" t="str">
        <f aca="false">Chase1168_2025!G423</f>
        <v>Personal - Subscriptions</v>
      </c>
      <c r="H423" s="15" t="n">
        <f aca="false">IF($B423="","",DATE(YEAR($B423),MONTH($B423),1))</f>
        <v>45931</v>
      </c>
      <c r="I423" s="0" t="str">
        <f aca="false">IF($G423="","Uncategorized — Review",IFERROR(INDEX(Mapping!$B:$B,MATCH($G423,Mapping!$A:$A,0)),"Uncategorized — Review"))</f>
        <v>Personal - Subscriptions</v>
      </c>
      <c r="J423" s="0" t="str">
        <f aca="false">IF($G423="","Uncategorized — Review",IFERROR(INDEX(Mapping!$C:$C,MATCH($G423,Mapping!$A:$A,0)),"Uncategorized — Review"))</f>
        <v>Personal — Owner</v>
      </c>
    </row>
    <row r="424" customFormat="false" ht="15" hidden="false" customHeight="false" outlineLevel="0" collapsed="false">
      <c r="A424" s="0" t="str">
        <f aca="false">Chase1168_2025!A424</f>
        <v>DEBIT</v>
      </c>
      <c r="B424" s="14" t="n">
        <f aca="false">Chase1168_2025!B424</f>
        <v>45931</v>
      </c>
      <c r="C424" s="0" t="str">
        <f aca="false">Chase1168_2025!C424</f>
        <v>PP*APPLE.COM/BILL 800-275-2273 CA            10/01</v>
      </c>
      <c r="D424" s="7" t="n">
        <f aca="false">Chase1168_2025!D424</f>
        <v>-8.99</v>
      </c>
      <c r="E424" s="0" t="str">
        <f aca="false">Chase1168_2025!E424</f>
        <v>DEBIT_CARD</v>
      </c>
      <c r="F424" s="7" t="n">
        <f aca="false">Chase1168_2025!F424</f>
        <v>59626.22</v>
      </c>
      <c r="G424" s="0" t="str">
        <f aca="false">Chase1168_2025!G424</f>
        <v>Personal - Subscriptions</v>
      </c>
      <c r="H424" s="15" t="n">
        <f aca="false">IF($B424="","",DATE(YEAR($B424),MONTH($B424),1))</f>
        <v>45931</v>
      </c>
      <c r="I424" s="0" t="str">
        <f aca="false">IF($G424="","Uncategorized — Review",IFERROR(INDEX(Mapping!$B:$B,MATCH($G424,Mapping!$A:$A,0)),"Uncategorized — Review"))</f>
        <v>Personal - Subscriptions</v>
      </c>
      <c r="J424" s="0" t="str">
        <f aca="false">IF($G424="","Uncategorized — Review",IFERROR(INDEX(Mapping!$C:$C,MATCH($G424,Mapping!$A:$A,0)),"Uncategorized — Review"))</f>
        <v>Personal — Owner</v>
      </c>
    </row>
    <row r="425" customFormat="false" ht="15" hidden="false" customHeight="false" outlineLevel="0" collapsed="false">
      <c r="A425" s="0" t="str">
        <f aca="false">Chase1168_2025!A425</f>
        <v>DEBIT</v>
      </c>
      <c r="B425" s="14" t="n">
        <f aca="false">Chase1168_2025!B425</f>
        <v>45931</v>
      </c>
      <c r="C425" s="0" t="str">
        <f aca="false">Chase1168_2025!C425</f>
        <v>BARBER SHOP HEREDIA                          09/29 CR Colon   10000.00 X 0.002005000 (EXCHG RTE)</v>
      </c>
      <c r="D425" s="7" t="n">
        <f aca="false">Chase1168_2025!D425</f>
        <v>-20.05</v>
      </c>
      <c r="E425" s="0" t="str">
        <f aca="false">Chase1168_2025!E425</f>
        <v>DEBIT_CARD</v>
      </c>
      <c r="F425" s="7" t="n">
        <f aca="false">Chase1168_2025!F425</f>
        <v>59635.21</v>
      </c>
      <c r="G425" s="0" t="str">
        <f aca="false">Chase1168_2025!G425</f>
        <v>Personal - Health</v>
      </c>
      <c r="H425" s="15" t="n">
        <f aca="false">IF($B425="","",DATE(YEAR($B425),MONTH($B425),1))</f>
        <v>45931</v>
      </c>
      <c r="I425" s="0" t="str">
        <f aca="false">IF($G425="","Uncategorized — Review",IFERROR(INDEX(Mapping!$B:$B,MATCH($G425,Mapping!$A:$A,0)),"Uncategorized — Review"))</f>
        <v>Personal - Health (incl. Ins.)</v>
      </c>
      <c r="J425" s="0" t="str">
        <f aca="false">IF($G425="","Uncategorized — Review",IFERROR(INDEX(Mapping!$C:$C,MATCH($G425,Mapping!$A:$A,0)),"Uncategorized — Review"))</f>
        <v>Personal — Owner</v>
      </c>
    </row>
    <row r="426" customFormat="false" ht="15" hidden="false" customHeight="false" outlineLevel="0" collapsed="false">
      <c r="A426" s="0" t="str">
        <f aca="false">Chase1168_2025!A426</f>
        <v>CREDIT</v>
      </c>
      <c r="B426" s="14" t="n">
        <f aca="false">Chase1168_2025!B426</f>
        <v>45931</v>
      </c>
      <c r="C426" s="0" t="str">
        <f aca="false">Chase1168_2025!C426</f>
        <v>Online Transfer from CHK ...9335 transaction#: 26428342076</v>
      </c>
      <c r="D426" s="7" t="n">
        <f aca="false">Chase1168_2025!D426</f>
        <v>25000</v>
      </c>
      <c r="E426" s="0" t="str">
        <f aca="false">Chase1168_2025!E426</f>
        <v>ACCT_XFER</v>
      </c>
      <c r="F426" s="7" t="n">
        <f aca="false">Chase1168_2025!F426</f>
        <v>59655.26</v>
      </c>
      <c r="G426" s="0" t="str">
        <f aca="false">Chase1168_2025!G426</f>
        <v>Poseidon Asset Group (Incoming)</v>
      </c>
      <c r="H426" s="15" t="n">
        <f aca="false">IF($B426="","",DATE(YEAR($B426),MONTH($B426),1))</f>
        <v>45931</v>
      </c>
      <c r="I426" s="0" t="str">
        <f aca="false">IF($G426="","Uncategorized — Review",IFERROR(INDEX(Mapping!$B:$B,MATCH($G426,Mapping!$A:$A,0)),"Uncategorized — Review"))</f>
        <v>Poseidon Asset Group (Incoming)</v>
      </c>
      <c r="J426" s="0" t="str">
        <f aca="false">IF($G426="","Uncategorized — Review",IFERROR(INDEX(Mapping!$C:$C,MATCH($G426,Mapping!$A:$A,0)),"Uncategorized — Review"))</f>
        <v>Poseidon Asset Group</v>
      </c>
    </row>
    <row r="427" customFormat="false" ht="15" hidden="false" customHeight="false" outlineLevel="0" collapsed="false">
      <c r="A427" s="0" t="str">
        <f aca="false">Chase1168_2025!A427</f>
        <v>DEBIT</v>
      </c>
      <c r="B427" s="14" t="n">
        <f aca="false">Chase1168_2025!B427</f>
        <v>45930</v>
      </c>
      <c r="C427" s="0" t="str">
        <f aca="false">Chase1168_2025!C427</f>
        <v>ORIG CO NAME:VENMO                  ORIG ID:3264681992 DESC DATE:250930 CO ENTRY DESCR:PAYMENT   SEC:WEB    TRACE#:021000020359136 EED:250930   IND ID:1045203497236                IND NAME:JUDD DUNNING                                                                                                 250930PPZVQM TRN: 2730359136TC</v>
      </c>
      <c r="D427" s="7" t="n">
        <f aca="false">Chase1168_2025!D427</f>
        <v>-265</v>
      </c>
      <c r="E427" s="0" t="str">
        <f aca="false">Chase1168_2025!E427</f>
        <v>ACH_DEBIT</v>
      </c>
      <c r="F427" s="7" t="n">
        <f aca="false">Chase1168_2025!F427</f>
        <v>34655.26</v>
      </c>
      <c r="G427" s="0" t="str">
        <f aca="false">Chase1168_2025!G427</f>
        <v>Venmo</v>
      </c>
      <c r="H427" s="15" t="n">
        <f aca="false">IF($B427="","",DATE(YEAR($B427),MONTH($B427),1))</f>
        <v>45901</v>
      </c>
      <c r="I427" s="0" t="str">
        <f aca="false">IF($G427="","Uncategorized — Review",IFERROR(INDEX(Mapping!$B:$B,MATCH($G427,Mapping!$A:$A,0)),"Uncategorized — Review"))</f>
        <v>Venmo</v>
      </c>
      <c r="J427" s="0" t="str">
        <f aca="false">IF($G427="","Uncategorized — Review",IFERROR(INDEX(Mapping!$C:$C,MATCH($G427,Mapping!$A:$A,0)),"Uncategorized — Review"))</f>
        <v>P2P Payments (Zelle/Venmo/PayPal)</v>
      </c>
    </row>
    <row r="428" customFormat="false" ht="15" hidden="false" customHeight="false" outlineLevel="0" collapsed="false">
      <c r="A428" s="0" t="str">
        <f aca="false">Chase1168_2025!A428</f>
        <v>DEBIT</v>
      </c>
      <c r="B428" s="14" t="n">
        <f aca="false">Chase1168_2025!B428</f>
        <v>45930</v>
      </c>
      <c r="C428" s="0" t="str">
        <f aca="false">Chase1168_2025!C428</f>
        <v>Online Transfer to CHK ...9082 transaction#: 26407952224 09/30</v>
      </c>
      <c r="D428" s="7" t="n">
        <f aca="false">Chase1168_2025!D428</f>
        <v>-5000</v>
      </c>
      <c r="E428" s="0" t="str">
        <f aca="false">Chase1168_2025!E428</f>
        <v>ACCT_XFER</v>
      </c>
      <c r="F428" s="7" t="n">
        <f aca="false">Chase1168_2025!F428</f>
        <v>34920.26</v>
      </c>
      <c r="G428" s="0" t="str">
        <f aca="false">Chase1168_2025!G428</f>
        <v>Transfer to Poseidon</v>
      </c>
      <c r="H428" s="15" t="n">
        <f aca="false">IF($B428="","",DATE(YEAR($B428),MONTH($B428),1))</f>
        <v>45901</v>
      </c>
      <c r="I428" s="0" t="str">
        <f aca="false">IF($G428="","Uncategorized — Review",IFERROR(INDEX(Mapping!$B:$B,MATCH($G428,Mapping!$A:$A,0)),"Uncategorized — Review"))</f>
        <v>Transfer to Poseidon</v>
      </c>
      <c r="J428" s="0" t="str">
        <f aca="false">IF($G428="","Uncategorized — Review",IFERROR(INDEX(Mapping!$C:$C,MATCH($G428,Mapping!$A:$A,0)),"Uncategorized — Review"))</f>
        <v>Poseidon Asset Group</v>
      </c>
    </row>
    <row r="429" customFormat="false" ht="15" hidden="false" customHeight="false" outlineLevel="0" collapsed="false">
      <c r="A429" s="0" t="str">
        <f aca="false">Chase1168_2025!A429</f>
        <v>DEBIT</v>
      </c>
      <c r="B429" s="14" t="n">
        <f aca="false">Chase1168_2025!B429</f>
        <v>45930</v>
      </c>
      <c r="C429" s="0" t="str">
        <f aca="false">Chase1168_2025!C429</f>
        <v>ORIG CO NAME:SBA EIDL LOAN          ORIG ID:7300000118 DESC DATE:250929 CO ENTRY DESCR:PAYMENT   SEC:CCD    TRACE#:041036043092668 EED:250930   IND ID:0000                         IND NAME:JOHN DUNNING               1871308204                                                                        ACH TRANSACTION TRN: 2733092668TC</v>
      </c>
      <c r="D429" s="7" t="n">
        <f aca="false">Chase1168_2025!D429</f>
        <v>-2524</v>
      </c>
      <c r="E429" s="0" t="str">
        <f aca="false">Chase1168_2025!E429</f>
        <v>ACH_DEBIT</v>
      </c>
      <c r="F429" s="7" t="n">
        <f aca="false">Chase1168_2025!F429</f>
        <v>39920.26</v>
      </c>
      <c r="G429" s="0" t="str">
        <f aca="false">Chase1168_2025!G429</f>
        <v>SBC EIDL Loan</v>
      </c>
      <c r="H429" s="15" t="n">
        <f aca="false">IF($B429="","",DATE(YEAR($B429),MONTH($B429),1))</f>
        <v>45901</v>
      </c>
      <c r="I429" s="0" t="str">
        <f aca="false">IF($G429="","Uncategorized — Review",IFERROR(INDEX(Mapping!$B:$B,MATCH($G429,Mapping!$A:$A,0)),"Uncategorized — Review"))</f>
        <v>SBC EIDL Loan</v>
      </c>
      <c r="J429" s="0" t="str">
        <f aca="false">IF($G429="","Uncategorized — Review",IFERROR(INDEX(Mapping!$C:$C,MATCH($G429,Mapping!$A:$A,0)),"Uncategorized — Review"))</f>
        <v>Credit Card &amp; Loan Payments</v>
      </c>
    </row>
    <row r="430" customFormat="false" ht="15" hidden="false" customHeight="false" outlineLevel="0" collapsed="false">
      <c r="A430" s="0" t="str">
        <f aca="false">Chase1168_2025!A430</f>
        <v>DEBIT</v>
      </c>
      <c r="B430" s="14" t="n">
        <f aca="false">Chase1168_2025!B430</f>
        <v>45930</v>
      </c>
      <c r="C430" s="0" t="str">
        <f aca="false">Chase1168_2025!C430</f>
        <v>PAYPAL *WAYFAIR 866-263-8325 MA              09/29</v>
      </c>
      <c r="D430" s="7" t="n">
        <f aca="false">Chase1168_2025!D430</f>
        <v>-186.29</v>
      </c>
      <c r="E430" s="0" t="str">
        <f aca="false">Chase1168_2025!E430</f>
        <v>DEBIT_CARD</v>
      </c>
      <c r="F430" s="7" t="n">
        <f aca="false">Chase1168_2025!F430</f>
        <v>42444.26</v>
      </c>
      <c r="G430" s="0" t="str">
        <f aca="false">Chase1168_2025!G430</f>
        <v>Personal - House</v>
      </c>
      <c r="H430" s="15" t="n">
        <f aca="false">IF($B430="","",DATE(YEAR($B430),MONTH($B430),1))</f>
        <v>45901</v>
      </c>
      <c r="I430" s="0" t="str">
        <f aca="false">IF($G430="","Uncategorized — Review",IFERROR(INDEX(Mapping!$B:$B,MATCH($G430,Mapping!$A:$A,0)),"Uncategorized — Review"))</f>
        <v>Personal - House</v>
      </c>
      <c r="J430" s="0" t="str">
        <f aca="false">IF($G430="","Uncategorized — Review",IFERROR(INDEX(Mapping!$C:$C,MATCH($G430,Mapping!$A:$A,0)),"Uncategorized — Review"))</f>
        <v>Personal — Owner</v>
      </c>
    </row>
    <row r="431" customFormat="false" ht="15" hidden="false" customHeight="false" outlineLevel="0" collapsed="false">
      <c r="A431" s="0" t="str">
        <f aca="false">Chase1168_2025!A431</f>
        <v>DEBIT</v>
      </c>
      <c r="B431" s="14" t="n">
        <f aca="false">Chase1168_2025!B431</f>
        <v>45930</v>
      </c>
      <c r="C431" s="0" t="str">
        <f aca="false">Chase1168_2025!C431</f>
        <v>PAYPAL *WAYFAIR 866-263-8325 MA              09/29</v>
      </c>
      <c r="D431" s="7" t="n">
        <f aca="false">Chase1168_2025!D431</f>
        <v>-158.03</v>
      </c>
      <c r="E431" s="0" t="str">
        <f aca="false">Chase1168_2025!E431</f>
        <v>DEBIT_CARD</v>
      </c>
      <c r="F431" s="7" t="n">
        <f aca="false">Chase1168_2025!F431</f>
        <v>42630.55</v>
      </c>
      <c r="G431" s="0" t="str">
        <f aca="false">Chase1168_2025!G431</f>
        <v>Personal - House</v>
      </c>
      <c r="H431" s="15" t="n">
        <f aca="false">IF($B431="","",DATE(YEAR($B431),MONTH($B431),1))</f>
        <v>45901</v>
      </c>
      <c r="I431" s="0" t="str">
        <f aca="false">IF($G431="","Uncategorized — Review",IFERROR(INDEX(Mapping!$B:$B,MATCH($G431,Mapping!$A:$A,0)),"Uncategorized — Review"))</f>
        <v>Personal - House</v>
      </c>
      <c r="J431" s="0" t="str">
        <f aca="false">IF($G431="","Uncategorized — Review",IFERROR(INDEX(Mapping!$C:$C,MATCH($G431,Mapping!$A:$A,0)),"Uncategorized — Review"))</f>
        <v>Personal — Owner</v>
      </c>
    </row>
    <row r="432" customFormat="false" ht="15" hidden="false" customHeight="false" outlineLevel="0" collapsed="false">
      <c r="A432" s="0" t="str">
        <f aca="false">Chase1168_2025!A432</f>
        <v>DEBIT</v>
      </c>
      <c r="B432" s="14" t="n">
        <f aca="false">Chase1168_2025!B432</f>
        <v>45929</v>
      </c>
      <c r="C432" s="0" t="str">
        <f aca="false">Chase1168_2025!C432</f>
        <v>Online Transfer to CHK ...3922 transaction#: 26399295464 09/29</v>
      </c>
      <c r="D432" s="7" t="n">
        <f aca="false">Chase1168_2025!D432</f>
        <v>-12000</v>
      </c>
      <c r="E432" s="0" t="str">
        <f aca="false">Chase1168_2025!E432</f>
        <v>ACCT_XFER</v>
      </c>
      <c r="F432" s="7" t="n">
        <f aca="false">Chase1168_2025!F432</f>
        <v>42788.58</v>
      </c>
      <c r="G432" s="0" t="str">
        <f aca="false">Chase1168_2025!G432</f>
        <v>DWG Capital Partners - Outgoing</v>
      </c>
      <c r="H432" s="15" t="n">
        <f aca="false">IF($B432="","",DATE(YEAR($B432),MONTH($B432),1))</f>
        <v>45901</v>
      </c>
      <c r="I432" s="0" t="str">
        <f aca="false">IF($G432="","Uncategorized — Review",IFERROR(INDEX(Mapping!$B:$B,MATCH($G432,Mapping!$A:$A,0)),"Uncategorized — Review"))</f>
        <v>DWG Capital Partners - Outgoing</v>
      </c>
      <c r="J432" s="0" t="str">
        <f aca="false">IF($G432="","Uncategorized — Review",IFERROR(INDEX(Mapping!$C:$C,MATCH($G432,Mapping!$A:$A,0)),"Uncategorized — Review"))</f>
        <v>Intercompany &amp; Savings Transfers</v>
      </c>
    </row>
    <row r="433" customFormat="false" ht="15" hidden="false" customHeight="false" outlineLevel="0" collapsed="false">
      <c r="A433" s="0" t="str">
        <f aca="false">Chase1168_2025!A433</f>
        <v>DEBIT</v>
      </c>
      <c r="B433" s="14" t="n">
        <f aca="false">Chase1168_2025!B433</f>
        <v>45929</v>
      </c>
      <c r="C433" s="0" t="str">
        <f aca="false">Chase1168_2025!C433</f>
        <v>Basic Online Payroll Payment 11188626220 to ########4122</v>
      </c>
      <c r="D433" s="7" t="n">
        <f aca="false">Chase1168_2025!D433</f>
        <v>-1500</v>
      </c>
      <c r="E433" s="0" t="str">
        <f aca="false">Chase1168_2025!E433</f>
        <v>BASIC_PAYROLL</v>
      </c>
      <c r="F433" s="7" t="n">
        <f aca="false">Chase1168_2025!F433</f>
        <v>54788.58</v>
      </c>
      <c r="G433" s="0" t="str">
        <f aca="false">Chase1168_2025!G433</f>
        <v>Mike Paytonjian - Payroll</v>
      </c>
      <c r="H433" s="15" t="n">
        <f aca="false">IF($B433="","",DATE(YEAR($B433),MONTH($B433),1))</f>
        <v>45901</v>
      </c>
      <c r="I433" s="0" t="str">
        <f aca="false">IF($G433="","Uncategorized — Review",IFERROR(INDEX(Mapping!$B:$B,MATCH($G433,Mapping!$A:$A,0)),"Uncategorized — Review"))</f>
        <v>Mike Paytonjian - Payroll</v>
      </c>
      <c r="J433" s="0" t="str">
        <f aca="false">IF($G433="","Uncategorized — Review",IFERROR(INDEX(Mapping!$C:$C,MATCH($G433,Mapping!$A:$A,0)),"Uncategorized — Review"))</f>
        <v>Payroll &amp; Contractors</v>
      </c>
    </row>
    <row r="434" customFormat="false" ht="15" hidden="false" customHeight="false" outlineLevel="0" collapsed="false">
      <c r="A434" s="0" t="str">
        <f aca="false">Chase1168_2025!A434</f>
        <v>DEBIT</v>
      </c>
      <c r="B434" s="14" t="n">
        <f aca="false">Chase1168_2025!B434</f>
        <v>45929</v>
      </c>
      <c r="C434" s="0" t="str">
        <f aca="false">Chase1168_2025!C434</f>
        <v>ORIG CO NAME:VENMO                  ORIG ID:3264681992 DESC DATE:250928 CO ENTRY DESCR:PAYMENT   SEC:WEB    TRACE#:021000027283059 EED:250929   IND ID:1045133387278                IND NAME:JUDD DUNNING                                                                                                 250928PPZDM3 TRN: 2727283059TC</v>
      </c>
      <c r="D434" s="7" t="n">
        <f aca="false">Chase1168_2025!D434</f>
        <v>-10</v>
      </c>
      <c r="E434" s="0" t="str">
        <f aca="false">Chase1168_2025!E434</f>
        <v>ACH_DEBIT</v>
      </c>
      <c r="F434" s="7" t="n">
        <f aca="false">Chase1168_2025!F434</f>
        <v>56288.58</v>
      </c>
      <c r="G434" s="0" t="str">
        <f aca="false">Chase1168_2025!G434</f>
        <v>Venmo</v>
      </c>
      <c r="H434" s="15" t="n">
        <f aca="false">IF($B434="","",DATE(YEAR($B434),MONTH($B434),1))</f>
        <v>45901</v>
      </c>
      <c r="I434" s="0" t="str">
        <f aca="false">IF($G434="","Uncategorized — Review",IFERROR(INDEX(Mapping!$B:$B,MATCH($G434,Mapping!$A:$A,0)),"Uncategorized — Review"))</f>
        <v>Venmo</v>
      </c>
      <c r="J434" s="0" t="str">
        <f aca="false">IF($G434="","Uncategorized — Review",IFERROR(INDEX(Mapping!$C:$C,MATCH($G434,Mapping!$A:$A,0)),"Uncategorized — Review"))</f>
        <v>P2P Payments (Zelle/Venmo/PayPal)</v>
      </c>
    </row>
    <row r="435" customFormat="false" ht="15" hidden="false" customHeight="false" outlineLevel="0" collapsed="false">
      <c r="A435" s="0" t="str">
        <f aca="false">Chase1168_2025!A435</f>
        <v>DEBIT</v>
      </c>
      <c r="B435" s="14" t="n">
        <f aca="false">Chase1168_2025!B435</f>
        <v>45929</v>
      </c>
      <c r="C435" s="0" t="str">
        <f aca="false">Chase1168_2025!C435</f>
        <v>ORIG CO NAME:BANNER LIFE            ORIG ID:1521236145 DESC DATE:250928 CO ENTRY DESCR:PREM DEBITSEC:PPD    TRACE#:091000016190478 EED:250929   IND ID:                             IND NAME:ANGELA L DUNNING TRN: 2726190478TC</v>
      </c>
      <c r="D435" s="7" t="n">
        <f aca="false">Chase1168_2025!D435</f>
        <v>-12.5</v>
      </c>
      <c r="E435" s="0" t="str">
        <f aca="false">Chase1168_2025!E435</f>
        <v>ACH_DEBIT</v>
      </c>
      <c r="F435" s="7" t="n">
        <f aca="false">Chase1168_2025!F435</f>
        <v>56298.58</v>
      </c>
      <c r="G435" s="0" t="str">
        <f aca="false">Chase1168_2025!G435</f>
        <v>Personal - Life Insurance</v>
      </c>
      <c r="H435" s="15" t="n">
        <f aca="false">IF($B435="","",DATE(YEAR($B435),MONTH($B435),1))</f>
        <v>45901</v>
      </c>
      <c r="I435" s="0" t="str">
        <f aca="false">IF($G435="","Uncategorized — Review",IFERROR(INDEX(Mapping!$B:$B,MATCH($G435,Mapping!$A:$A,0)),"Uncategorized — Review"))</f>
        <v>Personal - Life Insurance</v>
      </c>
      <c r="J435" s="0" t="str">
        <f aca="false">IF($G435="","Uncategorized — Review",IFERROR(INDEX(Mapping!$C:$C,MATCH($G435,Mapping!$A:$A,0)),"Uncategorized — Review"))</f>
        <v>Personal — Owner</v>
      </c>
    </row>
    <row r="436" customFormat="false" ht="15" hidden="false" customHeight="false" outlineLevel="0" collapsed="false">
      <c r="A436" s="0" t="str">
        <f aca="false">Chase1168_2025!A436</f>
        <v>DEBIT</v>
      </c>
      <c r="B436" s="14" t="n">
        <f aca="false">Chase1168_2025!B436</f>
        <v>45929</v>
      </c>
      <c r="C436" s="0" t="str">
        <f aca="false">Chase1168_2025!C436</f>
        <v>ORIG CO NAME:BANNER LIFE            ORIG ID:1521236145 DESC DATE:250928 CO ENTRY DESCR:PREM DEBITSEC:PPD    TRACE#:091000016190479 EED:250929   IND ID:                             IND NAME:JOHN  DUNNING TRN: 2726190479TC</v>
      </c>
      <c r="D436" s="7" t="n">
        <f aca="false">Chase1168_2025!D436</f>
        <v>-22.92</v>
      </c>
      <c r="E436" s="0" t="str">
        <f aca="false">Chase1168_2025!E436</f>
        <v>ACH_DEBIT</v>
      </c>
      <c r="F436" s="7" t="n">
        <f aca="false">Chase1168_2025!F436</f>
        <v>56311.08</v>
      </c>
      <c r="G436" s="0" t="str">
        <f aca="false">Chase1168_2025!G436</f>
        <v>Personal - Life Insurance</v>
      </c>
      <c r="H436" s="15" t="n">
        <f aca="false">IF($B436="","",DATE(YEAR($B436),MONTH($B436),1))</f>
        <v>45901</v>
      </c>
      <c r="I436" s="0" t="str">
        <f aca="false">IF($G436="","Uncategorized — Review",IFERROR(INDEX(Mapping!$B:$B,MATCH($G436,Mapping!$A:$A,0)),"Uncategorized — Review"))</f>
        <v>Personal - Life Insurance</v>
      </c>
      <c r="J436" s="0" t="str">
        <f aca="false">IF($G436="","Uncategorized — Review",IFERROR(INDEX(Mapping!$C:$C,MATCH($G436,Mapping!$A:$A,0)),"Uncategorized — Review"))</f>
        <v>Personal — Owner</v>
      </c>
    </row>
    <row r="437" customFormat="false" ht="15" hidden="false" customHeight="false" outlineLevel="0" collapsed="false">
      <c r="A437" s="0" t="str">
        <f aca="false">Chase1168_2025!A437</f>
        <v>DEBIT</v>
      </c>
      <c r="B437" s="14" t="n">
        <f aca="false">Chase1168_2025!B437</f>
        <v>45929</v>
      </c>
      <c r="C437" s="0" t="str">
        <f aca="false">Chase1168_2025!C437</f>
        <v>ORIG CO NAME:VENMO                  ORIG ID:3264681992 DESC DATE:250928 CO ENTRY DESCR:PAYMENT   SEC:WEB    TRACE#:021000027283072 EED:250929   IND ID:1045133388951                IND NAME:JUDD DUNNING                                                                                                 250928PPZDM3 TRN: 2727283072TC</v>
      </c>
      <c r="D437" s="7" t="n">
        <f aca="false">Chase1168_2025!D437</f>
        <v>-40</v>
      </c>
      <c r="E437" s="0" t="str">
        <f aca="false">Chase1168_2025!E437</f>
        <v>ACH_DEBIT</v>
      </c>
      <c r="F437" s="7" t="n">
        <f aca="false">Chase1168_2025!F437</f>
        <v>56334</v>
      </c>
      <c r="G437" s="0" t="str">
        <f aca="false">Chase1168_2025!G437</f>
        <v>Venmo</v>
      </c>
      <c r="H437" s="15" t="n">
        <f aca="false">IF($B437="","",DATE(YEAR($B437),MONTH($B437),1))</f>
        <v>45901</v>
      </c>
      <c r="I437" s="0" t="str">
        <f aca="false">IF($G437="","Uncategorized — Review",IFERROR(INDEX(Mapping!$B:$B,MATCH($G437,Mapping!$A:$A,0)),"Uncategorized — Review"))</f>
        <v>Venmo</v>
      </c>
      <c r="J437" s="0" t="str">
        <f aca="false">IF($G437="","Uncategorized — Review",IFERROR(INDEX(Mapping!$C:$C,MATCH($G437,Mapping!$A:$A,0)),"Uncategorized — Review"))</f>
        <v>P2P Payments (Zelle/Venmo/PayPal)</v>
      </c>
    </row>
    <row r="438" customFormat="false" ht="15" hidden="false" customHeight="false" outlineLevel="0" collapsed="false">
      <c r="A438" s="0" t="str">
        <f aca="false">Chase1168_2025!A438</f>
        <v>DEBIT</v>
      </c>
      <c r="B438" s="14" t="n">
        <f aca="false">Chase1168_2025!B438</f>
        <v>45929</v>
      </c>
      <c r="C438" s="0" t="str">
        <f aca="false">Chase1168_2025!C438</f>
        <v>ORIG CO NAME:INTUIT *               ORIG ID:0000756346 DESC DATE:250927 CO ENTRY DESCR:QBooks OnlSEC:CCD    TRACE#:021000025770102 EED:250929   IND ID:6491903                      IND NAME:DWG CAPITAL GROUP                                                                                            800-446-8848 TRN: 2725770102TC</v>
      </c>
      <c r="D438" s="7" t="n">
        <f aca="false">Chase1168_2025!D438</f>
        <v>-121.21</v>
      </c>
      <c r="E438" s="0" t="str">
        <f aca="false">Chase1168_2025!E438</f>
        <v>ACH_DEBIT</v>
      </c>
      <c r="F438" s="7" t="n">
        <f aca="false">Chase1168_2025!F438</f>
        <v>56374</v>
      </c>
      <c r="G438" s="0" t="str">
        <f aca="false">Chase1168_2025!G438</f>
        <v>Software/Accounting</v>
      </c>
      <c r="H438" s="15" t="n">
        <f aca="false">IF($B438="","",DATE(YEAR($B438),MONTH($B438),1))</f>
        <v>45901</v>
      </c>
      <c r="I438" s="0" t="str">
        <f aca="false">IF($G438="","Uncategorized — Review",IFERROR(INDEX(Mapping!$B:$B,MATCH($G438,Mapping!$A:$A,0)),"Uncategorized — Review"))</f>
        <v>Software/Accounting</v>
      </c>
      <c r="J438" s="0" t="str">
        <f aca="false">IF($G438="","Uncategorized — Review",IFERROR(INDEX(Mapping!$C:$C,MATCH($G438,Mapping!$A:$A,0)),"Uncategorized — Review"))</f>
        <v>DWG Operating</v>
      </c>
    </row>
    <row r="439" customFormat="false" ht="15" hidden="false" customHeight="false" outlineLevel="0" collapsed="false">
      <c r="A439" s="0" t="str">
        <f aca="false">Chase1168_2025!A439</f>
        <v>DEBIT</v>
      </c>
      <c r="B439" s="14" t="n">
        <f aca="false">Chase1168_2025!B439</f>
        <v>45929</v>
      </c>
      <c r="C439" s="0" t="str">
        <f aca="false">Chase1168_2025!C439</f>
        <v>ORIG CO NAME:AMERICAN EXPRESS       ORIG ID:2005032111 DESC DATE:250929 CO ENTRY DESCR:ACH PMT   SEC:CCD    TRACE#:021000027372076 EED:250929   IND ID:W1024                        IND NAME:John Dunning                                                                                                 ER AM TRN: 2727372076TC</v>
      </c>
      <c r="D439" s="7" t="n">
        <f aca="false">Chase1168_2025!D439</f>
        <v>-176.36</v>
      </c>
      <c r="E439" s="0" t="str">
        <f aca="false">Chase1168_2025!E439</f>
        <v>ACH_DEBIT</v>
      </c>
      <c r="F439" s="7" t="n">
        <f aca="false">Chase1168_2025!F439</f>
        <v>56495.21</v>
      </c>
      <c r="G439" s="0" t="str">
        <f aca="false">Chase1168_2025!G439</f>
        <v>American Express Credit Card PMT</v>
      </c>
      <c r="H439" s="15" t="n">
        <f aca="false">IF($B439="","",DATE(YEAR($B439),MONTH($B439),1))</f>
        <v>45901</v>
      </c>
      <c r="I439" s="0" t="str">
        <f aca="false">IF($G439="","Uncategorized — Review",IFERROR(INDEX(Mapping!$B:$B,MATCH($G439,Mapping!$A:$A,0)),"Uncategorized — Review"))</f>
        <v>American Express Credit Card PMT</v>
      </c>
      <c r="J439" s="0" t="str">
        <f aca="false">IF($G439="","Uncategorized — Review",IFERROR(INDEX(Mapping!$C:$C,MATCH($G439,Mapping!$A:$A,0)),"Uncategorized — Review"))</f>
        <v>Credit Card &amp; Loan Payments</v>
      </c>
    </row>
    <row r="440" customFormat="false" ht="15" hidden="false" customHeight="false" outlineLevel="0" collapsed="false">
      <c r="A440" s="0" t="str">
        <f aca="false">Chase1168_2025!A440</f>
        <v>DEBIT</v>
      </c>
      <c r="B440" s="14" t="n">
        <f aca="false">Chase1168_2025!B440</f>
        <v>45929</v>
      </c>
      <c r="C440" s="0" t="str">
        <f aca="false">Chase1168_2025!C440</f>
        <v>ORIG CO NAME:VENMO                  ORIG ID:3264681992 DESC DATE:250928 CO ENTRY DESCR:PAYMENT   SEC:WEB    TRACE#:021000027283014 EED:250929   IND ID:1045133385177                IND NAME:JUDD DUNNING                                                                                                 250928PPZDM3 TRN: 2727283014TC</v>
      </c>
      <c r="D440" s="7" t="n">
        <f aca="false">Chase1168_2025!D440</f>
        <v>-750</v>
      </c>
      <c r="E440" s="0" t="str">
        <f aca="false">Chase1168_2025!E440</f>
        <v>ACH_DEBIT</v>
      </c>
      <c r="F440" s="7" t="n">
        <f aca="false">Chase1168_2025!F440</f>
        <v>56671.57</v>
      </c>
      <c r="G440" s="0" t="str">
        <f aca="false">Chase1168_2025!G440</f>
        <v>Venmo</v>
      </c>
      <c r="H440" s="15" t="n">
        <f aca="false">IF($B440="","",DATE(YEAR($B440),MONTH($B440),1))</f>
        <v>45901</v>
      </c>
      <c r="I440" s="0" t="str">
        <f aca="false">IF($G440="","Uncategorized — Review",IFERROR(INDEX(Mapping!$B:$B,MATCH($G440,Mapping!$A:$A,0)),"Uncategorized — Review"))</f>
        <v>Venmo</v>
      </c>
      <c r="J440" s="0" t="str">
        <f aca="false">IF($G440="","Uncategorized — Review",IFERROR(INDEX(Mapping!$C:$C,MATCH($G440,Mapping!$A:$A,0)),"Uncategorized — Review"))</f>
        <v>P2P Payments (Zelle/Venmo/PayPal)</v>
      </c>
    </row>
    <row r="441" customFormat="false" ht="15" hidden="false" customHeight="false" outlineLevel="0" collapsed="false">
      <c r="A441" s="0" t="str">
        <f aca="false">Chase1168_2025!A441</f>
        <v>DEBIT</v>
      </c>
      <c r="B441" s="14" t="n">
        <f aca="false">Chase1168_2025!B441</f>
        <v>45929</v>
      </c>
      <c r="C441" s="0" t="str">
        <f aca="false">Chase1168_2025!C441</f>
        <v>ORIG CO NAME:GEICO                  ORIG ID:3530075853 DESC DATE:250928 CO ENTRY DESCR:PREM COLL SEC:PPD    TRACE#:021000026634689 EED:250929   IND ID:                             IND NAME:ANGELA DUNNING TRN: 2726634689TC</v>
      </c>
      <c r="D441" s="7" t="n">
        <f aca="false">Chase1168_2025!D441</f>
        <v>-1135.38</v>
      </c>
      <c r="E441" s="0" t="str">
        <f aca="false">Chase1168_2025!E441</f>
        <v>ACH_DEBIT</v>
      </c>
      <c r="F441" s="7" t="n">
        <f aca="false">Chase1168_2025!F441</f>
        <v>57421.57</v>
      </c>
      <c r="G441" s="0" t="str">
        <f aca="false">Chase1168_2025!G441</f>
        <v>Personal - Car Insurance</v>
      </c>
      <c r="H441" s="15" t="n">
        <f aca="false">IF($B441="","",DATE(YEAR($B441),MONTH($B441),1))</f>
        <v>45901</v>
      </c>
      <c r="I441" s="0" t="str">
        <f aca="false">IF($G441="","Uncategorized — Review",IFERROR(INDEX(Mapping!$B:$B,MATCH($G441,Mapping!$A:$A,0)),"Uncategorized — Review"))</f>
        <v>Personal - Car &amp; Auto</v>
      </c>
      <c r="J441" s="0" t="str">
        <f aca="false">IF($G441="","Uncategorized — Review",IFERROR(INDEX(Mapping!$C:$C,MATCH($G441,Mapping!$A:$A,0)),"Uncategorized — Review"))</f>
        <v>Personal — Owner</v>
      </c>
    </row>
    <row r="442" customFormat="false" ht="15" hidden="false" customHeight="false" outlineLevel="0" collapsed="false">
      <c r="A442" s="0" t="str">
        <f aca="false">Chase1168_2025!A442</f>
        <v>DEBIT</v>
      </c>
      <c r="B442" s="14" t="n">
        <f aca="false">Chase1168_2025!B442</f>
        <v>45929</v>
      </c>
      <c r="C442" s="0" t="str">
        <f aca="false">Chase1168_2025!C442</f>
        <v>Zelle payment to Jeff Fajardo JPM99boufvvy</v>
      </c>
      <c r="D442" s="7" t="n">
        <f aca="false">Chase1168_2025!D442</f>
        <v>-875</v>
      </c>
      <c r="E442" s="0" t="str">
        <f aca="false">Chase1168_2025!E442</f>
        <v>CHASE_TO_PARTNERFI</v>
      </c>
      <c r="F442" s="7" t="n">
        <f aca="false">Chase1168_2025!F442</f>
        <v>58556.95</v>
      </c>
      <c r="G442" s="0" t="str">
        <f aca="false">Chase1168_2025!G442</f>
        <v>Zelle - Jeff Fajardo</v>
      </c>
      <c r="H442" s="15" t="n">
        <f aca="false">IF($B442="","",DATE(YEAR($B442),MONTH($B442),1))</f>
        <v>45901</v>
      </c>
      <c r="I442" s="0" t="str">
        <f aca="false">IF($G442="","Uncategorized — Review",IFERROR(INDEX(Mapping!$B:$B,MATCH($G442,Mapping!$A:$A,0)),"Uncategorized — Review"))</f>
        <v>Zelle - Jeff Fajardo</v>
      </c>
      <c r="J442" s="0" t="str">
        <f aca="false">IF($G442="","Uncategorized — Review",IFERROR(INDEX(Mapping!$C:$C,MATCH($G442,Mapping!$A:$A,0)),"Uncategorized — Review"))</f>
        <v>P2P Payments (Zelle/Venmo/PayPal)</v>
      </c>
    </row>
    <row r="443" customFormat="false" ht="15" hidden="false" customHeight="false" outlineLevel="0" collapsed="false">
      <c r="A443" s="0" t="str">
        <f aca="false">Chase1168_2025!A443</f>
        <v>DEBIT</v>
      </c>
      <c r="B443" s="14" t="n">
        <f aca="false">Chase1168_2025!B443</f>
        <v>45929</v>
      </c>
      <c r="C443" s="0" t="str">
        <f aca="false">Chase1168_2025!C443</f>
        <v>PP*APPLE.COM/BILL 800-275-2273 CA            09/27</v>
      </c>
      <c r="D443" s="7" t="n">
        <f aca="false">Chase1168_2025!D443</f>
        <v>-18.99</v>
      </c>
      <c r="E443" s="0" t="str">
        <f aca="false">Chase1168_2025!E443</f>
        <v>DEBIT_CARD</v>
      </c>
      <c r="F443" s="7" t="n">
        <f aca="false">Chase1168_2025!F443</f>
        <v>59431.95</v>
      </c>
      <c r="G443" s="0" t="str">
        <f aca="false">Chase1168_2025!G443</f>
        <v>Personal - Subscriptions</v>
      </c>
      <c r="H443" s="15" t="n">
        <f aca="false">IF($B443="","",DATE(YEAR($B443),MONTH($B443),1))</f>
        <v>45901</v>
      </c>
      <c r="I443" s="0" t="str">
        <f aca="false">IF($G443="","Uncategorized — Review",IFERROR(INDEX(Mapping!$B:$B,MATCH($G443,Mapping!$A:$A,0)),"Uncategorized — Review"))</f>
        <v>Personal - Subscriptions</v>
      </c>
      <c r="J443" s="0" t="str">
        <f aca="false">IF($G443="","Uncategorized — Review",IFERROR(INDEX(Mapping!$C:$C,MATCH($G443,Mapping!$A:$A,0)),"Uncategorized — Review"))</f>
        <v>Personal — Owner</v>
      </c>
    </row>
    <row r="444" customFormat="false" ht="15" hidden="false" customHeight="false" outlineLevel="0" collapsed="false">
      <c r="A444" s="0" t="str">
        <f aca="false">Chase1168_2025!A444</f>
        <v>DEBIT</v>
      </c>
      <c r="B444" s="14" t="n">
        <f aca="false">Chase1168_2025!B444</f>
        <v>45929</v>
      </c>
      <c r="C444" s="0" t="str">
        <f aca="false">Chase1168_2025!C444</f>
        <v>PAYPAL *GRUBHUBFOOD N 877-585-7878 IL        09/27</v>
      </c>
      <c r="D444" s="7" t="n">
        <f aca="false">Chase1168_2025!D444</f>
        <v>-95.27</v>
      </c>
      <c r="E444" s="0" t="str">
        <f aca="false">Chase1168_2025!E444</f>
        <v>DEBIT_CARD</v>
      </c>
      <c r="F444" s="7" t="n">
        <f aca="false">Chase1168_2025!F444</f>
        <v>59450.94</v>
      </c>
      <c r="G444" s="0" t="str">
        <f aca="false">Chase1168_2025!G444</f>
        <v>Personal - Food</v>
      </c>
      <c r="H444" s="15" t="n">
        <f aca="false">IF($B444="","",DATE(YEAR($B444),MONTH($B444),1))</f>
        <v>45901</v>
      </c>
      <c r="I444" s="0" t="str">
        <f aca="false">IF($G444="","Uncategorized — Review",IFERROR(INDEX(Mapping!$B:$B,MATCH($G444,Mapping!$A:$A,0)),"Uncategorized — Review"))</f>
        <v>Personal - Food &amp; Dining</v>
      </c>
      <c r="J444" s="0" t="str">
        <f aca="false">IF($G444="","Uncategorized — Review",IFERROR(INDEX(Mapping!$C:$C,MATCH($G444,Mapping!$A:$A,0)),"Uncategorized — Review"))</f>
        <v>Personal — Owner</v>
      </c>
    </row>
    <row r="445" customFormat="false" ht="15" hidden="false" customHeight="false" outlineLevel="0" collapsed="false">
      <c r="A445" s="0" t="str">
        <f aca="false">Chase1168_2025!A445</f>
        <v>DEBIT</v>
      </c>
      <c r="B445" s="14" t="n">
        <f aca="false">Chase1168_2025!B445</f>
        <v>45929</v>
      </c>
      <c r="C445" s="0" t="str">
        <f aca="false">Chase1168_2025!C445</f>
        <v>PP*APPLE.COM/BILL 800-275-2273 CA            09/27</v>
      </c>
      <c r="D445" s="7" t="n">
        <f aca="false">Chase1168_2025!D445</f>
        <v>-16.99</v>
      </c>
      <c r="E445" s="0" t="str">
        <f aca="false">Chase1168_2025!E445</f>
        <v>DEBIT_CARD</v>
      </c>
      <c r="F445" s="7" t="n">
        <f aca="false">Chase1168_2025!F445</f>
        <v>59546.21</v>
      </c>
      <c r="G445" s="0" t="str">
        <f aca="false">Chase1168_2025!G445</f>
        <v>Personal - Subscriptions</v>
      </c>
      <c r="H445" s="15" t="n">
        <f aca="false">IF($B445="","",DATE(YEAR($B445),MONTH($B445),1))</f>
        <v>45901</v>
      </c>
      <c r="I445" s="0" t="str">
        <f aca="false">IF($G445="","Uncategorized — Review",IFERROR(INDEX(Mapping!$B:$B,MATCH($G445,Mapping!$A:$A,0)),"Uncategorized — Review"))</f>
        <v>Personal - Subscriptions</v>
      </c>
      <c r="J445" s="0" t="str">
        <f aca="false">IF($G445="","Uncategorized — Review",IFERROR(INDEX(Mapping!$C:$C,MATCH($G445,Mapping!$A:$A,0)),"Uncategorized — Review"))</f>
        <v>Personal — Owner</v>
      </c>
    </row>
    <row r="446" customFormat="false" ht="15" hidden="false" customHeight="false" outlineLevel="0" collapsed="false">
      <c r="A446" s="0" t="str">
        <f aca="false">Chase1168_2025!A446</f>
        <v>DEBIT</v>
      </c>
      <c r="B446" s="14" t="n">
        <f aca="false">Chase1168_2025!B446</f>
        <v>45929</v>
      </c>
      <c r="C446" s="0" t="str">
        <f aca="false">Chase1168_2025!C446</f>
        <v>PP*APPLE.COM/BILL 800-275-2273 CA            09/27</v>
      </c>
      <c r="D446" s="7" t="n">
        <f aca="false">Chase1168_2025!D446</f>
        <v>-9.99</v>
      </c>
      <c r="E446" s="0" t="str">
        <f aca="false">Chase1168_2025!E446</f>
        <v>DEBIT_CARD</v>
      </c>
      <c r="F446" s="7" t="n">
        <f aca="false">Chase1168_2025!F446</f>
        <v>59563.2</v>
      </c>
      <c r="G446" s="0" t="str">
        <f aca="false">Chase1168_2025!G446</f>
        <v>Personal - Subscriptions</v>
      </c>
      <c r="H446" s="15" t="n">
        <f aca="false">IF($B446="","",DATE(YEAR($B446),MONTH($B446),1))</f>
        <v>45901</v>
      </c>
      <c r="I446" s="0" t="str">
        <f aca="false">IF($G446="","Uncategorized — Review",IFERROR(INDEX(Mapping!$B:$B,MATCH($G446,Mapping!$A:$A,0)),"Uncategorized — Review"))</f>
        <v>Personal - Subscriptions</v>
      </c>
      <c r="J446" s="0" t="str">
        <f aca="false">IF($G446="","Uncategorized — Review",IFERROR(INDEX(Mapping!$C:$C,MATCH($G446,Mapping!$A:$A,0)),"Uncategorized — Review"))</f>
        <v>Personal — Owner</v>
      </c>
    </row>
    <row r="447" customFormat="false" ht="15" hidden="false" customHeight="false" outlineLevel="0" collapsed="false">
      <c r="A447" s="0" t="str">
        <f aca="false">Chase1168_2025!A447</f>
        <v>DEBIT</v>
      </c>
      <c r="B447" s="14" t="n">
        <f aca="false">Chase1168_2025!B447</f>
        <v>45926</v>
      </c>
      <c r="C447" s="0" t="str">
        <f aca="false">Chase1168_2025!C447</f>
        <v>Zelle payment to Jeffrey Seider JPM99bon09n8</v>
      </c>
      <c r="D447" s="7" t="n">
        <f aca="false">Chase1168_2025!D447</f>
        <v>-100</v>
      </c>
      <c r="E447" s="0" t="str">
        <f aca="false">Chase1168_2025!E447</f>
        <v>CHASE_TO_PARTNERFI</v>
      </c>
      <c r="F447" s="7" t="n">
        <f aca="false">Chase1168_2025!F447</f>
        <v>59573.19</v>
      </c>
      <c r="G447" s="0" t="str">
        <f aca="false">Chase1168_2025!G447</f>
        <v>Zelle - Jeff Seider</v>
      </c>
      <c r="H447" s="15" t="n">
        <f aca="false">IF($B447="","",DATE(YEAR($B447),MONTH($B447),1))</f>
        <v>45901</v>
      </c>
      <c r="I447" s="0" t="str">
        <f aca="false">IF($G447="","Uncategorized — Review",IFERROR(INDEX(Mapping!$B:$B,MATCH($G447,Mapping!$A:$A,0)),"Uncategorized — Review"))</f>
        <v>Zelle - Jeff Seider</v>
      </c>
      <c r="J447" s="0" t="str">
        <f aca="false">IF($G447="","Uncategorized — Review",IFERROR(INDEX(Mapping!$C:$C,MATCH($G447,Mapping!$A:$A,0)),"Uncategorized — Review"))</f>
        <v>P2P Payments (Zelle/Venmo/PayPal)</v>
      </c>
    </row>
    <row r="448" customFormat="false" ht="15" hidden="false" customHeight="false" outlineLevel="0" collapsed="false">
      <c r="A448" s="0" t="str">
        <f aca="false">Chase1168_2025!A448</f>
        <v>DEBIT</v>
      </c>
      <c r="B448" s="14" t="n">
        <f aca="false">Chase1168_2025!B448</f>
        <v>45926</v>
      </c>
      <c r="C448" s="0" t="str">
        <f aca="false">Chase1168_2025!C448</f>
        <v>Online Transfer to CHK ...7899 transaction#: 26362286376 09/26</v>
      </c>
      <c r="D448" s="7" t="n">
        <f aca="false">Chase1168_2025!D448</f>
        <v>-2000</v>
      </c>
      <c r="E448" s="0" t="str">
        <f aca="false">Chase1168_2025!E448</f>
        <v>ACCT_XFER</v>
      </c>
      <c r="F448" s="7" t="n">
        <f aca="false">Chase1168_2025!F448</f>
        <v>59673.19</v>
      </c>
      <c r="G448" s="0" t="str">
        <f aca="false">Chase1168_2025!G448</f>
        <v>Transfer to TX Personal Joint</v>
      </c>
      <c r="H448" s="15" t="n">
        <f aca="false">IF($B448="","",DATE(YEAR($B448),MONTH($B448),1))</f>
        <v>45901</v>
      </c>
      <c r="I448" s="0" t="str">
        <f aca="false">IF($G448="","Uncategorized — Review",IFERROR(INDEX(Mapping!$B:$B,MATCH($G448,Mapping!$A:$A,0)),"Uncategorized — Review"))</f>
        <v>Transfer to TX Personal Joint</v>
      </c>
      <c r="J448" s="0" t="str">
        <f aca="false">IF($G448="","Uncategorized — Review",IFERROR(INDEX(Mapping!$C:$C,MATCH($G448,Mapping!$A:$A,0)),"Uncategorized — Review"))</f>
        <v>Owner / Family Distributions</v>
      </c>
    </row>
    <row r="449" customFormat="false" ht="15" hidden="false" customHeight="false" outlineLevel="0" collapsed="false">
      <c r="A449" s="0" t="str">
        <f aca="false">Chase1168_2025!A449</f>
        <v>DEBIT</v>
      </c>
      <c r="B449" s="14" t="n">
        <f aca="false">Chase1168_2025!B449</f>
        <v>45926</v>
      </c>
      <c r="C449" s="0" t="str">
        <f aca="false">Chase1168_2025!C449</f>
        <v>Online Transfer to CHK ...1117 transaction#: 26362241272 09/26</v>
      </c>
      <c r="D449" s="7" t="n">
        <f aca="false">Chase1168_2025!D449</f>
        <v>-10000</v>
      </c>
      <c r="E449" s="0" t="str">
        <f aca="false">Chase1168_2025!E449</f>
        <v>ACCT_XFER</v>
      </c>
      <c r="F449" s="7" t="n">
        <f aca="false">Chase1168_2025!F449</f>
        <v>61673.19</v>
      </c>
      <c r="G449" s="0" t="str">
        <f aca="false">Chase1168_2025!G449</f>
        <v>Transfer to Angela Dunning</v>
      </c>
      <c r="H449" s="15" t="n">
        <f aca="false">IF($B449="","",DATE(YEAR($B449),MONTH($B449),1))</f>
        <v>45901</v>
      </c>
      <c r="I449" s="0" t="str">
        <f aca="false">IF($G449="","Uncategorized — Review",IFERROR(INDEX(Mapping!$B:$B,MATCH($G449,Mapping!$A:$A,0)),"Uncategorized — Review"))</f>
        <v>Transfer to Angela Dunning</v>
      </c>
      <c r="J449" s="0" t="str">
        <f aca="false">IF($G449="","Uncategorized — Review",IFERROR(INDEX(Mapping!$C:$C,MATCH($G449,Mapping!$A:$A,0)),"Uncategorized — Review"))</f>
        <v>Owner / Family Distributions</v>
      </c>
    </row>
    <row r="450" customFormat="false" ht="15" hidden="false" customHeight="false" outlineLevel="0" collapsed="false">
      <c r="A450" s="0" t="str">
        <f aca="false">Chase1168_2025!A450</f>
        <v>DEBIT</v>
      </c>
      <c r="B450" s="14" t="n">
        <f aca="false">Chase1168_2025!B450</f>
        <v>45926</v>
      </c>
      <c r="C450" s="0" t="str">
        <f aca="false">Chase1168_2025!C450</f>
        <v>Online Payment 26362182073 To MERCEDES BENZ FINANCIAL 09/26</v>
      </c>
      <c r="D450" s="7" t="n">
        <f aca="false">Chase1168_2025!D450</f>
        <v>-412</v>
      </c>
      <c r="E450" s="0" t="str">
        <f aca="false">Chase1168_2025!E450</f>
        <v>BILLPAY</v>
      </c>
      <c r="F450" s="7" t="n">
        <f aca="false">Chase1168_2025!F450</f>
        <v>71673.19</v>
      </c>
      <c r="G450" s="0" t="str">
        <f aca="false">Chase1168_2025!G450</f>
        <v>Personal - Car (Mercedes)</v>
      </c>
      <c r="H450" s="15" t="n">
        <f aca="false">IF($B450="","",DATE(YEAR($B450),MONTH($B450),1))</f>
        <v>45901</v>
      </c>
      <c r="I450" s="0" t="str">
        <f aca="false">IF($G450="","Uncategorized — Review",IFERROR(INDEX(Mapping!$B:$B,MATCH($G450,Mapping!$A:$A,0)),"Uncategorized — Review"))</f>
        <v>Personal - Car &amp; Auto</v>
      </c>
      <c r="J450" s="0" t="str">
        <f aca="false">IF($G450="","Uncategorized — Review",IFERROR(INDEX(Mapping!$C:$C,MATCH($G450,Mapping!$A:$A,0)),"Uncategorized — Review"))</f>
        <v>Personal — Owner</v>
      </c>
    </row>
    <row r="451" customFormat="false" ht="15" hidden="false" customHeight="false" outlineLevel="0" collapsed="false">
      <c r="A451" s="0" t="str">
        <f aca="false">Chase1168_2025!A451</f>
        <v>DEBIT</v>
      </c>
      <c r="B451" s="14" t="n">
        <f aca="false">Chase1168_2025!B451</f>
        <v>45926</v>
      </c>
      <c r="C451" s="0" t="str">
        <f aca="false">Chase1168_2025!C451</f>
        <v>Online Payment 26362199418 To MERCEDES BENZ FINANCIAL SVCS 09/26</v>
      </c>
      <c r="D451" s="7" t="n">
        <f aca="false">Chase1168_2025!D451</f>
        <v>-1399.78</v>
      </c>
      <c r="E451" s="0" t="str">
        <f aca="false">Chase1168_2025!E451</f>
        <v>BILLPAY</v>
      </c>
      <c r="F451" s="7" t="n">
        <f aca="false">Chase1168_2025!F451</f>
        <v>72085.19</v>
      </c>
      <c r="G451" s="0" t="str">
        <f aca="false">Chase1168_2025!G451</f>
        <v>Personal - Car (Mercedes)</v>
      </c>
      <c r="H451" s="15" t="n">
        <f aca="false">IF($B451="","",DATE(YEAR($B451),MONTH($B451),1))</f>
        <v>45901</v>
      </c>
      <c r="I451" s="0" t="str">
        <f aca="false">IF($G451="","Uncategorized — Review",IFERROR(INDEX(Mapping!$B:$B,MATCH($G451,Mapping!$A:$A,0)),"Uncategorized — Review"))</f>
        <v>Personal - Car &amp; Auto</v>
      </c>
      <c r="J451" s="0" t="str">
        <f aca="false">IF($G451="","Uncategorized — Review",IFERROR(INDEX(Mapping!$C:$C,MATCH($G451,Mapping!$A:$A,0)),"Uncategorized — Review"))</f>
        <v>Personal — Owner</v>
      </c>
    </row>
    <row r="452" customFormat="false" ht="15" hidden="false" customHeight="false" outlineLevel="0" collapsed="false">
      <c r="A452" s="0" t="str">
        <f aca="false">Chase1168_2025!A452</f>
        <v>DEBIT</v>
      </c>
      <c r="B452" s="14" t="n">
        <f aca="false">Chase1168_2025!B452</f>
        <v>45926</v>
      </c>
      <c r="C452" s="0" t="str">
        <f aca="false">Chase1168_2025!C452</f>
        <v>Online Payment 26362196191 To PENTAGON FEDERAL CREDIT UNION 09/26</v>
      </c>
      <c r="D452" s="7" t="n">
        <f aca="false">Chase1168_2025!D452</f>
        <v>-7010</v>
      </c>
      <c r="E452" s="0" t="str">
        <f aca="false">Chase1168_2025!E452</f>
        <v>BILLPAY</v>
      </c>
      <c r="F452" s="7" t="n">
        <f aca="false">Chase1168_2025!F452</f>
        <v>73484.97</v>
      </c>
      <c r="G452" s="0" t="str">
        <f aca="false">Chase1168_2025!G452</f>
        <v>Personal - California Mortgage PMT</v>
      </c>
      <c r="H452" s="15" t="n">
        <f aca="false">IF($B452="","",DATE(YEAR($B452),MONTH($B452),1))</f>
        <v>45901</v>
      </c>
      <c r="I452" s="0" t="str">
        <f aca="false">IF($G452="","Uncategorized — Review",IFERROR(INDEX(Mapping!$B:$B,MATCH($G452,Mapping!$A:$A,0)),"Uncategorized — Review"))</f>
        <v>Personal - California Mortgage PMT</v>
      </c>
      <c r="J452" s="0" t="str">
        <f aca="false">IF($G452="","Uncategorized — Review",IFERROR(INDEX(Mapping!$C:$C,MATCH($G452,Mapping!$A:$A,0)),"Uncategorized — Review"))</f>
        <v>Personal — Owner</v>
      </c>
    </row>
    <row r="453" customFormat="false" ht="15" hidden="false" customHeight="false" outlineLevel="0" collapsed="false">
      <c r="A453" s="0" t="str">
        <f aca="false">Chase1168_2025!A453</f>
        <v>DEBIT</v>
      </c>
      <c r="B453" s="14" t="n">
        <f aca="false">Chase1168_2025!B453</f>
        <v>45926</v>
      </c>
      <c r="C453" s="0" t="str">
        <f aca="false">Chase1168_2025!C453</f>
        <v>Online Payment 26362140462 To MERCEDES BENZ FINANCIAL 09/26</v>
      </c>
      <c r="D453" s="7" t="n">
        <f aca="false">Chase1168_2025!D453</f>
        <v>-612</v>
      </c>
      <c r="E453" s="0" t="str">
        <f aca="false">Chase1168_2025!E453</f>
        <v>BILLPAY</v>
      </c>
      <c r="F453" s="7" t="n">
        <f aca="false">Chase1168_2025!F453</f>
        <v>80494.97</v>
      </c>
      <c r="G453" s="0" t="str">
        <f aca="false">Chase1168_2025!G453</f>
        <v>Personal - Car (Mercedes)</v>
      </c>
      <c r="H453" s="15" t="n">
        <f aca="false">IF($B453="","",DATE(YEAR($B453),MONTH($B453),1))</f>
        <v>45901</v>
      </c>
      <c r="I453" s="0" t="str">
        <f aca="false">IF($G453="","Uncategorized — Review",IFERROR(INDEX(Mapping!$B:$B,MATCH($G453,Mapping!$A:$A,0)),"Uncategorized — Review"))</f>
        <v>Personal - Car &amp; Auto</v>
      </c>
      <c r="J453" s="0" t="str">
        <f aca="false">IF($G453="","Uncategorized — Review",IFERROR(INDEX(Mapping!$C:$C,MATCH($G453,Mapping!$A:$A,0)),"Uncategorized — Review"))</f>
        <v>Personal — Owner</v>
      </c>
    </row>
    <row r="454" customFormat="false" ht="15" hidden="false" customHeight="false" outlineLevel="0" collapsed="false">
      <c r="A454" s="0" t="str">
        <f aca="false">Chase1168_2025!A454</f>
        <v>DEBIT</v>
      </c>
      <c r="B454" s="14" t="n">
        <f aca="false">Chase1168_2025!B454</f>
        <v>45926</v>
      </c>
      <c r="C454" s="0" t="str">
        <f aca="false">Chase1168_2025!C454</f>
        <v>Online Transfer to CHK ...1117 transaction#: 26362138416 09/26</v>
      </c>
      <c r="D454" s="7" t="n">
        <f aca="false">Chase1168_2025!D454</f>
        <v>-2000</v>
      </c>
      <c r="E454" s="0" t="str">
        <f aca="false">Chase1168_2025!E454</f>
        <v>ACCT_XFER</v>
      </c>
      <c r="F454" s="7" t="n">
        <f aca="false">Chase1168_2025!F454</f>
        <v>81106.97</v>
      </c>
      <c r="G454" s="0" t="str">
        <f aca="false">Chase1168_2025!G454</f>
        <v>Transfer to Angela Dunning</v>
      </c>
      <c r="H454" s="15" t="n">
        <f aca="false">IF($B454="","",DATE(YEAR($B454),MONTH($B454),1))</f>
        <v>45901</v>
      </c>
      <c r="I454" s="0" t="str">
        <f aca="false">IF($G454="","Uncategorized — Review",IFERROR(INDEX(Mapping!$B:$B,MATCH($G454,Mapping!$A:$A,0)),"Uncategorized — Review"))</f>
        <v>Transfer to Angela Dunning</v>
      </c>
      <c r="J454" s="0" t="str">
        <f aca="false">IF($G454="","Uncategorized — Review",IFERROR(INDEX(Mapping!$C:$C,MATCH($G454,Mapping!$A:$A,0)),"Uncategorized — Review"))</f>
        <v>Owner / Family Distributions</v>
      </c>
    </row>
    <row r="455" customFormat="false" ht="15" hidden="false" customHeight="false" outlineLevel="0" collapsed="false">
      <c r="A455" s="0" t="str">
        <f aca="false">Chase1168_2025!A455</f>
        <v>DEBIT</v>
      </c>
      <c r="B455" s="14" t="n">
        <f aca="false">Chase1168_2025!B455</f>
        <v>45926</v>
      </c>
      <c r="C455" s="0" t="str">
        <f aca="false">Chase1168_2025!C455</f>
        <v>Zelle payment to Jeff Fajardo JPM99bompolm</v>
      </c>
      <c r="D455" s="7" t="n">
        <f aca="false">Chase1168_2025!D455</f>
        <v>-850</v>
      </c>
      <c r="E455" s="0" t="str">
        <f aca="false">Chase1168_2025!E455</f>
        <v>CHASE_TO_PARTNERFI</v>
      </c>
      <c r="F455" s="7" t="n">
        <f aca="false">Chase1168_2025!F455</f>
        <v>83106.97</v>
      </c>
      <c r="G455" s="0" t="str">
        <f aca="false">Chase1168_2025!G455</f>
        <v>Zelle - Jeff Fajardo</v>
      </c>
      <c r="H455" s="15" t="n">
        <f aca="false">IF($B455="","",DATE(YEAR($B455),MONTH($B455),1))</f>
        <v>45901</v>
      </c>
      <c r="I455" s="0" t="str">
        <f aca="false">IF($G455="","Uncategorized — Review",IFERROR(INDEX(Mapping!$B:$B,MATCH($G455,Mapping!$A:$A,0)),"Uncategorized — Review"))</f>
        <v>Zelle - Jeff Fajardo</v>
      </c>
      <c r="J455" s="0" t="str">
        <f aca="false">IF($G455="","Uncategorized — Review",IFERROR(INDEX(Mapping!$C:$C,MATCH($G455,Mapping!$A:$A,0)),"Uncategorized — Review"))</f>
        <v>P2P Payments (Zelle/Venmo/PayPal)</v>
      </c>
    </row>
    <row r="456" customFormat="false" ht="15" hidden="false" customHeight="false" outlineLevel="0" collapsed="false">
      <c r="A456" s="0" t="str">
        <f aca="false">Chase1168_2025!A456</f>
        <v>DEBIT</v>
      </c>
      <c r="B456" s="14" t="n">
        <f aca="false">Chase1168_2025!B456</f>
        <v>45926</v>
      </c>
      <c r="C456" s="0" t="str">
        <f aca="false">Chase1168_2025!C456</f>
        <v>Disney Plus 888-9057888 CA                   09/26</v>
      </c>
      <c r="D456" s="7" t="n">
        <f aca="false">Chase1168_2025!D456</f>
        <v>-17.27</v>
      </c>
      <c r="E456" s="0" t="str">
        <f aca="false">Chase1168_2025!E456</f>
        <v>DEBIT_CARD</v>
      </c>
      <c r="F456" s="7" t="n">
        <f aca="false">Chase1168_2025!F456</f>
        <v>83956.97</v>
      </c>
      <c r="G456" s="0" t="str">
        <f aca="false">Chase1168_2025!G456</f>
        <v>Personal - Subscriptions</v>
      </c>
      <c r="H456" s="15" t="n">
        <f aca="false">IF($B456="","",DATE(YEAR($B456),MONTH($B456),1))</f>
        <v>45901</v>
      </c>
      <c r="I456" s="0" t="str">
        <f aca="false">IF($G456="","Uncategorized — Review",IFERROR(INDEX(Mapping!$B:$B,MATCH($G456,Mapping!$A:$A,0)),"Uncategorized — Review"))</f>
        <v>Personal - Subscriptions</v>
      </c>
      <c r="J456" s="0" t="str">
        <f aca="false">IF($G456="","Uncategorized — Review",IFERROR(INDEX(Mapping!$C:$C,MATCH($G456,Mapping!$A:$A,0)),"Uncategorized — Review"))</f>
        <v>Personal — Owner</v>
      </c>
    </row>
    <row r="457" customFormat="false" ht="15" hidden="false" customHeight="false" outlineLevel="0" collapsed="false">
      <c r="A457" s="0" t="str">
        <f aca="false">Chase1168_2025!A457</f>
        <v>DEBIT</v>
      </c>
      <c r="B457" s="14" t="n">
        <f aca="false">Chase1168_2025!B457</f>
        <v>45926</v>
      </c>
      <c r="C457" s="0" t="str">
        <f aca="false">Chase1168_2025!C457</f>
        <v>PAYPAL *GRUBHUBFOOD L 877-585-7878 IL        09/26</v>
      </c>
      <c r="D457" s="7" t="n">
        <f aca="false">Chase1168_2025!D457</f>
        <v>-57.28</v>
      </c>
      <c r="E457" s="0" t="str">
        <f aca="false">Chase1168_2025!E457</f>
        <v>DEBIT_CARD</v>
      </c>
      <c r="F457" s="7" t="n">
        <f aca="false">Chase1168_2025!F457</f>
        <v>83974.24</v>
      </c>
      <c r="G457" s="0" t="str">
        <f aca="false">Chase1168_2025!G457</f>
        <v>Personal - Food</v>
      </c>
      <c r="H457" s="15" t="n">
        <f aca="false">IF($B457="","",DATE(YEAR($B457),MONTH($B457),1))</f>
        <v>45901</v>
      </c>
      <c r="I457" s="0" t="str">
        <f aca="false">IF($G457="","Uncategorized — Review",IFERROR(INDEX(Mapping!$B:$B,MATCH($G457,Mapping!$A:$A,0)),"Uncategorized — Review"))</f>
        <v>Personal - Food &amp; Dining</v>
      </c>
      <c r="J457" s="0" t="str">
        <f aca="false">IF($G457="","Uncategorized — Review",IFERROR(INDEX(Mapping!$C:$C,MATCH($G457,Mapping!$A:$A,0)),"Uncategorized — Review"))</f>
        <v>Personal — Owner</v>
      </c>
    </row>
    <row r="458" customFormat="false" ht="15" hidden="false" customHeight="false" outlineLevel="0" collapsed="false">
      <c r="A458" s="0" t="str">
        <f aca="false">Chase1168_2025!A458</f>
        <v>DEBIT</v>
      </c>
      <c r="B458" s="14" t="n">
        <f aca="false">Chase1168_2025!B458</f>
        <v>45925</v>
      </c>
      <c r="C458" s="0" t="str">
        <f aca="false">Chase1168_2025!C458</f>
        <v>ONLINE FX INTERNATIONAL WIRE FEE</v>
      </c>
      <c r="D458" s="7" t="n">
        <f aca="false">Chase1168_2025!D458</f>
        <v>-5</v>
      </c>
      <c r="E458" s="0" t="str">
        <f aca="false">Chase1168_2025!E458</f>
        <v>FEE_TRANSACTION</v>
      </c>
      <c r="F458" s="7" t="n">
        <f aca="false">Chase1168_2025!F458</f>
        <v>84031.52</v>
      </c>
      <c r="G458" s="0" t="str">
        <f aca="false">Chase1168_2025!G458</f>
        <v>Andres Alarcon Payroll</v>
      </c>
      <c r="H458" s="15" t="n">
        <f aca="false">IF($B458="","",DATE(YEAR($B458),MONTH($B458),1))</f>
        <v>45901</v>
      </c>
      <c r="I458" s="0" t="str">
        <f aca="false">IF($G458="","Uncategorized — Review",IFERROR(INDEX(Mapping!$B:$B,MATCH($G458,Mapping!$A:$A,0)),"Uncategorized — Review"))</f>
        <v>Andres Alarcon Payroll</v>
      </c>
      <c r="J458" s="0" t="str">
        <f aca="false">IF($G458="","Uncategorized — Review",IFERROR(INDEX(Mapping!$C:$C,MATCH($G458,Mapping!$A:$A,0)),"Uncategorized — Review"))</f>
        <v>Payroll &amp; Contractors</v>
      </c>
    </row>
    <row r="459" customFormat="false" ht="15" hidden="false" customHeight="false" outlineLevel="0" collapsed="false">
      <c r="A459" s="0" t="str">
        <f aca="false">Chase1168_2025!A459</f>
        <v>DEBIT</v>
      </c>
      <c r="B459" s="14" t="n">
        <f aca="false">Chase1168_2025!B459</f>
        <v>45925</v>
      </c>
      <c r="C459" s="0" t="str">
        <f aca="false">Chase1168_2025!C459</f>
        <v>ORIG CO NAME:VENMO                  ORIG ID:3264681992 DESC DATE:250925 CO ENTRY DESCR:PAYMENT   SEC:WEB    TRACE#:021000022568511 EED:250925   IND ID:1045094134827                IND NAME:JUDD DUNNING                                                                                                 250925PPZ1BQ TRN: 2682568511TC</v>
      </c>
      <c r="D459" s="7" t="n">
        <f aca="false">Chase1168_2025!D459</f>
        <v>-15</v>
      </c>
      <c r="E459" s="0" t="str">
        <f aca="false">Chase1168_2025!E459</f>
        <v>ACH_DEBIT</v>
      </c>
      <c r="F459" s="7" t="n">
        <f aca="false">Chase1168_2025!F459</f>
        <v>84036.52</v>
      </c>
      <c r="G459" s="0" t="str">
        <f aca="false">Chase1168_2025!G459</f>
        <v>Venmo</v>
      </c>
      <c r="H459" s="15" t="n">
        <f aca="false">IF($B459="","",DATE(YEAR($B459),MONTH($B459),1))</f>
        <v>45901</v>
      </c>
      <c r="I459" s="0" t="str">
        <f aca="false">IF($G459="","Uncategorized — Review",IFERROR(INDEX(Mapping!$B:$B,MATCH($G459,Mapping!$A:$A,0)),"Uncategorized — Review"))</f>
        <v>Venmo</v>
      </c>
      <c r="J459" s="0" t="str">
        <f aca="false">IF($G459="","Uncategorized — Review",IFERROR(INDEX(Mapping!$C:$C,MATCH($G459,Mapping!$A:$A,0)),"Uncategorized — Review"))</f>
        <v>P2P Payments (Zelle/Venmo/PayPal)</v>
      </c>
    </row>
    <row r="460" customFormat="false" ht="15" hidden="false" customHeight="false" outlineLevel="0" collapsed="false">
      <c r="A460" s="0" t="str">
        <f aca="false">Chase1168_2025!A460</f>
        <v>DEBIT</v>
      </c>
      <c r="B460" s="14" t="n">
        <f aca="false">Chase1168_2025!B460</f>
        <v>45925</v>
      </c>
      <c r="C460" s="0" t="str">
        <f aca="false">Chase1168_2025!C460</f>
        <v>ORIG CO NAME:VENMO                  ORIG ID:3264681992 DESC DATE:250925 CO ENTRY DESCR:PAYMENT   SEC:WEB    TRACE#:021000022401416 EED:250925   IND ID:1045086588673                IND NAME:JUDD DUNNING                                                                                                 250925PPZXFS TRN: 2682401416TC</v>
      </c>
      <c r="D460" s="7" t="n">
        <f aca="false">Chase1168_2025!D460</f>
        <v>-135</v>
      </c>
      <c r="E460" s="0" t="str">
        <f aca="false">Chase1168_2025!E460</f>
        <v>ACH_DEBIT</v>
      </c>
      <c r="F460" s="7" t="n">
        <f aca="false">Chase1168_2025!F460</f>
        <v>84051.52</v>
      </c>
      <c r="G460" s="0" t="str">
        <f aca="false">Chase1168_2025!G460</f>
        <v>Venmo</v>
      </c>
      <c r="H460" s="15" t="n">
        <f aca="false">IF($B460="","",DATE(YEAR($B460),MONTH($B460),1))</f>
        <v>45901</v>
      </c>
      <c r="I460" s="0" t="str">
        <f aca="false">IF($G460="","Uncategorized — Review",IFERROR(INDEX(Mapping!$B:$B,MATCH($G460,Mapping!$A:$A,0)),"Uncategorized — Review"))</f>
        <v>Venmo</v>
      </c>
      <c r="J460" s="0" t="str">
        <f aca="false">IF($G460="","Uncategorized — Review",IFERROR(INDEX(Mapping!$C:$C,MATCH($G460,Mapping!$A:$A,0)),"Uncategorized — Review"))</f>
        <v>P2P Payments (Zelle/Venmo/PayPal)</v>
      </c>
    </row>
    <row r="461" customFormat="false" ht="15" hidden="false" customHeight="false" outlineLevel="0" collapsed="false">
      <c r="A461" s="0" t="str">
        <f aca="false">Chase1168_2025!A461</f>
        <v>DEBIT</v>
      </c>
      <c r="B461" s="14" t="n">
        <f aca="false">Chase1168_2025!B461</f>
        <v>45925</v>
      </c>
      <c r="C461" s="0" t="str">
        <f aca="false">Chase1168_2025!C461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PAYMENTS/OCMT/COP27 82694,78/EXCH/3710.2597/CNTR/893098 41/INT/ANDRES_52763ATHOTMAIL.C TRN: 8266700268RE 09/25</v>
      </c>
      <c r="D461" s="7" t="n">
        <f aca="false">Chase1168_2025!D461</f>
        <v>-750</v>
      </c>
      <c r="E461" s="0" t="str">
        <f aca="false">Chase1168_2025!E461</f>
        <v>WIRE_OUTGOING</v>
      </c>
      <c r="F461" s="7" t="n">
        <f aca="false">Chase1168_2025!F461</f>
        <v>84186.52</v>
      </c>
      <c r="G461" s="0" t="str">
        <f aca="false">Chase1168_2025!G461</f>
        <v>Andres Alarcon Payroll</v>
      </c>
      <c r="H461" s="15" t="n">
        <f aca="false">IF($B461="","",DATE(YEAR($B461),MONTH($B461),1))</f>
        <v>45901</v>
      </c>
      <c r="I461" s="0" t="str">
        <f aca="false">IF($G461="","Uncategorized — Review",IFERROR(INDEX(Mapping!$B:$B,MATCH($G461,Mapping!$A:$A,0)),"Uncategorized — Review"))</f>
        <v>Andres Alarcon Payroll</v>
      </c>
      <c r="J461" s="0" t="str">
        <f aca="false">IF($G461="","Uncategorized — Review",IFERROR(INDEX(Mapping!$C:$C,MATCH($G461,Mapping!$A:$A,0)),"Uncategorized — Review"))</f>
        <v>Payroll &amp; Contractors</v>
      </c>
    </row>
    <row r="462" customFormat="false" ht="15" hidden="false" customHeight="false" outlineLevel="0" collapsed="false">
      <c r="A462" s="0" t="str">
        <f aca="false">Chase1168_2025!A462</f>
        <v>DEBIT</v>
      </c>
      <c r="B462" s="14" t="n">
        <f aca="false">Chase1168_2025!B462</f>
        <v>45925</v>
      </c>
      <c r="C462" s="0" t="str">
        <f aca="false">Chase1168_2025!C462</f>
        <v>PAYPAL *CANVA 416-131-8870 DE                09/25</v>
      </c>
      <c r="D462" s="7" t="n">
        <f aca="false">Chase1168_2025!D462</f>
        <v>-12.99</v>
      </c>
      <c r="E462" s="0" t="str">
        <f aca="false">Chase1168_2025!E462</f>
        <v>DEBIT_CARD</v>
      </c>
      <c r="F462" s="7" t="n">
        <f aca="false">Chase1168_2025!F462</f>
        <v>84936.52</v>
      </c>
      <c r="G462" s="0" t="str">
        <f aca="false">Chase1168_2025!G462</f>
        <v>DWG Marketing</v>
      </c>
      <c r="H462" s="15" t="n">
        <f aca="false">IF($B462="","",DATE(YEAR($B462),MONTH($B462),1))</f>
        <v>45901</v>
      </c>
      <c r="I462" s="0" t="str">
        <f aca="false">IF($G462="","Uncategorized — Review",IFERROR(INDEX(Mapping!$B:$B,MATCH($G462,Mapping!$A:$A,0)),"Uncategorized — Review"))</f>
        <v>DWG Marketing</v>
      </c>
      <c r="J462" s="0" t="str">
        <f aca="false">IF($G462="","Uncategorized — Review",IFERROR(INDEX(Mapping!$C:$C,MATCH($G462,Mapping!$A:$A,0)),"Uncategorized — Review"))</f>
        <v>DWG Operating</v>
      </c>
    </row>
    <row r="463" customFormat="false" ht="15" hidden="false" customHeight="false" outlineLevel="0" collapsed="false">
      <c r="A463" s="0" t="str">
        <f aca="false">Chase1168_2025!A463</f>
        <v>DEBIT</v>
      </c>
      <c r="B463" s="14" t="n">
        <f aca="false">Chase1168_2025!B463</f>
        <v>45925</v>
      </c>
      <c r="C463" s="0" t="str">
        <f aca="false">Chase1168_2025!C463</f>
        <v>PP*APPLE.COM/BILL 800-275-2273 CA            09/25</v>
      </c>
      <c r="D463" s="7" t="n">
        <f aca="false">Chase1168_2025!D463</f>
        <v>-8.99</v>
      </c>
      <c r="E463" s="0" t="str">
        <f aca="false">Chase1168_2025!E463</f>
        <v>DEBIT_CARD</v>
      </c>
      <c r="F463" s="7" t="n">
        <f aca="false">Chase1168_2025!F463</f>
        <v>84949.51</v>
      </c>
      <c r="G463" s="0" t="str">
        <f aca="false">Chase1168_2025!G463</f>
        <v>Personal - Subscriptions</v>
      </c>
      <c r="H463" s="15" t="n">
        <f aca="false">IF($B463="","",DATE(YEAR($B463),MONTH($B463),1))</f>
        <v>45901</v>
      </c>
      <c r="I463" s="0" t="str">
        <f aca="false">IF($G463="","Uncategorized — Review",IFERROR(INDEX(Mapping!$B:$B,MATCH($G463,Mapping!$A:$A,0)),"Uncategorized — Review"))</f>
        <v>Personal - Subscriptions</v>
      </c>
      <c r="J463" s="0" t="str">
        <f aca="false">IF($G463="","Uncategorized — Review",IFERROR(INDEX(Mapping!$C:$C,MATCH($G463,Mapping!$A:$A,0)),"Uncategorized — Review"))</f>
        <v>Personal — Owner</v>
      </c>
    </row>
    <row r="464" customFormat="false" ht="15" hidden="false" customHeight="false" outlineLevel="0" collapsed="false">
      <c r="A464" s="0" t="str">
        <f aca="false">Chase1168_2025!A464</f>
        <v>DEBIT</v>
      </c>
      <c r="B464" s="14" t="n">
        <f aca="false">Chase1168_2025!B464</f>
        <v>45925</v>
      </c>
      <c r="C464" s="0" t="str">
        <f aca="false">Chase1168_2025!C464</f>
        <v>PAYPAL *LINKEDIN 402-935-7733 CA             09/24</v>
      </c>
      <c r="D464" s="7" t="n">
        <f aca="false">Chase1168_2025!D464</f>
        <v>-232</v>
      </c>
      <c r="E464" s="0" t="str">
        <f aca="false">Chase1168_2025!E464</f>
        <v>DEBIT_CARD</v>
      </c>
      <c r="F464" s="7" t="n">
        <f aca="false">Chase1168_2025!F464</f>
        <v>84958.5</v>
      </c>
      <c r="G464" s="0" t="str">
        <f aca="false">Chase1168_2025!G464</f>
        <v>DWG HR</v>
      </c>
      <c r="H464" s="15" t="n">
        <f aca="false">IF($B464="","",DATE(YEAR($B464),MONTH($B464),1))</f>
        <v>45901</v>
      </c>
      <c r="I464" s="0" t="str">
        <f aca="false">IF($G464="","Uncategorized — Review",IFERROR(INDEX(Mapping!$B:$B,MATCH($G464,Mapping!$A:$A,0)),"Uncategorized — Review"))</f>
        <v>DWG HR</v>
      </c>
      <c r="J464" s="0" t="str">
        <f aca="false">IF($G464="","Uncategorized — Review",IFERROR(INDEX(Mapping!$C:$C,MATCH($G464,Mapping!$A:$A,0)),"Uncategorized — Review"))</f>
        <v>Payroll &amp; Contractors</v>
      </c>
    </row>
    <row r="465" customFormat="false" ht="15" hidden="false" customHeight="false" outlineLevel="0" collapsed="false">
      <c r="A465" s="0" t="str">
        <f aca="false">Chase1168_2025!A465</f>
        <v>DEBIT</v>
      </c>
      <c r="B465" s="14" t="n">
        <f aca="false">Chase1168_2025!B465</f>
        <v>45924</v>
      </c>
      <c r="C465" s="0" t="str">
        <f aca="false">Chase1168_2025!C465</f>
        <v>PP*APPLE.COM/BILL 800-275-2273 CA            09/24</v>
      </c>
      <c r="D465" s="7" t="n">
        <f aca="false">Chase1168_2025!D465</f>
        <v>-9.99</v>
      </c>
      <c r="E465" s="0" t="str">
        <f aca="false">Chase1168_2025!E465</f>
        <v>DEBIT_CARD</v>
      </c>
      <c r="F465" s="7" t="n">
        <f aca="false">Chase1168_2025!F465</f>
        <v>85190.5</v>
      </c>
      <c r="G465" s="0" t="str">
        <f aca="false">Chase1168_2025!G465</f>
        <v>Personal - Subscriptions</v>
      </c>
      <c r="H465" s="15" t="n">
        <f aca="false">IF($B465="","",DATE(YEAR($B465),MONTH($B465),1))</f>
        <v>45901</v>
      </c>
      <c r="I465" s="0" t="str">
        <f aca="false">IF($G465="","Uncategorized — Review",IFERROR(INDEX(Mapping!$B:$B,MATCH($G465,Mapping!$A:$A,0)),"Uncategorized — Review"))</f>
        <v>Personal - Subscriptions</v>
      </c>
      <c r="J465" s="0" t="str">
        <f aca="false">IF($G465="","Uncategorized — Review",IFERROR(INDEX(Mapping!$C:$C,MATCH($G465,Mapping!$A:$A,0)),"Uncategorized — Review"))</f>
        <v>Personal — Owner</v>
      </c>
    </row>
    <row r="466" customFormat="false" ht="15" hidden="false" customHeight="false" outlineLevel="0" collapsed="false">
      <c r="A466" s="0" t="str">
        <f aca="false">Chase1168_2025!A466</f>
        <v>DEBIT</v>
      </c>
      <c r="B466" s="14" t="n">
        <f aca="false">Chase1168_2025!B466</f>
        <v>45923</v>
      </c>
      <c r="C466" s="0" t="str">
        <f aca="false">Chase1168_2025!C466</f>
        <v>ONLINE DOMESTIC WIRE FEE</v>
      </c>
      <c r="D466" s="7" t="n">
        <f aca="false">Chase1168_2025!D466</f>
        <v>-25</v>
      </c>
      <c r="E466" s="0" t="str">
        <f aca="false">Chase1168_2025!E466</f>
        <v>FEE_TRANSACTION</v>
      </c>
      <c r="F466" s="7" t="n">
        <f aca="false">Chase1168_2025!F466</f>
        <v>85200.49</v>
      </c>
      <c r="G466" s="0" t="str">
        <f aca="false">Chase1168_2025!G466</f>
        <v>Wire Fee</v>
      </c>
      <c r="H466" s="15" t="n">
        <f aca="false">IF($B466="","",DATE(YEAR($B466),MONTH($B466),1))</f>
        <v>45901</v>
      </c>
      <c r="I466" s="0" t="str">
        <f aca="false">IF($G466="","Uncategorized — Review",IFERROR(INDEX(Mapping!$B:$B,MATCH($G466,Mapping!$A:$A,0)),"Uncategorized — Review"))</f>
        <v>Wire Fee</v>
      </c>
      <c r="J466" s="0" t="str">
        <f aca="false">IF($G466="","Uncategorized — Review",IFERROR(INDEX(Mapping!$C:$C,MATCH($G466,Mapping!$A:$A,0)),"Uncategorized — Review"))</f>
        <v>DWG Operating</v>
      </c>
    </row>
    <row r="467" customFormat="false" ht="15" hidden="false" customHeight="false" outlineLevel="0" collapsed="false">
      <c r="A467" s="0" t="str">
        <f aca="false">Chase1168_2025!A467</f>
        <v>DEBIT</v>
      </c>
      <c r="B467" s="14" t="n">
        <f aca="false">Chase1168_2025!B467</f>
        <v>45923</v>
      </c>
      <c r="C467" s="0" t="str">
        <f aca="false">Chase1168_2025!C467</f>
        <v>Online Transfer to CHK ...1117 transaction#: 26330021112 09/23</v>
      </c>
      <c r="D467" s="7" t="n">
        <f aca="false">Chase1168_2025!D467</f>
        <v>-2000</v>
      </c>
      <c r="E467" s="0" t="str">
        <f aca="false">Chase1168_2025!E467</f>
        <v>ACCT_XFER</v>
      </c>
      <c r="F467" s="7" t="n">
        <f aca="false">Chase1168_2025!F467</f>
        <v>85250.49</v>
      </c>
      <c r="G467" s="0" t="str">
        <f aca="false">Chase1168_2025!G467</f>
        <v>Transfer to Angela Dunning</v>
      </c>
      <c r="H467" s="15" t="n">
        <f aca="false">IF($B467="","",DATE(YEAR($B467),MONTH($B467),1))</f>
        <v>45901</v>
      </c>
      <c r="I467" s="0" t="str">
        <f aca="false">IF($G467="","Uncategorized — Review",IFERROR(INDEX(Mapping!$B:$B,MATCH($G467,Mapping!$A:$A,0)),"Uncategorized — Review"))</f>
        <v>Transfer to Angela Dunning</v>
      </c>
      <c r="J467" s="0" t="str">
        <f aca="false">IF($G467="","Uncategorized — Review",IFERROR(INDEX(Mapping!$C:$C,MATCH($G467,Mapping!$A:$A,0)),"Uncategorized — Review"))</f>
        <v>Owner / Family Distributions</v>
      </c>
    </row>
    <row r="468" customFormat="false" ht="15" hidden="false" customHeight="false" outlineLevel="0" collapsed="false">
      <c r="A468" s="0" t="str">
        <f aca="false">Chase1168_2025!A468</f>
        <v>DEBIT</v>
      </c>
      <c r="B468" s="14" t="n">
        <f aca="false">Chase1168_2025!B468</f>
        <v>45923</v>
      </c>
      <c r="C468" s="0" t="str">
        <f aca="false">Chase1168_2025!C468</f>
        <v>ORIG CO NAME:VENMO                  ORIG ID:3264681992 DESC DATE:250923 CO ENTRY DESCR:PAYMENT   SEC:WEB    TRACE#:021000029546890 EED:250923   IND ID:1045045213840                IND NAME:JUDD DUNNING                                                                                                 250923PPZCSE TRN: 2669546890TC</v>
      </c>
      <c r="D468" s="7" t="n">
        <f aca="false">Chase1168_2025!D468</f>
        <v>-150</v>
      </c>
      <c r="E468" s="0" t="str">
        <f aca="false">Chase1168_2025!E468</f>
        <v>ACH_DEBIT</v>
      </c>
      <c r="F468" s="7" t="n">
        <f aca="false">Chase1168_2025!F468</f>
        <v>87250.49</v>
      </c>
      <c r="G468" s="0" t="str">
        <f aca="false">Chase1168_2025!G468</f>
        <v>Venmo</v>
      </c>
      <c r="H468" s="15" t="n">
        <f aca="false">IF($B468="","",DATE(YEAR($B468),MONTH($B468),1))</f>
        <v>45901</v>
      </c>
      <c r="I468" s="0" t="str">
        <f aca="false">IF($G468="","Uncategorized — Review",IFERROR(INDEX(Mapping!$B:$B,MATCH($G468,Mapping!$A:$A,0)),"Uncategorized — Review"))</f>
        <v>Venmo</v>
      </c>
      <c r="J468" s="0" t="str">
        <f aca="false">IF($G468="","Uncategorized — Review",IFERROR(INDEX(Mapping!$C:$C,MATCH($G468,Mapping!$A:$A,0)),"Uncategorized — Review"))</f>
        <v>P2P Payments (Zelle/Venmo/PayPal)</v>
      </c>
    </row>
    <row r="469" customFormat="false" ht="15" hidden="false" customHeight="false" outlineLevel="0" collapsed="false">
      <c r="A469" s="0" t="str">
        <f aca="false">Chase1168_2025!A469</f>
        <v>DEBIT</v>
      </c>
      <c r="B469" s="14" t="n">
        <f aca="false">Chase1168_2025!B469</f>
        <v>45923</v>
      </c>
      <c r="C469" s="0" t="str">
        <f aca="false">Chase1168_2025!C469</f>
        <v>ONLINE DOMESTIC WIRE TRANSFER VIA: ZIONS BANCORP/124000054 A/C: GT TITLE SERVICES INC SALT LAKE CITY UT 84133 US REF: FILE NO. SL63337M MESA ROAD (E7)/TIME/19:08 IMAD: 0923MMQFMP2M024852 TRN: 3456355266ES 09/23</v>
      </c>
      <c r="D469" s="7" t="n">
        <f aca="false">Chase1168_2025!D469</f>
        <v>-20000</v>
      </c>
      <c r="E469" s="0" t="str">
        <f aca="false">Chase1168_2025!E469</f>
        <v>WIRE_OUTGOING</v>
      </c>
      <c r="F469" s="7" t="n">
        <f aca="false">Chase1168_2025!F469</f>
        <v>87400.49</v>
      </c>
      <c r="G469" s="0" t="str">
        <f aca="false">Chase1168_2025!G469</f>
        <v>Deal Specific: Moab</v>
      </c>
      <c r="H469" s="15" t="n">
        <f aca="false">IF($B469="","",DATE(YEAR($B469),MONTH($B469),1))</f>
        <v>45901</v>
      </c>
      <c r="I469" s="0" t="str">
        <f aca="false">IF($G469="","Uncategorized — Review",IFERROR(INDEX(Mapping!$B:$B,MATCH($G469,Mapping!$A:$A,0)),"Uncategorized — Review"))</f>
        <v>Deal Specific: Moab</v>
      </c>
      <c r="J469" s="0" t="str">
        <f aca="false">IF($G469="","Uncategorized — Review",IFERROR(INDEX(Mapping!$C:$C,MATCH($G469,Mapping!$A:$A,0)),"Uncategorized — Review"))</f>
        <v>Deal-Specific</v>
      </c>
    </row>
    <row r="470" customFormat="false" ht="15" hidden="false" customHeight="false" outlineLevel="0" collapsed="false">
      <c r="A470" s="0" t="str">
        <f aca="false">Chase1168_2025!A470</f>
        <v>DEBIT</v>
      </c>
      <c r="B470" s="14" t="n">
        <f aca="false">Chase1168_2025!B470</f>
        <v>45923</v>
      </c>
      <c r="C470" s="0" t="str">
        <f aca="false">Chase1168_2025!C470</f>
        <v>ONLINE DOMESTIC WIRE TRANSFER VIA: ZIONS BANCORP/124000054 A/C: GT TITLE SERVICES INC SALT LAKE CITY UT 84133 US REF: FILE NO. SL63337M MESA ROAD (E4)/TIME/18:46 IMAD: 0923MMQFMP2N022189 TRN: 3442695266ES 09/23</v>
      </c>
      <c r="D470" s="7" t="n">
        <f aca="false">Chase1168_2025!D470</f>
        <v>-20000</v>
      </c>
      <c r="E470" s="0" t="str">
        <f aca="false">Chase1168_2025!E470</f>
        <v>WIRE_OUTGOING</v>
      </c>
      <c r="F470" s="7" t="n">
        <f aca="false">Chase1168_2025!F470</f>
        <v>107400.49</v>
      </c>
      <c r="G470" s="0" t="str">
        <f aca="false">Chase1168_2025!G470</f>
        <v>Deal Specific: Moab</v>
      </c>
      <c r="H470" s="15" t="n">
        <f aca="false">IF($B470="","",DATE(YEAR($B470),MONTH($B470),1))</f>
        <v>45901</v>
      </c>
      <c r="I470" s="0" t="str">
        <f aca="false">IF($G470="","Uncategorized — Review",IFERROR(INDEX(Mapping!$B:$B,MATCH($G470,Mapping!$A:$A,0)),"Uncategorized — Review"))</f>
        <v>Deal Specific: Moab</v>
      </c>
      <c r="J470" s="0" t="str">
        <f aca="false">IF($G470="","Uncategorized — Review",IFERROR(INDEX(Mapping!$C:$C,MATCH($G470,Mapping!$A:$A,0)),"Uncategorized — Review"))</f>
        <v>Deal-Specific</v>
      </c>
    </row>
    <row r="471" customFormat="false" ht="15" hidden="false" customHeight="false" outlineLevel="0" collapsed="false">
      <c r="A471" s="0" t="str">
        <f aca="false">Chase1168_2025!A471</f>
        <v>DEBIT</v>
      </c>
      <c r="B471" s="14" t="n">
        <f aca="false">Chase1168_2025!B471</f>
        <v>45923</v>
      </c>
      <c r="C471" s="0" t="str">
        <f aca="false">Chase1168_2025!C471</f>
        <v>ORIG CO NAME:VENMO                  ORIG ID:3264681992 DESC DATE:250923 CO ENTRY DESCR:PAYMENT   SEC:WEB    TRACE#:021000024711669 EED:250923   IND ID:1045032770149                IND NAME:JUDD DUNNING                                                                                                 250923PPZ7B3 TRN: 2664711669TC</v>
      </c>
      <c r="D471" s="7" t="n">
        <f aca="false">Chase1168_2025!D471</f>
        <v>-135</v>
      </c>
      <c r="E471" s="0" t="str">
        <f aca="false">Chase1168_2025!E471</f>
        <v>ACH_DEBIT</v>
      </c>
      <c r="F471" s="7" t="n">
        <f aca="false">Chase1168_2025!F471</f>
        <v>127400.49</v>
      </c>
      <c r="G471" s="0" t="str">
        <f aca="false">Chase1168_2025!G471</f>
        <v>Venmo</v>
      </c>
      <c r="H471" s="15" t="n">
        <f aca="false">IF($B471="","",DATE(YEAR($B471),MONTH($B471),1))</f>
        <v>45901</v>
      </c>
      <c r="I471" s="0" t="str">
        <f aca="false">IF($G471="","Uncategorized — Review",IFERROR(INDEX(Mapping!$B:$B,MATCH($G471,Mapping!$A:$A,0)),"Uncategorized — Review"))</f>
        <v>Venmo</v>
      </c>
      <c r="J471" s="0" t="str">
        <f aca="false">IF($G471="","Uncategorized — Review",IFERROR(INDEX(Mapping!$C:$C,MATCH($G471,Mapping!$A:$A,0)),"Uncategorized — Review"))</f>
        <v>P2P Payments (Zelle/Venmo/PayPal)</v>
      </c>
    </row>
    <row r="472" customFormat="false" ht="15" hidden="false" customHeight="false" outlineLevel="0" collapsed="false">
      <c r="A472" s="0" t="str">
        <f aca="false">Chase1168_2025!A472</f>
        <v>DEBIT</v>
      </c>
      <c r="B472" s="14" t="n">
        <f aca="false">Chase1168_2025!B472</f>
        <v>45923</v>
      </c>
      <c r="C472" s="0" t="str">
        <f aca="false">Chase1168_2025!C472</f>
        <v>ORIG CO NAME:ROBINHOOD              ORIG ID:5326394001 DESC DATE:       CO ENTRY DESCR:DEBITS    SEC:WEB    TRACE#:021000024632199 EED:250923   IND ID:465626935                    IND NAME:Judd Dunning TRN: 2664632199TC</v>
      </c>
      <c r="D472" s="7" t="n">
        <f aca="false">Chase1168_2025!D472</f>
        <v>-5</v>
      </c>
      <c r="E472" s="0" t="str">
        <f aca="false">Chase1168_2025!E472</f>
        <v>ACH_DEBIT</v>
      </c>
      <c r="F472" s="7" t="n">
        <f aca="false">Chase1168_2025!F472</f>
        <v>127535.49</v>
      </c>
      <c r="G472" s="0" t="str">
        <f aca="false">Chase1168_2025!G472</f>
        <v>Personal - Investments</v>
      </c>
      <c r="H472" s="15" t="n">
        <f aca="false">IF($B472="","",DATE(YEAR($B472),MONTH($B472),1))</f>
        <v>45901</v>
      </c>
      <c r="I472" s="0" t="str">
        <f aca="false">IF($G472="","Uncategorized — Review",IFERROR(INDEX(Mapping!$B:$B,MATCH($G472,Mapping!$A:$A,0)),"Uncategorized — Review"))</f>
        <v>Personal - Investments</v>
      </c>
      <c r="J472" s="0" t="str">
        <f aca="false">IF($G472="","Uncategorized — Review",IFERROR(INDEX(Mapping!$C:$C,MATCH($G472,Mapping!$A:$A,0)),"Uncategorized — Review"))</f>
        <v>Personal — Owner</v>
      </c>
    </row>
    <row r="473" customFormat="false" ht="15" hidden="false" customHeight="false" outlineLevel="0" collapsed="false">
      <c r="A473" s="0" t="str">
        <f aca="false">Chase1168_2025!A473</f>
        <v>DEBIT</v>
      </c>
      <c r="B473" s="14" t="n">
        <f aca="false">Chase1168_2025!B473</f>
        <v>45923</v>
      </c>
      <c r="C473" s="0" t="str">
        <f aca="false">Chase1168_2025!C473</f>
        <v>ORIG CO NAME:PRINCIPAL-CCAPNL       ORIG ID:9INDPNLEFT DESC DATE:091925 CO ENTRY DESCR:PRIN FINANSEC:PPD    TRACE#:091000013079786 EED:250923   IND ID:                             IND NAME:JOHN B DUNNING TRN: 2663079786TC</v>
      </c>
      <c r="D473" s="7" t="n">
        <f aca="false">Chase1168_2025!D473</f>
        <v>-331.54</v>
      </c>
      <c r="E473" s="0" t="str">
        <f aca="false">Chase1168_2025!E473</f>
        <v>ACH_DEBIT</v>
      </c>
      <c r="F473" s="7" t="n">
        <f aca="false">Chase1168_2025!F473</f>
        <v>127540.49</v>
      </c>
      <c r="G473" s="0" t="str">
        <f aca="false">Chase1168_2025!G473</f>
        <v>???</v>
      </c>
      <c r="H473" s="15" t="n">
        <f aca="false">IF($B473="","",DATE(YEAR($B473),MONTH($B473),1))</f>
        <v>45901</v>
      </c>
      <c r="I473" s="0" t="str">
        <f aca="false">IF($G473="","Uncategorized — Review",IFERROR(INDEX(Mapping!$B:$B,MATCH($G473,Mapping!$A:$A,0)),"Uncategorized — Review"))</f>
        <v>???</v>
      </c>
      <c r="J473" s="0" t="str">
        <f aca="false">IF($G473="","Uncategorized — Review",IFERROR(INDEX(Mapping!$C:$C,MATCH($G473,Mapping!$A:$A,0)),"Uncategorized — Review"))</f>
        <v>Uncategorized — Review</v>
      </c>
    </row>
    <row r="474" customFormat="false" ht="15" hidden="false" customHeight="false" outlineLevel="0" collapsed="false">
      <c r="A474" s="0" t="str">
        <f aca="false">Chase1168_2025!A474</f>
        <v>DEBIT</v>
      </c>
      <c r="B474" s="14" t="n">
        <f aca="false">Chase1168_2025!B474</f>
        <v>45923</v>
      </c>
      <c r="C474" s="0" t="str">
        <f aca="false">Chase1168_2025!C474</f>
        <v>ORIG CO NAME:ROBINHOOD              ORIG ID:5326394001 DESC DATE:       CO ENTRY DESCR:DEBITS    SEC:WEB    TRACE#:021000024581615 EED:250923   IND ID:465626935                    IND NAME:Judd Dunning TRN: 2664581615TC</v>
      </c>
      <c r="D474" s="7" t="n">
        <f aca="false">Chase1168_2025!D474</f>
        <v>-1000</v>
      </c>
      <c r="E474" s="0" t="str">
        <f aca="false">Chase1168_2025!E474</f>
        <v>ACH_DEBIT</v>
      </c>
      <c r="F474" s="7" t="n">
        <f aca="false">Chase1168_2025!F474</f>
        <v>127872.03</v>
      </c>
      <c r="G474" s="0" t="str">
        <f aca="false">Chase1168_2025!G474</f>
        <v>Personal - Investments</v>
      </c>
      <c r="H474" s="15" t="n">
        <f aca="false">IF($B474="","",DATE(YEAR($B474),MONTH($B474),1))</f>
        <v>45901</v>
      </c>
      <c r="I474" s="0" t="str">
        <f aca="false">IF($G474="","Uncategorized — Review",IFERROR(INDEX(Mapping!$B:$B,MATCH($G474,Mapping!$A:$A,0)),"Uncategorized — Review"))</f>
        <v>Personal - Investments</v>
      </c>
      <c r="J474" s="0" t="str">
        <f aca="false">IF($G474="","Uncategorized — Review",IFERROR(INDEX(Mapping!$C:$C,MATCH($G474,Mapping!$A:$A,0)),"Uncategorized — Review"))</f>
        <v>Personal — Owner</v>
      </c>
    </row>
    <row r="475" customFormat="false" ht="15" hidden="false" customHeight="false" outlineLevel="0" collapsed="false">
      <c r="A475" s="0" t="str">
        <f aca="false">Chase1168_2025!A475</f>
        <v>DEBIT</v>
      </c>
      <c r="B475" s="14" t="n">
        <f aca="false">Chase1168_2025!B475</f>
        <v>45923</v>
      </c>
      <c r="C475" s="0" t="str">
        <f aca="false">Chase1168_2025!C475</f>
        <v>PAYPAL *OHR HATORAH 818-822-3446 CA          09/23</v>
      </c>
      <c r="D475" s="7" t="n">
        <f aca="false">Chase1168_2025!D475</f>
        <v>-100</v>
      </c>
      <c r="E475" s="0" t="str">
        <f aca="false">Chase1168_2025!E475</f>
        <v>DEBIT_CARD</v>
      </c>
      <c r="F475" s="7" t="n">
        <f aca="false">Chase1168_2025!F475</f>
        <v>128872.03</v>
      </c>
      <c r="G475" s="0" t="str">
        <f aca="false">Chase1168_2025!G475</f>
        <v>Personal - Entertainment</v>
      </c>
      <c r="H475" s="15" t="n">
        <f aca="false">IF($B475="","",DATE(YEAR($B475),MONTH($B475),1))</f>
        <v>45901</v>
      </c>
      <c r="I475" s="0" t="str">
        <f aca="false">IF($G475="","Uncategorized — Review",IFERROR(INDEX(Mapping!$B:$B,MATCH($G475,Mapping!$A:$A,0)),"Uncategorized — Review"))</f>
        <v>Personal - Entertainment</v>
      </c>
      <c r="J475" s="0" t="str">
        <f aca="false">IF($G475="","Uncategorized — Review",IFERROR(INDEX(Mapping!$C:$C,MATCH($G475,Mapping!$A:$A,0)),"Uncategorized — Review"))</f>
        <v>Personal — Owner</v>
      </c>
    </row>
    <row r="476" customFormat="false" ht="15" hidden="false" customHeight="false" outlineLevel="0" collapsed="false">
      <c r="A476" s="0" t="str">
        <f aca="false">Chase1168_2025!A476</f>
        <v>DEBIT</v>
      </c>
      <c r="B476" s="14" t="n">
        <f aca="false">Chase1168_2025!B476</f>
        <v>45923</v>
      </c>
      <c r="C476" s="0" t="str">
        <f aca="false">Chase1168_2025!C476</f>
        <v>UPWORK * -848867071 866-262-4478 CA          09/22</v>
      </c>
      <c r="D476" s="7" t="n">
        <f aca="false">Chase1168_2025!D476</f>
        <v>-603.75</v>
      </c>
      <c r="E476" s="0" t="str">
        <f aca="false">Chase1168_2025!E476</f>
        <v>DEBIT_CARD</v>
      </c>
      <c r="F476" s="7" t="n">
        <f aca="false">Chase1168_2025!F476</f>
        <v>128972.03</v>
      </c>
      <c r="G476" s="0" t="str">
        <f aca="false">Chase1168_2025!G476</f>
        <v>Upwork - Sergei M.</v>
      </c>
      <c r="H476" s="15" t="n">
        <f aca="false">IF($B476="","",DATE(YEAR($B476),MONTH($B476),1))</f>
        <v>45901</v>
      </c>
      <c r="I476" s="0" t="str">
        <f aca="false">IF($G476="","Uncategorized — Review",IFERROR(INDEX(Mapping!$B:$B,MATCH($G476,Mapping!$A:$A,0)),"Uncategorized — Review"))</f>
        <v>Upwork - Sergei M.</v>
      </c>
      <c r="J476" s="0" t="str">
        <f aca="false">IF($G476="","Uncategorized — Review",IFERROR(INDEX(Mapping!$C:$C,MATCH($G476,Mapping!$A:$A,0)),"Uncategorized — Review"))</f>
        <v>Payroll &amp; Contractors</v>
      </c>
    </row>
    <row r="477" customFormat="false" ht="15" hidden="false" customHeight="false" outlineLevel="0" collapsed="false">
      <c r="A477" s="0" t="str">
        <f aca="false">Chase1168_2025!A477</f>
        <v>DEBIT</v>
      </c>
      <c r="B477" s="14" t="n">
        <f aca="false">Chase1168_2025!B477</f>
        <v>45922</v>
      </c>
      <c r="C477" s="0" t="str">
        <f aca="false">Chase1168_2025!C477</f>
        <v>Online Transfer to CHK ...1117 transaction#: 26320064034 09/22</v>
      </c>
      <c r="D477" s="7" t="n">
        <f aca="false">Chase1168_2025!D477</f>
        <v>-5000</v>
      </c>
      <c r="E477" s="0" t="str">
        <f aca="false">Chase1168_2025!E477</f>
        <v>ACCT_XFER</v>
      </c>
      <c r="F477" s="7" t="n">
        <f aca="false">Chase1168_2025!F477</f>
        <v>129575.78</v>
      </c>
      <c r="G477" s="0" t="str">
        <f aca="false">Chase1168_2025!G477</f>
        <v>Transfer to Angela Dunning</v>
      </c>
      <c r="H477" s="15" t="n">
        <f aca="false">IF($B477="","",DATE(YEAR($B477),MONTH($B477),1))</f>
        <v>45901</v>
      </c>
      <c r="I477" s="0" t="str">
        <f aca="false">IF($G477="","Uncategorized — Review",IFERROR(INDEX(Mapping!$B:$B,MATCH($G477,Mapping!$A:$A,0)),"Uncategorized — Review"))</f>
        <v>Transfer to Angela Dunning</v>
      </c>
      <c r="J477" s="0" t="str">
        <f aca="false">IF($G477="","Uncategorized — Review",IFERROR(INDEX(Mapping!$C:$C,MATCH($G477,Mapping!$A:$A,0)),"Uncategorized — Review"))</f>
        <v>Owner / Family Distributions</v>
      </c>
    </row>
    <row r="478" customFormat="false" ht="15" hidden="false" customHeight="false" outlineLevel="0" collapsed="false">
      <c r="A478" s="0" t="str">
        <f aca="false">Chase1168_2025!A478</f>
        <v>DEBIT</v>
      </c>
      <c r="B478" s="14" t="n">
        <f aca="false">Chase1168_2025!B478</f>
        <v>45922</v>
      </c>
      <c r="C478" s="0" t="str">
        <f aca="false">Chase1168_2025!C478</f>
        <v>Online Transfer to CHK ...3922 transaction#: 26315056206 09/22</v>
      </c>
      <c r="D478" s="7" t="n">
        <f aca="false">Chase1168_2025!D478</f>
        <v>-75000</v>
      </c>
      <c r="E478" s="0" t="str">
        <f aca="false">Chase1168_2025!E478</f>
        <v>ACCT_XFER</v>
      </c>
      <c r="F478" s="7" t="n">
        <f aca="false">Chase1168_2025!F478</f>
        <v>134575.78</v>
      </c>
      <c r="G478" s="0" t="str">
        <f aca="false">Chase1168_2025!G478</f>
        <v>DWG Capital Partners - Outgoing</v>
      </c>
      <c r="H478" s="15" t="n">
        <f aca="false">IF($B478="","",DATE(YEAR($B478),MONTH($B478),1))</f>
        <v>45901</v>
      </c>
      <c r="I478" s="0" t="str">
        <f aca="false">IF($G478="","Uncategorized — Review",IFERROR(INDEX(Mapping!$B:$B,MATCH($G478,Mapping!$A:$A,0)),"Uncategorized — Review"))</f>
        <v>DWG Capital Partners - Outgoing</v>
      </c>
      <c r="J478" s="0" t="str">
        <f aca="false">IF($G478="","Uncategorized — Review",IFERROR(INDEX(Mapping!$C:$C,MATCH($G478,Mapping!$A:$A,0)),"Uncategorized — Review"))</f>
        <v>Intercompany &amp; Savings Transfers</v>
      </c>
    </row>
    <row r="479" customFormat="false" ht="15" hidden="false" customHeight="false" outlineLevel="0" collapsed="false">
      <c r="A479" s="0" t="str">
        <f aca="false">Chase1168_2025!A479</f>
        <v>DEBIT</v>
      </c>
      <c r="B479" s="14" t="n">
        <f aca="false">Chase1168_2025!B479</f>
        <v>45922</v>
      </c>
      <c r="C479" s="0" t="str">
        <f aca="false">Chase1168_2025!C479</f>
        <v>Basic Online Payroll Payment 11187803617 to ########4122</v>
      </c>
      <c r="D479" s="7" t="n">
        <f aca="false">Chase1168_2025!D479</f>
        <v>-1500</v>
      </c>
      <c r="E479" s="0" t="str">
        <f aca="false">Chase1168_2025!E479</f>
        <v>BASIC_PAYROLL</v>
      </c>
      <c r="F479" s="7" t="n">
        <f aca="false">Chase1168_2025!F479</f>
        <v>209575.78</v>
      </c>
      <c r="G479" s="0" t="str">
        <f aca="false">Chase1168_2025!G479</f>
        <v>Mike Paytonjian - Payroll</v>
      </c>
      <c r="H479" s="15" t="n">
        <f aca="false">IF($B479="","",DATE(YEAR($B479),MONTH($B479),1))</f>
        <v>45901</v>
      </c>
      <c r="I479" s="0" t="str">
        <f aca="false">IF($G479="","Uncategorized — Review",IFERROR(INDEX(Mapping!$B:$B,MATCH($G479,Mapping!$A:$A,0)),"Uncategorized — Review"))</f>
        <v>Mike Paytonjian - Payroll</v>
      </c>
      <c r="J479" s="0" t="str">
        <f aca="false">IF($G479="","Uncategorized — Review",IFERROR(INDEX(Mapping!$C:$C,MATCH($G479,Mapping!$A:$A,0)),"Uncategorized — Review"))</f>
        <v>Payroll &amp; Contractors</v>
      </c>
    </row>
    <row r="480" customFormat="false" ht="15" hidden="false" customHeight="false" outlineLevel="0" collapsed="false">
      <c r="A480" s="0" t="str">
        <f aca="false">Chase1168_2025!A480</f>
        <v>DEBIT</v>
      </c>
      <c r="B480" s="14" t="n">
        <f aca="false">Chase1168_2025!B480</f>
        <v>45922</v>
      </c>
      <c r="C480" s="0" t="str">
        <f aca="false">Chase1168_2025!C480</f>
        <v>Experian* ProtectMyID 866-5849446 CA         09/22</v>
      </c>
      <c r="D480" s="7" t="n">
        <f aca="false">Chase1168_2025!D480</f>
        <v>-17.95</v>
      </c>
      <c r="E480" s="0" t="str">
        <f aca="false">Chase1168_2025!E480</f>
        <v>DEBIT_CARD</v>
      </c>
      <c r="F480" s="7" t="n">
        <f aca="false">Chase1168_2025!F480</f>
        <v>211075.78</v>
      </c>
      <c r="G480" s="0" t="str">
        <f aca="false">Chase1168_2025!G480</f>
        <v>Personal - Subscriptions</v>
      </c>
      <c r="H480" s="15" t="n">
        <f aca="false">IF($B480="","",DATE(YEAR($B480),MONTH($B480),1))</f>
        <v>45901</v>
      </c>
      <c r="I480" s="0" t="str">
        <f aca="false">IF($G480="","Uncategorized — Review",IFERROR(INDEX(Mapping!$B:$B,MATCH($G480,Mapping!$A:$A,0)),"Uncategorized — Review"))</f>
        <v>Personal - Subscriptions</v>
      </c>
      <c r="J480" s="0" t="str">
        <f aca="false">IF($G480="","Uncategorized — Review",IFERROR(INDEX(Mapping!$C:$C,MATCH($G480,Mapping!$A:$A,0)),"Uncategorized — Review"))</f>
        <v>Personal — Owner</v>
      </c>
    </row>
    <row r="481" customFormat="false" ht="15" hidden="false" customHeight="false" outlineLevel="0" collapsed="false">
      <c r="A481" s="0" t="str">
        <f aca="false">Chase1168_2025!A481</f>
        <v>DEBIT</v>
      </c>
      <c r="B481" s="14" t="n">
        <f aca="false">Chase1168_2025!B481</f>
        <v>45922</v>
      </c>
      <c r="C481" s="0" t="str">
        <f aca="false">Chase1168_2025!C481</f>
        <v>ORIG CO NAME:VENMO                  ORIG ID:3264681992 DESC DATE:250921 CO ENTRY DESCR:PAYMENT   SEC:WEB    TRACE#:021000028122350 EED:250922   IND ID:1044992010361                IND NAME:JUDD DUNNING                                                                                                 250921PPZXTU TRN: 2658122350TC</v>
      </c>
      <c r="D481" s="7" t="n">
        <f aca="false">Chase1168_2025!D481</f>
        <v>-100</v>
      </c>
      <c r="E481" s="0" t="str">
        <f aca="false">Chase1168_2025!E481</f>
        <v>ACH_DEBIT</v>
      </c>
      <c r="F481" s="7" t="n">
        <f aca="false">Chase1168_2025!F481</f>
        <v>211093.73</v>
      </c>
      <c r="G481" s="0" t="str">
        <f aca="false">Chase1168_2025!G481</f>
        <v>Venmo</v>
      </c>
      <c r="H481" s="15" t="n">
        <f aca="false">IF($B481="","",DATE(YEAR($B481),MONTH($B481),1))</f>
        <v>45901</v>
      </c>
      <c r="I481" s="0" t="str">
        <f aca="false">IF($G481="","Uncategorized — Review",IFERROR(INDEX(Mapping!$B:$B,MATCH($G481,Mapping!$A:$A,0)),"Uncategorized — Review"))</f>
        <v>Venmo</v>
      </c>
      <c r="J481" s="0" t="str">
        <f aca="false">IF($G481="","Uncategorized — Review",IFERROR(INDEX(Mapping!$C:$C,MATCH($G481,Mapping!$A:$A,0)),"Uncategorized — Review"))</f>
        <v>P2P Payments (Zelle/Venmo/PayPal)</v>
      </c>
    </row>
    <row r="482" customFormat="false" ht="15" hidden="false" customHeight="false" outlineLevel="0" collapsed="false">
      <c r="A482" s="0" t="str">
        <f aca="false">Chase1168_2025!A482</f>
        <v>DEBIT</v>
      </c>
      <c r="B482" s="14" t="n">
        <f aca="false">Chase1168_2025!B482</f>
        <v>45922</v>
      </c>
      <c r="C482" s="0" t="str">
        <f aca="false">Chase1168_2025!C482</f>
        <v>ORIG CO NAME:VENMO                  ORIG ID:3264681992 DESC DATE:250921 CO ENTRY DESCR:PAYMENT   SEC:WEB    TRACE#:021000028076928 EED:250922   IND ID:1044989175732                IND NAME:JUDD DUNNING                                                                                                 250921PPZXTC TRN: 2658076928TC</v>
      </c>
      <c r="D482" s="7" t="n">
        <f aca="false">Chase1168_2025!D482</f>
        <v>-150</v>
      </c>
      <c r="E482" s="0" t="str">
        <f aca="false">Chase1168_2025!E482</f>
        <v>ACH_DEBIT</v>
      </c>
      <c r="F482" s="7" t="n">
        <f aca="false">Chase1168_2025!F482</f>
        <v>211193.73</v>
      </c>
      <c r="G482" s="0" t="str">
        <f aca="false">Chase1168_2025!G482</f>
        <v>Venmo</v>
      </c>
      <c r="H482" s="15" t="n">
        <f aca="false">IF($B482="","",DATE(YEAR($B482),MONTH($B482),1))</f>
        <v>45901</v>
      </c>
      <c r="I482" s="0" t="str">
        <f aca="false">IF($G482="","Uncategorized — Review",IFERROR(INDEX(Mapping!$B:$B,MATCH($G482,Mapping!$A:$A,0)),"Uncategorized — Review"))</f>
        <v>Venmo</v>
      </c>
      <c r="J482" s="0" t="str">
        <f aca="false">IF($G482="","Uncategorized — Review",IFERROR(INDEX(Mapping!$C:$C,MATCH($G482,Mapping!$A:$A,0)),"Uncategorized — Review"))</f>
        <v>P2P Payments (Zelle/Venmo/PayPal)</v>
      </c>
    </row>
    <row r="483" customFormat="false" ht="15" hidden="false" customHeight="false" outlineLevel="0" collapsed="false">
      <c r="A483" s="0" t="str">
        <f aca="false">Chase1168_2025!A483</f>
        <v>DEBIT</v>
      </c>
      <c r="B483" s="14" t="n">
        <f aca="false">Chase1168_2025!B483</f>
        <v>45922</v>
      </c>
      <c r="C483" s="0" t="str">
        <f aca="false">Chase1168_2025!C483</f>
        <v>ORIG CO NAME:VENMO                  ORIG ID:3264681992 DESC DATE:250920 CO ENTRY DESCR:PAYMENT   SEC:WEB    TRACE#:021000027573893 EED:250922   IND ID:1044971523014                IND NAME:JUDD DUNNING                                                                                                 250920PPZUMN TRN: 2657573893TC</v>
      </c>
      <c r="D483" s="7" t="n">
        <f aca="false">Chase1168_2025!D483</f>
        <v>-250</v>
      </c>
      <c r="E483" s="0" t="str">
        <f aca="false">Chase1168_2025!E483</f>
        <v>ACH_DEBIT</v>
      </c>
      <c r="F483" s="7" t="n">
        <f aca="false">Chase1168_2025!F483</f>
        <v>211343.73</v>
      </c>
      <c r="G483" s="0" t="str">
        <f aca="false">Chase1168_2025!G483</f>
        <v>Venmo</v>
      </c>
      <c r="H483" s="15" t="n">
        <f aca="false">IF($B483="","",DATE(YEAR($B483),MONTH($B483),1))</f>
        <v>45901</v>
      </c>
      <c r="I483" s="0" t="str">
        <f aca="false">IF($G483="","Uncategorized — Review",IFERROR(INDEX(Mapping!$B:$B,MATCH($G483,Mapping!$A:$A,0)),"Uncategorized — Review"))</f>
        <v>Venmo</v>
      </c>
      <c r="J483" s="0" t="str">
        <f aca="false">IF($G483="","Uncategorized — Review",IFERROR(INDEX(Mapping!$C:$C,MATCH($G483,Mapping!$A:$A,0)),"Uncategorized — Review"))</f>
        <v>P2P Payments (Zelle/Venmo/PayPal)</v>
      </c>
    </row>
    <row r="484" customFormat="false" ht="15" hidden="false" customHeight="false" outlineLevel="0" collapsed="false">
      <c r="A484" s="0" t="str">
        <f aca="false">Chase1168_2025!A484</f>
        <v>DEBIT</v>
      </c>
      <c r="B484" s="14" t="n">
        <f aca="false">Chase1168_2025!B484</f>
        <v>45922</v>
      </c>
      <c r="C484" s="0" t="str">
        <f aca="false">Chase1168_2025!C484</f>
        <v>Online Transfer to CHK ...1117 transaction#: 26302109823 09/22</v>
      </c>
      <c r="D484" s="7" t="n">
        <f aca="false">Chase1168_2025!D484</f>
        <v>-1000</v>
      </c>
      <c r="E484" s="0" t="str">
        <f aca="false">Chase1168_2025!E484</f>
        <v>ACCT_XFER</v>
      </c>
      <c r="F484" s="7" t="n">
        <f aca="false">Chase1168_2025!F484</f>
        <v>211593.73</v>
      </c>
      <c r="G484" s="0" t="str">
        <f aca="false">Chase1168_2025!G484</f>
        <v>Transfer to Angela Dunning</v>
      </c>
      <c r="H484" s="15" t="n">
        <f aca="false">IF($B484="","",DATE(YEAR($B484),MONTH($B484),1))</f>
        <v>45901</v>
      </c>
      <c r="I484" s="0" t="str">
        <f aca="false">IF($G484="","Uncategorized — Review",IFERROR(INDEX(Mapping!$B:$B,MATCH($G484,Mapping!$A:$A,0)),"Uncategorized — Review"))</f>
        <v>Transfer to Angela Dunning</v>
      </c>
      <c r="J484" s="0" t="str">
        <f aca="false">IF($G484="","Uncategorized — Review",IFERROR(INDEX(Mapping!$C:$C,MATCH($G484,Mapping!$A:$A,0)),"Uncategorized — Review"))</f>
        <v>Owner / Family Distributions</v>
      </c>
    </row>
    <row r="485" customFormat="false" ht="15" hidden="false" customHeight="false" outlineLevel="0" collapsed="false">
      <c r="A485" s="0" t="str">
        <f aca="false">Chase1168_2025!A485</f>
        <v>DEBIT</v>
      </c>
      <c r="B485" s="14" t="n">
        <f aca="false">Chase1168_2025!B485</f>
        <v>45922</v>
      </c>
      <c r="C485" s="0" t="str">
        <f aca="false">Chase1168_2025!C485</f>
        <v>PAYPAL *HULU 877-801-5441 CA                 09/21</v>
      </c>
      <c r="D485" s="7" t="n">
        <f aca="false">Chase1168_2025!D485</f>
        <v>-0.33</v>
      </c>
      <c r="E485" s="0" t="str">
        <f aca="false">Chase1168_2025!E485</f>
        <v>DEBIT_CARD</v>
      </c>
      <c r="F485" s="7" t="n">
        <f aca="false">Chase1168_2025!F485</f>
        <v>212593.73</v>
      </c>
      <c r="G485" s="0" t="str">
        <f aca="false">Chase1168_2025!G485</f>
        <v>Personal - Subscriptions</v>
      </c>
      <c r="H485" s="15" t="n">
        <f aca="false">IF($B485="","",DATE(YEAR($B485),MONTH($B485),1))</f>
        <v>45901</v>
      </c>
      <c r="I485" s="0" t="str">
        <f aca="false">IF($G485="","Uncategorized — Review",IFERROR(INDEX(Mapping!$B:$B,MATCH($G485,Mapping!$A:$A,0)),"Uncategorized — Review"))</f>
        <v>Personal - Subscriptions</v>
      </c>
      <c r="J485" s="0" t="str">
        <f aca="false">IF($G485="","Uncategorized — Review",IFERROR(INDEX(Mapping!$C:$C,MATCH($G485,Mapping!$A:$A,0)),"Uncategorized — Review"))</f>
        <v>Personal — Owner</v>
      </c>
    </row>
    <row r="486" customFormat="false" ht="15" hidden="false" customHeight="false" outlineLevel="0" collapsed="false">
      <c r="A486" s="0" t="str">
        <f aca="false">Chase1168_2025!A486</f>
        <v>DEBIT</v>
      </c>
      <c r="B486" s="14" t="n">
        <f aca="false">Chase1168_2025!B486</f>
        <v>45922</v>
      </c>
      <c r="C486" s="0" t="str">
        <f aca="false">Chase1168_2025!C486</f>
        <v>Online Payment 26299364012 To MERCEDES BENZ FINANCIAL 09/22</v>
      </c>
      <c r="D486" s="7" t="n">
        <f aca="false">Chase1168_2025!D486</f>
        <v>-612</v>
      </c>
      <c r="E486" s="0" t="str">
        <f aca="false">Chase1168_2025!E486</f>
        <v>BILLPAY</v>
      </c>
      <c r="F486" s="7" t="n">
        <f aca="false">Chase1168_2025!F486</f>
        <v>212594.06</v>
      </c>
      <c r="G486" s="0" t="str">
        <f aca="false">Chase1168_2025!G486</f>
        <v>Personal - Car (Mercedes)</v>
      </c>
      <c r="H486" s="15" t="n">
        <f aca="false">IF($B486="","",DATE(YEAR($B486),MONTH($B486),1))</f>
        <v>45901</v>
      </c>
      <c r="I486" s="0" t="str">
        <f aca="false">IF($G486="","Uncategorized — Review",IFERROR(INDEX(Mapping!$B:$B,MATCH($G486,Mapping!$A:$A,0)),"Uncategorized — Review"))</f>
        <v>Personal - Car &amp; Auto</v>
      </c>
      <c r="J486" s="0" t="str">
        <f aca="false">IF($G486="","Uncategorized — Review",IFERROR(INDEX(Mapping!$C:$C,MATCH($G486,Mapping!$A:$A,0)),"Uncategorized — Review"))</f>
        <v>Personal — Owner</v>
      </c>
    </row>
    <row r="487" customFormat="false" ht="15" hidden="false" customHeight="false" outlineLevel="0" collapsed="false">
      <c r="A487" s="0" t="str">
        <f aca="false">Chase1168_2025!A487</f>
        <v>DEBIT</v>
      </c>
      <c r="B487" s="14" t="n">
        <f aca="false">Chase1168_2025!B487</f>
        <v>45922</v>
      </c>
      <c r="C487" s="0" t="str">
        <f aca="false">Chase1168_2025!C487</f>
        <v>Online Transfer to CHK ...1117 transaction#: 26290707850 09/22</v>
      </c>
      <c r="D487" s="7" t="n">
        <f aca="false">Chase1168_2025!D487</f>
        <v>-2000</v>
      </c>
      <c r="E487" s="0" t="str">
        <f aca="false">Chase1168_2025!E487</f>
        <v>ACCT_XFER</v>
      </c>
      <c r="F487" s="7" t="n">
        <f aca="false">Chase1168_2025!F487</f>
        <v>213206.06</v>
      </c>
      <c r="G487" s="0" t="str">
        <f aca="false">Chase1168_2025!G487</f>
        <v>Transfer to Angela Dunning</v>
      </c>
      <c r="H487" s="15" t="n">
        <f aca="false">IF($B487="","",DATE(YEAR($B487),MONTH($B487),1))</f>
        <v>45901</v>
      </c>
      <c r="I487" s="0" t="str">
        <f aca="false">IF($G487="","Uncategorized — Review",IFERROR(INDEX(Mapping!$B:$B,MATCH($G487,Mapping!$A:$A,0)),"Uncategorized — Review"))</f>
        <v>Transfer to Angela Dunning</v>
      </c>
      <c r="J487" s="0" t="str">
        <f aca="false">IF($G487="","Uncategorized — Review",IFERROR(INDEX(Mapping!$C:$C,MATCH($G487,Mapping!$A:$A,0)),"Uncategorized — Review"))</f>
        <v>Owner / Family Distributions</v>
      </c>
    </row>
    <row r="488" customFormat="false" ht="15" hidden="false" customHeight="false" outlineLevel="0" collapsed="false">
      <c r="A488" s="0" t="str">
        <f aca="false">Chase1168_2025!A488</f>
        <v>DEBIT</v>
      </c>
      <c r="B488" s="14" t="n">
        <f aca="false">Chase1168_2025!B488</f>
        <v>45922</v>
      </c>
      <c r="C488" s="0" t="str">
        <f aca="false">Chase1168_2025!C488</f>
        <v>PP*APPLE.COM/BILL 800-275-2273 CA            09/20</v>
      </c>
      <c r="D488" s="7" t="n">
        <f aca="false">Chase1168_2025!D488</f>
        <v>-11</v>
      </c>
      <c r="E488" s="0" t="str">
        <f aca="false">Chase1168_2025!E488</f>
        <v>DEBIT_CARD</v>
      </c>
      <c r="F488" s="7" t="n">
        <f aca="false">Chase1168_2025!F488</f>
        <v>215206.06</v>
      </c>
      <c r="G488" s="0" t="str">
        <f aca="false">Chase1168_2025!G488</f>
        <v>Personal - Subscriptions</v>
      </c>
      <c r="H488" s="15" t="n">
        <f aca="false">IF($B488="","",DATE(YEAR($B488),MONTH($B488),1))</f>
        <v>45901</v>
      </c>
      <c r="I488" s="0" t="str">
        <f aca="false">IF($G488="","Uncategorized — Review",IFERROR(INDEX(Mapping!$B:$B,MATCH($G488,Mapping!$A:$A,0)),"Uncategorized — Review"))</f>
        <v>Personal - Subscriptions</v>
      </c>
      <c r="J488" s="0" t="str">
        <f aca="false">IF($G488="","Uncategorized — Review",IFERROR(INDEX(Mapping!$C:$C,MATCH($G488,Mapping!$A:$A,0)),"Uncategorized — Review"))</f>
        <v>Personal — Owner</v>
      </c>
    </row>
    <row r="489" customFormat="false" ht="15" hidden="false" customHeight="false" outlineLevel="0" collapsed="false">
      <c r="A489" s="0" t="str">
        <f aca="false">Chase1168_2025!A489</f>
        <v>DEBIT</v>
      </c>
      <c r="B489" s="14" t="n">
        <f aca="false">Chase1168_2025!B489</f>
        <v>45922</v>
      </c>
      <c r="C489" s="0" t="str">
        <f aca="false">Chase1168_2025!C489</f>
        <v>PP*APPLE.COM/BILL 800-275-2273 CA            09/20</v>
      </c>
      <c r="D489" s="7" t="n">
        <f aca="false">Chase1168_2025!D489</f>
        <v>-9.99</v>
      </c>
      <c r="E489" s="0" t="str">
        <f aca="false">Chase1168_2025!E489</f>
        <v>DEBIT_CARD</v>
      </c>
      <c r="F489" s="7" t="n">
        <f aca="false">Chase1168_2025!F489</f>
        <v>215217.06</v>
      </c>
      <c r="G489" s="0" t="str">
        <f aca="false">Chase1168_2025!G489</f>
        <v>Personal - Subscriptions</v>
      </c>
      <c r="H489" s="15" t="n">
        <f aca="false">IF($B489="","",DATE(YEAR($B489),MONTH($B489),1))</f>
        <v>45901</v>
      </c>
      <c r="I489" s="0" t="str">
        <f aca="false">IF($G489="","Uncategorized — Review",IFERROR(INDEX(Mapping!$B:$B,MATCH($G489,Mapping!$A:$A,0)),"Uncategorized — Review"))</f>
        <v>Personal - Subscriptions</v>
      </c>
      <c r="J489" s="0" t="str">
        <f aca="false">IF($G489="","Uncategorized — Review",IFERROR(INDEX(Mapping!$C:$C,MATCH($G489,Mapping!$A:$A,0)),"Uncategorized — Review"))</f>
        <v>Personal — Owner</v>
      </c>
    </row>
    <row r="490" customFormat="false" ht="15" hidden="false" customHeight="false" outlineLevel="0" collapsed="false">
      <c r="A490" s="0" t="str">
        <f aca="false">Chase1168_2025!A490</f>
        <v>DEBIT</v>
      </c>
      <c r="B490" s="14" t="n">
        <f aca="false">Chase1168_2025!B490</f>
        <v>45922</v>
      </c>
      <c r="C490" s="0" t="str">
        <f aca="false">Chase1168_2025!C490</f>
        <v>PAYPAL *BEENVERIFIE 786-482-6776 NY          09/21</v>
      </c>
      <c r="D490" s="7" t="n">
        <f aca="false">Chase1168_2025!D490</f>
        <v>-26.89</v>
      </c>
      <c r="E490" s="0" t="str">
        <f aca="false">Chase1168_2025!E490</f>
        <v>DEBIT_CARD</v>
      </c>
      <c r="F490" s="7" t="n">
        <f aca="false">Chase1168_2025!F490</f>
        <v>215227.05</v>
      </c>
      <c r="G490" s="0" t="str">
        <f aca="false">Chase1168_2025!G490</f>
        <v>Personal - Subscriptions</v>
      </c>
      <c r="H490" s="15" t="n">
        <f aca="false">IF($B490="","",DATE(YEAR($B490),MONTH($B490),1))</f>
        <v>45901</v>
      </c>
      <c r="I490" s="0" t="str">
        <f aca="false">IF($G490="","Uncategorized — Review",IFERROR(INDEX(Mapping!$B:$B,MATCH($G490,Mapping!$A:$A,0)),"Uncategorized — Review"))</f>
        <v>Personal - Subscriptions</v>
      </c>
      <c r="J490" s="0" t="str">
        <f aca="false">IF($G490="","Uncategorized — Review",IFERROR(INDEX(Mapping!$C:$C,MATCH($G490,Mapping!$A:$A,0)),"Uncategorized — Review"))</f>
        <v>Personal — Owner</v>
      </c>
    </row>
    <row r="491" customFormat="false" ht="15" hidden="false" customHeight="false" outlineLevel="0" collapsed="false">
      <c r="A491" s="0" t="str">
        <f aca="false">Chase1168_2025!A491</f>
        <v>DEBIT</v>
      </c>
      <c r="B491" s="14" t="n">
        <f aca="false">Chase1168_2025!B491</f>
        <v>45922</v>
      </c>
      <c r="C491" s="0" t="str">
        <f aca="false">Chase1168_2025!C491</f>
        <v>PAYPAL *THEREALDEAL O 212-260-1332 NY        09/19</v>
      </c>
      <c r="D491" s="7" t="n">
        <f aca="false">Chase1168_2025!D491</f>
        <v>-15</v>
      </c>
      <c r="E491" s="0" t="str">
        <f aca="false">Chase1168_2025!E491</f>
        <v>DEBIT_CARD</v>
      </c>
      <c r="F491" s="7" t="n">
        <f aca="false">Chase1168_2025!F491</f>
        <v>215253.94</v>
      </c>
      <c r="G491" s="0" t="str">
        <f aca="false">Chase1168_2025!G491</f>
        <v>Personal - Subscriptions</v>
      </c>
      <c r="H491" s="15" t="n">
        <f aca="false">IF($B491="","",DATE(YEAR($B491),MONTH($B491),1))</f>
        <v>45901</v>
      </c>
      <c r="I491" s="0" t="str">
        <f aca="false">IF($G491="","Uncategorized — Review",IFERROR(INDEX(Mapping!$B:$B,MATCH($G491,Mapping!$A:$A,0)),"Uncategorized — Review"))</f>
        <v>Personal - Subscriptions</v>
      </c>
      <c r="J491" s="0" t="str">
        <f aca="false">IF($G491="","Uncategorized — Review",IFERROR(INDEX(Mapping!$C:$C,MATCH($G491,Mapping!$A:$A,0)),"Uncategorized — Review"))</f>
        <v>Personal — Owner</v>
      </c>
    </row>
    <row r="492" customFormat="false" ht="15" hidden="false" customHeight="false" outlineLevel="0" collapsed="false">
      <c r="A492" s="0" t="str">
        <f aca="false">Chase1168_2025!A492</f>
        <v>CREDIT</v>
      </c>
      <c r="B492" s="14" t="n">
        <f aca="false">Chase1168_2025!B492</f>
        <v>45922</v>
      </c>
      <c r="C492" s="0" t="str">
        <f aca="false">Chase1168_2025!C492</f>
        <v>BOOK TRANSFER B/O: GI CAPITAL GROUP RICHMOND CA 94804-5637 US TRN: 1408300265ES</v>
      </c>
      <c r="D492" s="7" t="n">
        <f aca="false">Chase1168_2025!D492</f>
        <v>40000</v>
      </c>
      <c r="E492" s="0" t="str">
        <f aca="false">Chase1168_2025!E492</f>
        <v>WIRE_INCOMING</v>
      </c>
      <c r="F492" s="7" t="n">
        <f aca="false">Chase1168_2025!F492</f>
        <v>215268.94</v>
      </c>
      <c r="G492" s="0" t="str">
        <f aca="false">Chase1168_2025!G492</f>
        <v>Deal Specific: Moab (Reimbursement)</v>
      </c>
      <c r="H492" s="15" t="n">
        <f aca="false">IF($B492="","",DATE(YEAR($B492),MONTH($B492),1))</f>
        <v>45901</v>
      </c>
      <c r="I492" s="0" t="str">
        <f aca="false">IF($G492="","Uncategorized — Review",IFERROR(INDEX(Mapping!$B:$B,MATCH($G492,Mapping!$A:$A,0)),"Uncategorized — Review"))</f>
        <v>Deal Specific: Moab (Reimbursement)</v>
      </c>
      <c r="J492" s="0" t="str">
        <f aca="false">IF($G492="","Uncategorized — Review",IFERROR(INDEX(Mapping!$C:$C,MATCH($G492,Mapping!$A:$A,0)),"Uncategorized — Review"))</f>
        <v>Deal-Specific</v>
      </c>
    </row>
    <row r="493" customFormat="false" ht="15" hidden="false" customHeight="false" outlineLevel="0" collapsed="false">
      <c r="A493" s="0" t="str">
        <f aca="false">Chase1168_2025!A493</f>
        <v>DEBIT</v>
      </c>
      <c r="B493" s="14" t="n">
        <f aca="false">Chase1168_2025!B493</f>
        <v>45919</v>
      </c>
      <c r="C493" s="0" t="str">
        <f aca="false">Chase1168_2025!C493</f>
        <v>DOMESTIC INCOMING WIRE FEE</v>
      </c>
      <c r="D493" s="7" t="n">
        <f aca="false">Chase1168_2025!D493</f>
        <v>-15</v>
      </c>
      <c r="E493" s="0" t="str">
        <f aca="false">Chase1168_2025!E493</f>
        <v>FEE_TRANSACTION</v>
      </c>
      <c r="F493" s="7" t="n">
        <f aca="false">Chase1168_2025!F493</f>
        <v>175268.94</v>
      </c>
      <c r="G493" s="0" t="str">
        <f aca="false">Chase1168_2025!G493</f>
        <v>Wire Fee</v>
      </c>
      <c r="H493" s="15" t="n">
        <f aca="false">IF($B493="","",DATE(YEAR($B493),MONTH($B493),1))</f>
        <v>45901</v>
      </c>
      <c r="I493" s="0" t="str">
        <f aca="false">IF($G493="","Uncategorized — Review",IFERROR(INDEX(Mapping!$B:$B,MATCH($G493,Mapping!$A:$A,0)),"Uncategorized — Review"))</f>
        <v>Wire Fee</v>
      </c>
      <c r="J493" s="0" t="str">
        <f aca="false">IF($G493="","Uncategorized — Review",IFERROR(INDEX(Mapping!$C:$C,MATCH($G493,Mapping!$A:$A,0)),"Uncategorized — Review"))</f>
        <v>DWG Operating</v>
      </c>
    </row>
    <row r="494" customFormat="false" ht="15" hidden="false" customHeight="false" outlineLevel="0" collapsed="false">
      <c r="A494" s="0" t="str">
        <f aca="false">Chase1168_2025!A494</f>
        <v>DEBIT</v>
      </c>
      <c r="B494" s="14" t="n">
        <f aca="false">Chase1168_2025!B494</f>
        <v>45919</v>
      </c>
      <c r="C494" s="0" t="str">
        <f aca="false">Chase1168_2025!C494</f>
        <v>ORIG CO NAME:VENMO                  ORIG ID:3264681992 DESC DATE:250919 CO ENTRY DESCR:PAYMENT   SEC:WEB    TRACE#:021000022868390 EED:250919   IND ID:1044960911313                IND NAME:JUDD DUNNING                                                                                                 250919PPZR49 TRN: 2622868390TC</v>
      </c>
      <c r="D494" s="7" t="n">
        <f aca="false">Chase1168_2025!D494</f>
        <v>-150</v>
      </c>
      <c r="E494" s="0" t="str">
        <f aca="false">Chase1168_2025!E494</f>
        <v>ACH_DEBIT</v>
      </c>
      <c r="F494" s="7" t="n">
        <f aca="false">Chase1168_2025!F494</f>
        <v>175298.94</v>
      </c>
      <c r="G494" s="0" t="str">
        <f aca="false">Chase1168_2025!G494</f>
        <v>Venmo</v>
      </c>
      <c r="H494" s="15" t="n">
        <f aca="false">IF($B494="","",DATE(YEAR($B494),MONTH($B494),1))</f>
        <v>45901</v>
      </c>
      <c r="I494" s="0" t="str">
        <f aca="false">IF($G494="","Uncategorized — Review",IFERROR(INDEX(Mapping!$B:$B,MATCH($G494,Mapping!$A:$A,0)),"Uncategorized — Review"))</f>
        <v>Venmo</v>
      </c>
      <c r="J494" s="0" t="str">
        <f aca="false">IF($G494="","Uncategorized — Review",IFERROR(INDEX(Mapping!$C:$C,MATCH($G494,Mapping!$A:$A,0)),"Uncategorized — Review"))</f>
        <v>P2P Payments (Zelle/Venmo/PayPal)</v>
      </c>
    </row>
    <row r="495" customFormat="false" ht="15" hidden="false" customHeight="false" outlineLevel="0" collapsed="false">
      <c r="A495" s="0" t="str">
        <f aca="false">Chase1168_2025!A495</f>
        <v>DEBIT</v>
      </c>
      <c r="B495" s="14" t="n">
        <f aca="false">Chase1168_2025!B495</f>
        <v>45919</v>
      </c>
      <c r="C495" s="0" t="str">
        <f aca="false">Chase1168_2025!C495</f>
        <v>PAYPAL *FOXCORP 888-596-3938 CA              09/19</v>
      </c>
      <c r="D495" s="7" t="n">
        <f aca="false">Chase1168_2025!D495</f>
        <v>-7.99</v>
      </c>
      <c r="E495" s="0" t="str">
        <f aca="false">Chase1168_2025!E495</f>
        <v>DEBIT_CARD</v>
      </c>
      <c r="F495" s="7" t="n">
        <f aca="false">Chase1168_2025!F495</f>
        <v>175448.94</v>
      </c>
      <c r="G495" s="0" t="str">
        <f aca="false">Chase1168_2025!G495</f>
        <v>Personal - Subscriptions</v>
      </c>
      <c r="H495" s="15" t="n">
        <f aca="false">IF($B495="","",DATE(YEAR($B495),MONTH($B495),1))</f>
        <v>45901</v>
      </c>
      <c r="I495" s="0" t="str">
        <f aca="false">IF($G495="","Uncategorized — Review",IFERROR(INDEX(Mapping!$B:$B,MATCH($G495,Mapping!$A:$A,0)),"Uncategorized — Review"))</f>
        <v>Personal - Subscriptions</v>
      </c>
      <c r="J495" s="0" t="str">
        <f aca="false">IF($G495="","Uncategorized — Review",IFERROR(INDEX(Mapping!$C:$C,MATCH($G495,Mapping!$A:$A,0)),"Uncategorized — Review"))</f>
        <v>Personal — Owner</v>
      </c>
    </row>
    <row r="496" customFormat="false" ht="15" hidden="false" customHeight="false" outlineLevel="0" collapsed="false">
      <c r="A496" s="0" t="str">
        <f aca="false">Chase1168_2025!A496</f>
        <v>DEBIT</v>
      </c>
      <c r="B496" s="14" t="n">
        <f aca="false">Chase1168_2025!B496</f>
        <v>45919</v>
      </c>
      <c r="C496" s="0" t="str">
        <f aca="false">Chase1168_2025!C496</f>
        <v>DNH*GODADDY#3895774282 480-5058855 AZ        09/18</v>
      </c>
      <c r="D496" s="7" t="n">
        <f aca="false">Chase1168_2025!D496</f>
        <v>-21.98</v>
      </c>
      <c r="E496" s="0" t="str">
        <f aca="false">Chase1168_2025!E496</f>
        <v>DEBIT_CARD</v>
      </c>
      <c r="F496" s="7" t="n">
        <f aca="false">Chase1168_2025!F496</f>
        <v>175456.93</v>
      </c>
      <c r="G496" s="0" t="str">
        <f aca="false">Chase1168_2025!G496</f>
        <v>Go Daddy</v>
      </c>
      <c r="H496" s="15" t="n">
        <f aca="false">IF($B496="","",DATE(YEAR($B496),MONTH($B496),1))</f>
        <v>45901</v>
      </c>
      <c r="I496" s="0" t="str">
        <f aca="false">IF($G496="","Uncategorized — Review",IFERROR(INDEX(Mapping!$B:$B,MATCH($G496,Mapping!$A:$A,0)),"Uncategorized — Review"))</f>
        <v>Go Daddy</v>
      </c>
      <c r="J496" s="0" t="str">
        <f aca="false">IF($G496="","Uncategorized — Review",IFERROR(INDEX(Mapping!$C:$C,MATCH($G496,Mapping!$A:$A,0)),"Uncategorized — Review"))</f>
        <v>DWG Operating</v>
      </c>
    </row>
    <row r="497" customFormat="false" ht="15" hidden="false" customHeight="false" outlineLevel="0" collapsed="false">
      <c r="A497" s="0" t="str">
        <f aca="false">Chase1168_2025!A497</f>
        <v>DEBIT</v>
      </c>
      <c r="B497" s="14" t="n">
        <f aca="false">Chase1168_2025!B497</f>
        <v>45919</v>
      </c>
      <c r="C497" s="0" t="str">
        <f aca="false">Chase1168_2025!C497</f>
        <v>DNH*GODADDY#3895774123 480-5058855 AZ        09/18</v>
      </c>
      <c r="D497" s="7" t="n">
        <f aca="false">Chase1168_2025!D497</f>
        <v>-15.98</v>
      </c>
      <c r="E497" s="0" t="str">
        <f aca="false">Chase1168_2025!E497</f>
        <v>DEBIT_CARD</v>
      </c>
      <c r="F497" s="7" t="n">
        <f aca="false">Chase1168_2025!F497</f>
        <v>175478.91</v>
      </c>
      <c r="G497" s="0" t="str">
        <f aca="false">Chase1168_2025!G497</f>
        <v>Go Daddy</v>
      </c>
      <c r="H497" s="15" t="n">
        <f aca="false">IF($B497="","",DATE(YEAR($B497),MONTH($B497),1))</f>
        <v>45901</v>
      </c>
      <c r="I497" s="0" t="str">
        <f aca="false">IF($G497="","Uncategorized — Review",IFERROR(INDEX(Mapping!$B:$B,MATCH($G497,Mapping!$A:$A,0)),"Uncategorized — Review"))</f>
        <v>Go Daddy</v>
      </c>
      <c r="J497" s="0" t="str">
        <f aca="false">IF($G497="","Uncategorized — Review",IFERROR(INDEX(Mapping!$C:$C,MATCH($G497,Mapping!$A:$A,0)),"Uncategorized — Review"))</f>
        <v>DWG Operating</v>
      </c>
    </row>
    <row r="498" customFormat="false" ht="15" hidden="false" customHeight="false" outlineLevel="0" collapsed="false">
      <c r="A498" s="0" t="str">
        <f aca="false">Chase1168_2025!A498</f>
        <v>CREDIT</v>
      </c>
      <c r="B498" s="14" t="n">
        <f aca="false">Chase1168_2025!B498</f>
        <v>45919</v>
      </c>
      <c r="C498" s="0" t="str">
        <f aca="false">Chase1168_2025!C498</f>
        <v>FEDWIRE CREDIT VIA: EAST-WEST BANK/322070381 B/O: CHICAGO TITLE COMPANY RIVERSIDE CA 92505-3313 REF: CHASE NYC/CTR/BNF=DWG CAPITAL GROUP LOS ANGELES CA 90066-3638 US/AC-00 0000002836 RFB=FSD3333P00004158 OBI =/URI/FN-FBSC2508133 PO-01520854 CO M MISSION DUE 2055 LAGUNA CANYON RD P ROPADDR-2055 LAGUNA CANY IMAD: 0919MMQFMP27003978 TRN: 1188711262FF</v>
      </c>
      <c r="D498" s="7" t="n">
        <f aca="false">Chase1168_2025!D498</f>
        <v>40000</v>
      </c>
      <c r="E498" s="0" t="str">
        <f aca="false">Chase1168_2025!E498</f>
        <v>WIRE_INCOMING</v>
      </c>
      <c r="F498" s="7" t="n">
        <f aca="false">Chase1168_2025!F498</f>
        <v>175494.89</v>
      </c>
      <c r="G498" s="0" t="str">
        <f aca="false">Chase1168_2025!G498</f>
        <v>Incoming Commission: 2055 Laguna Canyon</v>
      </c>
      <c r="H498" s="15" t="n">
        <f aca="false">IF($B498="","",DATE(YEAR($B498),MONTH($B498),1))</f>
        <v>45901</v>
      </c>
      <c r="I498" s="0" t="str">
        <f aca="false">IF($G498="","Uncategorized — Review",IFERROR(INDEX(Mapping!$B:$B,MATCH($G498,Mapping!$A:$A,0)),"Uncategorized — Review"))</f>
        <v>Incoming Commission: 2055 Laguna Canyon</v>
      </c>
      <c r="J498" s="0" t="str">
        <f aca="false">IF($G498="","Uncategorized — Review",IFERROR(INDEX(Mapping!$C:$C,MATCH($G498,Mapping!$A:$A,0)),"Uncategorized — Review"))</f>
        <v>Commissions — Incoming</v>
      </c>
    </row>
    <row r="499" customFormat="false" ht="15" hidden="false" customHeight="false" outlineLevel="0" collapsed="false">
      <c r="A499" s="0" t="str">
        <f aca="false">Chase1168_2025!A499</f>
        <v>CREDIT</v>
      </c>
      <c r="B499" s="14" t="n">
        <f aca="false">Chase1168_2025!B499</f>
        <v>45919</v>
      </c>
      <c r="C499" s="0" t="str">
        <f aca="false">Chase1168_2025!C499</f>
        <v>FEDWIRE CREDIT VIA: BANK OF AMERICA, N.A./026009593 B/O: CT SOCAL COMM FBSC/CT BS FXBC RIVERSIDE CA 92505 REF: CHASE NYC/CTR/BNF=DWG CAPITAL GROUP LOS ANGELES CA 90066-3638 US/AC-00 0000002836 RFB=NOTPROVIDED OBI=/URI/FN-FBSC2508331 COMMISSION 2063 5/N 2 9TH PL PHOENIX AZ PROPADDR-20/635 N 29TH PL, PHOENI IMAD: 0919B6B7HU4R013552 TRN: 0781391262FF</v>
      </c>
      <c r="D499" s="7" t="n">
        <f aca="false">Chase1168_2025!D499</f>
        <v>69000</v>
      </c>
      <c r="E499" s="0" t="str">
        <f aca="false">Chase1168_2025!E499</f>
        <v>WIRE_INCOMING</v>
      </c>
      <c r="F499" s="7" t="n">
        <f aca="false">Chase1168_2025!F499</f>
        <v>135494.89</v>
      </c>
      <c r="G499" s="0" t="str">
        <f aca="false">Chase1168_2025!G499</f>
        <v>Incoming Commission: 20635 N 29th Pl, Phoenix AZ (Deer Valley)</v>
      </c>
      <c r="H499" s="15" t="n">
        <f aca="false">IF($B499="","",DATE(YEAR($B499),MONTH($B499),1))</f>
        <v>45901</v>
      </c>
      <c r="I499" s="0" t="str">
        <f aca="false">IF($G499="","Uncategorized — Review",IFERROR(INDEX(Mapping!$B:$B,MATCH($G499,Mapping!$A:$A,0)),"Uncategorized — Review"))</f>
        <v>Incoming Commission: 20635 N 29th Pl, Phoenix AZ (Deer Valley)</v>
      </c>
      <c r="J499" s="0" t="str">
        <f aca="false">IF($G499="","Uncategorized — Review",IFERROR(INDEX(Mapping!$C:$C,MATCH($G499,Mapping!$A:$A,0)),"Uncategorized — Review"))</f>
        <v>Commissions — Incoming</v>
      </c>
    </row>
    <row r="500" customFormat="false" ht="15" hidden="false" customHeight="false" outlineLevel="0" collapsed="false">
      <c r="A500" s="0" t="str">
        <f aca="false">Chase1168_2025!A500</f>
        <v>DEBIT</v>
      </c>
      <c r="B500" s="14" t="n">
        <f aca="false">Chase1168_2025!B500</f>
        <v>45918</v>
      </c>
      <c r="C500" s="0" t="str">
        <f aca="false">Chase1168_2025!C500</f>
        <v>Online Transfer to CHK ...1117 transaction#: 26264155297 09/18</v>
      </c>
      <c r="D500" s="7" t="n">
        <f aca="false">Chase1168_2025!D500</f>
        <v>-2000</v>
      </c>
      <c r="E500" s="0" t="str">
        <f aca="false">Chase1168_2025!E500</f>
        <v>ACCT_XFER</v>
      </c>
      <c r="F500" s="7" t="n">
        <f aca="false">Chase1168_2025!F500</f>
        <v>66494.89</v>
      </c>
      <c r="G500" s="0" t="str">
        <f aca="false">Chase1168_2025!G500</f>
        <v>Transfer to Angela Dunning</v>
      </c>
      <c r="H500" s="15" t="n">
        <f aca="false">IF($B500="","",DATE(YEAR($B500),MONTH($B500),1))</f>
        <v>45901</v>
      </c>
      <c r="I500" s="0" t="str">
        <f aca="false">IF($G500="","Uncategorized — Review",IFERROR(INDEX(Mapping!$B:$B,MATCH($G500,Mapping!$A:$A,0)),"Uncategorized — Review"))</f>
        <v>Transfer to Angela Dunning</v>
      </c>
      <c r="J500" s="0" t="str">
        <f aca="false">IF($G500="","Uncategorized — Review",IFERROR(INDEX(Mapping!$C:$C,MATCH($G500,Mapping!$A:$A,0)),"Uncategorized — Review"))</f>
        <v>Owner / Family Distributions</v>
      </c>
    </row>
    <row r="501" customFormat="false" ht="15" hidden="false" customHeight="false" outlineLevel="0" collapsed="false">
      <c r="A501" s="0" t="str">
        <f aca="false">Chase1168_2025!A501</f>
        <v>DEBIT</v>
      </c>
      <c r="B501" s="14" t="n">
        <f aca="false">Chase1168_2025!B501</f>
        <v>45918</v>
      </c>
      <c r="C501" s="0" t="str">
        <f aca="false">Chase1168_2025!C501</f>
        <v>PP*APPLE.COM/BILL 800-275-2273 CA            09/18</v>
      </c>
      <c r="D501" s="7" t="n">
        <f aca="false">Chase1168_2025!D501</f>
        <v>-9.99</v>
      </c>
      <c r="E501" s="0" t="str">
        <f aca="false">Chase1168_2025!E501</f>
        <v>DEBIT_CARD</v>
      </c>
      <c r="F501" s="7" t="n">
        <f aca="false">Chase1168_2025!F501</f>
        <v>68494.89</v>
      </c>
      <c r="G501" s="0" t="str">
        <f aca="false">Chase1168_2025!G501</f>
        <v>Personal - Subscriptions</v>
      </c>
      <c r="H501" s="15" t="n">
        <f aca="false">IF($B501="","",DATE(YEAR($B501),MONTH($B501),1))</f>
        <v>45901</v>
      </c>
      <c r="I501" s="0" t="str">
        <f aca="false">IF($G501="","Uncategorized — Review",IFERROR(INDEX(Mapping!$B:$B,MATCH($G501,Mapping!$A:$A,0)),"Uncategorized — Review"))</f>
        <v>Personal - Subscriptions</v>
      </c>
      <c r="J501" s="0" t="str">
        <f aca="false">IF($G501="","Uncategorized — Review",IFERROR(INDEX(Mapping!$C:$C,MATCH($G501,Mapping!$A:$A,0)),"Uncategorized — Review"))</f>
        <v>Personal — Owner</v>
      </c>
    </row>
    <row r="502" customFormat="false" ht="15" hidden="false" customHeight="false" outlineLevel="0" collapsed="false">
      <c r="A502" s="0" t="str">
        <f aca="false">Chase1168_2025!A502</f>
        <v>DEBIT</v>
      </c>
      <c r="B502" s="14" t="n">
        <f aca="false">Chase1168_2025!B502</f>
        <v>45918</v>
      </c>
      <c r="C502" s="0" t="str">
        <f aca="false">Chase1168_2025!C502</f>
        <v>PAYPAL *ELICITDESIG 805-506-5150 CA          09/17</v>
      </c>
      <c r="D502" s="7" t="n">
        <f aca="false">Chase1168_2025!D502</f>
        <v>-250</v>
      </c>
      <c r="E502" s="0" t="str">
        <f aca="false">Chase1168_2025!E502</f>
        <v>DEBIT_CARD</v>
      </c>
      <c r="F502" s="7" t="n">
        <f aca="false">Chase1168_2025!F502</f>
        <v>68504.88</v>
      </c>
      <c r="G502" s="0" t="str">
        <f aca="false">Chase1168_2025!G502</f>
        <v>Personal - Paypal</v>
      </c>
      <c r="H502" s="15" t="n">
        <f aca="false">IF($B502="","",DATE(YEAR($B502),MONTH($B502),1))</f>
        <v>45901</v>
      </c>
      <c r="I502" s="0" t="str">
        <f aca="false">IF($G502="","Uncategorized — Review",IFERROR(INDEX(Mapping!$B:$B,MATCH($G502,Mapping!$A:$A,0)),"Uncategorized — Review"))</f>
        <v>Personal - Paypal</v>
      </c>
      <c r="J502" s="0" t="str">
        <f aca="false">IF($G502="","Uncategorized — Review",IFERROR(INDEX(Mapping!$C:$C,MATCH($G502,Mapping!$A:$A,0)),"Uncategorized — Review"))</f>
        <v>Personal — Owner</v>
      </c>
    </row>
    <row r="503" customFormat="false" ht="15" hidden="false" customHeight="false" outlineLevel="0" collapsed="false">
      <c r="A503" s="0" t="str">
        <f aca="false">Chase1168_2025!A503</f>
        <v>DEBIT</v>
      </c>
      <c r="B503" s="14" t="n">
        <f aca="false">Chase1168_2025!B503</f>
        <v>45918</v>
      </c>
      <c r="C503" s="0" t="str">
        <f aca="false">Chase1168_2025!C503</f>
        <v>PAYPAL *CAROLINAACOST 402-935-7733 CA        09/17</v>
      </c>
      <c r="D503" s="7" t="n">
        <f aca="false">Chase1168_2025!D503</f>
        <v>-2</v>
      </c>
      <c r="E503" s="0" t="str">
        <f aca="false">Chase1168_2025!E503</f>
        <v>DEBIT_CARD</v>
      </c>
      <c r="F503" s="7" t="n">
        <f aca="false">Chase1168_2025!F503</f>
        <v>68754.88</v>
      </c>
      <c r="G503" s="0" t="str">
        <f aca="false">Chase1168_2025!G503</f>
        <v>Personal - Paypal</v>
      </c>
      <c r="H503" s="15" t="n">
        <f aca="false">IF($B503="","",DATE(YEAR($B503),MONTH($B503),1))</f>
        <v>45901</v>
      </c>
      <c r="I503" s="0" t="str">
        <f aca="false">IF($G503="","Uncategorized — Review",IFERROR(INDEX(Mapping!$B:$B,MATCH($G503,Mapping!$A:$A,0)),"Uncategorized — Review"))</f>
        <v>Personal - Paypal</v>
      </c>
      <c r="J503" s="0" t="str">
        <f aca="false">IF($G503="","Uncategorized — Review",IFERROR(INDEX(Mapping!$C:$C,MATCH($G503,Mapping!$A:$A,0)),"Uncategorized — Review"))</f>
        <v>Personal — Owner</v>
      </c>
    </row>
    <row r="504" customFormat="false" ht="15" hidden="false" customHeight="false" outlineLevel="0" collapsed="false">
      <c r="A504" s="0" t="str">
        <f aca="false">Chase1168_2025!A504</f>
        <v>DEBIT</v>
      </c>
      <c r="B504" s="14" t="n">
        <f aca="false">Chase1168_2025!B504</f>
        <v>45918</v>
      </c>
      <c r="C504" s="0" t="str">
        <f aca="false">Chase1168_2025!C504</f>
        <v>PAYPAL *RUTHALCANCI 402-935-7733 CA          09/17</v>
      </c>
      <c r="D504" s="7" t="n">
        <f aca="false">Chase1168_2025!D504</f>
        <v>-100</v>
      </c>
      <c r="E504" s="0" t="str">
        <f aca="false">Chase1168_2025!E504</f>
        <v>DEBIT_CARD</v>
      </c>
      <c r="F504" s="7" t="n">
        <f aca="false">Chase1168_2025!F504</f>
        <v>68756.88</v>
      </c>
      <c r="G504" s="0" t="str">
        <f aca="false">Chase1168_2025!G504</f>
        <v>Ruth Alcancia - Forward Bridge Payment</v>
      </c>
      <c r="H504" s="15" t="n">
        <f aca="false">IF($B504="","",DATE(YEAR($B504),MONTH($B504),1))</f>
        <v>45901</v>
      </c>
      <c r="I504" s="0" t="str">
        <f aca="false">IF($G504="","Uncategorized — Review",IFERROR(INDEX(Mapping!$B:$B,MATCH($G504,Mapping!$A:$A,0)),"Uncategorized — Review"))</f>
        <v>Ruth Alcancia - Forward Bridge Payment</v>
      </c>
      <c r="J504" s="0" t="str">
        <f aca="false">IF($G504="","Uncategorized — Review",IFERROR(INDEX(Mapping!$C:$C,MATCH($G504,Mapping!$A:$A,0)),"Uncategorized — Review"))</f>
        <v>Payroll &amp; Contractors</v>
      </c>
    </row>
    <row r="505" customFormat="false" ht="15" hidden="false" customHeight="false" outlineLevel="0" collapsed="false">
      <c r="A505" s="0" t="str">
        <f aca="false">Chase1168_2025!A505</f>
        <v>DEBIT</v>
      </c>
      <c r="B505" s="14" t="n">
        <f aca="false">Chase1168_2025!B505</f>
        <v>45917</v>
      </c>
      <c r="C505" s="0" t="str">
        <f aca="false">Chase1168_2025!C505</f>
        <v>ORIG CO NAME:VENMO                  ORIG ID:3264681992 DESC DATE:250917 CO ENTRY DESCR:PAYMENT   SEC:WEB    TRACE#:021000023447058 EED:250917   IND ID:1044907028184                IND NAME:JUDD DUNNING                                                                                                 250917PPZ1HW TRN: 2603447058TC</v>
      </c>
      <c r="D505" s="7" t="n">
        <f aca="false">Chase1168_2025!D505</f>
        <v>-50</v>
      </c>
      <c r="E505" s="0" t="str">
        <f aca="false">Chase1168_2025!E505</f>
        <v>ACH_DEBIT</v>
      </c>
      <c r="F505" s="7" t="n">
        <f aca="false">Chase1168_2025!F505</f>
        <v>68856.88</v>
      </c>
      <c r="G505" s="0" t="str">
        <f aca="false">Chase1168_2025!G505</f>
        <v>Venmo</v>
      </c>
      <c r="H505" s="15" t="n">
        <f aca="false">IF($B505="","",DATE(YEAR($B505),MONTH($B505),1))</f>
        <v>45901</v>
      </c>
      <c r="I505" s="0" t="str">
        <f aca="false">IF($G505="","Uncategorized — Review",IFERROR(INDEX(Mapping!$B:$B,MATCH($G505,Mapping!$A:$A,0)),"Uncategorized — Review"))</f>
        <v>Venmo</v>
      </c>
      <c r="J505" s="0" t="str">
        <f aca="false">IF($G505="","Uncategorized — Review",IFERROR(INDEX(Mapping!$C:$C,MATCH($G505,Mapping!$A:$A,0)),"Uncategorized — Review"))</f>
        <v>P2P Payments (Zelle/Venmo/PayPal)</v>
      </c>
    </row>
    <row r="506" customFormat="false" ht="15" hidden="false" customHeight="false" outlineLevel="0" collapsed="false">
      <c r="A506" s="0" t="str">
        <f aca="false">Chase1168_2025!A506</f>
        <v>DEBIT</v>
      </c>
      <c r="B506" s="14" t="n">
        <f aca="false">Chase1168_2025!B506</f>
        <v>45917</v>
      </c>
      <c r="C506" s="0" t="str">
        <f aca="false">Chase1168_2025!C506</f>
        <v>ORIG CO NAME:VENMO                  ORIG ID:3264681992 DESC DATE:250917 CO ENTRY DESCR:PAYMENT   SEC:WEB    TRACE#:021000023456902 EED:250917   IND ID:1044906393306                IND NAME:JUDD DUNNING                                                                                                 250917PPZ1HW TRN: 2603456902TC</v>
      </c>
      <c r="D506" s="7" t="n">
        <f aca="false">Chase1168_2025!D506</f>
        <v>-60</v>
      </c>
      <c r="E506" s="0" t="str">
        <f aca="false">Chase1168_2025!E506</f>
        <v>ACH_DEBIT</v>
      </c>
      <c r="F506" s="7" t="n">
        <f aca="false">Chase1168_2025!F506</f>
        <v>68906.88</v>
      </c>
      <c r="G506" s="0" t="str">
        <f aca="false">Chase1168_2025!G506</f>
        <v>Venmo</v>
      </c>
      <c r="H506" s="15" t="n">
        <f aca="false">IF($B506="","",DATE(YEAR($B506),MONTH($B506),1))</f>
        <v>45901</v>
      </c>
      <c r="I506" s="0" t="str">
        <f aca="false">IF($G506="","Uncategorized — Review",IFERROR(INDEX(Mapping!$B:$B,MATCH($G506,Mapping!$A:$A,0)),"Uncategorized — Review"))</f>
        <v>Venmo</v>
      </c>
      <c r="J506" s="0" t="str">
        <f aca="false">IF($G506="","Uncategorized — Review",IFERROR(INDEX(Mapping!$C:$C,MATCH($G506,Mapping!$A:$A,0)),"Uncategorized — Review"))</f>
        <v>P2P Payments (Zelle/Venmo/PayPal)</v>
      </c>
    </row>
    <row r="507" customFormat="false" ht="15" hidden="false" customHeight="false" outlineLevel="0" collapsed="false">
      <c r="A507" s="0" t="str">
        <f aca="false">Chase1168_2025!A507</f>
        <v>DEBIT</v>
      </c>
      <c r="B507" s="14" t="n">
        <f aca="false">Chase1168_2025!B507</f>
        <v>45917</v>
      </c>
      <c r="C507" s="0" t="str">
        <f aca="false">Chase1168_2025!C507</f>
        <v>PAYPAL *LINKEDIN 402-935-7733 CA             09/17</v>
      </c>
      <c r="D507" s="7" t="n">
        <f aca="false">Chase1168_2025!D507</f>
        <v>-69.99</v>
      </c>
      <c r="E507" s="0" t="str">
        <f aca="false">Chase1168_2025!E507</f>
        <v>DEBIT_CARD</v>
      </c>
      <c r="F507" s="7" t="n">
        <f aca="false">Chase1168_2025!F507</f>
        <v>68966.88</v>
      </c>
      <c r="G507" s="0" t="str">
        <f aca="false">Chase1168_2025!G507</f>
        <v>DWG HR</v>
      </c>
      <c r="H507" s="15" t="n">
        <f aca="false">IF($B507="","",DATE(YEAR($B507),MONTH($B507),1))</f>
        <v>45901</v>
      </c>
      <c r="I507" s="0" t="str">
        <f aca="false">IF($G507="","Uncategorized — Review",IFERROR(INDEX(Mapping!$B:$B,MATCH($G507,Mapping!$A:$A,0)),"Uncategorized — Review"))</f>
        <v>DWG HR</v>
      </c>
      <c r="J507" s="0" t="str">
        <f aca="false">IF($G507="","Uncategorized — Review",IFERROR(INDEX(Mapping!$C:$C,MATCH($G507,Mapping!$A:$A,0)),"Uncategorized — Review"))</f>
        <v>Payroll &amp; Contractors</v>
      </c>
    </row>
    <row r="508" customFormat="false" ht="15" hidden="false" customHeight="false" outlineLevel="0" collapsed="false">
      <c r="A508" s="0" t="str">
        <f aca="false">Chase1168_2025!A508</f>
        <v>DEBIT</v>
      </c>
      <c r="B508" s="14" t="n">
        <f aca="false">Chase1168_2025!B508</f>
        <v>45917</v>
      </c>
      <c r="C508" s="0" t="str">
        <f aca="false">Chase1168_2025!C508</f>
        <v>PAYPAL *LINKEDIN 402-935-7733 CA             09/17</v>
      </c>
      <c r="D508" s="7" t="n">
        <f aca="false">Chase1168_2025!D508</f>
        <v>-89.99</v>
      </c>
      <c r="E508" s="0" t="str">
        <f aca="false">Chase1168_2025!E508</f>
        <v>DEBIT_CARD</v>
      </c>
      <c r="F508" s="7" t="n">
        <f aca="false">Chase1168_2025!F508</f>
        <v>69036.87</v>
      </c>
      <c r="G508" s="0" t="str">
        <f aca="false">Chase1168_2025!G508</f>
        <v>DWG HR</v>
      </c>
      <c r="H508" s="15" t="n">
        <f aca="false">IF($B508="","",DATE(YEAR($B508),MONTH($B508),1))</f>
        <v>45901</v>
      </c>
      <c r="I508" s="0" t="str">
        <f aca="false">IF($G508="","Uncategorized — Review",IFERROR(INDEX(Mapping!$B:$B,MATCH($G508,Mapping!$A:$A,0)),"Uncategorized — Review"))</f>
        <v>DWG HR</v>
      </c>
      <c r="J508" s="0" t="str">
        <f aca="false">IF($G508="","Uncategorized — Review",IFERROR(INDEX(Mapping!$C:$C,MATCH($G508,Mapping!$A:$A,0)),"Uncategorized — Review"))</f>
        <v>Payroll &amp; Contractors</v>
      </c>
    </row>
    <row r="509" customFormat="false" ht="15" hidden="false" customHeight="false" outlineLevel="0" collapsed="false">
      <c r="A509" s="0" t="str">
        <f aca="false">Chase1168_2025!A509</f>
        <v>DEBIT</v>
      </c>
      <c r="B509" s="14" t="n">
        <f aca="false">Chase1168_2025!B509</f>
        <v>45916</v>
      </c>
      <c r="C509" s="0" t="str">
        <f aca="false">Chase1168_2025!C509</f>
        <v>DOMESTIC INCOMING WIRE FEE</v>
      </c>
      <c r="D509" s="7" t="n">
        <f aca="false">Chase1168_2025!D509</f>
        <v>-15</v>
      </c>
      <c r="E509" s="0" t="str">
        <f aca="false">Chase1168_2025!E509</f>
        <v>FEE_TRANSACTION</v>
      </c>
      <c r="F509" s="7" t="n">
        <f aca="false">Chase1168_2025!F509</f>
        <v>69126.86</v>
      </c>
      <c r="G509" s="0" t="str">
        <f aca="false">Chase1168_2025!G509</f>
        <v>Wire Fee</v>
      </c>
      <c r="H509" s="15" t="n">
        <f aca="false">IF($B509="","",DATE(YEAR($B509),MONTH($B509),1))</f>
        <v>45901</v>
      </c>
      <c r="I509" s="0" t="str">
        <f aca="false">IF($G509="","Uncategorized — Review",IFERROR(INDEX(Mapping!$B:$B,MATCH($G509,Mapping!$A:$A,0)),"Uncategorized — Review"))</f>
        <v>Wire Fee</v>
      </c>
      <c r="J509" s="0" t="str">
        <f aca="false">IF($G509="","Uncategorized — Review",IFERROR(INDEX(Mapping!$C:$C,MATCH($G509,Mapping!$A:$A,0)),"Uncategorized — Review"))</f>
        <v>DWG Operating</v>
      </c>
    </row>
    <row r="510" customFormat="false" ht="15" hidden="false" customHeight="false" outlineLevel="0" collapsed="false">
      <c r="A510" s="0" t="str">
        <f aca="false">Chase1168_2025!A510</f>
        <v>DEBIT</v>
      </c>
      <c r="B510" s="14" t="n">
        <f aca="false">Chase1168_2025!B510</f>
        <v>45916</v>
      </c>
      <c r="C510" s="0" t="str">
        <f aca="false">Chase1168_2025!C510</f>
        <v>Online Payment 26249980156 To LOS ANGELES MUNICIPAL SERVICE 09/16</v>
      </c>
      <c r="D510" s="7" t="n">
        <f aca="false">Chase1168_2025!D510</f>
        <v>-1630.12</v>
      </c>
      <c r="E510" s="0" t="str">
        <f aca="false">Chase1168_2025!E510</f>
        <v>BILLPAY</v>
      </c>
      <c r="F510" s="7" t="n">
        <f aca="false">Chase1168_2025!F510</f>
        <v>69141.86</v>
      </c>
      <c r="G510" s="0" t="str">
        <f aca="false">Chase1168_2025!G510</f>
        <v>Bill Payment</v>
      </c>
      <c r="H510" s="15" t="n">
        <f aca="false">IF($B510="","",DATE(YEAR($B510),MONTH($B510),1))</f>
        <v>45901</v>
      </c>
      <c r="I510" s="0" t="str">
        <f aca="false">IF($G510="","Uncategorized — Review",IFERROR(INDEX(Mapping!$B:$B,MATCH($G510,Mapping!$A:$A,0)),"Uncategorized — Review"))</f>
        <v>Bill Payment</v>
      </c>
      <c r="J510" s="0" t="str">
        <f aca="false">IF($G510="","Uncategorized — Review",IFERROR(INDEX(Mapping!$C:$C,MATCH($G510,Mapping!$A:$A,0)),"Uncategorized — Review"))</f>
        <v>DWG Operating</v>
      </c>
    </row>
    <row r="511" customFormat="false" ht="15" hidden="false" customHeight="false" outlineLevel="0" collapsed="false">
      <c r="A511" s="0" t="str">
        <f aca="false">Chase1168_2025!A511</f>
        <v>DEBIT</v>
      </c>
      <c r="B511" s="14" t="n">
        <f aca="false">Chase1168_2025!B511</f>
        <v>45916</v>
      </c>
      <c r="C511" s="0" t="str">
        <f aca="false">Chase1168_2025!C511</f>
        <v>ORIG CO NAME:LEASEDIRECT            ORIG ID:138190450  DESC DATE:250915 CO ENTRY DESCR:14049_1   SEC:CCD    TRACE#:043000090011482 EED:250916   IND ID:1556926                      IND NAME:DWG CAPITAL GROUP          INV# 591754392 DUE 09/15/25 REC# 10 10133372                                      14050 TRN: 2590011482TC</v>
      </c>
      <c r="D511" s="7" t="n">
        <f aca="false">Chase1168_2025!D511</f>
        <v>-104.01</v>
      </c>
      <c r="E511" s="0" t="str">
        <f aca="false">Chase1168_2025!E511</f>
        <v>ACH_DEBIT</v>
      </c>
      <c r="F511" s="7" t="n">
        <f aca="false">Chase1168_2025!F511</f>
        <v>70771.98</v>
      </c>
      <c r="G511" s="0" t="str">
        <f aca="false">Chase1168_2025!G511</f>
        <v>DWG Marketing</v>
      </c>
      <c r="H511" s="15" t="n">
        <f aca="false">IF($B511="","",DATE(YEAR($B511),MONTH($B511),1))</f>
        <v>45901</v>
      </c>
      <c r="I511" s="0" t="str">
        <f aca="false">IF($G511="","Uncategorized — Review",IFERROR(INDEX(Mapping!$B:$B,MATCH($G511,Mapping!$A:$A,0)),"Uncategorized — Review"))</f>
        <v>DWG Marketing</v>
      </c>
      <c r="J511" s="0" t="str">
        <f aca="false">IF($G511="","Uncategorized — Review",IFERROR(INDEX(Mapping!$C:$C,MATCH($G511,Mapping!$A:$A,0)),"Uncategorized — Review"))</f>
        <v>DWG Operating</v>
      </c>
    </row>
    <row r="512" customFormat="false" ht="15" hidden="false" customHeight="false" outlineLevel="0" collapsed="false">
      <c r="A512" s="0" t="str">
        <f aca="false">Chase1168_2025!A512</f>
        <v>DEBIT</v>
      </c>
      <c r="B512" s="14" t="n">
        <f aca="false">Chase1168_2025!B512</f>
        <v>45916</v>
      </c>
      <c r="C512" s="0" t="str">
        <f aca="false">Chase1168_2025!C512</f>
        <v>Online Transfer to CHK ...1117 transaction#: 26241892299 09/16</v>
      </c>
      <c r="D512" s="7" t="n">
        <f aca="false">Chase1168_2025!D512</f>
        <v>-2000</v>
      </c>
      <c r="E512" s="0" t="str">
        <f aca="false">Chase1168_2025!E512</f>
        <v>ACCT_XFER</v>
      </c>
      <c r="F512" s="7" t="n">
        <f aca="false">Chase1168_2025!F512</f>
        <v>70875.99</v>
      </c>
      <c r="G512" s="0" t="str">
        <f aca="false">Chase1168_2025!G512</f>
        <v>Transfer to Angela Dunning</v>
      </c>
      <c r="H512" s="15" t="n">
        <f aca="false">IF($B512="","",DATE(YEAR($B512),MONTH($B512),1))</f>
        <v>45901</v>
      </c>
      <c r="I512" s="0" t="str">
        <f aca="false">IF($G512="","Uncategorized — Review",IFERROR(INDEX(Mapping!$B:$B,MATCH($G512,Mapping!$A:$A,0)),"Uncategorized — Review"))</f>
        <v>Transfer to Angela Dunning</v>
      </c>
      <c r="J512" s="0" t="str">
        <f aca="false">IF($G512="","Uncategorized — Review",IFERROR(INDEX(Mapping!$C:$C,MATCH($G512,Mapping!$A:$A,0)),"Uncategorized — Review"))</f>
        <v>Owner / Family Distributions</v>
      </c>
    </row>
    <row r="513" customFormat="false" ht="15" hidden="false" customHeight="false" outlineLevel="0" collapsed="false">
      <c r="A513" s="0" t="str">
        <f aca="false">Chase1168_2025!A513</f>
        <v>DEBIT</v>
      </c>
      <c r="B513" s="14" t="n">
        <f aca="false">Chase1168_2025!B513</f>
        <v>45916</v>
      </c>
      <c r="C513" s="0" t="str">
        <f aca="false">Chase1168_2025!C513</f>
        <v>PP*APPLE.COM/BILL 800-275-2273 CA            09/16</v>
      </c>
      <c r="D513" s="7" t="n">
        <f aca="false">Chase1168_2025!D513</f>
        <v>-5.99</v>
      </c>
      <c r="E513" s="0" t="str">
        <f aca="false">Chase1168_2025!E513</f>
        <v>DEBIT_CARD</v>
      </c>
      <c r="F513" s="7" t="n">
        <f aca="false">Chase1168_2025!F513</f>
        <v>72875.99</v>
      </c>
      <c r="G513" s="0" t="str">
        <f aca="false">Chase1168_2025!G513</f>
        <v>Personal - Subscriptions</v>
      </c>
      <c r="H513" s="15" t="n">
        <f aca="false">IF($B513="","",DATE(YEAR($B513),MONTH($B513),1))</f>
        <v>45901</v>
      </c>
      <c r="I513" s="0" t="str">
        <f aca="false">IF($G513="","Uncategorized — Review",IFERROR(INDEX(Mapping!$B:$B,MATCH($G513,Mapping!$A:$A,0)),"Uncategorized — Review"))</f>
        <v>Personal - Subscriptions</v>
      </c>
      <c r="J513" s="0" t="str">
        <f aca="false">IF($G513="","Uncategorized — Review",IFERROR(INDEX(Mapping!$C:$C,MATCH($G513,Mapping!$A:$A,0)),"Uncategorized — Review"))</f>
        <v>Personal — Owner</v>
      </c>
    </row>
    <row r="514" customFormat="false" ht="15" hidden="false" customHeight="false" outlineLevel="0" collapsed="false">
      <c r="A514" s="0" t="str">
        <f aca="false">Chase1168_2025!A514</f>
        <v>CREDIT</v>
      </c>
      <c r="B514" s="14" t="n">
        <f aca="false">Chase1168_2025!B514</f>
        <v>45916</v>
      </c>
      <c r="C514" s="0" t="str">
        <f aca="false">Chase1168_2025!C514</f>
        <v>FEDWIRE CREDIT VIA: BANK OF AMERICA, N.A./026009593 B/O: CLTIC NCS FXFC JACKSONVILLE FL 32204 USA REF: CHASE NYC/CTR/BNF=DWG CAPITAL GROUP LOS ANGELES CA 90066-3638 US/AC-00 0000002836 RFB=NOTPROVIDED OBI=/URI/FN-932505552 COMMISSION FOR 11 5/P EN N PROPADDR-115 PENN STREET, E/L SEGU NDO, CA 90245-3908 IMAD: 0916B6B7HU2R014989 TRN: 0948371259FF</v>
      </c>
      <c r="D514" s="7" t="n">
        <f aca="false">Chase1168_2025!D514</f>
        <v>42500</v>
      </c>
      <c r="E514" s="0" t="str">
        <f aca="false">Chase1168_2025!E514</f>
        <v>WIRE_INCOMING</v>
      </c>
      <c r="F514" s="7" t="n">
        <f aca="false">Chase1168_2025!F514</f>
        <v>72881.98</v>
      </c>
      <c r="G514" s="0" t="str">
        <f aca="false">Chase1168_2025!G514</f>
        <v>Incoming Commission: 115 Penn</v>
      </c>
      <c r="H514" s="15" t="n">
        <f aca="false">IF($B514="","",DATE(YEAR($B514),MONTH($B514),1))</f>
        <v>45901</v>
      </c>
      <c r="I514" s="0" t="str">
        <f aca="false">IF($G514="","Uncategorized — Review",IFERROR(INDEX(Mapping!$B:$B,MATCH($G514,Mapping!$A:$A,0)),"Uncategorized — Review"))</f>
        <v>Incoming Commission: 115 Penn</v>
      </c>
      <c r="J514" s="0" t="str">
        <f aca="false">IF($G514="","Uncategorized — Review",IFERROR(INDEX(Mapping!$C:$C,MATCH($G514,Mapping!$A:$A,0)),"Uncategorized — Review"))</f>
        <v>Commissions — Incoming</v>
      </c>
    </row>
    <row r="515" customFormat="false" ht="15" hidden="false" customHeight="false" outlineLevel="0" collapsed="false">
      <c r="A515" s="0" t="str">
        <f aca="false">Chase1168_2025!A515</f>
        <v>DEBIT</v>
      </c>
      <c r="B515" s="14" t="n">
        <f aca="false">Chase1168_2025!B515</f>
        <v>45915</v>
      </c>
      <c r="C515" s="0" t="str">
        <f aca="false">Chase1168_2025!C515</f>
        <v>Upwork -846666234REF 650-8534100 CA          09/15</v>
      </c>
      <c r="D515" s="7" t="n">
        <f aca="false">Chase1168_2025!D515</f>
        <v>-393.75</v>
      </c>
      <c r="E515" s="0" t="str">
        <f aca="false">Chase1168_2025!E515</f>
        <v>DEBIT_CARD</v>
      </c>
      <c r="F515" s="7" t="n">
        <f aca="false">Chase1168_2025!F515</f>
        <v>30381.98</v>
      </c>
      <c r="G515" s="0" t="str">
        <f aca="false">Chase1168_2025!G515</f>
        <v>Upwork - Sergei M.</v>
      </c>
      <c r="H515" s="15" t="n">
        <f aca="false">IF($B515="","",DATE(YEAR($B515),MONTH($B515),1))</f>
        <v>45901</v>
      </c>
      <c r="I515" s="0" t="str">
        <f aca="false">IF($G515="","Uncategorized — Review",IFERROR(INDEX(Mapping!$B:$B,MATCH($G515,Mapping!$A:$A,0)),"Uncategorized — Review"))</f>
        <v>Upwork - Sergei M.</v>
      </c>
      <c r="J515" s="0" t="str">
        <f aca="false">IF($G515="","Uncategorized — Review",IFERROR(INDEX(Mapping!$C:$C,MATCH($G515,Mapping!$A:$A,0)),"Uncategorized — Review"))</f>
        <v>Payroll &amp; Contractors</v>
      </c>
    </row>
    <row r="516" customFormat="false" ht="15" hidden="false" customHeight="false" outlineLevel="0" collapsed="false">
      <c r="A516" s="0" t="str">
        <f aca="false">Chase1168_2025!A516</f>
        <v>DEBIT</v>
      </c>
      <c r="B516" s="14" t="n">
        <f aca="false">Chase1168_2025!B516</f>
        <v>45915</v>
      </c>
      <c r="C516" s="0" t="str">
        <f aca="false">Chase1168_2025!C516</f>
        <v>Basic Online Payroll Payment 11186904372 to ########4122</v>
      </c>
      <c r="D516" s="7" t="n">
        <f aca="false">Chase1168_2025!D516</f>
        <v>-1500</v>
      </c>
      <c r="E516" s="0" t="str">
        <f aca="false">Chase1168_2025!E516</f>
        <v>BASIC_PAYROLL</v>
      </c>
      <c r="F516" s="7" t="n">
        <f aca="false">Chase1168_2025!F516</f>
        <v>30775.73</v>
      </c>
      <c r="G516" s="0" t="str">
        <f aca="false">Chase1168_2025!G516</f>
        <v>Mike Paytonjian - Payroll</v>
      </c>
      <c r="H516" s="15" t="n">
        <f aca="false">IF($B516="","",DATE(YEAR($B516),MONTH($B516),1))</f>
        <v>45901</v>
      </c>
      <c r="I516" s="0" t="str">
        <f aca="false">IF($G516="","Uncategorized — Review",IFERROR(INDEX(Mapping!$B:$B,MATCH($G516,Mapping!$A:$A,0)),"Uncategorized — Review"))</f>
        <v>Mike Paytonjian - Payroll</v>
      </c>
      <c r="J516" s="0" t="str">
        <f aca="false">IF($G516="","Uncategorized — Review",IFERROR(INDEX(Mapping!$C:$C,MATCH($G516,Mapping!$A:$A,0)),"Uncategorized — Review"))</f>
        <v>Payroll &amp; Contractors</v>
      </c>
    </row>
    <row r="517" customFormat="false" ht="15" hidden="false" customHeight="false" outlineLevel="0" collapsed="false">
      <c r="A517" s="0" t="str">
        <f aca="false">Chase1168_2025!A517</f>
        <v>DEBIT</v>
      </c>
      <c r="B517" s="14" t="n">
        <f aca="false">Chase1168_2025!B517</f>
        <v>45915</v>
      </c>
      <c r="C517" s="0" t="str">
        <f aca="false">Chase1168_2025!C517</f>
        <v>ORIG CO NAME:VENMO                  ORIG ID:3264681992 DESC DATE:250914 CO ENTRY DESCR:PAYMENT   SEC:WEB    TRACE#:021000029356099 EED:250915   IND ID:1044844221654                IND NAME:JUDD DUNNING                                                                                                 250914PPZIAM TRN: 2589356099TC</v>
      </c>
      <c r="D517" s="7" t="n">
        <f aca="false">Chase1168_2025!D517</f>
        <v>-150</v>
      </c>
      <c r="E517" s="0" t="str">
        <f aca="false">Chase1168_2025!E517</f>
        <v>ACH_DEBIT</v>
      </c>
      <c r="F517" s="7" t="n">
        <f aca="false">Chase1168_2025!F517</f>
        <v>32275.73</v>
      </c>
      <c r="G517" s="0" t="str">
        <f aca="false">Chase1168_2025!G517</f>
        <v>Venmo</v>
      </c>
      <c r="H517" s="15" t="n">
        <f aca="false">IF($B517="","",DATE(YEAR($B517),MONTH($B517),1))</f>
        <v>45901</v>
      </c>
      <c r="I517" s="0" t="str">
        <f aca="false">IF($G517="","Uncategorized — Review",IFERROR(INDEX(Mapping!$B:$B,MATCH($G517,Mapping!$A:$A,0)),"Uncategorized — Review"))</f>
        <v>Venmo</v>
      </c>
      <c r="J517" s="0" t="str">
        <f aca="false">IF($G517="","Uncategorized — Review",IFERROR(INDEX(Mapping!$C:$C,MATCH($G517,Mapping!$A:$A,0)),"Uncategorized — Review"))</f>
        <v>P2P Payments (Zelle/Venmo/PayPal)</v>
      </c>
    </row>
    <row r="518" customFormat="false" ht="15" hidden="false" customHeight="false" outlineLevel="0" collapsed="false">
      <c r="A518" s="0" t="str">
        <f aca="false">Chase1168_2025!A518</f>
        <v>DEBIT</v>
      </c>
      <c r="B518" s="14" t="n">
        <f aca="false">Chase1168_2025!B518</f>
        <v>45915</v>
      </c>
      <c r="C518" s="0" t="str">
        <f aca="false">Chase1168_2025!C518</f>
        <v>Online Transfer to CHK ...1117 transaction#: 26227236840 09/15</v>
      </c>
      <c r="D518" s="7" t="n">
        <f aca="false">Chase1168_2025!D518</f>
        <v>-3000</v>
      </c>
      <c r="E518" s="0" t="str">
        <f aca="false">Chase1168_2025!E518</f>
        <v>ACCT_XFER</v>
      </c>
      <c r="F518" s="7" t="n">
        <f aca="false">Chase1168_2025!F518</f>
        <v>32425.73</v>
      </c>
      <c r="G518" s="0" t="str">
        <f aca="false">Chase1168_2025!G518</f>
        <v>Transfer to Angela Dunning</v>
      </c>
      <c r="H518" s="15" t="n">
        <f aca="false">IF($B518="","",DATE(YEAR($B518),MONTH($B518),1))</f>
        <v>45901</v>
      </c>
      <c r="I518" s="0" t="str">
        <f aca="false">IF($G518="","Uncategorized — Review",IFERROR(INDEX(Mapping!$B:$B,MATCH($G518,Mapping!$A:$A,0)),"Uncategorized — Review"))</f>
        <v>Transfer to Angela Dunning</v>
      </c>
      <c r="J518" s="0" t="str">
        <f aca="false">IF($G518="","Uncategorized — Review",IFERROR(INDEX(Mapping!$C:$C,MATCH($G518,Mapping!$A:$A,0)),"Uncategorized — Review"))</f>
        <v>Owner / Family Distributions</v>
      </c>
    </row>
    <row r="519" customFormat="false" ht="15" hidden="false" customHeight="false" outlineLevel="0" collapsed="false">
      <c r="A519" s="0" t="str">
        <f aca="false">Chase1168_2025!A519</f>
        <v>DEBIT</v>
      </c>
      <c r="B519" s="14" t="n">
        <f aca="false">Chase1168_2025!B519</f>
        <v>45915</v>
      </c>
      <c r="C519" s="0" t="str">
        <f aca="false">Chase1168_2025!C519</f>
        <v>PP*APPLE.COM/BILL 800-275-2273 CA            09/15</v>
      </c>
      <c r="D519" s="7" t="n">
        <f aca="false">Chase1168_2025!D519</f>
        <v>-8.99</v>
      </c>
      <c r="E519" s="0" t="str">
        <f aca="false">Chase1168_2025!E519</f>
        <v>DEBIT_CARD</v>
      </c>
      <c r="F519" s="7" t="n">
        <f aca="false">Chase1168_2025!F519</f>
        <v>35425.73</v>
      </c>
      <c r="G519" s="0" t="str">
        <f aca="false">Chase1168_2025!G519</f>
        <v>Personal - Subscriptions</v>
      </c>
      <c r="H519" s="15" t="n">
        <f aca="false">IF($B519="","",DATE(YEAR($B519),MONTH($B519),1))</f>
        <v>45901</v>
      </c>
      <c r="I519" s="0" t="str">
        <f aca="false">IF($G519="","Uncategorized — Review",IFERROR(INDEX(Mapping!$B:$B,MATCH($G519,Mapping!$A:$A,0)),"Uncategorized — Review"))</f>
        <v>Personal - Subscriptions</v>
      </c>
      <c r="J519" s="0" t="str">
        <f aca="false">IF($G519="","Uncategorized — Review",IFERROR(INDEX(Mapping!$C:$C,MATCH($G519,Mapping!$A:$A,0)),"Uncategorized — Review"))</f>
        <v>Personal — Owner</v>
      </c>
    </row>
    <row r="520" customFormat="false" ht="15" hidden="false" customHeight="false" outlineLevel="0" collapsed="false">
      <c r="A520" s="0" t="str">
        <f aca="false">Chase1168_2025!A520</f>
        <v>DEBIT</v>
      </c>
      <c r="B520" s="14" t="n">
        <f aca="false">Chase1168_2025!B520</f>
        <v>45915</v>
      </c>
      <c r="C520" s="0" t="str">
        <f aca="false">Chase1168_2025!C520</f>
        <v>PP*GOOGLE GOOGLE ONE 855-836-3987 CA         09/15</v>
      </c>
      <c r="D520" s="7" t="n">
        <f aca="false">Chase1168_2025!D520</f>
        <v>-1.99</v>
      </c>
      <c r="E520" s="0" t="str">
        <f aca="false">Chase1168_2025!E520</f>
        <v>DEBIT_CARD</v>
      </c>
      <c r="F520" s="7" t="n">
        <f aca="false">Chase1168_2025!F520</f>
        <v>35434.72</v>
      </c>
      <c r="G520" s="0" t="str">
        <f aca="false">Chase1168_2025!G520</f>
        <v>Personal - Subscriptions</v>
      </c>
      <c r="H520" s="15" t="n">
        <f aca="false">IF($B520="","",DATE(YEAR($B520),MONTH($B520),1))</f>
        <v>45901</v>
      </c>
      <c r="I520" s="0" t="str">
        <f aca="false">IF($G520="","Uncategorized — Review",IFERROR(INDEX(Mapping!$B:$B,MATCH($G520,Mapping!$A:$A,0)),"Uncategorized — Review"))</f>
        <v>Personal - Subscriptions</v>
      </c>
      <c r="J520" s="0" t="str">
        <f aca="false">IF($G520="","Uncategorized — Review",IFERROR(INDEX(Mapping!$C:$C,MATCH($G520,Mapping!$A:$A,0)),"Uncategorized — Review"))</f>
        <v>Personal — Owner</v>
      </c>
    </row>
    <row r="521" customFormat="false" ht="15" hidden="false" customHeight="false" outlineLevel="0" collapsed="false">
      <c r="A521" s="0" t="str">
        <f aca="false">Chase1168_2025!A521</f>
        <v>DEBIT</v>
      </c>
      <c r="B521" s="14" t="n">
        <f aca="false">Chase1168_2025!B521</f>
        <v>45915</v>
      </c>
      <c r="C521" s="0" t="str">
        <f aca="false">Chase1168_2025!C521</f>
        <v>PP*APPLE.COM/BILL 800-275-2273 CA            09/14</v>
      </c>
      <c r="D521" s="7" t="n">
        <f aca="false">Chase1168_2025!D521</f>
        <v>-10.99</v>
      </c>
      <c r="E521" s="0" t="str">
        <f aca="false">Chase1168_2025!E521</f>
        <v>DEBIT_CARD</v>
      </c>
      <c r="F521" s="7" t="n">
        <f aca="false">Chase1168_2025!F521</f>
        <v>35436.71</v>
      </c>
      <c r="G521" s="0" t="str">
        <f aca="false">Chase1168_2025!G521</f>
        <v>Personal - Subscriptions</v>
      </c>
      <c r="H521" s="15" t="n">
        <f aca="false">IF($B521="","",DATE(YEAR($B521),MONTH($B521),1))</f>
        <v>45901</v>
      </c>
      <c r="I521" s="0" t="str">
        <f aca="false">IF($G521="","Uncategorized — Review",IFERROR(INDEX(Mapping!$B:$B,MATCH($G521,Mapping!$A:$A,0)),"Uncategorized — Review"))</f>
        <v>Personal - Subscriptions</v>
      </c>
      <c r="J521" s="0" t="str">
        <f aca="false">IF($G521="","Uncategorized — Review",IFERROR(INDEX(Mapping!$C:$C,MATCH($G521,Mapping!$A:$A,0)),"Uncategorized — Review"))</f>
        <v>Personal — Owner</v>
      </c>
    </row>
    <row r="522" customFormat="false" ht="15" hidden="false" customHeight="false" outlineLevel="0" collapsed="false">
      <c r="A522" s="0" t="str">
        <f aca="false">Chase1168_2025!A522</f>
        <v>DEBIT</v>
      </c>
      <c r="B522" s="14" t="n">
        <f aca="false">Chase1168_2025!B522</f>
        <v>45915</v>
      </c>
      <c r="C522" s="0" t="str">
        <f aca="false">Chase1168_2025!C522</f>
        <v>PP*APPLE.COM/BILL 800-275-2273 CA            09/13</v>
      </c>
      <c r="D522" s="7" t="n">
        <f aca="false">Chase1168_2025!D522</f>
        <v>-17.99</v>
      </c>
      <c r="E522" s="0" t="str">
        <f aca="false">Chase1168_2025!E522</f>
        <v>DEBIT_CARD</v>
      </c>
      <c r="F522" s="7" t="n">
        <f aca="false">Chase1168_2025!F522</f>
        <v>35447.7</v>
      </c>
      <c r="G522" s="0" t="str">
        <f aca="false">Chase1168_2025!G522</f>
        <v>Personal - Subscriptions</v>
      </c>
      <c r="H522" s="15" t="n">
        <f aca="false">IF($B522="","",DATE(YEAR($B522),MONTH($B522),1))</f>
        <v>45901</v>
      </c>
      <c r="I522" s="0" t="str">
        <f aca="false">IF($G522="","Uncategorized — Review",IFERROR(INDEX(Mapping!$B:$B,MATCH($G522,Mapping!$A:$A,0)),"Uncategorized — Review"))</f>
        <v>Personal - Subscriptions</v>
      </c>
      <c r="J522" s="0" t="str">
        <f aca="false">IF($G522="","Uncategorized — Review",IFERROR(INDEX(Mapping!$C:$C,MATCH($G522,Mapping!$A:$A,0)),"Uncategorized — Review"))</f>
        <v>Personal — Owner</v>
      </c>
    </row>
    <row r="523" customFormat="false" ht="15" hidden="false" customHeight="false" outlineLevel="0" collapsed="false">
      <c r="A523" s="0" t="str">
        <f aca="false">Chase1168_2025!A523</f>
        <v>DEBIT</v>
      </c>
      <c r="B523" s="14" t="n">
        <f aca="false">Chase1168_2025!B523</f>
        <v>45915</v>
      </c>
      <c r="C523" s="0" t="str">
        <f aca="false">Chase1168_2025!C523</f>
        <v>PAYPAL *HULU 877-801-5441 CA                 09/12</v>
      </c>
      <c r="D523" s="7" t="n">
        <f aca="false">Chase1168_2025!D523</f>
        <v>-18.99</v>
      </c>
      <c r="E523" s="0" t="str">
        <f aca="false">Chase1168_2025!E523</f>
        <v>DEBIT_CARD</v>
      </c>
      <c r="F523" s="7" t="n">
        <f aca="false">Chase1168_2025!F523</f>
        <v>35465.69</v>
      </c>
      <c r="G523" s="0" t="str">
        <f aca="false">Chase1168_2025!G523</f>
        <v>Personal - Subscriptions</v>
      </c>
      <c r="H523" s="15" t="n">
        <f aca="false">IF($B523="","",DATE(YEAR($B523),MONTH($B523),1))</f>
        <v>45901</v>
      </c>
      <c r="I523" s="0" t="str">
        <f aca="false">IF($G523="","Uncategorized — Review",IFERROR(INDEX(Mapping!$B:$B,MATCH($G523,Mapping!$A:$A,0)),"Uncategorized — Review"))</f>
        <v>Personal - Subscriptions</v>
      </c>
      <c r="J523" s="0" t="str">
        <f aca="false">IF($G523="","Uncategorized — Review",IFERROR(INDEX(Mapping!$C:$C,MATCH($G523,Mapping!$A:$A,0)),"Uncategorized — Review"))</f>
        <v>Personal — Owner</v>
      </c>
    </row>
    <row r="524" customFormat="false" ht="15" hidden="false" customHeight="false" outlineLevel="0" collapsed="false">
      <c r="A524" s="0" t="str">
        <f aca="false">Chase1168_2025!A524</f>
        <v>CREDIT</v>
      </c>
      <c r="B524" s="14" t="n">
        <f aca="false">Chase1168_2025!B524</f>
        <v>45915</v>
      </c>
      <c r="C524" s="0" t="str">
        <f aca="false">Chase1168_2025!C524</f>
        <v>Online Transfer from CHK ...9335 transaction#: 26227231150</v>
      </c>
      <c r="D524" s="7" t="n">
        <f aca="false">Chase1168_2025!D524</f>
        <v>30000</v>
      </c>
      <c r="E524" s="0" t="str">
        <f aca="false">Chase1168_2025!E524</f>
        <v>ACCT_XFER</v>
      </c>
      <c r="F524" s="7" t="n">
        <f aca="false">Chase1168_2025!F524</f>
        <v>35484.68</v>
      </c>
      <c r="G524" s="0" t="str">
        <f aca="false">Chase1168_2025!G524</f>
        <v>Poseidon Asset Group (Incoming)</v>
      </c>
      <c r="H524" s="15" t="n">
        <f aca="false">IF($B524="","",DATE(YEAR($B524),MONTH($B524),1))</f>
        <v>45901</v>
      </c>
      <c r="I524" s="0" t="str">
        <f aca="false">IF($G524="","Uncategorized — Review",IFERROR(INDEX(Mapping!$B:$B,MATCH($G524,Mapping!$A:$A,0)),"Uncategorized — Review"))</f>
        <v>Poseidon Asset Group (Incoming)</v>
      </c>
      <c r="J524" s="0" t="str">
        <f aca="false">IF($G524="","Uncategorized — Review",IFERROR(INDEX(Mapping!$C:$C,MATCH($G524,Mapping!$A:$A,0)),"Uncategorized — Review"))</f>
        <v>Poseidon Asset Group</v>
      </c>
    </row>
    <row r="525" customFormat="false" ht="15" hidden="false" customHeight="false" outlineLevel="0" collapsed="false">
      <c r="A525" s="0" t="str">
        <f aca="false">Chase1168_2025!A525</f>
        <v>DEBIT</v>
      </c>
      <c r="B525" s="14" t="n">
        <f aca="false">Chase1168_2025!B525</f>
        <v>45912</v>
      </c>
      <c r="C525" s="0" t="str">
        <f aca="false">Chase1168_2025!C525</f>
        <v>ORIG CO NAME:VENMO                  ORIG ID:3264681992 DESC DATE:250912 CO ENTRY DESCR:PAYMENT   SEC:WEB    TRACE#:021000020788630 EED:250912   IND ID:1044819071786                IND NAME:JUDD DUNNING                                                                                                 250912PPZEQH TRN: 2550788630TC</v>
      </c>
      <c r="D525" s="7" t="n">
        <f aca="false">Chase1168_2025!D525</f>
        <v>-80</v>
      </c>
      <c r="E525" s="0" t="str">
        <f aca="false">Chase1168_2025!E525</f>
        <v>ACH_DEBIT</v>
      </c>
      <c r="F525" s="7" t="n">
        <f aca="false">Chase1168_2025!F525</f>
        <v>5484.68</v>
      </c>
      <c r="G525" s="0" t="str">
        <f aca="false">Chase1168_2025!G525</f>
        <v>Venmo</v>
      </c>
      <c r="H525" s="15" t="n">
        <f aca="false">IF($B525="","",DATE(YEAR($B525),MONTH($B525),1))</f>
        <v>45901</v>
      </c>
      <c r="I525" s="0" t="str">
        <f aca="false">IF($G525="","Uncategorized — Review",IFERROR(INDEX(Mapping!$B:$B,MATCH($G525,Mapping!$A:$A,0)),"Uncategorized — Review"))</f>
        <v>Venmo</v>
      </c>
      <c r="J525" s="0" t="str">
        <f aca="false">IF($G525="","Uncategorized — Review",IFERROR(INDEX(Mapping!$C:$C,MATCH($G525,Mapping!$A:$A,0)),"Uncategorized — Review"))</f>
        <v>P2P Payments (Zelle/Venmo/PayPal)</v>
      </c>
    </row>
    <row r="526" customFormat="false" ht="15" hidden="false" customHeight="false" outlineLevel="0" collapsed="false">
      <c r="A526" s="0" t="str">
        <f aca="false">Chase1168_2025!A526</f>
        <v>DEBIT</v>
      </c>
      <c r="B526" s="14" t="n">
        <f aca="false">Chase1168_2025!B526</f>
        <v>45912</v>
      </c>
      <c r="C526" s="0" t="str">
        <f aca="false">Chase1168_2025!C526</f>
        <v>ORIG CO NAME:VENMO                  ORIG ID:3264681992 DESC DATE:250912 CO ENTRY DESCR:PAYMENT   SEC:WEB    TRACE#:021000020787871 EED:250912   IND ID:1044818898851                IND NAME:JUDD DUNNING                                                                                                 250912PPZEQH TRN: 2550787871TC</v>
      </c>
      <c r="D526" s="7" t="n">
        <f aca="false">Chase1168_2025!D526</f>
        <v>-2500</v>
      </c>
      <c r="E526" s="0" t="str">
        <f aca="false">Chase1168_2025!E526</f>
        <v>ACH_DEBIT</v>
      </c>
      <c r="F526" s="7" t="n">
        <f aca="false">Chase1168_2025!F526</f>
        <v>5564.68</v>
      </c>
      <c r="G526" s="0" t="str">
        <f aca="false">Chase1168_2025!G526</f>
        <v>Venmo</v>
      </c>
      <c r="H526" s="15" t="n">
        <f aca="false">IF($B526="","",DATE(YEAR($B526),MONTH($B526),1))</f>
        <v>45901</v>
      </c>
      <c r="I526" s="0" t="str">
        <f aca="false">IF($G526="","Uncategorized — Review",IFERROR(INDEX(Mapping!$B:$B,MATCH($G526,Mapping!$A:$A,0)),"Uncategorized — Review"))</f>
        <v>Venmo</v>
      </c>
      <c r="J526" s="0" t="str">
        <f aca="false">IF($G526="","Uncategorized — Review",IFERROR(INDEX(Mapping!$C:$C,MATCH($G526,Mapping!$A:$A,0)),"Uncategorized — Review"))</f>
        <v>P2P Payments (Zelle/Venmo/PayPal)</v>
      </c>
    </row>
    <row r="527" customFormat="false" ht="15" hidden="false" customHeight="false" outlineLevel="0" collapsed="false">
      <c r="A527" s="0" t="str">
        <f aca="false">Chase1168_2025!A527</f>
        <v>DEBIT</v>
      </c>
      <c r="B527" s="14" t="n">
        <f aca="false">Chase1168_2025!B527</f>
        <v>45912</v>
      </c>
      <c r="C527" s="0" t="str">
        <f aca="false">Chase1168_2025!C527</f>
        <v>Online Transfer to CHK ...7753 transaction#: 26201896204 09/12</v>
      </c>
      <c r="D527" s="7" t="n">
        <f aca="false">Chase1168_2025!D527</f>
        <v>-3000</v>
      </c>
      <c r="E527" s="0" t="str">
        <f aca="false">Chase1168_2025!E527</f>
        <v>ACCT_XFER</v>
      </c>
      <c r="F527" s="7" t="n">
        <f aca="false">Chase1168_2025!F527</f>
        <v>8064.68</v>
      </c>
      <c r="G527" s="0" t="str">
        <f aca="false">Chase1168_2025!G527</f>
        <v>Transfer to DWG Capital Group_Costar</v>
      </c>
      <c r="H527" s="15" t="n">
        <f aca="false">IF($B527="","",DATE(YEAR($B527),MONTH($B527),1))</f>
        <v>45901</v>
      </c>
      <c r="I527" s="0" t="str">
        <f aca="false">IF($G527="","Uncategorized — Review",IFERROR(INDEX(Mapping!$B:$B,MATCH($G527,Mapping!$A:$A,0)),"Uncategorized — Review"))</f>
        <v>Transfer to DWG Capital Group_Costar</v>
      </c>
      <c r="J527" s="0" t="str">
        <f aca="false">IF($G527="","Uncategorized — Review",IFERROR(INDEX(Mapping!$C:$C,MATCH($G527,Mapping!$A:$A,0)),"Uncategorized — Review"))</f>
        <v>Intercompany &amp; Savings Transfers</v>
      </c>
    </row>
    <row r="528" customFormat="false" ht="15" hidden="false" customHeight="false" outlineLevel="0" collapsed="false">
      <c r="A528" s="0" t="str">
        <f aca="false">Chase1168_2025!A528</f>
        <v>DEBIT</v>
      </c>
      <c r="B528" s="14" t="n">
        <f aca="false">Chase1168_2025!B528</f>
        <v>45912</v>
      </c>
      <c r="C528" s="0" t="str">
        <f aca="false">Chase1168_2025!C528</f>
        <v>ORIG CO NAME:VENMO                  ORIG ID:3264681992 DESC DATE:250912 CO ENTRY DESCR:PAYMENT   SEC:WEB    TRACE#:021000023649741 EED:250912   IND ID:1044797866522                IND NAME:JUDD DUNNING                                                                                                 250912PPZ6N5 TRN: 2553649741TC</v>
      </c>
      <c r="D528" s="7" t="n">
        <f aca="false">Chase1168_2025!D528</f>
        <v>-20</v>
      </c>
      <c r="E528" s="0" t="str">
        <f aca="false">Chase1168_2025!E528</f>
        <v>ACH_DEBIT</v>
      </c>
      <c r="F528" s="7" t="n">
        <f aca="false">Chase1168_2025!F528</f>
        <v>11064.68</v>
      </c>
      <c r="G528" s="0" t="str">
        <f aca="false">Chase1168_2025!G528</f>
        <v>Venmo</v>
      </c>
      <c r="H528" s="15" t="n">
        <f aca="false">IF($B528="","",DATE(YEAR($B528),MONTH($B528),1))</f>
        <v>45901</v>
      </c>
      <c r="I528" s="0" t="str">
        <f aca="false">IF($G528="","Uncategorized — Review",IFERROR(INDEX(Mapping!$B:$B,MATCH($G528,Mapping!$A:$A,0)),"Uncategorized — Review"))</f>
        <v>Venmo</v>
      </c>
      <c r="J528" s="0" t="str">
        <f aca="false">IF($G528="","Uncategorized — Review",IFERROR(INDEX(Mapping!$C:$C,MATCH($G528,Mapping!$A:$A,0)),"Uncategorized — Review"))</f>
        <v>P2P Payments (Zelle/Venmo/PayPal)</v>
      </c>
    </row>
    <row r="529" customFormat="false" ht="15" hidden="false" customHeight="false" outlineLevel="0" collapsed="false">
      <c r="A529" s="0" t="str">
        <f aca="false">Chase1168_2025!A529</f>
        <v>DEBIT</v>
      </c>
      <c r="B529" s="14" t="n">
        <f aca="false">Chase1168_2025!B529</f>
        <v>45912</v>
      </c>
      <c r="C529" s="0" t="str">
        <f aca="false">Chase1168_2025!C529</f>
        <v>Zelle payment to Jeffrey Seider JPM99bmx8jma</v>
      </c>
      <c r="D529" s="7" t="n">
        <f aca="false">Chase1168_2025!D529</f>
        <v>-150</v>
      </c>
      <c r="E529" s="0" t="str">
        <f aca="false">Chase1168_2025!E529</f>
        <v>CHASE_TO_PARTNERFI</v>
      </c>
      <c r="F529" s="7" t="n">
        <f aca="false">Chase1168_2025!F529</f>
        <v>11084.68</v>
      </c>
      <c r="G529" s="0" t="str">
        <f aca="false">Chase1168_2025!G529</f>
        <v>Zelle - Jeff Seider</v>
      </c>
      <c r="H529" s="15" t="n">
        <f aca="false">IF($B529="","",DATE(YEAR($B529),MONTH($B529),1))</f>
        <v>45901</v>
      </c>
      <c r="I529" s="0" t="str">
        <f aca="false">IF($G529="","Uncategorized — Review",IFERROR(INDEX(Mapping!$B:$B,MATCH($G529,Mapping!$A:$A,0)),"Uncategorized — Review"))</f>
        <v>Zelle - Jeff Seider</v>
      </c>
      <c r="J529" s="0" t="str">
        <f aca="false">IF($G529="","Uncategorized — Review",IFERROR(INDEX(Mapping!$C:$C,MATCH($G529,Mapping!$A:$A,0)),"Uncategorized — Review"))</f>
        <v>P2P Payments (Zelle/Venmo/PayPal)</v>
      </c>
    </row>
    <row r="530" customFormat="false" ht="15" hidden="false" customHeight="false" outlineLevel="0" collapsed="false">
      <c r="A530" s="0" t="str">
        <f aca="false">Chase1168_2025!A530</f>
        <v>DEBIT</v>
      </c>
      <c r="B530" s="14" t="n">
        <f aca="false">Chase1168_2025!B530</f>
        <v>45912</v>
      </c>
      <c r="C530" s="0" t="str">
        <f aca="false">Chase1168_2025!C530</f>
        <v>PP*SPOTIFY*P3A74F6144 203-318-9708 NY        09/12</v>
      </c>
      <c r="D530" s="7" t="n">
        <f aca="false">Chase1168_2025!D530</f>
        <v>-11.99</v>
      </c>
      <c r="E530" s="0" t="str">
        <f aca="false">Chase1168_2025!E530</f>
        <v>DEBIT_CARD</v>
      </c>
      <c r="F530" s="7" t="n">
        <f aca="false">Chase1168_2025!F530</f>
        <v>11234.68</v>
      </c>
      <c r="G530" s="0" t="str">
        <f aca="false">Chase1168_2025!G530</f>
        <v>Personal - Subscriptions</v>
      </c>
      <c r="H530" s="15" t="n">
        <f aca="false">IF($B530="","",DATE(YEAR($B530),MONTH($B530),1))</f>
        <v>45901</v>
      </c>
      <c r="I530" s="0" t="str">
        <f aca="false">IF($G530="","Uncategorized — Review",IFERROR(INDEX(Mapping!$B:$B,MATCH($G530,Mapping!$A:$A,0)),"Uncategorized — Review"))</f>
        <v>Personal - Subscriptions</v>
      </c>
      <c r="J530" s="0" t="str">
        <f aca="false">IF($G530="","Uncategorized — Review",IFERROR(INDEX(Mapping!$C:$C,MATCH($G530,Mapping!$A:$A,0)),"Uncategorized — Review"))</f>
        <v>Personal — Owner</v>
      </c>
    </row>
    <row r="531" customFormat="false" ht="15" hidden="false" customHeight="false" outlineLevel="0" collapsed="false">
      <c r="A531" s="0" t="str">
        <f aca="false">Chase1168_2025!A531</f>
        <v>DEBIT</v>
      </c>
      <c r="B531" s="14" t="n">
        <f aca="false">Chase1168_2025!B531</f>
        <v>45911</v>
      </c>
      <c r="C531" s="0" t="str">
        <f aca="false">Chase1168_2025!C531</f>
        <v>ONLINE FX INTERNATIONAL WIRE FEE</v>
      </c>
      <c r="D531" s="7" t="n">
        <f aca="false">Chase1168_2025!D531</f>
        <v>-5</v>
      </c>
      <c r="E531" s="0" t="str">
        <f aca="false">Chase1168_2025!E531</f>
        <v>FEE_TRANSACTION</v>
      </c>
      <c r="F531" s="7" t="n">
        <f aca="false">Chase1168_2025!F531</f>
        <v>11246.67</v>
      </c>
      <c r="G531" s="0" t="str">
        <f aca="false">Chase1168_2025!G531</f>
        <v>Andres Alarcon Payroll</v>
      </c>
      <c r="H531" s="15" t="n">
        <f aca="false">IF($B531="","",DATE(YEAR($B531),MONTH($B531),1))</f>
        <v>45901</v>
      </c>
      <c r="I531" s="0" t="str">
        <f aca="false">IF($G531="","Uncategorized — Review",IFERROR(INDEX(Mapping!$B:$B,MATCH($G531,Mapping!$A:$A,0)),"Uncategorized — Review"))</f>
        <v>Andres Alarcon Payroll</v>
      </c>
      <c r="J531" s="0" t="str">
        <f aca="false">IF($G531="","Uncategorized — Review",IFERROR(INDEX(Mapping!$C:$C,MATCH($G531,Mapping!$A:$A,0)),"Uncategorized — Review"))</f>
        <v>Payroll &amp; Contractors</v>
      </c>
    </row>
    <row r="532" customFormat="false" ht="15" hidden="false" customHeight="false" outlineLevel="0" collapsed="false">
      <c r="A532" s="0" t="str">
        <f aca="false">Chase1168_2025!A532</f>
        <v>DEBIT</v>
      </c>
      <c r="B532" s="14" t="n">
        <f aca="false">Chase1168_2025!B532</f>
        <v>45911</v>
      </c>
      <c r="C532" s="0" t="str">
        <f aca="false">Chase1168_2025!C532</f>
        <v>ORIG CO NAME:VENMO                  ORIG ID:3264681992 DESC DATE:250911 CO ENTRY DESCR:PAYMENT   SEC:WEB    TRACE#:021000020016734 EED:250911   IND ID:1044796977190                IND NAME:JUDD DUNNING                                                                                                 250911PPZ5R1 TRN: 2540016734TC</v>
      </c>
      <c r="D532" s="7" t="n">
        <f aca="false">Chase1168_2025!D532</f>
        <v>-135</v>
      </c>
      <c r="E532" s="0" t="str">
        <f aca="false">Chase1168_2025!E532</f>
        <v>ACH_DEBIT</v>
      </c>
      <c r="F532" s="7" t="n">
        <f aca="false">Chase1168_2025!F532</f>
        <v>11251.67</v>
      </c>
      <c r="G532" s="0" t="str">
        <f aca="false">Chase1168_2025!G532</f>
        <v>Venmo</v>
      </c>
      <c r="H532" s="15" t="n">
        <f aca="false">IF($B532="","",DATE(YEAR($B532),MONTH($B532),1))</f>
        <v>45901</v>
      </c>
      <c r="I532" s="0" t="str">
        <f aca="false">IF($G532="","Uncategorized — Review",IFERROR(INDEX(Mapping!$B:$B,MATCH($G532,Mapping!$A:$A,0)),"Uncategorized — Review"))</f>
        <v>Venmo</v>
      </c>
      <c r="J532" s="0" t="str">
        <f aca="false">IF($G532="","Uncategorized — Review",IFERROR(INDEX(Mapping!$C:$C,MATCH($G532,Mapping!$A:$A,0)),"Uncategorized — Review"))</f>
        <v>P2P Payments (Zelle/Venmo/PayPal)</v>
      </c>
    </row>
    <row r="533" customFormat="false" ht="15" hidden="false" customHeight="false" outlineLevel="0" collapsed="false">
      <c r="A533" s="0" t="str">
        <f aca="false">Chase1168_2025!A533</f>
        <v>DEBIT</v>
      </c>
      <c r="B533" s="14" t="n">
        <f aca="false">Chase1168_2025!B533</f>
        <v>45911</v>
      </c>
      <c r="C533" s="0" t="str">
        <f aca="false">Chase1168_2025!C533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PAYMENTS/OCMT/COP28 23267,45/EXCH/3764.3566/CNTR/302272 72/INT/ANDRES_52763ATHOTMAIL.C TRN: 6065700254RE 09/11</v>
      </c>
      <c r="D533" s="7" t="n">
        <f aca="false">Chase1168_2025!D533</f>
        <v>-750</v>
      </c>
      <c r="E533" s="0" t="str">
        <f aca="false">Chase1168_2025!E533</f>
        <v>WIRE_OUTGOING</v>
      </c>
      <c r="F533" s="7" t="n">
        <f aca="false">Chase1168_2025!F533</f>
        <v>11386.67</v>
      </c>
      <c r="G533" s="0" t="str">
        <f aca="false">Chase1168_2025!G533</f>
        <v>Andres Alarcon Payroll</v>
      </c>
      <c r="H533" s="15" t="n">
        <f aca="false">IF($B533="","",DATE(YEAR($B533),MONTH($B533),1))</f>
        <v>45901</v>
      </c>
      <c r="I533" s="0" t="str">
        <f aca="false">IF($G533="","Uncategorized — Review",IFERROR(INDEX(Mapping!$B:$B,MATCH($G533,Mapping!$A:$A,0)),"Uncategorized — Review"))</f>
        <v>Andres Alarcon Payroll</v>
      </c>
      <c r="J533" s="0" t="str">
        <f aca="false">IF($G533="","Uncategorized — Review",IFERROR(INDEX(Mapping!$C:$C,MATCH($G533,Mapping!$A:$A,0)),"Uncategorized — Review"))</f>
        <v>Payroll &amp; Contractors</v>
      </c>
    </row>
    <row r="534" customFormat="false" ht="15" hidden="false" customHeight="false" outlineLevel="0" collapsed="false">
      <c r="A534" s="0" t="str">
        <f aca="false">Chase1168_2025!A534</f>
        <v>DEBIT</v>
      </c>
      <c r="B534" s="14" t="n">
        <f aca="false">Chase1168_2025!B534</f>
        <v>45911</v>
      </c>
      <c r="C534" s="0" t="str">
        <f aca="false">Chase1168_2025!C534</f>
        <v>ORIG CO NAME:GM Financial           ORIG ID:I522190781 DESC DATE:250911 CO ENTRY DESCR:GMF Pymt  SEC:PPD    TRACE#:091000019577071 EED:250911   IND ID:                             IND NAME:ANGELA DUNNING TRN: 2549577071TC</v>
      </c>
      <c r="D534" s="7" t="n">
        <f aca="false">Chase1168_2025!D534</f>
        <v>-1249.96</v>
      </c>
      <c r="E534" s="0" t="str">
        <f aca="false">Chase1168_2025!E534</f>
        <v>ACH_DEBIT</v>
      </c>
      <c r="F534" s="7" t="n">
        <f aca="false">Chase1168_2025!F534</f>
        <v>12136.67</v>
      </c>
      <c r="G534" s="0" t="str">
        <f aca="false">Chase1168_2025!G534</f>
        <v>Personal - Car</v>
      </c>
      <c r="H534" s="15" t="n">
        <f aca="false">IF($B534="","",DATE(YEAR($B534),MONTH($B534),1))</f>
        <v>45901</v>
      </c>
      <c r="I534" s="0" t="str">
        <f aca="false">IF($G534="","Uncategorized — Review",IFERROR(INDEX(Mapping!$B:$B,MATCH($G534,Mapping!$A:$A,0)),"Uncategorized — Review"))</f>
        <v>Personal - Car &amp; Auto</v>
      </c>
      <c r="J534" s="0" t="str">
        <f aca="false">IF($G534="","Uncategorized — Review",IFERROR(INDEX(Mapping!$C:$C,MATCH($G534,Mapping!$A:$A,0)),"Uncategorized — Review"))</f>
        <v>Personal — Owner</v>
      </c>
    </row>
    <row r="535" customFormat="false" ht="15" hidden="false" customHeight="false" outlineLevel="0" collapsed="false">
      <c r="A535" s="0" t="str">
        <f aca="false">Chase1168_2025!A535</f>
        <v>DEBIT</v>
      </c>
      <c r="B535" s="14" t="n">
        <f aca="false">Chase1168_2025!B535</f>
        <v>45911</v>
      </c>
      <c r="C535" s="0" t="str">
        <f aca="false">Chase1168_2025!C535</f>
        <v>ORIG CO NAME:ALLSTATE V&amp;P INS       ORIG ID:1360719665 DESC DATE:SEP 25 CO ENTRY DESCR:INS PREM  SEC:PPD    TRACE#:021000021532635 EED:250911   IND ID:                             IND NAME:DUNNING TRN: 2541532635TC</v>
      </c>
      <c r="D535" s="7" t="n">
        <f aca="false">Chase1168_2025!D535</f>
        <v>-1533.71</v>
      </c>
      <c r="E535" s="0" t="str">
        <f aca="false">Chase1168_2025!E535</f>
        <v>ACH_DEBIT</v>
      </c>
      <c r="F535" s="7" t="n">
        <f aca="false">Chase1168_2025!F535</f>
        <v>13386.63</v>
      </c>
      <c r="G535" s="0" t="str">
        <f aca="false">Chase1168_2025!G535</f>
        <v>Personal - Car</v>
      </c>
      <c r="H535" s="15" t="n">
        <f aca="false">IF($B535="","",DATE(YEAR($B535),MONTH($B535),1))</f>
        <v>45901</v>
      </c>
      <c r="I535" s="0" t="str">
        <f aca="false">IF($G535="","Uncategorized — Review",IFERROR(INDEX(Mapping!$B:$B,MATCH($G535,Mapping!$A:$A,0)),"Uncategorized — Review"))</f>
        <v>Personal - Car &amp; Auto</v>
      </c>
      <c r="J535" s="0" t="str">
        <f aca="false">IF($G535="","Uncategorized — Review",IFERROR(INDEX(Mapping!$C:$C,MATCH($G535,Mapping!$A:$A,0)),"Uncategorized — Review"))</f>
        <v>Personal — Owner</v>
      </c>
    </row>
    <row r="536" customFormat="false" ht="15" hidden="false" customHeight="false" outlineLevel="0" collapsed="false">
      <c r="A536" s="0" t="str">
        <f aca="false">Chase1168_2025!A536</f>
        <v>DEBIT</v>
      </c>
      <c r="B536" s="14" t="n">
        <f aca="false">Chase1168_2025!B536</f>
        <v>45911</v>
      </c>
      <c r="C536" s="0" t="str">
        <f aca="false">Chase1168_2025!C536</f>
        <v>HLU*HULUPLUS hulu.com/bill CA                09/11</v>
      </c>
      <c r="D536" s="7" t="n">
        <f aca="false">Chase1168_2025!D536</f>
        <v>-53.97</v>
      </c>
      <c r="E536" s="0" t="str">
        <f aca="false">Chase1168_2025!E536</f>
        <v>DEBIT_CARD</v>
      </c>
      <c r="F536" s="7" t="n">
        <f aca="false">Chase1168_2025!F536</f>
        <v>14920.34</v>
      </c>
      <c r="G536" s="0" t="str">
        <f aca="false">Chase1168_2025!G536</f>
        <v>Personal - Subscriptions</v>
      </c>
      <c r="H536" s="15" t="n">
        <f aca="false">IF($B536="","",DATE(YEAR($B536),MONTH($B536),1))</f>
        <v>45901</v>
      </c>
      <c r="I536" s="0" t="str">
        <f aca="false">IF($G536="","Uncategorized — Review",IFERROR(INDEX(Mapping!$B:$B,MATCH($G536,Mapping!$A:$A,0)),"Uncategorized — Review"))</f>
        <v>Personal - Subscriptions</v>
      </c>
      <c r="J536" s="0" t="str">
        <f aca="false">IF($G536="","Uncategorized — Review",IFERROR(INDEX(Mapping!$C:$C,MATCH($G536,Mapping!$A:$A,0)),"Uncategorized — Review"))</f>
        <v>Personal — Owner</v>
      </c>
    </row>
    <row r="537" customFormat="false" ht="15" hidden="false" customHeight="false" outlineLevel="0" collapsed="false">
      <c r="A537" s="0" t="str">
        <f aca="false">Chase1168_2025!A537</f>
        <v>DEBIT</v>
      </c>
      <c r="B537" s="14" t="n">
        <f aca="false">Chase1168_2025!B537</f>
        <v>45910</v>
      </c>
      <c r="C537" s="0" t="str">
        <f aca="false">Chase1168_2025!C537</f>
        <v>FOREIGN EXCHANGE RATE ADJUSTMENT FEE         09/08MEGA SUPE</v>
      </c>
      <c r="D537" s="7" t="n">
        <f aca="false">Chase1168_2025!D537</f>
        <v>-0.85</v>
      </c>
      <c r="E537" s="0" t="str">
        <f aca="false">Chase1168_2025!E537</f>
        <v>FEE_TRANSACTION</v>
      </c>
      <c r="F537" s="7" t="n">
        <f aca="false">Chase1168_2025!F537</f>
        <v>14974.31</v>
      </c>
      <c r="G537" s="0" t="str">
        <f aca="false">Chase1168_2025!G537</f>
        <v>Bank Fees</v>
      </c>
      <c r="H537" s="15" t="n">
        <f aca="false">IF($B537="","",DATE(YEAR($B537),MONTH($B537),1))</f>
        <v>45901</v>
      </c>
      <c r="I537" s="0" t="str">
        <f aca="false">IF($G537="","Uncategorized — Review",IFERROR(INDEX(Mapping!$B:$B,MATCH($G537,Mapping!$A:$A,0)),"Uncategorized — Review"))</f>
        <v>Bank Fees</v>
      </c>
      <c r="J537" s="0" t="str">
        <f aca="false">IF($G537="","Uncategorized — Review",IFERROR(INDEX(Mapping!$C:$C,MATCH($G537,Mapping!$A:$A,0)),"Uncategorized — Review"))</f>
        <v>DWG Operating</v>
      </c>
    </row>
    <row r="538" customFormat="false" ht="15" hidden="false" customHeight="false" outlineLevel="0" collapsed="false">
      <c r="A538" s="0" t="str">
        <f aca="false">Chase1168_2025!A538</f>
        <v>DEBIT</v>
      </c>
      <c r="B538" s="14" t="n">
        <f aca="false">Chase1168_2025!B538</f>
        <v>45910</v>
      </c>
      <c r="C538" s="0" t="str">
        <f aca="false">Chase1168_2025!C538</f>
        <v>FOREIGN EXCHANGE RATE ADJUSTMENT FEE         09/08MINI SUPE</v>
      </c>
      <c r="D538" s="7" t="n">
        <f aca="false">Chase1168_2025!D538</f>
        <v>-1.19</v>
      </c>
      <c r="E538" s="0" t="str">
        <f aca="false">Chase1168_2025!E538</f>
        <v>FEE_TRANSACTION</v>
      </c>
      <c r="F538" s="7" t="n">
        <f aca="false">Chase1168_2025!F538</f>
        <v>14975.16</v>
      </c>
      <c r="G538" s="0" t="str">
        <f aca="false">Chase1168_2025!G538</f>
        <v>Bank Fees</v>
      </c>
      <c r="H538" s="15" t="n">
        <f aca="false">IF($B538="","",DATE(YEAR($B538),MONTH($B538),1))</f>
        <v>45901</v>
      </c>
      <c r="I538" s="0" t="str">
        <f aca="false">IF($G538="","Uncategorized — Review",IFERROR(INDEX(Mapping!$B:$B,MATCH($G538,Mapping!$A:$A,0)),"Uncategorized — Review"))</f>
        <v>Bank Fees</v>
      </c>
      <c r="J538" s="0" t="str">
        <f aca="false">IF($G538="","Uncategorized — Review",IFERROR(INDEX(Mapping!$C:$C,MATCH($G538,Mapping!$A:$A,0)),"Uncategorized — Review"))</f>
        <v>DWG Operating</v>
      </c>
    </row>
    <row r="539" customFormat="false" ht="15" hidden="false" customHeight="false" outlineLevel="0" collapsed="false">
      <c r="A539" s="0" t="str">
        <f aca="false">Chase1168_2025!A539</f>
        <v>DEBIT</v>
      </c>
      <c r="B539" s="14" t="n">
        <f aca="false">Chase1168_2025!B539</f>
        <v>45910</v>
      </c>
      <c r="C539" s="0" t="str">
        <f aca="false">Chase1168_2025!C539</f>
        <v>FOREIGN EXCHANGE RATE ADJUSTMENT FEE         09/08SUPER MAY</v>
      </c>
      <c r="D539" s="7" t="n">
        <f aca="false">Chase1168_2025!D539</f>
        <v>-1.48</v>
      </c>
      <c r="E539" s="0" t="str">
        <f aca="false">Chase1168_2025!E539</f>
        <v>FEE_TRANSACTION</v>
      </c>
      <c r="F539" s="7" t="n">
        <f aca="false">Chase1168_2025!F539</f>
        <v>14976.35</v>
      </c>
      <c r="G539" s="0" t="str">
        <f aca="false">Chase1168_2025!G539</f>
        <v>Bank Fees</v>
      </c>
      <c r="H539" s="15" t="n">
        <f aca="false">IF($B539="","",DATE(YEAR($B539),MONTH($B539),1))</f>
        <v>45901</v>
      </c>
      <c r="I539" s="0" t="str">
        <f aca="false">IF($G539="","Uncategorized — Review",IFERROR(INDEX(Mapping!$B:$B,MATCH($G539,Mapping!$A:$A,0)),"Uncategorized — Review"))</f>
        <v>Bank Fees</v>
      </c>
      <c r="J539" s="0" t="str">
        <f aca="false">IF($G539="","Uncategorized — Review",IFERROR(INDEX(Mapping!$C:$C,MATCH($G539,Mapping!$A:$A,0)),"Uncategorized — Review"))</f>
        <v>DWG Operating</v>
      </c>
    </row>
    <row r="540" customFormat="false" ht="15" hidden="false" customHeight="false" outlineLevel="0" collapsed="false">
      <c r="A540" s="0" t="str">
        <f aca="false">Chase1168_2025!A540</f>
        <v>DEBIT</v>
      </c>
      <c r="B540" s="14" t="n">
        <f aca="false">Chase1168_2025!B540</f>
        <v>45910</v>
      </c>
      <c r="C540" s="0" t="str">
        <f aca="false">Chase1168_2025!C540</f>
        <v>FOREIGN EXCHANGE RATE ADJUSTMENT FEE         09/08EL BODEGO</v>
      </c>
      <c r="D540" s="7" t="n">
        <f aca="false">Chase1168_2025!D540</f>
        <v>-1.83</v>
      </c>
      <c r="E540" s="0" t="str">
        <f aca="false">Chase1168_2025!E540</f>
        <v>FEE_TRANSACTION</v>
      </c>
      <c r="F540" s="7" t="n">
        <f aca="false">Chase1168_2025!F540</f>
        <v>14977.83</v>
      </c>
      <c r="G540" s="0" t="str">
        <f aca="false">Chase1168_2025!G540</f>
        <v>Bank Fees</v>
      </c>
      <c r="H540" s="15" t="n">
        <f aca="false">IF($B540="","",DATE(YEAR($B540),MONTH($B540),1))</f>
        <v>45901</v>
      </c>
      <c r="I540" s="0" t="str">
        <f aca="false">IF($G540="","Uncategorized — Review",IFERROR(INDEX(Mapping!$B:$B,MATCH($G540,Mapping!$A:$A,0)),"Uncategorized — Review"))</f>
        <v>Bank Fees</v>
      </c>
      <c r="J540" s="0" t="str">
        <f aca="false">IF($G540="","Uncategorized — Review",IFERROR(INDEX(Mapping!$C:$C,MATCH($G540,Mapping!$A:$A,0)),"Uncategorized — Review"))</f>
        <v>DWG Operating</v>
      </c>
    </row>
    <row r="541" customFormat="false" ht="15" hidden="false" customHeight="false" outlineLevel="0" collapsed="false">
      <c r="A541" s="0" t="str">
        <f aca="false">Chase1168_2025!A541</f>
        <v>DEBIT</v>
      </c>
      <c r="B541" s="14" t="n">
        <f aca="false">Chase1168_2025!B541</f>
        <v>45910</v>
      </c>
      <c r="C541" s="0" t="str">
        <f aca="false">Chase1168_2025!C541</f>
        <v>PP*APPLE.COM/BILL 800-275-2273 CA            09/10</v>
      </c>
      <c r="D541" s="7" t="n">
        <f aca="false">Chase1168_2025!D541</f>
        <v>-11.99</v>
      </c>
      <c r="E541" s="0" t="str">
        <f aca="false">Chase1168_2025!E541</f>
        <v>DEBIT_CARD</v>
      </c>
      <c r="F541" s="7" t="n">
        <f aca="false">Chase1168_2025!F541</f>
        <v>14979.66</v>
      </c>
      <c r="G541" s="0" t="str">
        <f aca="false">Chase1168_2025!G541</f>
        <v>Personal - Subscriptions</v>
      </c>
      <c r="H541" s="15" t="n">
        <f aca="false">IF($B541="","",DATE(YEAR($B541),MONTH($B541),1))</f>
        <v>45901</v>
      </c>
      <c r="I541" s="0" t="str">
        <f aca="false">IF($G541="","Uncategorized — Review",IFERROR(INDEX(Mapping!$B:$B,MATCH($G541,Mapping!$A:$A,0)),"Uncategorized — Review"))</f>
        <v>Personal - Subscriptions</v>
      </c>
      <c r="J541" s="0" t="str">
        <f aca="false">IF($G541="","Uncategorized — Review",IFERROR(INDEX(Mapping!$C:$C,MATCH($G541,Mapping!$A:$A,0)),"Uncategorized — Review"))</f>
        <v>Personal — Owner</v>
      </c>
    </row>
    <row r="542" customFormat="false" ht="15" hidden="false" customHeight="false" outlineLevel="0" collapsed="false">
      <c r="A542" s="0" t="str">
        <f aca="false">Chase1168_2025!A542</f>
        <v>DEBIT</v>
      </c>
      <c r="B542" s="14" t="n">
        <f aca="false">Chase1168_2025!B542</f>
        <v>45910</v>
      </c>
      <c r="C542" s="0" t="str">
        <f aca="false">Chase1168_2025!C542</f>
        <v>EL BODEGON DE LA CHAMA HEREDIA               09/08 CR Colon   30800.00 X 0.001987338 (EXCHG RTE)</v>
      </c>
      <c r="D542" s="7" t="n">
        <f aca="false">Chase1168_2025!D542</f>
        <v>-61.21</v>
      </c>
      <c r="E542" s="0" t="str">
        <f aca="false">Chase1168_2025!E542</f>
        <v>DEBIT_CARD</v>
      </c>
      <c r="F542" s="7" t="n">
        <f aca="false">Chase1168_2025!F542</f>
        <v>14991.65</v>
      </c>
      <c r="G542" s="0" t="str">
        <f aca="false">Chase1168_2025!G542</f>
        <v>2025 Costa Rica Trip</v>
      </c>
      <c r="H542" s="15" t="n">
        <f aca="false">IF($B542="","",DATE(YEAR($B542),MONTH($B542),1))</f>
        <v>45901</v>
      </c>
      <c r="I542" s="0" t="str">
        <f aca="false">IF($G542="","Uncategorized — Review",IFERROR(INDEX(Mapping!$B:$B,MATCH($G542,Mapping!$A:$A,0)),"Uncategorized — Review"))</f>
        <v>2025 Costa Rica Trip</v>
      </c>
      <c r="J542" s="0" t="str">
        <f aca="false">IF($G542="","Uncategorized — Review",IFERROR(INDEX(Mapping!$C:$C,MATCH($G542,Mapping!$A:$A,0)),"Uncategorized — Review"))</f>
        <v>Business Travel</v>
      </c>
    </row>
    <row r="543" customFormat="false" ht="15" hidden="false" customHeight="false" outlineLevel="0" collapsed="false">
      <c r="A543" s="0" t="str">
        <f aca="false">Chase1168_2025!A543</f>
        <v>DEBIT</v>
      </c>
      <c r="B543" s="14" t="n">
        <f aca="false">Chase1168_2025!B543</f>
        <v>45910</v>
      </c>
      <c r="C543" s="0" t="str">
        <f aca="false">Chase1168_2025!C543</f>
        <v>SUPER MAYORISTA HEREDIA                      09/08 CR Colon   24950.00 X 0.001987174 (EXCHG RTE)</v>
      </c>
      <c r="D543" s="7" t="n">
        <f aca="false">Chase1168_2025!D543</f>
        <v>-49.58</v>
      </c>
      <c r="E543" s="0" t="str">
        <f aca="false">Chase1168_2025!E543</f>
        <v>DEBIT_CARD</v>
      </c>
      <c r="F543" s="7" t="n">
        <f aca="false">Chase1168_2025!F543</f>
        <v>15052.86</v>
      </c>
      <c r="G543" s="0" t="str">
        <f aca="false">Chase1168_2025!G543</f>
        <v>2025 Costa Rica Trip</v>
      </c>
      <c r="H543" s="15" t="n">
        <f aca="false">IF($B543="","",DATE(YEAR($B543),MONTH($B543),1))</f>
        <v>45901</v>
      </c>
      <c r="I543" s="0" t="str">
        <f aca="false">IF($G543="","Uncategorized — Review",IFERROR(INDEX(Mapping!$B:$B,MATCH($G543,Mapping!$A:$A,0)),"Uncategorized — Review"))</f>
        <v>2025 Costa Rica Trip</v>
      </c>
      <c r="J543" s="0" t="str">
        <f aca="false">IF($G543="","Uncategorized — Review",IFERROR(INDEX(Mapping!$C:$C,MATCH($G543,Mapping!$A:$A,0)),"Uncategorized — Review"))</f>
        <v>Business Travel</v>
      </c>
    </row>
    <row r="544" customFormat="false" ht="15" hidden="false" customHeight="false" outlineLevel="0" collapsed="false">
      <c r="A544" s="0" t="str">
        <f aca="false">Chase1168_2025!A544</f>
        <v>DEBIT</v>
      </c>
      <c r="B544" s="14" t="n">
        <f aca="false">Chase1168_2025!B544</f>
        <v>45910</v>
      </c>
      <c r="C544" s="0" t="str">
        <f aca="false">Chase1168_2025!C544</f>
        <v>MINI SUPER PURA VIDA N2 HEREDIA              09/08 CR Colon   20000.00 X 0.001987500 (EXCHG RTE)</v>
      </c>
      <c r="D544" s="7" t="n">
        <f aca="false">Chase1168_2025!D544</f>
        <v>-39.75</v>
      </c>
      <c r="E544" s="0" t="str">
        <f aca="false">Chase1168_2025!E544</f>
        <v>DEBIT_CARD</v>
      </c>
      <c r="F544" s="7" t="n">
        <f aca="false">Chase1168_2025!F544</f>
        <v>15102.44</v>
      </c>
      <c r="G544" s="0" t="str">
        <f aca="false">Chase1168_2025!G544</f>
        <v>2025 Costa Rica Trip</v>
      </c>
      <c r="H544" s="15" t="n">
        <f aca="false">IF($B544="","",DATE(YEAR($B544),MONTH($B544),1))</f>
        <v>45901</v>
      </c>
      <c r="I544" s="0" t="str">
        <f aca="false">IF($G544="","Uncategorized — Review",IFERROR(INDEX(Mapping!$B:$B,MATCH($G544,Mapping!$A:$A,0)),"Uncategorized — Review"))</f>
        <v>2025 Costa Rica Trip</v>
      </c>
      <c r="J544" s="0" t="str">
        <f aca="false">IF($G544="","Uncategorized — Review",IFERROR(INDEX(Mapping!$C:$C,MATCH($G544,Mapping!$A:$A,0)),"Uncategorized — Review"))</f>
        <v>Business Travel</v>
      </c>
    </row>
    <row r="545" customFormat="false" ht="15" hidden="false" customHeight="false" outlineLevel="0" collapsed="false">
      <c r="A545" s="0" t="str">
        <f aca="false">Chase1168_2025!A545</f>
        <v>DEBIT</v>
      </c>
      <c r="B545" s="14" t="n">
        <f aca="false">Chase1168_2025!B545</f>
        <v>45910</v>
      </c>
      <c r="C545" s="0" t="str">
        <f aca="false">Chase1168_2025!C545</f>
        <v>MEGA SUPER HEREDIA HEREDIA                   09/08 CR Colon   14410.00 X 0.001987509 (EXCHG RTE)</v>
      </c>
      <c r="D545" s="7" t="n">
        <f aca="false">Chase1168_2025!D545</f>
        <v>-28.64</v>
      </c>
      <c r="E545" s="0" t="str">
        <f aca="false">Chase1168_2025!E545</f>
        <v>DEBIT_CARD</v>
      </c>
      <c r="F545" s="7" t="n">
        <f aca="false">Chase1168_2025!F545</f>
        <v>15142.19</v>
      </c>
      <c r="G545" s="0" t="str">
        <f aca="false">Chase1168_2025!G545</f>
        <v>2025 Costa Rica Trip</v>
      </c>
      <c r="H545" s="15" t="n">
        <f aca="false">IF($B545="","",DATE(YEAR($B545),MONTH($B545),1))</f>
        <v>45901</v>
      </c>
      <c r="I545" s="0" t="str">
        <f aca="false">IF($G545="","Uncategorized — Review",IFERROR(INDEX(Mapping!$B:$B,MATCH($G545,Mapping!$A:$A,0)),"Uncategorized — Review"))</f>
        <v>2025 Costa Rica Trip</v>
      </c>
      <c r="J545" s="0" t="str">
        <f aca="false">IF($G545="","Uncategorized — Review",IFERROR(INDEX(Mapping!$C:$C,MATCH($G545,Mapping!$A:$A,0)),"Uncategorized — Review"))</f>
        <v>Business Travel</v>
      </c>
    </row>
    <row r="546" customFormat="false" ht="15" hidden="false" customHeight="false" outlineLevel="0" collapsed="false">
      <c r="A546" s="0" t="str">
        <f aca="false">Chase1168_2025!A546</f>
        <v>DEBIT</v>
      </c>
      <c r="B546" s="14" t="n">
        <f aca="false">Chase1168_2025!B546</f>
        <v>45909</v>
      </c>
      <c r="C546" s="0" t="str">
        <f aca="false">Chase1168_2025!C546</f>
        <v>FOREIGN EXCHANGE RATE ADJUSTMENT FEE         09/05GLOBAL VI</v>
      </c>
      <c r="D546" s="7" t="n">
        <f aca="false">Chase1168_2025!D546</f>
        <v>-0.03</v>
      </c>
      <c r="E546" s="0" t="str">
        <f aca="false">Chase1168_2025!E546</f>
        <v>FEE_TRANSACTION</v>
      </c>
      <c r="F546" s="7" t="n">
        <f aca="false">Chase1168_2025!F546</f>
        <v>15170.83</v>
      </c>
      <c r="G546" s="0" t="str">
        <f aca="false">Chase1168_2025!G546</f>
        <v>2025 Costa Rica Trip</v>
      </c>
      <c r="H546" s="15" t="n">
        <f aca="false">IF($B546="","",DATE(YEAR($B546),MONTH($B546),1))</f>
        <v>45901</v>
      </c>
      <c r="I546" s="0" t="str">
        <f aca="false">IF($G546="","Uncategorized — Review",IFERROR(INDEX(Mapping!$B:$B,MATCH($G546,Mapping!$A:$A,0)),"Uncategorized — Review"))</f>
        <v>2025 Costa Rica Trip</v>
      </c>
      <c r="J546" s="0" t="str">
        <f aca="false">IF($G546="","Uncategorized — Review",IFERROR(INDEX(Mapping!$C:$C,MATCH($G546,Mapping!$A:$A,0)),"Uncategorized — Review"))</f>
        <v>Business Travel</v>
      </c>
    </row>
    <row r="547" customFormat="false" ht="15" hidden="false" customHeight="false" outlineLevel="0" collapsed="false">
      <c r="A547" s="0" t="str">
        <f aca="false">Chase1168_2025!A547</f>
        <v>DEBIT</v>
      </c>
      <c r="B547" s="14" t="n">
        <f aca="false">Chase1168_2025!B547</f>
        <v>45909</v>
      </c>
      <c r="C547" s="0" t="str">
        <f aca="false">Chase1168_2025!C547</f>
        <v>FOREIGN EXCHANGE RATE ADJUSTMENT FEE         09/08URBAN SNK</v>
      </c>
      <c r="D547" s="7" t="n">
        <f aca="false">Chase1168_2025!D547</f>
        <v>-1.66</v>
      </c>
      <c r="E547" s="0" t="str">
        <f aca="false">Chase1168_2025!E547</f>
        <v>FEE_TRANSACTION</v>
      </c>
      <c r="F547" s="7" t="n">
        <f aca="false">Chase1168_2025!F547</f>
        <v>15170.86</v>
      </c>
      <c r="G547" s="0" t="str">
        <f aca="false">Chase1168_2025!G547</f>
        <v>2025 Costa Rica Trip</v>
      </c>
      <c r="H547" s="15" t="n">
        <f aca="false">IF($B547="","",DATE(YEAR($B547),MONTH($B547),1))</f>
        <v>45901</v>
      </c>
      <c r="I547" s="0" t="str">
        <f aca="false">IF($G547="","Uncategorized — Review",IFERROR(INDEX(Mapping!$B:$B,MATCH($G547,Mapping!$A:$A,0)),"Uncategorized — Review"))</f>
        <v>2025 Costa Rica Trip</v>
      </c>
      <c r="J547" s="0" t="str">
        <f aca="false">IF($G547="","Uncategorized — Review",IFERROR(INDEX(Mapping!$C:$C,MATCH($G547,Mapping!$A:$A,0)),"Uncategorized — Review"))</f>
        <v>Business Travel</v>
      </c>
    </row>
    <row r="548" customFormat="false" ht="15" hidden="false" customHeight="false" outlineLevel="0" collapsed="false">
      <c r="A548" s="0" t="str">
        <f aca="false">Chase1168_2025!A548</f>
        <v>DEBIT</v>
      </c>
      <c r="B548" s="14" t="n">
        <f aca="false">Chase1168_2025!B548</f>
        <v>45909</v>
      </c>
      <c r="C548" s="0" t="str">
        <f aca="false">Chase1168_2025!C548</f>
        <v>Online Transfer to CHK ...1117 transaction#: 26165909390 09/09</v>
      </c>
      <c r="D548" s="7" t="n">
        <f aca="false">Chase1168_2025!D548</f>
        <v>-2000</v>
      </c>
      <c r="E548" s="0" t="str">
        <f aca="false">Chase1168_2025!E548</f>
        <v>ACCT_XFER</v>
      </c>
      <c r="F548" s="7" t="n">
        <f aca="false">Chase1168_2025!F548</f>
        <v>15172.52</v>
      </c>
      <c r="G548" s="0" t="str">
        <f aca="false">Chase1168_2025!G548</f>
        <v>Transfer to Angela Dunning</v>
      </c>
      <c r="H548" s="15" t="n">
        <f aca="false">IF($B548="","",DATE(YEAR($B548),MONTH($B548),1))</f>
        <v>45901</v>
      </c>
      <c r="I548" s="0" t="str">
        <f aca="false">IF($G548="","Uncategorized — Review",IFERROR(INDEX(Mapping!$B:$B,MATCH($G548,Mapping!$A:$A,0)),"Uncategorized — Review"))</f>
        <v>Transfer to Angela Dunning</v>
      </c>
      <c r="J548" s="0" t="str">
        <f aca="false">IF($G548="","Uncategorized — Review",IFERROR(INDEX(Mapping!$C:$C,MATCH($G548,Mapping!$A:$A,0)),"Uncategorized — Review"))</f>
        <v>Owner / Family Distributions</v>
      </c>
    </row>
    <row r="549" customFormat="false" ht="15" hidden="false" customHeight="false" outlineLevel="0" collapsed="false">
      <c r="A549" s="0" t="str">
        <f aca="false">Chase1168_2025!A549</f>
        <v>DEBIT</v>
      </c>
      <c r="B549" s="14" t="n">
        <f aca="false">Chase1168_2025!B549</f>
        <v>45909</v>
      </c>
      <c r="C549" s="0" t="str">
        <f aca="false">Chase1168_2025!C549</f>
        <v>URBAN SNKRS HEREDIA                          09/08 CR Colon   28000.00 X 0.001987143 (EXCHG RTE)</v>
      </c>
      <c r="D549" s="7" t="n">
        <f aca="false">Chase1168_2025!D549</f>
        <v>-55.64</v>
      </c>
      <c r="E549" s="0" t="str">
        <f aca="false">Chase1168_2025!E549</f>
        <v>DEBIT_CARD</v>
      </c>
      <c r="F549" s="7" t="n">
        <f aca="false">Chase1168_2025!F549</f>
        <v>17172.52</v>
      </c>
      <c r="G549" s="0" t="str">
        <f aca="false">Chase1168_2025!G549</f>
        <v>2025 Costa Rica Trip</v>
      </c>
      <c r="H549" s="15" t="n">
        <f aca="false">IF($B549="","",DATE(YEAR($B549),MONTH($B549),1))</f>
        <v>45901</v>
      </c>
      <c r="I549" s="0" t="str">
        <f aca="false">IF($G549="","Uncategorized — Review",IFERROR(INDEX(Mapping!$B:$B,MATCH($G549,Mapping!$A:$A,0)),"Uncategorized — Review"))</f>
        <v>2025 Costa Rica Trip</v>
      </c>
      <c r="J549" s="0" t="str">
        <f aca="false">IF($G549="","Uncategorized — Review",IFERROR(INDEX(Mapping!$C:$C,MATCH($G549,Mapping!$A:$A,0)),"Uncategorized — Review"))</f>
        <v>Business Travel</v>
      </c>
    </row>
    <row r="550" customFormat="false" ht="15" hidden="false" customHeight="false" outlineLevel="0" collapsed="false">
      <c r="A550" s="0" t="str">
        <f aca="false">Chase1168_2025!A550</f>
        <v>DEBIT</v>
      </c>
      <c r="B550" s="14" t="n">
        <f aca="false">Chase1168_2025!B550</f>
        <v>45909</v>
      </c>
      <c r="C550" s="0" t="str">
        <f aca="false">Chase1168_2025!C550</f>
        <v>UPWORK * -844478908 866-262-4478 CA          09/08</v>
      </c>
      <c r="D550" s="7" t="n">
        <f aca="false">Chase1168_2025!D550</f>
        <v>-463.75</v>
      </c>
      <c r="E550" s="0" t="str">
        <f aca="false">Chase1168_2025!E550</f>
        <v>DEBIT_CARD</v>
      </c>
      <c r="F550" s="7" t="n">
        <f aca="false">Chase1168_2025!F550</f>
        <v>17228.16</v>
      </c>
      <c r="G550" s="0" t="str">
        <f aca="false">Chase1168_2025!G550</f>
        <v>2025 Costa Rica Trip</v>
      </c>
      <c r="H550" s="15" t="n">
        <f aca="false">IF($B550="","",DATE(YEAR($B550),MONTH($B550),1))</f>
        <v>45901</v>
      </c>
      <c r="I550" s="0" t="str">
        <f aca="false">IF($G550="","Uncategorized — Review",IFERROR(INDEX(Mapping!$B:$B,MATCH($G550,Mapping!$A:$A,0)),"Uncategorized — Review"))</f>
        <v>2025 Costa Rica Trip</v>
      </c>
      <c r="J550" s="0" t="str">
        <f aca="false">IF($G550="","Uncategorized — Review",IFERROR(INDEX(Mapping!$C:$C,MATCH($G550,Mapping!$A:$A,0)),"Uncategorized — Review"))</f>
        <v>Business Travel</v>
      </c>
    </row>
    <row r="551" customFormat="false" ht="15" hidden="false" customHeight="false" outlineLevel="0" collapsed="false">
      <c r="A551" s="0" t="str">
        <f aca="false">Chase1168_2025!A551</f>
        <v>DEBIT</v>
      </c>
      <c r="B551" s="14" t="n">
        <f aca="false">Chase1168_2025!B551</f>
        <v>45909</v>
      </c>
      <c r="C551" s="0" t="str">
        <f aca="false">Chase1168_2025!C551</f>
        <v>GLOBAL VIA RUTA 27 SAN JOSE                  09/05 CR Colon   620.00 X 0.001983871 (EXCHG RTE)</v>
      </c>
      <c r="D551" s="7" t="n">
        <f aca="false">Chase1168_2025!D551</f>
        <v>-1.23</v>
      </c>
      <c r="E551" s="0" t="str">
        <f aca="false">Chase1168_2025!E551</f>
        <v>DEBIT_CARD</v>
      </c>
      <c r="F551" s="7" t="n">
        <f aca="false">Chase1168_2025!F551</f>
        <v>17691.91</v>
      </c>
      <c r="G551" s="0" t="str">
        <f aca="false">Chase1168_2025!G551</f>
        <v>2025 Costa Rica Trip</v>
      </c>
      <c r="H551" s="15" t="n">
        <f aca="false">IF($B551="","",DATE(YEAR($B551),MONTH($B551),1))</f>
        <v>45901</v>
      </c>
      <c r="I551" s="0" t="str">
        <f aca="false">IF($G551="","Uncategorized — Review",IFERROR(INDEX(Mapping!$B:$B,MATCH($G551,Mapping!$A:$A,0)),"Uncategorized — Review"))</f>
        <v>2025 Costa Rica Trip</v>
      </c>
      <c r="J551" s="0" t="str">
        <f aca="false">IF($G551="","Uncategorized — Review",IFERROR(INDEX(Mapping!$C:$C,MATCH($G551,Mapping!$A:$A,0)),"Uncategorized — Review"))</f>
        <v>Business Travel</v>
      </c>
    </row>
    <row r="552" customFormat="false" ht="15" hidden="false" customHeight="false" outlineLevel="0" collapsed="false">
      <c r="A552" s="0" t="str">
        <f aca="false">Chase1168_2025!A552</f>
        <v>DEBIT</v>
      </c>
      <c r="B552" s="14" t="n">
        <f aca="false">Chase1168_2025!B552</f>
        <v>45908</v>
      </c>
      <c r="C552" s="0" t="str">
        <f aca="false">Chase1168_2025!C552</f>
        <v>FOREIGN EXCHANGE RATE ADJUSTMENT FEE         09/05GLOBAL VI</v>
      </c>
      <c r="D552" s="7" t="n">
        <f aca="false">Chase1168_2025!D552</f>
        <v>-0.04</v>
      </c>
      <c r="E552" s="0" t="str">
        <f aca="false">Chase1168_2025!E552</f>
        <v>FEE_TRANSACTION</v>
      </c>
      <c r="F552" s="7" t="n">
        <f aca="false">Chase1168_2025!F552</f>
        <v>17693.14</v>
      </c>
      <c r="G552" s="0" t="str">
        <f aca="false">Chase1168_2025!G552</f>
        <v>2025 Costa Rica Trip</v>
      </c>
      <c r="H552" s="15" t="n">
        <f aca="false">IF($B552="","",DATE(YEAR($B552),MONTH($B552),1))</f>
        <v>45901</v>
      </c>
      <c r="I552" s="0" t="str">
        <f aca="false">IF($G552="","Uncategorized — Review",IFERROR(INDEX(Mapping!$B:$B,MATCH($G552,Mapping!$A:$A,0)),"Uncategorized — Review"))</f>
        <v>2025 Costa Rica Trip</v>
      </c>
      <c r="J552" s="0" t="str">
        <f aca="false">IF($G552="","Uncategorized — Review",IFERROR(INDEX(Mapping!$C:$C,MATCH($G552,Mapping!$A:$A,0)),"Uncategorized — Review"))</f>
        <v>Business Travel</v>
      </c>
    </row>
    <row r="553" customFormat="false" ht="15" hidden="false" customHeight="false" outlineLevel="0" collapsed="false">
      <c r="A553" s="0" t="str">
        <f aca="false">Chase1168_2025!A553</f>
        <v>DEBIT</v>
      </c>
      <c r="B553" s="14" t="n">
        <f aca="false">Chase1168_2025!B553</f>
        <v>45908</v>
      </c>
      <c r="C553" s="0" t="str">
        <f aca="false">Chase1168_2025!C553</f>
        <v>FOREIGN EXCHANGE RATE ADJUSTMENT FEE         09/04SHOP &amp; GO</v>
      </c>
      <c r="D553" s="7" t="n">
        <f aca="false">Chase1168_2025!D553</f>
        <v>-0.14</v>
      </c>
      <c r="E553" s="0" t="str">
        <f aca="false">Chase1168_2025!E553</f>
        <v>FEE_TRANSACTION</v>
      </c>
      <c r="F553" s="7" t="n">
        <f aca="false">Chase1168_2025!F553</f>
        <v>17693.18</v>
      </c>
      <c r="G553" s="0" t="str">
        <f aca="false">Chase1168_2025!G553</f>
        <v>2025 Costa Rica Trip</v>
      </c>
      <c r="H553" s="15" t="n">
        <f aca="false">IF($B553="","",DATE(YEAR($B553),MONTH($B553),1))</f>
        <v>45901</v>
      </c>
      <c r="I553" s="0" t="str">
        <f aca="false">IF($G553="","Uncategorized — Review",IFERROR(INDEX(Mapping!$B:$B,MATCH($G553,Mapping!$A:$A,0)),"Uncategorized — Review"))</f>
        <v>2025 Costa Rica Trip</v>
      </c>
      <c r="J553" s="0" t="str">
        <f aca="false">IF($G553="","Uncategorized — Review",IFERROR(INDEX(Mapping!$C:$C,MATCH($G553,Mapping!$A:$A,0)),"Uncategorized — Review"))</f>
        <v>Business Travel</v>
      </c>
    </row>
    <row r="554" customFormat="false" ht="15" hidden="false" customHeight="false" outlineLevel="0" collapsed="false">
      <c r="A554" s="0" t="str">
        <f aca="false">Chase1168_2025!A554</f>
        <v>DEBIT</v>
      </c>
      <c r="B554" s="14" t="n">
        <f aca="false">Chase1168_2025!B554</f>
        <v>45908</v>
      </c>
      <c r="C554" s="0" t="str">
        <f aca="false">Chase1168_2025!C554</f>
        <v>FOREIGN EXCHANGE RATE ADJUSTMENT FEE         09/05CAFE BOHI</v>
      </c>
      <c r="D554" s="7" t="n">
        <f aca="false">Chase1168_2025!D554</f>
        <v>-0.18</v>
      </c>
      <c r="E554" s="0" t="str">
        <f aca="false">Chase1168_2025!E554</f>
        <v>FEE_TRANSACTION</v>
      </c>
      <c r="F554" s="7" t="n">
        <f aca="false">Chase1168_2025!F554</f>
        <v>17693.32</v>
      </c>
      <c r="G554" s="0" t="str">
        <f aca="false">Chase1168_2025!G554</f>
        <v>2025 Costa Rica Trip</v>
      </c>
      <c r="H554" s="15" t="n">
        <f aca="false">IF($B554="","",DATE(YEAR($B554),MONTH($B554),1))</f>
        <v>45901</v>
      </c>
      <c r="I554" s="0" t="str">
        <f aca="false">IF($G554="","Uncategorized — Review",IFERROR(INDEX(Mapping!$B:$B,MATCH($G554,Mapping!$A:$A,0)),"Uncategorized — Review"))</f>
        <v>2025 Costa Rica Trip</v>
      </c>
      <c r="J554" s="0" t="str">
        <f aca="false">IF($G554="","Uncategorized — Review",IFERROR(INDEX(Mapping!$C:$C,MATCH($G554,Mapping!$A:$A,0)),"Uncategorized — Review"))</f>
        <v>Business Travel</v>
      </c>
    </row>
    <row r="555" customFormat="false" ht="15" hidden="false" customHeight="false" outlineLevel="0" collapsed="false">
      <c r="A555" s="0" t="str">
        <f aca="false">Chase1168_2025!A555</f>
        <v>DEBIT</v>
      </c>
      <c r="B555" s="14" t="n">
        <f aca="false">Chase1168_2025!B555</f>
        <v>45908</v>
      </c>
      <c r="C555" s="0" t="str">
        <f aca="false">Chase1168_2025!C555</f>
        <v>FOREIGN EXCHANGE RATE ADJUSTMENT FEE         09/05KARMA CAF</v>
      </c>
      <c r="D555" s="7" t="n">
        <f aca="false">Chase1168_2025!D555</f>
        <v>-0.87</v>
      </c>
      <c r="E555" s="0" t="str">
        <f aca="false">Chase1168_2025!E555</f>
        <v>FEE_TRANSACTION</v>
      </c>
      <c r="F555" s="7" t="n">
        <f aca="false">Chase1168_2025!F555</f>
        <v>17693.5</v>
      </c>
      <c r="G555" s="0" t="str">
        <f aca="false">Chase1168_2025!G555</f>
        <v>2025 Costa Rica Trip</v>
      </c>
      <c r="H555" s="15" t="n">
        <f aca="false">IF($B555="","",DATE(YEAR($B555),MONTH($B555),1))</f>
        <v>45901</v>
      </c>
      <c r="I555" s="0" t="str">
        <f aca="false">IF($G555="","Uncategorized — Review",IFERROR(INDEX(Mapping!$B:$B,MATCH($G555,Mapping!$A:$A,0)),"Uncategorized — Review"))</f>
        <v>2025 Costa Rica Trip</v>
      </c>
      <c r="J555" s="0" t="str">
        <f aca="false">IF($G555="","Uncategorized — Review",IFERROR(INDEX(Mapping!$C:$C,MATCH($G555,Mapping!$A:$A,0)),"Uncategorized — Review"))</f>
        <v>Business Travel</v>
      </c>
    </row>
    <row r="556" customFormat="false" ht="15" hidden="false" customHeight="false" outlineLevel="0" collapsed="false">
      <c r="A556" s="0" t="str">
        <f aca="false">Chase1168_2025!A556</f>
        <v>DEBIT</v>
      </c>
      <c r="B556" s="14" t="n">
        <f aca="false">Chase1168_2025!B556</f>
        <v>45908</v>
      </c>
      <c r="C556" s="0" t="str">
        <f aca="false">Chase1168_2025!C556</f>
        <v>FOREIGN EXCHANGE RATE ADJUSTMENT FEE         09/05FARMACIA</v>
      </c>
      <c r="D556" s="7" t="n">
        <f aca="false">Chase1168_2025!D556</f>
        <v>-4.47</v>
      </c>
      <c r="E556" s="0" t="str">
        <f aca="false">Chase1168_2025!E556</f>
        <v>FEE_TRANSACTION</v>
      </c>
      <c r="F556" s="7" t="n">
        <f aca="false">Chase1168_2025!F556</f>
        <v>17694.37</v>
      </c>
      <c r="G556" s="0" t="str">
        <f aca="false">Chase1168_2025!G556</f>
        <v>2025 Costa Rica Trip</v>
      </c>
      <c r="H556" s="15" t="n">
        <f aca="false">IF($B556="","",DATE(YEAR($B556),MONTH($B556),1))</f>
        <v>45901</v>
      </c>
      <c r="I556" s="0" t="str">
        <f aca="false">IF($G556="","Uncategorized — Review",IFERROR(INDEX(Mapping!$B:$B,MATCH($G556,Mapping!$A:$A,0)),"Uncategorized — Review"))</f>
        <v>2025 Costa Rica Trip</v>
      </c>
      <c r="J556" s="0" t="str">
        <f aca="false">IF($G556="","Uncategorized — Review",IFERROR(INDEX(Mapping!$C:$C,MATCH($G556,Mapping!$A:$A,0)),"Uncategorized — Review"))</f>
        <v>Business Travel</v>
      </c>
    </row>
    <row r="557" customFormat="false" ht="15" hidden="false" customHeight="false" outlineLevel="0" collapsed="false">
      <c r="A557" s="0" t="str">
        <f aca="false">Chase1168_2025!A557</f>
        <v>DEBIT</v>
      </c>
      <c r="B557" s="14" t="n">
        <f aca="false">Chase1168_2025!B557</f>
        <v>45908</v>
      </c>
      <c r="C557" s="0" t="str">
        <f aca="false">Chase1168_2025!C557</f>
        <v>Basic Online Payroll Payment 11185883165 to ########4122</v>
      </c>
      <c r="D557" s="7" t="n">
        <f aca="false">Chase1168_2025!D557</f>
        <v>-1500</v>
      </c>
      <c r="E557" s="0" t="str">
        <f aca="false">Chase1168_2025!E557</f>
        <v>BASIC_PAYROLL</v>
      </c>
      <c r="F557" s="7" t="n">
        <f aca="false">Chase1168_2025!F557</f>
        <v>17698.84</v>
      </c>
      <c r="G557" s="0" t="str">
        <f aca="false">Chase1168_2025!G557</f>
        <v>Mike Paytonjian - Payroll</v>
      </c>
      <c r="H557" s="15" t="n">
        <f aca="false">IF($B557="","",DATE(YEAR($B557),MONTH($B557),1))</f>
        <v>45901</v>
      </c>
      <c r="I557" s="0" t="str">
        <f aca="false">IF($G557="","Uncategorized — Review",IFERROR(INDEX(Mapping!$B:$B,MATCH($G557,Mapping!$A:$A,0)),"Uncategorized — Review"))</f>
        <v>Mike Paytonjian - Payroll</v>
      </c>
      <c r="J557" s="0" t="str">
        <f aca="false">IF($G557="","Uncategorized — Review",IFERROR(INDEX(Mapping!$C:$C,MATCH($G557,Mapping!$A:$A,0)),"Uncategorized — Review"))</f>
        <v>Payroll &amp; Contractors</v>
      </c>
    </row>
    <row r="558" customFormat="false" ht="15" hidden="false" customHeight="false" outlineLevel="0" collapsed="false">
      <c r="A558" s="0" t="str">
        <f aca="false">Chase1168_2025!A558</f>
        <v>DEBIT</v>
      </c>
      <c r="B558" s="14" t="n">
        <f aca="false">Chase1168_2025!B558</f>
        <v>45908</v>
      </c>
      <c r="C558" s="0" t="str">
        <f aca="false">Chase1168_2025!C558</f>
        <v>ORIG CO NAME:VENMO                  ORIG ID:3264681992 DESC DATE:250907 CO ENTRY DESCR:PAYMENT   SEC:WEB    TRACE#:021000028645949 EED:250908   IND ID:1044689864784                IND NAME:JUDD DUNNING                                                                                                 250907PPZ2DW TRN: 2518645949TC</v>
      </c>
      <c r="D558" s="7" t="n">
        <f aca="false">Chase1168_2025!D558</f>
        <v>-20</v>
      </c>
      <c r="E558" s="0" t="str">
        <f aca="false">Chase1168_2025!E558</f>
        <v>ACH_DEBIT</v>
      </c>
      <c r="F558" s="7" t="n">
        <f aca="false">Chase1168_2025!F558</f>
        <v>19198.84</v>
      </c>
      <c r="G558" s="0" t="str">
        <f aca="false">Chase1168_2025!G558</f>
        <v>Venmo</v>
      </c>
      <c r="H558" s="15" t="n">
        <f aca="false">IF($B558="","",DATE(YEAR($B558),MONTH($B558),1))</f>
        <v>45901</v>
      </c>
      <c r="I558" s="0" t="str">
        <f aca="false">IF($G558="","Uncategorized — Review",IFERROR(INDEX(Mapping!$B:$B,MATCH($G558,Mapping!$A:$A,0)),"Uncategorized — Review"))</f>
        <v>Venmo</v>
      </c>
      <c r="J558" s="0" t="str">
        <f aca="false">IF($G558="","Uncategorized — Review",IFERROR(INDEX(Mapping!$C:$C,MATCH($G558,Mapping!$A:$A,0)),"Uncategorized — Review"))</f>
        <v>P2P Payments (Zelle/Venmo/PayPal)</v>
      </c>
    </row>
    <row r="559" customFormat="false" ht="15" hidden="false" customHeight="false" outlineLevel="0" collapsed="false">
      <c r="A559" s="0" t="str">
        <f aca="false">Chase1168_2025!A559</f>
        <v>DEBIT</v>
      </c>
      <c r="B559" s="14" t="n">
        <f aca="false">Chase1168_2025!B559</f>
        <v>45908</v>
      </c>
      <c r="C559" s="0" t="str">
        <f aca="false">Chase1168_2025!C559</f>
        <v>PP*APPLE.COM/BILL 800-275-2273 CA            09/08</v>
      </c>
      <c r="D559" s="7" t="n">
        <f aca="false">Chase1168_2025!D559</f>
        <v>-8.99</v>
      </c>
      <c r="E559" s="0" t="str">
        <f aca="false">Chase1168_2025!E559</f>
        <v>DEBIT_CARD</v>
      </c>
      <c r="F559" s="7" t="n">
        <f aca="false">Chase1168_2025!F559</f>
        <v>19218.84</v>
      </c>
      <c r="G559" s="0" t="str">
        <f aca="false">Chase1168_2025!G559</f>
        <v>Personal - Subscriptions</v>
      </c>
      <c r="H559" s="15" t="n">
        <f aca="false">IF($B559="","",DATE(YEAR($B559),MONTH($B559),1))</f>
        <v>45901</v>
      </c>
      <c r="I559" s="0" t="str">
        <f aca="false">IF($G559="","Uncategorized — Review",IFERROR(INDEX(Mapping!$B:$B,MATCH($G559,Mapping!$A:$A,0)),"Uncategorized — Review"))</f>
        <v>Personal - Subscriptions</v>
      </c>
      <c r="J559" s="0" t="str">
        <f aca="false">IF($G559="","Uncategorized — Review",IFERROR(INDEX(Mapping!$C:$C,MATCH($G559,Mapping!$A:$A,0)),"Uncategorized — Review"))</f>
        <v>Personal — Owner</v>
      </c>
    </row>
    <row r="560" customFormat="false" ht="15" hidden="false" customHeight="false" outlineLevel="0" collapsed="false">
      <c r="A560" s="0" t="str">
        <f aca="false">Chase1168_2025!A560</f>
        <v>DEBIT</v>
      </c>
      <c r="B560" s="14" t="n">
        <f aca="false">Chase1168_2025!B560</f>
        <v>45908</v>
      </c>
      <c r="C560" s="0" t="str">
        <f aca="false">Chase1168_2025!C560</f>
        <v>PAYPAL *RUTHALCANCI 402-935-7733 CA          09/07</v>
      </c>
      <c r="D560" s="7" t="n">
        <f aca="false">Chase1168_2025!D560</f>
        <v>-260</v>
      </c>
      <c r="E560" s="0" t="str">
        <f aca="false">Chase1168_2025!E560</f>
        <v>DEBIT_CARD</v>
      </c>
      <c r="F560" s="7" t="n">
        <f aca="false">Chase1168_2025!F560</f>
        <v>19227.83</v>
      </c>
      <c r="G560" s="0" t="str">
        <f aca="false">Chase1168_2025!G560</f>
        <v>Ruth Alcancia - Forward Bridge Payment</v>
      </c>
      <c r="H560" s="15" t="n">
        <f aca="false">IF($B560="","",DATE(YEAR($B560),MONTH($B560),1))</f>
        <v>45901</v>
      </c>
      <c r="I560" s="0" t="str">
        <f aca="false">IF($G560="","Uncategorized — Review",IFERROR(INDEX(Mapping!$B:$B,MATCH($G560,Mapping!$A:$A,0)),"Uncategorized — Review"))</f>
        <v>Ruth Alcancia - Forward Bridge Payment</v>
      </c>
      <c r="J560" s="0" t="str">
        <f aca="false">IF($G560="","Uncategorized — Review",IFERROR(INDEX(Mapping!$C:$C,MATCH($G560,Mapping!$A:$A,0)),"Uncategorized — Review"))</f>
        <v>Payroll &amp; Contractors</v>
      </c>
    </row>
    <row r="561" customFormat="false" ht="15" hidden="false" customHeight="false" outlineLevel="0" collapsed="false">
      <c r="A561" s="0" t="str">
        <f aca="false">Chase1168_2025!A561</f>
        <v>DEBIT</v>
      </c>
      <c r="B561" s="14" t="n">
        <f aca="false">Chase1168_2025!B561</f>
        <v>45908</v>
      </c>
      <c r="C561" s="0" t="str">
        <f aca="false">Chase1168_2025!C561</f>
        <v>PAYPAL *UBER 866-576-1039 CA                 09/07</v>
      </c>
      <c r="D561" s="7" t="n">
        <f aca="false">Chase1168_2025!D561</f>
        <v>-30.77</v>
      </c>
      <c r="E561" s="0" t="str">
        <f aca="false">Chase1168_2025!E561</f>
        <v>DEBIT_CARD</v>
      </c>
      <c r="F561" s="7" t="n">
        <f aca="false">Chase1168_2025!F561</f>
        <v>19487.83</v>
      </c>
      <c r="G561" s="0" t="str">
        <f aca="false">Chase1168_2025!G561</f>
        <v>Personal - Car</v>
      </c>
      <c r="H561" s="15" t="n">
        <f aca="false">IF($B561="","",DATE(YEAR($B561),MONTH($B561),1))</f>
        <v>45901</v>
      </c>
      <c r="I561" s="0" t="str">
        <f aca="false">IF($G561="","Uncategorized — Review",IFERROR(INDEX(Mapping!$B:$B,MATCH($G561,Mapping!$A:$A,0)),"Uncategorized — Review"))</f>
        <v>Personal - Car &amp; Auto</v>
      </c>
      <c r="J561" s="0" t="str">
        <f aca="false">IF($G561="","Uncategorized — Review",IFERROR(INDEX(Mapping!$C:$C,MATCH($G561,Mapping!$A:$A,0)),"Uncategorized — Review"))</f>
        <v>Personal — Owner</v>
      </c>
    </row>
    <row r="562" customFormat="false" ht="15" hidden="false" customHeight="false" outlineLevel="0" collapsed="false">
      <c r="A562" s="0" t="str">
        <f aca="false">Chase1168_2025!A562</f>
        <v>DEBIT</v>
      </c>
      <c r="B562" s="14" t="n">
        <f aca="false">Chase1168_2025!B562</f>
        <v>45908</v>
      </c>
      <c r="C562" s="0" t="str">
        <f aca="false">Chase1168_2025!C562</f>
        <v>PAYPAL *UBER 866-576-1039 CA                 09/07</v>
      </c>
      <c r="D562" s="7" t="n">
        <f aca="false">Chase1168_2025!D562</f>
        <v>-6</v>
      </c>
      <c r="E562" s="0" t="str">
        <f aca="false">Chase1168_2025!E562</f>
        <v>DEBIT_CARD</v>
      </c>
      <c r="F562" s="7" t="n">
        <f aca="false">Chase1168_2025!F562</f>
        <v>19518.6</v>
      </c>
      <c r="G562" s="0" t="str">
        <f aca="false">Chase1168_2025!G562</f>
        <v>Personal - Car</v>
      </c>
      <c r="H562" s="15" t="n">
        <f aca="false">IF($B562="","",DATE(YEAR($B562),MONTH($B562),1))</f>
        <v>45901</v>
      </c>
      <c r="I562" s="0" t="str">
        <f aca="false">IF($G562="","Uncategorized — Review",IFERROR(INDEX(Mapping!$B:$B,MATCH($G562,Mapping!$A:$A,0)),"Uncategorized — Review"))</f>
        <v>Personal - Car &amp; Auto</v>
      </c>
      <c r="J562" s="0" t="str">
        <f aca="false">IF($G562="","Uncategorized — Review",IFERROR(INDEX(Mapping!$C:$C,MATCH($G562,Mapping!$A:$A,0)),"Uncategorized — Review"))</f>
        <v>Personal — Owner</v>
      </c>
    </row>
    <row r="563" customFormat="false" ht="15" hidden="false" customHeight="false" outlineLevel="0" collapsed="false">
      <c r="A563" s="0" t="str">
        <f aca="false">Chase1168_2025!A563</f>
        <v>DEBIT</v>
      </c>
      <c r="B563" s="14" t="n">
        <f aca="false">Chase1168_2025!B563</f>
        <v>45908</v>
      </c>
      <c r="C563" s="0" t="str">
        <f aca="false">Chase1168_2025!C563</f>
        <v>PP*APPLE.COM/BILL 800-275-2273 CA            09/07</v>
      </c>
      <c r="D563" s="7" t="n">
        <f aca="false">Chase1168_2025!D563</f>
        <v>-5</v>
      </c>
      <c r="E563" s="0" t="str">
        <f aca="false">Chase1168_2025!E563</f>
        <v>DEBIT_CARD</v>
      </c>
      <c r="F563" s="7" t="n">
        <f aca="false">Chase1168_2025!F563</f>
        <v>19524.6</v>
      </c>
      <c r="G563" s="0" t="str">
        <f aca="false">Chase1168_2025!G563</f>
        <v>Personal - Subscriptions</v>
      </c>
      <c r="H563" s="15" t="n">
        <f aca="false">IF($B563="","",DATE(YEAR($B563),MONTH($B563),1))</f>
        <v>45901</v>
      </c>
      <c r="I563" s="0" t="str">
        <f aca="false">IF($G563="","Uncategorized — Review",IFERROR(INDEX(Mapping!$B:$B,MATCH($G563,Mapping!$A:$A,0)),"Uncategorized — Review"))</f>
        <v>Personal - Subscriptions</v>
      </c>
      <c r="J563" s="0" t="str">
        <f aca="false">IF($G563="","Uncategorized — Review",IFERROR(INDEX(Mapping!$C:$C,MATCH($G563,Mapping!$A:$A,0)),"Uncategorized — Review"))</f>
        <v>Personal — Owner</v>
      </c>
    </row>
    <row r="564" customFormat="false" ht="15" hidden="false" customHeight="false" outlineLevel="0" collapsed="false">
      <c r="A564" s="0" t="str">
        <f aca="false">Chase1168_2025!A564</f>
        <v>DEBIT</v>
      </c>
      <c r="B564" s="14" t="n">
        <f aca="false">Chase1168_2025!B564</f>
        <v>45908</v>
      </c>
      <c r="C564" s="0" t="str">
        <f aca="false">Chase1168_2025!C564</f>
        <v>GLOBAL VIA RUTA 27 SAN JOSE                  09/05 CR Colon   820.00 X 0.001975610 (EXCHG RTE)</v>
      </c>
      <c r="D564" s="7" t="n">
        <f aca="false">Chase1168_2025!D564</f>
        <v>-1.62</v>
      </c>
      <c r="E564" s="0" t="str">
        <f aca="false">Chase1168_2025!E564</f>
        <v>DEBIT_CARD</v>
      </c>
      <c r="F564" s="7" t="n">
        <f aca="false">Chase1168_2025!F564</f>
        <v>19529.6</v>
      </c>
      <c r="G564" s="0" t="str">
        <f aca="false">Chase1168_2025!G564</f>
        <v>2025 Costa Rica Trip</v>
      </c>
      <c r="H564" s="15" t="n">
        <f aca="false">IF($B564="","",DATE(YEAR($B564),MONTH($B564),1))</f>
        <v>45901</v>
      </c>
      <c r="I564" s="0" t="str">
        <f aca="false">IF($G564="","Uncategorized — Review",IFERROR(INDEX(Mapping!$B:$B,MATCH($G564,Mapping!$A:$A,0)),"Uncategorized — Review"))</f>
        <v>2025 Costa Rica Trip</v>
      </c>
      <c r="J564" s="0" t="str">
        <f aca="false">IF($G564="","Uncategorized — Review",IFERROR(INDEX(Mapping!$C:$C,MATCH($G564,Mapping!$A:$A,0)),"Uncategorized — Review"))</f>
        <v>Business Travel</v>
      </c>
    </row>
    <row r="565" customFormat="false" ht="15" hidden="false" customHeight="false" outlineLevel="0" collapsed="false">
      <c r="A565" s="0" t="str">
        <f aca="false">Chase1168_2025!A565</f>
        <v>DEBIT</v>
      </c>
      <c r="B565" s="14" t="n">
        <f aca="false">Chase1168_2025!B565</f>
        <v>45908</v>
      </c>
      <c r="C565" s="0" t="str">
        <f aca="false">Chase1168_2025!C565</f>
        <v>FARMACIA LA ECONOMICA J PUNTARENAS           09/05 CR Colon   75424.59 X 0.001977737 (EXCHG RTE)</v>
      </c>
      <c r="D565" s="7" t="n">
        <f aca="false">Chase1168_2025!D565</f>
        <v>-149.17</v>
      </c>
      <c r="E565" s="0" t="str">
        <f aca="false">Chase1168_2025!E565</f>
        <v>DEBIT_CARD</v>
      </c>
      <c r="F565" s="7" t="n">
        <f aca="false">Chase1168_2025!F565</f>
        <v>19531.22</v>
      </c>
      <c r="G565" s="0" t="str">
        <f aca="false">Chase1168_2025!G565</f>
        <v>2025 Costa Rica Trip</v>
      </c>
      <c r="H565" s="15" t="n">
        <f aca="false">IF($B565="","",DATE(YEAR($B565),MONTH($B565),1))</f>
        <v>45901</v>
      </c>
      <c r="I565" s="0" t="str">
        <f aca="false">IF($G565="","Uncategorized — Review",IFERROR(INDEX(Mapping!$B:$B,MATCH($G565,Mapping!$A:$A,0)),"Uncategorized — Review"))</f>
        <v>2025 Costa Rica Trip</v>
      </c>
      <c r="J565" s="0" t="str">
        <f aca="false">IF($G565="","Uncategorized — Review",IFERROR(INDEX(Mapping!$C:$C,MATCH($G565,Mapping!$A:$A,0)),"Uncategorized — Review"))</f>
        <v>Business Travel</v>
      </c>
    </row>
    <row r="566" customFormat="false" ht="15" hidden="false" customHeight="false" outlineLevel="0" collapsed="false">
      <c r="A566" s="0" t="str">
        <f aca="false">Chase1168_2025!A566</f>
        <v>DEBIT</v>
      </c>
      <c r="B566" s="14" t="n">
        <f aca="false">Chase1168_2025!B566</f>
        <v>45908</v>
      </c>
      <c r="C566" s="0" t="str">
        <f aca="false">Chase1168_2025!C566</f>
        <v>KARMA CAFE Y RESTAURANT GARABITO             09/05 CR Colon   14800.00 X 0.001977703 (EXCHG RTE)</v>
      </c>
      <c r="D566" s="7" t="n">
        <f aca="false">Chase1168_2025!D566</f>
        <v>-29.27</v>
      </c>
      <c r="E566" s="0" t="str">
        <f aca="false">Chase1168_2025!E566</f>
        <v>DEBIT_CARD</v>
      </c>
      <c r="F566" s="7" t="n">
        <f aca="false">Chase1168_2025!F566</f>
        <v>19680.39</v>
      </c>
      <c r="G566" s="0" t="str">
        <f aca="false">Chase1168_2025!G566</f>
        <v>2025 Costa Rica Trip</v>
      </c>
      <c r="H566" s="15" t="n">
        <f aca="false">IF($B566="","",DATE(YEAR($B566),MONTH($B566),1))</f>
        <v>45901</v>
      </c>
      <c r="I566" s="0" t="str">
        <f aca="false">IF($G566="","Uncategorized — Review",IFERROR(INDEX(Mapping!$B:$B,MATCH($G566,Mapping!$A:$A,0)),"Uncategorized — Review"))</f>
        <v>2025 Costa Rica Trip</v>
      </c>
      <c r="J566" s="0" t="str">
        <f aca="false">IF($G566="","Uncategorized — Review",IFERROR(INDEX(Mapping!$C:$C,MATCH($G566,Mapping!$A:$A,0)),"Uncategorized — Review"))</f>
        <v>Business Travel</v>
      </c>
    </row>
    <row r="567" customFormat="false" ht="15" hidden="false" customHeight="false" outlineLevel="0" collapsed="false">
      <c r="A567" s="0" t="str">
        <f aca="false">Chase1168_2025!A567</f>
        <v>DEBIT</v>
      </c>
      <c r="B567" s="14" t="n">
        <f aca="false">Chase1168_2025!B567</f>
        <v>45908</v>
      </c>
      <c r="C567" s="0" t="str">
        <f aca="false">Chase1168_2025!C567</f>
        <v>CAFE BOHIO JACO GARABITO                     09/05 CR Colon   3200.00 X 0.001978125 (EXCHG RTE)</v>
      </c>
      <c r="D567" s="7" t="n">
        <f aca="false">Chase1168_2025!D567</f>
        <v>-6.33</v>
      </c>
      <c r="E567" s="0" t="str">
        <f aca="false">Chase1168_2025!E567</f>
        <v>DEBIT_CARD</v>
      </c>
      <c r="F567" s="7" t="n">
        <f aca="false">Chase1168_2025!F567</f>
        <v>19709.66</v>
      </c>
      <c r="G567" s="0" t="str">
        <f aca="false">Chase1168_2025!G567</f>
        <v>2025 Costa Rica Trip</v>
      </c>
      <c r="H567" s="15" t="n">
        <f aca="false">IF($B567="","",DATE(YEAR($B567),MONTH($B567),1))</f>
        <v>45901</v>
      </c>
      <c r="I567" s="0" t="str">
        <f aca="false">IF($G567="","Uncategorized — Review",IFERROR(INDEX(Mapping!$B:$B,MATCH($G567,Mapping!$A:$A,0)),"Uncategorized — Review"))</f>
        <v>2025 Costa Rica Trip</v>
      </c>
      <c r="J567" s="0" t="str">
        <f aca="false">IF($G567="","Uncategorized — Review",IFERROR(INDEX(Mapping!$C:$C,MATCH($G567,Mapping!$A:$A,0)),"Uncategorized — Review"))</f>
        <v>Business Travel</v>
      </c>
    </row>
    <row r="568" customFormat="false" ht="15" hidden="false" customHeight="false" outlineLevel="0" collapsed="false">
      <c r="A568" s="0" t="str">
        <f aca="false">Chase1168_2025!A568</f>
        <v>DEBIT</v>
      </c>
      <c r="B568" s="14" t="n">
        <f aca="false">Chase1168_2025!B568</f>
        <v>45908</v>
      </c>
      <c r="C568" s="0" t="str">
        <f aca="false">Chase1168_2025!C568</f>
        <v>SHOP &amp; GO GARABITO                           09/04 CR Colon   2500.00 X 0.001980000 (EXCHG RTE)</v>
      </c>
      <c r="D568" s="7" t="n">
        <f aca="false">Chase1168_2025!D568</f>
        <v>-4.95</v>
      </c>
      <c r="E568" s="0" t="str">
        <f aca="false">Chase1168_2025!E568</f>
        <v>DEBIT_CARD</v>
      </c>
      <c r="F568" s="7" t="n">
        <f aca="false">Chase1168_2025!F568</f>
        <v>19715.99</v>
      </c>
      <c r="G568" s="0" t="str">
        <f aca="false">Chase1168_2025!G568</f>
        <v>2025 Costa Rica Trip</v>
      </c>
      <c r="H568" s="15" t="n">
        <f aca="false">IF($B568="","",DATE(YEAR($B568),MONTH($B568),1))</f>
        <v>45901</v>
      </c>
      <c r="I568" s="0" t="str">
        <f aca="false">IF($G568="","Uncategorized — Review",IFERROR(INDEX(Mapping!$B:$B,MATCH($G568,Mapping!$A:$A,0)),"Uncategorized — Review"))</f>
        <v>2025 Costa Rica Trip</v>
      </c>
      <c r="J568" s="0" t="str">
        <f aca="false">IF($G568="","Uncategorized — Review",IFERROR(INDEX(Mapping!$C:$C,MATCH($G568,Mapping!$A:$A,0)),"Uncategorized — Review"))</f>
        <v>Business Travel</v>
      </c>
    </row>
    <row r="569" customFormat="false" ht="15" hidden="false" customHeight="false" outlineLevel="0" collapsed="false">
      <c r="A569" s="0" t="str">
        <f aca="false">Chase1168_2025!A569</f>
        <v>DEBIT</v>
      </c>
      <c r="B569" s="14" t="n">
        <f aca="false">Chase1168_2025!B569</f>
        <v>45908</v>
      </c>
      <c r="C569" s="0" t="str">
        <f aca="false">Chase1168_2025!C569</f>
        <v>PP*APPLE.COM/BILL 800-275-2273 CA            09/05</v>
      </c>
      <c r="D569" s="7" t="n">
        <f aca="false">Chase1168_2025!D569</f>
        <v>-29.99</v>
      </c>
      <c r="E569" s="0" t="str">
        <f aca="false">Chase1168_2025!E569</f>
        <v>DEBIT_CARD</v>
      </c>
      <c r="F569" s="7" t="n">
        <f aca="false">Chase1168_2025!F569</f>
        <v>19720.94</v>
      </c>
      <c r="G569" s="0" t="str">
        <f aca="false">Chase1168_2025!G569</f>
        <v>Personal - Subscriptions</v>
      </c>
      <c r="H569" s="15" t="n">
        <f aca="false">IF($B569="","",DATE(YEAR($B569),MONTH($B569),1))</f>
        <v>45901</v>
      </c>
      <c r="I569" s="0" t="str">
        <f aca="false">IF($G569="","Uncategorized — Review",IFERROR(INDEX(Mapping!$B:$B,MATCH($G569,Mapping!$A:$A,0)),"Uncategorized — Review"))</f>
        <v>Personal - Subscriptions</v>
      </c>
      <c r="J569" s="0" t="str">
        <f aca="false">IF($G569="","Uncategorized — Review",IFERROR(INDEX(Mapping!$C:$C,MATCH($G569,Mapping!$A:$A,0)),"Uncategorized — Review"))</f>
        <v>Personal — Owner</v>
      </c>
    </row>
    <row r="570" customFormat="false" ht="15" hidden="false" customHeight="false" outlineLevel="0" collapsed="false">
      <c r="A570" s="0" t="str">
        <f aca="false">Chase1168_2025!A570</f>
        <v>DEBIT</v>
      </c>
      <c r="B570" s="14" t="n">
        <f aca="false">Chase1168_2025!B570</f>
        <v>45905</v>
      </c>
      <c r="C570" s="0" t="str">
        <f aca="false">Chase1168_2025!C570</f>
        <v>FOREIGN EXCHANGE RATE ADJUSTMENT FEE         09/03PANADERIA</v>
      </c>
      <c r="D570" s="7" t="n">
        <f aca="false">Chase1168_2025!D570</f>
        <v>-0.17</v>
      </c>
      <c r="E570" s="0" t="str">
        <f aca="false">Chase1168_2025!E570</f>
        <v>FEE_TRANSACTION</v>
      </c>
      <c r="F570" s="7" t="n">
        <f aca="false">Chase1168_2025!F570</f>
        <v>19750.93</v>
      </c>
      <c r="G570" s="0" t="str">
        <f aca="false">Chase1168_2025!G570</f>
        <v>2025 Costa Rica Trip</v>
      </c>
      <c r="H570" s="15" t="n">
        <f aca="false">IF($B570="","",DATE(YEAR($B570),MONTH($B570),1))</f>
        <v>45901</v>
      </c>
      <c r="I570" s="0" t="str">
        <f aca="false">IF($G570="","Uncategorized — Review",IFERROR(INDEX(Mapping!$B:$B,MATCH($G570,Mapping!$A:$A,0)),"Uncategorized — Review"))</f>
        <v>2025 Costa Rica Trip</v>
      </c>
      <c r="J570" s="0" t="str">
        <f aca="false">IF($G570="","Uncategorized — Review",IFERROR(INDEX(Mapping!$C:$C,MATCH($G570,Mapping!$A:$A,0)),"Uncategorized — Review"))</f>
        <v>Business Travel</v>
      </c>
    </row>
    <row r="571" customFormat="false" ht="15" hidden="false" customHeight="false" outlineLevel="0" collapsed="false">
      <c r="A571" s="0" t="str">
        <f aca="false">Chase1168_2025!A571</f>
        <v>DEBIT</v>
      </c>
      <c r="B571" s="14" t="n">
        <f aca="false">Chase1168_2025!B571</f>
        <v>45905</v>
      </c>
      <c r="C571" s="0" t="str">
        <f aca="false">Chase1168_2025!C571</f>
        <v>FOREIGN EXCHANGE RATE ADJUSTMENT FEE         09/04PANADERIA</v>
      </c>
      <c r="D571" s="7" t="n">
        <f aca="false">Chase1168_2025!D571</f>
        <v>-0.29</v>
      </c>
      <c r="E571" s="0" t="str">
        <f aca="false">Chase1168_2025!E571</f>
        <v>FEE_TRANSACTION</v>
      </c>
      <c r="F571" s="7" t="n">
        <f aca="false">Chase1168_2025!F571</f>
        <v>19751.1</v>
      </c>
      <c r="G571" s="0" t="str">
        <f aca="false">Chase1168_2025!G571</f>
        <v>2025 Costa Rica Trip</v>
      </c>
      <c r="H571" s="15" t="n">
        <f aca="false">IF($B571="","",DATE(YEAR($B571),MONTH($B571),1))</f>
        <v>45901</v>
      </c>
      <c r="I571" s="0" t="str">
        <f aca="false">IF($G571="","Uncategorized — Review",IFERROR(INDEX(Mapping!$B:$B,MATCH($G571,Mapping!$A:$A,0)),"Uncategorized — Review"))</f>
        <v>2025 Costa Rica Trip</v>
      </c>
      <c r="J571" s="0" t="str">
        <f aca="false">IF($G571="","Uncategorized — Review",IFERROR(INDEX(Mapping!$C:$C,MATCH($G571,Mapping!$A:$A,0)),"Uncategorized — Review"))</f>
        <v>Business Travel</v>
      </c>
    </row>
    <row r="572" customFormat="false" ht="15" hidden="false" customHeight="false" outlineLevel="0" collapsed="false">
      <c r="A572" s="0" t="str">
        <f aca="false">Chase1168_2025!A572</f>
        <v>DEBIT</v>
      </c>
      <c r="B572" s="14" t="n">
        <f aca="false">Chase1168_2025!B572</f>
        <v>45905</v>
      </c>
      <c r="C572" s="0" t="str">
        <f aca="false">Chase1168_2025!C572</f>
        <v>FOREIGN EXCHANGE RATE ADJUSTMENT FEE         09/04KARMA CAF</v>
      </c>
      <c r="D572" s="7" t="n">
        <f aca="false">Chase1168_2025!D572</f>
        <v>-1.82</v>
      </c>
      <c r="E572" s="0" t="str">
        <f aca="false">Chase1168_2025!E572</f>
        <v>FEE_TRANSACTION</v>
      </c>
      <c r="F572" s="7" t="n">
        <f aca="false">Chase1168_2025!F572</f>
        <v>19751.39</v>
      </c>
      <c r="G572" s="0" t="str">
        <f aca="false">Chase1168_2025!G572</f>
        <v>2025 Costa Rica Trip</v>
      </c>
      <c r="H572" s="15" t="n">
        <f aca="false">IF($B572="","",DATE(YEAR($B572),MONTH($B572),1))</f>
        <v>45901</v>
      </c>
      <c r="I572" s="0" t="str">
        <f aca="false">IF($G572="","Uncategorized — Review",IFERROR(INDEX(Mapping!$B:$B,MATCH($G572,Mapping!$A:$A,0)),"Uncategorized — Review"))</f>
        <v>2025 Costa Rica Trip</v>
      </c>
      <c r="J572" s="0" t="str">
        <f aca="false">IF($G572="","Uncategorized — Review",IFERROR(INDEX(Mapping!$C:$C,MATCH($G572,Mapping!$A:$A,0)),"Uncategorized — Review"))</f>
        <v>Business Travel</v>
      </c>
    </row>
    <row r="573" customFormat="false" ht="15" hidden="false" customHeight="false" outlineLevel="0" collapsed="false">
      <c r="A573" s="0" t="str">
        <f aca="false">Chase1168_2025!A573</f>
        <v>DEBIT</v>
      </c>
      <c r="B573" s="14" t="n">
        <f aca="false">Chase1168_2025!B573</f>
        <v>45905</v>
      </c>
      <c r="C573" s="0" t="str">
        <f aca="false">Chase1168_2025!C573</f>
        <v>ONLINE DOMESTIC WIRE FEE</v>
      </c>
      <c r="D573" s="7" t="n">
        <f aca="false">Chase1168_2025!D573</f>
        <v>-25</v>
      </c>
      <c r="E573" s="0" t="str">
        <f aca="false">Chase1168_2025!E573</f>
        <v>FEE_TRANSACTION</v>
      </c>
      <c r="F573" s="7" t="n">
        <f aca="false">Chase1168_2025!F573</f>
        <v>19753.21</v>
      </c>
      <c r="G573" s="0" t="str">
        <f aca="false">Chase1168_2025!G573</f>
        <v>Wire Fee</v>
      </c>
      <c r="H573" s="15" t="n">
        <f aca="false">IF($B573="","",DATE(YEAR($B573),MONTH($B573),1))</f>
        <v>45901</v>
      </c>
      <c r="I573" s="0" t="str">
        <f aca="false">IF($G573="","Uncategorized — Review",IFERROR(INDEX(Mapping!$B:$B,MATCH($G573,Mapping!$A:$A,0)),"Uncategorized — Review"))</f>
        <v>Wire Fee</v>
      </c>
      <c r="J573" s="0" t="str">
        <f aca="false">IF($G573="","Uncategorized — Review",IFERROR(INDEX(Mapping!$C:$C,MATCH($G573,Mapping!$A:$A,0)),"Uncategorized — Review"))</f>
        <v>DWG Operating</v>
      </c>
    </row>
    <row r="574" customFormat="false" ht="15" hidden="false" customHeight="false" outlineLevel="0" collapsed="false">
      <c r="A574" s="0" t="str">
        <f aca="false">Chase1168_2025!A574</f>
        <v>DEBIT</v>
      </c>
      <c r="B574" s="14" t="n">
        <f aca="false">Chase1168_2025!B574</f>
        <v>45905</v>
      </c>
      <c r="C574" s="0" t="str">
        <f aca="false">Chase1168_2025!C574</f>
        <v>Online Transfer to CHK ...1117 transaction#: 26125672034 09/05</v>
      </c>
      <c r="D574" s="7" t="n">
        <f aca="false">Chase1168_2025!D574</f>
        <v>-1000</v>
      </c>
      <c r="E574" s="0" t="str">
        <f aca="false">Chase1168_2025!E574</f>
        <v>ACCT_XFER</v>
      </c>
      <c r="F574" s="7" t="n">
        <f aca="false">Chase1168_2025!F574</f>
        <v>19778.21</v>
      </c>
      <c r="G574" s="0" t="str">
        <f aca="false">Chase1168_2025!G574</f>
        <v>Transfer to Angela Dunning</v>
      </c>
      <c r="H574" s="15" t="n">
        <f aca="false">IF($B574="","",DATE(YEAR($B574),MONTH($B574),1))</f>
        <v>45901</v>
      </c>
      <c r="I574" s="0" t="str">
        <f aca="false">IF($G574="","Uncategorized — Review",IFERROR(INDEX(Mapping!$B:$B,MATCH($G574,Mapping!$A:$A,0)),"Uncategorized — Review"))</f>
        <v>Transfer to Angela Dunning</v>
      </c>
      <c r="J574" s="0" t="str">
        <f aca="false">IF($G574="","Uncategorized — Review",IFERROR(INDEX(Mapping!$C:$C,MATCH($G574,Mapping!$A:$A,0)),"Uncategorized — Review"))</f>
        <v>Owner / Family Distributions</v>
      </c>
    </row>
    <row r="575" customFormat="false" ht="15" hidden="false" customHeight="false" outlineLevel="0" collapsed="false">
      <c r="A575" s="0" t="str">
        <f aca="false">Chase1168_2025!A575</f>
        <v>DEBIT</v>
      </c>
      <c r="B575" s="14" t="n">
        <f aca="false">Chase1168_2025!B575</f>
        <v>45905</v>
      </c>
      <c r="C575" s="0" t="str">
        <f aca="false">Chase1168_2025!C575</f>
        <v>INDEED USI25-05043810 AUSTIN TX      082183  09/05</v>
      </c>
      <c r="D575" s="7" t="n">
        <f aca="false">Chase1168_2025!D575</f>
        <v>-500.55</v>
      </c>
      <c r="E575" s="0" t="str">
        <f aca="false">Chase1168_2025!E575</f>
        <v>DEBIT_CARD</v>
      </c>
      <c r="F575" s="7" t="n">
        <f aca="false">Chase1168_2025!F575</f>
        <v>20778.21</v>
      </c>
      <c r="G575" s="0" t="str">
        <f aca="false">Chase1168_2025!G575</f>
        <v>DWG HR</v>
      </c>
      <c r="H575" s="15" t="n">
        <f aca="false">IF($B575="","",DATE(YEAR($B575),MONTH($B575),1))</f>
        <v>45901</v>
      </c>
      <c r="I575" s="0" t="str">
        <f aca="false">IF($G575="","Uncategorized — Review",IFERROR(INDEX(Mapping!$B:$B,MATCH($G575,Mapping!$A:$A,0)),"Uncategorized — Review"))</f>
        <v>DWG HR</v>
      </c>
      <c r="J575" s="0" t="str">
        <f aca="false">IF($G575="","Uncategorized — Review",IFERROR(INDEX(Mapping!$C:$C,MATCH($G575,Mapping!$A:$A,0)),"Uncategorized — Review"))</f>
        <v>Payroll &amp; Contractors</v>
      </c>
    </row>
    <row r="576" customFormat="false" ht="15" hidden="false" customHeight="false" outlineLevel="0" collapsed="false">
      <c r="A576" s="0" t="str">
        <f aca="false">Chase1168_2025!A576</f>
        <v>DEBIT</v>
      </c>
      <c r="B576" s="14" t="n">
        <f aca="false">Chase1168_2025!B576</f>
        <v>45905</v>
      </c>
      <c r="C576" s="0" t="str">
        <f aca="false">Chase1168_2025!C576</f>
        <v>ONLINE DOMESTIC WIRE TRANSFER A/C: GI CAPITAL GROUP RICHMOND CA 94804-5637 US TRN: 3404825248ES 09/05</v>
      </c>
      <c r="D576" s="7" t="n">
        <f aca="false">Chase1168_2025!D576</f>
        <v>-42637</v>
      </c>
      <c r="E576" s="0" t="str">
        <f aca="false">Chase1168_2025!E576</f>
        <v>WIRE_OUTGOING</v>
      </c>
      <c r="F576" s="7" t="n">
        <f aca="false">Chase1168_2025!F576</f>
        <v>21278.76</v>
      </c>
      <c r="G576" s="0" t="str">
        <f aca="false">Chase1168_2025!G576</f>
        <v>Due to Andrew – MAG Pass-Through 30%</v>
      </c>
      <c r="H576" s="15" t="n">
        <f aca="false">IF($B576="","",DATE(YEAR($B576),MONTH($B576),1))</f>
        <v>45901</v>
      </c>
      <c r="I576" s="0" t="str">
        <f aca="false">IF($G576="","Uncategorized — Review",IFERROR(INDEX(Mapping!$B:$B,MATCH($G576,Mapping!$A:$A,0)),"Uncategorized — Review"))</f>
        <v>Due to Andrew – MAG Pass-Through 30%</v>
      </c>
      <c r="J576" s="0" t="str">
        <f aca="false">IF($G576="","Uncategorized — Review",IFERROR(INDEX(Mapping!$C:$C,MATCH($G576,Mapping!$A:$A,0)),"Uncategorized — Review"))</f>
        <v>MAG Pass-Through</v>
      </c>
    </row>
    <row r="577" customFormat="false" ht="15" hidden="false" customHeight="false" outlineLevel="0" collapsed="false">
      <c r="A577" s="0" t="str">
        <f aca="false">Chase1168_2025!A577</f>
        <v>DEBIT</v>
      </c>
      <c r="B577" s="14" t="n">
        <f aca="false">Chase1168_2025!B577</f>
        <v>45905</v>
      </c>
      <c r="C577" s="0" t="str">
        <f aca="false">Chase1168_2025!C577</f>
        <v>KARMA CAFE Y RESTAURANT GARABITO             09/04 CR Colon   30800.00 X 0.001978571 (EXCHG RTE)</v>
      </c>
      <c r="D577" s="7" t="n">
        <f aca="false">Chase1168_2025!D577</f>
        <v>-60.94</v>
      </c>
      <c r="E577" s="0" t="str">
        <f aca="false">Chase1168_2025!E577</f>
        <v>DEBIT_CARD</v>
      </c>
      <c r="F577" s="7" t="n">
        <f aca="false">Chase1168_2025!F577</f>
        <v>63915.76</v>
      </c>
      <c r="G577" s="0" t="str">
        <f aca="false">Chase1168_2025!G577</f>
        <v>2025 Costa Rica Trip</v>
      </c>
      <c r="H577" s="15" t="n">
        <f aca="false">IF($B577="","",DATE(YEAR($B577),MONTH($B577),1))</f>
        <v>45901</v>
      </c>
      <c r="I577" s="0" t="str">
        <f aca="false">IF($G577="","Uncategorized — Review",IFERROR(INDEX(Mapping!$B:$B,MATCH($G577,Mapping!$A:$A,0)),"Uncategorized — Review"))</f>
        <v>2025 Costa Rica Trip</v>
      </c>
      <c r="J577" s="0" t="str">
        <f aca="false">IF($G577="","Uncategorized — Review",IFERROR(INDEX(Mapping!$C:$C,MATCH($G577,Mapping!$A:$A,0)),"Uncategorized — Review"))</f>
        <v>Business Travel</v>
      </c>
    </row>
    <row r="578" customFormat="false" ht="15" hidden="false" customHeight="false" outlineLevel="0" collapsed="false">
      <c r="A578" s="0" t="str">
        <f aca="false">Chase1168_2025!A578</f>
        <v>DEBIT</v>
      </c>
      <c r="B578" s="14" t="n">
        <f aca="false">Chase1168_2025!B578</f>
        <v>45905</v>
      </c>
      <c r="C578" s="0" t="str">
        <f aca="false">Chase1168_2025!C578</f>
        <v>PANADERIA TOSSO PUNTARENAS                   09/04 CR Colon   4900.00 X 0.001977551 (EXCHG RTE)</v>
      </c>
      <c r="D578" s="7" t="n">
        <f aca="false">Chase1168_2025!D578</f>
        <v>-9.69</v>
      </c>
      <c r="E578" s="0" t="str">
        <f aca="false">Chase1168_2025!E578</f>
        <v>DEBIT_CARD</v>
      </c>
      <c r="F578" s="7" t="n">
        <f aca="false">Chase1168_2025!F578</f>
        <v>63976.7</v>
      </c>
      <c r="G578" s="0" t="str">
        <f aca="false">Chase1168_2025!G578</f>
        <v>2025 Costa Rica Trip</v>
      </c>
      <c r="H578" s="15" t="n">
        <f aca="false">IF($B578="","",DATE(YEAR($B578),MONTH($B578),1))</f>
        <v>45901</v>
      </c>
      <c r="I578" s="0" t="str">
        <f aca="false">IF($G578="","Uncategorized — Review",IFERROR(INDEX(Mapping!$B:$B,MATCH($G578,Mapping!$A:$A,0)),"Uncategorized — Review"))</f>
        <v>2025 Costa Rica Trip</v>
      </c>
      <c r="J578" s="0" t="str">
        <f aca="false">IF($G578="","Uncategorized — Review",IFERROR(INDEX(Mapping!$C:$C,MATCH($G578,Mapping!$A:$A,0)),"Uncategorized — Review"))</f>
        <v>Business Travel</v>
      </c>
    </row>
    <row r="579" customFormat="false" ht="15" hidden="false" customHeight="false" outlineLevel="0" collapsed="false">
      <c r="A579" s="0" t="str">
        <f aca="false">Chase1168_2025!A579</f>
        <v>DEBIT</v>
      </c>
      <c r="B579" s="14" t="n">
        <f aca="false">Chase1168_2025!B579</f>
        <v>45905</v>
      </c>
      <c r="C579" s="0" t="str">
        <f aca="false">Chase1168_2025!C579</f>
        <v>PANADERIA TOSSO PUNTARENAS                   09/03 CR Colon   2850.00 X 0.001992982 (EXCHG RTE)</v>
      </c>
      <c r="D579" s="7" t="n">
        <f aca="false">Chase1168_2025!D579</f>
        <v>-5.68</v>
      </c>
      <c r="E579" s="0" t="str">
        <f aca="false">Chase1168_2025!E579</f>
        <v>DEBIT_CARD</v>
      </c>
      <c r="F579" s="7" t="n">
        <f aca="false">Chase1168_2025!F579</f>
        <v>63986.39</v>
      </c>
      <c r="G579" s="0" t="str">
        <f aca="false">Chase1168_2025!G579</f>
        <v>2025 Costa Rica Trip</v>
      </c>
      <c r="H579" s="15" t="n">
        <f aca="false">IF($B579="","",DATE(YEAR($B579),MONTH($B579),1))</f>
        <v>45901</v>
      </c>
      <c r="I579" s="0" t="str">
        <f aca="false">IF($G579="","Uncategorized — Review",IFERROR(INDEX(Mapping!$B:$B,MATCH($G579,Mapping!$A:$A,0)),"Uncategorized — Review"))</f>
        <v>2025 Costa Rica Trip</v>
      </c>
      <c r="J579" s="0" t="str">
        <f aca="false">IF($G579="","Uncategorized — Review",IFERROR(INDEX(Mapping!$C:$C,MATCH($G579,Mapping!$A:$A,0)),"Uncategorized — Review"))</f>
        <v>Business Travel</v>
      </c>
    </row>
    <row r="580" customFormat="false" ht="15" hidden="false" customHeight="false" outlineLevel="0" collapsed="false">
      <c r="A580" s="0" t="str">
        <f aca="false">Chase1168_2025!A580</f>
        <v>DEBIT</v>
      </c>
      <c r="B580" s="14" t="n">
        <f aca="false">Chase1168_2025!B580</f>
        <v>45905</v>
      </c>
      <c r="C580" s="0" t="str">
        <f aca="false">Chase1168_2025!C580</f>
        <v>PP*APPLE.COM/BILL 800-275-2273 CA            09/04</v>
      </c>
      <c r="D580" s="7" t="n">
        <f aca="false">Chase1168_2025!D580</f>
        <v>-38.99</v>
      </c>
      <c r="E580" s="0" t="str">
        <f aca="false">Chase1168_2025!E580</f>
        <v>DEBIT_CARD</v>
      </c>
      <c r="F580" s="7" t="n">
        <f aca="false">Chase1168_2025!F580</f>
        <v>63992.07</v>
      </c>
      <c r="G580" s="0" t="str">
        <f aca="false">Chase1168_2025!G580</f>
        <v>Personal - Subscriptions</v>
      </c>
      <c r="H580" s="15" t="n">
        <f aca="false">IF($B580="","",DATE(YEAR($B580),MONTH($B580),1))</f>
        <v>45901</v>
      </c>
      <c r="I580" s="0" t="str">
        <f aca="false">IF($G580="","Uncategorized — Review",IFERROR(INDEX(Mapping!$B:$B,MATCH($G580,Mapping!$A:$A,0)),"Uncategorized — Review"))</f>
        <v>Personal - Subscriptions</v>
      </c>
      <c r="J580" s="0" t="str">
        <f aca="false">IF($G580="","Uncategorized — Review",IFERROR(INDEX(Mapping!$C:$C,MATCH($G580,Mapping!$A:$A,0)),"Uncategorized — Review"))</f>
        <v>Personal — Owner</v>
      </c>
    </row>
    <row r="581" customFormat="false" ht="15" hidden="false" customHeight="false" outlineLevel="0" collapsed="false">
      <c r="A581" s="0" t="str">
        <f aca="false">Chase1168_2025!A581</f>
        <v>CREDIT</v>
      </c>
      <c r="B581" s="14" t="n">
        <f aca="false">Chase1168_2025!B581</f>
        <v>45905</v>
      </c>
      <c r="C581" s="0" t="str">
        <f aca="false">Chase1168_2025!C581</f>
        <v>Online Transfer from CHK ...9335 transaction#: 26125670571</v>
      </c>
      <c r="D581" s="7" t="n">
        <f aca="false">Chase1168_2025!D581</f>
        <v>20000</v>
      </c>
      <c r="E581" s="0" t="str">
        <f aca="false">Chase1168_2025!E581</f>
        <v>ACCT_XFER</v>
      </c>
      <c r="F581" s="7" t="n">
        <f aca="false">Chase1168_2025!F581</f>
        <v>64031.06</v>
      </c>
      <c r="G581" s="0" t="str">
        <f aca="false">Chase1168_2025!G581</f>
        <v>Poseidon Asset Group (Incoming)</v>
      </c>
      <c r="H581" s="15" t="n">
        <f aca="false">IF($B581="","",DATE(YEAR($B581),MONTH($B581),1))</f>
        <v>45901</v>
      </c>
      <c r="I581" s="0" t="str">
        <f aca="false">IF($G581="","Uncategorized — Review",IFERROR(INDEX(Mapping!$B:$B,MATCH($G581,Mapping!$A:$A,0)),"Uncategorized — Review"))</f>
        <v>Poseidon Asset Group (Incoming)</v>
      </c>
      <c r="J581" s="0" t="str">
        <f aca="false">IF($G581="","Uncategorized — Review",IFERROR(INDEX(Mapping!$C:$C,MATCH($G581,Mapping!$A:$A,0)),"Uncategorized — Review"))</f>
        <v>Poseidon Asset Group</v>
      </c>
    </row>
    <row r="582" customFormat="false" ht="15" hidden="false" customHeight="false" outlineLevel="0" collapsed="false">
      <c r="A582" s="0" t="str">
        <f aca="false">Chase1168_2025!A582</f>
        <v>DEBIT</v>
      </c>
      <c r="B582" s="14" t="n">
        <f aca="false">Chase1168_2025!B582</f>
        <v>45904</v>
      </c>
      <c r="C582" s="0" t="str">
        <f aca="false">Chase1168_2025!C582</f>
        <v>ONLINE DOMESTIC WIRE FEE</v>
      </c>
      <c r="D582" s="7" t="n">
        <f aca="false">Chase1168_2025!D582</f>
        <v>-25</v>
      </c>
      <c r="E582" s="0" t="str">
        <f aca="false">Chase1168_2025!E582</f>
        <v>FEE_TRANSACTION</v>
      </c>
      <c r="F582" s="7" t="n">
        <f aca="false">Chase1168_2025!F582</f>
        <v>44031.06</v>
      </c>
      <c r="G582" s="0" t="str">
        <f aca="false">Chase1168_2025!G582</f>
        <v>Wire Fee</v>
      </c>
      <c r="H582" s="15" t="n">
        <f aca="false">IF($B582="","",DATE(YEAR($B582),MONTH($B582),1))</f>
        <v>45901</v>
      </c>
      <c r="I582" s="0" t="str">
        <f aca="false">IF($G582="","Uncategorized — Review",IFERROR(INDEX(Mapping!$B:$B,MATCH($G582,Mapping!$A:$A,0)),"Uncategorized — Review"))</f>
        <v>Wire Fee</v>
      </c>
      <c r="J582" s="0" t="str">
        <f aca="false">IF($G582="","Uncategorized — Review",IFERROR(INDEX(Mapping!$C:$C,MATCH($G582,Mapping!$A:$A,0)),"Uncategorized — Review"))</f>
        <v>DWG Operating</v>
      </c>
    </row>
    <row r="583" customFormat="false" ht="15" hidden="false" customHeight="false" outlineLevel="0" collapsed="false">
      <c r="A583" s="0" t="str">
        <f aca="false">Chase1168_2025!A583</f>
        <v>DEBIT</v>
      </c>
      <c r="B583" s="14" t="n">
        <f aca="false">Chase1168_2025!B583</f>
        <v>45904</v>
      </c>
      <c r="C583" s="0" t="str">
        <f aca="false">Chase1168_2025!C583</f>
        <v>ONLINE DOMESTIC WIRE TRANSFER A/C: MITCHELL ASSET GROUP INC DALLAS TX 75219-3216 US TRN: 3322655247ES 09/04</v>
      </c>
      <c r="D583" s="7" t="n">
        <f aca="false">Chase1168_2025!D583</f>
        <v>-99487</v>
      </c>
      <c r="E583" s="0" t="str">
        <f aca="false">Chase1168_2025!E583</f>
        <v>WIRE_OUTGOING</v>
      </c>
      <c r="F583" s="7" t="n">
        <f aca="false">Chase1168_2025!F583</f>
        <v>44056.06</v>
      </c>
      <c r="G583" s="0" t="str">
        <f aca="false">Chase1168_2025!G583</f>
        <v>Due to Dax – MAG Pass-Through 70%</v>
      </c>
      <c r="H583" s="15" t="n">
        <f aca="false">IF($B583="","",DATE(YEAR($B583),MONTH($B583),1))</f>
        <v>45901</v>
      </c>
      <c r="I583" s="0" t="str">
        <f aca="false">IF($G583="","Uncategorized — Review",IFERROR(INDEX(Mapping!$B:$B,MATCH($G583,Mapping!$A:$A,0)),"Uncategorized — Review"))</f>
        <v>Due to Dax – MAG Pass-Through 70%</v>
      </c>
      <c r="J583" s="0" t="str">
        <f aca="false">IF($G583="","Uncategorized — Review",IFERROR(INDEX(Mapping!$C:$C,MATCH($G583,Mapping!$A:$A,0)),"Uncategorized — Review"))</f>
        <v>MAG Pass-Through</v>
      </c>
    </row>
    <row r="584" customFormat="false" ht="15" hidden="false" customHeight="false" outlineLevel="0" collapsed="false">
      <c r="A584" s="0" t="str">
        <f aca="false">Chase1168_2025!A584</f>
        <v>DEBIT</v>
      </c>
      <c r="B584" s="14" t="n">
        <f aca="false">Chase1168_2025!B584</f>
        <v>45904</v>
      </c>
      <c r="C584" s="0" t="str">
        <f aca="false">Chase1168_2025!C584</f>
        <v>PAYPAL *FACE AID 402-935-7733 CA             09/04</v>
      </c>
      <c r="D584" s="7" t="n">
        <f aca="false">Chase1168_2025!D584</f>
        <v>-200</v>
      </c>
      <c r="E584" s="0" t="str">
        <f aca="false">Chase1168_2025!E584</f>
        <v>DEBIT_CARD</v>
      </c>
      <c r="F584" s="7" t="n">
        <f aca="false">Chase1168_2025!F584</f>
        <v>143543.06</v>
      </c>
      <c r="G584" s="0" t="str">
        <f aca="false">Chase1168_2025!G584</f>
        <v>Personal - Health</v>
      </c>
      <c r="H584" s="15" t="n">
        <f aca="false">IF($B584="","",DATE(YEAR($B584),MONTH($B584),1))</f>
        <v>45901</v>
      </c>
      <c r="I584" s="0" t="str">
        <f aca="false">IF($G584="","Uncategorized — Review",IFERROR(INDEX(Mapping!$B:$B,MATCH($G584,Mapping!$A:$A,0)),"Uncategorized — Review"))</f>
        <v>Personal - Health (incl. Ins.)</v>
      </c>
      <c r="J584" s="0" t="str">
        <f aca="false">IF($G584="","Uncategorized — Review",IFERROR(INDEX(Mapping!$C:$C,MATCH($G584,Mapping!$A:$A,0)),"Uncategorized — Review"))</f>
        <v>Personal — Owner</v>
      </c>
    </row>
    <row r="585" customFormat="false" ht="15" hidden="false" customHeight="false" outlineLevel="0" collapsed="false">
      <c r="A585" s="0" t="str">
        <f aca="false">Chase1168_2025!A585</f>
        <v>DEBIT</v>
      </c>
      <c r="B585" s="14" t="n">
        <f aca="false">Chase1168_2025!B585</f>
        <v>45904</v>
      </c>
      <c r="C585" s="0" t="str">
        <f aca="false">Chase1168_2025!C585</f>
        <v>PAYPAL *SANDYPR COM 402-935-7733 CA          09/03</v>
      </c>
      <c r="D585" s="7" t="n">
        <f aca="false">Chase1168_2025!D585</f>
        <v>-300</v>
      </c>
      <c r="E585" s="0" t="str">
        <f aca="false">Chase1168_2025!E585</f>
        <v>DEBIT_CARD</v>
      </c>
      <c r="F585" s="7" t="n">
        <f aca="false">Chase1168_2025!F585</f>
        <v>143743.06</v>
      </c>
      <c r="G585" s="0" t="str">
        <f aca="false">Chase1168_2025!G585</f>
        <v>Sandy PR Payment</v>
      </c>
      <c r="H585" s="15" t="n">
        <f aca="false">IF($B585="","",DATE(YEAR($B585),MONTH($B585),1))</f>
        <v>45901</v>
      </c>
      <c r="I585" s="0" t="str">
        <f aca="false">IF($G585="","Uncategorized — Review",IFERROR(INDEX(Mapping!$B:$B,MATCH($G585,Mapping!$A:$A,0)),"Uncategorized — Review"))</f>
        <v>Sandy PR Payment</v>
      </c>
      <c r="J585" s="0" t="str">
        <f aca="false">IF($G585="","Uncategorized — Review",IFERROR(INDEX(Mapping!$C:$C,MATCH($G585,Mapping!$A:$A,0)),"Uncategorized — Review"))</f>
        <v>DWG Operating</v>
      </c>
    </row>
    <row r="586" customFormat="false" ht="15" hidden="false" customHeight="false" outlineLevel="0" collapsed="false">
      <c r="A586" s="0" t="str">
        <f aca="false">Chase1168_2025!A586</f>
        <v>DEBIT</v>
      </c>
      <c r="B586" s="14" t="n">
        <f aca="false">Chase1168_2025!B586</f>
        <v>45904</v>
      </c>
      <c r="C586" s="0" t="str">
        <f aca="false">Chase1168_2025!C586</f>
        <v>PAYPAL *PRAGERUNIVE P 833-772-4378 CA        09/03</v>
      </c>
      <c r="D586" s="7" t="n">
        <f aca="false">Chase1168_2025!D586</f>
        <v>-10.78</v>
      </c>
      <c r="E586" s="0" t="str">
        <f aca="false">Chase1168_2025!E586</f>
        <v>DEBIT_CARD</v>
      </c>
      <c r="F586" s="7" t="n">
        <f aca="false">Chase1168_2025!F586</f>
        <v>144043.06</v>
      </c>
      <c r="G586" s="0" t="str">
        <f aca="false">Chase1168_2025!G586</f>
        <v>DWGCP Business Development</v>
      </c>
      <c r="H586" s="15" t="n">
        <f aca="false">IF($B586="","",DATE(YEAR($B586),MONTH($B586),1))</f>
        <v>45901</v>
      </c>
      <c r="I586" s="0" t="str">
        <f aca="false">IF($G586="","Uncategorized — Review",IFERROR(INDEX(Mapping!$B:$B,MATCH($G586,Mapping!$A:$A,0)),"Uncategorized — Review"))</f>
        <v>DWGCP Business Development</v>
      </c>
      <c r="J586" s="0" t="str">
        <f aca="false">IF($G586="","Uncategorized — Review",IFERROR(INDEX(Mapping!$C:$C,MATCH($G586,Mapping!$A:$A,0)),"Uncategorized — Review"))</f>
        <v>DWG Operating</v>
      </c>
    </row>
    <row r="587" customFormat="false" ht="15" hidden="false" customHeight="false" outlineLevel="0" collapsed="false">
      <c r="A587" s="0" t="str">
        <f aca="false">Chase1168_2025!A587</f>
        <v>DEBIT</v>
      </c>
      <c r="B587" s="14" t="n">
        <f aca="false">Chase1168_2025!B587</f>
        <v>45903</v>
      </c>
      <c r="C587" s="0" t="str">
        <f aca="false">Chase1168_2025!C587</f>
        <v>FOREIGN EXCHANGE RATE ADJUSTMENT FEE         09/02UBALDOS C</v>
      </c>
      <c r="D587" s="7" t="n">
        <f aca="false">Chase1168_2025!D587</f>
        <v>-0.11</v>
      </c>
      <c r="E587" s="0" t="str">
        <f aca="false">Chase1168_2025!E587</f>
        <v>FEE_TRANSACTION</v>
      </c>
      <c r="F587" s="7" t="n">
        <f aca="false">Chase1168_2025!F587</f>
        <v>144053.84</v>
      </c>
      <c r="G587" s="0" t="str">
        <f aca="false">Chase1168_2025!G587</f>
        <v>Bank Fees</v>
      </c>
      <c r="H587" s="15" t="n">
        <f aca="false">IF($B587="","",DATE(YEAR($B587),MONTH($B587),1))</f>
        <v>45901</v>
      </c>
      <c r="I587" s="0" t="str">
        <f aca="false">IF($G587="","Uncategorized — Review",IFERROR(INDEX(Mapping!$B:$B,MATCH($G587,Mapping!$A:$A,0)),"Uncategorized — Review"))</f>
        <v>Bank Fees</v>
      </c>
      <c r="J587" s="0" t="str">
        <f aca="false">IF($G587="","Uncategorized — Review",IFERROR(INDEX(Mapping!$C:$C,MATCH($G587,Mapping!$A:$A,0)),"Uncategorized — Review"))</f>
        <v>DWG Operating</v>
      </c>
    </row>
    <row r="588" customFormat="false" ht="15" hidden="false" customHeight="false" outlineLevel="0" collapsed="false">
      <c r="A588" s="0" t="str">
        <f aca="false">Chase1168_2025!A588</f>
        <v>DEBIT</v>
      </c>
      <c r="B588" s="14" t="n">
        <f aca="false">Chase1168_2025!B588</f>
        <v>45903</v>
      </c>
      <c r="C588" s="0" t="str">
        <f aca="false">Chase1168_2025!C588</f>
        <v>FOREIGN EXCHANGE RATE ADJUSTMENT FEE         08/31RESTAURAN</v>
      </c>
      <c r="D588" s="7" t="n">
        <f aca="false">Chase1168_2025!D588</f>
        <v>-0.42</v>
      </c>
      <c r="E588" s="0" t="str">
        <f aca="false">Chase1168_2025!E588</f>
        <v>FEE_TRANSACTION</v>
      </c>
      <c r="F588" s="7" t="n">
        <f aca="false">Chase1168_2025!F588</f>
        <v>144053.95</v>
      </c>
      <c r="G588" s="0" t="str">
        <f aca="false">Chase1168_2025!G588</f>
        <v>Bank Fees</v>
      </c>
      <c r="H588" s="15" t="n">
        <f aca="false">IF($B588="","",DATE(YEAR($B588),MONTH($B588),1))</f>
        <v>45901</v>
      </c>
      <c r="I588" s="0" t="str">
        <f aca="false">IF($G588="","Uncategorized — Review",IFERROR(INDEX(Mapping!$B:$B,MATCH($G588,Mapping!$A:$A,0)),"Uncategorized — Review"))</f>
        <v>Bank Fees</v>
      </c>
      <c r="J588" s="0" t="str">
        <f aca="false">IF($G588="","Uncategorized — Review",IFERROR(INDEX(Mapping!$C:$C,MATCH($G588,Mapping!$A:$A,0)),"Uncategorized — Review"))</f>
        <v>DWG Operating</v>
      </c>
    </row>
    <row r="589" customFormat="false" ht="15" hidden="false" customHeight="false" outlineLevel="0" collapsed="false">
      <c r="A589" s="0" t="str">
        <f aca="false">Chase1168_2025!A589</f>
        <v>DEBIT</v>
      </c>
      <c r="B589" s="14" t="n">
        <f aca="false">Chase1168_2025!B589</f>
        <v>45903</v>
      </c>
      <c r="C589" s="0" t="str">
        <f aca="false">Chase1168_2025!C589</f>
        <v>FOREIGN EXCHANGE RATE ADJUSTMENT FEE         09/02KARMA CAF</v>
      </c>
      <c r="D589" s="7" t="n">
        <f aca="false">Chase1168_2025!D589</f>
        <v>-2.33</v>
      </c>
      <c r="E589" s="0" t="str">
        <f aca="false">Chase1168_2025!E589</f>
        <v>FEE_TRANSACTION</v>
      </c>
      <c r="F589" s="7" t="n">
        <f aca="false">Chase1168_2025!F589</f>
        <v>144054.37</v>
      </c>
      <c r="G589" s="0" t="str">
        <f aca="false">Chase1168_2025!G589</f>
        <v>Bank Fees</v>
      </c>
      <c r="H589" s="15" t="n">
        <f aca="false">IF($B589="","",DATE(YEAR($B589),MONTH($B589),1))</f>
        <v>45901</v>
      </c>
      <c r="I589" s="0" t="str">
        <f aca="false">IF($G589="","Uncategorized — Review",IFERROR(INDEX(Mapping!$B:$B,MATCH($G589,Mapping!$A:$A,0)),"Uncategorized — Review"))</f>
        <v>Bank Fees</v>
      </c>
      <c r="J589" s="0" t="str">
        <f aca="false">IF($G589="","Uncategorized — Review",IFERROR(INDEX(Mapping!$C:$C,MATCH($G589,Mapping!$A:$A,0)),"Uncategorized — Review"))</f>
        <v>DWG Operating</v>
      </c>
    </row>
    <row r="590" customFormat="false" ht="15" hidden="false" customHeight="false" outlineLevel="0" collapsed="false">
      <c r="A590" s="0" t="str">
        <f aca="false">Chase1168_2025!A590</f>
        <v>DEBIT</v>
      </c>
      <c r="B590" s="14" t="n">
        <f aca="false">Chase1168_2025!B590</f>
        <v>45903</v>
      </c>
      <c r="C590" s="0" t="str">
        <f aca="false">Chase1168_2025!C590</f>
        <v>Online Transfer to CHK ...1117 transaction#: 26095018368 09/03</v>
      </c>
      <c r="D590" s="7" t="n">
        <f aca="false">Chase1168_2025!D590</f>
        <v>-3000</v>
      </c>
      <c r="E590" s="0" t="str">
        <f aca="false">Chase1168_2025!E590</f>
        <v>ACCT_XFER</v>
      </c>
      <c r="F590" s="7" t="n">
        <f aca="false">Chase1168_2025!F590</f>
        <v>144056.7</v>
      </c>
      <c r="G590" s="0" t="str">
        <f aca="false">Chase1168_2025!G590</f>
        <v>Transfer to Angela Dunning</v>
      </c>
      <c r="H590" s="15" t="n">
        <f aca="false">IF($B590="","",DATE(YEAR($B590),MONTH($B590),1))</f>
        <v>45901</v>
      </c>
      <c r="I590" s="0" t="str">
        <f aca="false">IF($G590="","Uncategorized — Review",IFERROR(INDEX(Mapping!$B:$B,MATCH($G590,Mapping!$A:$A,0)),"Uncategorized — Review"))</f>
        <v>Transfer to Angela Dunning</v>
      </c>
      <c r="J590" s="0" t="str">
        <f aca="false">IF($G590="","Uncategorized — Review",IFERROR(INDEX(Mapping!$C:$C,MATCH($G590,Mapping!$A:$A,0)),"Uncategorized — Review"))</f>
        <v>Owner / Family Distributions</v>
      </c>
    </row>
    <row r="591" customFormat="false" ht="15" hidden="false" customHeight="false" outlineLevel="0" collapsed="false">
      <c r="A591" s="0" t="str">
        <f aca="false">Chase1168_2025!A591</f>
        <v>DEBIT</v>
      </c>
      <c r="B591" s="14" t="n">
        <f aca="false">Chase1168_2025!B591</f>
        <v>45903</v>
      </c>
      <c r="C591" s="0" t="str">
        <f aca="false">Chase1168_2025!C591</f>
        <v>Online Transfer to CHK ...0709 transaction#: 26094984854 09/03</v>
      </c>
      <c r="D591" s="7" t="n">
        <f aca="false">Chase1168_2025!D591</f>
        <v>-2000</v>
      </c>
      <c r="E591" s="0" t="str">
        <f aca="false">Chase1168_2025!E591</f>
        <v>ACCT_XFER</v>
      </c>
      <c r="F591" s="7" t="n">
        <f aca="false">Chase1168_2025!F591</f>
        <v>147056.7</v>
      </c>
      <c r="G591" s="0" t="str">
        <f aca="false">Chase1168_2025!G591</f>
        <v>Transfer to DWG Capital Group_Savings</v>
      </c>
      <c r="H591" s="15" t="n">
        <f aca="false">IF($B591="","",DATE(YEAR($B591),MONTH($B591),1))</f>
        <v>45901</v>
      </c>
      <c r="I591" s="0" t="str">
        <f aca="false">IF($G591="","Uncategorized — Review",IFERROR(INDEX(Mapping!$B:$B,MATCH($G591,Mapping!$A:$A,0)),"Uncategorized — Review"))</f>
        <v>Transfer to DWG Savings</v>
      </c>
      <c r="J591" s="0" t="str">
        <f aca="false">IF($G591="","Uncategorized — Review",IFERROR(INDEX(Mapping!$C:$C,MATCH($G591,Mapping!$A:$A,0)),"Uncategorized — Review"))</f>
        <v>Intercompany &amp; Savings Transfers</v>
      </c>
    </row>
    <row r="592" customFormat="false" ht="15" hidden="false" customHeight="false" outlineLevel="0" collapsed="false">
      <c r="A592" s="0" t="str">
        <f aca="false">Chase1168_2025!A592</f>
        <v>DEBIT</v>
      </c>
      <c r="B592" s="14" t="n">
        <f aca="false">Chase1168_2025!B592</f>
        <v>45903</v>
      </c>
      <c r="C592" s="0" t="str">
        <f aca="false">Chase1168_2025!C592</f>
        <v>KARMA CAFE Y RESTAURANT GARABITO             09/02 CR Colon   39100.00 X 0.001993350 (EXCHG RTE)</v>
      </c>
      <c r="D592" s="7" t="n">
        <f aca="false">Chase1168_2025!D592</f>
        <v>-77.94</v>
      </c>
      <c r="E592" s="0" t="str">
        <f aca="false">Chase1168_2025!E592</f>
        <v>DEBIT_CARD</v>
      </c>
      <c r="F592" s="7" t="n">
        <f aca="false">Chase1168_2025!F592</f>
        <v>149056.7</v>
      </c>
      <c r="G592" s="0" t="str">
        <f aca="false">Chase1168_2025!G592</f>
        <v>2025 Costa Rica Trip</v>
      </c>
      <c r="H592" s="15" t="n">
        <f aca="false">IF($B592="","",DATE(YEAR($B592),MONTH($B592),1))</f>
        <v>45901</v>
      </c>
      <c r="I592" s="0" t="str">
        <f aca="false">IF($G592="","Uncategorized — Review",IFERROR(INDEX(Mapping!$B:$B,MATCH($G592,Mapping!$A:$A,0)),"Uncategorized — Review"))</f>
        <v>2025 Costa Rica Trip</v>
      </c>
      <c r="J592" s="0" t="str">
        <f aca="false">IF($G592="","Uncategorized — Review",IFERROR(INDEX(Mapping!$C:$C,MATCH($G592,Mapping!$A:$A,0)),"Uncategorized — Review"))</f>
        <v>Business Travel</v>
      </c>
    </row>
    <row r="593" customFormat="false" ht="15" hidden="false" customHeight="false" outlineLevel="0" collapsed="false">
      <c r="A593" s="0" t="str">
        <f aca="false">Chase1168_2025!A593</f>
        <v>DEBIT</v>
      </c>
      <c r="B593" s="14" t="n">
        <f aca="false">Chase1168_2025!B593</f>
        <v>45903</v>
      </c>
      <c r="C593" s="0" t="str">
        <f aca="false">Chase1168_2025!C593</f>
        <v>PP*APPLE.COM/BILL 800-275-2273 CA            09/03</v>
      </c>
      <c r="D593" s="7" t="n">
        <f aca="false">Chase1168_2025!D593</f>
        <v>-12.99</v>
      </c>
      <c r="E593" s="0" t="str">
        <f aca="false">Chase1168_2025!E593</f>
        <v>DEBIT_CARD</v>
      </c>
      <c r="F593" s="7" t="n">
        <f aca="false">Chase1168_2025!F593</f>
        <v>149134.64</v>
      </c>
      <c r="G593" s="0" t="str">
        <f aca="false">Chase1168_2025!G593</f>
        <v>Personal - Subscriptions</v>
      </c>
      <c r="H593" s="15" t="n">
        <f aca="false">IF($B593="","",DATE(YEAR($B593),MONTH($B593),1))</f>
        <v>45901</v>
      </c>
      <c r="I593" s="0" t="str">
        <f aca="false">IF($G593="","Uncategorized — Review",IFERROR(INDEX(Mapping!$B:$B,MATCH($G593,Mapping!$A:$A,0)),"Uncategorized — Review"))</f>
        <v>Personal - Subscriptions</v>
      </c>
      <c r="J593" s="0" t="str">
        <f aca="false">IF($G593="","Uncategorized — Review",IFERROR(INDEX(Mapping!$C:$C,MATCH($G593,Mapping!$A:$A,0)),"Uncategorized — Review"))</f>
        <v>Personal — Owner</v>
      </c>
    </row>
    <row r="594" customFormat="false" ht="15" hidden="false" customHeight="false" outlineLevel="0" collapsed="false">
      <c r="A594" s="0" t="str">
        <f aca="false">Chase1168_2025!A594</f>
        <v>DEBIT</v>
      </c>
      <c r="B594" s="14" t="n">
        <f aca="false">Chase1168_2025!B594</f>
        <v>45903</v>
      </c>
      <c r="C594" s="0" t="str">
        <f aca="false">Chase1168_2025!C594</f>
        <v>PAYPAL *DIRECTV 800-531-5000 TX              09/03</v>
      </c>
      <c r="D594" s="7" t="n">
        <f aca="false">Chase1168_2025!D594</f>
        <v>-101.99</v>
      </c>
      <c r="E594" s="0" t="str">
        <f aca="false">Chase1168_2025!E594</f>
        <v>DEBIT_CARD</v>
      </c>
      <c r="F594" s="7" t="n">
        <f aca="false">Chase1168_2025!F594</f>
        <v>149147.63</v>
      </c>
      <c r="G594" s="0" t="str">
        <f aca="false">Chase1168_2025!G594</f>
        <v>Personal - Subscriptions</v>
      </c>
      <c r="H594" s="15" t="n">
        <f aca="false">IF($B594="","",DATE(YEAR($B594),MONTH($B594),1))</f>
        <v>45901</v>
      </c>
      <c r="I594" s="0" t="str">
        <f aca="false">IF($G594="","Uncategorized — Review",IFERROR(INDEX(Mapping!$B:$B,MATCH($G594,Mapping!$A:$A,0)),"Uncategorized — Review"))</f>
        <v>Personal - Subscriptions</v>
      </c>
      <c r="J594" s="0" t="str">
        <f aca="false">IF($G594="","Uncategorized — Review",IFERROR(INDEX(Mapping!$C:$C,MATCH($G594,Mapping!$A:$A,0)),"Uncategorized — Review"))</f>
        <v>Personal — Owner</v>
      </c>
    </row>
    <row r="595" customFormat="false" ht="15" hidden="false" customHeight="false" outlineLevel="0" collapsed="false">
      <c r="A595" s="0" t="str">
        <f aca="false">Chase1168_2025!A595</f>
        <v>DEBIT</v>
      </c>
      <c r="B595" s="14" t="n">
        <f aca="false">Chase1168_2025!B595</f>
        <v>45903</v>
      </c>
      <c r="C595" s="0" t="str">
        <f aca="false">Chase1168_2025!C595</f>
        <v>PAYPAL *FACE AID 402-935-7733 CA             09/03</v>
      </c>
      <c r="D595" s="7" t="n">
        <f aca="false">Chase1168_2025!D595</f>
        <v>-1000</v>
      </c>
      <c r="E595" s="0" t="str">
        <f aca="false">Chase1168_2025!E595</f>
        <v>DEBIT_CARD</v>
      </c>
      <c r="F595" s="7" t="n">
        <f aca="false">Chase1168_2025!F595</f>
        <v>149249.62</v>
      </c>
      <c r="G595" s="0" t="str">
        <f aca="false">Chase1168_2025!G595</f>
        <v>Personal - Health</v>
      </c>
      <c r="H595" s="15" t="n">
        <f aca="false">IF($B595="","",DATE(YEAR($B595),MONTH($B595),1))</f>
        <v>45901</v>
      </c>
      <c r="I595" s="0" t="str">
        <f aca="false">IF($G595="","Uncategorized — Review",IFERROR(INDEX(Mapping!$B:$B,MATCH($G595,Mapping!$A:$A,0)),"Uncategorized — Review"))</f>
        <v>Personal - Health (incl. Ins.)</v>
      </c>
      <c r="J595" s="0" t="str">
        <f aca="false">IF($G595="","Uncategorized — Review",IFERROR(INDEX(Mapping!$C:$C,MATCH($G595,Mapping!$A:$A,0)),"Uncategorized — Review"))</f>
        <v>Personal — Owner</v>
      </c>
    </row>
    <row r="596" customFormat="false" ht="15" hidden="false" customHeight="false" outlineLevel="0" collapsed="false">
      <c r="A596" s="0" t="str">
        <f aca="false">Chase1168_2025!A596</f>
        <v>DEBIT</v>
      </c>
      <c r="B596" s="14" t="n">
        <f aca="false">Chase1168_2025!B596</f>
        <v>45903</v>
      </c>
      <c r="C596" s="0" t="str">
        <f aca="false">Chase1168_2025!C596</f>
        <v>PAYPAL *EPOCH TIMES T 833-699-1888 NY        09/02</v>
      </c>
      <c r="D596" s="7" t="n">
        <f aca="false">Chase1168_2025!D596</f>
        <v>-16</v>
      </c>
      <c r="E596" s="0" t="str">
        <f aca="false">Chase1168_2025!E596</f>
        <v>DEBIT_CARD</v>
      </c>
      <c r="F596" s="7" t="n">
        <f aca="false">Chase1168_2025!F596</f>
        <v>150249.62</v>
      </c>
      <c r="G596" s="0" t="str">
        <f aca="false">Chase1168_2025!G596</f>
        <v>Personal - Subscriptions</v>
      </c>
      <c r="H596" s="15" t="n">
        <f aca="false">IF($B596="","",DATE(YEAR($B596),MONTH($B596),1))</f>
        <v>45901</v>
      </c>
      <c r="I596" s="0" t="str">
        <f aca="false">IF($G596="","Uncategorized — Review",IFERROR(INDEX(Mapping!$B:$B,MATCH($G596,Mapping!$A:$A,0)),"Uncategorized — Review"))</f>
        <v>Personal - Subscriptions</v>
      </c>
      <c r="J596" s="0" t="str">
        <f aca="false">IF($G596="","Uncategorized — Review",IFERROR(INDEX(Mapping!$C:$C,MATCH($G596,Mapping!$A:$A,0)),"Uncategorized — Review"))</f>
        <v>Personal — Owner</v>
      </c>
    </row>
    <row r="597" customFormat="false" ht="15" hidden="false" customHeight="false" outlineLevel="0" collapsed="false">
      <c r="A597" s="0" t="str">
        <f aca="false">Chase1168_2025!A597</f>
        <v>DEBIT</v>
      </c>
      <c r="B597" s="14" t="n">
        <f aca="false">Chase1168_2025!B597</f>
        <v>45903</v>
      </c>
      <c r="C597" s="0" t="str">
        <f aca="false">Chase1168_2025!C597</f>
        <v>UBALDOS CAFE PUNTARENAS                      09/02 CR Colon   2000.00 X 0.001990000 (EXCHG RTE)</v>
      </c>
      <c r="D597" s="7" t="n">
        <f aca="false">Chase1168_2025!D597</f>
        <v>-3.98</v>
      </c>
      <c r="E597" s="0" t="str">
        <f aca="false">Chase1168_2025!E597</f>
        <v>DEBIT_CARD</v>
      </c>
      <c r="F597" s="7" t="n">
        <f aca="false">Chase1168_2025!F597</f>
        <v>150265.62</v>
      </c>
      <c r="G597" s="0" t="str">
        <f aca="false">Chase1168_2025!G597</f>
        <v>2025 Costa Rica Trip</v>
      </c>
      <c r="H597" s="15" t="n">
        <f aca="false">IF($B597="","",DATE(YEAR($B597),MONTH($B597),1))</f>
        <v>45901</v>
      </c>
      <c r="I597" s="0" t="str">
        <f aca="false">IF($G597="","Uncategorized — Review",IFERROR(INDEX(Mapping!$B:$B,MATCH($G597,Mapping!$A:$A,0)),"Uncategorized — Review"))</f>
        <v>2025 Costa Rica Trip</v>
      </c>
      <c r="J597" s="0" t="str">
        <f aca="false">IF($G597="","Uncategorized — Review",IFERROR(INDEX(Mapping!$C:$C,MATCH($G597,Mapping!$A:$A,0)),"Uncategorized — Review"))</f>
        <v>Business Travel</v>
      </c>
    </row>
    <row r="598" customFormat="false" ht="15" hidden="false" customHeight="false" outlineLevel="0" collapsed="false">
      <c r="A598" s="0" t="str">
        <f aca="false">Chase1168_2025!A598</f>
        <v>DEBIT</v>
      </c>
      <c r="B598" s="14" t="n">
        <f aca="false">Chase1168_2025!B598</f>
        <v>45903</v>
      </c>
      <c r="C598" s="0" t="str">
        <f aca="false">Chase1168_2025!C598</f>
        <v>RESTAURANTE VIDA HERMOS PUNTARENAS           08/31 CR Colon   7201.00 X 0.001988613 (EXCHG RTE)</v>
      </c>
      <c r="D598" s="7" t="n">
        <f aca="false">Chase1168_2025!D598</f>
        <v>-14.32</v>
      </c>
      <c r="E598" s="0" t="str">
        <f aca="false">Chase1168_2025!E598</f>
        <v>DEBIT_CARD</v>
      </c>
      <c r="F598" s="7" t="n">
        <f aca="false">Chase1168_2025!F598</f>
        <v>150269.6</v>
      </c>
      <c r="G598" s="0" t="str">
        <f aca="false">Chase1168_2025!G598</f>
        <v>2025 Costa Rica Trip</v>
      </c>
      <c r="H598" s="15" t="n">
        <f aca="false">IF($B598="","",DATE(YEAR($B598),MONTH($B598),1))</f>
        <v>45901</v>
      </c>
      <c r="I598" s="0" t="str">
        <f aca="false">IF($G598="","Uncategorized — Review",IFERROR(INDEX(Mapping!$B:$B,MATCH($G598,Mapping!$A:$A,0)),"Uncategorized — Review"))</f>
        <v>2025 Costa Rica Trip</v>
      </c>
      <c r="J598" s="0" t="str">
        <f aca="false">IF($G598="","Uncategorized — Review",IFERROR(INDEX(Mapping!$C:$C,MATCH($G598,Mapping!$A:$A,0)),"Uncategorized — Review"))</f>
        <v>Business Travel</v>
      </c>
    </row>
    <row r="599" customFormat="false" ht="15" hidden="false" customHeight="false" outlineLevel="0" collapsed="false">
      <c r="A599" s="0" t="str">
        <f aca="false">Chase1168_2025!A599</f>
        <v>DEBIT</v>
      </c>
      <c r="B599" s="14" t="n">
        <f aca="false">Chase1168_2025!B599</f>
        <v>45902</v>
      </c>
      <c r="C599" s="0" t="str">
        <f aca="false">Chase1168_2025!C599</f>
        <v>FOREIGN EXCHANGE RATE ADJUSTMENT FEE         08/30GLOBAL VI</v>
      </c>
      <c r="D599" s="7" t="n">
        <f aca="false">Chase1168_2025!D599</f>
        <v>-0.04</v>
      </c>
      <c r="E599" s="0" t="str">
        <f aca="false">Chase1168_2025!E599</f>
        <v>FEE_TRANSACTION</v>
      </c>
      <c r="F599" s="7" t="n">
        <f aca="false">Chase1168_2025!F599</f>
        <v>150283.92</v>
      </c>
      <c r="G599" s="0" t="str">
        <f aca="false">Chase1168_2025!G599</f>
        <v>2025 Costa Rica Trip</v>
      </c>
      <c r="H599" s="15" t="n">
        <f aca="false">IF($B599="","",DATE(YEAR($B599),MONTH($B599),1))</f>
        <v>45901</v>
      </c>
      <c r="I599" s="0" t="str">
        <f aca="false">IF($G599="","Uncategorized — Review",IFERROR(INDEX(Mapping!$B:$B,MATCH($G599,Mapping!$A:$A,0)),"Uncategorized — Review"))</f>
        <v>2025 Costa Rica Trip</v>
      </c>
      <c r="J599" s="0" t="str">
        <f aca="false">IF($G599="","Uncategorized — Review",IFERROR(INDEX(Mapping!$C:$C,MATCH($G599,Mapping!$A:$A,0)),"Uncategorized — Review"))</f>
        <v>Business Travel</v>
      </c>
    </row>
    <row r="600" customFormat="false" ht="15" hidden="false" customHeight="false" outlineLevel="0" collapsed="false">
      <c r="A600" s="0" t="str">
        <f aca="false">Chase1168_2025!A600</f>
        <v>DEBIT</v>
      </c>
      <c r="B600" s="14" t="n">
        <f aca="false">Chase1168_2025!B600</f>
        <v>45902</v>
      </c>
      <c r="C600" s="0" t="str">
        <f aca="false">Chase1168_2025!C600</f>
        <v>FOREIGN EXCHANGE RATE ADJUSTMENT FEE         08/31RESTAURAN</v>
      </c>
      <c r="D600" s="7" t="n">
        <f aca="false">Chase1168_2025!D600</f>
        <v>-0.59</v>
      </c>
      <c r="E600" s="0" t="str">
        <f aca="false">Chase1168_2025!E600</f>
        <v>FEE_TRANSACTION</v>
      </c>
      <c r="F600" s="7" t="n">
        <f aca="false">Chase1168_2025!F600</f>
        <v>150283.96</v>
      </c>
      <c r="G600" s="0" t="str">
        <f aca="false">Chase1168_2025!G600</f>
        <v>2025 Costa Rica Trip</v>
      </c>
      <c r="H600" s="15" t="n">
        <f aca="false">IF($B600="","",DATE(YEAR($B600),MONTH($B600),1))</f>
        <v>45901</v>
      </c>
      <c r="I600" s="0" t="str">
        <f aca="false">IF($G600="","Uncategorized — Review",IFERROR(INDEX(Mapping!$B:$B,MATCH($G600,Mapping!$A:$A,0)),"Uncategorized — Review"))</f>
        <v>2025 Costa Rica Trip</v>
      </c>
      <c r="J600" s="0" t="str">
        <f aca="false">IF($G600="","Uncategorized — Review",IFERROR(INDEX(Mapping!$C:$C,MATCH($G600,Mapping!$A:$A,0)),"Uncategorized — Review"))</f>
        <v>Business Travel</v>
      </c>
    </row>
    <row r="601" customFormat="false" ht="15" hidden="false" customHeight="false" outlineLevel="0" collapsed="false">
      <c r="A601" s="0" t="str">
        <f aca="false">Chase1168_2025!A601</f>
        <v>DEBIT</v>
      </c>
      <c r="B601" s="14" t="n">
        <f aca="false">Chase1168_2025!B601</f>
        <v>45902</v>
      </c>
      <c r="C601" s="0" t="str">
        <f aca="false">Chase1168_2025!C601</f>
        <v>STD ACH PMNTS VOLUME FEE QTY = 4</v>
      </c>
      <c r="D601" s="7" t="n">
        <f aca="false">Chase1168_2025!D601</f>
        <v>-0.6</v>
      </c>
      <c r="E601" s="0" t="str">
        <f aca="false">Chase1168_2025!E601</f>
        <v>FEE_TRANSACTION</v>
      </c>
      <c r="F601" s="7" t="n">
        <f aca="false">Chase1168_2025!F601</f>
        <v>150284.55</v>
      </c>
      <c r="G601" s="0" t="str">
        <f aca="false">Chase1168_2025!G601</f>
        <v>Bank Fees</v>
      </c>
      <c r="H601" s="15" t="n">
        <f aca="false">IF($B601="","",DATE(YEAR($B601),MONTH($B601),1))</f>
        <v>45901</v>
      </c>
      <c r="I601" s="0" t="str">
        <f aca="false">IF($G601="","Uncategorized — Review",IFERROR(INDEX(Mapping!$B:$B,MATCH($G601,Mapping!$A:$A,0)),"Uncategorized — Review"))</f>
        <v>Bank Fees</v>
      </c>
      <c r="J601" s="0" t="str">
        <f aca="false">IF($G601="","Uncategorized — Review",IFERROR(INDEX(Mapping!$C:$C,MATCH($G601,Mapping!$A:$A,0)),"Uncategorized — Review"))</f>
        <v>DWG Operating</v>
      </c>
    </row>
    <row r="602" customFormat="false" ht="15" hidden="false" customHeight="false" outlineLevel="0" collapsed="false">
      <c r="A602" s="0" t="str">
        <f aca="false">Chase1168_2025!A602</f>
        <v>DEBIT</v>
      </c>
      <c r="B602" s="14" t="n">
        <f aca="false">Chase1168_2025!B602</f>
        <v>45902</v>
      </c>
      <c r="C602" s="0" t="str">
        <f aca="false">Chase1168_2025!C602</f>
        <v>FOREIGN EXCHANGE RATE ADJUSTMENT FEE         08/31KARMA CAF</v>
      </c>
      <c r="D602" s="7" t="n">
        <f aca="false">Chase1168_2025!D602</f>
        <v>-0.67</v>
      </c>
      <c r="E602" s="0" t="str">
        <f aca="false">Chase1168_2025!E602</f>
        <v>FEE_TRANSACTION</v>
      </c>
      <c r="F602" s="7" t="n">
        <f aca="false">Chase1168_2025!F602</f>
        <v>150285.15</v>
      </c>
      <c r="G602" s="0" t="str">
        <f aca="false">Chase1168_2025!G602</f>
        <v>2025 Costa Rica Trip</v>
      </c>
      <c r="H602" s="15" t="n">
        <f aca="false">IF($B602="","",DATE(YEAR($B602),MONTH($B602),1))</f>
        <v>45901</v>
      </c>
      <c r="I602" s="0" t="str">
        <f aca="false">IF($G602="","Uncategorized — Review",IFERROR(INDEX(Mapping!$B:$B,MATCH($G602,Mapping!$A:$A,0)),"Uncategorized — Review"))</f>
        <v>2025 Costa Rica Trip</v>
      </c>
      <c r="J602" s="0" t="str">
        <f aca="false">IF($G602="","Uncategorized — Review",IFERROR(INDEX(Mapping!$C:$C,MATCH($G602,Mapping!$A:$A,0)),"Uncategorized — Review"))</f>
        <v>Business Travel</v>
      </c>
    </row>
    <row r="603" customFormat="false" ht="15" hidden="false" customHeight="false" outlineLevel="0" collapsed="false">
      <c r="A603" s="0" t="str">
        <f aca="false">Chase1168_2025!A603</f>
        <v>DEBIT</v>
      </c>
      <c r="B603" s="14" t="n">
        <f aca="false">Chase1168_2025!B603</f>
        <v>45902</v>
      </c>
      <c r="C603" s="0" t="str">
        <f aca="false">Chase1168_2025!C603</f>
        <v>FOREIGN EXCHANGE RATE ADJUSTMENT FEE         09/01KARMA CAF</v>
      </c>
      <c r="D603" s="7" t="n">
        <f aca="false">Chase1168_2025!D603</f>
        <v>-1.11</v>
      </c>
      <c r="E603" s="0" t="str">
        <f aca="false">Chase1168_2025!E603</f>
        <v>FEE_TRANSACTION</v>
      </c>
      <c r="F603" s="7" t="n">
        <f aca="false">Chase1168_2025!F603</f>
        <v>150285.82</v>
      </c>
      <c r="G603" s="0" t="str">
        <f aca="false">Chase1168_2025!G603</f>
        <v>2025 Costa Rica Trip</v>
      </c>
      <c r="H603" s="15" t="n">
        <f aca="false">IF($B603="","",DATE(YEAR($B603),MONTH($B603),1))</f>
        <v>45901</v>
      </c>
      <c r="I603" s="0" t="str">
        <f aca="false">IF($G603="","Uncategorized — Review",IFERROR(INDEX(Mapping!$B:$B,MATCH($G603,Mapping!$A:$A,0)),"Uncategorized — Review"))</f>
        <v>2025 Costa Rica Trip</v>
      </c>
      <c r="J603" s="0" t="str">
        <f aca="false">IF($G603="","Uncategorized — Review",IFERROR(INDEX(Mapping!$C:$C,MATCH($G603,Mapping!$A:$A,0)),"Uncategorized — Review"))</f>
        <v>Business Travel</v>
      </c>
    </row>
    <row r="604" customFormat="false" ht="15" hidden="false" customHeight="false" outlineLevel="0" collapsed="false">
      <c r="A604" s="0" t="str">
        <f aca="false">Chase1168_2025!A604</f>
        <v>DEBIT</v>
      </c>
      <c r="B604" s="14" t="n">
        <f aca="false">Chase1168_2025!B604</f>
        <v>45902</v>
      </c>
      <c r="C604" s="0" t="str">
        <f aca="false">Chase1168_2025!C604</f>
        <v>FOREIGN EXCHANGE RATE ADJUSTMENT FEE         08/31RESTAURAN</v>
      </c>
      <c r="D604" s="7" t="n">
        <f aca="false">Chase1168_2025!D604</f>
        <v>-1.55</v>
      </c>
      <c r="E604" s="0" t="str">
        <f aca="false">Chase1168_2025!E604</f>
        <v>FEE_TRANSACTION</v>
      </c>
      <c r="F604" s="7" t="n">
        <f aca="false">Chase1168_2025!F604</f>
        <v>150286.93</v>
      </c>
      <c r="G604" s="0" t="str">
        <f aca="false">Chase1168_2025!G604</f>
        <v>2025 Costa Rica Trip</v>
      </c>
      <c r="H604" s="15" t="n">
        <f aca="false">IF($B604="","",DATE(YEAR($B604),MONTH($B604),1))</f>
        <v>45901</v>
      </c>
      <c r="I604" s="0" t="str">
        <f aca="false">IF($G604="","Uncategorized — Review",IFERROR(INDEX(Mapping!$B:$B,MATCH($G604,Mapping!$A:$A,0)),"Uncategorized — Review"))</f>
        <v>2025 Costa Rica Trip</v>
      </c>
      <c r="J604" s="0" t="str">
        <f aca="false">IF($G604="","Uncategorized — Review",IFERROR(INDEX(Mapping!$C:$C,MATCH($G604,Mapping!$A:$A,0)),"Uncategorized — Review"))</f>
        <v>Business Travel</v>
      </c>
    </row>
    <row r="605" customFormat="false" ht="15" hidden="false" customHeight="false" outlineLevel="0" collapsed="false">
      <c r="A605" s="0" t="str">
        <f aca="false">Chase1168_2025!A605</f>
        <v>DEBIT</v>
      </c>
      <c r="B605" s="14" t="n">
        <f aca="false">Chase1168_2025!B605</f>
        <v>45902</v>
      </c>
      <c r="C605" s="0" t="str">
        <f aca="false">Chase1168_2025!C605</f>
        <v>NON-CHASE ATM FEE-WITH</v>
      </c>
      <c r="D605" s="7" t="n">
        <f aca="false">Chase1168_2025!D605</f>
        <v>-5</v>
      </c>
      <c r="E605" s="0" t="str">
        <f aca="false">Chase1168_2025!E605</f>
        <v>FEE_TRANSACTION</v>
      </c>
      <c r="F605" s="7" t="n">
        <f aca="false">Chase1168_2025!F605</f>
        <v>150288.48</v>
      </c>
      <c r="G605" s="0" t="str">
        <f aca="false">Chase1168_2025!G605</f>
        <v>2025 Costa Rica Trip</v>
      </c>
      <c r="H605" s="15" t="n">
        <f aca="false">IF($B605="","",DATE(YEAR($B605),MONTH($B605),1))</f>
        <v>45901</v>
      </c>
      <c r="I605" s="0" t="str">
        <f aca="false">IF($G605="","Uncategorized — Review",IFERROR(INDEX(Mapping!$B:$B,MATCH($G605,Mapping!$A:$A,0)),"Uncategorized — Review"))</f>
        <v>2025 Costa Rica Trip</v>
      </c>
      <c r="J605" s="0" t="str">
        <f aca="false">IF($G605="","Uncategorized — Review",IFERROR(INDEX(Mapping!$C:$C,MATCH($G605,Mapping!$A:$A,0)),"Uncategorized — Review"))</f>
        <v>Business Travel</v>
      </c>
    </row>
    <row r="606" customFormat="false" ht="15" hidden="false" customHeight="false" outlineLevel="0" collapsed="false">
      <c r="A606" s="0" t="str">
        <f aca="false">Chase1168_2025!A606</f>
        <v>DEBIT</v>
      </c>
      <c r="B606" s="14" t="n">
        <f aca="false">Chase1168_2025!B606</f>
        <v>45902</v>
      </c>
      <c r="C606" s="0" t="str">
        <f aca="false">Chase1168_2025!C606</f>
        <v>DOMESTIC INCOMING WIRE FEE</v>
      </c>
      <c r="D606" s="7" t="n">
        <f aca="false">Chase1168_2025!D606</f>
        <v>-15</v>
      </c>
      <c r="E606" s="0" t="str">
        <f aca="false">Chase1168_2025!E606</f>
        <v>FEE_TRANSACTION</v>
      </c>
      <c r="F606" s="7" t="n">
        <f aca="false">Chase1168_2025!F606</f>
        <v>150298.48</v>
      </c>
      <c r="G606" s="0" t="str">
        <f aca="false">Chase1168_2025!G606</f>
        <v>Wire Fee</v>
      </c>
      <c r="H606" s="15" t="n">
        <f aca="false">IF($B606="","",DATE(YEAR($B606),MONTH($B606),1))</f>
        <v>45901</v>
      </c>
      <c r="I606" s="0" t="str">
        <f aca="false">IF($G606="","Uncategorized — Review",IFERROR(INDEX(Mapping!$B:$B,MATCH($G606,Mapping!$A:$A,0)),"Uncategorized — Review"))</f>
        <v>Wire Fee</v>
      </c>
      <c r="J606" s="0" t="str">
        <f aca="false">IF($G606="","Uncategorized — Review",IFERROR(INDEX(Mapping!$C:$C,MATCH($G606,Mapping!$A:$A,0)),"Uncategorized — Review"))</f>
        <v>DWG Operating</v>
      </c>
    </row>
    <row r="607" customFormat="false" ht="15" hidden="false" customHeight="false" outlineLevel="0" collapsed="false">
      <c r="A607" s="0" t="str">
        <f aca="false">Chase1168_2025!A607</f>
        <v>DEBIT</v>
      </c>
      <c r="B607" s="14" t="n">
        <f aca="false">Chase1168_2025!B607</f>
        <v>45902</v>
      </c>
      <c r="C607" s="0" t="str">
        <f aca="false">Chase1168_2025!C607</f>
        <v>STANDARD ACH PMNTS INITIAL FEE QTY = 10</v>
      </c>
      <c r="D607" s="7" t="n">
        <f aca="false">Chase1168_2025!D607</f>
        <v>-25</v>
      </c>
      <c r="E607" s="0" t="str">
        <f aca="false">Chase1168_2025!E607</f>
        <v>FEE_TRANSACTION</v>
      </c>
      <c r="F607" s="7" t="n">
        <f aca="false">Chase1168_2025!F607</f>
        <v>150313.48</v>
      </c>
      <c r="G607" s="0" t="str">
        <f aca="false">Chase1168_2025!G607</f>
        <v>Bank Fees</v>
      </c>
      <c r="H607" s="15" t="n">
        <f aca="false">IF($B607="","",DATE(YEAR($B607),MONTH($B607),1))</f>
        <v>45901</v>
      </c>
      <c r="I607" s="0" t="str">
        <f aca="false">IF($G607="","Uncategorized — Review",IFERROR(INDEX(Mapping!$B:$B,MATCH($G607,Mapping!$A:$A,0)),"Uncategorized — Review"))</f>
        <v>Bank Fees</v>
      </c>
      <c r="J607" s="0" t="str">
        <f aca="false">IF($G607="","Uncategorized — Review",IFERROR(INDEX(Mapping!$C:$C,MATCH($G607,Mapping!$A:$A,0)),"Uncategorized — Review"))</f>
        <v>DWG Operating</v>
      </c>
    </row>
    <row r="608" customFormat="false" ht="15" hidden="false" customHeight="false" outlineLevel="0" collapsed="false">
      <c r="A608" s="0" t="str">
        <f aca="false">Chase1168_2025!A608</f>
        <v>DEBIT</v>
      </c>
      <c r="B608" s="14" t="n">
        <f aca="false">Chase1168_2025!B608</f>
        <v>45902</v>
      </c>
      <c r="C608" s="0" t="str">
        <f aca="false">Chase1168_2025!C608</f>
        <v>NON-CHASE ATM WITHDRAW               009303  09/02PUN-BAC-</v>
      </c>
      <c r="D608" s="7" t="n">
        <f aca="false">Chase1168_2025!D608</f>
        <v>-207.8</v>
      </c>
      <c r="E608" s="0" t="str">
        <f aca="false">Chase1168_2025!E608</f>
        <v>ATM</v>
      </c>
      <c r="F608" s="7" t="n">
        <f aca="false">Chase1168_2025!F608</f>
        <v>150338.48</v>
      </c>
      <c r="G608" s="0" t="str">
        <f aca="false">Chase1168_2025!G608</f>
        <v>2025 Costa Rica Trip</v>
      </c>
      <c r="H608" s="15" t="n">
        <f aca="false">IF($B608="","",DATE(YEAR($B608),MONTH($B608),1))</f>
        <v>45901</v>
      </c>
      <c r="I608" s="0" t="str">
        <f aca="false">IF($G608="","Uncategorized — Review",IFERROR(INDEX(Mapping!$B:$B,MATCH($G608,Mapping!$A:$A,0)),"Uncategorized — Review"))</f>
        <v>2025 Costa Rica Trip</v>
      </c>
      <c r="J608" s="0" t="str">
        <f aca="false">IF($G608="","Uncategorized — Review",IFERROR(INDEX(Mapping!$C:$C,MATCH($G608,Mapping!$A:$A,0)),"Uncategorized — Review"))</f>
        <v>Business Travel</v>
      </c>
    </row>
    <row r="609" customFormat="false" ht="15" hidden="false" customHeight="false" outlineLevel="0" collapsed="false">
      <c r="A609" s="0" t="str">
        <f aca="false">Chase1168_2025!A609</f>
        <v>DEBIT</v>
      </c>
      <c r="B609" s="14" t="n">
        <f aca="false">Chase1168_2025!B609</f>
        <v>45902</v>
      </c>
      <c r="C609" s="0" t="str">
        <f aca="false">Chase1168_2025!C609</f>
        <v>INDEED USI25-04897539 AUSTIN TX      022297  09/02</v>
      </c>
      <c r="D609" s="7" t="n">
        <f aca="false">Chase1168_2025!D609</f>
        <v>-184.27</v>
      </c>
      <c r="E609" s="0" t="str">
        <f aca="false">Chase1168_2025!E609</f>
        <v>DEBIT_CARD</v>
      </c>
      <c r="F609" s="7" t="n">
        <f aca="false">Chase1168_2025!F609</f>
        <v>150546.28</v>
      </c>
      <c r="G609" s="0" t="str">
        <f aca="false">Chase1168_2025!G609</f>
        <v>DWG HR</v>
      </c>
      <c r="H609" s="15" t="n">
        <f aca="false">IF($B609="","",DATE(YEAR($B609),MONTH($B609),1))</f>
        <v>45901</v>
      </c>
      <c r="I609" s="0" t="str">
        <f aca="false">IF($G609="","Uncategorized — Review",IFERROR(INDEX(Mapping!$B:$B,MATCH($G609,Mapping!$A:$A,0)),"Uncategorized — Review"))</f>
        <v>DWG HR</v>
      </c>
      <c r="J609" s="0" t="str">
        <f aca="false">IF($G609="","Uncategorized — Review",IFERROR(INDEX(Mapping!$C:$C,MATCH($G609,Mapping!$A:$A,0)),"Uncategorized — Review"))</f>
        <v>Payroll &amp; Contractors</v>
      </c>
    </row>
    <row r="610" customFormat="false" ht="15" hidden="false" customHeight="false" outlineLevel="0" collapsed="false">
      <c r="A610" s="0" t="str">
        <f aca="false">Chase1168_2025!A610</f>
        <v>DEBIT</v>
      </c>
      <c r="B610" s="14" t="n">
        <f aca="false">Chase1168_2025!B610</f>
        <v>45902</v>
      </c>
      <c r="C610" s="0" t="str">
        <f aca="false">Chase1168_2025!C610</f>
        <v>ORIG CO NAME:GEICO                  ORIG ID:3530075853 DESC DATE:250830 CO ENTRY DESCR:PREM COLL SEC:PPD    TRACE#:021000028929869 EED:250902   IND ID:                             IND NAME:ANGELA TRN: 2458929869TC</v>
      </c>
      <c r="D610" s="7" t="n">
        <f aca="false">Chase1168_2025!D610</f>
        <v>-619.57</v>
      </c>
      <c r="E610" s="0" t="str">
        <f aca="false">Chase1168_2025!E610</f>
        <v>ACH_DEBIT</v>
      </c>
      <c r="F610" s="7" t="n">
        <f aca="false">Chase1168_2025!F610</f>
        <v>150730.55</v>
      </c>
      <c r="G610" s="0" t="str">
        <f aca="false">Chase1168_2025!G610</f>
        <v>Personal - Car Insurance</v>
      </c>
      <c r="H610" s="15" t="n">
        <f aca="false">IF($B610="","",DATE(YEAR($B610),MONTH($B610),1))</f>
        <v>45901</v>
      </c>
      <c r="I610" s="0" t="str">
        <f aca="false">IF($G610="","Uncategorized — Review",IFERROR(INDEX(Mapping!$B:$B,MATCH($G610,Mapping!$A:$A,0)),"Uncategorized — Review"))</f>
        <v>Personal - Car &amp; Auto</v>
      </c>
      <c r="J610" s="0" t="str">
        <f aca="false">IF($G610="","Uncategorized — Review",IFERROR(INDEX(Mapping!$C:$C,MATCH($G610,Mapping!$A:$A,0)),"Uncategorized — Review"))</f>
        <v>Personal — Owner</v>
      </c>
    </row>
    <row r="611" customFormat="false" ht="15" hidden="false" customHeight="false" outlineLevel="0" collapsed="false">
      <c r="A611" s="0" t="str">
        <f aca="false">Chase1168_2025!A611</f>
        <v>DEBIT</v>
      </c>
      <c r="B611" s="14" t="n">
        <f aca="false">Chase1168_2025!B611</f>
        <v>45902</v>
      </c>
      <c r="C611" s="0" t="str">
        <f aca="false">Chase1168_2025!C611</f>
        <v>ORIG CO NAME:BLUESHIELDCA           ORIG ID:7529219311 DESC DATE:250831 CO ENTRY DESCR:BILL PAY  SEC:CCD    TRACE#:031101118161285 EED:250902   IND ID:15696436521                  IND NAME:ANGELA DUNNING TRN: 2458161285TC</v>
      </c>
      <c r="D611" s="7" t="n">
        <f aca="false">Chase1168_2025!D611</f>
        <v>-870.54</v>
      </c>
      <c r="E611" s="0" t="str">
        <f aca="false">Chase1168_2025!E611</f>
        <v>ACH_DEBIT</v>
      </c>
      <c r="F611" s="7" t="n">
        <f aca="false">Chase1168_2025!F611</f>
        <v>151350.12</v>
      </c>
      <c r="G611" s="0" t="str">
        <f aca="false">Chase1168_2025!G611</f>
        <v>Personal - Health Insurance</v>
      </c>
      <c r="H611" s="15" t="n">
        <f aca="false">IF($B611="","",DATE(YEAR($B611),MONTH($B611),1))</f>
        <v>45901</v>
      </c>
      <c r="I611" s="0" t="str">
        <f aca="false">IF($G611="","Uncategorized — Review",IFERROR(INDEX(Mapping!$B:$B,MATCH($G611,Mapping!$A:$A,0)),"Uncategorized — Review"))</f>
        <v>Personal - Health (incl. Ins.)</v>
      </c>
      <c r="J611" s="0" t="str">
        <f aca="false">IF($G611="","Uncategorized — Review",IFERROR(INDEX(Mapping!$C:$C,MATCH($G611,Mapping!$A:$A,0)),"Uncategorized — Review"))</f>
        <v>Personal — Owner</v>
      </c>
    </row>
    <row r="612" customFormat="false" ht="15" hidden="false" customHeight="false" outlineLevel="0" collapsed="false">
      <c r="A612" s="0" t="str">
        <f aca="false">Chase1168_2025!A612</f>
        <v>DEBIT</v>
      </c>
      <c r="B612" s="14" t="n">
        <f aca="false">Chase1168_2025!B612</f>
        <v>45902</v>
      </c>
      <c r="C612" s="0" t="str">
        <f aca="false">Chase1168_2025!C612</f>
        <v>ORIG CO NAME:VENMO                  ORIG ID:3264681992 DESC DATE:250831 CO ENTRY DESCR:PAYMENT   SEC:WEB    TRACE#:021000028434154 EED:250902   IND ID:1044532398793                IND NAME:JUDD DUNNING                                                                                                 250831PPZTQZ TRN: 2458434154TC</v>
      </c>
      <c r="D612" s="7" t="n">
        <f aca="false">Chase1168_2025!D612</f>
        <v>-1250</v>
      </c>
      <c r="E612" s="0" t="str">
        <f aca="false">Chase1168_2025!E612</f>
        <v>ACH_DEBIT</v>
      </c>
      <c r="F612" s="7" t="n">
        <f aca="false">Chase1168_2025!F612</f>
        <v>152220.66</v>
      </c>
      <c r="G612" s="0" t="str">
        <f aca="false">Chase1168_2025!G612</f>
        <v>Venmo</v>
      </c>
      <c r="H612" s="15" t="n">
        <f aca="false">IF($B612="","",DATE(YEAR($B612),MONTH($B612),1))</f>
        <v>45901</v>
      </c>
      <c r="I612" s="0" t="str">
        <f aca="false">IF($G612="","Uncategorized — Review",IFERROR(INDEX(Mapping!$B:$B,MATCH($G612,Mapping!$A:$A,0)),"Uncategorized — Review"))</f>
        <v>Venmo</v>
      </c>
      <c r="J612" s="0" t="str">
        <f aca="false">IF($G612="","Uncategorized — Review",IFERROR(INDEX(Mapping!$C:$C,MATCH($G612,Mapping!$A:$A,0)),"Uncategorized — Review"))</f>
        <v>P2P Payments (Zelle/Venmo/PayPal)</v>
      </c>
    </row>
    <row r="613" customFormat="false" ht="15" hidden="false" customHeight="false" outlineLevel="0" collapsed="false">
      <c r="A613" s="0" t="str">
        <f aca="false">Chase1168_2025!A613</f>
        <v>DEBIT</v>
      </c>
      <c r="B613" s="14" t="n">
        <f aca="false">Chase1168_2025!B613</f>
        <v>45902</v>
      </c>
      <c r="C613" s="0" t="str">
        <f aca="false">Chase1168_2025!C613</f>
        <v>KARMA CAFE Y RESTAURANT GARABITO             09/01 CR Colon   18700.00 X 0.001988235 (EXCHG RTE)</v>
      </c>
      <c r="D613" s="7" t="n">
        <f aca="false">Chase1168_2025!D613</f>
        <v>-37.18</v>
      </c>
      <c r="E613" s="0" t="str">
        <f aca="false">Chase1168_2025!E613</f>
        <v>DEBIT_CARD</v>
      </c>
      <c r="F613" s="7" t="n">
        <f aca="false">Chase1168_2025!F613</f>
        <v>153470.66</v>
      </c>
      <c r="G613" s="0" t="str">
        <f aca="false">Chase1168_2025!G613</f>
        <v>2025 Costa Rica Trip</v>
      </c>
      <c r="H613" s="15" t="n">
        <f aca="false">IF($B613="","",DATE(YEAR($B613),MONTH($B613),1))</f>
        <v>45901</v>
      </c>
      <c r="I613" s="0" t="str">
        <f aca="false">IF($G613="","Uncategorized — Review",IFERROR(INDEX(Mapping!$B:$B,MATCH($G613,Mapping!$A:$A,0)),"Uncategorized — Review"))</f>
        <v>2025 Costa Rica Trip</v>
      </c>
      <c r="J613" s="0" t="str">
        <f aca="false">IF($G613="","Uncategorized — Review",IFERROR(INDEX(Mapping!$C:$C,MATCH($G613,Mapping!$A:$A,0)),"Uncategorized — Review"))</f>
        <v>Business Travel</v>
      </c>
    </row>
    <row r="614" customFormat="false" ht="15" hidden="false" customHeight="false" outlineLevel="0" collapsed="false">
      <c r="A614" s="0" t="str">
        <f aca="false">Chase1168_2025!A614</f>
        <v>DEBIT</v>
      </c>
      <c r="B614" s="14" t="n">
        <f aca="false">Chase1168_2025!B614</f>
        <v>45902</v>
      </c>
      <c r="C614" s="0" t="str">
        <f aca="false">Chase1168_2025!C614</f>
        <v>PAYPAL *MATTSWANNCR 402-935-7733 CA          09/02</v>
      </c>
      <c r="D614" s="7" t="n">
        <f aca="false">Chase1168_2025!D614</f>
        <v>-200</v>
      </c>
      <c r="E614" s="0" t="str">
        <f aca="false">Chase1168_2025!E614</f>
        <v>DEBIT_CARD</v>
      </c>
      <c r="F614" s="7" t="n">
        <f aca="false">Chase1168_2025!F614</f>
        <v>153507.84</v>
      </c>
      <c r="G614" s="0" t="str">
        <f aca="false">Chase1168_2025!G614</f>
        <v>PayPal</v>
      </c>
      <c r="H614" s="15" t="n">
        <f aca="false">IF($B614="","",DATE(YEAR($B614),MONTH($B614),1))</f>
        <v>45901</v>
      </c>
      <c r="I614" s="0" t="str">
        <f aca="false">IF($G614="","Uncategorized — Review",IFERROR(INDEX(Mapping!$B:$B,MATCH($G614,Mapping!$A:$A,0)),"Uncategorized — Review"))</f>
        <v>PayPal</v>
      </c>
      <c r="J614" s="0" t="str">
        <f aca="false">IF($G614="","Uncategorized — Review",IFERROR(INDEX(Mapping!$C:$C,MATCH($G614,Mapping!$A:$A,0)),"Uncategorized — Review"))</f>
        <v>P2P Payments (Zelle/Venmo/PayPal)</v>
      </c>
    </row>
    <row r="615" customFormat="false" ht="15" hidden="false" customHeight="false" outlineLevel="0" collapsed="false">
      <c r="A615" s="0" t="str">
        <f aca="false">Chase1168_2025!A615</f>
        <v>DEBIT</v>
      </c>
      <c r="B615" s="14" t="n">
        <f aca="false">Chase1168_2025!B615</f>
        <v>45902</v>
      </c>
      <c r="C615" s="0" t="str">
        <f aca="false">Chase1168_2025!C615</f>
        <v>PP*APPLE.COM/BILL 800-275-2273 CA            09/02</v>
      </c>
      <c r="D615" s="7" t="n">
        <f aca="false">Chase1168_2025!D615</f>
        <v>-8.99</v>
      </c>
      <c r="E615" s="0" t="str">
        <f aca="false">Chase1168_2025!E615</f>
        <v>DEBIT_CARD</v>
      </c>
      <c r="F615" s="7" t="n">
        <f aca="false">Chase1168_2025!F615</f>
        <v>153707.84</v>
      </c>
      <c r="G615" s="0" t="str">
        <f aca="false">Chase1168_2025!G615</f>
        <v>Personal - Subscriptions</v>
      </c>
      <c r="H615" s="15" t="n">
        <f aca="false">IF($B615="","",DATE(YEAR($B615),MONTH($B615),1))</f>
        <v>45901</v>
      </c>
      <c r="I615" s="0" t="str">
        <f aca="false">IF($G615="","Uncategorized — Review",IFERROR(INDEX(Mapping!$B:$B,MATCH($G615,Mapping!$A:$A,0)),"Uncategorized — Review"))</f>
        <v>Personal - Subscriptions</v>
      </c>
      <c r="J615" s="0" t="str">
        <f aca="false">IF($G615="","Uncategorized — Review",IFERROR(INDEX(Mapping!$C:$C,MATCH($G615,Mapping!$A:$A,0)),"Uncategorized — Review"))</f>
        <v>Personal — Owner</v>
      </c>
    </row>
    <row r="616" customFormat="false" ht="15" hidden="false" customHeight="false" outlineLevel="0" collapsed="false">
      <c r="A616" s="0" t="str">
        <f aca="false">Chase1168_2025!A616</f>
        <v>DEBIT</v>
      </c>
      <c r="B616" s="14" t="n">
        <f aca="false">Chase1168_2025!B616</f>
        <v>45902</v>
      </c>
      <c r="C616" s="0" t="str">
        <f aca="false">Chase1168_2025!C616</f>
        <v>PAYPAL *JUNESEEFELDT 402-935-7733 CA         09/02</v>
      </c>
      <c r="D616" s="7" t="n">
        <f aca="false">Chase1168_2025!D616</f>
        <v>-1.33</v>
      </c>
      <c r="E616" s="0" t="str">
        <f aca="false">Chase1168_2025!E616</f>
        <v>DEBIT_CARD</v>
      </c>
      <c r="F616" s="7" t="n">
        <f aca="false">Chase1168_2025!F616</f>
        <v>153716.83</v>
      </c>
      <c r="G616" s="0" t="str">
        <f aca="false">Chase1168_2025!G616</f>
        <v>Personal - Paypal</v>
      </c>
      <c r="H616" s="15" t="n">
        <f aca="false">IF($B616="","",DATE(YEAR($B616),MONTH($B616),1))</f>
        <v>45901</v>
      </c>
      <c r="I616" s="0" t="str">
        <f aca="false">IF($G616="","Uncategorized — Review",IFERROR(INDEX(Mapping!$B:$B,MATCH($G616,Mapping!$A:$A,0)),"Uncategorized — Review"))</f>
        <v>Personal - Paypal</v>
      </c>
      <c r="J616" s="0" t="str">
        <f aca="false">IF($G616="","Uncategorized — Review",IFERROR(INDEX(Mapping!$C:$C,MATCH($G616,Mapping!$A:$A,0)),"Uncategorized — Review"))</f>
        <v>Personal — Owner</v>
      </c>
    </row>
    <row r="617" customFormat="false" ht="15" hidden="false" customHeight="false" outlineLevel="0" collapsed="false">
      <c r="A617" s="0" t="str">
        <f aca="false">Chase1168_2025!A617</f>
        <v>DEBIT</v>
      </c>
      <c r="B617" s="14" t="n">
        <f aca="false">Chase1168_2025!B617</f>
        <v>45902</v>
      </c>
      <c r="C617" s="0" t="str">
        <f aca="false">Chase1168_2025!C617</f>
        <v>Zelle payment to estela martinez JPM99blmce7x</v>
      </c>
      <c r="D617" s="7" t="n">
        <f aca="false">Chase1168_2025!D617</f>
        <v>-800</v>
      </c>
      <c r="E617" s="0" t="str">
        <f aca="false">Chase1168_2025!E617</f>
        <v>CHASE_TO_PARTNERFI</v>
      </c>
      <c r="F617" s="7" t="n">
        <f aca="false">Chase1168_2025!F617</f>
        <v>153718.16</v>
      </c>
      <c r="G617" s="0" t="str">
        <f aca="false">Chase1168_2025!G617</f>
        <v>Zelle - Estella M.</v>
      </c>
      <c r="H617" s="15" t="n">
        <f aca="false">IF($B617="","",DATE(YEAR($B617),MONTH($B617),1))</f>
        <v>45901</v>
      </c>
      <c r="I617" s="0" t="str">
        <f aca="false">IF($G617="","Uncategorized — Review",IFERROR(INDEX(Mapping!$B:$B,MATCH($G617,Mapping!$A:$A,0)),"Uncategorized — Review"))</f>
        <v>Zelle - Estella M.</v>
      </c>
      <c r="J617" s="0" t="str">
        <f aca="false">IF($G617="","Uncategorized — Review",IFERROR(INDEX(Mapping!$C:$C,MATCH($G617,Mapping!$A:$A,0)),"Uncategorized — Review"))</f>
        <v>P2P Payments (Zelle/Venmo/PayPal)</v>
      </c>
    </row>
    <row r="618" customFormat="false" ht="15" hidden="false" customHeight="false" outlineLevel="0" collapsed="false">
      <c r="A618" s="0" t="str">
        <f aca="false">Chase1168_2025!A618</f>
        <v>DEBIT</v>
      </c>
      <c r="B618" s="14" t="n">
        <f aca="false">Chase1168_2025!B618</f>
        <v>45902</v>
      </c>
      <c r="C618" s="0" t="str">
        <f aca="false">Chase1168_2025!C618</f>
        <v>UPWORK * -842252416 866-262-4478 CA          09/01</v>
      </c>
      <c r="D618" s="7" t="n">
        <f aca="false">Chase1168_2025!D618</f>
        <v>-367.5</v>
      </c>
      <c r="E618" s="0" t="str">
        <f aca="false">Chase1168_2025!E618</f>
        <v>DEBIT_CARD</v>
      </c>
      <c r="F618" s="7" t="n">
        <f aca="false">Chase1168_2025!F618</f>
        <v>154518.16</v>
      </c>
      <c r="G618" s="0" t="str">
        <f aca="false">Chase1168_2025!G618</f>
        <v>Upwork - Sergei M.</v>
      </c>
      <c r="H618" s="15" t="n">
        <f aca="false">IF($B618="","",DATE(YEAR($B618),MONTH($B618),1))</f>
        <v>45901</v>
      </c>
      <c r="I618" s="0" t="str">
        <f aca="false">IF($G618="","Uncategorized — Review",IFERROR(INDEX(Mapping!$B:$B,MATCH($G618,Mapping!$A:$A,0)),"Uncategorized — Review"))</f>
        <v>Upwork - Sergei M.</v>
      </c>
      <c r="J618" s="0" t="str">
        <f aca="false">IF($G618="","Uncategorized — Review",IFERROR(INDEX(Mapping!$C:$C,MATCH($G618,Mapping!$A:$A,0)),"Uncategorized — Review"))</f>
        <v>Payroll &amp; Contractors</v>
      </c>
    </row>
    <row r="619" customFormat="false" ht="15" hidden="false" customHeight="false" outlineLevel="0" collapsed="false">
      <c r="A619" s="0" t="str">
        <f aca="false">Chase1168_2025!A619</f>
        <v>DEBIT</v>
      </c>
      <c r="B619" s="14" t="n">
        <f aca="false">Chase1168_2025!B619</f>
        <v>45902</v>
      </c>
      <c r="C619" s="0" t="str">
        <f aca="false">Chase1168_2025!C619</f>
        <v>PAYPAL *HULU 877-801-5441 CA                 09/01</v>
      </c>
      <c r="D619" s="7" t="n">
        <f aca="false">Chase1168_2025!D619</f>
        <v>-18.99</v>
      </c>
      <c r="E619" s="0" t="str">
        <f aca="false">Chase1168_2025!E619</f>
        <v>DEBIT_CARD</v>
      </c>
      <c r="F619" s="7" t="n">
        <f aca="false">Chase1168_2025!F619</f>
        <v>154885.66</v>
      </c>
      <c r="G619" s="0" t="str">
        <f aca="false">Chase1168_2025!G619</f>
        <v>Personal - Subscriptions</v>
      </c>
      <c r="H619" s="15" t="n">
        <f aca="false">IF($B619="","",DATE(YEAR($B619),MONTH($B619),1))</f>
        <v>45901</v>
      </c>
      <c r="I619" s="0" t="str">
        <f aca="false">IF($G619="","Uncategorized — Review",IFERROR(INDEX(Mapping!$B:$B,MATCH($G619,Mapping!$A:$A,0)),"Uncategorized — Review"))</f>
        <v>Personal - Subscriptions</v>
      </c>
      <c r="J619" s="0" t="str">
        <f aca="false">IF($G619="","Uncategorized — Review",IFERROR(INDEX(Mapping!$C:$C,MATCH($G619,Mapping!$A:$A,0)),"Uncategorized — Review"))</f>
        <v>Personal — Owner</v>
      </c>
    </row>
    <row r="620" customFormat="false" ht="15" hidden="false" customHeight="false" outlineLevel="0" collapsed="false">
      <c r="A620" s="0" t="str">
        <f aca="false">Chase1168_2025!A620</f>
        <v>DEBIT</v>
      </c>
      <c r="B620" s="14" t="n">
        <f aca="false">Chase1168_2025!B620</f>
        <v>45902</v>
      </c>
      <c r="C620" s="0" t="str">
        <f aca="false">Chase1168_2025!C620</f>
        <v>PAYPAL *GOOGLE LLC GO 650-253-0000 CA        09/01</v>
      </c>
      <c r="D620" s="7" t="n">
        <f aca="false">Chase1168_2025!D620</f>
        <v>-16.8</v>
      </c>
      <c r="E620" s="0" t="str">
        <f aca="false">Chase1168_2025!E620</f>
        <v>DEBIT_CARD</v>
      </c>
      <c r="F620" s="7" t="n">
        <f aca="false">Chase1168_2025!F620</f>
        <v>154904.65</v>
      </c>
      <c r="G620" s="0" t="str">
        <f aca="false">Chase1168_2025!G620</f>
        <v>Personal - Subscriptions</v>
      </c>
      <c r="H620" s="15" t="n">
        <f aca="false">IF($B620="","",DATE(YEAR($B620),MONTH($B620),1))</f>
        <v>45901</v>
      </c>
      <c r="I620" s="0" t="str">
        <f aca="false">IF($G620="","Uncategorized — Review",IFERROR(INDEX(Mapping!$B:$B,MATCH($G620,Mapping!$A:$A,0)),"Uncategorized — Review"))</f>
        <v>Personal - Subscriptions</v>
      </c>
      <c r="J620" s="0" t="str">
        <f aca="false">IF($G620="","Uncategorized — Review",IFERROR(INDEX(Mapping!$C:$C,MATCH($G620,Mapping!$A:$A,0)),"Uncategorized — Review"))</f>
        <v>Personal — Owner</v>
      </c>
    </row>
    <row r="621" customFormat="false" ht="15" hidden="false" customHeight="false" outlineLevel="0" collapsed="false">
      <c r="A621" s="0" t="str">
        <f aca="false">Chase1168_2025!A621</f>
        <v>DEBIT</v>
      </c>
      <c r="B621" s="14" t="n">
        <f aca="false">Chase1168_2025!B621</f>
        <v>45902</v>
      </c>
      <c r="C621" s="0" t="str">
        <f aca="false">Chase1168_2025!C621</f>
        <v>Online Transfer to CHK ...1117 transaction#: 26059022499 09/02</v>
      </c>
      <c r="D621" s="7" t="n">
        <f aca="false">Chase1168_2025!D621</f>
        <v>-2000</v>
      </c>
      <c r="E621" s="0" t="str">
        <f aca="false">Chase1168_2025!E621</f>
        <v>ACCT_XFER</v>
      </c>
      <c r="F621" s="7" t="n">
        <f aca="false">Chase1168_2025!F621</f>
        <v>154921.45</v>
      </c>
      <c r="G621" s="0" t="str">
        <f aca="false">Chase1168_2025!G621</f>
        <v>Transfer to Angela Dunning</v>
      </c>
      <c r="H621" s="15" t="n">
        <f aca="false">IF($B621="","",DATE(YEAR($B621),MONTH($B621),1))</f>
        <v>45901</v>
      </c>
      <c r="I621" s="0" t="str">
        <f aca="false">IF($G621="","Uncategorized — Review",IFERROR(INDEX(Mapping!$B:$B,MATCH($G621,Mapping!$A:$A,0)),"Uncategorized — Review"))</f>
        <v>Transfer to Angela Dunning</v>
      </c>
      <c r="J621" s="0" t="str">
        <f aca="false">IF($G621="","Uncategorized — Review",IFERROR(INDEX(Mapping!$C:$C,MATCH($G621,Mapping!$A:$A,0)),"Uncategorized — Review"))</f>
        <v>Owner / Family Distributions</v>
      </c>
    </row>
    <row r="622" customFormat="false" ht="15" hidden="false" customHeight="false" outlineLevel="0" collapsed="false">
      <c r="A622" s="0" t="str">
        <f aca="false">Chase1168_2025!A622</f>
        <v>DEBIT</v>
      </c>
      <c r="B622" s="14" t="n">
        <f aca="false">Chase1168_2025!B622</f>
        <v>45902</v>
      </c>
      <c r="C622" s="0" t="str">
        <f aca="false">Chase1168_2025!C622</f>
        <v>Online Transfer to CHK ...1117 transaction#: 26056697513 09/02</v>
      </c>
      <c r="D622" s="7" t="n">
        <f aca="false">Chase1168_2025!D622</f>
        <v>-3000</v>
      </c>
      <c r="E622" s="0" t="str">
        <f aca="false">Chase1168_2025!E622</f>
        <v>ACCT_XFER</v>
      </c>
      <c r="F622" s="7" t="n">
        <f aca="false">Chase1168_2025!F622</f>
        <v>156921.45</v>
      </c>
      <c r="G622" s="0" t="str">
        <f aca="false">Chase1168_2025!G622</f>
        <v>Transfer to Angela Dunning</v>
      </c>
      <c r="H622" s="15" t="n">
        <f aca="false">IF($B622="","",DATE(YEAR($B622),MONTH($B622),1))</f>
        <v>45901</v>
      </c>
      <c r="I622" s="0" t="str">
        <f aca="false">IF($G622="","Uncategorized — Review",IFERROR(INDEX(Mapping!$B:$B,MATCH($G622,Mapping!$A:$A,0)),"Uncategorized — Review"))</f>
        <v>Transfer to Angela Dunning</v>
      </c>
      <c r="J622" s="0" t="str">
        <f aca="false">IF($G622="","Uncategorized — Review",IFERROR(INDEX(Mapping!$C:$C,MATCH($G622,Mapping!$A:$A,0)),"Uncategorized — Review"))</f>
        <v>Owner / Family Distributions</v>
      </c>
    </row>
    <row r="623" customFormat="false" ht="15" hidden="false" customHeight="false" outlineLevel="0" collapsed="false">
      <c r="A623" s="0" t="str">
        <f aca="false">Chase1168_2025!A623</f>
        <v>DEBIT</v>
      </c>
      <c r="B623" s="14" t="n">
        <f aca="false">Chase1168_2025!B623</f>
        <v>45902</v>
      </c>
      <c r="C623" s="0" t="str">
        <f aca="false">Chase1168_2025!C623</f>
        <v>RESTAURANTE JARAH PUNTARENAS                 08/31 CR Colon   26001.00 X 0.001988770 (EXCHG RTE)</v>
      </c>
      <c r="D623" s="7" t="n">
        <f aca="false">Chase1168_2025!D623</f>
        <v>-51.71</v>
      </c>
      <c r="E623" s="0" t="str">
        <f aca="false">Chase1168_2025!E623</f>
        <v>DEBIT_CARD</v>
      </c>
      <c r="F623" s="7" t="n">
        <f aca="false">Chase1168_2025!F623</f>
        <v>159921.45</v>
      </c>
      <c r="G623" s="0" t="str">
        <f aca="false">Chase1168_2025!G623</f>
        <v>2025 Costa Rica Trip</v>
      </c>
      <c r="H623" s="15" t="n">
        <f aca="false">IF($B623="","",DATE(YEAR($B623),MONTH($B623),1))</f>
        <v>45901</v>
      </c>
      <c r="I623" s="0" t="str">
        <f aca="false">IF($G623="","Uncategorized — Review",IFERROR(INDEX(Mapping!$B:$B,MATCH($G623,Mapping!$A:$A,0)),"Uncategorized — Review"))</f>
        <v>2025 Costa Rica Trip</v>
      </c>
      <c r="J623" s="0" t="str">
        <f aca="false">IF($G623="","Uncategorized — Review",IFERROR(INDEX(Mapping!$C:$C,MATCH($G623,Mapping!$A:$A,0)),"Uncategorized — Review"))</f>
        <v>Business Travel</v>
      </c>
    </row>
    <row r="624" customFormat="false" ht="15" hidden="false" customHeight="false" outlineLevel="0" collapsed="false">
      <c r="A624" s="0" t="str">
        <f aca="false">Chase1168_2025!A624</f>
        <v>DEBIT</v>
      </c>
      <c r="B624" s="14" t="n">
        <f aca="false">Chase1168_2025!B624</f>
        <v>45902</v>
      </c>
      <c r="C624" s="0" t="str">
        <f aca="false">Chase1168_2025!C624</f>
        <v>NON-CHASE ATM WITHDRAW               007234  08/31PUN-BAC-</v>
      </c>
      <c r="D624" s="7" t="n">
        <f aca="false">Chase1168_2025!D624</f>
        <v>-407.8</v>
      </c>
      <c r="E624" s="0" t="str">
        <f aca="false">Chase1168_2025!E624</f>
        <v>ATM</v>
      </c>
      <c r="F624" s="7" t="n">
        <f aca="false">Chase1168_2025!F624</f>
        <v>159973.16</v>
      </c>
      <c r="G624" s="0" t="str">
        <f aca="false">Chase1168_2025!G624</f>
        <v>2025 Costa Rica Trip</v>
      </c>
      <c r="H624" s="15" t="n">
        <f aca="false">IF($B624="","",DATE(YEAR($B624),MONTH($B624),1))</f>
        <v>45901</v>
      </c>
      <c r="I624" s="0" t="str">
        <f aca="false">IF($G624="","Uncategorized — Review",IFERROR(INDEX(Mapping!$B:$B,MATCH($G624,Mapping!$A:$A,0)),"Uncategorized — Review"))</f>
        <v>2025 Costa Rica Trip</v>
      </c>
      <c r="J624" s="0" t="str">
        <f aca="false">IF($G624="","Uncategorized — Review",IFERROR(INDEX(Mapping!$C:$C,MATCH($G624,Mapping!$A:$A,0)),"Uncategorized — Review"))</f>
        <v>Business Travel</v>
      </c>
    </row>
    <row r="625" customFormat="false" ht="15" hidden="false" customHeight="false" outlineLevel="0" collapsed="false">
      <c r="A625" s="0" t="str">
        <f aca="false">Chase1168_2025!A625</f>
        <v>DEBIT</v>
      </c>
      <c r="B625" s="14" t="n">
        <f aca="false">Chase1168_2025!B625</f>
        <v>45902</v>
      </c>
      <c r="C625" s="0" t="str">
        <f aca="false">Chase1168_2025!C625</f>
        <v>KARMA CAFE Y RESTAURANT GARABITO             08/31 CR Colon   11300.00 X 0.001989381 (EXCHG RTE)</v>
      </c>
      <c r="D625" s="7" t="n">
        <f aca="false">Chase1168_2025!D625</f>
        <v>-22.48</v>
      </c>
      <c r="E625" s="0" t="str">
        <f aca="false">Chase1168_2025!E625</f>
        <v>DEBIT_CARD</v>
      </c>
      <c r="F625" s="7" t="n">
        <f aca="false">Chase1168_2025!F625</f>
        <v>160380.96</v>
      </c>
      <c r="G625" s="0" t="str">
        <f aca="false">Chase1168_2025!G625</f>
        <v>2025 Costa Rica Trip</v>
      </c>
      <c r="H625" s="15" t="n">
        <f aca="false">IF($B625="","",DATE(YEAR($B625),MONTH($B625),1))</f>
        <v>45901</v>
      </c>
      <c r="I625" s="0" t="str">
        <f aca="false">IF($G625="","Uncategorized — Review",IFERROR(INDEX(Mapping!$B:$B,MATCH($G625,Mapping!$A:$A,0)),"Uncategorized — Review"))</f>
        <v>2025 Costa Rica Trip</v>
      </c>
      <c r="J625" s="0" t="str">
        <f aca="false">IF($G625="","Uncategorized — Review",IFERROR(INDEX(Mapping!$C:$C,MATCH($G625,Mapping!$A:$A,0)),"Uncategorized — Review"))</f>
        <v>Business Travel</v>
      </c>
    </row>
    <row r="626" customFormat="false" ht="15" hidden="false" customHeight="false" outlineLevel="0" collapsed="false">
      <c r="A626" s="0" t="str">
        <f aca="false">Chase1168_2025!A626</f>
        <v>DEBIT</v>
      </c>
      <c r="B626" s="14" t="n">
        <f aca="false">Chase1168_2025!B626</f>
        <v>45902</v>
      </c>
      <c r="C626" s="0" t="str">
        <f aca="false">Chase1168_2025!C626</f>
        <v>RESTAURANTE SEA SALT PUNTARENAS              08/31 CR Colon   10000.00 X 0.001989000 (EXCHG RTE)</v>
      </c>
      <c r="D626" s="7" t="n">
        <f aca="false">Chase1168_2025!D626</f>
        <v>-19.89</v>
      </c>
      <c r="E626" s="0" t="str">
        <f aca="false">Chase1168_2025!E626</f>
        <v>DEBIT_CARD</v>
      </c>
      <c r="F626" s="7" t="n">
        <f aca="false">Chase1168_2025!F626</f>
        <v>160403.44</v>
      </c>
      <c r="G626" s="0" t="str">
        <f aca="false">Chase1168_2025!G626</f>
        <v>2025 Costa Rica Trip</v>
      </c>
      <c r="H626" s="15" t="n">
        <f aca="false">IF($B626="","",DATE(YEAR($B626),MONTH($B626),1))</f>
        <v>45901</v>
      </c>
      <c r="I626" s="0" t="str">
        <f aca="false">IF($G626="","Uncategorized — Review",IFERROR(INDEX(Mapping!$B:$B,MATCH($G626,Mapping!$A:$A,0)),"Uncategorized — Review"))</f>
        <v>2025 Costa Rica Trip</v>
      </c>
      <c r="J626" s="0" t="str">
        <f aca="false">IF($G626="","Uncategorized — Review",IFERROR(INDEX(Mapping!$C:$C,MATCH($G626,Mapping!$A:$A,0)),"Uncategorized — Review"))</f>
        <v>Business Travel</v>
      </c>
    </row>
    <row r="627" customFormat="false" ht="15" hidden="false" customHeight="false" outlineLevel="0" collapsed="false">
      <c r="A627" s="0" t="str">
        <f aca="false">Chase1168_2025!A627</f>
        <v>DEBIT</v>
      </c>
      <c r="B627" s="14" t="n">
        <f aca="false">Chase1168_2025!B627</f>
        <v>45902</v>
      </c>
      <c r="C627" s="0" t="str">
        <f aca="false">Chase1168_2025!C627</f>
        <v>GLOBAL VIA RUTA 27 SAN JOSE                  08/30 CR Colon   820.00 X 0.001987805 (EXCHG RTE)</v>
      </c>
      <c r="D627" s="7" t="n">
        <f aca="false">Chase1168_2025!D627</f>
        <v>-1.63</v>
      </c>
      <c r="E627" s="0" t="str">
        <f aca="false">Chase1168_2025!E627</f>
        <v>DEBIT_CARD</v>
      </c>
      <c r="F627" s="7" t="n">
        <f aca="false">Chase1168_2025!F627</f>
        <v>160423.33</v>
      </c>
      <c r="G627" s="0" t="str">
        <f aca="false">Chase1168_2025!G627</f>
        <v>2025 Costa Rica Trip</v>
      </c>
      <c r="H627" s="15" t="n">
        <f aca="false">IF($B627="","",DATE(YEAR($B627),MONTH($B627),1))</f>
        <v>45901</v>
      </c>
      <c r="I627" s="0" t="str">
        <f aca="false">IF($G627="","Uncategorized — Review",IFERROR(INDEX(Mapping!$B:$B,MATCH($G627,Mapping!$A:$A,0)),"Uncategorized — Review"))</f>
        <v>2025 Costa Rica Trip</v>
      </c>
      <c r="J627" s="0" t="str">
        <f aca="false">IF($G627="","Uncategorized — Review",IFERROR(INDEX(Mapping!$C:$C,MATCH($G627,Mapping!$A:$A,0)),"Uncategorized — Review"))</f>
        <v>Business Travel</v>
      </c>
    </row>
    <row r="628" customFormat="false" ht="15" hidden="false" customHeight="false" outlineLevel="0" collapsed="false">
      <c r="A628" s="0" t="str">
        <f aca="false">Chase1168_2025!A628</f>
        <v>DEBIT</v>
      </c>
      <c r="B628" s="14" t="n">
        <f aca="false">Chase1168_2025!B628</f>
        <v>45902</v>
      </c>
      <c r="C628" s="0" t="str">
        <f aca="false">Chase1168_2025!C628</f>
        <v>GLOBAL EXCHANGE CASA DE ALAJUELA             08/30</v>
      </c>
      <c r="D628" s="7" t="n">
        <f aca="false">Chase1168_2025!D628</f>
        <v>-200</v>
      </c>
      <c r="E628" s="0" t="str">
        <f aca="false">Chase1168_2025!E628</f>
        <v>DEBIT_CARD</v>
      </c>
      <c r="F628" s="7" t="n">
        <f aca="false">Chase1168_2025!F628</f>
        <v>160424.96</v>
      </c>
      <c r="G628" s="0" t="str">
        <f aca="false">Chase1168_2025!G628</f>
        <v>2025 Costa Rica Trip</v>
      </c>
      <c r="H628" s="15" t="n">
        <f aca="false">IF($B628="","",DATE(YEAR($B628),MONTH($B628),1))</f>
        <v>45901</v>
      </c>
      <c r="I628" s="0" t="str">
        <f aca="false">IF($G628="","Uncategorized — Review",IFERROR(INDEX(Mapping!$B:$B,MATCH($G628,Mapping!$A:$A,0)),"Uncategorized — Review"))</f>
        <v>2025 Costa Rica Trip</v>
      </c>
      <c r="J628" s="0" t="str">
        <f aca="false">IF($G628="","Uncategorized — Review",IFERROR(INDEX(Mapping!$C:$C,MATCH($G628,Mapping!$A:$A,0)),"Uncategorized — Review"))</f>
        <v>Business Travel</v>
      </c>
    </row>
    <row r="629" customFormat="false" ht="15" hidden="false" customHeight="false" outlineLevel="0" collapsed="false">
      <c r="A629" s="0" t="str">
        <f aca="false">Chase1168_2025!A629</f>
        <v>DEBIT</v>
      </c>
      <c r="B629" s="14" t="n">
        <f aca="false">Chase1168_2025!B629</f>
        <v>45902</v>
      </c>
      <c r="C629" s="0" t="str">
        <f aca="false">Chase1168_2025!C629</f>
        <v>PP*APPLE.COM/BILL 800-275-2273 CA            08/31</v>
      </c>
      <c r="D629" s="7" t="n">
        <f aca="false">Chase1168_2025!D629</f>
        <v>-15.99</v>
      </c>
      <c r="E629" s="0" t="str">
        <f aca="false">Chase1168_2025!E629</f>
        <v>DEBIT_CARD</v>
      </c>
      <c r="F629" s="7" t="n">
        <f aca="false">Chase1168_2025!F629</f>
        <v>160624.96</v>
      </c>
      <c r="G629" s="0" t="str">
        <f aca="false">Chase1168_2025!G629</f>
        <v>Personal - Subscriptions</v>
      </c>
      <c r="H629" s="15" t="n">
        <f aca="false">IF($B629="","",DATE(YEAR($B629),MONTH($B629),1))</f>
        <v>45901</v>
      </c>
      <c r="I629" s="0" t="str">
        <f aca="false">IF($G629="","Uncategorized — Review",IFERROR(INDEX(Mapping!$B:$B,MATCH($G629,Mapping!$A:$A,0)),"Uncategorized — Review"))</f>
        <v>Personal - Subscriptions</v>
      </c>
      <c r="J629" s="0" t="str">
        <f aca="false">IF($G629="","Uncategorized — Review",IFERROR(INDEX(Mapping!$C:$C,MATCH($G629,Mapping!$A:$A,0)),"Uncategorized — Review"))</f>
        <v>Personal — Owner</v>
      </c>
    </row>
    <row r="630" customFormat="false" ht="15" hidden="false" customHeight="false" outlineLevel="0" collapsed="false">
      <c r="A630" s="0" t="str">
        <f aca="false">Chase1168_2025!A630</f>
        <v>DEBIT</v>
      </c>
      <c r="B630" s="14" t="n">
        <f aca="false">Chase1168_2025!B630</f>
        <v>45902</v>
      </c>
      <c r="C630" s="0" t="str">
        <f aca="false">Chase1168_2025!C630</f>
        <v>PP*APPLE.COM/BILL 800-275-2273 CA            08/31</v>
      </c>
      <c r="D630" s="7" t="n">
        <f aca="false">Chase1168_2025!D630</f>
        <v>-18.99</v>
      </c>
      <c r="E630" s="0" t="str">
        <f aca="false">Chase1168_2025!E630</f>
        <v>DEBIT_CARD</v>
      </c>
      <c r="F630" s="7" t="n">
        <f aca="false">Chase1168_2025!F630</f>
        <v>160640.95</v>
      </c>
      <c r="G630" s="0" t="str">
        <f aca="false">Chase1168_2025!G630</f>
        <v>Personal - Subscriptions</v>
      </c>
      <c r="H630" s="15" t="n">
        <f aca="false">IF($B630="","",DATE(YEAR($B630),MONTH($B630),1))</f>
        <v>45901</v>
      </c>
      <c r="I630" s="0" t="str">
        <f aca="false">IF($G630="","Uncategorized — Review",IFERROR(INDEX(Mapping!$B:$B,MATCH($G630,Mapping!$A:$A,0)),"Uncategorized — Review"))</f>
        <v>Personal - Subscriptions</v>
      </c>
      <c r="J630" s="0" t="str">
        <f aca="false">IF($G630="","Uncategorized — Review",IFERROR(INDEX(Mapping!$C:$C,MATCH($G630,Mapping!$A:$A,0)),"Uncategorized — Review"))</f>
        <v>Personal — Owner</v>
      </c>
    </row>
    <row r="631" customFormat="false" ht="15" hidden="false" customHeight="false" outlineLevel="0" collapsed="false">
      <c r="A631" s="0" t="str">
        <f aca="false">Chase1168_2025!A631</f>
        <v>DEBIT</v>
      </c>
      <c r="B631" s="14" t="n">
        <f aca="false">Chase1168_2025!B631</f>
        <v>45902</v>
      </c>
      <c r="C631" s="0" t="str">
        <f aca="false">Chase1168_2025!C631</f>
        <v>ORIG CO NAME:SBA EIDL LOAN          ORIG ID:7300000118 DESC DATE:250829 CO ENTRY DESCR:PAYMENT   SEC:CCD    TRACE#:041036040080300 EED:250902   IND ID:0000                         IND NAME:JOHN DUNNING               1871308204                                                                        ACH TRANSACTION TRN: 2450080300TC</v>
      </c>
      <c r="D631" s="7" t="n">
        <f aca="false">Chase1168_2025!D631</f>
        <v>-2524</v>
      </c>
      <c r="E631" s="0" t="str">
        <f aca="false">Chase1168_2025!E631</f>
        <v>ACH_DEBIT</v>
      </c>
      <c r="F631" s="7" t="n">
        <f aca="false">Chase1168_2025!F631</f>
        <v>160659.94</v>
      </c>
      <c r="G631" s="0" t="str">
        <f aca="false">Chase1168_2025!G631</f>
        <v>SBC EIDL Loan</v>
      </c>
      <c r="H631" s="15" t="n">
        <f aca="false">IF($B631="","",DATE(YEAR($B631),MONTH($B631),1))</f>
        <v>45901</v>
      </c>
      <c r="I631" s="0" t="str">
        <f aca="false">IF($G631="","Uncategorized — Review",IFERROR(INDEX(Mapping!$B:$B,MATCH($G631,Mapping!$A:$A,0)),"Uncategorized — Review"))</f>
        <v>SBC EIDL Loan</v>
      </c>
      <c r="J631" s="0" t="str">
        <f aca="false">IF($G631="","Uncategorized — Review",IFERROR(INDEX(Mapping!$C:$C,MATCH($G631,Mapping!$A:$A,0)),"Uncategorized — Review"))</f>
        <v>Credit Card &amp; Loan Payments</v>
      </c>
    </row>
    <row r="632" customFormat="false" ht="15" hidden="false" customHeight="false" outlineLevel="0" collapsed="false">
      <c r="A632" s="0" t="str">
        <f aca="false">Chase1168_2025!A632</f>
        <v>DEBIT</v>
      </c>
      <c r="B632" s="14" t="n">
        <f aca="false">Chase1168_2025!B632</f>
        <v>45902</v>
      </c>
      <c r="C632" s="0" t="str">
        <f aca="false">Chase1168_2025!C632</f>
        <v>PAYPAL *DJTHEDJFLA 402-935-7733 CA           08/30</v>
      </c>
      <c r="D632" s="7" t="n">
        <f aca="false">Chase1168_2025!D632</f>
        <v>-1286.55</v>
      </c>
      <c r="E632" s="0" t="str">
        <f aca="false">Chase1168_2025!E632</f>
        <v>DEBIT_CARD</v>
      </c>
      <c r="F632" s="7" t="n">
        <f aca="false">Chase1168_2025!F632</f>
        <v>163183.94</v>
      </c>
      <c r="G632" s="0" t="str">
        <f aca="false">Chase1168_2025!G632</f>
        <v>PayPal</v>
      </c>
      <c r="H632" s="15" t="n">
        <f aca="false">IF($B632="","",DATE(YEAR($B632),MONTH($B632),1))</f>
        <v>45901</v>
      </c>
      <c r="I632" s="0" t="str">
        <f aca="false">IF($G632="","Uncategorized — Review",IFERROR(INDEX(Mapping!$B:$B,MATCH($G632,Mapping!$A:$A,0)),"Uncategorized — Review"))</f>
        <v>PayPal</v>
      </c>
      <c r="J632" s="0" t="str">
        <f aca="false">IF($G632="","Uncategorized — Review",IFERROR(INDEX(Mapping!$C:$C,MATCH($G632,Mapping!$A:$A,0)),"Uncategorized — Review"))</f>
        <v>P2P Payments (Zelle/Venmo/PayPal)</v>
      </c>
    </row>
    <row r="633" customFormat="false" ht="15" hidden="false" customHeight="false" outlineLevel="0" collapsed="false">
      <c r="A633" s="0" t="str">
        <f aca="false">Chase1168_2025!A633</f>
        <v>DEBIT</v>
      </c>
      <c r="B633" s="14" t="n">
        <f aca="false">Chase1168_2025!B633</f>
        <v>45902</v>
      </c>
      <c r="C633" s="0" t="str">
        <f aca="false">Chase1168_2025!C633</f>
        <v>Online Payment 26034221844 To PENTAGON FEDERAL CREDIT UNION 09/02</v>
      </c>
      <c r="D633" s="7" t="n">
        <f aca="false">Chase1168_2025!D633</f>
        <v>-7010</v>
      </c>
      <c r="E633" s="0" t="str">
        <f aca="false">Chase1168_2025!E633</f>
        <v>BILLPAY</v>
      </c>
      <c r="F633" s="7" t="n">
        <f aca="false">Chase1168_2025!F633</f>
        <v>164470.49</v>
      </c>
      <c r="G633" s="0" t="str">
        <f aca="false">Chase1168_2025!G633</f>
        <v>Personal - California Mortgage PMT</v>
      </c>
      <c r="H633" s="15" t="n">
        <f aca="false">IF($B633="","",DATE(YEAR($B633),MONTH($B633),1))</f>
        <v>45901</v>
      </c>
      <c r="I633" s="0" t="str">
        <f aca="false">IF($G633="","Uncategorized — Review",IFERROR(INDEX(Mapping!$B:$B,MATCH($G633,Mapping!$A:$A,0)),"Uncategorized — Review"))</f>
        <v>Personal - California Mortgage PMT</v>
      </c>
      <c r="J633" s="0" t="str">
        <f aca="false">IF($G633="","Uncategorized — Review",IFERROR(INDEX(Mapping!$C:$C,MATCH($G633,Mapping!$A:$A,0)),"Uncategorized — Review"))</f>
        <v>Personal — Owner</v>
      </c>
    </row>
    <row r="634" customFormat="false" ht="15" hidden="false" customHeight="false" outlineLevel="0" collapsed="false">
      <c r="A634" s="0" t="str">
        <f aca="false">Chase1168_2025!A634</f>
        <v>DEBIT</v>
      </c>
      <c r="B634" s="14" t="n">
        <f aca="false">Chase1168_2025!B634</f>
        <v>45902</v>
      </c>
      <c r="C634" s="0" t="str">
        <f aca="false">Chase1168_2025!C634</f>
        <v>Indeed USI25-04655945 800-4625842 TX         08/29</v>
      </c>
      <c r="D634" s="7" t="n">
        <f aca="false">Chase1168_2025!D634</f>
        <v>-389.7</v>
      </c>
      <c r="E634" s="0" t="str">
        <f aca="false">Chase1168_2025!E634</f>
        <v>DEBIT_CARD</v>
      </c>
      <c r="F634" s="7" t="n">
        <f aca="false">Chase1168_2025!F634</f>
        <v>171480.49</v>
      </c>
      <c r="G634" s="0" t="str">
        <f aca="false">Chase1168_2025!G634</f>
        <v>DWG HR</v>
      </c>
      <c r="H634" s="15" t="n">
        <f aca="false">IF($B634="","",DATE(YEAR($B634),MONTH($B634),1))</f>
        <v>45901</v>
      </c>
      <c r="I634" s="0" t="str">
        <f aca="false">IF($G634="","Uncategorized — Review",IFERROR(INDEX(Mapping!$B:$B,MATCH($G634,Mapping!$A:$A,0)),"Uncategorized — Review"))</f>
        <v>DWG HR</v>
      </c>
      <c r="J634" s="0" t="str">
        <f aca="false">IF($G634="","Uncategorized — Review",IFERROR(INDEX(Mapping!$C:$C,MATCH($G634,Mapping!$A:$A,0)),"Uncategorized — Review"))</f>
        <v>Payroll &amp; Contractors</v>
      </c>
    </row>
    <row r="635" customFormat="false" ht="15" hidden="false" customHeight="false" outlineLevel="0" collapsed="false">
      <c r="A635" s="0" t="str">
        <f aca="false">Chase1168_2025!A635</f>
        <v>CREDIT</v>
      </c>
      <c r="B635" s="14" t="n">
        <f aca="false">Chase1168_2025!B635</f>
        <v>45902</v>
      </c>
      <c r="C635" s="0" t="str">
        <f aca="false">Chase1168_2025!C635</f>
        <v>FEDWIRE CREDIT VIA: FIRST AMERICAN TRUST, FSB/122241255 B/O: FIRST AMERICAN TITLE INSURANCE COMP92707 REF: CHASE NYC/CTR/BNF=DWG CAPITAL GROUP LOS ANGELES CA 90066-3638 US/AC-00 0000002836 RFB=GT0019350308 OBI=/UR I/LOAN FINANCING COMMISSION MAGC P - PATCO NCS-2B9V-PHX1 IMAD: 0902L1B78J1C003621 TRN: 1601491245FF</v>
      </c>
      <c r="D635" s="7" t="n">
        <f aca="false">Chase1168_2025!D635</f>
        <v>145125</v>
      </c>
      <c r="E635" s="0" t="str">
        <f aca="false">Chase1168_2025!E635</f>
        <v>WIRE_INCOMING</v>
      </c>
      <c r="F635" s="7" t="n">
        <f aca="false">Chase1168_2025!F635</f>
        <v>171870.19</v>
      </c>
      <c r="G635" s="0" t="str">
        <f aca="false">Chase1168_2025!G635</f>
        <v>MAG Capital Partners Pass-Through Wire – 70/30 Split</v>
      </c>
      <c r="H635" s="15" t="n">
        <f aca="false">IF($B635="","",DATE(YEAR($B635),MONTH($B635),1))</f>
        <v>45901</v>
      </c>
      <c r="I635" s="0" t="str">
        <f aca="false">IF($G635="","Uncategorized — Review",IFERROR(INDEX(Mapping!$B:$B,MATCH($G635,Mapping!$A:$A,0)),"Uncategorized — Review"))</f>
        <v>MAG Capital Partners Pass-Through Wire – 70/30 Split</v>
      </c>
      <c r="J635" s="0" t="str">
        <f aca="false">IF($G635="","Uncategorized — Review",IFERROR(INDEX(Mapping!$C:$C,MATCH($G635,Mapping!$A:$A,0)),"Uncategorized — Review"))</f>
        <v>MAG Pass-Through</v>
      </c>
    </row>
    <row r="636" customFormat="false" ht="15" hidden="false" customHeight="false" outlineLevel="0" collapsed="false">
      <c r="A636" s="0" t="str">
        <f aca="false">Chase1168_2025!A636</f>
        <v>DEBIT</v>
      </c>
      <c r="B636" s="14" t="n">
        <f aca="false">Chase1168_2025!B636</f>
        <v>45898</v>
      </c>
      <c r="C636" s="0" t="str">
        <f aca="false">Chase1168_2025!C636</f>
        <v>Online Transfer to CHK ...6975 transaction#: 26034168068 08/29</v>
      </c>
      <c r="D636" s="7" t="n">
        <f aca="false">Chase1168_2025!D636</f>
        <v>-1000</v>
      </c>
      <c r="E636" s="0" t="str">
        <f aca="false">Chase1168_2025!E636</f>
        <v>ACCT_XFER</v>
      </c>
      <c r="F636" s="7" t="n">
        <f aca="false">Chase1168_2025!F636</f>
        <v>26745.19</v>
      </c>
      <c r="G636" s="0" t="str">
        <f aca="false">Chase1168_2025!G636</f>
        <v>Transfer to Ava Perez-Dunning</v>
      </c>
      <c r="H636" s="15" t="n">
        <f aca="false">IF($B636="","",DATE(YEAR($B636),MONTH($B636),1))</f>
        <v>45870</v>
      </c>
      <c r="I636" s="0" t="str">
        <f aca="false">IF($G636="","Uncategorized — Review",IFERROR(INDEX(Mapping!$B:$B,MATCH($G636,Mapping!$A:$A,0)),"Uncategorized — Review"))</f>
        <v>Transfer to Ava Perez-Dunning</v>
      </c>
      <c r="J636" s="0" t="str">
        <f aca="false">IF($G636="","Uncategorized — Review",IFERROR(INDEX(Mapping!$C:$C,MATCH($G636,Mapping!$A:$A,0)),"Uncategorized — Review"))</f>
        <v>Owner / Family Distributions</v>
      </c>
    </row>
    <row r="637" customFormat="false" ht="15" hidden="false" customHeight="false" outlineLevel="0" collapsed="false">
      <c r="A637" s="0" t="str">
        <f aca="false">Chase1168_2025!A637</f>
        <v>DEBIT</v>
      </c>
      <c r="B637" s="14" t="n">
        <f aca="false">Chase1168_2025!B637</f>
        <v>45898</v>
      </c>
      <c r="C637" s="0" t="str">
        <f aca="false">Chase1168_2025!C637</f>
        <v>Online Transfer to CHK ...7899 transaction#: 26034125502 08/29</v>
      </c>
      <c r="D637" s="7" t="n">
        <f aca="false">Chase1168_2025!D637</f>
        <v>-10000</v>
      </c>
      <c r="E637" s="0" t="str">
        <f aca="false">Chase1168_2025!E637</f>
        <v>ACCT_XFER</v>
      </c>
      <c r="F637" s="7" t="n">
        <f aca="false">Chase1168_2025!F637</f>
        <v>27745.19</v>
      </c>
      <c r="G637" s="0" t="str">
        <f aca="false">Chase1168_2025!G637</f>
        <v>Transfer to TX Personal Joint</v>
      </c>
      <c r="H637" s="15" t="n">
        <f aca="false">IF($B637="","",DATE(YEAR($B637),MONTH($B637),1))</f>
        <v>45870</v>
      </c>
      <c r="I637" s="0" t="str">
        <f aca="false">IF($G637="","Uncategorized — Review",IFERROR(INDEX(Mapping!$B:$B,MATCH($G637,Mapping!$A:$A,0)),"Uncategorized — Review"))</f>
        <v>Transfer to TX Personal Joint</v>
      </c>
      <c r="J637" s="0" t="str">
        <f aca="false">IF($G637="","Uncategorized — Review",IFERROR(INDEX(Mapping!$C:$C,MATCH($G637,Mapping!$A:$A,0)),"Uncategorized — Review"))</f>
        <v>Owner / Family Distributions</v>
      </c>
    </row>
    <row r="638" customFormat="false" ht="15" hidden="false" customHeight="false" outlineLevel="0" collapsed="false">
      <c r="A638" s="0" t="str">
        <f aca="false">Chase1168_2025!A638</f>
        <v>DEBIT</v>
      </c>
      <c r="B638" s="14" t="n">
        <f aca="false">Chase1168_2025!B638</f>
        <v>45898</v>
      </c>
      <c r="C638" s="0" t="str">
        <f aca="false">Chase1168_2025!C638</f>
        <v>ORIG CO NAME:TXU ENERGY             ORIG ID:1001020329 DESC DATE:       CO ENTRY DESCR:TXUE_ACH  SEC:WEB    TRACE#:021000027664169 EED:250829   IND ID:900062431557                 IND NAME:DWG CAPITAL GROUP          17333702810000000000000000000003579 5379304                                       DIRECT DEBITING TRN: 2417664169TC</v>
      </c>
      <c r="D638" s="7" t="n">
        <f aca="false">Chase1168_2025!D638</f>
        <v>-837.28</v>
      </c>
      <c r="E638" s="0" t="str">
        <f aca="false">Chase1168_2025!E638</f>
        <v>ACH_DEBIT</v>
      </c>
      <c r="F638" s="7" t="n">
        <f aca="false">Chase1168_2025!F638</f>
        <v>37745.19</v>
      </c>
      <c r="G638" s="0" t="str">
        <f aca="false">Chase1168_2025!G638</f>
        <v>Texas - House Utilities</v>
      </c>
      <c r="H638" s="15" t="n">
        <f aca="false">IF($B638="","",DATE(YEAR($B638),MONTH($B638),1))</f>
        <v>45870</v>
      </c>
      <c r="I638" s="0" t="str">
        <f aca="false">IF($G638="","Uncategorized — Review",IFERROR(INDEX(Mapping!$B:$B,MATCH($G638,Mapping!$A:$A,0)),"Uncategorized — Review"))</f>
        <v>Texas - House Utilities</v>
      </c>
      <c r="J638" s="0" t="str">
        <f aca="false">IF($G638="","Uncategorized — Review",IFERROR(INDEX(Mapping!$C:$C,MATCH($G638,Mapping!$A:$A,0)),"Uncategorized — Review"))</f>
        <v>Personal — Owner</v>
      </c>
    </row>
    <row r="639" customFormat="false" ht="15" hidden="false" customHeight="false" outlineLevel="0" collapsed="false">
      <c r="A639" s="0" t="str">
        <f aca="false">Chase1168_2025!A639</f>
        <v>DEBIT</v>
      </c>
      <c r="B639" s="14" t="n">
        <f aca="false">Chase1168_2025!B639</f>
        <v>45898</v>
      </c>
      <c r="C639" s="0" t="str">
        <f aca="false">Chase1168_2025!C639</f>
        <v>Basic Online Payroll Payment 11185129552 to ########4122</v>
      </c>
      <c r="D639" s="7" t="n">
        <f aca="false">Chase1168_2025!D639</f>
        <v>-1500</v>
      </c>
      <c r="E639" s="0" t="str">
        <f aca="false">Chase1168_2025!E639</f>
        <v>BASIC_PAYROLL</v>
      </c>
      <c r="F639" s="7" t="n">
        <f aca="false">Chase1168_2025!F639</f>
        <v>38582.47</v>
      </c>
      <c r="G639" s="0" t="str">
        <f aca="false">Chase1168_2025!G639</f>
        <v>Mike Paytonjian - Payroll</v>
      </c>
      <c r="H639" s="15" t="n">
        <f aca="false">IF($B639="","",DATE(YEAR($B639),MONTH($B639),1))</f>
        <v>45870</v>
      </c>
      <c r="I639" s="0" t="str">
        <f aca="false">IF($G639="","Uncategorized — Review",IFERROR(INDEX(Mapping!$B:$B,MATCH($G639,Mapping!$A:$A,0)),"Uncategorized — Review"))</f>
        <v>Mike Paytonjian - Payroll</v>
      </c>
      <c r="J639" s="0" t="str">
        <f aca="false">IF($G639="","Uncategorized — Review",IFERROR(INDEX(Mapping!$C:$C,MATCH($G639,Mapping!$A:$A,0)),"Uncategorized — Review"))</f>
        <v>Payroll &amp; Contractors</v>
      </c>
    </row>
    <row r="640" customFormat="false" ht="15" hidden="false" customHeight="false" outlineLevel="0" collapsed="false">
      <c r="A640" s="0" t="str">
        <f aca="false">Chase1168_2025!A640</f>
        <v>DEBIT</v>
      </c>
      <c r="B640" s="14" t="n">
        <f aca="false">Chase1168_2025!B640</f>
        <v>45898</v>
      </c>
      <c r="C640" s="0" t="str">
        <f aca="false">Chase1168_2025!C640</f>
        <v>ORIG CO NAME:GEICO                  ORIG ID:3530075853 DESC DATE:250828 CO ENTRY DESCR:PREM COLL SEC:PPD    TRACE#:021000024052479 EED:250829   IND ID:                             IND NAME:ANGELA DUNNING TRN: 2414052479TC</v>
      </c>
      <c r="D640" s="7" t="n">
        <f aca="false">Chase1168_2025!D640</f>
        <v>-437.28</v>
      </c>
      <c r="E640" s="0" t="str">
        <f aca="false">Chase1168_2025!E640</f>
        <v>ACH_DEBIT</v>
      </c>
      <c r="F640" s="7" t="n">
        <f aca="false">Chase1168_2025!F640</f>
        <v>40082.47</v>
      </c>
      <c r="G640" s="0" t="str">
        <f aca="false">Chase1168_2025!G640</f>
        <v>Personal - Car Insurance</v>
      </c>
      <c r="H640" s="15" t="n">
        <f aca="false">IF($B640="","",DATE(YEAR($B640),MONTH($B640),1))</f>
        <v>45870</v>
      </c>
      <c r="I640" s="0" t="str">
        <f aca="false">IF($G640="","Uncategorized — Review",IFERROR(INDEX(Mapping!$B:$B,MATCH($G640,Mapping!$A:$A,0)),"Uncategorized — Review"))</f>
        <v>Personal - Car &amp; Auto</v>
      </c>
      <c r="J640" s="0" t="str">
        <f aca="false">IF($G640="","Uncategorized — Review",IFERROR(INDEX(Mapping!$C:$C,MATCH($G640,Mapping!$A:$A,0)),"Uncategorized — Review"))</f>
        <v>Personal — Owner</v>
      </c>
    </row>
    <row r="641" customFormat="false" ht="15" hidden="false" customHeight="false" outlineLevel="0" collapsed="false">
      <c r="A641" s="0" t="str">
        <f aca="false">Chase1168_2025!A641</f>
        <v>DEBIT</v>
      </c>
      <c r="B641" s="14" t="n">
        <f aca="false">Chase1168_2025!B641</f>
        <v>45898</v>
      </c>
      <c r="C641" s="0" t="str">
        <f aca="false">Chase1168_2025!C641</f>
        <v>RING PREMIUM PLAN RING.COM CA                08/29</v>
      </c>
      <c r="D641" s="7" t="n">
        <f aca="false">Chase1168_2025!D641</f>
        <v>-199.99</v>
      </c>
      <c r="E641" s="0" t="str">
        <f aca="false">Chase1168_2025!E641</f>
        <v>DEBIT_CARD</v>
      </c>
      <c r="F641" s="7" t="n">
        <f aca="false">Chase1168_2025!F641</f>
        <v>40519.75</v>
      </c>
      <c r="G641" s="0" t="str">
        <f aca="false">Chase1168_2025!G641</f>
        <v>Personal - Subscriptions</v>
      </c>
      <c r="H641" s="15" t="n">
        <f aca="false">IF($B641="","",DATE(YEAR($B641),MONTH($B641),1))</f>
        <v>45870</v>
      </c>
      <c r="I641" s="0" t="str">
        <f aca="false">IF($G641="","Uncategorized — Review",IFERROR(INDEX(Mapping!$B:$B,MATCH($G641,Mapping!$A:$A,0)),"Uncategorized — Review"))</f>
        <v>Personal - Subscriptions</v>
      </c>
      <c r="J641" s="0" t="str">
        <f aca="false">IF($G641="","Uncategorized — Review",IFERROR(INDEX(Mapping!$C:$C,MATCH($G641,Mapping!$A:$A,0)),"Uncategorized — Review"))</f>
        <v>Personal — Owner</v>
      </c>
    </row>
    <row r="642" customFormat="false" ht="15" hidden="false" customHeight="false" outlineLevel="0" collapsed="false">
      <c r="A642" s="0" t="str">
        <f aca="false">Chase1168_2025!A642</f>
        <v>DEBIT</v>
      </c>
      <c r="B642" s="14" t="n">
        <f aca="false">Chase1168_2025!B642</f>
        <v>45898</v>
      </c>
      <c r="C642" s="0" t="str">
        <f aca="false">Chase1168_2025!C642</f>
        <v>CVS/PHARMACY #08847 LOS ANGELES CA   025400  08/28</v>
      </c>
      <c r="D642" s="7" t="n">
        <f aca="false">Chase1168_2025!D642</f>
        <v>-10.96</v>
      </c>
      <c r="E642" s="0" t="str">
        <f aca="false">Chase1168_2025!E642</f>
        <v>DEBIT_CARD</v>
      </c>
      <c r="F642" s="7" t="n">
        <f aca="false">Chase1168_2025!F642</f>
        <v>40719.74</v>
      </c>
      <c r="G642" s="0" t="str">
        <f aca="false">Chase1168_2025!G642</f>
        <v>Personal - Health</v>
      </c>
      <c r="H642" s="15" t="n">
        <f aca="false">IF($B642="","",DATE(YEAR($B642),MONTH($B642),1))</f>
        <v>45870</v>
      </c>
      <c r="I642" s="0" t="str">
        <f aca="false">IF($G642="","Uncategorized — Review",IFERROR(INDEX(Mapping!$B:$B,MATCH($G642,Mapping!$A:$A,0)),"Uncategorized — Review"))</f>
        <v>Personal - Health (incl. Ins.)</v>
      </c>
      <c r="J642" s="0" t="str">
        <f aca="false">IF($G642="","Uncategorized — Review",IFERROR(INDEX(Mapping!$C:$C,MATCH($G642,Mapping!$A:$A,0)),"Uncategorized — Review"))</f>
        <v>Personal — Owner</v>
      </c>
    </row>
    <row r="643" customFormat="false" ht="15" hidden="false" customHeight="false" outlineLevel="0" collapsed="false">
      <c r="A643" s="0" t="str">
        <f aca="false">Chase1168_2025!A643</f>
        <v>DEBIT</v>
      </c>
      <c r="B643" s="14" t="n">
        <f aca="false">Chase1168_2025!B643</f>
        <v>45898</v>
      </c>
      <c r="C643" s="0" t="str">
        <f aca="false">Chase1168_2025!C643</f>
        <v>PAYPAL *UBER 866-576-1039 CA                 08/29</v>
      </c>
      <c r="D643" s="7" t="n">
        <f aca="false">Chase1168_2025!D643</f>
        <v>-22.02</v>
      </c>
      <c r="E643" s="0" t="str">
        <f aca="false">Chase1168_2025!E643</f>
        <v>DEBIT_CARD</v>
      </c>
      <c r="F643" s="7" t="n">
        <f aca="false">Chase1168_2025!F643</f>
        <v>40730.7</v>
      </c>
      <c r="G643" s="0" t="str">
        <f aca="false">Chase1168_2025!G643</f>
        <v>Personal - Car</v>
      </c>
      <c r="H643" s="15" t="n">
        <f aca="false">IF($B643="","",DATE(YEAR($B643),MONTH($B643),1))</f>
        <v>45870</v>
      </c>
      <c r="I643" s="0" t="str">
        <f aca="false">IF($G643="","Uncategorized — Review",IFERROR(INDEX(Mapping!$B:$B,MATCH($G643,Mapping!$A:$A,0)),"Uncategorized — Review"))</f>
        <v>Personal - Car &amp; Auto</v>
      </c>
      <c r="J643" s="0" t="str">
        <f aca="false">IF($G643="","Uncategorized — Review",IFERROR(INDEX(Mapping!$C:$C,MATCH($G643,Mapping!$A:$A,0)),"Uncategorized — Review"))</f>
        <v>Personal — Owner</v>
      </c>
    </row>
    <row r="644" customFormat="false" ht="15" hidden="false" customHeight="false" outlineLevel="0" collapsed="false">
      <c r="A644" s="0" t="str">
        <f aca="false">Chase1168_2025!A644</f>
        <v>DEBIT</v>
      </c>
      <c r="B644" s="14" t="n">
        <f aca="false">Chase1168_2025!B644</f>
        <v>45898</v>
      </c>
      <c r="C644" s="0" t="str">
        <f aca="false">Chase1168_2025!C644</f>
        <v>PAYPAL *UBER 866-576-1039 CA                 08/29</v>
      </c>
      <c r="D644" s="7" t="n">
        <f aca="false">Chase1168_2025!D644</f>
        <v>-4</v>
      </c>
      <c r="E644" s="0" t="str">
        <f aca="false">Chase1168_2025!E644</f>
        <v>DEBIT_CARD</v>
      </c>
      <c r="F644" s="7" t="n">
        <f aca="false">Chase1168_2025!F644</f>
        <v>40752.72</v>
      </c>
      <c r="G644" s="0" t="str">
        <f aca="false">Chase1168_2025!G644</f>
        <v>Personal - Car</v>
      </c>
      <c r="H644" s="15" t="n">
        <f aca="false">IF($B644="","",DATE(YEAR($B644),MONTH($B644),1))</f>
        <v>45870</v>
      </c>
      <c r="I644" s="0" t="str">
        <f aca="false">IF($G644="","Uncategorized — Review",IFERROR(INDEX(Mapping!$B:$B,MATCH($G644,Mapping!$A:$A,0)),"Uncategorized — Review"))</f>
        <v>Personal - Car &amp; Auto</v>
      </c>
      <c r="J644" s="0" t="str">
        <f aca="false">IF($G644="","Uncategorized — Review",IFERROR(INDEX(Mapping!$C:$C,MATCH($G644,Mapping!$A:$A,0)),"Uncategorized — Review"))</f>
        <v>Personal — Owner</v>
      </c>
    </row>
    <row r="645" customFormat="false" ht="15" hidden="false" customHeight="false" outlineLevel="0" collapsed="false">
      <c r="A645" s="0" t="str">
        <f aca="false">Chase1168_2025!A645</f>
        <v>DEBIT</v>
      </c>
      <c r="B645" s="14" t="n">
        <f aca="false">Chase1168_2025!B645</f>
        <v>45898</v>
      </c>
      <c r="C645" s="0" t="str">
        <f aca="false">Chase1168_2025!C645</f>
        <v>VENICE LIQUOR LOS ANGELES CA                 08/28</v>
      </c>
      <c r="D645" s="7" t="n">
        <f aca="false">Chase1168_2025!D645</f>
        <v>-36.12</v>
      </c>
      <c r="E645" s="0" t="str">
        <f aca="false">Chase1168_2025!E645</f>
        <v>DEBIT_CARD</v>
      </c>
      <c r="F645" s="7" t="n">
        <f aca="false">Chase1168_2025!F645</f>
        <v>40756.72</v>
      </c>
      <c r="G645" s="0" t="str">
        <f aca="false">Chase1168_2025!G645</f>
        <v>Personal - Food</v>
      </c>
      <c r="H645" s="15" t="n">
        <f aca="false">IF($B645="","",DATE(YEAR($B645),MONTH($B645),1))</f>
        <v>45870</v>
      </c>
      <c r="I645" s="0" t="str">
        <f aca="false">IF($G645="","Uncategorized — Review",IFERROR(INDEX(Mapping!$B:$B,MATCH($G645,Mapping!$A:$A,0)),"Uncategorized — Review"))</f>
        <v>Personal - Food &amp; Dining</v>
      </c>
      <c r="J645" s="0" t="str">
        <f aca="false">IF($G645="","Uncategorized — Review",IFERROR(INDEX(Mapping!$C:$C,MATCH($G645,Mapping!$A:$A,0)),"Uncategorized — Review"))</f>
        <v>Personal — Owner</v>
      </c>
    </row>
    <row r="646" customFormat="false" ht="15" hidden="false" customHeight="false" outlineLevel="0" collapsed="false">
      <c r="A646" s="0" t="str">
        <f aca="false">Chase1168_2025!A646</f>
        <v>DEBIT</v>
      </c>
      <c r="B646" s="14" t="n">
        <f aca="false">Chase1168_2025!B646</f>
        <v>45898</v>
      </c>
      <c r="C646" s="0" t="str">
        <f aca="false">Chase1168_2025!C646</f>
        <v>TST* THE BUTCHER'S DAUG VENICE CA            08/29</v>
      </c>
      <c r="D646" s="7" t="n">
        <f aca="false">Chase1168_2025!D646</f>
        <v>-97.39</v>
      </c>
      <c r="E646" s="0" t="str">
        <f aca="false">Chase1168_2025!E646</f>
        <v>DEBIT_CARD</v>
      </c>
      <c r="F646" s="7" t="n">
        <f aca="false">Chase1168_2025!F646</f>
        <v>40792.84</v>
      </c>
      <c r="G646" s="0" t="str">
        <f aca="false">Chase1168_2025!G646</f>
        <v>Personal - Food</v>
      </c>
      <c r="H646" s="15" t="n">
        <f aca="false">IF($B646="","",DATE(YEAR($B646),MONTH($B646),1))</f>
        <v>45870</v>
      </c>
      <c r="I646" s="0" t="str">
        <f aca="false">IF($G646="","Uncategorized — Review",IFERROR(INDEX(Mapping!$B:$B,MATCH($G646,Mapping!$A:$A,0)),"Uncategorized — Review"))</f>
        <v>Personal - Food &amp; Dining</v>
      </c>
      <c r="J646" s="0" t="str">
        <f aca="false">IF($G646="","Uncategorized — Review",IFERROR(INDEX(Mapping!$C:$C,MATCH($G646,Mapping!$A:$A,0)),"Uncategorized — Review"))</f>
        <v>Personal — Owner</v>
      </c>
    </row>
    <row r="647" customFormat="false" ht="15" hidden="false" customHeight="false" outlineLevel="0" collapsed="false">
      <c r="A647" s="0" t="str">
        <f aca="false">Chase1168_2025!A647</f>
        <v>CREDIT</v>
      </c>
      <c r="B647" s="14" t="n">
        <f aca="false">Chase1168_2025!B647</f>
        <v>45898</v>
      </c>
      <c r="C647" s="0" t="str">
        <f aca="false">Chase1168_2025!C647</f>
        <v>Online Transfer from CHK ...9335 transaction#: 26034115251</v>
      </c>
      <c r="D647" s="7" t="n">
        <f aca="false">Chase1168_2025!D647</f>
        <v>30000</v>
      </c>
      <c r="E647" s="0" t="str">
        <f aca="false">Chase1168_2025!E647</f>
        <v>ACCT_XFER</v>
      </c>
      <c r="F647" s="7" t="n">
        <f aca="false">Chase1168_2025!F647</f>
        <v>40890.23</v>
      </c>
      <c r="G647" s="0" t="str">
        <f aca="false">Chase1168_2025!G647</f>
        <v>Poseidon Asset Group (Incoming)</v>
      </c>
      <c r="H647" s="15" t="n">
        <f aca="false">IF($B647="","",DATE(YEAR($B647),MONTH($B647),1))</f>
        <v>45870</v>
      </c>
      <c r="I647" s="0" t="str">
        <f aca="false">IF($G647="","Uncategorized — Review",IFERROR(INDEX(Mapping!$B:$B,MATCH($G647,Mapping!$A:$A,0)),"Uncategorized — Review"))</f>
        <v>Poseidon Asset Group (Incoming)</v>
      </c>
      <c r="J647" s="0" t="str">
        <f aca="false">IF($G647="","Uncategorized — Review",IFERROR(INDEX(Mapping!$C:$C,MATCH($G647,Mapping!$A:$A,0)),"Uncategorized — Review"))</f>
        <v>Poseidon Asset Group</v>
      </c>
    </row>
    <row r="648" customFormat="false" ht="15" hidden="false" customHeight="false" outlineLevel="0" collapsed="false">
      <c r="A648" s="0" t="str">
        <f aca="false">Chase1168_2025!A648</f>
        <v>DEBIT</v>
      </c>
      <c r="B648" s="14" t="n">
        <f aca="false">Chase1168_2025!B648</f>
        <v>45897</v>
      </c>
      <c r="C648" s="0" t="str">
        <f aca="false">Chase1168_2025!C648</f>
        <v>ONLINE FX INTERNATIONAL WIRE FEE</v>
      </c>
      <c r="D648" s="7" t="n">
        <f aca="false">Chase1168_2025!D648</f>
        <v>-5</v>
      </c>
      <c r="E648" s="0" t="str">
        <f aca="false">Chase1168_2025!E648</f>
        <v>FEE_TRANSACTION</v>
      </c>
      <c r="F648" s="7" t="n">
        <f aca="false">Chase1168_2025!F648</f>
        <v>10890.23</v>
      </c>
      <c r="G648" s="0" t="str">
        <f aca="false">Chase1168_2025!G648</f>
        <v>Andres Alarcon Payroll</v>
      </c>
      <c r="H648" s="15" t="n">
        <f aca="false">IF($B648="","",DATE(YEAR($B648),MONTH($B648),1))</f>
        <v>45870</v>
      </c>
      <c r="I648" s="0" t="str">
        <f aca="false">IF($G648="","Uncategorized — Review",IFERROR(INDEX(Mapping!$B:$B,MATCH($G648,Mapping!$A:$A,0)),"Uncategorized — Review"))</f>
        <v>Andres Alarcon Payroll</v>
      </c>
      <c r="J648" s="0" t="str">
        <f aca="false">IF($G648="","Uncategorized — Review",IFERROR(INDEX(Mapping!$C:$C,MATCH($G648,Mapping!$A:$A,0)),"Uncategorized — Review"))</f>
        <v>Payroll &amp; Contractors</v>
      </c>
    </row>
    <row r="649" customFormat="false" ht="15" hidden="false" customHeight="false" outlineLevel="0" collapsed="false">
      <c r="A649" s="0" t="str">
        <f aca="false">Chase1168_2025!A649</f>
        <v>DEBIT</v>
      </c>
      <c r="B649" s="14" t="n">
        <f aca="false">Chase1168_2025!B649</f>
        <v>45897</v>
      </c>
      <c r="C649" s="0" t="str">
        <f aca="false">Chase1168_2025!C649</f>
        <v>Zelle payment to jeff seider JPM99bl2p3xk</v>
      </c>
      <c r="D649" s="7" t="n">
        <f aca="false">Chase1168_2025!D649</f>
        <v>-100</v>
      </c>
      <c r="E649" s="0" t="str">
        <f aca="false">Chase1168_2025!E649</f>
        <v>CHASE_TO_PARTNERFI</v>
      </c>
      <c r="F649" s="7" t="n">
        <f aca="false">Chase1168_2025!F649</f>
        <v>10895.23</v>
      </c>
      <c r="G649" s="0" t="str">
        <f aca="false">Chase1168_2025!G649</f>
        <v>Zelle - Jeff Seider</v>
      </c>
      <c r="H649" s="15" t="n">
        <f aca="false">IF($B649="","",DATE(YEAR($B649),MONTH($B649),1))</f>
        <v>45870</v>
      </c>
      <c r="I649" s="0" t="str">
        <f aca="false">IF($G649="","Uncategorized — Review",IFERROR(INDEX(Mapping!$B:$B,MATCH($G649,Mapping!$A:$A,0)),"Uncategorized — Review"))</f>
        <v>Zelle - Jeff Seider</v>
      </c>
      <c r="J649" s="0" t="str">
        <f aca="false">IF($G649="","Uncategorized — Review",IFERROR(INDEX(Mapping!$C:$C,MATCH($G649,Mapping!$A:$A,0)),"Uncategorized — Review"))</f>
        <v>P2P Payments (Zelle/Venmo/PayPal)</v>
      </c>
    </row>
    <row r="650" customFormat="false" ht="15" hidden="false" customHeight="false" outlineLevel="0" collapsed="false">
      <c r="A650" s="0" t="str">
        <f aca="false">Chase1168_2025!A650</f>
        <v>DEBIT</v>
      </c>
      <c r="B650" s="14" t="n">
        <f aca="false">Chase1168_2025!B650</f>
        <v>45897</v>
      </c>
      <c r="C650" s="0" t="str">
        <f aca="false">Chase1168_2025!C650</f>
        <v>Zelle payment to Aaron Frankel JPM99bl2np70</v>
      </c>
      <c r="D650" s="7" t="n">
        <f aca="false">Chase1168_2025!D650</f>
        <v>-250</v>
      </c>
      <c r="E650" s="0" t="str">
        <f aca="false">Chase1168_2025!E650</f>
        <v>CHASE_TO_PARTNERFI</v>
      </c>
      <c r="F650" s="7" t="n">
        <f aca="false">Chase1168_2025!F650</f>
        <v>10995.23</v>
      </c>
      <c r="G650" s="0" t="str">
        <f aca="false">Chase1168_2025!G650</f>
        <v>Zelle - Aaron Frankel</v>
      </c>
      <c r="H650" s="15" t="n">
        <f aca="false">IF($B650="","",DATE(YEAR($B650),MONTH($B650),1))</f>
        <v>45870</v>
      </c>
      <c r="I650" s="0" t="str">
        <f aca="false">IF($G650="","Uncategorized — Review",IFERROR(INDEX(Mapping!$B:$B,MATCH($G650,Mapping!$A:$A,0)),"Uncategorized — Review"))</f>
        <v>Zelle - Aaron Frankel</v>
      </c>
      <c r="J650" s="0" t="str">
        <f aca="false">IF($G650="","Uncategorized — Review",IFERROR(INDEX(Mapping!$C:$C,MATCH($G650,Mapping!$A:$A,0)),"Uncategorized — Review"))</f>
        <v>P2P Payments (Zelle/Venmo/PayPal)</v>
      </c>
    </row>
    <row r="651" customFormat="false" ht="15" hidden="false" customHeight="false" outlineLevel="0" collapsed="false">
      <c r="A651" s="0" t="str">
        <f aca="false">Chase1168_2025!A651</f>
        <v>DEBIT</v>
      </c>
      <c r="B651" s="14" t="n">
        <f aca="false">Chase1168_2025!B651</f>
        <v>45897</v>
      </c>
      <c r="C651" s="0" t="str">
        <f aca="false">Chase1168_2025!C651</f>
        <v>Online Transfer to CHK ...1117 transaction#: 26012643460 08/28</v>
      </c>
      <c r="D651" s="7" t="n">
        <f aca="false">Chase1168_2025!D651</f>
        <v>-4000</v>
      </c>
      <c r="E651" s="0" t="str">
        <f aca="false">Chase1168_2025!E651</f>
        <v>ACCT_XFER</v>
      </c>
      <c r="F651" s="7" t="n">
        <f aca="false">Chase1168_2025!F651</f>
        <v>11245.23</v>
      </c>
      <c r="G651" s="0" t="str">
        <f aca="false">Chase1168_2025!G651</f>
        <v>Transfer to Angela Dunning</v>
      </c>
      <c r="H651" s="15" t="n">
        <f aca="false">IF($B651="","",DATE(YEAR($B651),MONTH($B651),1))</f>
        <v>45870</v>
      </c>
      <c r="I651" s="0" t="str">
        <f aca="false">IF($G651="","Uncategorized — Review",IFERROR(INDEX(Mapping!$B:$B,MATCH($G651,Mapping!$A:$A,0)),"Uncategorized — Review"))</f>
        <v>Transfer to Angela Dunning</v>
      </c>
      <c r="J651" s="0" t="str">
        <f aca="false">IF($G651="","Uncategorized — Review",IFERROR(INDEX(Mapping!$C:$C,MATCH($G651,Mapping!$A:$A,0)),"Uncategorized — Review"))</f>
        <v>Owner / Family Distributions</v>
      </c>
    </row>
    <row r="652" customFormat="false" ht="15" hidden="false" customHeight="false" outlineLevel="0" collapsed="false">
      <c r="A652" s="0" t="str">
        <f aca="false">Chase1168_2025!A652</f>
        <v>DEBIT</v>
      </c>
      <c r="B652" s="14" t="n">
        <f aca="false">Chase1168_2025!B652</f>
        <v>45897</v>
      </c>
      <c r="C652" s="0" t="str">
        <f aca="false">Chase1168_2025!C652</f>
        <v>ORIG CO NAME:BANNER LIFE            ORIG ID:1521236145 DESC DATE:250827 CO ENTRY DESCR:PREM DEBITSEC:PPD    TRACE#:091000015413715 EED:250828   IND ID:                             IND NAME:ANGELA L DUNNING TRN: 2405413715TC</v>
      </c>
      <c r="D652" s="7" t="n">
        <f aca="false">Chase1168_2025!D652</f>
        <v>-12.5</v>
      </c>
      <c r="E652" s="0" t="str">
        <f aca="false">Chase1168_2025!E652</f>
        <v>ACH_DEBIT</v>
      </c>
      <c r="F652" s="7" t="n">
        <f aca="false">Chase1168_2025!F652</f>
        <v>15245.23</v>
      </c>
      <c r="G652" s="0" t="str">
        <f aca="false">Chase1168_2025!G652</f>
        <v>Personal - Life Insurance</v>
      </c>
      <c r="H652" s="15" t="n">
        <f aca="false">IF($B652="","",DATE(YEAR($B652),MONTH($B652),1))</f>
        <v>45870</v>
      </c>
      <c r="I652" s="0" t="str">
        <f aca="false">IF($G652="","Uncategorized — Review",IFERROR(INDEX(Mapping!$B:$B,MATCH($G652,Mapping!$A:$A,0)),"Uncategorized — Review"))</f>
        <v>Personal - Life Insurance</v>
      </c>
      <c r="J652" s="0" t="str">
        <f aca="false">IF($G652="","Uncategorized — Review",IFERROR(INDEX(Mapping!$C:$C,MATCH($G652,Mapping!$A:$A,0)),"Uncategorized — Review"))</f>
        <v>Personal — Owner</v>
      </c>
    </row>
    <row r="653" customFormat="false" ht="15" hidden="false" customHeight="false" outlineLevel="0" collapsed="false">
      <c r="A653" s="0" t="str">
        <f aca="false">Chase1168_2025!A653</f>
        <v>DEBIT</v>
      </c>
      <c r="B653" s="14" t="n">
        <f aca="false">Chase1168_2025!B653</f>
        <v>45897</v>
      </c>
      <c r="C653" s="0" t="str">
        <f aca="false">Chase1168_2025!C653</f>
        <v>ORIG CO NAME:BANNER LIFE            ORIG ID:1521236145 DESC DATE:250827 CO ENTRY DESCR:PREM DEBITSEC:PPD    TRACE#:091000015413716 EED:250828   IND ID:                             IND NAME:JOHN  DUNNING TRN: 2405413716TC</v>
      </c>
      <c r="D653" s="7" t="n">
        <f aca="false">Chase1168_2025!D653</f>
        <v>-22.92</v>
      </c>
      <c r="E653" s="0" t="str">
        <f aca="false">Chase1168_2025!E653</f>
        <v>ACH_DEBIT</v>
      </c>
      <c r="F653" s="7" t="n">
        <f aca="false">Chase1168_2025!F653</f>
        <v>15257.73</v>
      </c>
      <c r="G653" s="0" t="str">
        <f aca="false">Chase1168_2025!G653</f>
        <v>Personal - Life Insurance</v>
      </c>
      <c r="H653" s="15" t="n">
        <f aca="false">IF($B653="","",DATE(YEAR($B653),MONTH($B653),1))</f>
        <v>45870</v>
      </c>
      <c r="I653" s="0" t="str">
        <f aca="false">IF($G653="","Uncategorized — Review",IFERROR(INDEX(Mapping!$B:$B,MATCH($G653,Mapping!$A:$A,0)),"Uncategorized — Review"))</f>
        <v>Personal - Life Insurance</v>
      </c>
      <c r="J653" s="0" t="str">
        <f aca="false">IF($G653="","Uncategorized — Review",IFERROR(INDEX(Mapping!$C:$C,MATCH($G653,Mapping!$A:$A,0)),"Uncategorized — Review"))</f>
        <v>Personal — Owner</v>
      </c>
    </row>
    <row r="654" customFormat="false" ht="15" hidden="false" customHeight="false" outlineLevel="0" collapsed="false">
      <c r="A654" s="0" t="str">
        <f aca="false">Chase1168_2025!A654</f>
        <v>DEBIT</v>
      </c>
      <c r="B654" s="14" t="n">
        <f aca="false">Chase1168_2025!B654</f>
        <v>45897</v>
      </c>
      <c r="C654" s="0" t="str">
        <f aca="false">Chase1168_2025!C654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PAYMENTS/OCMT/COP29 00346,08/EXCH/3867.1281/CNTR/773494 28/INT/ANDRES_52763ATHOTMAIL.C TRN: 8594200240RE 08/28</v>
      </c>
      <c r="D654" s="7" t="n">
        <f aca="false">Chase1168_2025!D654</f>
        <v>-750</v>
      </c>
      <c r="E654" s="0" t="str">
        <f aca="false">Chase1168_2025!E654</f>
        <v>WIRE_OUTGOING</v>
      </c>
      <c r="F654" s="7" t="n">
        <f aca="false">Chase1168_2025!F654</f>
        <v>15280.65</v>
      </c>
      <c r="G654" s="0" t="str">
        <f aca="false">Chase1168_2025!G654</f>
        <v>Andres Alarcon Payroll</v>
      </c>
      <c r="H654" s="15" t="n">
        <f aca="false">IF($B654="","",DATE(YEAR($B654),MONTH($B654),1))</f>
        <v>45870</v>
      </c>
      <c r="I654" s="0" t="str">
        <f aca="false">IF($G654="","Uncategorized — Review",IFERROR(INDEX(Mapping!$B:$B,MATCH($G654,Mapping!$A:$A,0)),"Uncategorized — Review"))</f>
        <v>Andres Alarcon Payroll</v>
      </c>
      <c r="J654" s="0" t="str">
        <f aca="false">IF($G654="","Uncategorized — Review",IFERROR(INDEX(Mapping!$C:$C,MATCH($G654,Mapping!$A:$A,0)),"Uncategorized — Review"))</f>
        <v>Payroll &amp; Contractors</v>
      </c>
    </row>
    <row r="655" customFormat="false" ht="15" hidden="false" customHeight="false" outlineLevel="0" collapsed="false">
      <c r="A655" s="0" t="str">
        <f aca="false">Chase1168_2025!A655</f>
        <v>DEBIT</v>
      </c>
      <c r="B655" s="14" t="n">
        <f aca="false">Chase1168_2025!B655</f>
        <v>45897</v>
      </c>
      <c r="C655" s="0" t="str">
        <f aca="false">Chase1168_2025!C655</f>
        <v>CITY OF SANTA MONICA SANTA MONICA CA         08/27</v>
      </c>
      <c r="D655" s="7" t="n">
        <f aca="false">Chase1168_2025!D655</f>
        <v>-2.25</v>
      </c>
      <c r="E655" s="0" t="str">
        <f aca="false">Chase1168_2025!E655</f>
        <v>DEBIT_CARD</v>
      </c>
      <c r="F655" s="7" t="n">
        <f aca="false">Chase1168_2025!F655</f>
        <v>16030.65</v>
      </c>
      <c r="G655" s="0" t="str">
        <f aca="false">Chase1168_2025!G655</f>
        <v>Personal - Car</v>
      </c>
      <c r="H655" s="15" t="n">
        <f aca="false">IF($B655="","",DATE(YEAR($B655),MONTH($B655),1))</f>
        <v>45870</v>
      </c>
      <c r="I655" s="0" t="str">
        <f aca="false">IF($G655="","Uncategorized — Review",IFERROR(INDEX(Mapping!$B:$B,MATCH($G655,Mapping!$A:$A,0)),"Uncategorized — Review"))</f>
        <v>Personal - Car &amp; Auto</v>
      </c>
      <c r="J655" s="0" t="str">
        <f aca="false">IF($G655="","Uncategorized — Review",IFERROR(INDEX(Mapping!$C:$C,MATCH($G655,Mapping!$A:$A,0)),"Uncategorized — Review"))</f>
        <v>Personal — Owner</v>
      </c>
    </row>
    <row r="656" customFormat="false" ht="15" hidden="false" customHeight="false" outlineLevel="0" collapsed="false">
      <c r="A656" s="0" t="str">
        <f aca="false">Chase1168_2025!A656</f>
        <v>DEBIT</v>
      </c>
      <c r="B656" s="14" t="n">
        <f aca="false">Chase1168_2025!B656</f>
        <v>45897</v>
      </c>
      <c r="C656" s="0" t="str">
        <f aca="false">Chase1168_2025!C656</f>
        <v>STARBUCKS STORE 0646 SAN BERNARDIN CA        08/27</v>
      </c>
      <c r="D656" s="7" t="n">
        <f aca="false">Chase1168_2025!D656</f>
        <v>-7.3</v>
      </c>
      <c r="E656" s="0" t="str">
        <f aca="false">Chase1168_2025!E656</f>
        <v>DEBIT_CARD</v>
      </c>
      <c r="F656" s="7" t="n">
        <f aca="false">Chase1168_2025!F656</f>
        <v>16032.9</v>
      </c>
      <c r="G656" s="0" t="str">
        <f aca="false">Chase1168_2025!G656</f>
        <v>Personal - Food</v>
      </c>
      <c r="H656" s="15" t="n">
        <f aca="false">IF($B656="","",DATE(YEAR($B656),MONTH($B656),1))</f>
        <v>45870</v>
      </c>
      <c r="I656" s="0" t="str">
        <f aca="false">IF($G656="","Uncategorized — Review",IFERROR(INDEX(Mapping!$B:$B,MATCH($G656,Mapping!$A:$A,0)),"Uncategorized — Review"))</f>
        <v>Personal - Food &amp; Dining</v>
      </c>
      <c r="J656" s="0" t="str">
        <f aca="false">IF($G656="","Uncategorized — Review",IFERROR(INDEX(Mapping!$C:$C,MATCH($G656,Mapping!$A:$A,0)),"Uncategorized — Review"))</f>
        <v>Personal — Owner</v>
      </c>
    </row>
    <row r="657" customFormat="false" ht="15" hidden="false" customHeight="false" outlineLevel="0" collapsed="false">
      <c r="A657" s="0" t="str">
        <f aca="false">Chase1168_2025!A657</f>
        <v>DEBIT</v>
      </c>
      <c r="B657" s="14" t="n">
        <f aca="false">Chase1168_2025!B657</f>
        <v>45896</v>
      </c>
      <c r="C657" s="0" t="str">
        <f aca="false">Chase1168_2025!C657</f>
        <v>Zelle payment to jeff Fajardo JPM99bkxrqxy</v>
      </c>
      <c r="D657" s="7" t="n">
        <f aca="false">Chase1168_2025!D657</f>
        <v>-1500</v>
      </c>
      <c r="E657" s="0" t="str">
        <f aca="false">Chase1168_2025!E657</f>
        <v>CHASE_TO_PARTNERFI</v>
      </c>
      <c r="F657" s="7" t="n">
        <f aca="false">Chase1168_2025!F657</f>
        <v>16040.2</v>
      </c>
      <c r="G657" s="0" t="str">
        <f aca="false">Chase1168_2025!G657</f>
        <v>Zelle - Jeff Fajardo</v>
      </c>
      <c r="H657" s="15" t="n">
        <f aca="false">IF($B657="","",DATE(YEAR($B657),MONTH($B657),1))</f>
        <v>45870</v>
      </c>
      <c r="I657" s="0" t="str">
        <f aca="false">IF($G657="","Uncategorized — Review",IFERROR(INDEX(Mapping!$B:$B,MATCH($G657,Mapping!$A:$A,0)),"Uncategorized — Review"))</f>
        <v>Zelle - Jeff Fajardo</v>
      </c>
      <c r="J657" s="0" t="str">
        <f aca="false">IF($G657="","Uncategorized — Review",IFERROR(INDEX(Mapping!$C:$C,MATCH($G657,Mapping!$A:$A,0)),"Uncategorized — Review"))</f>
        <v>P2P Payments (Zelle/Venmo/PayPal)</v>
      </c>
    </row>
    <row r="658" customFormat="false" ht="15" hidden="false" customHeight="false" outlineLevel="0" collapsed="false">
      <c r="A658" s="0" t="str">
        <f aca="false">Chase1168_2025!A658</f>
        <v>DEBIT</v>
      </c>
      <c r="B658" s="14" t="n">
        <f aca="false">Chase1168_2025!B658</f>
        <v>45896</v>
      </c>
      <c r="C658" s="0" t="str">
        <f aca="false">Chase1168_2025!C658</f>
        <v>Zelle payment to jeff seider JPM99bkxrvij</v>
      </c>
      <c r="D658" s="7" t="n">
        <f aca="false">Chase1168_2025!D658</f>
        <v>-250</v>
      </c>
      <c r="E658" s="0" t="str">
        <f aca="false">Chase1168_2025!E658</f>
        <v>CHASE_TO_PARTNERFI</v>
      </c>
      <c r="F658" s="7" t="n">
        <f aca="false">Chase1168_2025!F658</f>
        <v>17540.2</v>
      </c>
      <c r="G658" s="0" t="str">
        <f aca="false">Chase1168_2025!G658</f>
        <v>Zelle - Jeff Seider</v>
      </c>
      <c r="H658" s="15" t="n">
        <f aca="false">IF($B658="","",DATE(YEAR($B658),MONTH($B658),1))</f>
        <v>45870</v>
      </c>
      <c r="I658" s="0" t="str">
        <f aca="false">IF($G658="","Uncategorized — Review",IFERROR(INDEX(Mapping!$B:$B,MATCH($G658,Mapping!$A:$A,0)),"Uncategorized — Review"))</f>
        <v>Zelle - Jeff Seider</v>
      </c>
      <c r="J658" s="0" t="str">
        <f aca="false">IF($G658="","Uncategorized — Review",IFERROR(INDEX(Mapping!$C:$C,MATCH($G658,Mapping!$A:$A,0)),"Uncategorized — Review"))</f>
        <v>P2P Payments (Zelle/Venmo/PayPal)</v>
      </c>
    </row>
    <row r="659" customFormat="false" ht="15" hidden="false" customHeight="false" outlineLevel="0" collapsed="false">
      <c r="A659" s="0" t="str">
        <f aca="false">Chase1168_2025!A659</f>
        <v>DEBIT</v>
      </c>
      <c r="B659" s="14" t="n">
        <f aca="false">Chase1168_2025!B659</f>
        <v>45896</v>
      </c>
      <c r="C659" s="0" t="str">
        <f aca="false">Chase1168_2025!C659</f>
        <v>ORIG CO NAME:INTUIT *               ORIG ID:0000756346 DESC DATE:250827 CO ENTRY DESCR:QBooks OnlSEC:CCD    TRACE#:021000022067362 EED:250827   IND ID:4678724                      IND NAME:DWG CAPITAL GROUP                                                                                            800-446-8848 TRN: 2392067362TC</v>
      </c>
      <c r="D659" s="7" t="n">
        <f aca="false">Chase1168_2025!D659</f>
        <v>-121.21</v>
      </c>
      <c r="E659" s="0" t="str">
        <f aca="false">Chase1168_2025!E659</f>
        <v>ACH_DEBIT</v>
      </c>
      <c r="F659" s="7" t="n">
        <f aca="false">Chase1168_2025!F659</f>
        <v>17790.2</v>
      </c>
      <c r="G659" s="0" t="str">
        <f aca="false">Chase1168_2025!G659</f>
        <v>Software/Accounting</v>
      </c>
      <c r="H659" s="15" t="n">
        <f aca="false">IF($B659="","",DATE(YEAR($B659),MONTH($B659),1))</f>
        <v>45870</v>
      </c>
      <c r="I659" s="0" t="str">
        <f aca="false">IF($G659="","Uncategorized — Review",IFERROR(INDEX(Mapping!$B:$B,MATCH($G659,Mapping!$A:$A,0)),"Uncategorized — Review"))</f>
        <v>Software/Accounting</v>
      </c>
      <c r="J659" s="0" t="str">
        <f aca="false">IF($G659="","Uncategorized — Review",IFERROR(INDEX(Mapping!$C:$C,MATCH($G659,Mapping!$A:$A,0)),"Uncategorized — Review"))</f>
        <v>DWG Operating</v>
      </c>
    </row>
    <row r="660" customFormat="false" ht="15" hidden="false" customHeight="false" outlineLevel="0" collapsed="false">
      <c r="A660" s="0" t="str">
        <f aca="false">Chase1168_2025!A660</f>
        <v>DEBIT</v>
      </c>
      <c r="B660" s="14" t="n">
        <f aca="false">Chase1168_2025!B660</f>
        <v>45896</v>
      </c>
      <c r="C660" s="0" t="str">
        <f aca="false">Chase1168_2025!C660</f>
        <v>ORIG CO NAME:VENMO                  ORIG ID:3264681992 DESC DATE:250827 CO ENTRY DESCR:PAYMENT   SEC:WEB    TRACE#:021000022344439 EED:250827   IND ID:1044445587832                IND NAME:JUDD DUNNING                                                                                                 250827PPZZLG TRN: 2392344439TC</v>
      </c>
      <c r="D660" s="7" t="n">
        <f aca="false">Chase1168_2025!D660</f>
        <v>-1</v>
      </c>
      <c r="E660" s="0" t="str">
        <f aca="false">Chase1168_2025!E660</f>
        <v>ACH_DEBIT</v>
      </c>
      <c r="F660" s="7" t="n">
        <f aca="false">Chase1168_2025!F660</f>
        <v>17911.41</v>
      </c>
      <c r="G660" s="0" t="str">
        <f aca="false">Chase1168_2025!G660</f>
        <v>Venmo</v>
      </c>
      <c r="H660" s="15" t="n">
        <f aca="false">IF($B660="","",DATE(YEAR($B660),MONTH($B660),1))</f>
        <v>45870</v>
      </c>
      <c r="I660" s="0" t="str">
        <f aca="false">IF($G660="","Uncategorized — Review",IFERROR(INDEX(Mapping!$B:$B,MATCH($G660,Mapping!$A:$A,0)),"Uncategorized — Review"))</f>
        <v>Venmo</v>
      </c>
      <c r="J660" s="0" t="str">
        <f aca="false">IF($G660="","Uncategorized — Review",IFERROR(INDEX(Mapping!$C:$C,MATCH($G660,Mapping!$A:$A,0)),"Uncategorized — Review"))</f>
        <v>P2P Payments (Zelle/Venmo/PayPal)</v>
      </c>
    </row>
    <row r="661" customFormat="false" ht="15" hidden="false" customHeight="false" outlineLevel="0" collapsed="false">
      <c r="A661" s="0" t="str">
        <f aca="false">Chase1168_2025!A661</f>
        <v>DEBIT</v>
      </c>
      <c r="B661" s="14" t="n">
        <f aca="false">Chase1168_2025!B661</f>
        <v>45896</v>
      </c>
      <c r="C661" s="0" t="str">
        <f aca="false">Chase1168_2025!C661</f>
        <v>ORIG CO NAME:VENMO                  ORIG ID:3264681992 DESC DATE:250827 CO ENTRY DESCR:PAYMENT   SEC:WEB    TRACE#:021000022344392 EED:250827   IND ID:1044445597004                IND NAME:JUDD DUNNING                                                                                                 250827PPZZLG TRN: 2392344392TC</v>
      </c>
      <c r="D661" s="7" t="n">
        <f aca="false">Chase1168_2025!D661</f>
        <v>-1</v>
      </c>
      <c r="E661" s="0" t="str">
        <f aca="false">Chase1168_2025!E661</f>
        <v>ACH_DEBIT</v>
      </c>
      <c r="F661" s="7" t="n">
        <f aca="false">Chase1168_2025!F661</f>
        <v>17912.41</v>
      </c>
      <c r="G661" s="0" t="str">
        <f aca="false">Chase1168_2025!G661</f>
        <v>Venmo</v>
      </c>
      <c r="H661" s="15" t="n">
        <f aca="false">IF($B661="","",DATE(YEAR($B661),MONTH($B661),1))</f>
        <v>45870</v>
      </c>
      <c r="I661" s="0" t="str">
        <f aca="false">IF($G661="","Uncategorized — Review",IFERROR(INDEX(Mapping!$B:$B,MATCH($G661,Mapping!$A:$A,0)),"Uncategorized — Review"))</f>
        <v>Venmo</v>
      </c>
      <c r="J661" s="0" t="str">
        <f aca="false">IF($G661="","Uncategorized — Review",IFERROR(INDEX(Mapping!$C:$C,MATCH($G661,Mapping!$A:$A,0)),"Uncategorized — Review"))</f>
        <v>P2P Payments (Zelle/Venmo/PayPal)</v>
      </c>
    </row>
    <row r="662" customFormat="false" ht="15" hidden="false" customHeight="false" outlineLevel="0" collapsed="false">
      <c r="A662" s="0" t="str">
        <f aca="false">Chase1168_2025!A662</f>
        <v>DEBIT</v>
      </c>
      <c r="B662" s="14" t="n">
        <f aca="false">Chase1168_2025!B662</f>
        <v>45896</v>
      </c>
      <c r="C662" s="0" t="str">
        <f aca="false">Chase1168_2025!C662</f>
        <v>ORIG CO NAME:VENMO                  ORIG ID:3264681992 DESC DATE:250827 CO ENTRY DESCR:PAYMENT   SEC:WEB    TRACE#:021000022344318 EED:250827   IND ID:1044445600748                IND NAME:JUDD DUNNING                                                                                                 250827PPZZLG TRN: 2392344318TC</v>
      </c>
      <c r="D662" s="7" t="n">
        <f aca="false">Chase1168_2025!D662</f>
        <v>-1</v>
      </c>
      <c r="E662" s="0" t="str">
        <f aca="false">Chase1168_2025!E662</f>
        <v>ACH_DEBIT</v>
      </c>
      <c r="F662" s="7" t="n">
        <f aca="false">Chase1168_2025!F662</f>
        <v>17913.41</v>
      </c>
      <c r="G662" s="0" t="str">
        <f aca="false">Chase1168_2025!G662</f>
        <v>Venmo</v>
      </c>
      <c r="H662" s="15" t="n">
        <f aca="false">IF($B662="","",DATE(YEAR($B662),MONTH($B662),1))</f>
        <v>45870</v>
      </c>
      <c r="I662" s="0" t="str">
        <f aca="false">IF($G662="","Uncategorized — Review",IFERROR(INDEX(Mapping!$B:$B,MATCH($G662,Mapping!$A:$A,0)),"Uncategorized — Review"))</f>
        <v>Venmo</v>
      </c>
      <c r="J662" s="0" t="str">
        <f aca="false">IF($G662="","Uncategorized — Review",IFERROR(INDEX(Mapping!$C:$C,MATCH($G662,Mapping!$A:$A,0)),"Uncategorized — Review"))</f>
        <v>P2P Payments (Zelle/Venmo/PayPal)</v>
      </c>
    </row>
    <row r="663" customFormat="false" ht="15" hidden="false" customHeight="false" outlineLevel="0" collapsed="false">
      <c r="A663" s="0" t="str">
        <f aca="false">Chase1168_2025!A663</f>
        <v>DEBIT</v>
      </c>
      <c r="B663" s="14" t="n">
        <f aca="false">Chase1168_2025!B663</f>
        <v>45896</v>
      </c>
      <c r="C663" s="0" t="str">
        <f aca="false">Chase1168_2025!C663</f>
        <v>ORIG CO NAME:VENMO                  ORIG ID:3264681992 DESC DATE:250827 CO ENTRY DESCR:PAYMENT   SEC:WEB    TRACE#:021000022344262 EED:250827   IND ID:1044445561413                IND NAME:JUDD DUNNING                                                                                                 250827PPZZLG TRN: 2392344262TC</v>
      </c>
      <c r="D663" s="7" t="n">
        <f aca="false">Chase1168_2025!D663</f>
        <v>-1</v>
      </c>
      <c r="E663" s="0" t="str">
        <f aca="false">Chase1168_2025!E663</f>
        <v>ACH_DEBIT</v>
      </c>
      <c r="F663" s="7" t="n">
        <f aca="false">Chase1168_2025!F663</f>
        <v>17914.41</v>
      </c>
      <c r="G663" s="0" t="str">
        <f aca="false">Chase1168_2025!G663</f>
        <v>Venmo</v>
      </c>
      <c r="H663" s="15" t="n">
        <f aca="false">IF($B663="","",DATE(YEAR($B663),MONTH($B663),1))</f>
        <v>45870</v>
      </c>
      <c r="I663" s="0" t="str">
        <f aca="false">IF($G663="","Uncategorized — Review",IFERROR(INDEX(Mapping!$B:$B,MATCH($G663,Mapping!$A:$A,0)),"Uncategorized — Review"))</f>
        <v>Venmo</v>
      </c>
      <c r="J663" s="0" t="str">
        <f aca="false">IF($G663="","Uncategorized — Review",IFERROR(INDEX(Mapping!$C:$C,MATCH($G663,Mapping!$A:$A,0)),"Uncategorized — Review"))</f>
        <v>P2P Payments (Zelle/Venmo/PayPal)</v>
      </c>
    </row>
    <row r="664" customFormat="false" ht="15" hidden="false" customHeight="false" outlineLevel="0" collapsed="false">
      <c r="A664" s="0" t="str">
        <f aca="false">Chase1168_2025!A664</f>
        <v>DEBIT</v>
      </c>
      <c r="B664" s="14" t="n">
        <f aca="false">Chase1168_2025!B664</f>
        <v>45896</v>
      </c>
      <c r="C664" s="0" t="str">
        <f aca="false">Chase1168_2025!C664</f>
        <v>ORIG CO NAME:VENMO                  ORIG ID:3264681992 DESC DATE:250827 CO ENTRY DESCR:PAYMENT   SEC:WEB    TRACE#:021000022344171 EED:250827   IND ID:1044445555919                IND NAME:JUDD DUNNING                                                                                                 250827PPZZLG TRN: 2392344171TC</v>
      </c>
      <c r="D664" s="7" t="n">
        <f aca="false">Chase1168_2025!D664</f>
        <v>-1</v>
      </c>
      <c r="E664" s="0" t="str">
        <f aca="false">Chase1168_2025!E664</f>
        <v>ACH_DEBIT</v>
      </c>
      <c r="F664" s="7" t="n">
        <f aca="false">Chase1168_2025!F664</f>
        <v>17915.41</v>
      </c>
      <c r="G664" s="0" t="str">
        <f aca="false">Chase1168_2025!G664</f>
        <v>Venmo</v>
      </c>
      <c r="H664" s="15" t="n">
        <f aca="false">IF($B664="","",DATE(YEAR($B664),MONTH($B664),1))</f>
        <v>45870</v>
      </c>
      <c r="I664" s="0" t="str">
        <f aca="false">IF($G664="","Uncategorized — Review",IFERROR(INDEX(Mapping!$B:$B,MATCH($G664,Mapping!$A:$A,0)),"Uncategorized — Review"))</f>
        <v>Venmo</v>
      </c>
      <c r="J664" s="0" t="str">
        <f aca="false">IF($G664="","Uncategorized — Review",IFERROR(INDEX(Mapping!$C:$C,MATCH($G664,Mapping!$A:$A,0)),"Uncategorized — Review"))</f>
        <v>P2P Payments (Zelle/Venmo/PayPal)</v>
      </c>
    </row>
    <row r="665" customFormat="false" ht="15" hidden="false" customHeight="false" outlineLevel="0" collapsed="false">
      <c r="A665" s="0" t="str">
        <f aca="false">Chase1168_2025!A665</f>
        <v>DEBIT</v>
      </c>
      <c r="B665" s="14" t="n">
        <f aca="false">Chase1168_2025!B665</f>
        <v>45896</v>
      </c>
      <c r="C665" s="0" t="str">
        <f aca="false">Chase1168_2025!C665</f>
        <v>ORIG CO NAME:VENMO                  ORIG ID:3264681992 DESC DATE:250827 CO ENTRY DESCR:PAYMENT   SEC:WEB    TRACE#:021000022344150 EED:250827   IND ID:1044445567639                IND NAME:JUDD DUNNING                                                                                                 250827PPZZLG TRN: 2392344150TC</v>
      </c>
      <c r="D665" s="7" t="n">
        <f aca="false">Chase1168_2025!D665</f>
        <v>-1</v>
      </c>
      <c r="E665" s="0" t="str">
        <f aca="false">Chase1168_2025!E665</f>
        <v>ACH_DEBIT</v>
      </c>
      <c r="F665" s="7" t="n">
        <f aca="false">Chase1168_2025!F665</f>
        <v>17916.41</v>
      </c>
      <c r="G665" s="0" t="str">
        <f aca="false">Chase1168_2025!G665</f>
        <v>Venmo</v>
      </c>
      <c r="H665" s="15" t="n">
        <f aca="false">IF($B665="","",DATE(YEAR($B665),MONTH($B665),1))</f>
        <v>45870</v>
      </c>
      <c r="I665" s="0" t="str">
        <f aca="false">IF($G665="","Uncategorized — Review",IFERROR(INDEX(Mapping!$B:$B,MATCH($G665,Mapping!$A:$A,0)),"Uncategorized — Review"))</f>
        <v>Venmo</v>
      </c>
      <c r="J665" s="0" t="str">
        <f aca="false">IF($G665="","Uncategorized — Review",IFERROR(INDEX(Mapping!$C:$C,MATCH($G665,Mapping!$A:$A,0)),"Uncategorized — Review"))</f>
        <v>P2P Payments (Zelle/Venmo/PayPal)</v>
      </c>
    </row>
    <row r="666" customFormat="false" ht="15" hidden="false" customHeight="false" outlineLevel="0" collapsed="false">
      <c r="A666" s="0" t="str">
        <f aca="false">Chase1168_2025!A666</f>
        <v>DEBIT</v>
      </c>
      <c r="B666" s="14" t="n">
        <f aca="false">Chase1168_2025!B666</f>
        <v>45896</v>
      </c>
      <c r="C666" s="0" t="str">
        <f aca="false">Chase1168_2025!C666</f>
        <v>ORIG CO NAME:VENMO                  ORIG ID:3264681992 DESC DATE:250827 CO ENTRY DESCR:PAYMENT   SEC:WEB    TRACE#:021000022344145 EED:250827   IND ID:1044445577429                IND NAME:JUDD DUNNING                                                                                                 250827PPZZLG TRN: 2392344145TC</v>
      </c>
      <c r="D666" s="7" t="n">
        <f aca="false">Chase1168_2025!D666</f>
        <v>-1</v>
      </c>
      <c r="E666" s="0" t="str">
        <f aca="false">Chase1168_2025!E666</f>
        <v>ACH_DEBIT</v>
      </c>
      <c r="F666" s="7" t="n">
        <f aca="false">Chase1168_2025!F666</f>
        <v>17917.41</v>
      </c>
      <c r="G666" s="0" t="str">
        <f aca="false">Chase1168_2025!G666</f>
        <v>Venmo</v>
      </c>
      <c r="H666" s="15" t="n">
        <f aca="false">IF($B666="","",DATE(YEAR($B666),MONTH($B666),1))</f>
        <v>45870</v>
      </c>
      <c r="I666" s="0" t="str">
        <f aca="false">IF($G666="","Uncategorized — Review",IFERROR(INDEX(Mapping!$B:$B,MATCH($G666,Mapping!$A:$A,0)),"Uncategorized — Review"))</f>
        <v>Venmo</v>
      </c>
      <c r="J666" s="0" t="str">
        <f aca="false">IF($G666="","Uncategorized — Review",IFERROR(INDEX(Mapping!$C:$C,MATCH($G666,Mapping!$A:$A,0)),"Uncategorized — Review"))</f>
        <v>P2P Payments (Zelle/Venmo/PayPal)</v>
      </c>
    </row>
    <row r="667" customFormat="false" ht="15" hidden="false" customHeight="false" outlineLevel="0" collapsed="false">
      <c r="A667" s="0" t="str">
        <f aca="false">Chase1168_2025!A667</f>
        <v>DEBIT</v>
      </c>
      <c r="B667" s="14" t="n">
        <f aca="false">Chase1168_2025!B667</f>
        <v>45896</v>
      </c>
      <c r="C667" s="0" t="str">
        <f aca="false">Chase1168_2025!C667</f>
        <v>ORIG CO NAME:VENMO                  ORIG ID:3264681992 DESC DATE:250827 CO ENTRY DESCR:PAYMENT   SEC:WEB    TRACE#:021000022343942 EED:250827   IND ID:1044445517355                IND NAME:JUDD DUNNING                                                                                                 250827PPZZLG TRN: 2392343942TC</v>
      </c>
      <c r="D667" s="7" t="n">
        <f aca="false">Chase1168_2025!D667</f>
        <v>-25</v>
      </c>
      <c r="E667" s="0" t="str">
        <f aca="false">Chase1168_2025!E667</f>
        <v>ACH_DEBIT</v>
      </c>
      <c r="F667" s="7" t="n">
        <f aca="false">Chase1168_2025!F667</f>
        <v>17918.41</v>
      </c>
      <c r="G667" s="0" t="str">
        <f aca="false">Chase1168_2025!G667</f>
        <v>Venmo</v>
      </c>
      <c r="H667" s="15" t="n">
        <f aca="false">IF($B667="","",DATE(YEAR($B667),MONTH($B667),1))</f>
        <v>45870</v>
      </c>
      <c r="I667" s="0" t="str">
        <f aca="false">IF($G667="","Uncategorized — Review",IFERROR(INDEX(Mapping!$B:$B,MATCH($G667,Mapping!$A:$A,0)),"Uncategorized — Review"))</f>
        <v>Venmo</v>
      </c>
      <c r="J667" s="0" t="str">
        <f aca="false">IF($G667="","Uncategorized — Review",IFERROR(INDEX(Mapping!$C:$C,MATCH($G667,Mapping!$A:$A,0)),"Uncategorized — Review"))</f>
        <v>P2P Payments (Zelle/Venmo/PayPal)</v>
      </c>
    </row>
    <row r="668" customFormat="false" ht="15" hidden="false" customHeight="false" outlineLevel="0" collapsed="false">
      <c r="A668" s="0" t="str">
        <f aca="false">Chase1168_2025!A668</f>
        <v>DEBIT</v>
      </c>
      <c r="B668" s="14" t="n">
        <f aca="false">Chase1168_2025!B668</f>
        <v>45896</v>
      </c>
      <c r="C668" s="0" t="str">
        <f aca="false">Chase1168_2025!C668</f>
        <v>ORIG CO NAME:VENMO                  ORIG ID:3264681992 DESC DATE:250827 CO ENTRY DESCR:PAYMENT   SEC:WEB    TRACE#:021000022343988 EED:250827   IND ID:1044445538664                IND NAME:JUDD DUNNING                                                                                                 250827PPZZLG TRN: 2392343988TC</v>
      </c>
      <c r="D668" s="7" t="n">
        <f aca="false">Chase1168_2025!D668</f>
        <v>-125</v>
      </c>
      <c r="E668" s="0" t="str">
        <f aca="false">Chase1168_2025!E668</f>
        <v>ACH_DEBIT</v>
      </c>
      <c r="F668" s="7" t="n">
        <f aca="false">Chase1168_2025!F668</f>
        <v>17943.41</v>
      </c>
      <c r="G668" s="0" t="str">
        <f aca="false">Chase1168_2025!G668</f>
        <v>Venmo</v>
      </c>
      <c r="H668" s="15" t="n">
        <f aca="false">IF($B668="","",DATE(YEAR($B668),MONTH($B668),1))</f>
        <v>45870</v>
      </c>
      <c r="I668" s="0" t="str">
        <f aca="false">IF($G668="","Uncategorized — Review",IFERROR(INDEX(Mapping!$B:$B,MATCH($G668,Mapping!$A:$A,0)),"Uncategorized — Review"))</f>
        <v>Venmo</v>
      </c>
      <c r="J668" s="0" t="str">
        <f aca="false">IF($G668="","Uncategorized — Review",IFERROR(INDEX(Mapping!$C:$C,MATCH($G668,Mapping!$A:$A,0)),"Uncategorized — Review"))</f>
        <v>P2P Payments (Zelle/Venmo/PayPal)</v>
      </c>
    </row>
    <row r="669" customFormat="false" ht="15" hidden="false" customHeight="false" outlineLevel="0" collapsed="false">
      <c r="A669" s="0" t="str">
        <f aca="false">Chase1168_2025!A669</f>
        <v>DEBIT</v>
      </c>
      <c r="B669" s="14" t="n">
        <f aca="false">Chase1168_2025!B669</f>
        <v>45896</v>
      </c>
      <c r="C669" s="0" t="str">
        <f aca="false">Chase1168_2025!C669</f>
        <v>PP*APPLE.COM/BILL 800-275-2273 CA            08/27</v>
      </c>
      <c r="D669" s="7" t="n">
        <f aca="false">Chase1168_2025!D669</f>
        <v>-16.99</v>
      </c>
      <c r="E669" s="0" t="str">
        <f aca="false">Chase1168_2025!E669</f>
        <v>DEBIT_CARD</v>
      </c>
      <c r="F669" s="7" t="n">
        <f aca="false">Chase1168_2025!F669</f>
        <v>18068.41</v>
      </c>
      <c r="G669" s="0" t="str">
        <f aca="false">Chase1168_2025!G669</f>
        <v>Personal - Subscriptions</v>
      </c>
      <c r="H669" s="15" t="n">
        <f aca="false">IF($B669="","",DATE(YEAR($B669),MONTH($B669),1))</f>
        <v>45870</v>
      </c>
      <c r="I669" s="0" t="str">
        <f aca="false">IF($G669="","Uncategorized — Review",IFERROR(INDEX(Mapping!$B:$B,MATCH($G669,Mapping!$A:$A,0)),"Uncategorized — Review"))</f>
        <v>Personal - Subscriptions</v>
      </c>
      <c r="J669" s="0" t="str">
        <f aca="false">IF($G669="","Uncategorized — Review",IFERROR(INDEX(Mapping!$C:$C,MATCH($G669,Mapping!$A:$A,0)),"Uncategorized — Review"))</f>
        <v>Personal — Owner</v>
      </c>
    </row>
    <row r="670" customFormat="false" ht="15" hidden="false" customHeight="false" outlineLevel="0" collapsed="false">
      <c r="A670" s="0" t="str">
        <f aca="false">Chase1168_2025!A670</f>
        <v>DEBIT</v>
      </c>
      <c r="B670" s="14" t="n">
        <f aca="false">Chase1168_2025!B670</f>
        <v>45896</v>
      </c>
      <c r="C670" s="0" t="str">
        <f aca="false">Chase1168_2025!C670</f>
        <v>PP*APPLE.COM/BILL 800-275-2273 CA            08/27</v>
      </c>
      <c r="D670" s="7" t="n">
        <f aca="false">Chase1168_2025!D670</f>
        <v>-9.99</v>
      </c>
      <c r="E670" s="0" t="str">
        <f aca="false">Chase1168_2025!E670</f>
        <v>DEBIT_CARD</v>
      </c>
      <c r="F670" s="7" t="n">
        <f aca="false">Chase1168_2025!F670</f>
        <v>18085.4</v>
      </c>
      <c r="G670" s="0" t="str">
        <f aca="false">Chase1168_2025!G670</f>
        <v>Personal - Subscriptions</v>
      </c>
      <c r="H670" s="15" t="n">
        <f aca="false">IF($B670="","",DATE(YEAR($B670),MONTH($B670),1))</f>
        <v>45870</v>
      </c>
      <c r="I670" s="0" t="str">
        <f aca="false">IF($G670="","Uncategorized — Review",IFERROR(INDEX(Mapping!$B:$B,MATCH($G670,Mapping!$A:$A,0)),"Uncategorized — Review"))</f>
        <v>Personal - Subscriptions</v>
      </c>
      <c r="J670" s="0" t="str">
        <f aca="false">IF($G670="","Uncategorized — Review",IFERROR(INDEX(Mapping!$C:$C,MATCH($G670,Mapping!$A:$A,0)),"Uncategorized — Review"))</f>
        <v>Personal — Owner</v>
      </c>
    </row>
    <row r="671" customFormat="false" ht="15" hidden="false" customHeight="false" outlineLevel="0" collapsed="false">
      <c r="A671" s="0" t="str">
        <f aca="false">Chase1168_2025!A671</f>
        <v>DEBIT</v>
      </c>
      <c r="B671" s="14" t="n">
        <f aca="false">Chase1168_2025!B671</f>
        <v>45896</v>
      </c>
      <c r="C671" s="0" t="str">
        <f aca="false">Chase1168_2025!C671</f>
        <v>PAYPAL *LINKEDIN 402-935-7733 CA             08/26</v>
      </c>
      <c r="D671" s="7" t="n">
        <f aca="false">Chase1168_2025!D671</f>
        <v>-360.8</v>
      </c>
      <c r="E671" s="0" t="str">
        <f aca="false">Chase1168_2025!E671</f>
        <v>DEBIT_CARD</v>
      </c>
      <c r="F671" s="7" t="n">
        <f aca="false">Chase1168_2025!F671</f>
        <v>18095.39</v>
      </c>
      <c r="G671" s="0" t="str">
        <f aca="false">Chase1168_2025!G671</f>
        <v>DWG HR</v>
      </c>
      <c r="H671" s="15" t="n">
        <f aca="false">IF($B671="","",DATE(YEAR($B671),MONTH($B671),1))</f>
        <v>45870</v>
      </c>
      <c r="I671" s="0" t="str">
        <f aca="false">IF($G671="","Uncategorized — Review",IFERROR(INDEX(Mapping!$B:$B,MATCH($G671,Mapping!$A:$A,0)),"Uncategorized — Review"))</f>
        <v>DWG HR</v>
      </c>
      <c r="J671" s="0" t="str">
        <f aca="false">IF($G671="","Uncategorized — Review",IFERROR(INDEX(Mapping!$C:$C,MATCH($G671,Mapping!$A:$A,0)),"Uncategorized — Review"))</f>
        <v>Payroll &amp; Contractors</v>
      </c>
    </row>
    <row r="672" customFormat="false" ht="15" hidden="false" customHeight="false" outlineLevel="0" collapsed="false">
      <c r="A672" s="0" t="str">
        <f aca="false">Chase1168_2025!A672</f>
        <v>DEBIT</v>
      </c>
      <c r="B672" s="14" t="n">
        <f aca="false">Chase1168_2025!B672</f>
        <v>45895</v>
      </c>
      <c r="C672" s="0" t="str">
        <f aca="false">Chase1168_2025!C672</f>
        <v>Online Transfer to CHK ...1117 transaction#: 25989102624 08/26</v>
      </c>
      <c r="D672" s="7" t="n">
        <f aca="false">Chase1168_2025!D672</f>
        <v>-2000</v>
      </c>
      <c r="E672" s="0" t="str">
        <f aca="false">Chase1168_2025!E672</f>
        <v>ACCT_XFER</v>
      </c>
      <c r="F672" s="7" t="n">
        <f aca="false">Chase1168_2025!F672</f>
        <v>18456.19</v>
      </c>
      <c r="G672" s="0" t="str">
        <f aca="false">Chase1168_2025!G672</f>
        <v>Transfer to Angela Dunning</v>
      </c>
      <c r="H672" s="15" t="n">
        <f aca="false">IF($B672="","",DATE(YEAR($B672),MONTH($B672),1))</f>
        <v>45870</v>
      </c>
      <c r="I672" s="0" t="str">
        <f aca="false">IF($G672="","Uncategorized — Review",IFERROR(INDEX(Mapping!$B:$B,MATCH($G672,Mapping!$A:$A,0)),"Uncategorized — Review"))</f>
        <v>Transfer to Angela Dunning</v>
      </c>
      <c r="J672" s="0" t="str">
        <f aca="false">IF($G672="","Uncategorized — Review",IFERROR(INDEX(Mapping!$C:$C,MATCH($G672,Mapping!$A:$A,0)),"Uncategorized — Review"))</f>
        <v>Owner / Family Distributions</v>
      </c>
    </row>
    <row r="673" customFormat="false" ht="15" hidden="false" customHeight="false" outlineLevel="0" collapsed="false">
      <c r="A673" s="0" t="str">
        <f aca="false">Chase1168_2025!A673</f>
        <v>DEBIT</v>
      </c>
      <c r="B673" s="14" t="n">
        <f aca="false">Chase1168_2025!B673</f>
        <v>45895</v>
      </c>
      <c r="C673" s="0" t="str">
        <f aca="false">Chase1168_2025!C673</f>
        <v>DISNEY PLUS ECOM LAKE BUENA VI FL    076249  08/26</v>
      </c>
      <c r="D673" s="7" t="n">
        <f aca="false">Chase1168_2025!D673</f>
        <v>-17.27</v>
      </c>
      <c r="E673" s="0" t="str">
        <f aca="false">Chase1168_2025!E673</f>
        <v>DEBIT_CARD</v>
      </c>
      <c r="F673" s="7" t="n">
        <f aca="false">Chase1168_2025!F673</f>
        <v>20456.19</v>
      </c>
      <c r="G673" s="0" t="str">
        <f aca="false">Chase1168_2025!G673</f>
        <v>Personal - Subscriptions</v>
      </c>
      <c r="H673" s="15" t="n">
        <f aca="false">IF($B673="","",DATE(YEAR($B673),MONTH($B673),1))</f>
        <v>45870</v>
      </c>
      <c r="I673" s="0" t="str">
        <f aca="false">IF($G673="","Uncategorized — Review",IFERROR(INDEX(Mapping!$B:$B,MATCH($G673,Mapping!$A:$A,0)),"Uncategorized — Review"))</f>
        <v>Personal - Subscriptions</v>
      </c>
      <c r="J673" s="0" t="str">
        <f aca="false">IF($G673="","Uncategorized — Review",IFERROR(INDEX(Mapping!$C:$C,MATCH($G673,Mapping!$A:$A,0)),"Uncategorized — Review"))</f>
        <v>Personal — Owner</v>
      </c>
    </row>
    <row r="674" customFormat="false" ht="15" hidden="false" customHeight="false" outlineLevel="0" collapsed="false">
      <c r="A674" s="0" t="str">
        <f aca="false">Chase1168_2025!A674</f>
        <v>DEBIT</v>
      </c>
      <c r="B674" s="14" t="n">
        <f aca="false">Chase1168_2025!B674</f>
        <v>45895</v>
      </c>
      <c r="C674" s="0" t="str">
        <f aca="false">Chase1168_2025!C674</f>
        <v>CLAW MLS 310-358-1100 CA                     08/25</v>
      </c>
      <c r="D674" s="7" t="n">
        <f aca="false">Chase1168_2025!D674</f>
        <v>-252</v>
      </c>
      <c r="E674" s="0" t="str">
        <f aca="false">Chase1168_2025!E674</f>
        <v>DEBIT_CARD</v>
      </c>
      <c r="F674" s="7" t="n">
        <f aca="false">Chase1168_2025!F674</f>
        <v>20473.46</v>
      </c>
      <c r="G674" s="0" t="str">
        <f aca="false">Chase1168_2025!G674</f>
        <v>DWG Listing Platform</v>
      </c>
      <c r="H674" s="15" t="n">
        <f aca="false">IF($B674="","",DATE(YEAR($B674),MONTH($B674),1))</f>
        <v>45870</v>
      </c>
      <c r="I674" s="0" t="str">
        <f aca="false">IF($G674="","Uncategorized — Review",IFERROR(INDEX(Mapping!$B:$B,MATCH($G674,Mapping!$A:$A,0)),"Uncategorized — Review"))</f>
        <v>DWG Listing Platform</v>
      </c>
      <c r="J674" s="0" t="str">
        <f aca="false">IF($G674="","Uncategorized — Review",IFERROR(INDEX(Mapping!$C:$C,MATCH($G674,Mapping!$A:$A,0)),"Uncategorized — Review"))</f>
        <v>DWG Operating</v>
      </c>
    </row>
    <row r="675" customFormat="false" ht="15" hidden="false" customHeight="false" outlineLevel="0" collapsed="false">
      <c r="A675" s="0" t="str">
        <f aca="false">Chase1168_2025!A675</f>
        <v>DEBIT</v>
      </c>
      <c r="B675" s="14" t="n">
        <f aca="false">Chase1168_2025!B675</f>
        <v>45895</v>
      </c>
      <c r="C675" s="0" t="str">
        <f aca="false">Chase1168_2025!C675</f>
        <v>PP*APPLE.COM/BILL 800-275-2273 CA            08/26</v>
      </c>
      <c r="D675" s="7" t="n">
        <f aca="false">Chase1168_2025!D675</f>
        <v>-8.99</v>
      </c>
      <c r="E675" s="0" t="str">
        <f aca="false">Chase1168_2025!E675</f>
        <v>DEBIT_CARD</v>
      </c>
      <c r="F675" s="7" t="n">
        <f aca="false">Chase1168_2025!F675</f>
        <v>20725.46</v>
      </c>
      <c r="G675" s="0" t="str">
        <f aca="false">Chase1168_2025!G675</f>
        <v>Personal - Subscriptions</v>
      </c>
      <c r="H675" s="15" t="n">
        <f aca="false">IF($B675="","",DATE(YEAR($B675),MONTH($B675),1))</f>
        <v>45870</v>
      </c>
      <c r="I675" s="0" t="str">
        <f aca="false">IF($G675="","Uncategorized — Review",IFERROR(INDEX(Mapping!$B:$B,MATCH($G675,Mapping!$A:$A,0)),"Uncategorized — Review"))</f>
        <v>Personal - Subscriptions</v>
      </c>
      <c r="J675" s="0" t="str">
        <f aca="false">IF($G675="","Uncategorized — Review",IFERROR(INDEX(Mapping!$C:$C,MATCH($G675,Mapping!$A:$A,0)),"Uncategorized — Review"))</f>
        <v>Personal — Owner</v>
      </c>
    </row>
    <row r="676" customFormat="false" ht="15" hidden="false" customHeight="false" outlineLevel="0" collapsed="false">
      <c r="A676" s="0" t="str">
        <f aca="false">Chase1168_2025!A676</f>
        <v>DEBIT</v>
      </c>
      <c r="B676" s="14" t="n">
        <f aca="false">Chase1168_2025!B676</f>
        <v>45895</v>
      </c>
      <c r="C676" s="0" t="str">
        <f aca="false">Chase1168_2025!C676</f>
        <v>UPWORK * -840070392 866-262-4478 CA          08/25</v>
      </c>
      <c r="D676" s="7" t="n">
        <f aca="false">Chase1168_2025!D676</f>
        <v>-498.75</v>
      </c>
      <c r="E676" s="0" t="str">
        <f aca="false">Chase1168_2025!E676</f>
        <v>DEBIT_CARD</v>
      </c>
      <c r="F676" s="7" t="n">
        <f aca="false">Chase1168_2025!F676</f>
        <v>20734.45</v>
      </c>
      <c r="G676" s="0" t="str">
        <f aca="false">Chase1168_2025!G676</f>
        <v>Upwork - Sergei M.</v>
      </c>
      <c r="H676" s="15" t="n">
        <f aca="false">IF($B676="","",DATE(YEAR($B676),MONTH($B676),1))</f>
        <v>45870</v>
      </c>
      <c r="I676" s="0" t="str">
        <f aca="false">IF($G676="","Uncategorized — Review",IFERROR(INDEX(Mapping!$B:$B,MATCH($G676,Mapping!$A:$A,0)),"Uncategorized — Review"))</f>
        <v>Upwork - Sergei M.</v>
      </c>
      <c r="J676" s="0" t="str">
        <f aca="false">IF($G676="","Uncategorized — Review",IFERROR(INDEX(Mapping!$C:$C,MATCH($G676,Mapping!$A:$A,0)),"Uncategorized — Review"))</f>
        <v>Payroll &amp; Contractors</v>
      </c>
    </row>
    <row r="677" customFormat="false" ht="15" hidden="false" customHeight="false" outlineLevel="0" collapsed="false">
      <c r="A677" s="0" t="str">
        <f aca="false">Chase1168_2025!A677</f>
        <v>DEBIT</v>
      </c>
      <c r="B677" s="14" t="n">
        <f aca="false">Chase1168_2025!B677</f>
        <v>45894</v>
      </c>
      <c r="C677" s="0" t="str">
        <f aca="false">Chase1168_2025!C677</f>
        <v>Basic Online Payroll Payment 11184329207 to ########4122</v>
      </c>
      <c r="D677" s="7" t="n">
        <f aca="false">Chase1168_2025!D677</f>
        <v>-1500</v>
      </c>
      <c r="E677" s="0" t="str">
        <f aca="false">Chase1168_2025!E677</f>
        <v>BASIC_PAYROLL</v>
      </c>
      <c r="F677" s="7" t="n">
        <f aca="false">Chase1168_2025!F677</f>
        <v>21233.2</v>
      </c>
      <c r="G677" s="0" t="str">
        <f aca="false">Chase1168_2025!G677</f>
        <v>Mike Paytonjian - Payroll</v>
      </c>
      <c r="H677" s="15" t="n">
        <f aca="false">IF($B677="","",DATE(YEAR($B677),MONTH($B677),1))</f>
        <v>45870</v>
      </c>
      <c r="I677" s="0" t="str">
        <f aca="false">IF($G677="","Uncategorized — Review",IFERROR(INDEX(Mapping!$B:$B,MATCH($G677,Mapping!$A:$A,0)),"Uncategorized — Review"))</f>
        <v>Mike Paytonjian - Payroll</v>
      </c>
      <c r="J677" s="0" t="str">
        <f aca="false">IF($G677="","Uncategorized — Review",IFERROR(INDEX(Mapping!$C:$C,MATCH($G677,Mapping!$A:$A,0)),"Uncategorized — Review"))</f>
        <v>Payroll &amp; Contractors</v>
      </c>
    </row>
    <row r="678" customFormat="false" ht="15" hidden="false" customHeight="false" outlineLevel="0" collapsed="false">
      <c r="A678" s="0" t="str">
        <f aca="false">Chase1168_2025!A678</f>
        <v>DEBIT</v>
      </c>
      <c r="B678" s="14" t="n">
        <f aca="false">Chase1168_2025!B678</f>
        <v>45894</v>
      </c>
      <c r="C678" s="0" t="str">
        <f aca="false">Chase1168_2025!C678</f>
        <v>ORIG CO NAME:VENMO                  ORIG ID:3264681992 DESC DATE:250824 CO ENTRY DESCR:PAYMENT   SEC:WEB    TRACE#:021000026212013 EED:250825   IND ID:1044396561088                IND NAME:JUDD DUNNING                                                                                                 250825PPZGOZ TRN: 2376212013TC</v>
      </c>
      <c r="D678" s="7" t="n">
        <f aca="false">Chase1168_2025!D678</f>
        <v>-1250</v>
      </c>
      <c r="E678" s="0" t="str">
        <f aca="false">Chase1168_2025!E678</f>
        <v>ACH_DEBIT</v>
      </c>
      <c r="F678" s="7" t="n">
        <f aca="false">Chase1168_2025!F678</f>
        <v>22733.2</v>
      </c>
      <c r="G678" s="0" t="str">
        <f aca="false">Chase1168_2025!G678</f>
        <v>Venmo</v>
      </c>
      <c r="H678" s="15" t="n">
        <f aca="false">IF($B678="","",DATE(YEAR($B678),MONTH($B678),1))</f>
        <v>45870</v>
      </c>
      <c r="I678" s="0" t="str">
        <f aca="false">IF($G678="","Uncategorized — Review",IFERROR(INDEX(Mapping!$B:$B,MATCH($G678,Mapping!$A:$A,0)),"Uncategorized — Review"))</f>
        <v>Venmo</v>
      </c>
      <c r="J678" s="0" t="str">
        <f aca="false">IF($G678="","Uncategorized — Review",IFERROR(INDEX(Mapping!$C:$C,MATCH($G678,Mapping!$A:$A,0)),"Uncategorized — Review"))</f>
        <v>P2P Payments (Zelle/Venmo/PayPal)</v>
      </c>
    </row>
    <row r="679" customFormat="false" ht="15" hidden="false" customHeight="false" outlineLevel="0" collapsed="false">
      <c r="A679" s="0" t="str">
        <f aca="false">Chase1168_2025!A679</f>
        <v>DEBIT</v>
      </c>
      <c r="B679" s="14" t="n">
        <f aca="false">Chase1168_2025!B679</f>
        <v>45894</v>
      </c>
      <c r="C679" s="0" t="str">
        <f aca="false">Chase1168_2025!C679</f>
        <v>PAYPAL *CANVA 416-131-8870 DE                08/25</v>
      </c>
      <c r="D679" s="7" t="n">
        <f aca="false">Chase1168_2025!D679</f>
        <v>-12.99</v>
      </c>
      <c r="E679" s="0" t="str">
        <f aca="false">Chase1168_2025!E679</f>
        <v>DEBIT_CARD</v>
      </c>
      <c r="F679" s="7" t="n">
        <f aca="false">Chase1168_2025!F679</f>
        <v>23983.2</v>
      </c>
      <c r="G679" s="0" t="str">
        <f aca="false">Chase1168_2025!G679</f>
        <v>DWG Marketing</v>
      </c>
      <c r="H679" s="15" t="n">
        <f aca="false">IF($B679="","",DATE(YEAR($B679),MONTH($B679),1))</f>
        <v>45870</v>
      </c>
      <c r="I679" s="0" t="str">
        <f aca="false">IF($G679="","Uncategorized — Review",IFERROR(INDEX(Mapping!$B:$B,MATCH($G679,Mapping!$A:$A,0)),"Uncategorized — Review"))</f>
        <v>DWG Marketing</v>
      </c>
      <c r="J679" s="0" t="str">
        <f aca="false">IF($G679="","Uncategorized — Review",IFERROR(INDEX(Mapping!$C:$C,MATCH($G679,Mapping!$A:$A,0)),"Uncategorized — Review"))</f>
        <v>DWG Operating</v>
      </c>
    </row>
    <row r="680" customFormat="false" ht="15" hidden="false" customHeight="false" outlineLevel="0" collapsed="false">
      <c r="A680" s="0" t="str">
        <f aca="false">Chase1168_2025!A680</f>
        <v>DEBIT</v>
      </c>
      <c r="B680" s="14" t="n">
        <f aca="false">Chase1168_2025!B680</f>
        <v>45894</v>
      </c>
      <c r="C680" s="0" t="str">
        <f aca="false">Chase1168_2025!C680</f>
        <v>Online Transfer to CHK ...1117 transaction#: 25966607553 08/25</v>
      </c>
      <c r="D680" s="7" t="n">
        <f aca="false">Chase1168_2025!D680</f>
        <v>-5000</v>
      </c>
      <c r="E680" s="0" t="str">
        <f aca="false">Chase1168_2025!E680</f>
        <v>ACCT_XFER</v>
      </c>
      <c r="F680" s="7" t="n">
        <f aca="false">Chase1168_2025!F680</f>
        <v>23996.19</v>
      </c>
      <c r="G680" s="0" t="str">
        <f aca="false">Chase1168_2025!G680</f>
        <v>Transfer to Angela Dunning</v>
      </c>
      <c r="H680" s="15" t="n">
        <f aca="false">IF($B680="","",DATE(YEAR($B680),MONTH($B680),1))</f>
        <v>45870</v>
      </c>
      <c r="I680" s="0" t="str">
        <f aca="false">IF($G680="","Uncategorized — Review",IFERROR(INDEX(Mapping!$B:$B,MATCH($G680,Mapping!$A:$A,0)),"Uncategorized — Review"))</f>
        <v>Transfer to Angela Dunning</v>
      </c>
      <c r="J680" s="0" t="str">
        <f aca="false">IF($G680="","Uncategorized — Review",IFERROR(INDEX(Mapping!$C:$C,MATCH($G680,Mapping!$A:$A,0)),"Uncategorized — Review"))</f>
        <v>Owner / Family Distributions</v>
      </c>
    </row>
    <row r="681" customFormat="false" ht="15" hidden="false" customHeight="false" outlineLevel="0" collapsed="false">
      <c r="A681" s="0" t="str">
        <f aca="false">Chase1168_2025!A681</f>
        <v>DEBIT</v>
      </c>
      <c r="B681" s="14" t="n">
        <f aca="false">Chase1168_2025!B681</f>
        <v>45894</v>
      </c>
      <c r="C681" s="0" t="str">
        <f aca="false">Chase1168_2025!C681</f>
        <v>PP*APPLE.COM/BILL 800-275-2273 CA            08/25</v>
      </c>
      <c r="D681" s="7" t="n">
        <f aca="false">Chase1168_2025!D681</f>
        <v>-9.99</v>
      </c>
      <c r="E681" s="0" t="str">
        <f aca="false">Chase1168_2025!E681</f>
        <v>DEBIT_CARD</v>
      </c>
      <c r="F681" s="7" t="n">
        <f aca="false">Chase1168_2025!F681</f>
        <v>28996.19</v>
      </c>
      <c r="G681" s="0" t="str">
        <f aca="false">Chase1168_2025!G681</f>
        <v>Personal - Subscriptions</v>
      </c>
      <c r="H681" s="15" t="n">
        <f aca="false">IF($B681="","",DATE(YEAR($B681),MONTH($B681),1))</f>
        <v>45870</v>
      </c>
      <c r="I681" s="0" t="str">
        <f aca="false">IF($G681="","Uncategorized — Review",IFERROR(INDEX(Mapping!$B:$B,MATCH($G681,Mapping!$A:$A,0)),"Uncategorized — Review"))</f>
        <v>Personal - Subscriptions</v>
      </c>
      <c r="J681" s="0" t="str">
        <f aca="false">IF($G681="","Uncategorized — Review",IFERROR(INDEX(Mapping!$C:$C,MATCH($G681,Mapping!$A:$A,0)),"Uncategorized — Review"))</f>
        <v>Personal — Owner</v>
      </c>
    </row>
    <row r="682" customFormat="false" ht="15" hidden="false" customHeight="false" outlineLevel="0" collapsed="false">
      <c r="A682" s="0" t="str">
        <f aca="false">Chase1168_2025!A682</f>
        <v>DEBIT</v>
      </c>
      <c r="B682" s="14" t="n">
        <f aca="false">Chase1168_2025!B682</f>
        <v>45894</v>
      </c>
      <c r="C682" s="0" t="str">
        <f aca="false">Chase1168_2025!C682</f>
        <v>WWW.PERPLEXITY.AI WWW.PERPLEXIT CA           08/23</v>
      </c>
      <c r="D682" s="7" t="n">
        <f aca="false">Chase1168_2025!D682</f>
        <v>-21.28</v>
      </c>
      <c r="E682" s="0" t="str">
        <f aca="false">Chase1168_2025!E682</f>
        <v>DEBIT_CARD</v>
      </c>
      <c r="F682" s="7" t="n">
        <f aca="false">Chase1168_2025!F682</f>
        <v>29006.18</v>
      </c>
      <c r="G682" s="0" t="str">
        <f aca="false">Chase1168_2025!G682</f>
        <v>AI Subscriptions</v>
      </c>
      <c r="H682" s="15" t="n">
        <f aca="false">IF($B682="","",DATE(YEAR($B682),MONTH($B682),1))</f>
        <v>45870</v>
      </c>
      <c r="I682" s="0" t="str">
        <f aca="false">IF($G682="","Uncategorized — Review",IFERROR(INDEX(Mapping!$B:$B,MATCH($G682,Mapping!$A:$A,0)),"Uncategorized — Review"))</f>
        <v>AI Subscriptions</v>
      </c>
      <c r="J682" s="0" t="str">
        <f aca="false">IF($G682="","Uncategorized — Review",IFERROR(INDEX(Mapping!$C:$C,MATCH($G682,Mapping!$A:$A,0)),"Uncategorized — Review"))</f>
        <v>DWG Operating</v>
      </c>
    </row>
    <row r="683" customFormat="false" ht="15" hidden="false" customHeight="false" outlineLevel="0" collapsed="false">
      <c r="A683" s="0" t="str">
        <f aca="false">Chase1168_2025!A683</f>
        <v>DEBIT</v>
      </c>
      <c r="B683" s="14" t="n">
        <f aca="false">Chase1168_2025!B683</f>
        <v>45894</v>
      </c>
      <c r="C683" s="0" t="str">
        <f aca="false">Chase1168_2025!C683</f>
        <v>PAYPAL *GRUBHUBFOOD L 877-585-7878 IL        08/25</v>
      </c>
      <c r="D683" s="7" t="n">
        <f aca="false">Chase1168_2025!D683</f>
        <v>-60.6</v>
      </c>
      <c r="E683" s="0" t="str">
        <f aca="false">Chase1168_2025!E683</f>
        <v>DEBIT_CARD</v>
      </c>
      <c r="F683" s="7" t="n">
        <f aca="false">Chase1168_2025!F683</f>
        <v>29027.46</v>
      </c>
      <c r="G683" s="0" t="str">
        <f aca="false">Chase1168_2025!G683</f>
        <v>Personal - Food</v>
      </c>
      <c r="H683" s="15" t="n">
        <f aca="false">IF($B683="","",DATE(YEAR($B683),MONTH($B683),1))</f>
        <v>45870</v>
      </c>
      <c r="I683" s="0" t="str">
        <f aca="false">IF($G683="","Uncategorized — Review",IFERROR(INDEX(Mapping!$B:$B,MATCH($G683,Mapping!$A:$A,0)),"Uncategorized — Review"))</f>
        <v>Personal - Food &amp; Dining</v>
      </c>
      <c r="J683" s="0" t="str">
        <f aca="false">IF($G683="","Uncategorized — Review",IFERROR(INDEX(Mapping!$C:$C,MATCH($G683,Mapping!$A:$A,0)),"Uncategorized — Review"))</f>
        <v>Personal — Owner</v>
      </c>
    </row>
    <row r="684" customFormat="false" ht="15" hidden="false" customHeight="false" outlineLevel="0" collapsed="false">
      <c r="A684" s="0" t="str">
        <f aca="false">Chase1168_2025!A684</f>
        <v>DEBIT</v>
      </c>
      <c r="B684" s="14" t="n">
        <f aca="false">Chase1168_2025!B684</f>
        <v>45891</v>
      </c>
      <c r="C684" s="0" t="str">
        <f aca="false">Chase1168_2025!C684</f>
        <v>SXM*SIRIUSXM.COM/ACCT 888-635-5144 NY        08/22</v>
      </c>
      <c r="D684" s="7" t="n">
        <f aca="false">Chase1168_2025!D684</f>
        <v>-6.31</v>
      </c>
      <c r="E684" s="0" t="str">
        <f aca="false">Chase1168_2025!E684</f>
        <v>DEBIT_CARD</v>
      </c>
      <c r="F684" s="7" t="n">
        <f aca="false">Chase1168_2025!F684</f>
        <v>29088.06</v>
      </c>
      <c r="G684" s="0" t="str">
        <f aca="false">Chase1168_2025!G684</f>
        <v>Personal - Subscriptions</v>
      </c>
      <c r="H684" s="15" t="n">
        <f aca="false">IF($B684="","",DATE(YEAR($B684),MONTH($B684),1))</f>
        <v>45870</v>
      </c>
      <c r="I684" s="0" t="str">
        <f aca="false">IF($G684="","Uncategorized — Review",IFERROR(INDEX(Mapping!$B:$B,MATCH($G684,Mapping!$A:$A,0)),"Uncategorized — Review"))</f>
        <v>Personal - Subscriptions</v>
      </c>
      <c r="J684" s="0" t="str">
        <f aca="false">IF($G684="","Uncategorized — Review",IFERROR(INDEX(Mapping!$C:$C,MATCH($G684,Mapping!$A:$A,0)),"Uncategorized — Review"))</f>
        <v>Personal — Owner</v>
      </c>
    </row>
    <row r="685" customFormat="false" ht="15" hidden="false" customHeight="false" outlineLevel="0" collapsed="false">
      <c r="A685" s="0" t="str">
        <f aca="false">Chase1168_2025!A685</f>
        <v>DEBIT</v>
      </c>
      <c r="B685" s="14" t="n">
        <f aca="false">Chase1168_2025!B685</f>
        <v>45891</v>
      </c>
      <c r="C685" s="0" t="str">
        <f aca="false">Chase1168_2025!C685</f>
        <v>Experian* ProtectMyID 866-5849446 CA         08/22</v>
      </c>
      <c r="D685" s="7" t="n">
        <f aca="false">Chase1168_2025!D685</f>
        <v>-17.95</v>
      </c>
      <c r="E685" s="0" t="str">
        <f aca="false">Chase1168_2025!E685</f>
        <v>DEBIT_CARD</v>
      </c>
      <c r="F685" s="7" t="n">
        <f aca="false">Chase1168_2025!F685</f>
        <v>29094.37</v>
      </c>
      <c r="G685" s="0" t="str">
        <f aca="false">Chase1168_2025!G685</f>
        <v>Personal - Subscriptions</v>
      </c>
      <c r="H685" s="15" t="n">
        <f aca="false">IF($B685="","",DATE(YEAR($B685),MONTH($B685),1))</f>
        <v>45870</v>
      </c>
      <c r="I685" s="0" t="str">
        <f aca="false">IF($G685="","Uncategorized — Review",IFERROR(INDEX(Mapping!$B:$B,MATCH($G685,Mapping!$A:$A,0)),"Uncategorized — Review"))</f>
        <v>Personal - Subscriptions</v>
      </c>
      <c r="J685" s="0" t="str">
        <f aca="false">IF($G685="","Uncategorized — Review",IFERROR(INDEX(Mapping!$C:$C,MATCH($G685,Mapping!$A:$A,0)),"Uncategorized — Review"))</f>
        <v>Personal — Owner</v>
      </c>
    </row>
    <row r="686" customFormat="false" ht="15" hidden="false" customHeight="false" outlineLevel="0" collapsed="false">
      <c r="A686" s="0" t="str">
        <f aca="false">Chase1168_2025!A686</f>
        <v>DEBIT</v>
      </c>
      <c r="B686" s="14" t="n">
        <f aca="false">Chase1168_2025!B686</f>
        <v>45891</v>
      </c>
      <c r="C686" s="0" t="str">
        <f aca="false">Chase1168_2025!C686</f>
        <v>Zelle payment to Jeffrey Seider JPM99bkao8a1</v>
      </c>
      <c r="D686" s="7" t="n">
        <f aca="false">Chase1168_2025!D686</f>
        <v>-150</v>
      </c>
      <c r="E686" s="0" t="str">
        <f aca="false">Chase1168_2025!E686</f>
        <v>CHASE_TO_PARTNERFI</v>
      </c>
      <c r="F686" s="7" t="n">
        <f aca="false">Chase1168_2025!F686</f>
        <v>29112.32</v>
      </c>
      <c r="G686" s="0" t="str">
        <f aca="false">Chase1168_2025!G686</f>
        <v>Zelle - Jeff Seider</v>
      </c>
      <c r="H686" s="15" t="n">
        <f aca="false">IF($B686="","",DATE(YEAR($B686),MONTH($B686),1))</f>
        <v>45870</v>
      </c>
      <c r="I686" s="0" t="str">
        <f aca="false">IF($G686="","Uncategorized — Review",IFERROR(INDEX(Mapping!$B:$B,MATCH($G686,Mapping!$A:$A,0)),"Uncategorized — Review"))</f>
        <v>Zelle - Jeff Seider</v>
      </c>
      <c r="J686" s="0" t="str">
        <f aca="false">IF($G686="","Uncategorized — Review",IFERROR(INDEX(Mapping!$C:$C,MATCH($G686,Mapping!$A:$A,0)),"Uncategorized — Review"))</f>
        <v>P2P Payments (Zelle/Venmo/PayPal)</v>
      </c>
    </row>
    <row r="687" customFormat="false" ht="15" hidden="false" customHeight="false" outlineLevel="0" collapsed="false">
      <c r="A687" s="0" t="str">
        <f aca="false">Chase1168_2025!A687</f>
        <v>DEBIT</v>
      </c>
      <c r="B687" s="14" t="n">
        <f aca="false">Chase1168_2025!B687</f>
        <v>45891</v>
      </c>
      <c r="C687" s="0" t="str">
        <f aca="false">Chase1168_2025!C687</f>
        <v>Online Transfer to CHK ...1117 transaction#: 25936284809 08/22</v>
      </c>
      <c r="D687" s="7" t="n">
        <f aca="false">Chase1168_2025!D687</f>
        <v>-2000</v>
      </c>
      <c r="E687" s="0" t="str">
        <f aca="false">Chase1168_2025!E687</f>
        <v>ACCT_XFER</v>
      </c>
      <c r="F687" s="7" t="n">
        <f aca="false">Chase1168_2025!F687</f>
        <v>29262.32</v>
      </c>
      <c r="G687" s="0" t="str">
        <f aca="false">Chase1168_2025!G687</f>
        <v>Transfer to Angela Dunning</v>
      </c>
      <c r="H687" s="15" t="n">
        <f aca="false">IF($B687="","",DATE(YEAR($B687),MONTH($B687),1))</f>
        <v>45870</v>
      </c>
      <c r="I687" s="0" t="str">
        <f aca="false">IF($G687="","Uncategorized — Review",IFERROR(INDEX(Mapping!$B:$B,MATCH($G687,Mapping!$A:$A,0)),"Uncategorized — Review"))</f>
        <v>Transfer to Angela Dunning</v>
      </c>
      <c r="J687" s="0" t="str">
        <f aca="false">IF($G687="","Uncategorized — Review",IFERROR(INDEX(Mapping!$C:$C,MATCH($G687,Mapping!$A:$A,0)),"Uncategorized — Review"))</f>
        <v>Owner / Family Distributions</v>
      </c>
    </row>
    <row r="688" customFormat="false" ht="15" hidden="false" customHeight="false" outlineLevel="0" collapsed="false">
      <c r="A688" s="0" t="str">
        <f aca="false">Chase1168_2025!A688</f>
        <v>DEBIT</v>
      </c>
      <c r="B688" s="14" t="n">
        <f aca="false">Chase1168_2025!B688</f>
        <v>45891</v>
      </c>
      <c r="C688" s="0" t="str">
        <f aca="false">Chase1168_2025!C688</f>
        <v>PAYPAL *UBER 866-576-1039 CA                 08/22</v>
      </c>
      <c r="D688" s="7" t="n">
        <f aca="false">Chase1168_2025!D688</f>
        <v>-13.96</v>
      </c>
      <c r="E688" s="0" t="str">
        <f aca="false">Chase1168_2025!E688</f>
        <v>DEBIT_CARD</v>
      </c>
      <c r="F688" s="7" t="n">
        <f aca="false">Chase1168_2025!F688</f>
        <v>31262.32</v>
      </c>
      <c r="G688" s="0" t="str">
        <f aca="false">Chase1168_2025!G688</f>
        <v>Personal - Car</v>
      </c>
      <c r="H688" s="15" t="n">
        <f aca="false">IF($B688="","",DATE(YEAR($B688),MONTH($B688),1))</f>
        <v>45870</v>
      </c>
      <c r="I688" s="0" t="str">
        <f aca="false">IF($G688="","Uncategorized — Review",IFERROR(INDEX(Mapping!$B:$B,MATCH($G688,Mapping!$A:$A,0)),"Uncategorized — Review"))</f>
        <v>Personal - Car &amp; Auto</v>
      </c>
      <c r="J688" s="0" t="str">
        <f aca="false">IF($G688="","Uncategorized — Review",IFERROR(INDEX(Mapping!$C:$C,MATCH($G688,Mapping!$A:$A,0)),"Uncategorized — Review"))</f>
        <v>Personal — Owner</v>
      </c>
    </row>
    <row r="689" customFormat="false" ht="15" hidden="false" customHeight="false" outlineLevel="0" collapsed="false">
      <c r="A689" s="0" t="str">
        <f aca="false">Chase1168_2025!A689</f>
        <v>DEBIT</v>
      </c>
      <c r="B689" s="14" t="n">
        <f aca="false">Chase1168_2025!B689</f>
        <v>45891</v>
      </c>
      <c r="C689" s="0" t="str">
        <f aca="false">Chase1168_2025!C689</f>
        <v>PAYPAL *UBER 866-576-1039 CA                 08/22</v>
      </c>
      <c r="D689" s="7" t="n">
        <f aca="false">Chase1168_2025!D689</f>
        <v>-12.48</v>
      </c>
      <c r="E689" s="0" t="str">
        <f aca="false">Chase1168_2025!E689</f>
        <v>DEBIT_CARD</v>
      </c>
      <c r="F689" s="7" t="n">
        <f aca="false">Chase1168_2025!F689</f>
        <v>31276.28</v>
      </c>
      <c r="G689" s="0" t="str">
        <f aca="false">Chase1168_2025!G689</f>
        <v>Personal - Car</v>
      </c>
      <c r="H689" s="15" t="n">
        <f aca="false">IF($B689="","",DATE(YEAR($B689),MONTH($B689),1))</f>
        <v>45870</v>
      </c>
      <c r="I689" s="0" t="str">
        <f aca="false">IF($G689="","Uncategorized — Review",IFERROR(INDEX(Mapping!$B:$B,MATCH($G689,Mapping!$A:$A,0)),"Uncategorized — Review"))</f>
        <v>Personal - Car &amp; Auto</v>
      </c>
      <c r="J689" s="0" t="str">
        <f aca="false">IF($G689="","Uncategorized — Review",IFERROR(INDEX(Mapping!$C:$C,MATCH($G689,Mapping!$A:$A,0)),"Uncategorized — Review"))</f>
        <v>Personal — Owner</v>
      </c>
    </row>
    <row r="690" customFormat="false" ht="15" hidden="false" customHeight="false" outlineLevel="0" collapsed="false">
      <c r="A690" s="0" t="str">
        <f aca="false">Chase1168_2025!A690</f>
        <v>DEBIT</v>
      </c>
      <c r="B690" s="14" t="n">
        <f aca="false">Chase1168_2025!B690</f>
        <v>45891</v>
      </c>
      <c r="C690" s="0" t="str">
        <f aca="false">Chase1168_2025!C690</f>
        <v>PAYPAL *UBER 866-576-1039 CA                 08/22</v>
      </c>
      <c r="D690" s="7" t="n">
        <f aca="false">Chase1168_2025!D690</f>
        <v>-72.24</v>
      </c>
      <c r="E690" s="0" t="str">
        <f aca="false">Chase1168_2025!E690</f>
        <v>DEBIT_CARD</v>
      </c>
      <c r="F690" s="7" t="n">
        <f aca="false">Chase1168_2025!F690</f>
        <v>31288.76</v>
      </c>
      <c r="G690" s="0" t="str">
        <f aca="false">Chase1168_2025!G690</f>
        <v>Personal - Car</v>
      </c>
      <c r="H690" s="15" t="n">
        <f aca="false">IF($B690="","",DATE(YEAR($B690),MONTH($B690),1))</f>
        <v>45870</v>
      </c>
      <c r="I690" s="0" t="str">
        <f aca="false">IF($G690="","Uncategorized — Review",IFERROR(INDEX(Mapping!$B:$B,MATCH($G690,Mapping!$A:$A,0)),"Uncategorized — Review"))</f>
        <v>Personal - Car &amp; Auto</v>
      </c>
      <c r="J690" s="0" t="str">
        <f aca="false">IF($G690="","Uncategorized — Review",IFERROR(INDEX(Mapping!$C:$C,MATCH($G690,Mapping!$A:$A,0)),"Uncategorized — Review"))</f>
        <v>Personal — Owner</v>
      </c>
    </row>
    <row r="691" customFormat="false" ht="15" hidden="false" customHeight="false" outlineLevel="0" collapsed="false">
      <c r="A691" s="0" t="str">
        <f aca="false">Chase1168_2025!A691</f>
        <v>DEBIT</v>
      </c>
      <c r="B691" s="14" t="n">
        <f aca="false">Chase1168_2025!B691</f>
        <v>45891</v>
      </c>
      <c r="C691" s="0" t="str">
        <f aca="false">Chase1168_2025!C691</f>
        <v>PAYPAL *UBER 866-576-1039 CA                 08/22</v>
      </c>
      <c r="D691" s="7" t="n">
        <f aca="false">Chase1168_2025!D691</f>
        <v>-4</v>
      </c>
      <c r="E691" s="0" t="str">
        <f aca="false">Chase1168_2025!E691</f>
        <v>DEBIT_CARD</v>
      </c>
      <c r="F691" s="7" t="n">
        <f aca="false">Chase1168_2025!F691</f>
        <v>31361</v>
      </c>
      <c r="G691" s="0" t="str">
        <f aca="false">Chase1168_2025!G691</f>
        <v>Personal - Car</v>
      </c>
      <c r="H691" s="15" t="n">
        <f aca="false">IF($B691="","",DATE(YEAR($B691),MONTH($B691),1))</f>
        <v>45870</v>
      </c>
      <c r="I691" s="0" t="str">
        <f aca="false">IF($G691="","Uncategorized — Review",IFERROR(INDEX(Mapping!$B:$B,MATCH($G691,Mapping!$A:$A,0)),"Uncategorized — Review"))</f>
        <v>Personal - Car &amp; Auto</v>
      </c>
      <c r="J691" s="0" t="str">
        <f aca="false">IF($G691="","Uncategorized — Review",IFERROR(INDEX(Mapping!$C:$C,MATCH($G691,Mapping!$A:$A,0)),"Uncategorized — Review"))</f>
        <v>Personal — Owner</v>
      </c>
    </row>
    <row r="692" customFormat="false" ht="15" hidden="false" customHeight="false" outlineLevel="0" collapsed="false">
      <c r="A692" s="0" t="str">
        <f aca="false">Chase1168_2025!A692</f>
        <v>DEBIT</v>
      </c>
      <c r="B692" s="14" t="n">
        <f aca="false">Chase1168_2025!B692</f>
        <v>45890</v>
      </c>
      <c r="C692" s="0" t="str">
        <f aca="false">Chase1168_2025!C692</f>
        <v>ORIG CO NAME:VENMO                  ORIG ID:3264681992 DESC DATE:250821 CO ENTRY DESCR:PAYMENT   SEC:WEB    TRACE#:021000024673797 EED:250821   IND ID:1044335433966                IND NAME:JUDD DUNNING                                                                                                 250821PPZ5EH TRN: 2334673797TC</v>
      </c>
      <c r="D692" s="7" t="n">
        <f aca="false">Chase1168_2025!D692</f>
        <v>-250</v>
      </c>
      <c r="E692" s="0" t="str">
        <f aca="false">Chase1168_2025!E692</f>
        <v>ACH_DEBIT</v>
      </c>
      <c r="F692" s="7" t="n">
        <f aca="false">Chase1168_2025!F692</f>
        <v>31365</v>
      </c>
      <c r="G692" s="0" t="str">
        <f aca="false">Chase1168_2025!G692</f>
        <v>Venmo</v>
      </c>
      <c r="H692" s="15" t="n">
        <f aca="false">IF($B692="","",DATE(YEAR($B692),MONTH($B692),1))</f>
        <v>45870</v>
      </c>
      <c r="I692" s="0" t="str">
        <f aca="false">IF($G692="","Uncategorized — Review",IFERROR(INDEX(Mapping!$B:$B,MATCH($G692,Mapping!$A:$A,0)),"Uncategorized — Review"))</f>
        <v>Venmo</v>
      </c>
      <c r="J692" s="0" t="str">
        <f aca="false">IF($G692="","Uncategorized — Review",IFERROR(INDEX(Mapping!$C:$C,MATCH($G692,Mapping!$A:$A,0)),"Uncategorized — Review"))</f>
        <v>P2P Payments (Zelle/Venmo/PayPal)</v>
      </c>
    </row>
    <row r="693" customFormat="false" ht="15" hidden="false" customHeight="false" outlineLevel="0" collapsed="false">
      <c r="A693" s="0" t="str">
        <f aca="false">Chase1168_2025!A693</f>
        <v>DEBIT</v>
      </c>
      <c r="B693" s="14" t="n">
        <f aca="false">Chase1168_2025!B693</f>
        <v>45890</v>
      </c>
      <c r="C693" s="0" t="str">
        <f aca="false">Chase1168_2025!C693</f>
        <v>ORIG CO NAME:VENMO                  ORIG ID:3264681992 DESC DATE:250821 CO ENTRY DESCR:PAYMENT   SEC:WEB    TRACE#:021000026332898 EED:250821   IND ID:1044317375624                IND NAME:JUDD DUNNING                                                                                                 250821PPZWGF TRN: 2336332898TC</v>
      </c>
      <c r="D693" s="7" t="n">
        <f aca="false">Chase1168_2025!D693</f>
        <v>-150</v>
      </c>
      <c r="E693" s="0" t="str">
        <f aca="false">Chase1168_2025!E693</f>
        <v>ACH_DEBIT</v>
      </c>
      <c r="F693" s="7" t="n">
        <f aca="false">Chase1168_2025!F693</f>
        <v>31615</v>
      </c>
      <c r="G693" s="0" t="str">
        <f aca="false">Chase1168_2025!G693</f>
        <v>Venmo</v>
      </c>
      <c r="H693" s="15" t="n">
        <f aca="false">IF($B693="","",DATE(YEAR($B693),MONTH($B693),1))</f>
        <v>45870</v>
      </c>
      <c r="I693" s="0" t="str">
        <f aca="false">IF($G693="","Uncategorized — Review",IFERROR(INDEX(Mapping!$B:$B,MATCH($G693,Mapping!$A:$A,0)),"Uncategorized — Review"))</f>
        <v>Venmo</v>
      </c>
      <c r="J693" s="0" t="str">
        <f aca="false">IF($G693="","Uncategorized — Review",IFERROR(INDEX(Mapping!$C:$C,MATCH($G693,Mapping!$A:$A,0)),"Uncategorized — Review"))</f>
        <v>P2P Payments (Zelle/Venmo/PayPal)</v>
      </c>
    </row>
    <row r="694" customFormat="false" ht="15" hidden="false" customHeight="false" outlineLevel="0" collapsed="false">
      <c r="A694" s="0" t="str">
        <f aca="false">Chase1168_2025!A694</f>
        <v>DEBIT</v>
      </c>
      <c r="B694" s="14" t="n">
        <f aca="false">Chase1168_2025!B694</f>
        <v>45890</v>
      </c>
      <c r="C694" s="0" t="str">
        <f aca="false">Chase1168_2025!C694</f>
        <v>ORIG CO NAME:PRINCIPAL-CCAPNL       ORIG ID:9INDPNLEFT DESC DATE:081925 CO ENTRY DESCR:PRIN FINANSEC:PPD    TRACE#:091000018305598 EED:250821   IND ID:                             IND NAME:JOHN B DUNNING TRN: 2338305598TC</v>
      </c>
      <c r="D694" s="7" t="n">
        <f aca="false">Chase1168_2025!D694</f>
        <v>-331.54</v>
      </c>
      <c r="E694" s="0" t="str">
        <f aca="false">Chase1168_2025!E694</f>
        <v>ACH_DEBIT</v>
      </c>
      <c r="F694" s="7" t="n">
        <f aca="false">Chase1168_2025!F694</f>
        <v>31765</v>
      </c>
      <c r="G694" s="0" t="str">
        <f aca="false">Chase1168_2025!G694</f>
        <v>???</v>
      </c>
      <c r="H694" s="15" t="n">
        <f aca="false">IF($B694="","",DATE(YEAR($B694),MONTH($B694),1))</f>
        <v>45870</v>
      </c>
      <c r="I694" s="0" t="str">
        <f aca="false">IF($G694="","Uncategorized — Review",IFERROR(INDEX(Mapping!$B:$B,MATCH($G694,Mapping!$A:$A,0)),"Uncategorized — Review"))</f>
        <v>???</v>
      </c>
      <c r="J694" s="0" t="str">
        <f aca="false">IF($G694="","Uncategorized — Review",IFERROR(INDEX(Mapping!$C:$C,MATCH($G694,Mapping!$A:$A,0)),"Uncategorized — Review"))</f>
        <v>Uncategorized — Review</v>
      </c>
    </row>
    <row r="695" customFormat="false" ht="15" hidden="false" customHeight="false" outlineLevel="0" collapsed="false">
      <c r="A695" s="0" t="str">
        <f aca="false">Chase1168_2025!A695</f>
        <v>DEBIT</v>
      </c>
      <c r="B695" s="14" t="n">
        <f aca="false">Chase1168_2025!B695</f>
        <v>45890</v>
      </c>
      <c r="C695" s="0" t="str">
        <f aca="false">Chase1168_2025!C695</f>
        <v>PP*APPLE.COM/BILL 800-275-2273 CA            08/21</v>
      </c>
      <c r="D695" s="7" t="n">
        <f aca="false">Chase1168_2025!D695</f>
        <v>-8.99</v>
      </c>
      <c r="E695" s="0" t="str">
        <f aca="false">Chase1168_2025!E695</f>
        <v>DEBIT_CARD</v>
      </c>
      <c r="F695" s="7" t="n">
        <f aca="false">Chase1168_2025!F695</f>
        <v>32096.54</v>
      </c>
      <c r="G695" s="0" t="str">
        <f aca="false">Chase1168_2025!G695</f>
        <v>Personal - Subscriptions</v>
      </c>
      <c r="H695" s="15" t="n">
        <f aca="false">IF($B695="","",DATE(YEAR($B695),MONTH($B695),1))</f>
        <v>45870</v>
      </c>
      <c r="I695" s="0" t="str">
        <f aca="false">IF($G695="","Uncategorized — Review",IFERROR(INDEX(Mapping!$B:$B,MATCH($G695,Mapping!$A:$A,0)),"Uncategorized — Review"))</f>
        <v>Personal - Subscriptions</v>
      </c>
      <c r="J695" s="0" t="str">
        <f aca="false">IF($G695="","Uncategorized — Review",IFERROR(INDEX(Mapping!$C:$C,MATCH($G695,Mapping!$A:$A,0)),"Uncategorized — Review"))</f>
        <v>Personal — Owner</v>
      </c>
    </row>
    <row r="696" customFormat="false" ht="15" hidden="false" customHeight="false" outlineLevel="0" collapsed="false">
      <c r="A696" s="0" t="str">
        <f aca="false">Chase1168_2025!A696</f>
        <v>DEBIT</v>
      </c>
      <c r="B696" s="14" t="n">
        <f aca="false">Chase1168_2025!B696</f>
        <v>45890</v>
      </c>
      <c r="C696" s="0" t="str">
        <f aca="false">Chase1168_2025!C696</f>
        <v>PAYPAL *BEENVERIFIE 786-482-6776 NY          08/21</v>
      </c>
      <c r="D696" s="7" t="n">
        <f aca="false">Chase1168_2025!D696</f>
        <v>-26.89</v>
      </c>
      <c r="E696" s="0" t="str">
        <f aca="false">Chase1168_2025!E696</f>
        <v>DEBIT_CARD</v>
      </c>
      <c r="F696" s="7" t="n">
        <f aca="false">Chase1168_2025!F696</f>
        <v>32105.53</v>
      </c>
      <c r="G696" s="0" t="str">
        <f aca="false">Chase1168_2025!G696</f>
        <v>Personal - Subscriptions</v>
      </c>
      <c r="H696" s="15" t="n">
        <f aca="false">IF($B696="","",DATE(YEAR($B696),MONTH($B696),1))</f>
        <v>45870</v>
      </c>
      <c r="I696" s="0" t="str">
        <f aca="false">IF($G696="","Uncategorized — Review",IFERROR(INDEX(Mapping!$B:$B,MATCH($G696,Mapping!$A:$A,0)),"Uncategorized — Review"))</f>
        <v>Personal - Subscriptions</v>
      </c>
      <c r="J696" s="0" t="str">
        <f aca="false">IF($G696="","Uncategorized — Review",IFERROR(INDEX(Mapping!$C:$C,MATCH($G696,Mapping!$A:$A,0)),"Uncategorized — Review"))</f>
        <v>Personal — Owner</v>
      </c>
    </row>
    <row r="697" customFormat="false" ht="15" hidden="false" customHeight="false" outlineLevel="0" collapsed="false">
      <c r="A697" s="0" t="str">
        <f aca="false">Chase1168_2025!A697</f>
        <v>DEBIT</v>
      </c>
      <c r="B697" s="14" t="n">
        <f aca="false">Chase1168_2025!B697</f>
        <v>45889</v>
      </c>
      <c r="C697" s="0" t="str">
        <f aca="false">Chase1168_2025!C697</f>
        <v>Zelle payment to Jeffrey Seider JPM99bk567b7</v>
      </c>
      <c r="D697" s="7" t="n">
        <f aca="false">Chase1168_2025!D697</f>
        <v>-150</v>
      </c>
      <c r="E697" s="0" t="str">
        <f aca="false">Chase1168_2025!E697</f>
        <v>CHASE_TO_PARTNERFI</v>
      </c>
      <c r="F697" s="7" t="n">
        <f aca="false">Chase1168_2025!F697</f>
        <v>32132.42</v>
      </c>
      <c r="G697" s="0" t="str">
        <f aca="false">Chase1168_2025!G697</f>
        <v>Zelle - Jeff Seider</v>
      </c>
      <c r="H697" s="15" t="n">
        <f aca="false">IF($B697="","",DATE(YEAR($B697),MONTH($B697),1))</f>
        <v>45870</v>
      </c>
      <c r="I697" s="0" t="str">
        <f aca="false">IF($G697="","Uncategorized — Review",IFERROR(INDEX(Mapping!$B:$B,MATCH($G697,Mapping!$A:$A,0)),"Uncategorized — Review"))</f>
        <v>Zelle - Jeff Seider</v>
      </c>
      <c r="J697" s="0" t="str">
        <f aca="false">IF($G697="","Uncategorized — Review",IFERROR(INDEX(Mapping!$C:$C,MATCH($G697,Mapping!$A:$A,0)),"Uncategorized — Review"))</f>
        <v>P2P Payments (Zelle/Venmo/PayPal)</v>
      </c>
    </row>
    <row r="698" customFormat="false" ht="15" hidden="false" customHeight="false" outlineLevel="0" collapsed="false">
      <c r="A698" s="0" t="str">
        <f aca="false">Chase1168_2025!A698</f>
        <v>DEBIT</v>
      </c>
      <c r="B698" s="14" t="n">
        <f aca="false">Chase1168_2025!B698</f>
        <v>45889</v>
      </c>
      <c r="C698" s="0" t="str">
        <f aca="false">Chase1168_2025!C698</f>
        <v>Online Transfer to CHK ...1117 transaction#: 25921308693 08/20</v>
      </c>
      <c r="D698" s="7" t="n">
        <f aca="false">Chase1168_2025!D698</f>
        <v>-3000</v>
      </c>
      <c r="E698" s="0" t="str">
        <f aca="false">Chase1168_2025!E698</f>
        <v>ACCT_XFER</v>
      </c>
      <c r="F698" s="7" t="n">
        <f aca="false">Chase1168_2025!F698</f>
        <v>32282.42</v>
      </c>
      <c r="G698" s="0" t="str">
        <f aca="false">Chase1168_2025!G698</f>
        <v>Transfer to Angela Dunning</v>
      </c>
      <c r="H698" s="15" t="n">
        <f aca="false">IF($B698="","",DATE(YEAR($B698),MONTH($B698),1))</f>
        <v>45870</v>
      </c>
      <c r="I698" s="0" t="str">
        <f aca="false">IF($G698="","Uncategorized — Review",IFERROR(INDEX(Mapping!$B:$B,MATCH($G698,Mapping!$A:$A,0)),"Uncategorized — Review"))</f>
        <v>Transfer to Angela Dunning</v>
      </c>
      <c r="J698" s="0" t="str">
        <f aca="false">IF($G698="","Uncategorized — Review",IFERROR(INDEX(Mapping!$C:$C,MATCH($G698,Mapping!$A:$A,0)),"Uncategorized — Review"))</f>
        <v>Owner / Family Distributions</v>
      </c>
    </row>
    <row r="699" customFormat="false" ht="15" hidden="false" customHeight="false" outlineLevel="0" collapsed="false">
      <c r="A699" s="0" t="str">
        <f aca="false">Chase1168_2025!A699</f>
        <v>DEBIT</v>
      </c>
      <c r="B699" s="14" t="n">
        <f aca="false">Chase1168_2025!B699</f>
        <v>45889</v>
      </c>
      <c r="C699" s="0" t="str">
        <f aca="false">Chase1168_2025!C699</f>
        <v>PP*APPLE.COM/BILL 800-275-2273 CA            08/20</v>
      </c>
      <c r="D699" s="7" t="n">
        <f aca="false">Chase1168_2025!D699</f>
        <v>-9.99</v>
      </c>
      <c r="E699" s="0" t="str">
        <f aca="false">Chase1168_2025!E699</f>
        <v>DEBIT_CARD</v>
      </c>
      <c r="F699" s="7" t="n">
        <f aca="false">Chase1168_2025!F699</f>
        <v>35282.42</v>
      </c>
      <c r="G699" s="0" t="str">
        <f aca="false">Chase1168_2025!G699</f>
        <v>Personal - Subscriptions</v>
      </c>
      <c r="H699" s="15" t="n">
        <f aca="false">IF($B699="","",DATE(YEAR($B699),MONTH($B699),1))</f>
        <v>45870</v>
      </c>
      <c r="I699" s="0" t="str">
        <f aca="false">IF($G699="","Uncategorized — Review",IFERROR(INDEX(Mapping!$B:$B,MATCH($G699,Mapping!$A:$A,0)),"Uncategorized — Review"))</f>
        <v>Personal - Subscriptions</v>
      </c>
      <c r="J699" s="0" t="str">
        <f aca="false">IF($G699="","Uncategorized — Review",IFERROR(INDEX(Mapping!$C:$C,MATCH($G699,Mapping!$A:$A,0)),"Uncategorized — Review"))</f>
        <v>Personal — Owner</v>
      </c>
    </row>
    <row r="700" customFormat="false" ht="15" hidden="false" customHeight="false" outlineLevel="0" collapsed="false">
      <c r="A700" s="0" t="str">
        <f aca="false">Chase1168_2025!A700</f>
        <v>DEBIT</v>
      </c>
      <c r="B700" s="14" t="n">
        <f aca="false">Chase1168_2025!B700</f>
        <v>45889</v>
      </c>
      <c r="C700" s="0" t="str">
        <f aca="false">Chase1168_2025!C700</f>
        <v>PAYPAL *THEREALDEAL O 212-260-1332 NY        08/19</v>
      </c>
      <c r="D700" s="7" t="n">
        <f aca="false">Chase1168_2025!D700</f>
        <v>-15</v>
      </c>
      <c r="E700" s="0" t="str">
        <f aca="false">Chase1168_2025!E700</f>
        <v>DEBIT_CARD</v>
      </c>
      <c r="F700" s="7" t="n">
        <f aca="false">Chase1168_2025!F700</f>
        <v>35292.41</v>
      </c>
      <c r="G700" s="0" t="str">
        <f aca="false">Chase1168_2025!G700</f>
        <v>Personal - Subscriptions</v>
      </c>
      <c r="H700" s="15" t="n">
        <f aca="false">IF($B700="","",DATE(YEAR($B700),MONTH($B700),1))</f>
        <v>45870</v>
      </c>
      <c r="I700" s="0" t="str">
        <f aca="false">IF($G700="","Uncategorized — Review",IFERROR(INDEX(Mapping!$B:$B,MATCH($G700,Mapping!$A:$A,0)),"Uncategorized — Review"))</f>
        <v>Personal - Subscriptions</v>
      </c>
      <c r="J700" s="0" t="str">
        <f aca="false">IF($G700="","Uncategorized — Review",IFERROR(INDEX(Mapping!$C:$C,MATCH($G700,Mapping!$A:$A,0)),"Uncategorized — Review"))</f>
        <v>Personal — Owner</v>
      </c>
    </row>
    <row r="701" customFormat="false" ht="15" hidden="false" customHeight="false" outlineLevel="0" collapsed="false">
      <c r="A701" s="0" t="str">
        <f aca="false">Chase1168_2025!A701</f>
        <v>DEBIT</v>
      </c>
      <c r="B701" s="14" t="n">
        <f aca="false">Chase1168_2025!B701</f>
        <v>45888</v>
      </c>
      <c r="C701" s="0" t="str">
        <f aca="false">Chase1168_2025!C701</f>
        <v>PAYPAL *FOXCORP 888-596-3938 CA              08/19</v>
      </c>
      <c r="D701" s="7" t="n">
        <f aca="false">Chase1168_2025!D701</f>
        <v>-7.99</v>
      </c>
      <c r="E701" s="0" t="str">
        <f aca="false">Chase1168_2025!E701</f>
        <v>DEBIT_CARD</v>
      </c>
      <c r="F701" s="7" t="n">
        <f aca="false">Chase1168_2025!F701</f>
        <v>35307.41</v>
      </c>
      <c r="G701" s="0" t="str">
        <f aca="false">Chase1168_2025!G701</f>
        <v>Personal - Subscriptions</v>
      </c>
      <c r="H701" s="15" t="n">
        <f aca="false">IF($B701="","",DATE(YEAR($B701),MONTH($B701),1))</f>
        <v>45870</v>
      </c>
      <c r="I701" s="0" t="str">
        <f aca="false">IF($G701="","Uncategorized — Review",IFERROR(INDEX(Mapping!$B:$B,MATCH($G701,Mapping!$A:$A,0)),"Uncategorized — Review"))</f>
        <v>Personal - Subscriptions</v>
      </c>
      <c r="J701" s="0" t="str">
        <f aca="false">IF($G701="","Uncategorized — Review",IFERROR(INDEX(Mapping!$C:$C,MATCH($G701,Mapping!$A:$A,0)),"Uncategorized — Review"))</f>
        <v>Personal — Owner</v>
      </c>
    </row>
    <row r="702" customFormat="false" ht="15" hidden="false" customHeight="false" outlineLevel="0" collapsed="false">
      <c r="A702" s="0" t="str">
        <f aca="false">Chase1168_2025!A702</f>
        <v>DEBIT</v>
      </c>
      <c r="B702" s="14" t="n">
        <f aca="false">Chase1168_2025!B702</f>
        <v>45888</v>
      </c>
      <c r="C702" s="0" t="str">
        <f aca="false">Chase1168_2025!C702</f>
        <v>UPWORK * -837900727 866-262-4478 CA          08/18</v>
      </c>
      <c r="D702" s="7" t="n">
        <f aca="false">Chase1168_2025!D702</f>
        <v>-700</v>
      </c>
      <c r="E702" s="0" t="str">
        <f aca="false">Chase1168_2025!E702</f>
        <v>DEBIT_CARD</v>
      </c>
      <c r="F702" s="7" t="n">
        <f aca="false">Chase1168_2025!F702</f>
        <v>35315.4</v>
      </c>
      <c r="G702" s="0" t="str">
        <f aca="false">Chase1168_2025!G702</f>
        <v>Upwork - Sergei M.</v>
      </c>
      <c r="H702" s="15" t="n">
        <f aca="false">IF($B702="","",DATE(YEAR($B702),MONTH($B702),1))</f>
        <v>45870</v>
      </c>
      <c r="I702" s="0" t="str">
        <f aca="false">IF($G702="","Uncategorized — Review",IFERROR(INDEX(Mapping!$B:$B,MATCH($G702,Mapping!$A:$A,0)),"Uncategorized — Review"))</f>
        <v>Upwork - Sergei M.</v>
      </c>
      <c r="J702" s="0" t="str">
        <f aca="false">IF($G702="","Uncategorized — Review",IFERROR(INDEX(Mapping!$C:$C,MATCH($G702,Mapping!$A:$A,0)),"Uncategorized — Review"))</f>
        <v>Payroll &amp; Contractors</v>
      </c>
    </row>
    <row r="703" customFormat="false" ht="15" hidden="false" customHeight="false" outlineLevel="0" collapsed="false">
      <c r="A703" s="0" t="str">
        <f aca="false">Chase1168_2025!A703</f>
        <v>DEBIT</v>
      </c>
      <c r="B703" s="14" t="n">
        <f aca="false">Chase1168_2025!B703</f>
        <v>45888</v>
      </c>
      <c r="C703" s="0" t="str">
        <f aca="false">Chase1168_2025!C703</f>
        <v>DNH*GODADDY#3858226967 480-5058855 AZ        08/18</v>
      </c>
      <c r="D703" s="7" t="n">
        <f aca="false">Chase1168_2025!D703</f>
        <v>-21.98</v>
      </c>
      <c r="E703" s="0" t="str">
        <f aca="false">Chase1168_2025!E703</f>
        <v>DEBIT_CARD</v>
      </c>
      <c r="F703" s="7" t="n">
        <f aca="false">Chase1168_2025!F703</f>
        <v>36015.4</v>
      </c>
      <c r="G703" s="0" t="str">
        <f aca="false">Chase1168_2025!G703</f>
        <v>Go Daddy</v>
      </c>
      <c r="H703" s="15" t="n">
        <f aca="false">IF($B703="","",DATE(YEAR($B703),MONTH($B703),1))</f>
        <v>45870</v>
      </c>
      <c r="I703" s="0" t="str">
        <f aca="false">IF($G703="","Uncategorized — Review",IFERROR(INDEX(Mapping!$B:$B,MATCH($G703,Mapping!$A:$A,0)),"Uncategorized — Review"))</f>
        <v>Go Daddy</v>
      </c>
      <c r="J703" s="0" t="str">
        <f aca="false">IF($G703="","Uncategorized — Review",IFERROR(INDEX(Mapping!$C:$C,MATCH($G703,Mapping!$A:$A,0)),"Uncategorized — Review"))</f>
        <v>DWG Operating</v>
      </c>
    </row>
    <row r="704" customFormat="false" ht="15" hidden="false" customHeight="false" outlineLevel="0" collapsed="false">
      <c r="A704" s="0" t="str">
        <f aca="false">Chase1168_2025!A704</f>
        <v>DEBIT</v>
      </c>
      <c r="B704" s="14" t="n">
        <f aca="false">Chase1168_2025!B704</f>
        <v>45888</v>
      </c>
      <c r="C704" s="0" t="str">
        <f aca="false">Chase1168_2025!C704</f>
        <v>DNH*GODADDY#3858226931 480-5058855 AZ        08/18</v>
      </c>
      <c r="D704" s="7" t="n">
        <f aca="false">Chase1168_2025!D704</f>
        <v>-15.98</v>
      </c>
      <c r="E704" s="0" t="str">
        <f aca="false">Chase1168_2025!E704</f>
        <v>DEBIT_CARD</v>
      </c>
      <c r="F704" s="7" t="n">
        <f aca="false">Chase1168_2025!F704</f>
        <v>36037.38</v>
      </c>
      <c r="G704" s="0" t="str">
        <f aca="false">Chase1168_2025!G704</f>
        <v>Go Daddy</v>
      </c>
      <c r="H704" s="15" t="n">
        <f aca="false">IF($B704="","",DATE(YEAR($B704),MONTH($B704),1))</f>
        <v>45870</v>
      </c>
      <c r="I704" s="0" t="str">
        <f aca="false">IF($G704="","Uncategorized — Review",IFERROR(INDEX(Mapping!$B:$B,MATCH($G704,Mapping!$A:$A,0)),"Uncategorized — Review"))</f>
        <v>Go Daddy</v>
      </c>
      <c r="J704" s="0" t="str">
        <f aca="false">IF($G704="","Uncategorized — Review",IFERROR(INDEX(Mapping!$C:$C,MATCH($G704,Mapping!$A:$A,0)),"Uncategorized — Review"))</f>
        <v>DWG Operating</v>
      </c>
    </row>
    <row r="705" customFormat="false" ht="15" hidden="false" customHeight="false" outlineLevel="0" collapsed="false">
      <c r="A705" s="0" t="str">
        <f aca="false">Chase1168_2025!A705</f>
        <v>DEBIT</v>
      </c>
      <c r="B705" s="14" t="n">
        <f aca="false">Chase1168_2025!B705</f>
        <v>45887</v>
      </c>
      <c r="C705" s="0" t="str">
        <f aca="false">Chase1168_2025!C705</f>
        <v>Online Transfer to CHK ...1117 transaction#: 25898320989 08/18</v>
      </c>
      <c r="D705" s="7" t="n">
        <f aca="false">Chase1168_2025!D705</f>
        <v>-1000</v>
      </c>
      <c r="E705" s="0" t="str">
        <f aca="false">Chase1168_2025!E705</f>
        <v>ACCT_XFER</v>
      </c>
      <c r="F705" s="7" t="n">
        <f aca="false">Chase1168_2025!F705</f>
        <v>36053.36</v>
      </c>
      <c r="G705" s="0" t="str">
        <f aca="false">Chase1168_2025!G705</f>
        <v>Transfer to Angela Dunning</v>
      </c>
      <c r="H705" s="15" t="n">
        <f aca="false">IF($B705="","",DATE(YEAR($B705),MONTH($B705),1))</f>
        <v>45870</v>
      </c>
      <c r="I705" s="0" t="str">
        <f aca="false">IF($G705="","Uncategorized — Review",IFERROR(INDEX(Mapping!$B:$B,MATCH($G705,Mapping!$A:$A,0)),"Uncategorized — Review"))</f>
        <v>Transfer to Angela Dunning</v>
      </c>
      <c r="J705" s="0" t="str">
        <f aca="false">IF($G705="","Uncategorized — Review",IFERROR(INDEX(Mapping!$C:$C,MATCH($G705,Mapping!$A:$A,0)),"Uncategorized — Review"))</f>
        <v>Owner / Family Distributions</v>
      </c>
    </row>
    <row r="706" customFormat="false" ht="15" hidden="false" customHeight="false" outlineLevel="0" collapsed="false">
      <c r="A706" s="0" t="str">
        <f aca="false">Chase1168_2025!A706</f>
        <v>DEBIT</v>
      </c>
      <c r="B706" s="14" t="n">
        <f aca="false">Chase1168_2025!B706</f>
        <v>45887</v>
      </c>
      <c r="C706" s="0" t="str">
        <f aca="false">Chase1168_2025!C706</f>
        <v>ORIG CO NAME:VENMO                  ORIG ID:3264681992 DESC DATE:250818 CO ENTRY DESCR:PAYMENT   SEC:WEB    TRACE#:021000022903731 EED:250818   IND ID:1044254295034                IND NAME:JUDD DUNNING                                                                                                 250818PPZ4EY TRN: 2302903731TC</v>
      </c>
      <c r="D706" s="7" t="n">
        <f aca="false">Chase1168_2025!D706</f>
        <v>-150</v>
      </c>
      <c r="E706" s="0" t="str">
        <f aca="false">Chase1168_2025!E706</f>
        <v>ACH_DEBIT</v>
      </c>
      <c r="F706" s="7" t="n">
        <f aca="false">Chase1168_2025!F706</f>
        <v>37053.36</v>
      </c>
      <c r="G706" s="0" t="str">
        <f aca="false">Chase1168_2025!G706</f>
        <v>Venmo</v>
      </c>
      <c r="H706" s="15" t="n">
        <f aca="false">IF($B706="","",DATE(YEAR($B706),MONTH($B706),1))</f>
        <v>45870</v>
      </c>
      <c r="I706" s="0" t="str">
        <f aca="false">IF($G706="","Uncategorized — Review",IFERROR(INDEX(Mapping!$B:$B,MATCH($G706,Mapping!$A:$A,0)),"Uncategorized — Review"))</f>
        <v>Venmo</v>
      </c>
      <c r="J706" s="0" t="str">
        <f aca="false">IF($G706="","Uncategorized — Review",IFERROR(INDEX(Mapping!$C:$C,MATCH($G706,Mapping!$A:$A,0)),"Uncategorized — Review"))</f>
        <v>P2P Payments (Zelle/Venmo/PayPal)</v>
      </c>
    </row>
    <row r="707" customFormat="false" ht="15" hidden="false" customHeight="false" outlineLevel="0" collapsed="false">
      <c r="A707" s="0" t="str">
        <f aca="false">Chase1168_2025!A707</f>
        <v>DEBIT</v>
      </c>
      <c r="B707" s="14" t="n">
        <f aca="false">Chase1168_2025!B707</f>
        <v>45887</v>
      </c>
      <c r="C707" s="0" t="str">
        <f aca="false">Chase1168_2025!C707</f>
        <v>Basic Online Payroll Payment 11183441816 to ########4122</v>
      </c>
      <c r="D707" s="7" t="n">
        <f aca="false">Chase1168_2025!D707</f>
        <v>-1500</v>
      </c>
      <c r="E707" s="0" t="str">
        <f aca="false">Chase1168_2025!E707</f>
        <v>BASIC_PAYROLL</v>
      </c>
      <c r="F707" s="7" t="n">
        <f aca="false">Chase1168_2025!F707</f>
        <v>37203.36</v>
      </c>
      <c r="G707" s="0" t="str">
        <f aca="false">Chase1168_2025!G707</f>
        <v>Mike Paytonjian - Payroll</v>
      </c>
      <c r="H707" s="15" t="n">
        <f aca="false">IF($B707="","",DATE(YEAR($B707),MONTH($B707),1))</f>
        <v>45870</v>
      </c>
      <c r="I707" s="0" t="str">
        <f aca="false">IF($G707="","Uncategorized — Review",IFERROR(INDEX(Mapping!$B:$B,MATCH($G707,Mapping!$A:$A,0)),"Uncategorized — Review"))</f>
        <v>Mike Paytonjian - Payroll</v>
      </c>
      <c r="J707" s="0" t="str">
        <f aca="false">IF($G707="","Uncategorized — Review",IFERROR(INDEX(Mapping!$C:$C,MATCH($G707,Mapping!$A:$A,0)),"Uncategorized — Review"))</f>
        <v>Payroll &amp; Contractors</v>
      </c>
    </row>
    <row r="708" customFormat="false" ht="15" hidden="false" customHeight="false" outlineLevel="0" collapsed="false">
      <c r="A708" s="0" t="str">
        <f aca="false">Chase1168_2025!A708</f>
        <v>DEBIT</v>
      </c>
      <c r="B708" s="14" t="n">
        <f aca="false">Chase1168_2025!B708</f>
        <v>45887</v>
      </c>
      <c r="C708" s="0" t="str">
        <f aca="false">Chase1168_2025!C708</f>
        <v>ORIG CO NAME:VENMO                  ORIG ID:3264681992 DESC DATE:250817 CO ENTRY DESCR:PAYMENT   SEC:WEB    TRACE#:021000025940933 EED:250818   IND ID:1044252656754                IND NAME:JUDD DUNNING                                                                                                 250817PPZ3TE TRN: 2305940933TC</v>
      </c>
      <c r="D708" s="7" t="n">
        <f aca="false">Chase1168_2025!D708</f>
        <v>-1250</v>
      </c>
      <c r="E708" s="0" t="str">
        <f aca="false">Chase1168_2025!E708</f>
        <v>ACH_DEBIT</v>
      </c>
      <c r="F708" s="7" t="n">
        <f aca="false">Chase1168_2025!F708</f>
        <v>38703.36</v>
      </c>
      <c r="G708" s="0" t="str">
        <f aca="false">Chase1168_2025!G708</f>
        <v>Venmo</v>
      </c>
      <c r="H708" s="15" t="n">
        <f aca="false">IF($B708="","",DATE(YEAR($B708),MONTH($B708),1))</f>
        <v>45870</v>
      </c>
      <c r="I708" s="0" t="str">
        <f aca="false">IF($G708="","Uncategorized — Review",IFERROR(INDEX(Mapping!$B:$B,MATCH($G708,Mapping!$A:$A,0)),"Uncategorized — Review"))</f>
        <v>Venmo</v>
      </c>
      <c r="J708" s="0" t="str">
        <f aca="false">IF($G708="","Uncategorized — Review",IFERROR(INDEX(Mapping!$C:$C,MATCH($G708,Mapping!$A:$A,0)),"Uncategorized — Review"))</f>
        <v>P2P Payments (Zelle/Venmo/PayPal)</v>
      </c>
    </row>
    <row r="709" customFormat="false" ht="15" hidden="false" customHeight="false" outlineLevel="0" collapsed="false">
      <c r="A709" s="0" t="str">
        <f aca="false">Chase1168_2025!A709</f>
        <v>DEBIT</v>
      </c>
      <c r="B709" s="14" t="n">
        <f aca="false">Chase1168_2025!B709</f>
        <v>45887</v>
      </c>
      <c r="C709" s="0" t="str">
        <f aca="false">Chase1168_2025!C709</f>
        <v>PP*APPLE.COM/BILL 800-275-2273 CA            08/18</v>
      </c>
      <c r="D709" s="7" t="n">
        <f aca="false">Chase1168_2025!D709</f>
        <v>-9.99</v>
      </c>
      <c r="E709" s="0" t="str">
        <f aca="false">Chase1168_2025!E709</f>
        <v>DEBIT_CARD</v>
      </c>
      <c r="F709" s="7" t="n">
        <f aca="false">Chase1168_2025!F709</f>
        <v>39953.36</v>
      </c>
      <c r="G709" s="0" t="str">
        <f aca="false">Chase1168_2025!G709</f>
        <v>Personal - Subscriptions</v>
      </c>
      <c r="H709" s="15" t="n">
        <f aca="false">IF($B709="","",DATE(YEAR($B709),MONTH($B709),1))</f>
        <v>45870</v>
      </c>
      <c r="I709" s="0" t="str">
        <f aca="false">IF($G709="","Uncategorized — Review",IFERROR(INDEX(Mapping!$B:$B,MATCH($G709,Mapping!$A:$A,0)),"Uncategorized — Review"))</f>
        <v>Personal - Subscriptions</v>
      </c>
      <c r="J709" s="0" t="str">
        <f aca="false">IF($G709="","Uncategorized — Review",IFERROR(INDEX(Mapping!$C:$C,MATCH($G709,Mapping!$A:$A,0)),"Uncategorized — Review"))</f>
        <v>Personal — Owner</v>
      </c>
    </row>
    <row r="710" customFormat="false" ht="15" hidden="false" customHeight="false" outlineLevel="0" collapsed="false">
      <c r="A710" s="0" t="str">
        <f aca="false">Chase1168_2025!A710</f>
        <v>DEBIT</v>
      </c>
      <c r="B710" s="14" t="n">
        <f aca="false">Chase1168_2025!B710</f>
        <v>45887</v>
      </c>
      <c r="C710" s="0" t="str">
        <f aca="false">Chase1168_2025!C710</f>
        <v>PP*APPLE.COM/BILL 800-275-2273 CA            08/16</v>
      </c>
      <c r="D710" s="7" t="n">
        <f aca="false">Chase1168_2025!D710</f>
        <v>-11</v>
      </c>
      <c r="E710" s="0" t="str">
        <f aca="false">Chase1168_2025!E710</f>
        <v>DEBIT_CARD</v>
      </c>
      <c r="F710" s="7" t="n">
        <f aca="false">Chase1168_2025!F710</f>
        <v>39963.35</v>
      </c>
      <c r="G710" s="0" t="str">
        <f aca="false">Chase1168_2025!G710</f>
        <v>Personal - Subscriptions</v>
      </c>
      <c r="H710" s="15" t="n">
        <f aca="false">IF($B710="","",DATE(YEAR($B710),MONTH($B710),1))</f>
        <v>45870</v>
      </c>
      <c r="I710" s="0" t="str">
        <f aca="false">IF($G710="","Uncategorized — Review",IFERROR(INDEX(Mapping!$B:$B,MATCH($G710,Mapping!$A:$A,0)),"Uncategorized — Review"))</f>
        <v>Personal - Subscriptions</v>
      </c>
      <c r="J710" s="0" t="str">
        <f aca="false">IF($G710="","Uncategorized — Review",IFERROR(INDEX(Mapping!$C:$C,MATCH($G710,Mapping!$A:$A,0)),"Uncategorized — Review"))</f>
        <v>Personal — Owner</v>
      </c>
    </row>
    <row r="711" customFormat="false" ht="15" hidden="false" customHeight="false" outlineLevel="0" collapsed="false">
      <c r="A711" s="0" t="str">
        <f aca="false">Chase1168_2025!A711</f>
        <v>DEBIT</v>
      </c>
      <c r="B711" s="14" t="n">
        <f aca="false">Chase1168_2025!B711</f>
        <v>45887</v>
      </c>
      <c r="C711" s="0" t="str">
        <f aca="false">Chase1168_2025!C711</f>
        <v>ORIG CO NAME:LEASEDIRECT            ORIG ID:138190450  DESC DATE:250815 CO ENTRY DESCR:13669_1   SEC:CCD    TRACE#:043000094347272 EED:250818   IND ID:1556926                      IND NAME:DWG CAPITAL GROUP          INV# 591164777 DUE 08/15/25 REC# 10 10020087                                      13670 TRN: 2304347272TC</v>
      </c>
      <c r="D711" s="7" t="n">
        <f aca="false">Chase1168_2025!D711</f>
        <v>-104.01</v>
      </c>
      <c r="E711" s="0" t="str">
        <f aca="false">Chase1168_2025!E711</f>
        <v>ACH_DEBIT</v>
      </c>
      <c r="F711" s="7" t="n">
        <f aca="false">Chase1168_2025!F711</f>
        <v>39974.35</v>
      </c>
      <c r="G711" s="0" t="str">
        <f aca="false">Chase1168_2025!G711</f>
        <v>DWG Marketing</v>
      </c>
      <c r="H711" s="15" t="n">
        <f aca="false">IF($B711="","",DATE(YEAR($B711),MONTH($B711),1))</f>
        <v>45870</v>
      </c>
      <c r="I711" s="0" t="str">
        <f aca="false">IF($G711="","Uncategorized — Review",IFERROR(INDEX(Mapping!$B:$B,MATCH($G711,Mapping!$A:$A,0)),"Uncategorized — Review"))</f>
        <v>DWG Marketing</v>
      </c>
      <c r="J711" s="0" t="str">
        <f aca="false">IF($G711="","Uncategorized — Review",IFERROR(INDEX(Mapping!$C:$C,MATCH($G711,Mapping!$A:$A,0)),"Uncategorized — Review"))</f>
        <v>DWG Operating</v>
      </c>
    </row>
    <row r="712" customFormat="false" ht="15" hidden="false" customHeight="false" outlineLevel="0" collapsed="false">
      <c r="A712" s="0" t="str">
        <f aca="false">Chase1168_2025!A712</f>
        <v>DEBIT</v>
      </c>
      <c r="B712" s="14" t="n">
        <f aca="false">Chase1168_2025!B712</f>
        <v>45887</v>
      </c>
      <c r="C712" s="0" t="str">
        <f aca="false">Chase1168_2025!C712</f>
        <v>PP*APPLE.COM/BILL 800-275-2273 CA            08/16</v>
      </c>
      <c r="D712" s="7" t="n">
        <f aca="false">Chase1168_2025!D712</f>
        <v>-5.99</v>
      </c>
      <c r="E712" s="0" t="str">
        <f aca="false">Chase1168_2025!E712</f>
        <v>DEBIT_CARD</v>
      </c>
      <c r="F712" s="7" t="n">
        <f aca="false">Chase1168_2025!F712</f>
        <v>40078.36</v>
      </c>
      <c r="G712" s="0" t="str">
        <f aca="false">Chase1168_2025!G712</f>
        <v>Personal - Subscriptions</v>
      </c>
      <c r="H712" s="15" t="n">
        <f aca="false">IF($B712="","",DATE(YEAR($B712),MONTH($B712),1))</f>
        <v>45870</v>
      </c>
      <c r="I712" s="0" t="str">
        <f aca="false">IF($G712="","Uncategorized — Review",IFERROR(INDEX(Mapping!$B:$B,MATCH($G712,Mapping!$A:$A,0)),"Uncategorized — Review"))</f>
        <v>Personal - Subscriptions</v>
      </c>
      <c r="J712" s="0" t="str">
        <f aca="false">IF($G712="","Uncategorized — Review",IFERROR(INDEX(Mapping!$C:$C,MATCH($G712,Mapping!$A:$A,0)),"Uncategorized — Review"))</f>
        <v>Personal — Owner</v>
      </c>
    </row>
    <row r="713" customFormat="false" ht="15" hidden="false" customHeight="false" outlineLevel="0" collapsed="false">
      <c r="A713" s="0" t="str">
        <f aca="false">Chase1168_2025!A713</f>
        <v>DEBIT</v>
      </c>
      <c r="B713" s="14" t="n">
        <f aca="false">Chase1168_2025!B713</f>
        <v>45887</v>
      </c>
      <c r="C713" s="0" t="str">
        <f aca="false">Chase1168_2025!C713</f>
        <v>PAYPAL *LINKEDIN 402-935-7733 CA             08/17</v>
      </c>
      <c r="D713" s="7" t="n">
        <f aca="false">Chase1168_2025!D713</f>
        <v>-69.99</v>
      </c>
      <c r="E713" s="0" t="str">
        <f aca="false">Chase1168_2025!E713</f>
        <v>DEBIT_CARD</v>
      </c>
      <c r="F713" s="7" t="n">
        <f aca="false">Chase1168_2025!F713</f>
        <v>40084.35</v>
      </c>
      <c r="G713" s="0" t="str">
        <f aca="false">Chase1168_2025!G713</f>
        <v>DWG HR</v>
      </c>
      <c r="H713" s="15" t="n">
        <f aca="false">IF($B713="","",DATE(YEAR($B713),MONTH($B713),1))</f>
        <v>45870</v>
      </c>
      <c r="I713" s="0" t="str">
        <f aca="false">IF($G713="","Uncategorized — Review",IFERROR(INDEX(Mapping!$B:$B,MATCH($G713,Mapping!$A:$A,0)),"Uncategorized — Review"))</f>
        <v>DWG HR</v>
      </c>
      <c r="J713" s="0" t="str">
        <f aca="false">IF($G713="","Uncategorized — Review",IFERROR(INDEX(Mapping!$C:$C,MATCH($G713,Mapping!$A:$A,0)),"Uncategorized — Review"))</f>
        <v>Payroll &amp; Contractors</v>
      </c>
    </row>
    <row r="714" customFormat="false" ht="15" hidden="false" customHeight="false" outlineLevel="0" collapsed="false">
      <c r="A714" s="0" t="str">
        <f aca="false">Chase1168_2025!A714</f>
        <v>DEBIT</v>
      </c>
      <c r="B714" s="14" t="n">
        <f aca="false">Chase1168_2025!B714</f>
        <v>45887</v>
      </c>
      <c r="C714" s="0" t="str">
        <f aca="false">Chase1168_2025!C714</f>
        <v>PAYPAL *LINKEDIN 402-935-7733 CA             08/17</v>
      </c>
      <c r="D714" s="7" t="n">
        <f aca="false">Chase1168_2025!D714</f>
        <v>-89.99</v>
      </c>
      <c r="E714" s="0" t="str">
        <f aca="false">Chase1168_2025!E714</f>
        <v>DEBIT_CARD</v>
      </c>
      <c r="F714" s="7" t="n">
        <f aca="false">Chase1168_2025!F714</f>
        <v>40154.34</v>
      </c>
      <c r="G714" s="0" t="str">
        <f aca="false">Chase1168_2025!G714</f>
        <v>DWG HR</v>
      </c>
      <c r="H714" s="15" t="n">
        <f aca="false">IF($B714="","",DATE(YEAR($B714),MONTH($B714),1))</f>
        <v>45870</v>
      </c>
      <c r="I714" s="0" t="str">
        <f aca="false">IF($G714="","Uncategorized — Review",IFERROR(INDEX(Mapping!$B:$B,MATCH($G714,Mapping!$A:$A,0)),"Uncategorized — Review"))</f>
        <v>DWG HR</v>
      </c>
      <c r="J714" s="0" t="str">
        <f aca="false">IF($G714="","Uncategorized — Review",IFERROR(INDEX(Mapping!$C:$C,MATCH($G714,Mapping!$A:$A,0)),"Uncategorized — Review"))</f>
        <v>Payroll &amp; Contractors</v>
      </c>
    </row>
    <row r="715" customFormat="false" ht="15" hidden="false" customHeight="false" outlineLevel="0" collapsed="false">
      <c r="A715" s="0" t="str">
        <f aca="false">Chase1168_2025!A715</f>
        <v>DEBIT</v>
      </c>
      <c r="B715" s="14" t="n">
        <f aca="false">Chase1168_2025!B715</f>
        <v>45884</v>
      </c>
      <c r="C715" s="0" t="str">
        <f aca="false">Chase1168_2025!C715</f>
        <v>ORIG CO NAME:VENMO                  ORIG ID:3264681992 DESC DATE:250815 CO ENTRY DESCR:PAYMENT   SEC:WEB    TRACE#:021000023197179 EED:250815   IND ID:1044192435762                IND NAME:JUDD DUNNING                                                                                                 250815PPZTDJ TRN: 2273197179TC</v>
      </c>
      <c r="D715" s="7" t="n">
        <f aca="false">Chase1168_2025!D715</f>
        <v>-550</v>
      </c>
      <c r="E715" s="0" t="str">
        <f aca="false">Chase1168_2025!E715</f>
        <v>ACH_DEBIT</v>
      </c>
      <c r="F715" s="7" t="n">
        <f aca="false">Chase1168_2025!F715</f>
        <v>40244.33</v>
      </c>
      <c r="G715" s="0" t="str">
        <f aca="false">Chase1168_2025!G715</f>
        <v>Venmo</v>
      </c>
      <c r="H715" s="15" t="n">
        <f aca="false">IF($B715="","",DATE(YEAR($B715),MONTH($B715),1))</f>
        <v>45870</v>
      </c>
      <c r="I715" s="0" t="str">
        <f aca="false">IF($G715="","Uncategorized — Review",IFERROR(INDEX(Mapping!$B:$B,MATCH($G715,Mapping!$A:$A,0)),"Uncategorized — Review"))</f>
        <v>Venmo</v>
      </c>
      <c r="J715" s="0" t="str">
        <f aca="false">IF($G715="","Uncategorized — Review",IFERROR(INDEX(Mapping!$C:$C,MATCH($G715,Mapping!$A:$A,0)),"Uncategorized — Review"))</f>
        <v>P2P Payments (Zelle/Venmo/PayPal)</v>
      </c>
    </row>
    <row r="716" customFormat="false" ht="15" hidden="false" customHeight="false" outlineLevel="0" collapsed="false">
      <c r="A716" s="0" t="str">
        <f aca="false">Chase1168_2025!A716</f>
        <v>DEBIT</v>
      </c>
      <c r="B716" s="14" t="n">
        <f aca="false">Chase1168_2025!B716</f>
        <v>45884</v>
      </c>
      <c r="C716" s="0" t="str">
        <f aca="false">Chase1168_2025!C716</f>
        <v>RESTORE.COM RESTORE.COM TX                   08/15</v>
      </c>
      <c r="D716" s="7" t="n">
        <f aca="false">Chase1168_2025!D716</f>
        <v>-199</v>
      </c>
      <c r="E716" s="0" t="str">
        <f aca="false">Chase1168_2025!E716</f>
        <v>DEBIT_CARD</v>
      </c>
      <c r="F716" s="7" t="n">
        <f aca="false">Chase1168_2025!F716</f>
        <v>40794.33</v>
      </c>
      <c r="G716" s="0" t="str">
        <f aca="false">Chase1168_2025!G716</f>
        <v>Personal - Health</v>
      </c>
      <c r="H716" s="15" t="n">
        <f aca="false">IF($B716="","",DATE(YEAR($B716),MONTH($B716),1))</f>
        <v>45870</v>
      </c>
      <c r="I716" s="0" t="str">
        <f aca="false">IF($G716="","Uncategorized — Review",IFERROR(INDEX(Mapping!$B:$B,MATCH($G716,Mapping!$A:$A,0)),"Uncategorized — Review"))</f>
        <v>Personal - Health (incl. Ins.)</v>
      </c>
      <c r="J716" s="0" t="str">
        <f aca="false">IF($G716="","Uncategorized — Review",IFERROR(INDEX(Mapping!$C:$C,MATCH($G716,Mapping!$A:$A,0)),"Uncategorized — Review"))</f>
        <v>Personal — Owner</v>
      </c>
    </row>
    <row r="717" customFormat="false" ht="15" hidden="false" customHeight="false" outlineLevel="0" collapsed="false">
      <c r="A717" s="0" t="str">
        <f aca="false">Chase1168_2025!A717</f>
        <v>DEBIT</v>
      </c>
      <c r="B717" s="14" t="n">
        <f aca="false">Chase1168_2025!B717</f>
        <v>45884</v>
      </c>
      <c r="C717" s="0" t="str">
        <f aca="false">Chase1168_2025!C717</f>
        <v>PAYPAL *RUTHALCANCI 402-935-7733 CA          08/15</v>
      </c>
      <c r="D717" s="7" t="n">
        <f aca="false">Chase1168_2025!D717</f>
        <v>-60</v>
      </c>
      <c r="E717" s="0" t="str">
        <f aca="false">Chase1168_2025!E717</f>
        <v>DEBIT_CARD</v>
      </c>
      <c r="F717" s="7" t="n">
        <f aca="false">Chase1168_2025!F717</f>
        <v>40993.33</v>
      </c>
      <c r="G717" s="0" t="str">
        <f aca="false">Chase1168_2025!G717</f>
        <v>Ruth Alcancia - Forward Bridge Payment</v>
      </c>
      <c r="H717" s="15" t="n">
        <f aca="false">IF($B717="","",DATE(YEAR($B717),MONTH($B717),1))</f>
        <v>45870</v>
      </c>
      <c r="I717" s="0" t="str">
        <f aca="false">IF($G717="","Uncategorized — Review",IFERROR(INDEX(Mapping!$B:$B,MATCH($G717,Mapping!$A:$A,0)),"Uncategorized — Review"))</f>
        <v>Ruth Alcancia - Forward Bridge Payment</v>
      </c>
      <c r="J717" s="0" t="str">
        <f aca="false">IF($G717="","Uncategorized — Review",IFERROR(INDEX(Mapping!$C:$C,MATCH($G717,Mapping!$A:$A,0)),"Uncategorized — Review"))</f>
        <v>Payroll &amp; Contractors</v>
      </c>
    </row>
    <row r="718" customFormat="false" ht="15" hidden="false" customHeight="false" outlineLevel="0" collapsed="false">
      <c r="A718" s="0" t="str">
        <f aca="false">Chase1168_2025!A718</f>
        <v>DEBIT</v>
      </c>
      <c r="B718" s="14" t="n">
        <f aca="false">Chase1168_2025!B718</f>
        <v>45884</v>
      </c>
      <c r="C718" s="0" t="str">
        <f aca="false">Chase1168_2025!C718</f>
        <v>PP*GOOGLE GOOGLE ONE 855-836-3987 CA         08/15</v>
      </c>
      <c r="D718" s="7" t="n">
        <f aca="false">Chase1168_2025!D718</f>
        <v>-1.99</v>
      </c>
      <c r="E718" s="0" t="str">
        <f aca="false">Chase1168_2025!E718</f>
        <v>DEBIT_CARD</v>
      </c>
      <c r="F718" s="7" t="n">
        <f aca="false">Chase1168_2025!F718</f>
        <v>41053.33</v>
      </c>
      <c r="G718" s="0" t="str">
        <f aca="false">Chase1168_2025!G718</f>
        <v>Personal - Subscriptions</v>
      </c>
      <c r="H718" s="15" t="n">
        <f aca="false">IF($B718="","",DATE(YEAR($B718),MONTH($B718),1))</f>
        <v>45870</v>
      </c>
      <c r="I718" s="0" t="str">
        <f aca="false">IF($G718="","Uncategorized — Review",IFERROR(INDEX(Mapping!$B:$B,MATCH($G718,Mapping!$A:$A,0)),"Uncategorized — Review"))</f>
        <v>Personal - Subscriptions</v>
      </c>
      <c r="J718" s="0" t="str">
        <f aca="false">IF($G718="","Uncategorized — Review",IFERROR(INDEX(Mapping!$C:$C,MATCH($G718,Mapping!$A:$A,0)),"Uncategorized — Review"))</f>
        <v>Personal — Owner</v>
      </c>
    </row>
    <row r="719" customFormat="false" ht="15" hidden="false" customHeight="false" outlineLevel="0" collapsed="false">
      <c r="A719" s="0" t="str">
        <f aca="false">Chase1168_2025!A719</f>
        <v>DEBIT</v>
      </c>
      <c r="B719" s="14" t="n">
        <f aca="false">Chase1168_2025!B719</f>
        <v>45884</v>
      </c>
      <c r="C719" s="0" t="str">
        <f aca="false">Chase1168_2025!C719</f>
        <v>PP*APPLE.COM/BILL 800-275-2273 CA            08/14</v>
      </c>
      <c r="D719" s="7" t="n">
        <f aca="false">Chase1168_2025!D719</f>
        <v>-10.99</v>
      </c>
      <c r="E719" s="0" t="str">
        <f aca="false">Chase1168_2025!E719</f>
        <v>DEBIT_CARD</v>
      </c>
      <c r="F719" s="7" t="n">
        <f aca="false">Chase1168_2025!F719</f>
        <v>41055.32</v>
      </c>
      <c r="G719" s="0" t="str">
        <f aca="false">Chase1168_2025!G719</f>
        <v>Personal - Subscriptions</v>
      </c>
      <c r="H719" s="15" t="n">
        <f aca="false">IF($B719="","",DATE(YEAR($B719),MONTH($B719),1))</f>
        <v>45870</v>
      </c>
      <c r="I719" s="0" t="str">
        <f aca="false">IF($G719="","Uncategorized — Review",IFERROR(INDEX(Mapping!$B:$B,MATCH($G719,Mapping!$A:$A,0)),"Uncategorized — Review"))</f>
        <v>Personal - Subscriptions</v>
      </c>
      <c r="J719" s="0" t="str">
        <f aca="false">IF($G719="","Uncategorized — Review",IFERROR(INDEX(Mapping!$C:$C,MATCH($G719,Mapping!$A:$A,0)),"Uncategorized — Review"))</f>
        <v>Personal — Owner</v>
      </c>
    </row>
    <row r="720" customFormat="false" ht="15" hidden="false" customHeight="false" outlineLevel="0" collapsed="false">
      <c r="A720" s="0" t="str">
        <f aca="false">Chase1168_2025!A720</f>
        <v>DEBIT</v>
      </c>
      <c r="B720" s="14" t="n">
        <f aca="false">Chase1168_2025!B720</f>
        <v>45883</v>
      </c>
      <c r="C720" s="0" t="str">
        <f aca="false">Chase1168_2025!C720</f>
        <v>ONLINE FX INTERNATIONAL WIRE FEE</v>
      </c>
      <c r="D720" s="7" t="n">
        <f aca="false">Chase1168_2025!D720</f>
        <v>-5</v>
      </c>
      <c r="E720" s="0" t="str">
        <f aca="false">Chase1168_2025!E720</f>
        <v>FEE_TRANSACTION</v>
      </c>
      <c r="F720" s="7" t="n">
        <f aca="false">Chase1168_2025!F720</f>
        <v>41066.31</v>
      </c>
      <c r="G720" s="0" t="str">
        <f aca="false">Chase1168_2025!G720</f>
        <v>Andres Alarcon Payroll</v>
      </c>
      <c r="H720" s="15" t="n">
        <f aca="false">IF($B720="","",DATE(YEAR($B720),MONTH($B720),1))</f>
        <v>45870</v>
      </c>
      <c r="I720" s="0" t="str">
        <f aca="false">IF($G720="","Uncategorized — Review",IFERROR(INDEX(Mapping!$B:$B,MATCH($G720,Mapping!$A:$A,0)),"Uncategorized — Review"))</f>
        <v>Andres Alarcon Payroll</v>
      </c>
      <c r="J720" s="0" t="str">
        <f aca="false">IF($G720="","Uncategorized — Review",IFERROR(INDEX(Mapping!$C:$C,MATCH($G720,Mapping!$A:$A,0)),"Uncategorized — Review"))</f>
        <v>Payroll &amp; Contractors</v>
      </c>
    </row>
    <row r="721" customFormat="false" ht="15" hidden="false" customHeight="false" outlineLevel="0" collapsed="false">
      <c r="A721" s="0" t="str">
        <f aca="false">Chase1168_2025!A721</f>
        <v>DEBIT</v>
      </c>
      <c r="B721" s="14" t="n">
        <f aca="false">Chase1168_2025!B721</f>
        <v>45883</v>
      </c>
      <c r="C721" s="0" t="str">
        <f aca="false">Chase1168_2025!C721</f>
        <v>Online Transfer to CHK ...7753 transaction#: 25850197100 08/14</v>
      </c>
      <c r="D721" s="7" t="n">
        <f aca="false">Chase1168_2025!D721</f>
        <v>-1000</v>
      </c>
      <c r="E721" s="0" t="str">
        <f aca="false">Chase1168_2025!E721</f>
        <v>ACCT_XFER</v>
      </c>
      <c r="F721" s="7" t="n">
        <f aca="false">Chase1168_2025!F721</f>
        <v>41071.31</v>
      </c>
      <c r="G721" s="0" t="str">
        <f aca="false">Chase1168_2025!G721</f>
        <v>Transfer to DWG Capital Group_Costar</v>
      </c>
      <c r="H721" s="15" t="n">
        <f aca="false">IF($B721="","",DATE(YEAR($B721),MONTH($B721),1))</f>
        <v>45870</v>
      </c>
      <c r="I721" s="0" t="str">
        <f aca="false">IF($G721="","Uncategorized — Review",IFERROR(INDEX(Mapping!$B:$B,MATCH($G721,Mapping!$A:$A,0)),"Uncategorized — Review"))</f>
        <v>Transfer to DWG Capital Group_Costar</v>
      </c>
      <c r="J721" s="0" t="str">
        <f aca="false">IF($G721="","Uncategorized — Review",IFERROR(INDEX(Mapping!$C:$C,MATCH($G721,Mapping!$A:$A,0)),"Uncategorized — Review"))</f>
        <v>Intercompany &amp; Savings Transfers</v>
      </c>
    </row>
    <row r="722" customFormat="false" ht="15" hidden="false" customHeight="false" outlineLevel="0" collapsed="false">
      <c r="A722" s="0" t="str">
        <f aca="false">Chase1168_2025!A722</f>
        <v>DEBIT</v>
      </c>
      <c r="B722" s="14" t="n">
        <f aca="false">Chase1168_2025!B722</f>
        <v>45883</v>
      </c>
      <c r="C722" s="0" t="str">
        <f aca="false">Chase1168_2025!C722</f>
        <v>ONLINE INTERNATIONAL WIRE TRANSFER A/C: FOREIGN CUR BUS ACCT BK 1 COLUMBUS NEWARK DE 197132107 US ORG: 00000000283681168 DWG CAPITAL GROUP BEN:/00714849981 MARIA FERNANDA ALARCON PIEDRAHITA REF: TAXID1017222855/TEL573207819186/SAV/SALARY/PAYROLL PAYMENTS/OCMT/COP28 94657,03/EXCH/3859.5427/CNTR/290900 32/INT/ANDRES_52763ATHOTMAIL.C TRN: 5423300226RE 08/14</v>
      </c>
      <c r="D722" s="7" t="n">
        <f aca="false">Chase1168_2025!D722</f>
        <v>-750</v>
      </c>
      <c r="E722" s="0" t="str">
        <f aca="false">Chase1168_2025!E722</f>
        <v>WIRE_OUTGOING</v>
      </c>
      <c r="F722" s="7" t="n">
        <f aca="false">Chase1168_2025!F722</f>
        <v>42071.31</v>
      </c>
      <c r="G722" s="0" t="str">
        <f aca="false">Chase1168_2025!G722</f>
        <v>Andres Alarcon Payroll</v>
      </c>
      <c r="H722" s="15" t="n">
        <f aca="false">IF($B722="","",DATE(YEAR($B722),MONTH($B722),1))</f>
        <v>45870</v>
      </c>
      <c r="I722" s="0" t="str">
        <f aca="false">IF($G722="","Uncategorized — Review",IFERROR(INDEX(Mapping!$B:$B,MATCH($G722,Mapping!$A:$A,0)),"Uncategorized — Review"))</f>
        <v>Andres Alarcon Payroll</v>
      </c>
      <c r="J722" s="0" t="str">
        <f aca="false">IF($G722="","Uncategorized — Review",IFERROR(INDEX(Mapping!$C:$C,MATCH($G722,Mapping!$A:$A,0)),"Uncategorized — Review"))</f>
        <v>Payroll &amp; Contractors</v>
      </c>
    </row>
    <row r="723" customFormat="false" ht="15" hidden="false" customHeight="false" outlineLevel="0" collapsed="false">
      <c r="A723" s="0" t="str">
        <f aca="false">Chase1168_2025!A723</f>
        <v>DEBIT</v>
      </c>
      <c r="B723" s="14" t="n">
        <f aca="false">Chase1168_2025!B723</f>
        <v>45883</v>
      </c>
      <c r="C723" s="0" t="str">
        <f aca="false">Chase1168_2025!C723</f>
        <v>PP*APPLE.COM/BILL 800-275-2273 CA            08/14</v>
      </c>
      <c r="D723" s="7" t="n">
        <f aca="false">Chase1168_2025!D723</f>
        <v>-17.99</v>
      </c>
      <c r="E723" s="0" t="str">
        <f aca="false">Chase1168_2025!E723</f>
        <v>DEBIT_CARD</v>
      </c>
      <c r="F723" s="7" t="n">
        <f aca="false">Chase1168_2025!F723</f>
        <v>42821.31</v>
      </c>
      <c r="G723" s="0" t="str">
        <f aca="false">Chase1168_2025!G723</f>
        <v>Personal - Subscriptions</v>
      </c>
      <c r="H723" s="15" t="n">
        <f aca="false">IF($B723="","",DATE(YEAR($B723),MONTH($B723),1))</f>
        <v>45870</v>
      </c>
      <c r="I723" s="0" t="str">
        <f aca="false">IF($G723="","Uncategorized — Review",IFERROR(INDEX(Mapping!$B:$B,MATCH($G723,Mapping!$A:$A,0)),"Uncategorized — Review"))</f>
        <v>Personal - Subscriptions</v>
      </c>
      <c r="J723" s="0" t="str">
        <f aca="false">IF($G723="","Uncategorized — Review",IFERROR(INDEX(Mapping!$C:$C,MATCH($G723,Mapping!$A:$A,0)),"Uncategorized — Review"))</f>
        <v>Personal — Owner</v>
      </c>
    </row>
    <row r="724" customFormat="false" ht="15" hidden="false" customHeight="false" outlineLevel="0" collapsed="false">
      <c r="A724" s="0" t="str">
        <f aca="false">Chase1168_2025!A724</f>
        <v>DEBIT</v>
      </c>
      <c r="B724" s="14" t="n">
        <f aca="false">Chase1168_2025!B724</f>
        <v>45882</v>
      </c>
      <c r="C724" s="0" t="str">
        <f aca="false">Chase1168_2025!C724</f>
        <v>Zelle payment to Jeffrey Seider JPM99bjbqncu</v>
      </c>
      <c r="D724" s="7" t="n">
        <f aca="false">Chase1168_2025!D724</f>
        <v>-150</v>
      </c>
      <c r="E724" s="0" t="str">
        <f aca="false">Chase1168_2025!E724</f>
        <v>CHASE_TO_PARTNERFI</v>
      </c>
      <c r="F724" s="7" t="n">
        <f aca="false">Chase1168_2025!F724</f>
        <v>42839.3</v>
      </c>
      <c r="G724" s="0" t="str">
        <f aca="false">Chase1168_2025!G724</f>
        <v>Zelle - Jeff Seider</v>
      </c>
      <c r="H724" s="15" t="n">
        <f aca="false">IF($B724="","",DATE(YEAR($B724),MONTH($B724),1))</f>
        <v>45870</v>
      </c>
      <c r="I724" s="0" t="str">
        <f aca="false">IF($G724="","Uncategorized — Review",IFERROR(INDEX(Mapping!$B:$B,MATCH($G724,Mapping!$A:$A,0)),"Uncategorized — Review"))</f>
        <v>Zelle - Jeff Seider</v>
      </c>
      <c r="J724" s="0" t="str">
        <f aca="false">IF($G724="","Uncategorized — Review",IFERROR(INDEX(Mapping!$C:$C,MATCH($G724,Mapping!$A:$A,0)),"Uncategorized — Review"))</f>
        <v>P2P Payments (Zelle/Venmo/PayPal)</v>
      </c>
    </row>
    <row r="725" customFormat="false" ht="15" hidden="false" customHeight="false" outlineLevel="0" collapsed="false">
      <c r="A725" s="0" t="str">
        <f aca="false">Chase1168_2025!A725</f>
        <v>DEBIT</v>
      </c>
      <c r="B725" s="14" t="n">
        <f aca="false">Chase1168_2025!B725</f>
        <v>45882</v>
      </c>
      <c r="C725" s="0" t="str">
        <f aca="false">Chase1168_2025!C725</f>
        <v>Online Transfer to CHK ...0709 transaction#: 25839662641 08/13</v>
      </c>
      <c r="D725" s="7" t="n">
        <f aca="false">Chase1168_2025!D725</f>
        <v>-2000</v>
      </c>
      <c r="E725" s="0" t="str">
        <f aca="false">Chase1168_2025!E725</f>
        <v>ACCT_XFER</v>
      </c>
      <c r="F725" s="7" t="n">
        <f aca="false">Chase1168_2025!F725</f>
        <v>42989.3</v>
      </c>
      <c r="G725" s="0" t="str">
        <f aca="false">Chase1168_2025!G725</f>
        <v>Transfer to DWG Capital Group_Savings</v>
      </c>
      <c r="H725" s="15" t="n">
        <f aca="false">IF($B725="","",DATE(YEAR($B725),MONTH($B725),1))</f>
        <v>45870</v>
      </c>
      <c r="I725" s="0" t="str">
        <f aca="false">IF($G725="","Uncategorized — Review",IFERROR(INDEX(Mapping!$B:$B,MATCH($G725,Mapping!$A:$A,0)),"Uncategorized — Review"))</f>
        <v>Transfer to DWG Savings</v>
      </c>
      <c r="J725" s="0" t="str">
        <f aca="false">IF($G725="","Uncategorized — Review",IFERROR(INDEX(Mapping!$C:$C,MATCH($G725,Mapping!$A:$A,0)),"Uncategorized — Review"))</f>
        <v>Intercompany &amp; Savings Transfers</v>
      </c>
    </row>
    <row r="726" customFormat="false" ht="15" hidden="false" customHeight="false" outlineLevel="0" collapsed="false">
      <c r="A726" s="0" t="str">
        <f aca="false">Chase1168_2025!A726</f>
        <v>DEBIT</v>
      </c>
      <c r="B726" s="14" t="n">
        <f aca="false">Chase1168_2025!B726</f>
        <v>45882</v>
      </c>
      <c r="C726" s="0" t="str">
        <f aca="false">Chase1168_2025!C726</f>
        <v>Online Payment 25829728130 To MERCEDES BENZ FINANCIAL SVCS 08/13</v>
      </c>
      <c r="D726" s="7" t="n">
        <f aca="false">Chase1168_2025!D726</f>
        <v>-1399.78</v>
      </c>
      <c r="E726" s="0" t="str">
        <f aca="false">Chase1168_2025!E726</f>
        <v>BILLPAY</v>
      </c>
      <c r="F726" s="7" t="n">
        <f aca="false">Chase1168_2025!F726</f>
        <v>44989.3</v>
      </c>
      <c r="G726" s="0" t="str">
        <f aca="false">Chase1168_2025!G726</f>
        <v>Personal - Car (Mercedes)</v>
      </c>
      <c r="H726" s="15" t="n">
        <f aca="false">IF($B726="","",DATE(YEAR($B726),MONTH($B726),1))</f>
        <v>45870</v>
      </c>
      <c r="I726" s="0" t="str">
        <f aca="false">IF($G726="","Uncategorized — Review",IFERROR(INDEX(Mapping!$B:$B,MATCH($G726,Mapping!$A:$A,0)),"Uncategorized — Review"))</f>
        <v>Personal - Car &amp; Auto</v>
      </c>
      <c r="J726" s="0" t="str">
        <f aca="false">IF($G726="","Uncategorized — Review",IFERROR(INDEX(Mapping!$C:$C,MATCH($G726,Mapping!$A:$A,0)),"Uncategorized — Review"))</f>
        <v>Personal — Owner</v>
      </c>
    </row>
    <row r="727" customFormat="false" ht="15" hidden="false" customHeight="false" outlineLevel="0" collapsed="false">
      <c r="A727" s="0" t="str">
        <f aca="false">Chase1168_2025!A727</f>
        <v>DEBIT</v>
      </c>
      <c r="B727" s="14" t="n">
        <f aca="false">Chase1168_2025!B727</f>
        <v>45882</v>
      </c>
      <c r="C727" s="0" t="str">
        <f aca="false">Chase1168_2025!C727</f>
        <v>Online Payment 25829709212 To MERCEDES BENZ FINANCIAL 08/13</v>
      </c>
      <c r="D727" s="7" t="n">
        <f aca="false">Chase1168_2025!D727</f>
        <v>-412</v>
      </c>
      <c r="E727" s="0" t="str">
        <f aca="false">Chase1168_2025!E727</f>
        <v>BILLPAY</v>
      </c>
      <c r="F727" s="7" t="n">
        <f aca="false">Chase1168_2025!F727</f>
        <v>46389.08</v>
      </c>
      <c r="G727" s="0" t="str">
        <f aca="false">Chase1168_2025!G727</f>
        <v>Personal - Car (Mercedes)</v>
      </c>
      <c r="H727" s="15" t="n">
        <f aca="false">IF($B727="","",DATE(YEAR($B727),MONTH($B727),1))</f>
        <v>45870</v>
      </c>
      <c r="I727" s="0" t="str">
        <f aca="false">IF($G727="","Uncategorized — Review",IFERROR(INDEX(Mapping!$B:$B,MATCH($G727,Mapping!$A:$A,0)),"Uncategorized — Review"))</f>
        <v>Personal - Car &amp; Auto</v>
      </c>
      <c r="J727" s="0" t="str">
        <f aca="false">IF($G727="","Uncategorized — Review",IFERROR(INDEX(Mapping!$C:$C,MATCH($G727,Mapping!$A:$A,0)),"Uncategorized — Review"))</f>
        <v>Personal — Owner</v>
      </c>
    </row>
    <row r="728" customFormat="false" ht="15" hidden="false" customHeight="false" outlineLevel="0" collapsed="false">
      <c r="A728" s="0" t="str">
        <f aca="false">Chase1168_2025!A728</f>
        <v>DEBIT</v>
      </c>
      <c r="B728" s="14" t="n">
        <f aca="false">Chase1168_2025!B728</f>
        <v>45882</v>
      </c>
      <c r="C728" s="0" t="str">
        <f aca="false">Chase1168_2025!C728</f>
        <v>PAYPAL *HULU 877-801-5441 CA                 08/12</v>
      </c>
      <c r="D728" s="7" t="n">
        <f aca="false">Chase1168_2025!D728</f>
        <v>-18.99</v>
      </c>
      <c r="E728" s="0" t="str">
        <f aca="false">Chase1168_2025!E728</f>
        <v>DEBIT_CARD</v>
      </c>
      <c r="F728" s="7" t="n">
        <f aca="false">Chase1168_2025!F728</f>
        <v>46801.08</v>
      </c>
      <c r="G728" s="0" t="str">
        <f aca="false">Chase1168_2025!G728</f>
        <v>Personal - Subscriptions</v>
      </c>
      <c r="H728" s="15" t="n">
        <f aca="false">IF($B728="","",DATE(YEAR($B728),MONTH($B728),1))</f>
        <v>45870</v>
      </c>
      <c r="I728" s="0" t="str">
        <f aca="false">IF($G728="","Uncategorized — Review",IFERROR(INDEX(Mapping!$B:$B,MATCH($G728,Mapping!$A:$A,0)),"Uncategorized — Review"))</f>
        <v>Personal - Subscriptions</v>
      </c>
      <c r="J728" s="0" t="str">
        <f aca="false">IF($G728="","Uncategorized — Review",IFERROR(INDEX(Mapping!$C:$C,MATCH($G728,Mapping!$A:$A,0)),"Uncategorized — Review"))</f>
        <v>Personal — Owner</v>
      </c>
    </row>
    <row r="729" customFormat="false" ht="15" hidden="false" customHeight="false" outlineLevel="0" collapsed="false">
      <c r="A729" s="0" t="str">
        <f aca="false">Chase1168_2025!A729</f>
        <v>DEBIT</v>
      </c>
      <c r="B729" s="14" t="n">
        <f aca="false">Chase1168_2025!B729</f>
        <v>45881</v>
      </c>
      <c r="C729" s="0" t="str">
        <f aca="false">Chase1168_2025!C729</f>
        <v>ORIG CO NAME:VENMO                  ORIG ID:3264681992 DESC DATE:250812 CO ENTRY DESCR:PAYMENT   SEC:WEB    TRACE#:021000021979236 EED:250812   IND ID:1044135578600                IND NAME:JUDD DUNNING                                                                                                 250812PPZ4DI TRN: 2241979236TC</v>
      </c>
      <c r="D729" s="7" t="n">
        <f aca="false">Chase1168_2025!D729</f>
        <v>-1250</v>
      </c>
      <c r="E729" s="0" t="str">
        <f aca="false">Chase1168_2025!E729</f>
        <v>ACH_DEBIT</v>
      </c>
      <c r="F729" s="7" t="n">
        <f aca="false">Chase1168_2025!F729</f>
        <v>46820.07</v>
      </c>
      <c r="G729" s="0" t="str">
        <f aca="false">Chase1168_2025!G729</f>
        <v>Venmo</v>
      </c>
      <c r="H729" s="15" t="n">
        <f aca="false">IF($B729="","",DATE(YEAR($B729),MONTH($B729),1))</f>
        <v>45870</v>
      </c>
      <c r="I729" s="0" t="str">
        <f aca="false">IF($G729="","Uncategorized — Review",IFERROR(INDEX(Mapping!$B:$B,MATCH($G729,Mapping!$A:$A,0)),"Uncategorized — Review"))</f>
        <v>Venmo</v>
      </c>
      <c r="J729" s="0" t="str">
        <f aca="false">IF($G729="","Uncategorized — Review",IFERROR(INDEX(Mapping!$C:$C,MATCH($G729,Mapping!$A:$A,0)),"Uncategorized — Review"))</f>
        <v>P2P Payments (Zelle/Venmo/PayPal)</v>
      </c>
    </row>
    <row r="730" customFormat="false" ht="15" hidden="false" customHeight="false" outlineLevel="0" collapsed="false">
      <c r="A730" s="0" t="str">
        <f aca="false">Chase1168_2025!A730</f>
        <v>DEBIT</v>
      </c>
      <c r="B730" s="14" t="n">
        <f aca="false">Chase1168_2025!B730</f>
        <v>45881</v>
      </c>
      <c r="C730" s="0" t="str">
        <f aca="false">Chase1168_2025!C730</f>
        <v>Online Transfer to CHK ...1117 transaction#: 25826286791 08/12</v>
      </c>
      <c r="D730" s="7" t="n">
        <f aca="false">Chase1168_2025!D730</f>
        <v>-5000</v>
      </c>
      <c r="E730" s="0" t="str">
        <f aca="false">Chase1168_2025!E730</f>
        <v>ACCT_XFER</v>
      </c>
      <c r="F730" s="7" t="n">
        <f aca="false">Chase1168_2025!F730</f>
        <v>48070.07</v>
      </c>
      <c r="G730" s="0" t="str">
        <f aca="false">Chase1168_2025!G730</f>
        <v>Transfer to Angela Dunning</v>
      </c>
      <c r="H730" s="15" t="n">
        <f aca="false">IF($B730="","",DATE(YEAR($B730),MONTH($B730),1))</f>
        <v>45870</v>
      </c>
      <c r="I730" s="0" t="str">
        <f aca="false">IF($G730="","Uncategorized — Review",IFERROR(INDEX(Mapping!$B:$B,MATCH($G730,Mapping!$A:$A,0)),"Uncategorized — Review"))</f>
        <v>Transfer to Angela Dunning</v>
      </c>
      <c r="J730" s="0" t="str">
        <f aca="false">IF($G730="","Uncategorized — Review",IFERROR(INDEX(Mapping!$C:$C,MATCH($G730,Mapping!$A:$A,0)),"Uncategorized — Review"))</f>
        <v>Owner / Family Distributions</v>
      </c>
    </row>
    <row r="731" customFormat="false" ht="15" hidden="false" customHeight="false" outlineLevel="0" collapsed="false">
      <c r="A731" s="0" t="str">
        <f aca="false">Chase1168_2025!A731</f>
        <v>DEBIT</v>
      </c>
      <c r="B731" s="14" t="n">
        <f aca="false">Chase1168_2025!B731</f>
        <v>45881</v>
      </c>
      <c r="C731" s="0" t="str">
        <f aca="false">Chase1168_2025!C731</f>
        <v>Zelle payment to Jeffrey Seider JPM99bj5yrzo</v>
      </c>
      <c r="D731" s="7" t="n">
        <f aca="false">Chase1168_2025!D731</f>
        <v>-300</v>
      </c>
      <c r="E731" s="0" t="str">
        <f aca="false">Chase1168_2025!E731</f>
        <v>CHASE_TO_PARTNERFI</v>
      </c>
      <c r="F731" s="7" t="n">
        <f aca="false">Chase1168_2025!F731</f>
        <v>53070.07</v>
      </c>
      <c r="G731" s="0" t="str">
        <f aca="false">Chase1168_2025!G731</f>
        <v>Zelle - Jeff Seider</v>
      </c>
      <c r="H731" s="15" t="n">
        <f aca="false">IF($B731="","",DATE(YEAR($B731),MONTH($B731),1))</f>
        <v>45870</v>
      </c>
      <c r="I731" s="0" t="str">
        <f aca="false">IF($G731="","Uncategorized — Review",IFERROR(INDEX(Mapping!$B:$B,MATCH($G731,Mapping!$A:$A,0)),"Uncategorized — Review"))</f>
        <v>Zelle - Jeff Seider</v>
      </c>
      <c r="J731" s="0" t="str">
        <f aca="false">IF($G731="","Uncategorized — Review",IFERROR(INDEX(Mapping!$C:$C,MATCH($G731,Mapping!$A:$A,0)),"Uncategorized — Review"))</f>
        <v>P2P Payments (Zelle/Venmo/PayPal)</v>
      </c>
    </row>
    <row r="732" customFormat="false" ht="15" hidden="false" customHeight="false" outlineLevel="0" collapsed="false">
      <c r="A732" s="0" t="str">
        <f aca="false">Chase1168_2025!A732</f>
        <v>DEBIT</v>
      </c>
      <c r="B732" s="14" t="n">
        <f aca="false">Chase1168_2025!B732</f>
        <v>45881</v>
      </c>
      <c r="C732" s="0" t="str">
        <f aca="false">Chase1168_2025!C732</f>
        <v>ORIG CO NAME:ALLSTATE V&amp;P INS       ORIG ID:1360719665 DESC DATE:AUG 25 CO ENTRY DESCR:INS PREM  SEC:PPD    TRACE#:021000025772325 EED:250812   IND ID:                             IND NAME:DUNNING TRN: 2245772325TC</v>
      </c>
      <c r="D732" s="7" t="n">
        <f aca="false">Chase1168_2025!D732</f>
        <v>-1533.71</v>
      </c>
      <c r="E732" s="0" t="str">
        <f aca="false">Chase1168_2025!E732</f>
        <v>ACH_DEBIT</v>
      </c>
      <c r="F732" s="7" t="n">
        <f aca="false">Chase1168_2025!F732</f>
        <v>53370.07</v>
      </c>
      <c r="G732" s="0" t="str">
        <f aca="false">Chase1168_2025!G732</f>
        <v>Personal - Car</v>
      </c>
      <c r="H732" s="15" t="n">
        <f aca="false">IF($B732="","",DATE(YEAR($B732),MONTH($B732),1))</f>
        <v>45870</v>
      </c>
      <c r="I732" s="0" t="str">
        <f aca="false">IF($G732="","Uncategorized — Review",IFERROR(INDEX(Mapping!$B:$B,MATCH($G732,Mapping!$A:$A,0)),"Uncategorized — Review"))</f>
        <v>Personal - Car &amp; Auto</v>
      </c>
      <c r="J732" s="0" t="str">
        <f aca="false">IF($G732="","Uncategorized — Review",IFERROR(INDEX(Mapping!$C:$C,MATCH($G732,Mapping!$A:$A,0)),"Uncategorized — Review"))</f>
        <v>Personal — Owner</v>
      </c>
    </row>
    <row r="733" customFormat="false" ht="15" hidden="false" customHeight="false" outlineLevel="0" collapsed="false">
      <c r="A733" s="0" t="str">
        <f aca="false">Chase1168_2025!A733</f>
        <v>DEBIT</v>
      </c>
      <c r="B733" s="14" t="n">
        <f aca="false">Chase1168_2025!B733</f>
        <v>45881</v>
      </c>
      <c r="C733" s="0" t="str">
        <f aca="false">Chase1168_2025!C733</f>
        <v>PP*SPOTIFY*P3974F8BB4 203-318-9708 NY        08/12</v>
      </c>
      <c r="D733" s="7" t="n">
        <f aca="false">Chase1168_2025!D733</f>
        <v>-11.99</v>
      </c>
      <c r="E733" s="0" t="str">
        <f aca="false">Chase1168_2025!E733</f>
        <v>DEBIT_CARD</v>
      </c>
      <c r="F733" s="7" t="n">
        <f aca="false">Chase1168_2025!F733</f>
        <v>54903.78</v>
      </c>
      <c r="G733" s="0" t="str">
        <f aca="false">Chase1168_2025!G733</f>
        <v>Personal - Subscriptions</v>
      </c>
      <c r="H733" s="15" t="n">
        <f aca="false">IF($B733="","",DATE(YEAR($B733),MONTH($B733),1))</f>
        <v>45870</v>
      </c>
      <c r="I733" s="0" t="str">
        <f aca="false">IF($G733="","Uncategorized — Review",IFERROR(INDEX(Mapping!$B:$B,MATCH($G733,Mapping!$A:$A,0)),"Uncategorized — Review"))</f>
        <v>Personal - Subscriptions</v>
      </c>
      <c r="J733" s="0" t="str">
        <f aca="false">IF($G733="","Uncategorized — Review",IFERROR(INDEX(Mapping!$C:$C,MATCH($G733,Mapping!$A:$A,0)),"Uncategorized — Review"))</f>
        <v>Personal — Owner</v>
      </c>
    </row>
    <row r="734" customFormat="false" ht="15" hidden="false" customHeight="false" outlineLevel="0" collapsed="false">
      <c r="A734" s="0" t="str">
        <f aca="false">Chase1168_2025!A734</f>
        <v>DEBIT</v>
      </c>
      <c r="B734" s="14" t="n">
        <f aca="false">Chase1168_2025!B734</f>
        <v>45881</v>
      </c>
      <c r="C734" s="0" t="str">
        <f aca="false">Chase1168_2025!C734</f>
        <v>SQ *ESTEBAN'S PLACE BE Miami Beach FL        08/11</v>
      </c>
      <c r="D734" s="7" t="n">
        <f aca="false">Chase1168_2025!D734</f>
        <v>-6.54</v>
      </c>
      <c r="E734" s="0" t="str">
        <f aca="false">Chase1168_2025!E734</f>
        <v>DEBIT_CARD</v>
      </c>
      <c r="F734" s="7" t="n">
        <f aca="false">Chase1168_2025!F734</f>
        <v>54915.77</v>
      </c>
      <c r="G734" s="0" t="str">
        <f aca="false">Chase1168_2025!G734</f>
        <v>Miami Investor Event</v>
      </c>
      <c r="H734" s="15" t="n">
        <f aca="false">IF($B734="","",DATE(YEAR($B734),MONTH($B734),1))</f>
        <v>45870</v>
      </c>
      <c r="I734" s="0" t="str">
        <f aca="false">IF($G734="","Uncategorized — Review",IFERROR(INDEX(Mapping!$B:$B,MATCH($G734,Mapping!$A:$A,0)),"Uncategorized — Review"))</f>
        <v>Miami Investor Event</v>
      </c>
      <c r="J734" s="0" t="str">
        <f aca="false">IF($G734="","Uncategorized — Review",IFERROR(INDEX(Mapping!$C:$C,MATCH($G734,Mapping!$A:$A,0)),"Uncategorized — Review"))</f>
        <v>Business Travel</v>
      </c>
    </row>
    <row r="735" customFormat="false" ht="15" hidden="false" customHeight="false" outlineLevel="0" collapsed="false">
      <c r="A735" s="0" t="str">
        <f aca="false">Chase1168_2025!A735</f>
        <v>DEBIT</v>
      </c>
      <c r="B735" s="14" t="n">
        <f aca="false">Chase1168_2025!B735</f>
        <v>45881</v>
      </c>
      <c r="C735" s="0" t="str">
        <f aca="false">Chase1168_2025!C735</f>
        <v>UPWORK * -835767648 866-262-4478 CA          08/11</v>
      </c>
      <c r="D735" s="7" t="n">
        <f aca="false">Chase1168_2025!D735</f>
        <v>-236.25</v>
      </c>
      <c r="E735" s="0" t="str">
        <f aca="false">Chase1168_2025!E735</f>
        <v>DEBIT_CARD</v>
      </c>
      <c r="F735" s="7" t="n">
        <f aca="false">Chase1168_2025!F735</f>
        <v>54922.31</v>
      </c>
      <c r="G735" s="0" t="str">
        <f aca="false">Chase1168_2025!G735</f>
        <v>Upwork - Sergei M.</v>
      </c>
      <c r="H735" s="15" t="n">
        <f aca="false">IF($B735="","",DATE(YEAR($B735),MONTH($B735),1))</f>
        <v>45870</v>
      </c>
      <c r="I735" s="0" t="str">
        <f aca="false">IF($G735="","Uncategorized — Review",IFERROR(INDEX(Mapping!$B:$B,MATCH($G735,Mapping!$A:$A,0)),"Uncategorized — Review"))</f>
        <v>Upwork - Sergei M.</v>
      </c>
      <c r="J735" s="0" t="str">
        <f aca="false">IF($G735="","Uncategorized — Review",IFERROR(INDEX(Mapping!$C:$C,MATCH($G735,Mapping!$A:$A,0)),"Uncategorized — Review"))</f>
        <v>Payroll &amp; Contractors</v>
      </c>
    </row>
    <row r="736" customFormat="false" ht="15" hidden="false" customHeight="false" outlineLevel="0" collapsed="false">
      <c r="A736" s="0" t="str">
        <f aca="false">Chase1168_2025!A736</f>
        <v>DEBIT</v>
      </c>
      <c r="B736" s="14" t="n">
        <f aca="false">Chase1168_2025!B736</f>
        <v>45880</v>
      </c>
      <c r="C736" s="0" t="str">
        <f aca="false">Chase1168_2025!C736</f>
        <v>Basic Online Payroll Payment 11182585116 to ########4122</v>
      </c>
      <c r="D736" s="7" t="n">
        <f aca="false">Chase1168_2025!D736</f>
        <v>-1500</v>
      </c>
      <c r="E736" s="0" t="str">
        <f aca="false">Chase1168_2025!E736</f>
        <v>BASIC_PAYROLL</v>
      </c>
      <c r="F736" s="7" t="n">
        <f aca="false">Chase1168_2025!F736</f>
        <v>55158.56</v>
      </c>
      <c r="G736" s="0" t="str">
        <f aca="false">Chase1168_2025!G736</f>
        <v>Mike Paytonjian - Payroll</v>
      </c>
      <c r="H736" s="15" t="n">
        <f aca="false">IF($B736="","",DATE(YEAR($B736),MONTH($B736),1))</f>
        <v>45870</v>
      </c>
      <c r="I736" s="0" t="str">
        <f aca="false">IF($G736="","Uncategorized — Review",IFERROR(INDEX(Mapping!$B:$B,MATCH($G736,Mapping!$A:$A,0)),"Uncategorized — Review"))</f>
        <v>Mike Paytonjian - Payroll</v>
      </c>
      <c r="J736" s="0" t="str">
        <f aca="false">IF($G736="","Uncategorized — Review",IFERROR(INDEX(Mapping!$C:$C,MATCH($G736,Mapping!$A:$A,0)),"Uncategorized — Review"))</f>
        <v>Payroll &amp; Contractors</v>
      </c>
    </row>
    <row r="737" customFormat="false" ht="15" hidden="false" customHeight="false" outlineLevel="0" collapsed="false">
      <c r="A737" s="0" t="str">
        <f aca="false">Chase1168_2025!A737</f>
        <v>DEBIT</v>
      </c>
      <c r="B737" s="14" t="n">
        <f aca="false">Chase1168_2025!B737</f>
        <v>45880</v>
      </c>
      <c r="C737" s="0" t="str">
        <f aca="false">Chase1168_2025!C737</f>
        <v>HLU*HULUPLUS hulu.com/bill CA                08/11</v>
      </c>
      <c r="D737" s="7" t="n">
        <f aca="false">Chase1168_2025!D737</f>
        <v>-53.97</v>
      </c>
      <c r="E737" s="0" t="str">
        <f aca="false">Chase1168_2025!E737</f>
        <v>DEBIT_CARD</v>
      </c>
      <c r="F737" s="7" t="n">
        <f aca="false">Chase1168_2025!F737</f>
        <v>56658.56</v>
      </c>
      <c r="G737" s="0" t="str">
        <f aca="false">Chase1168_2025!G737</f>
        <v>Personal - Subscriptions</v>
      </c>
      <c r="H737" s="15" t="n">
        <f aca="false">IF($B737="","",DATE(YEAR($B737),MONTH($B737),1))</f>
        <v>45870</v>
      </c>
      <c r="I737" s="0" t="str">
        <f aca="false">IF($G737="","Uncategorized — Review",IFERROR(INDEX(Mapping!$B:$B,MATCH($G737,Mapping!$A:$A,0)),"Uncategorized — Review"))</f>
        <v>Personal - Subscriptions</v>
      </c>
      <c r="J737" s="0" t="str">
        <f aca="false">IF($G737="","Uncategorized — Review",IFERROR(INDEX(Mapping!$C:$C,MATCH($G737,Mapping!$A:$A,0)),"Uncategorized — Review"))</f>
        <v>Personal — Owner</v>
      </c>
    </row>
    <row r="738" customFormat="false" ht="15" hidden="false" customHeight="false" outlineLevel="0" collapsed="false">
      <c r="A738" s="0" t="str">
        <f aca="false">Chase1168_2025!A738</f>
        <v>DEBIT</v>
      </c>
      <c r="B738" s="14" t="n">
        <f aca="false">Chase1168_2025!B738</f>
        <v>45880</v>
      </c>
      <c r="C738" s="0" t="str">
        <f aca="false">Chase1168_2025!C738</f>
        <v>ORIG CO NAME:GM Financial           ORIG ID:I522190781 DESC DATE:250811 CO ENTRY DESCR:GMF Pymt  SEC:PPD    TRACE#:091000019180298 EED:250811   IND ID:                             IND NAME:ANGELA DUNNING TRN: 2239180298TC</v>
      </c>
      <c r="D738" s="7" t="n">
        <f aca="false">Chase1168_2025!D738</f>
        <v>-1249.96</v>
      </c>
      <c r="E738" s="0" t="str">
        <f aca="false">Chase1168_2025!E738</f>
        <v>ACH_DEBIT</v>
      </c>
      <c r="F738" s="7" t="n">
        <f aca="false">Chase1168_2025!F738</f>
        <v>56712.53</v>
      </c>
      <c r="G738" s="0" t="str">
        <f aca="false">Chase1168_2025!G738</f>
        <v>Personal - Car</v>
      </c>
      <c r="H738" s="15" t="n">
        <f aca="false">IF($B738="","",DATE(YEAR($B738),MONTH($B738),1))</f>
        <v>45870</v>
      </c>
      <c r="I738" s="0" t="str">
        <f aca="false">IF($G738="","Uncategorized — Review",IFERROR(INDEX(Mapping!$B:$B,MATCH($G738,Mapping!$A:$A,0)),"Uncategorized — Review"))</f>
        <v>Personal - Car &amp; Auto</v>
      </c>
      <c r="J738" s="0" t="str">
        <f aca="false">IF($G738="","Uncategorized — Review",IFERROR(INDEX(Mapping!$C:$C,MATCH($G738,Mapping!$A:$A,0)),"Uncategorized — Review"))</f>
        <v>Personal — Owner</v>
      </c>
    </row>
    <row r="739" customFormat="false" ht="15" hidden="false" customHeight="false" outlineLevel="0" collapsed="false">
      <c r="A739" s="0" t="str">
        <f aca="false">Chase1168_2025!A739</f>
        <v>DEBIT</v>
      </c>
      <c r="B739" s="14" t="n">
        <f aca="false">Chase1168_2025!B739</f>
        <v>45880</v>
      </c>
      <c r="C739" s="0" t="str">
        <f aca="false">Chase1168_2025!C739</f>
        <v>PP*APPLE.COM/BILL 800-275-2273 CA            08/10</v>
      </c>
      <c r="D739" s="7" t="n">
        <f aca="false">Chase1168_2025!D739</f>
        <v>-8.99</v>
      </c>
      <c r="E739" s="0" t="str">
        <f aca="false">Chase1168_2025!E739</f>
        <v>DEBIT_CARD</v>
      </c>
      <c r="F739" s="7" t="n">
        <f aca="false">Chase1168_2025!F739</f>
        <v>57962.49</v>
      </c>
      <c r="G739" s="0" t="str">
        <f aca="false">Chase1168_2025!G739</f>
        <v>Personal - Subscriptions</v>
      </c>
      <c r="H739" s="15" t="n">
        <f aca="false">IF($B739="","",DATE(YEAR($B739),MONTH($B739),1))</f>
        <v>45870</v>
      </c>
      <c r="I739" s="0" t="str">
        <f aca="false">IF($G739="","Uncategorized — Review",IFERROR(INDEX(Mapping!$B:$B,MATCH($G739,Mapping!$A:$A,0)),"Uncategorized — Review"))</f>
        <v>Personal - Subscriptions</v>
      </c>
      <c r="J739" s="0" t="str">
        <f aca="false">IF($G739="","Uncategorized — Review",IFERROR(INDEX(Mapping!$C:$C,MATCH($G739,Mapping!$A:$A,0)),"Uncategorized — Review"))</f>
        <v>Personal — Owner</v>
      </c>
    </row>
    <row r="740" customFormat="false" ht="15" hidden="false" customHeight="false" outlineLevel="0" collapsed="false">
      <c r="A740" s="0" t="str">
        <f aca="false">Chase1168_2025!A740</f>
        <v>DEBIT</v>
      </c>
      <c r="B740" s="14" t="n">
        <f aca="false">Chase1168_2025!B740</f>
        <v>45880</v>
      </c>
      <c r="C740" s="0" t="str">
        <f aca="false">Chase1168_2025!C740</f>
        <v>PP*APPLE.COM/BILL 800-275-2273 CA            08/10</v>
      </c>
      <c r="D740" s="7" t="n">
        <f aca="false">Chase1168_2025!D740</f>
        <v>-11.99</v>
      </c>
      <c r="E740" s="0" t="str">
        <f aca="false">Chase1168_2025!E740</f>
        <v>DEBIT_CARD</v>
      </c>
      <c r="F740" s="7" t="n">
        <f aca="false">Chase1168_2025!F740</f>
        <v>57971.48</v>
      </c>
      <c r="G740" s="0" t="str">
        <f aca="false">Chase1168_2025!G740</f>
        <v>Personal - Subscriptions</v>
      </c>
      <c r="H740" s="15" t="n">
        <f aca="false">IF($B740="","",DATE(YEAR($B740),MONTH($B740),1))</f>
        <v>45870</v>
      </c>
      <c r="I740" s="0" t="str">
        <f aca="false">IF($G740="","Uncategorized — Review",IFERROR(INDEX(Mapping!$B:$B,MATCH($G740,Mapping!$A:$A,0)),"Uncategorized — Review"))</f>
        <v>Personal - Subscriptions</v>
      </c>
      <c r="J740" s="0" t="str">
        <f aca="false">IF($G740="","Uncategorized — Review",IFERROR(INDEX(Mapping!$C:$C,MATCH($G740,Mapping!$A:$A,0)),"Uncategorized — Review"))</f>
        <v>Personal — Owner</v>
      </c>
    </row>
    <row r="741" customFormat="false" ht="15" hidden="false" customHeight="false" outlineLevel="0" collapsed="false">
      <c r="A741" s="0" t="str">
        <f aca="false">Chase1168_2025!A741</f>
        <v>DEBIT</v>
      </c>
      <c r="B741" s="14" t="n">
        <f aca="false">Chase1168_2025!B741</f>
        <v>45877</v>
      </c>
      <c r="C741" s="0" t="str">
        <f aca="false">Chase1168_2025!C741</f>
        <v>Zelle payment to Jeff Fajardo JPM99bin2146</v>
      </c>
      <c r="D741" s="7" t="n">
        <f aca="false">Chase1168_2025!D741</f>
        <v>-1000</v>
      </c>
      <c r="E741" s="0" t="str">
        <f aca="false">Chase1168_2025!E741</f>
        <v>CHASE_TO_PARTNERFI</v>
      </c>
      <c r="F741" s="7" t="n">
        <f aca="false">Chase1168_2025!F741</f>
        <v>57983.47</v>
      </c>
      <c r="G741" s="0" t="str">
        <f aca="false">Chase1168_2025!G741</f>
        <v>Zelle - Jeff Fajardo</v>
      </c>
      <c r="H741" s="15" t="n">
        <f aca="false">IF($B741="","",DATE(YEAR($B741),MONTH($B741),1))</f>
        <v>45870</v>
      </c>
      <c r="I741" s="0" t="str">
        <f aca="false">IF($G741="","Uncategorized — Review",IFERROR(INDEX(Mapping!$B:$B,MATCH($G741,Mapping!$A:$A,0)),"Uncategorized — Review"))</f>
        <v>Zelle - Jeff Fajardo</v>
      </c>
      <c r="J741" s="0" t="str">
        <f aca="false">IF($G741="","Uncategorized — Review",IFERROR(INDEX(Mapping!$C:$C,MATCH($G741,Mapping!$A:$A,0)),"Uncategorized — Review"))</f>
        <v>P2P Payments (Zelle/Venmo/PayPal)</v>
      </c>
    </row>
    <row r="742" customFormat="false" ht="15" hidden="false" customHeight="false" outlineLevel="0" collapsed="false">
      <c r="A742" s="0" t="str">
        <f aca="false">Chase1168_2025!A742</f>
        <v>DEBIT</v>
      </c>
      <c r="B742" s="14" t="n">
        <f aca="false">Chase1168_2025!B742</f>
        <v>45877</v>
      </c>
      <c r="C742" s="0" t="str">
        <f aca="false">Chase1168_2025!C742</f>
        <v>PP*APPLE.COM/BILL 800-275-2273 CA            08/08</v>
      </c>
      <c r="D742" s="7" t="n">
        <f aca="false">Chase1168_2025!D742</f>
        <v>-5</v>
      </c>
      <c r="E742" s="0" t="str">
        <f aca="false">Chase1168_2025!E742</f>
        <v>DEBIT_CARD</v>
      </c>
      <c r="F742" s="7" t="n">
        <f aca="false">Chase1168_2025!F742</f>
        <v>58983.47</v>
      </c>
      <c r="G742" s="0" t="str">
        <f aca="false">Chase1168_2025!G742</f>
        <v>Personal - Subscriptions</v>
      </c>
      <c r="H742" s="15" t="n">
        <f aca="false">IF($B742="","",DATE(YEAR($B742),MONTH($B742),1))</f>
        <v>45870</v>
      </c>
      <c r="I742" s="0" t="str">
        <f aca="false">IF($G742="","Uncategorized — Review",IFERROR(INDEX(Mapping!$B:$B,MATCH($G742,Mapping!$A:$A,0)),"Uncategorized — Review"))</f>
        <v>Personal - Subscriptions</v>
      </c>
      <c r="J742" s="0" t="str">
        <f aca="false">IF($G742="","Uncategorized — Review",IFERROR(INDEX(Mapping!$C:$C,MATCH($G742,Mapping!$A:$A,0)),"Uncategorized — Review"))</f>
        <v>Personal — Owner</v>
      </c>
    </row>
    <row r="743" customFormat="false" ht="15" hidden="false" customHeight="false" outlineLevel="0" collapsed="false">
      <c r="A743" s="0" t="str">
        <f aca="false">Chase1168_2025!A743</f>
        <v>DEBIT</v>
      </c>
      <c r="B743" s="14" t="n">
        <f aca="false">Chase1168_2025!B743</f>
        <v>45876</v>
      </c>
      <c r="C743" s="0" t="str">
        <f aca="false">Chase1168_2025!C743</f>
        <v>LOOPNET 888-414-1318 DC                      08/06</v>
      </c>
      <c r="D743" s="7" t="n">
        <f aca="false">Chase1168_2025!D743</f>
        <v>-1487.44</v>
      </c>
      <c r="E743" s="0" t="str">
        <f aca="false">Chase1168_2025!E743</f>
        <v>DEBIT_CARD</v>
      </c>
      <c r="F743" s="7" t="n">
        <f aca="false">Chase1168_2025!F743</f>
        <v>58988.47</v>
      </c>
      <c r="G743" s="0" t="str">
        <f aca="false">Chase1168_2025!G743</f>
        <v>DWG Listing Platform</v>
      </c>
      <c r="H743" s="15" t="n">
        <f aca="false">IF($B743="","",DATE(YEAR($B743),MONTH($B743),1))</f>
        <v>45870</v>
      </c>
      <c r="I743" s="0" t="str">
        <f aca="false">IF($G743="","Uncategorized — Review",IFERROR(INDEX(Mapping!$B:$B,MATCH($G743,Mapping!$A:$A,0)),"Uncategorized — Review"))</f>
        <v>DWG Listing Platform</v>
      </c>
      <c r="J743" s="0" t="str">
        <f aca="false">IF($G743="","Uncategorized — Review",IFERROR(INDEX(Mapping!$C:$C,MATCH($G743,Mapping!$A:$A,0)),"Uncategorized — Review"))</f>
        <v>DWG Operating</v>
      </c>
    </row>
    <row r="744" customFormat="false" ht="15" hidden="false" customHeight="false" outlineLevel="0" collapsed="false">
      <c r="A744" s="0" t="str">
        <f aca="false">Chase1168_2025!A744</f>
        <v>DEBIT</v>
      </c>
      <c r="B744" s="14" t="n">
        <f aca="false">Chase1168_2025!B744</f>
        <v>45876</v>
      </c>
      <c r="C744" s="0" t="str">
        <f aca="false">Chase1168_2025!C744</f>
        <v>PAYPAL *RUTHALCANCI 402-935-7733 CA          08/06</v>
      </c>
      <c r="D744" s="7" t="n">
        <f aca="false">Chase1168_2025!D744</f>
        <v>-240</v>
      </c>
      <c r="E744" s="0" t="str">
        <f aca="false">Chase1168_2025!E744</f>
        <v>DEBIT_CARD</v>
      </c>
      <c r="F744" s="7" t="n">
        <f aca="false">Chase1168_2025!F744</f>
        <v>60475.91</v>
      </c>
      <c r="G744" s="0" t="str">
        <f aca="false">Chase1168_2025!G744</f>
        <v>Ruth Alcancia - Forward Bridge Payment</v>
      </c>
      <c r="H744" s="15" t="n">
        <f aca="false">IF($B744="","",DATE(YEAR($B744),MONTH($B744),1))</f>
        <v>45870</v>
      </c>
      <c r="I744" s="0" t="str">
        <f aca="false">IF($G744="","Uncategorized — Review",IFERROR(INDEX(Mapping!$B:$B,MATCH($G744,Mapping!$A:$A,0)),"Uncategorized — Review"))</f>
        <v>Ruth Alcancia - Forward Bridge Payment</v>
      </c>
      <c r="J744" s="0" t="str">
        <f aca="false">IF($G744="","Uncategorized — Review",IFERROR(INDEX(Mapping!$C:$C,MATCH($G744,Mapping!$A:$A,0)),"Uncategorized — Review"))</f>
        <v>Payroll &amp; Contractors</v>
      </c>
    </row>
    <row r="745" customFormat="false" ht="15" hidden="false" customHeight="false" outlineLevel="0" collapsed="false">
      <c r="A745" s="0" t="str">
        <f aca="false">Chase1168_2025!A745</f>
        <v>DEBIT</v>
      </c>
      <c r="B745" s="14" t="n">
        <f aca="false">Chase1168_2025!B745</f>
        <v>45875</v>
      </c>
      <c r="C745" s="0" t="str">
        <f aca="false">Chase1168_2025!C745</f>
        <v>SQ *ALANA'S COFFEE ROA Los Angeles CA        08/05</v>
      </c>
      <c r="D745" s="7" t="n">
        <f aca="false">Chase1168_2025!D745</f>
        <v>-12.75</v>
      </c>
      <c r="E745" s="0" t="str">
        <f aca="false">Chase1168_2025!E745</f>
        <v>DEBIT_CARD</v>
      </c>
      <c r="F745" s="7" t="n">
        <f aca="false">Chase1168_2025!F745</f>
        <v>60715.91</v>
      </c>
      <c r="G745" s="0" t="str">
        <f aca="false">Chase1168_2025!G745</f>
        <v>Personal - Food</v>
      </c>
      <c r="H745" s="15" t="n">
        <f aca="false">IF($B745="","",DATE(YEAR($B745),MONTH($B745),1))</f>
        <v>45870</v>
      </c>
      <c r="I745" s="0" t="str">
        <f aca="false">IF($G745="","Uncategorized — Review",IFERROR(INDEX(Mapping!$B:$B,MATCH($G745,Mapping!$A:$A,0)),"Uncategorized — Review"))</f>
        <v>Personal - Food &amp; Dining</v>
      </c>
      <c r="J745" s="0" t="str">
        <f aca="false">IF($G745="","Uncategorized — Review",IFERROR(INDEX(Mapping!$C:$C,MATCH($G745,Mapping!$A:$A,0)),"Uncategorized — Review"))</f>
        <v>Personal — Owner</v>
      </c>
    </row>
    <row r="746" customFormat="false" ht="15" hidden="false" customHeight="false" outlineLevel="0" collapsed="false">
      <c r="A746" s="0" t="str">
        <f aca="false">Chase1168_2025!A746</f>
        <v>DEBIT</v>
      </c>
      <c r="B746" s="14" t="n">
        <f aca="false">Chase1168_2025!B746</f>
        <v>45875</v>
      </c>
      <c r="C746" s="0" t="str">
        <f aca="false">Chase1168_2025!C746</f>
        <v>PAYPAL *EPOCH TIMES T 833-699-1888 NY        08/05</v>
      </c>
      <c r="D746" s="7" t="n">
        <f aca="false">Chase1168_2025!D746</f>
        <v>-16</v>
      </c>
      <c r="E746" s="0" t="str">
        <f aca="false">Chase1168_2025!E746</f>
        <v>DEBIT_CARD</v>
      </c>
      <c r="F746" s="7" t="n">
        <f aca="false">Chase1168_2025!F746</f>
        <v>60728.66</v>
      </c>
      <c r="G746" s="0" t="str">
        <f aca="false">Chase1168_2025!G746</f>
        <v>Personal - Subscriptions</v>
      </c>
      <c r="H746" s="15" t="n">
        <f aca="false">IF($B746="","",DATE(YEAR($B746),MONTH($B746),1))</f>
        <v>45870</v>
      </c>
      <c r="I746" s="0" t="str">
        <f aca="false">IF($G746="","Uncategorized — Review",IFERROR(INDEX(Mapping!$B:$B,MATCH($G746,Mapping!$A:$A,0)),"Uncategorized — Review"))</f>
        <v>Personal - Subscriptions</v>
      </c>
      <c r="J746" s="0" t="str">
        <f aca="false">IF($G746="","Uncategorized — Review",IFERROR(INDEX(Mapping!$C:$C,MATCH($G746,Mapping!$A:$A,0)),"Uncategorized — Review"))</f>
        <v>Personal — Owner</v>
      </c>
    </row>
    <row r="747" customFormat="false" ht="15" hidden="false" customHeight="false" outlineLevel="0" collapsed="false">
      <c r="A747" s="0" t="str">
        <f aca="false">Chase1168_2025!A747</f>
        <v>DEBIT</v>
      </c>
      <c r="B747" s="14" t="n">
        <f aca="false">Chase1168_2025!B747</f>
        <v>45875</v>
      </c>
      <c r="C747" s="0" t="str">
        <f aca="false">Chase1168_2025!C747</f>
        <v>PP*APPLE.COM/BILL 800-275-2273 CA            08/05</v>
      </c>
      <c r="D747" s="7" t="n">
        <f aca="false">Chase1168_2025!D747</f>
        <v>-29.99</v>
      </c>
      <c r="E747" s="0" t="str">
        <f aca="false">Chase1168_2025!E747</f>
        <v>DEBIT_CARD</v>
      </c>
      <c r="F747" s="7" t="n">
        <f aca="false">Chase1168_2025!F747</f>
        <v>60744.66</v>
      </c>
      <c r="G747" s="0" t="str">
        <f aca="false">Chase1168_2025!G747</f>
        <v>Personal - Subscriptions</v>
      </c>
      <c r="H747" s="15" t="n">
        <f aca="false">IF($B747="","",DATE(YEAR($B747),MONTH($B747),1))</f>
        <v>45870</v>
      </c>
      <c r="I747" s="0" t="str">
        <f aca="false">IF($G747="","Uncategorized — Review",IFERROR(INDEX(Mapping!$B:$B,MATCH($G747,Mapping!$A:$A,0)),"Uncategorized — Review"))</f>
        <v>Personal - Subscriptions</v>
      </c>
      <c r="J747" s="0" t="str">
        <f aca="false">IF($G747="","Uncategorized — Review",IFERROR(INDEX(Mapping!$C:$C,MATCH($G747,Mapping!$A:$A,0)),"Uncategorized — Review"))</f>
        <v>Personal — Owner</v>
      </c>
    </row>
    <row r="748" customFormat="false" ht="15" hidden="false" customHeight="false" outlineLevel="0" collapsed="false">
      <c r="A748" s="0" t="str">
        <f aca="false">Chase1168_2025!A748</f>
        <v>DEBIT</v>
      </c>
      <c r="B748" s="14" t="n">
        <f aca="false">Chase1168_2025!B748</f>
        <v>45874</v>
      </c>
      <c r="C748" s="0" t="str">
        <f aca="false">Chase1168_2025!C748</f>
        <v>ONLINE DOMESTIC WIRE FEE</v>
      </c>
      <c r="D748" s="7" t="n">
        <f aca="false">Chase1168_2025!D748</f>
        <v>-25</v>
      </c>
      <c r="E748" s="0" t="str">
        <f aca="false">Chase1168_2025!E748</f>
        <v>FEE_TRANSACTION</v>
      </c>
      <c r="F748" s="7" t="n">
        <f aca="false">Chase1168_2025!F748</f>
        <v>60774.65</v>
      </c>
      <c r="G748" s="0" t="str">
        <f aca="false">Chase1168_2025!G748</f>
        <v>Wire Fee</v>
      </c>
      <c r="H748" s="15" t="n">
        <f aca="false">IF($B748="","",DATE(YEAR($B748),MONTH($B748),1))</f>
        <v>45870</v>
      </c>
      <c r="I748" s="0" t="str">
        <f aca="false">IF($G748="","Uncategorized — Review",IFERROR(INDEX(Mapping!$B:$B,MATCH($G748,Mapping!$A:$A,0)),"Uncategorized — Review"))</f>
        <v>Wire Fee</v>
      </c>
      <c r="J748" s="0" t="str">
        <f aca="false">IF($G748="","Uncategorized — Review",IFERROR(INDEX(Mapping!$C:$C,MATCH($G748,Mapping!$A:$A,0)),"Uncategorized — Review"))</f>
        <v>DWG Operating</v>
      </c>
    </row>
    <row r="749" customFormat="false" ht="15" hidden="false" customHeight="false" outlineLevel="0" collapsed="false">
      <c r="A749" s="0" t="str">
        <f aca="false">Chase1168_2025!A749</f>
        <v>DEBIT</v>
      </c>
      <c r="B749" s="14" t="n">
        <f aca="false">Chase1168_2025!B749</f>
        <v>45874</v>
      </c>
      <c r="C749" s="0" t="str">
        <f aca="false">Chase1168_2025!C749</f>
        <v>ORIG CO NAME:VENMO                  ORIG ID:3264681992 DESC DATE:250805 CO ENTRY DESCR:PAYMENT   SEC:WEB    TRACE#:021000023379012 EED:250805   IND ID:1043988520353                IND NAME:JUDD DUNNING                                                                                                 250805PPZRIU TRN: 2173379012TC</v>
      </c>
      <c r="D749" s="7" t="n">
        <f aca="false">Chase1168_2025!D749</f>
        <v>-250</v>
      </c>
      <c r="E749" s="0" t="str">
        <f aca="false">Chase1168_2025!E749</f>
        <v>ACH_DEBIT</v>
      </c>
      <c r="F749" s="7" t="n">
        <f aca="false">Chase1168_2025!F749</f>
        <v>60824.65</v>
      </c>
      <c r="G749" s="0" t="str">
        <f aca="false">Chase1168_2025!G749</f>
        <v>Venmo</v>
      </c>
      <c r="H749" s="15" t="n">
        <f aca="false">IF($B749="","",DATE(YEAR($B749),MONTH($B749),1))</f>
        <v>45870</v>
      </c>
      <c r="I749" s="0" t="str">
        <f aca="false">IF($G749="","Uncategorized — Review",IFERROR(INDEX(Mapping!$B:$B,MATCH($G749,Mapping!$A:$A,0)),"Uncategorized — Review"))</f>
        <v>Venmo</v>
      </c>
      <c r="J749" s="0" t="str">
        <f aca="false">IF($G749="","Uncategorized — Review",IFERROR(INDEX(Mapping!$C:$C,MATCH($G749,Mapping!$A:$A,0)),"Uncategorized — Review"))</f>
        <v>P2P Payments (Zelle/Venmo/PayPal)</v>
      </c>
    </row>
    <row r="750" customFormat="false" ht="15" hidden="false" customHeight="false" outlineLevel="0" collapsed="false">
      <c r="A750" s="0" t="str">
        <f aca="false">Chase1168_2025!A750</f>
        <v>DEBIT</v>
      </c>
      <c r="B750" s="14" t="n">
        <f aca="false">Chase1168_2025!B750</f>
        <v>45874</v>
      </c>
      <c r="C750" s="0" t="str">
        <f aca="false">Chase1168_2025!C750</f>
        <v>ONLINE DOMESTIC WIRE TRANSFER A/C: MITCHELL ASSET GROUP INC DALLAS TX 75219-3216 US TRN: 3575805217ES 08/05</v>
      </c>
      <c r="D750" s="7" t="n">
        <f aca="false">Chase1168_2025!D750</f>
        <v>-59500</v>
      </c>
      <c r="E750" s="0" t="str">
        <f aca="false">Chase1168_2025!E750</f>
        <v>WIRE_OUTGOING</v>
      </c>
      <c r="F750" s="7" t="n">
        <f aca="false">Chase1168_2025!F750</f>
        <v>61074.65</v>
      </c>
      <c r="G750" s="0" t="str">
        <f aca="false">Chase1168_2025!G750</f>
        <v>Due to Dax – MAG Pass-Through 70%</v>
      </c>
      <c r="H750" s="15" t="n">
        <f aca="false">IF($B750="","",DATE(YEAR($B750),MONTH($B750),1))</f>
        <v>45870</v>
      </c>
      <c r="I750" s="0" t="str">
        <f aca="false">IF($G750="","Uncategorized — Review",IFERROR(INDEX(Mapping!$B:$B,MATCH($G750,Mapping!$A:$A,0)),"Uncategorized — Review"))</f>
        <v>Due to Dax – MAG Pass-Through 70%</v>
      </c>
      <c r="J750" s="0" t="str">
        <f aca="false">IF($G750="","Uncategorized — Review",IFERROR(INDEX(Mapping!$C:$C,MATCH($G750,Mapping!$A:$A,0)),"Uncategorized — Review"))</f>
        <v>MAG Pass-Through</v>
      </c>
    </row>
    <row r="751" customFormat="false" ht="15" hidden="false" customHeight="false" outlineLevel="0" collapsed="false">
      <c r="A751" s="0" t="str">
        <f aca="false">Chase1168_2025!A751</f>
        <v>DEBIT</v>
      </c>
      <c r="B751" s="14" t="n">
        <f aca="false">Chase1168_2025!B751</f>
        <v>45874</v>
      </c>
      <c r="C751" s="0" t="str">
        <f aca="false">Chase1168_2025!C751</f>
        <v>ORIG CO NAME:AMERICAN EXPRESS       ORIG ID:2005032111 DESC DATE:250805 CO ENTRY DESCR:ACH PMT   SEC:CCD    TRACE#:021000025139200 EED:250805   IND ID:W3954                        IND NAME:John Dunning                                                                                                 ER AM TRN: 2175139200TC</v>
      </c>
      <c r="D751" s="7" t="n">
        <f aca="false">Chase1168_2025!D751</f>
        <v>-299.14</v>
      </c>
      <c r="E751" s="0" t="str">
        <f aca="false">Chase1168_2025!E751</f>
        <v>ACH_DEBIT</v>
      </c>
      <c r="F751" s="7" t="n">
        <f aca="false">Chase1168_2025!F751</f>
        <v>120574.65</v>
      </c>
      <c r="G751" s="0" t="str">
        <f aca="false">Chase1168_2025!G751</f>
        <v>American Express Credit Card PMT</v>
      </c>
      <c r="H751" s="15" t="n">
        <f aca="false">IF($B751="","",DATE(YEAR($B751),MONTH($B751),1))</f>
        <v>45870</v>
      </c>
      <c r="I751" s="0" t="str">
        <f aca="false">IF($G751="","Uncategorized — Review",IFERROR(INDEX(Mapping!$B:$B,MATCH($G751,Mapping!$A:$A,0)),"Uncategorized — Review"))</f>
        <v>American Express Credit Card PMT</v>
      </c>
      <c r="J751" s="0" t="str">
        <f aca="false">IF($G751="","Uncategorized — Review",IFERROR(INDEX(Mapping!$C:$C,MATCH($G751,Mapping!$A:$A,0)),"Uncategorized — Review"))</f>
        <v>Credit Card &amp; Loan Payments</v>
      </c>
    </row>
    <row r="752" customFormat="false" ht="15" hidden="false" customHeight="false" outlineLevel="0" collapsed="false">
      <c r="A752" s="0" t="str">
        <f aca="false">Chase1168_2025!A752</f>
        <v>DEBIT</v>
      </c>
      <c r="B752" s="14" t="n">
        <f aca="false">Chase1168_2025!B752</f>
        <v>45874</v>
      </c>
      <c r="C752" s="0" t="str">
        <f aca="false">Chase1168_2025!C752</f>
        <v>ONLINE DOMESTIC WIRE TRANSFER A/C: GI CAPITAL GROUP RICHMOND CA 94804-5637 US TRN: 3011315217ES 08/05</v>
      </c>
      <c r="D752" s="7" t="n">
        <f aca="false">Chase1168_2025!D752</f>
        <v>-25500</v>
      </c>
      <c r="E752" s="0" t="str">
        <f aca="false">Chase1168_2025!E752</f>
        <v>WIRE_OUTGOING</v>
      </c>
      <c r="F752" s="7" t="n">
        <f aca="false">Chase1168_2025!F752</f>
        <v>120873.79</v>
      </c>
      <c r="G752" s="0" t="str">
        <f aca="false">Chase1168_2025!G752</f>
        <v>Due to Andrew – MAG Pass-Through 30%</v>
      </c>
      <c r="H752" s="15" t="n">
        <f aca="false">IF($B752="","",DATE(YEAR($B752),MONTH($B752),1))</f>
        <v>45870</v>
      </c>
      <c r="I752" s="0" t="str">
        <f aca="false">IF($G752="","Uncategorized — Review",IFERROR(INDEX(Mapping!$B:$B,MATCH($G752,Mapping!$A:$A,0)),"Uncategorized — Review"))</f>
        <v>Due to Andrew – MAG Pass-Through 30%</v>
      </c>
      <c r="J752" s="0" t="str">
        <f aca="false">IF($G752="","Uncategorized — Review",IFERROR(INDEX(Mapping!$C:$C,MATCH($G752,Mapping!$A:$A,0)),"Uncategorized — Review"))</f>
        <v>MAG Pass-Through</v>
      </c>
    </row>
    <row r="753" customFormat="false" ht="15" hidden="false" customHeight="false" outlineLevel="0" collapsed="false">
      <c r="A753" s="0" t="str">
        <f aca="false">Chase1168_2025!A753</f>
        <v>DEBIT</v>
      </c>
      <c r="B753" s="14" t="n">
        <f aca="false">Chase1168_2025!B753</f>
        <v>45874</v>
      </c>
      <c r="C753" s="0" t="str">
        <f aca="false">Chase1168_2025!C753</f>
        <v>SQ *AWAN Venice CA                           08/04</v>
      </c>
      <c r="D753" s="7" t="n">
        <f aca="false">Chase1168_2025!D753</f>
        <v>-11</v>
      </c>
      <c r="E753" s="0" t="str">
        <f aca="false">Chase1168_2025!E753</f>
        <v>DEBIT_CARD</v>
      </c>
      <c r="F753" s="7" t="n">
        <f aca="false">Chase1168_2025!F753</f>
        <v>146373.79</v>
      </c>
      <c r="G753" s="0" t="str">
        <f aca="false">Chase1168_2025!G753</f>
        <v>Meals/Dining</v>
      </c>
      <c r="H753" s="15" t="n">
        <f aca="false">IF($B753="","",DATE(YEAR($B753),MONTH($B753),1))</f>
        <v>45870</v>
      </c>
      <c r="I753" s="0" t="str">
        <f aca="false">IF($G753="","Uncategorized — Review",IFERROR(INDEX(Mapping!$B:$B,MATCH($G753,Mapping!$A:$A,0)),"Uncategorized — Review"))</f>
        <v>Personal - Food &amp; Dining</v>
      </c>
      <c r="J753" s="0" t="str">
        <f aca="false">IF($G753="","Uncategorized — Review",IFERROR(INDEX(Mapping!$C:$C,MATCH($G753,Mapping!$A:$A,0)),"Uncategorized — Review"))</f>
        <v>Personal — Owner</v>
      </c>
    </row>
    <row r="754" customFormat="false" ht="15" hidden="false" customHeight="false" outlineLevel="0" collapsed="false">
      <c r="A754" s="0" t="str">
        <f aca="false">Chase1168_2025!A754</f>
        <v>DEBIT</v>
      </c>
      <c r="B754" s="14" t="n">
        <f aca="false">Chase1168_2025!B754</f>
        <v>45874</v>
      </c>
      <c r="C754" s="0" t="str">
        <f aca="false">Chase1168_2025!C754</f>
        <v>TST*CHULITA Venice CA                        08/04</v>
      </c>
      <c r="D754" s="7" t="n">
        <f aca="false">Chase1168_2025!D754</f>
        <v>-139.64</v>
      </c>
      <c r="E754" s="0" t="str">
        <f aca="false">Chase1168_2025!E754</f>
        <v>DEBIT_CARD</v>
      </c>
      <c r="F754" s="7" t="n">
        <f aca="false">Chase1168_2025!F754</f>
        <v>146384.79</v>
      </c>
      <c r="G754" s="0" t="str">
        <f aca="false">Chase1168_2025!G754</f>
        <v>Meals/Dining</v>
      </c>
      <c r="H754" s="15" t="n">
        <f aca="false">IF($B754="","",DATE(YEAR($B754),MONTH($B754),1))</f>
        <v>45870</v>
      </c>
      <c r="I754" s="0" t="str">
        <f aca="false">IF($G754="","Uncategorized — Review",IFERROR(INDEX(Mapping!$B:$B,MATCH($G754,Mapping!$A:$A,0)),"Uncategorized — Review"))</f>
        <v>Personal - Food &amp; Dining</v>
      </c>
      <c r="J754" s="0" t="str">
        <f aca="false">IF($G754="","Uncategorized — Review",IFERROR(INDEX(Mapping!$C:$C,MATCH($G754,Mapping!$A:$A,0)),"Uncategorized — Review"))</f>
        <v>Personal — Owner</v>
      </c>
    </row>
    <row r="755" customFormat="false" ht="15" hidden="false" customHeight="false" outlineLevel="0" collapsed="false">
      <c r="A755" s="0" t="str">
        <f aca="false">Chase1168_2025!A755</f>
        <v>DEBIT</v>
      </c>
      <c r="B755" s="14" t="n">
        <f aca="false">Chase1168_2025!B755</f>
        <v>45874</v>
      </c>
      <c r="C755" s="0" t="str">
        <f aca="false">Chase1168_2025!C755</f>
        <v>UPWORK * -833592048 866-262-4478 CA          08/04</v>
      </c>
      <c r="D755" s="7" t="n">
        <f aca="false">Chase1168_2025!D755</f>
        <v>-708.75</v>
      </c>
      <c r="E755" s="0" t="str">
        <f aca="false">Chase1168_2025!E755</f>
        <v>DEBIT_CARD</v>
      </c>
      <c r="F755" s="7" t="n">
        <f aca="false">Chase1168_2025!F755</f>
        <v>146524.43</v>
      </c>
      <c r="G755" s="0" t="str">
        <f aca="false">Chase1168_2025!G755</f>
        <v>Upwork - Sergei M.</v>
      </c>
      <c r="H755" s="15" t="n">
        <f aca="false">IF($B755="","",DATE(YEAR($B755),MONTH($B755),1))</f>
        <v>45870</v>
      </c>
      <c r="I755" s="0" t="str">
        <f aca="false">IF($G755="","Uncategorized — Review",IFERROR(INDEX(Mapping!$B:$B,MATCH($G755,Mapping!$A:$A,0)),"Uncategorized — Review"))</f>
        <v>Upwork - Sergei M.</v>
      </c>
      <c r="J755" s="0" t="str">
        <f aca="false">IF($G755="","Uncategorized — Review",IFERROR(INDEX(Mapping!$C:$C,MATCH($G755,Mapping!$A:$A,0)),"Uncategorized — Review"))</f>
        <v>Payroll &amp; Contractors</v>
      </c>
    </row>
    <row r="756" customFormat="false" ht="15" hidden="false" customHeight="false" outlineLevel="0" collapsed="false">
      <c r="A756" s="0" t="str">
        <f aca="false">Chase1168_2025!A756</f>
        <v>DEBIT</v>
      </c>
      <c r="B756" s="14" t="n">
        <f aca="false">Chase1168_2025!B756</f>
        <v>45873</v>
      </c>
      <c r="C756" s="0" t="str">
        <f aca="false">Chase1168_2025!C756</f>
        <v>Zelle payment to Estella Martinez JPM99bi9dqmf</v>
      </c>
      <c r="D756" s="7" t="n">
        <f aca="false">Chase1168_2025!D756</f>
        <v>-800</v>
      </c>
      <c r="E756" s="0" t="str">
        <f aca="false">Chase1168_2025!E756</f>
        <v>CHASE_TO_PARTNERFI</v>
      </c>
      <c r="F756" s="7" t="n">
        <f aca="false">Chase1168_2025!F756</f>
        <v>147233.18</v>
      </c>
      <c r="G756" s="0" t="str">
        <f aca="false">Chase1168_2025!G756</f>
        <v>Zelle - Estella M.</v>
      </c>
      <c r="H756" s="15" t="n">
        <f aca="false">IF($B756="","",DATE(YEAR($B756),MONTH($B756),1))</f>
        <v>45870</v>
      </c>
      <c r="I756" s="0" t="str">
        <f aca="false">IF($G756="","Uncategorized — Review",IFERROR(INDEX(Mapping!$B:$B,MATCH($G756,Mapping!$A:$A,0)),"Uncategorized — Review"))</f>
        <v>Zelle - Estella M.</v>
      </c>
      <c r="J756" s="0" t="str">
        <f aca="false">IF($G756="","Uncategorized — Review",IFERROR(INDEX(Mapping!$C:$C,MATCH($G756,Mapping!$A:$A,0)),"Uncategorized — Review"))</f>
        <v>P2P Payments (Zelle/Venmo/PayPal)</v>
      </c>
    </row>
    <row r="757" customFormat="false" ht="15" hidden="false" customHeight="false" outlineLevel="0" collapsed="false">
      <c r="A757" s="0" t="str">
        <f aca="false">Chase1168_2025!A757</f>
        <v>DEBIT</v>
      </c>
      <c r="B757" s="14" t="n">
        <f aca="false">Chase1168_2025!B757</f>
        <v>45873</v>
      </c>
      <c r="C757" s="0" t="str">
        <f aca="false">Chase1168_2025!C757</f>
        <v>ORIG CO NAME:VENMO                  ORIG ID:3264681992 DESC DATE:250804 CO ENTRY DESCR:PAYMENT   SEC:WEB    TRACE#:021000025300872 EED:250804   IND ID:1043965581648                IND NAME:JUDD DUNNING                                                                                                 250804PPZI94 TRN: 2165300872TC</v>
      </c>
      <c r="D757" s="7" t="n">
        <f aca="false">Chase1168_2025!D757</f>
        <v>-10</v>
      </c>
      <c r="E757" s="0" t="str">
        <f aca="false">Chase1168_2025!E757</f>
        <v>ACH_DEBIT</v>
      </c>
      <c r="F757" s="7" t="n">
        <f aca="false">Chase1168_2025!F757</f>
        <v>148033.18</v>
      </c>
      <c r="G757" s="0" t="str">
        <f aca="false">Chase1168_2025!G757</f>
        <v>Venmo</v>
      </c>
      <c r="H757" s="15" t="n">
        <f aca="false">IF($B757="","",DATE(YEAR($B757),MONTH($B757),1))</f>
        <v>45870</v>
      </c>
      <c r="I757" s="0" t="str">
        <f aca="false">IF($G757="","Uncategorized — Review",IFERROR(INDEX(Mapping!$B:$B,MATCH($G757,Mapping!$A:$A,0)),"Uncategorized — Review"))</f>
        <v>Venmo</v>
      </c>
      <c r="J757" s="0" t="str">
        <f aca="false">IF($G757="","Uncategorized — Review",IFERROR(INDEX(Mapping!$C:$C,MATCH($G757,Mapping!$A:$A,0)),"Uncategorized — Review"))</f>
        <v>P2P Payments (Zelle/Venmo/PayPal)</v>
      </c>
    </row>
    <row r="758" customFormat="false" ht="15" hidden="false" customHeight="false" outlineLevel="0" collapsed="false">
      <c r="A758" s="0" t="str">
        <f aca="false">Chase1168_2025!A758</f>
        <v>DEBIT</v>
      </c>
      <c r="B758" s="14" t="n">
        <f aca="false">Chase1168_2025!B758</f>
        <v>45873</v>
      </c>
      <c r="C758" s="0" t="str">
        <f aca="false">Chase1168_2025!C758</f>
        <v>ORIG CO NAME:VENMO                  ORIG ID:3264681992 DESC DATE:250804 CO ENTRY DESCR:PAYMENT   SEC:WEB    TRACE#:021000023449065 EED:250804   IND ID:1043956716420                IND NAME:JUDD DUNNING                                                                                                 250804PPZDO7 TRN: 2163449065TC</v>
      </c>
      <c r="D758" s="7" t="n">
        <f aca="false">Chase1168_2025!D758</f>
        <v>-10</v>
      </c>
      <c r="E758" s="0" t="str">
        <f aca="false">Chase1168_2025!E758</f>
        <v>ACH_DEBIT</v>
      </c>
      <c r="F758" s="7" t="n">
        <f aca="false">Chase1168_2025!F758</f>
        <v>148043.18</v>
      </c>
      <c r="G758" s="0" t="str">
        <f aca="false">Chase1168_2025!G758</f>
        <v>Venmo</v>
      </c>
      <c r="H758" s="15" t="n">
        <f aca="false">IF($B758="","",DATE(YEAR($B758),MONTH($B758),1))</f>
        <v>45870</v>
      </c>
      <c r="I758" s="0" t="str">
        <f aca="false">IF($G758="","Uncategorized — Review",IFERROR(INDEX(Mapping!$B:$B,MATCH($G758,Mapping!$A:$A,0)),"Uncategorized — Review"))</f>
        <v>Venmo</v>
      </c>
      <c r="J758" s="0" t="str">
        <f aca="false">IF($G758="","Uncategorized — Review",IFERROR(INDEX(Mapping!$C:$C,MATCH($G758,Mapping!$A:$A,0)),"Uncategorized — Review"))</f>
        <v>P2P Payments (Zelle/Venmo/PayPal)</v>
      </c>
    </row>
    <row r="759" customFormat="false" ht="15" hidden="false" customHeight="false" outlineLevel="0" collapsed="false">
      <c r="A759" s="0" t="str">
        <f aca="false">Chase1168_2025!A759</f>
        <v>DEBIT</v>
      </c>
      <c r="B759" s="14" t="n">
        <f aca="false">Chase1168_2025!B759</f>
        <v>45873</v>
      </c>
      <c r="C759" s="0" t="str">
        <f aca="false">Chase1168_2025!C759</f>
        <v>ORIG CO NAME:VENMO                  ORIG ID:3264681992 DESC DATE:250804 CO ENTRY DESCR:PAYMENT   SEC:WEB    TRACE#:021000023444143 EED:250804   IND ID:1043955802143                IND NAME:JUDD DUNNING                                                                                                 250804PPZDO7 TRN: 2163444143TC</v>
      </c>
      <c r="D759" s="7" t="n">
        <f aca="false">Chase1168_2025!D759</f>
        <v>-10</v>
      </c>
      <c r="E759" s="0" t="str">
        <f aca="false">Chase1168_2025!E759</f>
        <v>ACH_DEBIT</v>
      </c>
      <c r="F759" s="7" t="n">
        <f aca="false">Chase1168_2025!F759</f>
        <v>148053.18</v>
      </c>
      <c r="G759" s="0" t="str">
        <f aca="false">Chase1168_2025!G759</f>
        <v>Venmo</v>
      </c>
      <c r="H759" s="15" t="n">
        <f aca="false">IF($B759="","",DATE(YEAR($B759),MONTH($B759),1))</f>
        <v>45870</v>
      </c>
      <c r="I759" s="0" t="str">
        <f aca="false">IF($G759="","Uncategorized — Review",IFERROR(INDEX(Mapping!$B:$B,MATCH($G759,Mapping!$A:$A,0)),"Uncategorized — Review"))</f>
        <v>Venmo</v>
      </c>
      <c r="J759" s="0" t="str">
        <f aca="false">IF($G759="","Uncategorized — Review",IFERROR(INDEX(Mapping!$C:$C,MATCH($G759,Mapping!$A:$A,0)),"Uncategorized — Review"))</f>
        <v>P2P Payments (Zelle/Venmo/PayPal)</v>
      </c>
    </row>
    <row r="760" customFormat="false" ht="15" hidden="false" customHeight="false" outlineLevel="0" collapsed="false">
      <c r="A760" s="0" t="str">
        <f aca="false">Chase1168_2025!A760</f>
        <v>DEBIT</v>
      </c>
      <c r="B760" s="14" t="n">
        <f aca="false">Chase1168_2025!B760</f>
        <v>45873</v>
      </c>
      <c r="C760" s="0" t="str">
        <f aca="false">Chase1168_2025!C760</f>
        <v>Basic Online Payroll Payment 11181619707 to ########4122</v>
      </c>
      <c r="D760" s="7" t="n">
        <f aca="false">Chase1168_2025!D760</f>
        <v>-1500</v>
      </c>
      <c r="E760" s="0" t="str">
        <f aca="false">Chase1168_2025!E760</f>
        <v>BASIC_PAYROLL</v>
      </c>
      <c r="F760" s="7" t="n">
        <f aca="false">Chase1168_2025!F760</f>
        <v>148063.18</v>
      </c>
      <c r="G760" s="0" t="str">
        <f aca="false">Chase1168_2025!G760</f>
        <v>Mike Paytonjian - Payroll</v>
      </c>
      <c r="H760" s="15" t="n">
        <f aca="false">IF($B760="","",DATE(YEAR($B760),MONTH($B760),1))</f>
        <v>45870</v>
      </c>
      <c r="I760" s="0" t="str">
        <f aca="false">IF($G760="","Uncategorized — Review",IFERROR(INDEX(Mapping!$B:$B,MATCH($G760,Mapping!$A:$A,0)),"Uncategorized — Review"))</f>
        <v>Mike Paytonjian - Payroll</v>
      </c>
      <c r="J760" s="0" t="str">
        <f aca="false">IF($G760="","Uncategorized — Review",IFERROR(INDEX(Mapping!$C:$C,MATCH($G760,Mapping!$A:$A,0)),"Uncategorized — Review"))</f>
        <v>Payroll &amp; Contractors</v>
      </c>
    </row>
    <row r="761" customFormat="false" ht="15" hidden="false" customHeight="false" outlineLevel="0" collapsed="false">
      <c r="A761" s="0" t="str">
        <f aca="false">Chase1168_2025!A761</f>
        <v>DEBIT</v>
      </c>
      <c r="B761" s="14" t="n">
        <f aca="false">Chase1168_2025!B761</f>
        <v>45873</v>
      </c>
      <c r="C761" s="0" t="str">
        <f aca="false">Chase1168_2025!C761</f>
        <v>ORIG CO NAME:VENMO                  ORIG ID:3264681992 DESC DATE:250802 CO ENTRY DESCR:PAYMENT   SEC:WEB    TRACE#:021000027719947 EED:250804   IND ID:1043926678847                IND NAME:JUDD DUNNING                                                                                                 250802PPZB6E TRN: 2167719947TC</v>
      </c>
      <c r="D761" s="7" t="n">
        <f aca="false">Chase1168_2025!D761</f>
        <v>-10</v>
      </c>
      <c r="E761" s="0" t="str">
        <f aca="false">Chase1168_2025!E761</f>
        <v>ACH_DEBIT</v>
      </c>
      <c r="F761" s="7" t="n">
        <f aca="false">Chase1168_2025!F761</f>
        <v>149563.18</v>
      </c>
      <c r="G761" s="0" t="str">
        <f aca="false">Chase1168_2025!G761</f>
        <v>Venmo</v>
      </c>
      <c r="H761" s="15" t="n">
        <f aca="false">IF($B761="","",DATE(YEAR($B761),MONTH($B761),1))</f>
        <v>45870</v>
      </c>
      <c r="I761" s="0" t="str">
        <f aca="false">IF($G761="","Uncategorized — Review",IFERROR(INDEX(Mapping!$B:$B,MATCH($G761,Mapping!$A:$A,0)),"Uncategorized — Review"))</f>
        <v>Venmo</v>
      </c>
      <c r="J761" s="0" t="str">
        <f aca="false">IF($G761="","Uncategorized — Review",IFERROR(INDEX(Mapping!$C:$C,MATCH($G761,Mapping!$A:$A,0)),"Uncategorized — Review"))</f>
        <v>P2P Payments (Zelle/Venmo/PayPal)</v>
      </c>
    </row>
    <row r="762" customFormat="false" ht="15" hidden="false" customHeight="false" outlineLevel="0" collapsed="false">
      <c r="A762" s="0" t="str">
        <f aca="false">Chase1168_2025!A762</f>
        <v>DEBIT</v>
      </c>
      <c r="B762" s="14" t="n">
        <f aca="false">Chase1168_2025!B762</f>
        <v>45873</v>
      </c>
      <c r="C762" s="0" t="str">
        <f aca="false">Chase1168_2025!C762</f>
        <v>ORIG CO NAME:VENMO                  ORIG ID:3264681992 DESC DATE:250803 CO ENTRY DESCR:PAYMENT   SEC:WEB    TRACE#:021000029044648 EED:250804   IND ID:1043936404471                IND NAME:JUDD DUNNING                                                                                                 250803PPZCYY TRN: 2169044648TC</v>
      </c>
      <c r="D762" s="7" t="n">
        <f aca="false">Chase1168_2025!D762</f>
        <v>-1250</v>
      </c>
      <c r="E762" s="0" t="str">
        <f aca="false">Chase1168_2025!E762</f>
        <v>ACH_DEBIT</v>
      </c>
      <c r="F762" s="7" t="n">
        <f aca="false">Chase1168_2025!F762</f>
        <v>149573.18</v>
      </c>
      <c r="G762" s="0" t="str">
        <f aca="false">Chase1168_2025!G762</f>
        <v>Venmo</v>
      </c>
      <c r="H762" s="15" t="n">
        <f aca="false">IF($B762="","",DATE(YEAR($B762),MONTH($B762),1))</f>
        <v>45870</v>
      </c>
      <c r="I762" s="0" t="str">
        <f aca="false">IF($G762="","Uncategorized — Review",IFERROR(INDEX(Mapping!$B:$B,MATCH($G762,Mapping!$A:$A,0)),"Uncategorized — Review"))</f>
        <v>Venmo</v>
      </c>
      <c r="J762" s="0" t="str">
        <f aca="false">IF($G762="","Uncategorized — Review",IFERROR(INDEX(Mapping!$C:$C,MATCH($G762,Mapping!$A:$A,0)),"Uncategorized — Review"))</f>
        <v>P2P Payments (Zelle/Venmo/PayPal)</v>
      </c>
    </row>
    <row r="763" customFormat="false" ht="15" hidden="false" customHeight="false" outlineLevel="0" collapsed="false">
      <c r="A763" s="0" t="str">
        <f aca="false">Chase1168_2025!A763</f>
        <v>DEBIT</v>
      </c>
      <c r="B763" s="14" t="n">
        <f aca="false">Chase1168_2025!B763</f>
        <v>45873</v>
      </c>
      <c r="C763" s="0" t="str">
        <f aca="false">Chase1168_2025!C763</f>
        <v>SP WSL POP UP SHOPS 148-44772890 CA          08/03</v>
      </c>
      <c r="D763" s="7" t="n">
        <f aca="false">Chase1168_2025!D763</f>
        <v>-6.98</v>
      </c>
      <c r="E763" s="0" t="str">
        <f aca="false">Chase1168_2025!E763</f>
        <v>DEBIT_CARD</v>
      </c>
      <c r="F763" s="7" t="n">
        <f aca="false">Chase1168_2025!F763</f>
        <v>150823.18</v>
      </c>
      <c r="G763" s="0" t="str">
        <f aca="false">Chase1168_2025!G763</f>
        <v>Personal - Entertainment</v>
      </c>
      <c r="H763" s="15" t="n">
        <f aca="false">IF($B763="","",DATE(YEAR($B763),MONTH($B763),1))</f>
        <v>45870</v>
      </c>
      <c r="I763" s="0" t="str">
        <f aca="false">IF($G763="","Uncategorized — Review",IFERROR(INDEX(Mapping!$B:$B,MATCH($G763,Mapping!$A:$A,0)),"Uncategorized — Review"))</f>
        <v>Personal - Entertainment</v>
      </c>
      <c r="J763" s="0" t="str">
        <f aca="false">IF($G763="","Uncategorized — Review",IFERROR(INDEX(Mapping!$C:$C,MATCH($G763,Mapping!$A:$A,0)),"Uncategorized — Review"))</f>
        <v>Personal — Owner</v>
      </c>
    </row>
    <row r="764" customFormat="false" ht="15" hidden="false" customHeight="false" outlineLevel="0" collapsed="false">
      <c r="A764" s="0" t="str">
        <f aca="false">Chase1168_2025!A764</f>
        <v>DEBIT</v>
      </c>
      <c r="B764" s="14" t="n">
        <f aca="false">Chase1168_2025!B764</f>
        <v>45873</v>
      </c>
      <c r="C764" s="0" t="str">
        <f aca="false">Chase1168_2025!C764</f>
        <v>PAYPAL *UBER 866-576-1039 CA                 08/04</v>
      </c>
      <c r="D764" s="7" t="n">
        <f aca="false">Chase1168_2025!D764</f>
        <v>-10.88</v>
      </c>
      <c r="E764" s="0" t="str">
        <f aca="false">Chase1168_2025!E764</f>
        <v>DEBIT_CARD</v>
      </c>
      <c r="F764" s="7" t="n">
        <f aca="false">Chase1168_2025!F764</f>
        <v>150830.16</v>
      </c>
      <c r="G764" s="0" t="str">
        <f aca="false">Chase1168_2025!G764</f>
        <v>Personal - Car</v>
      </c>
      <c r="H764" s="15" t="n">
        <f aca="false">IF($B764="","",DATE(YEAR($B764),MONTH($B764),1))</f>
        <v>45870</v>
      </c>
      <c r="I764" s="0" t="str">
        <f aca="false">IF($G764="","Uncategorized — Review",IFERROR(INDEX(Mapping!$B:$B,MATCH($G764,Mapping!$A:$A,0)),"Uncategorized — Review"))</f>
        <v>Personal - Car &amp; Auto</v>
      </c>
      <c r="J764" s="0" t="str">
        <f aca="false">IF($G764="","Uncategorized — Review",IFERROR(INDEX(Mapping!$C:$C,MATCH($G764,Mapping!$A:$A,0)),"Uncategorized — Review"))</f>
        <v>Personal — Owner</v>
      </c>
    </row>
    <row r="765" customFormat="false" ht="15" hidden="false" customHeight="false" outlineLevel="0" collapsed="false">
      <c r="A765" s="0" t="str">
        <f aca="false">Chase1168_2025!A765</f>
        <v>DEBIT</v>
      </c>
      <c r="B765" s="14" t="n">
        <f aca="false">Chase1168_2025!B765</f>
        <v>45873</v>
      </c>
      <c r="C765" s="0" t="str">
        <f aca="false">Chase1168_2025!C765</f>
        <v>6129 MOLLER RETA CULVER CITY CA      899526  08/03</v>
      </c>
      <c r="D765" s="7" t="n">
        <f aca="false">Chase1168_2025!D765</f>
        <v>-54.13</v>
      </c>
      <c r="E765" s="0" t="str">
        <f aca="false">Chase1168_2025!E765</f>
        <v>DEBIT_CARD</v>
      </c>
      <c r="F765" s="7" t="n">
        <f aca="false">Chase1168_2025!F765</f>
        <v>150841.04</v>
      </c>
      <c r="G765" s="0" t="str">
        <f aca="false">Chase1168_2025!G765</f>
        <v>Personal - Entertainment</v>
      </c>
      <c r="H765" s="15" t="n">
        <f aca="false">IF($B765="","",DATE(YEAR($B765),MONTH($B765),1))</f>
        <v>45870</v>
      </c>
      <c r="I765" s="0" t="str">
        <f aca="false">IF($G765="","Uncategorized — Review",IFERROR(INDEX(Mapping!$B:$B,MATCH($G765,Mapping!$A:$A,0)),"Uncategorized — Review"))</f>
        <v>Personal - Entertainment</v>
      </c>
      <c r="J765" s="0" t="str">
        <f aca="false">IF($G765="","Uncategorized — Review",IFERROR(INDEX(Mapping!$C:$C,MATCH($G765,Mapping!$A:$A,0)),"Uncategorized — Review"))</f>
        <v>Personal — Owner</v>
      </c>
    </row>
    <row r="766" customFormat="false" ht="15" hidden="false" customHeight="false" outlineLevel="0" collapsed="false">
      <c r="A766" s="0" t="str">
        <f aca="false">Chase1168_2025!A766</f>
        <v>DEBIT</v>
      </c>
      <c r="B766" s="14" t="n">
        <f aca="false">Chase1168_2025!B766</f>
        <v>45873</v>
      </c>
      <c r="C766" s="0" t="str">
        <f aca="false">Chase1168_2025!C766</f>
        <v>PAYPAL *SANDYPR COM 402-935-7733 CA          08/03</v>
      </c>
      <c r="D766" s="7" t="n">
        <f aca="false">Chase1168_2025!D766</f>
        <v>-300</v>
      </c>
      <c r="E766" s="0" t="str">
        <f aca="false">Chase1168_2025!E766</f>
        <v>DEBIT_CARD</v>
      </c>
      <c r="F766" s="7" t="n">
        <f aca="false">Chase1168_2025!F766</f>
        <v>150895.17</v>
      </c>
      <c r="G766" s="0" t="str">
        <f aca="false">Chase1168_2025!G766</f>
        <v>Sandy PR Payment</v>
      </c>
      <c r="H766" s="15" t="n">
        <f aca="false">IF($B766="","",DATE(YEAR($B766),MONTH($B766),1))</f>
        <v>45870</v>
      </c>
      <c r="I766" s="0" t="str">
        <f aca="false">IF($G766="","Uncategorized — Review",IFERROR(INDEX(Mapping!$B:$B,MATCH($G766,Mapping!$A:$A,0)),"Uncategorized — Review"))</f>
        <v>Sandy PR Payment</v>
      </c>
      <c r="J766" s="0" t="str">
        <f aca="false">IF($G766="","Uncategorized — Review",IFERROR(INDEX(Mapping!$C:$C,MATCH($G766,Mapping!$A:$A,0)),"Uncategorized — Review"))</f>
        <v>DWG Operating</v>
      </c>
    </row>
    <row r="767" customFormat="false" ht="15" hidden="false" customHeight="false" outlineLevel="0" collapsed="false">
      <c r="A767" s="0" t="str">
        <f aca="false">Chase1168_2025!A767</f>
        <v>DEBIT</v>
      </c>
      <c r="B767" s="14" t="n">
        <f aca="false">Chase1168_2025!B767</f>
        <v>45873</v>
      </c>
      <c r="C767" s="0" t="str">
        <f aca="false">Chase1168_2025!C767</f>
        <v>PAYPAL *PRAGERUNIVE P 833-772-4378 CA        08/03</v>
      </c>
      <c r="D767" s="7" t="n">
        <f aca="false">Chase1168_2025!D767</f>
        <v>-10.78</v>
      </c>
      <c r="E767" s="0" t="str">
        <f aca="false">Chase1168_2025!E767</f>
        <v>DEBIT_CARD</v>
      </c>
      <c r="F767" s="7" t="n">
        <f aca="false">Chase1168_2025!F767</f>
        <v>151195.17</v>
      </c>
      <c r="G767" s="0" t="str">
        <f aca="false">Chase1168_2025!G767</f>
        <v>DWGCP Business Development</v>
      </c>
      <c r="H767" s="15" t="n">
        <f aca="false">IF($B767="","",DATE(YEAR($B767),MONTH($B767),1))</f>
        <v>45870</v>
      </c>
      <c r="I767" s="0" t="str">
        <f aca="false">IF($G767="","Uncategorized — Review",IFERROR(INDEX(Mapping!$B:$B,MATCH($G767,Mapping!$A:$A,0)),"Uncategorized — Review"))</f>
        <v>DWGCP Business Development</v>
      </c>
      <c r="J767" s="0" t="str">
        <f aca="false">IF($G767="","Uncategorized — Review",IFERROR(INDEX(Mapping!$C:$C,MATCH($G767,Mapping!$A:$A,0)),"Uncategorized — Review"))</f>
        <v>DWG Operating</v>
      </c>
    </row>
    <row r="768" customFormat="false" ht="15" hidden="false" customHeight="false" outlineLevel="0" collapsed="false">
      <c r="A768" s="0" t="str">
        <f aca="false">Chase1168_2025!A768</f>
        <v>DEBIT</v>
      </c>
      <c r="B768" s="14" t="n">
        <f aca="false">Chase1168_2025!B768</f>
        <v>45873</v>
      </c>
      <c r="C768" s="0" t="str">
        <f aca="false">Chase1168_2025!C768</f>
        <v>PP*APPLE.COM/BILL 800-275-2273 CA            08/03</v>
      </c>
      <c r="D768" s="7" t="n">
        <f aca="false">Chase1168_2025!D768</f>
        <v>-8.99</v>
      </c>
      <c r="E768" s="0" t="str">
        <f aca="false">Chase1168_2025!E768</f>
        <v>DEBIT_CARD</v>
      </c>
      <c r="F768" s="7" t="n">
        <f aca="false">Chase1168_2025!F768</f>
        <v>151205.95</v>
      </c>
      <c r="G768" s="0" t="str">
        <f aca="false">Chase1168_2025!G768</f>
        <v>Personal - Subscriptions</v>
      </c>
      <c r="H768" s="15" t="n">
        <f aca="false">IF($B768="","",DATE(YEAR($B768),MONTH($B768),1))</f>
        <v>45870</v>
      </c>
      <c r="I768" s="0" t="str">
        <f aca="false">IF($G768="","Uncategorized — Review",IFERROR(INDEX(Mapping!$B:$B,MATCH($G768,Mapping!$A:$A,0)),"Uncategorized — Review"))</f>
        <v>Personal - Subscriptions</v>
      </c>
      <c r="J768" s="0" t="str">
        <f aca="false">IF($G768="","Uncategorized — Review",IFERROR(INDEX(Mapping!$C:$C,MATCH($G768,Mapping!$A:$A,0)),"Uncategorized — Review"))</f>
        <v>Personal — Owner</v>
      </c>
    </row>
    <row r="769" customFormat="false" ht="15" hidden="false" customHeight="false" outlineLevel="0" collapsed="false">
      <c r="A769" s="0" t="str">
        <f aca="false">Chase1168_2025!A769</f>
        <v>DEBIT</v>
      </c>
      <c r="B769" s="14" t="n">
        <f aca="false">Chase1168_2025!B769</f>
        <v>45873</v>
      </c>
      <c r="C769" s="0" t="str">
        <f aca="false">Chase1168_2025!C769</f>
        <v>PP*APPLE.COM/BILL 800-275-2273 CA            08/03</v>
      </c>
      <c r="D769" s="7" t="n">
        <f aca="false">Chase1168_2025!D769</f>
        <v>-12.99</v>
      </c>
      <c r="E769" s="0" t="str">
        <f aca="false">Chase1168_2025!E769</f>
        <v>DEBIT_CARD</v>
      </c>
      <c r="F769" s="7" t="n">
        <f aca="false">Chase1168_2025!F769</f>
        <v>151214.94</v>
      </c>
      <c r="G769" s="0" t="str">
        <f aca="false">Chase1168_2025!G769</f>
        <v>Personal - Subscriptions</v>
      </c>
      <c r="H769" s="15" t="n">
        <f aca="false">IF($B769="","",DATE(YEAR($B769),MONTH($B769),1))</f>
        <v>45870</v>
      </c>
      <c r="I769" s="0" t="str">
        <f aca="false">IF($G769="","Uncategorized — Review",IFERROR(INDEX(Mapping!$B:$B,MATCH($G769,Mapping!$A:$A,0)),"Uncategorized — Review"))</f>
        <v>Personal - Subscriptions</v>
      </c>
      <c r="J769" s="0" t="str">
        <f aca="false">IF($G769="","Uncategorized — Review",IFERROR(INDEX(Mapping!$C:$C,MATCH($G769,Mapping!$A:$A,0)),"Uncategorized — Review"))</f>
        <v>Personal — Owner</v>
      </c>
    </row>
    <row r="770" customFormat="false" ht="15" hidden="false" customHeight="false" outlineLevel="0" collapsed="false">
      <c r="A770" s="0" t="str">
        <f aca="false">Chase1168_2025!A770</f>
        <v>DEBIT</v>
      </c>
      <c r="B770" s="14" t="n">
        <f aca="false">Chase1168_2025!B770</f>
        <v>45873</v>
      </c>
      <c r="C770" s="0" t="str">
        <f aca="false">Chase1168_2025!C770</f>
        <v>Online Transfer to CHK ...6975 transaction#: 25713138357 08/04</v>
      </c>
      <c r="D770" s="7" t="n">
        <f aca="false">Chase1168_2025!D770</f>
        <v>-2000</v>
      </c>
      <c r="E770" s="0" t="str">
        <f aca="false">Chase1168_2025!E770</f>
        <v>ACCT_XFER</v>
      </c>
      <c r="F770" s="7" t="n">
        <f aca="false">Chase1168_2025!F770</f>
        <v>151227.93</v>
      </c>
      <c r="G770" s="0" t="str">
        <f aca="false">Chase1168_2025!G770</f>
        <v>Transfer to Ava Perez-Dunning</v>
      </c>
      <c r="H770" s="15" t="n">
        <f aca="false">IF($B770="","",DATE(YEAR($B770),MONTH($B770),1))</f>
        <v>45870</v>
      </c>
      <c r="I770" s="0" t="str">
        <f aca="false">IF($G770="","Uncategorized — Review",IFERROR(INDEX(Mapping!$B:$B,MATCH($G770,Mapping!$A:$A,0)),"Uncategorized — Review"))</f>
        <v>Transfer to Ava Perez-Dunning</v>
      </c>
      <c r="J770" s="0" t="str">
        <f aca="false">IF($G770="","Uncategorized — Review",IFERROR(INDEX(Mapping!$C:$C,MATCH($G770,Mapping!$A:$A,0)),"Uncategorized — Review"))</f>
        <v>Owner / Family Distributions</v>
      </c>
    </row>
    <row r="771" customFormat="false" ht="15" hidden="false" customHeight="false" outlineLevel="0" collapsed="false">
      <c r="A771" s="0" t="str">
        <f aca="false">Chase1168_2025!A771</f>
        <v>DEBIT</v>
      </c>
      <c r="B771" s="14" t="n">
        <f aca="false">Chase1168_2025!B771</f>
        <v>45873</v>
      </c>
      <c r="C771" s="0" t="str">
        <f aca="false">Chase1168_2025!C771</f>
        <v>PAYPAL *DIRECTV 800-531-5000 TX              08/04</v>
      </c>
      <c r="D771" s="7" t="n">
        <f aca="false">Chase1168_2025!D771</f>
        <v>-101.99</v>
      </c>
      <c r="E771" s="0" t="str">
        <f aca="false">Chase1168_2025!E771</f>
        <v>DEBIT_CARD</v>
      </c>
      <c r="F771" s="7" t="n">
        <f aca="false">Chase1168_2025!F771</f>
        <v>153227.93</v>
      </c>
      <c r="G771" s="0" t="str">
        <f aca="false">Chase1168_2025!G771</f>
        <v>Personal - Subscriptions</v>
      </c>
      <c r="H771" s="15" t="n">
        <f aca="false">IF($B771="","",DATE(YEAR($B771),MONTH($B771),1))</f>
        <v>45870</v>
      </c>
      <c r="I771" s="0" t="str">
        <f aca="false">IF($G771="","Uncategorized — Review",IFERROR(INDEX(Mapping!$B:$B,MATCH($G771,Mapping!$A:$A,0)),"Uncategorized — Review"))</f>
        <v>Personal - Subscriptions</v>
      </c>
      <c r="J771" s="0" t="str">
        <f aca="false">IF($G771="","Uncategorized — Review",IFERROR(INDEX(Mapping!$C:$C,MATCH($G771,Mapping!$A:$A,0)),"Uncategorized — Review"))</f>
        <v>Personal — Owner</v>
      </c>
    </row>
    <row r="772" customFormat="false" ht="15" hidden="false" customHeight="false" outlineLevel="0" collapsed="false">
      <c r="A772" s="0" t="str">
        <f aca="false">Chase1168_2025!A772</f>
        <v>DEBIT</v>
      </c>
      <c r="B772" s="14" t="n">
        <f aca="false">Chase1168_2025!B772</f>
        <v>45873</v>
      </c>
      <c r="C772" s="0" t="str">
        <f aca="false">Chase1168_2025!C772</f>
        <v>INDEED USI25-04296679 AUSTIN TX      022147  08/02</v>
      </c>
      <c r="D772" s="7" t="n">
        <f aca="false">Chase1168_2025!D772</f>
        <v>-375.4</v>
      </c>
      <c r="E772" s="0" t="str">
        <f aca="false">Chase1168_2025!E772</f>
        <v>DEBIT_CARD</v>
      </c>
      <c r="F772" s="7" t="n">
        <f aca="false">Chase1168_2025!F772</f>
        <v>153329.92</v>
      </c>
      <c r="G772" s="0" t="str">
        <f aca="false">Chase1168_2025!G772</f>
        <v>DWG HR</v>
      </c>
      <c r="H772" s="15" t="n">
        <f aca="false">IF($B772="","",DATE(YEAR($B772),MONTH($B772),1))</f>
        <v>45870</v>
      </c>
      <c r="I772" s="0" t="str">
        <f aca="false">IF($G772="","Uncategorized — Review",IFERROR(INDEX(Mapping!$B:$B,MATCH($G772,Mapping!$A:$A,0)),"Uncategorized — Review"))</f>
        <v>DWG HR</v>
      </c>
      <c r="J772" s="0" t="str">
        <f aca="false">IF($G772="","Uncategorized — Review",IFERROR(INDEX(Mapping!$C:$C,MATCH($G772,Mapping!$A:$A,0)),"Uncategorized — Review"))</f>
        <v>Payroll &amp; Contractors</v>
      </c>
    </row>
    <row r="773" customFormat="false" ht="15" hidden="false" customHeight="false" outlineLevel="0" collapsed="false">
      <c r="A773" s="0" t="str">
        <f aca="false">Chase1168_2025!A773</f>
        <v>DEBIT</v>
      </c>
      <c r="B773" s="14" t="n">
        <f aca="false">Chase1168_2025!B773</f>
        <v>45873</v>
      </c>
      <c r="C773" s="0" t="str">
        <f aca="false">Chase1168_2025!C773</f>
        <v>PP*APPLE.COM/BILL 800-275-2273 CA            08/03</v>
      </c>
      <c r="D773" s="7" t="n">
        <f aca="false">Chase1168_2025!D773</f>
        <v>-3.99</v>
      </c>
      <c r="E773" s="0" t="str">
        <f aca="false">Chase1168_2025!E773</f>
        <v>DEBIT_CARD</v>
      </c>
      <c r="F773" s="7" t="n">
        <f aca="false">Chase1168_2025!F773</f>
        <v>153705.32</v>
      </c>
      <c r="G773" s="0" t="str">
        <f aca="false">Chase1168_2025!G773</f>
        <v>Personal - Subscriptions</v>
      </c>
      <c r="H773" s="15" t="n">
        <f aca="false">IF($B773="","",DATE(YEAR($B773),MONTH($B773),1))</f>
        <v>45870</v>
      </c>
      <c r="I773" s="0" t="str">
        <f aca="false">IF($G773="","Uncategorized — Review",IFERROR(INDEX(Mapping!$B:$B,MATCH($G773,Mapping!$A:$A,0)),"Uncategorized — Review"))</f>
        <v>Personal - Subscriptions</v>
      </c>
      <c r="J773" s="0" t="str">
        <f aca="false">IF($G773="","Uncategorized — Review",IFERROR(INDEX(Mapping!$C:$C,MATCH($G773,Mapping!$A:$A,0)),"Uncategorized — Review"))</f>
        <v>Personal — Owner</v>
      </c>
    </row>
    <row r="774" customFormat="false" ht="15" hidden="false" customHeight="false" outlineLevel="0" collapsed="false">
      <c r="A774" s="0" t="str">
        <f aca="false">Chase1168_2025!A774</f>
        <v>DEBIT</v>
      </c>
      <c r="B774" s="14" t="n">
        <f aca="false">Chase1168_2025!B774</f>
        <v>45873</v>
      </c>
      <c r="C774" s="0" t="str">
        <f aca="false">Chase1168_2025!C774</f>
        <v>PP*APPLE.COM/BILL 800-275-2273 CA            08/02</v>
      </c>
      <c r="D774" s="7" t="n">
        <f aca="false">Chase1168_2025!D774</f>
        <v>-15.99</v>
      </c>
      <c r="E774" s="0" t="str">
        <f aca="false">Chase1168_2025!E774</f>
        <v>DEBIT_CARD</v>
      </c>
      <c r="F774" s="7" t="n">
        <f aca="false">Chase1168_2025!F774</f>
        <v>153709.31</v>
      </c>
      <c r="G774" s="0" t="str">
        <f aca="false">Chase1168_2025!G774</f>
        <v>Personal - Subscriptions</v>
      </c>
      <c r="H774" s="15" t="n">
        <f aca="false">IF($B774="","",DATE(YEAR($B774),MONTH($B774),1))</f>
        <v>45870</v>
      </c>
      <c r="I774" s="0" t="str">
        <f aca="false">IF($G774="","Uncategorized — Review",IFERROR(INDEX(Mapping!$B:$B,MATCH($G774,Mapping!$A:$A,0)),"Uncategorized — Review"))</f>
        <v>Personal - Subscriptions</v>
      </c>
      <c r="J774" s="0" t="str">
        <f aca="false">IF($G774="","Uncategorized — Review",IFERROR(INDEX(Mapping!$C:$C,MATCH($G774,Mapping!$A:$A,0)),"Uncategorized — Review"))</f>
        <v>Personal — Owner</v>
      </c>
    </row>
    <row r="775" customFormat="false" ht="15" hidden="false" customHeight="false" outlineLevel="0" collapsed="false">
      <c r="A775" s="0" t="str">
        <f aca="false">Chase1168_2025!A775</f>
        <v>DEBIT</v>
      </c>
      <c r="B775" s="14" t="n">
        <f aca="false">Chase1168_2025!B775</f>
        <v>45873</v>
      </c>
      <c r="C775" s="0" t="str">
        <f aca="false">Chase1168_2025!C775</f>
        <v>PAYPAL *HULU 877-801-5441 CA                 08/02</v>
      </c>
      <c r="D775" s="7" t="n">
        <f aca="false">Chase1168_2025!D775</f>
        <v>-18.99</v>
      </c>
      <c r="E775" s="0" t="str">
        <f aca="false">Chase1168_2025!E775</f>
        <v>DEBIT_CARD</v>
      </c>
      <c r="F775" s="7" t="n">
        <f aca="false">Chase1168_2025!F775</f>
        <v>153725.3</v>
      </c>
      <c r="G775" s="0" t="str">
        <f aca="false">Chase1168_2025!G775</f>
        <v>Personal - Subscriptions</v>
      </c>
      <c r="H775" s="15" t="n">
        <f aca="false">IF($B775="","",DATE(YEAR($B775),MONTH($B775),1))</f>
        <v>45870</v>
      </c>
      <c r="I775" s="0" t="str">
        <f aca="false">IF($G775="","Uncategorized — Review",IFERROR(INDEX(Mapping!$B:$B,MATCH($G775,Mapping!$A:$A,0)),"Uncategorized — Review"))</f>
        <v>Personal - Subscriptions</v>
      </c>
      <c r="J775" s="0" t="str">
        <f aca="false">IF($G775="","Uncategorized — Review",IFERROR(INDEX(Mapping!$C:$C,MATCH($G775,Mapping!$A:$A,0)),"Uncategorized — Review"))</f>
        <v>Personal — Owner</v>
      </c>
    </row>
    <row r="776" customFormat="false" ht="15" hidden="false" customHeight="false" outlineLevel="0" collapsed="false">
      <c r="A776" s="0" t="str">
        <f aca="false">Chase1168_2025!A776</f>
        <v>DEBIT</v>
      </c>
      <c r="B776" s="14" t="n">
        <f aca="false">Chase1168_2025!B776</f>
        <v>45873</v>
      </c>
      <c r="C776" s="0" t="str">
        <f aca="false">Chase1168_2025!C776</f>
        <v>PAYPAL *GOOGLE LLC GO 650-253-0000 CA        08/01</v>
      </c>
      <c r="D776" s="7" t="n">
        <f aca="false">Chase1168_2025!D776</f>
        <v>-16.17</v>
      </c>
      <c r="E776" s="0" t="str">
        <f aca="false">Chase1168_2025!E776</f>
        <v>DEBIT_CARD</v>
      </c>
      <c r="F776" s="7" t="n">
        <f aca="false">Chase1168_2025!F776</f>
        <v>153744.29</v>
      </c>
      <c r="G776" s="0" t="str">
        <f aca="false">Chase1168_2025!G776</f>
        <v>Personal - Subscriptions</v>
      </c>
      <c r="H776" s="15" t="n">
        <f aca="false">IF($B776="","",DATE(YEAR($B776),MONTH($B776),1))</f>
        <v>45870</v>
      </c>
      <c r="I776" s="0" t="str">
        <f aca="false">IF($G776="","Uncategorized — Review",IFERROR(INDEX(Mapping!$B:$B,MATCH($G776,Mapping!$A:$A,0)),"Uncategorized — Review"))</f>
        <v>Personal - Subscriptions</v>
      </c>
      <c r="J776" s="0" t="str">
        <f aca="false">IF($G776="","Uncategorized — Review",IFERROR(INDEX(Mapping!$C:$C,MATCH($G776,Mapping!$A:$A,0)),"Uncategorized — Review"))</f>
        <v>Personal — Owner</v>
      </c>
    </row>
    <row r="777" customFormat="false" ht="15" hidden="false" customHeight="false" outlineLevel="0" collapsed="false">
      <c r="A777" s="0" t="str">
        <f aca="false">Chase1168_2025!A777</f>
        <v>DEBIT</v>
      </c>
      <c r="B777" s="14" t="n">
        <f aca="false">Chase1168_2025!B777</f>
        <v>45870</v>
      </c>
      <c r="C777" s="0" t="str">
        <f aca="false">Chase1168_2025!C777</f>
        <v>STD ACH PMNTS VOLUME FEE QTY = 10</v>
      </c>
      <c r="D777" s="7" t="n">
        <f aca="false">Chase1168_2025!D777</f>
        <v>-1.5</v>
      </c>
      <c r="E777" s="0" t="str">
        <f aca="false">Chase1168_2025!E777</f>
        <v>FEE_TRANSACTION</v>
      </c>
      <c r="F777" s="7" t="n">
        <f aca="false">Chase1168_2025!F777</f>
        <v>153760.46</v>
      </c>
      <c r="G777" s="0" t="str">
        <f aca="false">Chase1168_2025!G777</f>
        <v>Bank Fees</v>
      </c>
      <c r="H777" s="15" t="n">
        <f aca="false">IF($B777="","",DATE(YEAR($B777),MONTH($B777),1))</f>
        <v>45870</v>
      </c>
      <c r="I777" s="0" t="str">
        <f aca="false">IF($G777="","Uncategorized — Review",IFERROR(INDEX(Mapping!$B:$B,MATCH($G777,Mapping!$A:$A,0)),"Uncategorized — Review"))</f>
        <v>Bank Fees</v>
      </c>
      <c r="J777" s="0" t="str">
        <f aca="false">IF($G777="","Uncategorized — Review",IFERROR(INDEX(Mapping!$C:$C,MATCH($G777,Mapping!$A:$A,0)),"Uncategorized — Review"))</f>
        <v>DWG Operating</v>
      </c>
    </row>
    <row r="778" customFormat="false" ht="15" hidden="false" customHeight="false" outlineLevel="0" collapsed="false">
      <c r="A778" s="0" t="str">
        <f aca="false">Chase1168_2025!A778</f>
        <v>DEBIT</v>
      </c>
      <c r="B778" s="14" t="n">
        <f aca="false">Chase1168_2025!B778</f>
        <v>45870</v>
      </c>
      <c r="C778" s="0" t="str">
        <f aca="false">Chase1168_2025!C778</f>
        <v>STANDARD ACH PMNTS INITIAL FEE QTY = 10</v>
      </c>
      <c r="D778" s="7" t="n">
        <f aca="false">Chase1168_2025!D778</f>
        <v>-25</v>
      </c>
      <c r="E778" s="0" t="str">
        <f aca="false">Chase1168_2025!E778</f>
        <v>FEE_TRANSACTION</v>
      </c>
      <c r="F778" s="7" t="n">
        <f aca="false">Chase1168_2025!F778</f>
        <v>153761.96</v>
      </c>
      <c r="G778" s="0" t="str">
        <f aca="false">Chase1168_2025!G778</f>
        <v>Bank Fees</v>
      </c>
      <c r="H778" s="15" t="n">
        <f aca="false">IF($B778="","",DATE(YEAR($B778),MONTH($B778),1))</f>
        <v>45870</v>
      </c>
      <c r="I778" s="0" t="str">
        <f aca="false">IF($G778="","Uncategorized — Review",IFERROR(INDEX(Mapping!$B:$B,MATCH($G778,Mapping!$A:$A,0)),"Uncategorized — Review"))</f>
        <v>Bank Fees</v>
      </c>
      <c r="J778" s="0" t="str">
        <f aca="false">IF($G778="","Uncategorized — Review",IFERROR(INDEX(Mapping!$C:$C,MATCH($G778,Mapping!$A:$A,0)),"Uncategorized — Review"))</f>
        <v>DWG Operating</v>
      </c>
    </row>
    <row r="779" customFormat="false" ht="15" hidden="false" customHeight="false" outlineLevel="0" collapsed="false">
      <c r="A779" s="0" t="str">
        <f aca="false">Chase1168_2025!A779</f>
        <v>DEBIT</v>
      </c>
      <c r="B779" s="14" t="n">
        <f aca="false">Chase1168_2025!B779</f>
        <v>45870</v>
      </c>
      <c r="C779" s="0" t="str">
        <f aca="false">Chase1168_2025!C779</f>
        <v>RTP/Same Day - High Value</v>
      </c>
      <c r="D779" s="7" t="n">
        <f aca="false">Chase1168_2025!D779</f>
        <v>-25</v>
      </c>
      <c r="E779" s="0" t="str">
        <f aca="false">Chase1168_2025!E779</f>
        <v>FEE_TRANSACTION</v>
      </c>
      <c r="F779" s="7" t="n">
        <f aca="false">Chase1168_2025!F779</f>
        <v>153786.96</v>
      </c>
      <c r="G779" s="0" t="str">
        <f aca="false">Chase1168_2025!G779</f>
        <v>Bank Fees</v>
      </c>
      <c r="H779" s="15" t="n">
        <f aca="false">IF($B779="","",DATE(YEAR($B779),MONTH($B779),1))</f>
        <v>45870</v>
      </c>
      <c r="I779" s="0" t="str">
        <f aca="false">IF($G779="","Uncategorized — Review",IFERROR(INDEX(Mapping!$B:$B,MATCH($G779,Mapping!$A:$A,0)),"Uncategorized — Review"))</f>
        <v>Bank Fees</v>
      </c>
      <c r="J779" s="0" t="str">
        <f aca="false">IF($G779="","Uncategorized — Review",IFERROR(INDEX(Mapping!$C:$C,MATCH($G779,Mapping!$A:$A,0)),"Uncategorized — Review"))</f>
        <v>DWG Operating</v>
      </c>
    </row>
    <row r="780" customFormat="false" ht="15" hidden="false" customHeight="false" outlineLevel="0" collapsed="false">
      <c r="A780" s="0" t="str">
        <f aca="false">Chase1168_2025!A780</f>
        <v>DEBIT</v>
      </c>
      <c r="B780" s="14" t="n">
        <f aca="false">Chase1168_2025!B780</f>
        <v>45870</v>
      </c>
      <c r="C780" s="0" t="str">
        <f aca="false">Chase1168_2025!C780</f>
        <v>ORIG CO NAME:VENMO                  ORIG ID:3264681992 DESC DATE:250801 CO ENTRY DESCR:PAYMENT   SEC:WEB    TRACE#:021000027192020 EED:250801   IND ID:1043884318620                IND NAME:JUDD DUNNING                                                                                                 250801PPZ1LG TRN: 2137192020TC</v>
      </c>
      <c r="D780" s="7" t="n">
        <f aca="false">Chase1168_2025!D780</f>
        <v>-20</v>
      </c>
      <c r="E780" s="0" t="str">
        <f aca="false">Chase1168_2025!E780</f>
        <v>ACH_DEBIT</v>
      </c>
      <c r="F780" s="7" t="n">
        <f aca="false">Chase1168_2025!F780</f>
        <v>153811.96</v>
      </c>
      <c r="G780" s="0" t="str">
        <f aca="false">Chase1168_2025!G780</f>
        <v>Venmo</v>
      </c>
      <c r="H780" s="15" t="n">
        <f aca="false">IF($B780="","",DATE(YEAR($B780),MONTH($B780),1))</f>
        <v>45870</v>
      </c>
      <c r="I780" s="0" t="str">
        <f aca="false">IF($G780="","Uncategorized — Review",IFERROR(INDEX(Mapping!$B:$B,MATCH($G780,Mapping!$A:$A,0)),"Uncategorized — Review"))</f>
        <v>Venmo</v>
      </c>
      <c r="J780" s="0" t="str">
        <f aca="false">IF($G780="","Uncategorized — Review",IFERROR(INDEX(Mapping!$C:$C,MATCH($G780,Mapping!$A:$A,0)),"Uncategorized — Review"))</f>
        <v>P2P Payments (Zelle/Venmo/PayPal)</v>
      </c>
    </row>
    <row r="781" customFormat="false" ht="15" hidden="false" customHeight="false" outlineLevel="0" collapsed="false">
      <c r="A781" s="0" t="str">
        <f aca="false">Chase1168_2025!A781</f>
        <v>DEBIT</v>
      </c>
      <c r="B781" s="14" t="n">
        <f aca="false">Chase1168_2025!B781</f>
        <v>45870</v>
      </c>
      <c r="C781" s="0" t="str">
        <f aca="false">Chase1168_2025!C781</f>
        <v>ORIG CO NAME:VENMO                  ORIG ID:3264681992 DESC DATE:250801 CO ENTRY DESCR:PAYMENT   SEC:WEB    TRACE#:021000027188777 EED:250801   IND ID:1043886151299                IND NAME:JUDD DUNNING                                                                                                 250801PPZ1LG TRN: 2137188777TC</v>
      </c>
      <c r="D781" s="7" t="n">
        <f aca="false">Chase1168_2025!D781</f>
        <v>-50</v>
      </c>
      <c r="E781" s="0" t="str">
        <f aca="false">Chase1168_2025!E781</f>
        <v>ACH_DEBIT</v>
      </c>
      <c r="F781" s="7" t="n">
        <f aca="false">Chase1168_2025!F781</f>
        <v>153831.96</v>
      </c>
      <c r="G781" s="0" t="str">
        <f aca="false">Chase1168_2025!G781</f>
        <v>Venmo</v>
      </c>
      <c r="H781" s="15" t="n">
        <f aca="false">IF($B781="","",DATE(YEAR($B781),MONTH($B781),1))</f>
        <v>45870</v>
      </c>
      <c r="I781" s="0" t="str">
        <f aca="false">IF($G781="","Uncategorized — Review",IFERROR(INDEX(Mapping!$B:$B,MATCH($G781,Mapping!$A:$A,0)),"Uncategorized — Review"))</f>
        <v>Venmo</v>
      </c>
      <c r="J781" s="0" t="str">
        <f aca="false">IF($G781="","Uncategorized — Review",IFERROR(INDEX(Mapping!$C:$C,MATCH($G781,Mapping!$A:$A,0)),"Uncategorized — Review"))</f>
        <v>P2P Payments (Zelle/Venmo/PayPal)</v>
      </c>
    </row>
    <row r="782" customFormat="false" ht="15" hidden="false" customHeight="false" outlineLevel="0" collapsed="false">
      <c r="A782" s="0" t="str">
        <f aca="false">Chase1168_2025!A782</f>
        <v>DEBIT</v>
      </c>
      <c r="B782" s="14" t="n">
        <f aca="false">Chase1168_2025!B782</f>
        <v>45870</v>
      </c>
      <c r="C782" s="0" t="str">
        <f aca="false">Chase1168_2025!C782</f>
        <v>ORIG CO NAME:VENMO                  ORIG ID:3264681992 DESC DATE:250801 CO ENTRY DESCR:PAYMENT   SEC:WEB    TRACE#:021000027188764 EED:250801   IND ID:1043886149540                IND NAME:JUDD DUNNING                                                                                                 250801PPZ1LG TRN: 2137188764TC</v>
      </c>
      <c r="D782" s="7" t="n">
        <f aca="false">Chase1168_2025!D782</f>
        <v>-60</v>
      </c>
      <c r="E782" s="0" t="str">
        <f aca="false">Chase1168_2025!E782</f>
        <v>ACH_DEBIT</v>
      </c>
      <c r="F782" s="7" t="n">
        <f aca="false">Chase1168_2025!F782</f>
        <v>153881.96</v>
      </c>
      <c r="G782" s="0" t="str">
        <f aca="false">Chase1168_2025!G782</f>
        <v>Venmo</v>
      </c>
      <c r="H782" s="15" t="n">
        <f aca="false">IF($B782="","",DATE(YEAR($B782),MONTH($B782),1))</f>
        <v>45870</v>
      </c>
      <c r="I782" s="0" t="str">
        <f aca="false">IF($G782="","Uncategorized — Review",IFERROR(INDEX(Mapping!$B:$B,MATCH($G782,Mapping!$A:$A,0)),"Uncategorized — Review"))</f>
        <v>Venmo</v>
      </c>
      <c r="J782" s="0" t="str">
        <f aca="false">IF($G782="","Uncategorized — Review",IFERROR(INDEX(Mapping!$C:$C,MATCH($G782,Mapping!$A:$A,0)),"Uncategorized — Review"))</f>
        <v>P2P Payments (Zelle/Venmo/PayPal)</v>
      </c>
    </row>
    <row r="783" customFormat="false" ht="15" hidden="false" customHeight="false" outlineLevel="0" collapsed="false">
      <c r="A783" s="0" t="str">
        <f aca="false">Chase1168_2025!A783</f>
        <v>DEBIT</v>
      </c>
      <c r="B783" s="14" t="n">
        <f aca="false">Chase1168_2025!B783</f>
        <v>45870</v>
      </c>
      <c r="C783" s="0" t="str">
        <f aca="false">Chase1168_2025!C783</f>
        <v>ORIG CO NAME:VENMO                  ORIG ID:3264681992 DESC DATE:250801 CO ENTRY DESCR:PAYMENT   SEC:WEB    TRACE#:021000027188867 EED:250801   IND ID:1043886151584                IND NAME:JUDD DUNNING                                                                                                 250801PPZ1LG TRN: 2137188867TC</v>
      </c>
      <c r="D783" s="7" t="n">
        <f aca="false">Chase1168_2025!D783</f>
        <v>-1250</v>
      </c>
      <c r="E783" s="0" t="str">
        <f aca="false">Chase1168_2025!E783</f>
        <v>ACH_DEBIT</v>
      </c>
      <c r="F783" s="7" t="n">
        <f aca="false">Chase1168_2025!F783</f>
        <v>153941.96</v>
      </c>
      <c r="G783" s="0" t="str">
        <f aca="false">Chase1168_2025!G783</f>
        <v>Venmo</v>
      </c>
      <c r="H783" s="15" t="n">
        <f aca="false">IF($B783="","",DATE(YEAR($B783),MONTH($B783),1))</f>
        <v>45870</v>
      </c>
      <c r="I783" s="0" t="str">
        <f aca="false">IF($G783="","Uncategorized — Review",IFERROR(INDEX(Mapping!$B:$B,MATCH($G783,Mapping!$A:$A,0)),"Uncategorized — Review"))</f>
        <v>Venmo</v>
      </c>
      <c r="J783" s="0" t="str">
        <f aca="false">IF($G783="","Uncategorized — Review",IFERROR(INDEX(Mapping!$C:$C,MATCH($G783,Mapping!$A:$A,0)),"Uncategorized — Review"))</f>
        <v>P2P Payments (Zelle/Venmo/PayPal)</v>
      </c>
    </row>
    <row r="784" customFormat="false" ht="15" hidden="false" customHeight="false" outlineLevel="0" collapsed="false">
      <c r="A784" s="0" t="str">
        <f aca="false">Chase1168_2025!A784</f>
        <v>DEBIT</v>
      </c>
      <c r="B784" s="14" t="n">
        <f aca="false">Chase1168_2025!B784</f>
        <v>45870</v>
      </c>
      <c r="C784" s="0" t="str">
        <f aca="false">Chase1168_2025!C784</f>
        <v>ORIG CO NAME:BLUESHIELDCA           ORIG ID:7529219311 DESC DATE:250731 CO ENTRY DESCR:BILL PAY  SEC:CCD    TRACE#:031101115357690 EED:250801   IND ID:15688263761                  IND NAME:ANGELA DUNNING TRN: 2135357690TC</v>
      </c>
      <c r="D784" s="7" t="n">
        <f aca="false">Chase1168_2025!D784</f>
        <v>-870.55</v>
      </c>
      <c r="E784" s="0" t="str">
        <f aca="false">Chase1168_2025!E784</f>
        <v>ACH_DEBIT</v>
      </c>
      <c r="F784" s="7" t="n">
        <f aca="false">Chase1168_2025!F784</f>
        <v>155191.96</v>
      </c>
      <c r="G784" s="0" t="str">
        <f aca="false">Chase1168_2025!G784</f>
        <v>Personal - Health Insurance</v>
      </c>
      <c r="H784" s="15" t="n">
        <f aca="false">IF($B784="","",DATE(YEAR($B784),MONTH($B784),1))</f>
        <v>45870</v>
      </c>
      <c r="I784" s="0" t="str">
        <f aca="false">IF($G784="","Uncategorized — Review",IFERROR(INDEX(Mapping!$B:$B,MATCH($G784,Mapping!$A:$A,0)),"Uncategorized — Review"))</f>
        <v>Personal - Health (incl. Ins.)</v>
      </c>
      <c r="J784" s="0" t="str">
        <f aca="false">IF($G784="","Uncategorized — Review",IFERROR(INDEX(Mapping!$C:$C,MATCH($G784,Mapping!$A:$A,0)),"Uncategorized — Review"))</f>
        <v>Personal — Owner</v>
      </c>
    </row>
    <row r="785" customFormat="false" ht="15" hidden="false" customHeight="false" outlineLevel="0" collapsed="false">
      <c r="A785" s="0" t="str">
        <f aca="false">Chase1168_2025!A785</f>
        <v>DEBIT</v>
      </c>
      <c r="B785" s="14" t="n">
        <f aca="false">Chase1168_2025!B785</f>
        <v>45869</v>
      </c>
      <c r="C785" s="0" t="str">
        <f aca="false">Chase1168_2025!C785</f>
        <v>ONLINE FX INTERNATIONAL WIRE FEE</v>
      </c>
      <c r="D785" s="7" t="n">
        <f aca="false">Chase1168_2025!D785</f>
        <v>-5</v>
      </c>
      <c r="E785" s="0" t="str">
        <f aca="false">Chase1168_2025!E785</f>
        <v>FEE_TRANSACTION</v>
      </c>
      <c r="F785" s="7" t="n">
        <f aca="false">Chase1168_2025!F785</f>
        <v>156062.51</v>
      </c>
      <c r="G785" s="0" t="str">
        <f aca="false">Chase1168_2025!G785</f>
        <v>Andres Alarcon Payroll</v>
      </c>
      <c r="H785" s="15" t="n">
        <f aca="false">IF($B785="","",DATE(YEAR($B785),MONTH($B785),1))</f>
        <v>45839</v>
      </c>
      <c r="I785" s="0" t="str">
        <f aca="false">IF($G785="","Uncategorized — Review",IFERROR(INDEX(Mapping!$B:$B,MATCH($G785,Mapping!$A:$A,0)),"Uncategorized — Review"))</f>
        <v>Andres Alarcon Payroll</v>
      </c>
      <c r="J785" s="0" t="str">
        <f aca="false">IF($G785="","Uncategorized — Review",IFERROR(INDEX(Mapping!$C:$C,MATCH($G785,Mapping!$A:$A,0)),"Uncategorized — Review"))</f>
        <v>Payroll &amp; Contractors</v>
      </c>
    </row>
    <row r="786" customFormat="false" ht="15" hidden="false" customHeight="false" outlineLevel="0" collapsed="false">
      <c r="A786" s="0" t="str">
        <f aca="false">Chase1168_2025!A786</f>
        <v>DEBIT</v>
      </c>
      <c r="B786" s="14" t="n">
        <f aca="false">Chase1168_2025!B786</f>
        <v>45869</v>
      </c>
      <c r="C786" s="0" t="str">
        <f aca="false">Chase1168_2025!C786</f>
        <v>ORIG CO NAME:TXU ENERGY             ORIG ID:1001020329 DESC DATE:       CO ENTRY DESCR:TXUE_ACH  SEC:WEB    TRACE#:021000021631397 EED:250731   IND ID:900062431557                 IND NAME:DWG CAPITAL GROUP          17333702810000000000000000000003505 2950605                                       DIRECT DEBITING TRN: 2121631397TC</v>
      </c>
      <c r="D786" s="7" t="n">
        <f aca="false">Chase1168_2025!D786</f>
        <v>-524.5</v>
      </c>
      <c r="E786" s="0" t="str">
        <f aca="false">Chase1168_2025!E786</f>
        <v>ACH_DEBIT</v>
      </c>
      <c r="F786" s="7" t="n">
        <f aca="false">Chase1168_2025!F786</f>
        <v>156067.51</v>
      </c>
      <c r="G786" s="0" t="str">
        <f aca="false">Chase1168_2025!G786</f>
        <v>Texas - House Utilities</v>
      </c>
      <c r="H786" s="15" t="n">
        <f aca="false">IF($B786="","",DATE(YEAR($B786),MONTH($B786),1))</f>
        <v>45839</v>
      </c>
      <c r="I786" s="0" t="str">
        <f aca="false">IF($G786="","Uncategorized — Review",IFERROR(INDEX(Mapping!$B:$B,MATCH($G786,Mapping!$A:$A,0)),"Uncategorized — Review"))</f>
        <v>Texas - House Utilities</v>
      </c>
      <c r="J786" s="0" t="str">
        <f aca="false">IF($G786="","Uncategorized — Review",IFERROR(INDEX(Mapping!$C:$C,MATCH($G786,Mapping!$A:$A,0)),"Uncategorized — Review"))</f>
        <v>Personal — Owner</v>
      </c>
    </row>
    <row r="787" customFormat="false" ht="15" hidden="false" customHeight="false" outlineLevel="0" collapsed="false">
      <c r="A787" s="0" t="str">
        <f aca="false">Chase1168_2025!A787</f>
        <v>DEBIT</v>
      </c>
      <c r="B787" s="14" t="n">
        <f aca="false">Chase1168_2025!B787</f>
        <v>45869</v>
      </c>
      <c r="C787" s="0" t="str">
        <f aca="false">Chase1168_2025!C787</f>
        <v>ORIG CO NAME:GEICO                  ORIG ID:3530075853 DESC DATE:250730 CO ENTRY DESCR:PREM COLL SEC:PPD    TRACE#:021000023110725 EED:250731   IND ID:                             IND NAME:ANGELA TRN: 2123110725TC</v>
      </c>
      <c r="D787" s="7" t="n">
        <f aca="false">Chase1168_2025!D787</f>
        <v>-689</v>
      </c>
      <c r="E787" s="0" t="str">
        <f aca="false">Chase1168_2025!E787</f>
        <v>ACH_DEBIT</v>
      </c>
      <c r="F787" s="7" t="n">
        <f aca="false">Chase1168_2025!F787</f>
        <v>156592.01</v>
      </c>
      <c r="G787" s="0" t="str">
        <f aca="false">Chase1168_2025!G787</f>
        <v>Personal - Car Insurance</v>
      </c>
      <c r="H787" s="15" t="n">
        <f aca="false">IF($B787="","",DATE(YEAR($B787),MONTH($B787),1))</f>
        <v>45839</v>
      </c>
      <c r="I787" s="0" t="str">
        <f aca="false">IF($G787="","Uncategorized — Review",IFERROR(INDEX(Mapping!$B:$B,MATCH($G787,Mapping!$A:$A,0)),"Uncategorized — Review"))</f>
        <v>Personal - Car &amp; Auto</v>
      </c>
      <c r="J787" s="0" t="str">
        <f aca="false">IF($G787="","Uncategorized — Review",IFERROR(INDEX(Mapping!$C:$C,MATCH($G787,Mapping!$A:$A,0)),"Uncategorized — Review"))</f>
        <v>Personal — Owner</v>
      </c>
    </row>
    <row r="788" customFormat="false" ht="15" hidden="false" customHeight="false" outlineLevel="0" collapsed="false">
      <c r="A788" s="0" t="str">
        <f aca="false">Chase1168_2025!A788</f>
        <v>DEBIT</v>
      </c>
      <c r="B788" s="14" t="n">
        <f aca="false">Chase1168_2025!B788</f>
        <v>45869</v>
      </c>
      <c r="C788" s="0" t="str">
        <f aca="false">Chase1168_2025!C788</f>
        <v>ONLINE INTERNATIONAL WIRE TRANSFER A/C: FOREIGN CUR BUS ACCT BK 1 COLUMBUS NEWARK DE 197132107 US ORG: 00000000283681168 DWG CAPITAL GROUP BEN:/00714849981 MARIA FERNANDA ALARCON PIEDRAHITA REF: TAXID1017222855/TEL573207819186/SAV/SALARY/PAYROLL PAYMENTS/OCMT/COP30 12090,08/EXCH/4016.1201/CNTR/474078 26/INT/ANDRES_52763ATHOTMAIL.C TRN: 7442100212RE 07/31</v>
      </c>
      <c r="D788" s="7" t="n">
        <f aca="false">Chase1168_2025!D788</f>
        <v>-750</v>
      </c>
      <c r="E788" s="0" t="str">
        <f aca="false">Chase1168_2025!E788</f>
        <v>WIRE_OUTGOING</v>
      </c>
      <c r="F788" s="7" t="n">
        <f aca="false">Chase1168_2025!F788</f>
        <v>157281.01</v>
      </c>
      <c r="G788" s="0" t="str">
        <f aca="false">Chase1168_2025!G788</f>
        <v>Andres Alarcon Payroll</v>
      </c>
      <c r="H788" s="15" t="n">
        <f aca="false">IF($B788="","",DATE(YEAR($B788),MONTH($B788),1))</f>
        <v>45839</v>
      </c>
      <c r="I788" s="0" t="str">
        <f aca="false">IF($G788="","Uncategorized — Review",IFERROR(INDEX(Mapping!$B:$B,MATCH($G788,Mapping!$A:$A,0)),"Uncategorized — Review"))</f>
        <v>Andres Alarcon Payroll</v>
      </c>
      <c r="J788" s="0" t="str">
        <f aca="false">IF($G788="","Uncategorized — Review",IFERROR(INDEX(Mapping!$C:$C,MATCH($G788,Mapping!$A:$A,0)),"Uncategorized — Review"))</f>
        <v>Payroll &amp; Contractors</v>
      </c>
    </row>
    <row r="789" customFormat="false" ht="15" hidden="false" customHeight="false" outlineLevel="0" collapsed="false">
      <c r="A789" s="0" t="str">
        <f aca="false">Chase1168_2025!A789</f>
        <v>DEBIT</v>
      </c>
      <c r="B789" s="14" t="n">
        <f aca="false">Chase1168_2025!B789</f>
        <v>45869</v>
      </c>
      <c r="C789" s="0" t="str">
        <f aca="false">Chase1168_2025!C789</f>
        <v>PAYPAL *FIREMENFUND D 402-935-7733 CA        07/31</v>
      </c>
      <c r="D789" s="7" t="n">
        <f aca="false">Chase1168_2025!D789</f>
        <v>-103</v>
      </c>
      <c r="E789" s="0" t="str">
        <f aca="false">Chase1168_2025!E789</f>
        <v>DEBIT_CARD</v>
      </c>
      <c r="F789" s="7" t="n">
        <f aca="false">Chase1168_2025!F789</f>
        <v>158031.01</v>
      </c>
      <c r="G789" s="0" t="str">
        <f aca="false">Chase1168_2025!G789</f>
        <v>Donation</v>
      </c>
      <c r="H789" s="15" t="n">
        <f aca="false">IF($B789="","",DATE(YEAR($B789),MONTH($B789),1))</f>
        <v>45839</v>
      </c>
      <c r="I789" s="0" t="str">
        <f aca="false">IF($G789="","Uncategorized — Review",IFERROR(INDEX(Mapping!$B:$B,MATCH($G789,Mapping!$A:$A,0)),"Uncategorized — Review"))</f>
        <v>Donation</v>
      </c>
      <c r="J789" s="0" t="str">
        <f aca="false">IF($G789="","Uncategorized — Review",IFERROR(INDEX(Mapping!$C:$C,MATCH($G789,Mapping!$A:$A,0)),"Uncategorized — Review"))</f>
        <v>DWG Operating</v>
      </c>
    </row>
    <row r="790" customFormat="false" ht="15" hidden="false" customHeight="false" outlineLevel="0" collapsed="false">
      <c r="A790" s="0" t="str">
        <f aca="false">Chase1168_2025!A790</f>
        <v>DEBIT</v>
      </c>
      <c r="B790" s="14" t="n">
        <f aca="false">Chase1168_2025!B790</f>
        <v>45869</v>
      </c>
      <c r="C790" s="0" t="str">
        <f aca="false">Chase1168_2025!C790</f>
        <v>Online Payment 25666134597 To PENTAGON FEDERAL CREDIT UNION 07/31</v>
      </c>
      <c r="D790" s="7" t="n">
        <f aca="false">Chase1168_2025!D790</f>
        <v>-7010</v>
      </c>
      <c r="E790" s="0" t="str">
        <f aca="false">Chase1168_2025!E790</f>
        <v>BILLPAY</v>
      </c>
      <c r="F790" s="7" t="n">
        <f aca="false">Chase1168_2025!F790</f>
        <v>158134.01</v>
      </c>
      <c r="G790" s="0" t="str">
        <f aca="false">Chase1168_2025!G790</f>
        <v>Personal - California Mortgage PMT</v>
      </c>
      <c r="H790" s="15" t="n">
        <f aca="false">IF($B790="","",DATE(YEAR($B790),MONTH($B790),1))</f>
        <v>45839</v>
      </c>
      <c r="I790" s="0" t="str">
        <f aca="false">IF($G790="","Uncategorized — Review",IFERROR(INDEX(Mapping!$B:$B,MATCH($G790,Mapping!$A:$A,0)),"Uncategorized — Review"))</f>
        <v>Personal - California Mortgage PMT</v>
      </c>
      <c r="J790" s="0" t="str">
        <f aca="false">IF($G790="","Uncategorized — Review",IFERROR(INDEX(Mapping!$C:$C,MATCH($G790,Mapping!$A:$A,0)),"Uncategorized — Review"))</f>
        <v>Personal — Owner</v>
      </c>
    </row>
    <row r="791" customFormat="false" ht="15" hidden="false" customHeight="false" outlineLevel="0" collapsed="false">
      <c r="A791" s="0" t="str">
        <f aca="false">Chase1168_2025!A791</f>
        <v>DEBIT</v>
      </c>
      <c r="B791" s="14" t="n">
        <f aca="false">Chase1168_2025!B791</f>
        <v>45869</v>
      </c>
      <c r="C791" s="0" t="str">
        <f aca="false">Chase1168_2025!C791</f>
        <v>Online Payment 25666140748 To MERCEDES BENZ FINANCIAL 07/31</v>
      </c>
      <c r="D791" s="7" t="n">
        <f aca="false">Chase1168_2025!D791</f>
        <v>-412</v>
      </c>
      <c r="E791" s="0" t="str">
        <f aca="false">Chase1168_2025!E791</f>
        <v>BILLPAY</v>
      </c>
      <c r="F791" s="7" t="n">
        <f aca="false">Chase1168_2025!F791</f>
        <v>165144.01</v>
      </c>
      <c r="G791" s="0" t="str">
        <f aca="false">Chase1168_2025!G791</f>
        <v>Personal - Car (Mercedes)</v>
      </c>
      <c r="H791" s="15" t="n">
        <f aca="false">IF($B791="","",DATE(YEAR($B791),MONTH($B791),1))</f>
        <v>45839</v>
      </c>
      <c r="I791" s="0" t="str">
        <f aca="false">IF($G791="","Uncategorized — Review",IFERROR(INDEX(Mapping!$B:$B,MATCH($G791,Mapping!$A:$A,0)),"Uncategorized — Review"))</f>
        <v>Personal - Car &amp; Auto</v>
      </c>
      <c r="J791" s="0" t="str">
        <f aca="false">IF($G791="","Uncategorized — Review",IFERROR(INDEX(Mapping!$C:$C,MATCH($G791,Mapping!$A:$A,0)),"Uncategorized — Review"))</f>
        <v>Personal — Owner</v>
      </c>
    </row>
    <row r="792" customFormat="false" ht="15" hidden="false" customHeight="false" outlineLevel="0" collapsed="false">
      <c r="A792" s="0" t="str">
        <f aca="false">Chase1168_2025!A792</f>
        <v>DEBIT</v>
      </c>
      <c r="B792" s="14" t="n">
        <f aca="false">Chase1168_2025!B792</f>
        <v>45869</v>
      </c>
      <c r="C792" s="0" t="str">
        <f aca="false">Chase1168_2025!C792</f>
        <v>PP*APPLE.COM/BILL 800-275-2273 CA            07/31</v>
      </c>
      <c r="D792" s="7" t="n">
        <f aca="false">Chase1168_2025!D792</f>
        <v>-18.99</v>
      </c>
      <c r="E792" s="0" t="str">
        <f aca="false">Chase1168_2025!E792</f>
        <v>DEBIT_CARD</v>
      </c>
      <c r="F792" s="7" t="n">
        <f aca="false">Chase1168_2025!F792</f>
        <v>165556.01</v>
      </c>
      <c r="G792" s="0" t="str">
        <f aca="false">Chase1168_2025!G792</f>
        <v>Personal - Subscriptions</v>
      </c>
      <c r="H792" s="15" t="n">
        <f aca="false">IF($B792="","",DATE(YEAR($B792),MONTH($B792),1))</f>
        <v>45839</v>
      </c>
      <c r="I792" s="0" t="str">
        <f aca="false">IF($G792="","Uncategorized — Review",IFERROR(INDEX(Mapping!$B:$B,MATCH($G792,Mapping!$A:$A,0)),"Uncategorized — Review"))</f>
        <v>Personal - Subscriptions</v>
      </c>
      <c r="J792" s="0" t="str">
        <f aca="false">IF($G792="","Uncategorized — Review",IFERROR(INDEX(Mapping!$C:$C,MATCH($G792,Mapping!$A:$A,0)),"Uncategorized — Review"))</f>
        <v>Personal — Owner</v>
      </c>
    </row>
    <row r="793" customFormat="false" ht="15" hidden="false" customHeight="false" outlineLevel="0" collapsed="false">
      <c r="A793" s="0" t="str">
        <f aca="false">Chase1168_2025!A793</f>
        <v>DEBIT</v>
      </c>
      <c r="B793" s="14" t="n">
        <f aca="false">Chase1168_2025!B793</f>
        <v>45868</v>
      </c>
      <c r="C793" s="0" t="str">
        <f aca="false">Chase1168_2025!C793</f>
        <v>Zelle payment to Francisco Bautista  25666025002</v>
      </c>
      <c r="D793" s="7" t="n">
        <f aca="false">Chase1168_2025!D793</f>
        <v>-200</v>
      </c>
      <c r="E793" s="0" t="str">
        <f aca="false">Chase1168_2025!E793</f>
        <v>QUICKPAY_DEBIT</v>
      </c>
      <c r="F793" s="7" t="n">
        <f aca="false">Chase1168_2025!F793</f>
        <v>165575</v>
      </c>
      <c r="G793" s="0" t="str">
        <f aca="false">Chase1168_2025!G793</f>
        <v>Zelle - Francisco Bautista</v>
      </c>
      <c r="H793" s="15" t="n">
        <f aca="false">IF($B793="","",DATE(YEAR($B793),MONTH($B793),1))</f>
        <v>45839</v>
      </c>
      <c r="I793" s="0" t="str">
        <f aca="false">IF($G793="","Uncategorized — Review",IFERROR(INDEX(Mapping!$B:$B,MATCH($G793,Mapping!$A:$A,0)),"Uncategorized — Review"))</f>
        <v>Zelle - Francisco Bautista</v>
      </c>
      <c r="J793" s="0" t="str">
        <f aca="false">IF($G793="","Uncategorized — Review",IFERROR(INDEX(Mapping!$C:$C,MATCH($G793,Mapping!$A:$A,0)),"Uncategorized — Review"))</f>
        <v>P2P Payments (Zelle/Venmo/PayPal)</v>
      </c>
    </row>
    <row r="794" customFormat="false" ht="15" hidden="false" customHeight="false" outlineLevel="0" collapsed="false">
      <c r="A794" s="0" t="str">
        <f aca="false">Chase1168_2025!A794</f>
        <v>DEBIT</v>
      </c>
      <c r="B794" s="14" t="n">
        <f aca="false">Chase1168_2025!B794</f>
        <v>45868</v>
      </c>
      <c r="C794" s="0" t="str">
        <f aca="false">Chase1168_2025!C794</f>
        <v>ORIG CO NAME:VENMO                  ORIG ID:3264681992 DESC DATE:250730 CO ENTRY DESCR:PAYMENT   SEC:WEB    TRACE#:021000021767376 EED:250730   IND ID:1043849889018                IND NAME:JUDD DUNNING                                                                                                 250730PPZNJE TRN: 2111767376TC</v>
      </c>
      <c r="D794" s="7" t="n">
        <f aca="false">Chase1168_2025!D794</f>
        <v>-30</v>
      </c>
      <c r="E794" s="0" t="str">
        <f aca="false">Chase1168_2025!E794</f>
        <v>ACH_DEBIT</v>
      </c>
      <c r="F794" s="7" t="n">
        <f aca="false">Chase1168_2025!F794</f>
        <v>165775</v>
      </c>
      <c r="G794" s="0" t="str">
        <f aca="false">Chase1168_2025!G794</f>
        <v>Venmo</v>
      </c>
      <c r="H794" s="15" t="n">
        <f aca="false">IF($B794="","",DATE(YEAR($B794),MONTH($B794),1))</f>
        <v>45839</v>
      </c>
      <c r="I794" s="0" t="str">
        <f aca="false">IF($G794="","Uncategorized — Review",IFERROR(INDEX(Mapping!$B:$B,MATCH($G794,Mapping!$A:$A,0)),"Uncategorized — Review"))</f>
        <v>Venmo</v>
      </c>
      <c r="J794" s="0" t="str">
        <f aca="false">IF($G794="","Uncategorized — Review",IFERROR(INDEX(Mapping!$C:$C,MATCH($G794,Mapping!$A:$A,0)),"Uncategorized — Review"))</f>
        <v>P2P Payments (Zelle/Venmo/PayPal)</v>
      </c>
    </row>
    <row r="795" customFormat="false" ht="15" hidden="false" customHeight="false" outlineLevel="0" collapsed="false">
      <c r="A795" s="0" t="str">
        <f aca="false">Chase1168_2025!A795</f>
        <v>DEBIT</v>
      </c>
      <c r="B795" s="14" t="n">
        <f aca="false">Chase1168_2025!B795</f>
        <v>45868</v>
      </c>
      <c r="C795" s="0" t="str">
        <f aca="false">Chase1168_2025!C795</f>
        <v>ORIG CO NAME:SBA EIDL LOAN          ORIG ID:7300000118 DESC DATE:250729 CO ENTRY DESCR:PAYMENT   SEC:CCD    TRACE#:041036048087088 EED:250730   IND ID:0000                         IND NAME:JOHN DUNNING               1871308204                                                                        ACH TRANSACTION TRN: 2118087088TC</v>
      </c>
      <c r="D795" s="7" t="n">
        <f aca="false">Chase1168_2025!D795</f>
        <v>-2524</v>
      </c>
      <c r="E795" s="0" t="str">
        <f aca="false">Chase1168_2025!E795</f>
        <v>ACH_DEBIT</v>
      </c>
      <c r="F795" s="7" t="n">
        <f aca="false">Chase1168_2025!F795</f>
        <v>165805</v>
      </c>
      <c r="G795" s="0" t="str">
        <f aca="false">Chase1168_2025!G795</f>
        <v>SBC EIDL Loan</v>
      </c>
      <c r="H795" s="15" t="n">
        <f aca="false">IF($B795="","",DATE(YEAR($B795),MONTH($B795),1))</f>
        <v>45839</v>
      </c>
      <c r="I795" s="0" t="str">
        <f aca="false">IF($G795="","Uncategorized — Review",IFERROR(INDEX(Mapping!$B:$B,MATCH($G795,Mapping!$A:$A,0)),"Uncategorized — Review"))</f>
        <v>SBC EIDL Loan</v>
      </c>
      <c r="J795" s="0" t="str">
        <f aca="false">IF($G795="","Uncategorized — Review",IFERROR(INDEX(Mapping!$C:$C,MATCH($G795,Mapping!$A:$A,0)),"Uncategorized — Review"))</f>
        <v>Credit Card &amp; Loan Payments</v>
      </c>
    </row>
    <row r="796" customFormat="false" ht="15" hidden="false" customHeight="false" outlineLevel="0" collapsed="false">
      <c r="A796" s="0" t="str">
        <f aca="false">Chase1168_2025!A796</f>
        <v>DEBIT</v>
      </c>
      <c r="B796" s="14" t="n">
        <f aca="false">Chase1168_2025!B796</f>
        <v>45868</v>
      </c>
      <c r="C796" s="0" t="str">
        <f aca="false">Chase1168_2025!C796</f>
        <v>Online Transfer to CHK ...1117 transaction#: 25655989311 07/30</v>
      </c>
      <c r="D796" s="7" t="n">
        <f aca="false">Chase1168_2025!D796</f>
        <v>-10000</v>
      </c>
      <c r="E796" s="0" t="str">
        <f aca="false">Chase1168_2025!E796</f>
        <v>ACCT_XFER</v>
      </c>
      <c r="F796" s="7" t="n">
        <f aca="false">Chase1168_2025!F796</f>
        <v>168329</v>
      </c>
      <c r="G796" s="0" t="str">
        <f aca="false">Chase1168_2025!G796</f>
        <v>Transfer to Angela Dunning</v>
      </c>
      <c r="H796" s="15" t="n">
        <f aca="false">IF($B796="","",DATE(YEAR($B796),MONTH($B796),1))</f>
        <v>45839</v>
      </c>
      <c r="I796" s="0" t="str">
        <f aca="false">IF($G796="","Uncategorized — Review",IFERROR(INDEX(Mapping!$B:$B,MATCH($G796,Mapping!$A:$A,0)),"Uncategorized — Review"))</f>
        <v>Transfer to Angela Dunning</v>
      </c>
      <c r="J796" s="0" t="str">
        <f aca="false">IF($G796="","Uncategorized — Review",IFERROR(INDEX(Mapping!$C:$C,MATCH($G796,Mapping!$A:$A,0)),"Uncategorized — Review"))</f>
        <v>Owner / Family Distributions</v>
      </c>
    </row>
    <row r="797" customFormat="false" ht="15" hidden="false" customHeight="false" outlineLevel="0" collapsed="false">
      <c r="A797" s="0" t="str">
        <f aca="false">Chase1168_2025!A797</f>
        <v>DEBIT</v>
      </c>
      <c r="B797" s="14" t="n">
        <f aca="false">Chase1168_2025!B797</f>
        <v>45867</v>
      </c>
      <c r="C797" s="0" t="str">
        <f aca="false">Chase1168_2025!C797</f>
        <v>Zelle payment to jeff seider JPM99bhf08k8</v>
      </c>
      <c r="D797" s="7" t="n">
        <f aca="false">Chase1168_2025!D797</f>
        <v>-150</v>
      </c>
      <c r="E797" s="0" t="str">
        <f aca="false">Chase1168_2025!E797</f>
        <v>CHASE_TO_PARTNERFI</v>
      </c>
      <c r="F797" s="7" t="n">
        <f aca="false">Chase1168_2025!F797</f>
        <v>178329</v>
      </c>
      <c r="G797" s="0" t="str">
        <f aca="false">Chase1168_2025!G797</f>
        <v>Zelle - Jeff Seider</v>
      </c>
      <c r="H797" s="15" t="n">
        <f aca="false">IF($B797="","",DATE(YEAR($B797),MONTH($B797),1))</f>
        <v>45839</v>
      </c>
      <c r="I797" s="0" t="str">
        <f aca="false">IF($G797="","Uncategorized — Review",IFERROR(INDEX(Mapping!$B:$B,MATCH($G797,Mapping!$A:$A,0)),"Uncategorized — Review"))</f>
        <v>Zelle - Jeff Seider</v>
      </c>
      <c r="J797" s="0" t="str">
        <f aca="false">IF($G797="","Uncategorized — Review",IFERROR(INDEX(Mapping!$C:$C,MATCH($G797,Mapping!$A:$A,0)),"Uncategorized — Review"))</f>
        <v>P2P Payments (Zelle/Venmo/PayPal)</v>
      </c>
    </row>
    <row r="798" customFormat="false" ht="15" hidden="false" customHeight="false" outlineLevel="0" collapsed="false">
      <c r="A798" s="0" t="str">
        <f aca="false">Chase1168_2025!A798</f>
        <v>DEBIT</v>
      </c>
      <c r="B798" s="14" t="n">
        <f aca="false">Chase1168_2025!B798</f>
        <v>45867</v>
      </c>
      <c r="C798" s="0" t="str">
        <f aca="false">Chase1168_2025!C798</f>
        <v>ORIG CO NAME:GEICO                  ORIG ID:3530075853 DESC DATE:250728 CO ENTRY DESCR:PREM COLL SEC:PPD    TRACE#:021000026809970 EED:250729   IND ID:                             IND NAME:ANGELA DUNNING TRN: 2106809970TC</v>
      </c>
      <c r="D798" s="7" t="n">
        <f aca="false">Chase1168_2025!D798</f>
        <v>-438.84</v>
      </c>
      <c r="E798" s="0" t="str">
        <f aca="false">Chase1168_2025!E798</f>
        <v>ACH_DEBIT</v>
      </c>
      <c r="F798" s="7" t="n">
        <f aca="false">Chase1168_2025!F798</f>
        <v>178479</v>
      </c>
      <c r="G798" s="0" t="str">
        <f aca="false">Chase1168_2025!G798</f>
        <v>Personal - Car Insurance</v>
      </c>
      <c r="H798" s="15" t="n">
        <f aca="false">IF($B798="","",DATE(YEAR($B798),MONTH($B798),1))</f>
        <v>45839</v>
      </c>
      <c r="I798" s="0" t="str">
        <f aca="false">IF($G798="","Uncategorized — Review",IFERROR(INDEX(Mapping!$B:$B,MATCH($G798,Mapping!$A:$A,0)),"Uncategorized — Review"))</f>
        <v>Personal - Car &amp; Auto</v>
      </c>
      <c r="J798" s="0" t="str">
        <f aca="false">IF($G798="","Uncategorized — Review",IFERROR(INDEX(Mapping!$C:$C,MATCH($G798,Mapping!$A:$A,0)),"Uncategorized — Review"))</f>
        <v>Personal — Owner</v>
      </c>
    </row>
    <row r="799" customFormat="false" ht="15" hidden="false" customHeight="false" outlineLevel="0" collapsed="false">
      <c r="A799" s="0" t="str">
        <f aca="false">Chase1168_2025!A799</f>
        <v>DEBIT</v>
      </c>
      <c r="B799" s="14" t="n">
        <f aca="false">Chase1168_2025!B799</f>
        <v>45867</v>
      </c>
      <c r="C799" s="0" t="str">
        <f aca="false">Chase1168_2025!C799</f>
        <v>UPWORK * -831380922 866-262-4478 CA          07/28</v>
      </c>
      <c r="D799" s="7" t="n">
        <f aca="false">Chase1168_2025!D799</f>
        <v>-1592.5</v>
      </c>
      <c r="E799" s="0" t="str">
        <f aca="false">Chase1168_2025!E799</f>
        <v>DEBIT_CARD</v>
      </c>
      <c r="F799" s="7" t="n">
        <f aca="false">Chase1168_2025!F799</f>
        <v>178917.84</v>
      </c>
      <c r="G799" s="0" t="str">
        <f aca="false">Chase1168_2025!G799</f>
        <v>Upwork - Sergei M.</v>
      </c>
      <c r="H799" s="15" t="n">
        <f aca="false">IF($B799="","",DATE(YEAR($B799),MONTH($B799),1))</f>
        <v>45839</v>
      </c>
      <c r="I799" s="0" t="str">
        <f aca="false">IF($G799="","Uncategorized — Review",IFERROR(INDEX(Mapping!$B:$B,MATCH($G799,Mapping!$A:$A,0)),"Uncategorized — Review"))</f>
        <v>Upwork - Sergei M.</v>
      </c>
      <c r="J799" s="0" t="str">
        <f aca="false">IF($G799="","Uncategorized — Review",IFERROR(INDEX(Mapping!$C:$C,MATCH($G799,Mapping!$A:$A,0)),"Uncategorized — Review"))</f>
        <v>Payroll &amp; Contractors</v>
      </c>
    </row>
    <row r="800" customFormat="false" ht="15" hidden="false" customHeight="false" outlineLevel="0" collapsed="false">
      <c r="A800" s="0" t="str">
        <f aca="false">Chase1168_2025!A800</f>
        <v>CREDIT</v>
      </c>
      <c r="B800" s="14" t="n">
        <f aca="false">Chase1168_2025!B800</f>
        <v>45867</v>
      </c>
      <c r="C800" s="0" t="str">
        <f aca="false">Chase1168_2025!C800</f>
        <v>BOOK TRANSFER CREDIT B/O: EASTMAN PARK INDUSTRIAL, LLC DALLAS TX 75219-3216 US REF: LOAN COMMISSION 9952 EASTMAN PARK DRIVE (KODAK) TRN: 3084975210ES</v>
      </c>
      <c r="D800" s="7" t="n">
        <f aca="false">Chase1168_2025!D800</f>
        <v>170000</v>
      </c>
      <c r="E800" s="0" t="str">
        <f aca="false">Chase1168_2025!E800</f>
        <v>WIRE_INCOMING</v>
      </c>
      <c r="F800" s="7" t="n">
        <f aca="false">Chase1168_2025!F800</f>
        <v>180510.34</v>
      </c>
      <c r="G800" s="0" t="str">
        <f aca="false">Chase1168_2025!G800</f>
        <v>MAG Capital Partners Pass-Through Wire – 70/30 Split</v>
      </c>
      <c r="H800" s="15" t="n">
        <f aca="false">IF($B800="","",DATE(YEAR($B800),MONTH($B800),1))</f>
        <v>45839</v>
      </c>
      <c r="I800" s="0" t="str">
        <f aca="false">IF($G800="","Uncategorized — Review",IFERROR(INDEX(Mapping!$B:$B,MATCH($G800,Mapping!$A:$A,0)),"Uncategorized — Review"))</f>
        <v>MAG Capital Partners Pass-Through Wire – 70/30 Split</v>
      </c>
      <c r="J800" s="0" t="str">
        <f aca="false">IF($G800="","Uncategorized — Review",IFERROR(INDEX(Mapping!$C:$C,MATCH($G800,Mapping!$A:$A,0)),"Uncategorized — Review"))</f>
        <v>MAG Pass-Through</v>
      </c>
    </row>
    <row r="801" customFormat="false" ht="15" hidden="false" customHeight="false" outlineLevel="0" collapsed="false">
      <c r="A801" s="0" t="str">
        <f aca="false">Chase1168_2025!A801</f>
        <v>DEBIT</v>
      </c>
      <c r="B801" s="14" t="n">
        <f aca="false">Chase1168_2025!B801</f>
        <v>45866</v>
      </c>
      <c r="C801" s="0" t="str">
        <f aca="false">Chase1168_2025!C801</f>
        <v>Online Transfer to CHK ...1117 transaction#: 25641512442 07/28</v>
      </c>
      <c r="D801" s="7" t="n">
        <f aca="false">Chase1168_2025!D801</f>
        <v>-3000</v>
      </c>
      <c r="E801" s="0" t="str">
        <f aca="false">Chase1168_2025!E801</f>
        <v>ACCT_XFER</v>
      </c>
      <c r="F801" s="7" t="n">
        <f aca="false">Chase1168_2025!F801</f>
        <v>10510.34</v>
      </c>
      <c r="G801" s="0" t="str">
        <f aca="false">Chase1168_2025!G801</f>
        <v>Transfer to Angela Dunning</v>
      </c>
      <c r="H801" s="15" t="n">
        <f aca="false">IF($B801="","",DATE(YEAR($B801),MONTH($B801),1))</f>
        <v>45839</v>
      </c>
      <c r="I801" s="0" t="str">
        <f aca="false">IF($G801="","Uncategorized — Review",IFERROR(INDEX(Mapping!$B:$B,MATCH($G801,Mapping!$A:$A,0)),"Uncategorized — Review"))</f>
        <v>Transfer to Angela Dunning</v>
      </c>
      <c r="J801" s="0" t="str">
        <f aca="false">IF($G801="","Uncategorized — Review",IFERROR(INDEX(Mapping!$C:$C,MATCH($G801,Mapping!$A:$A,0)),"Uncategorized — Review"))</f>
        <v>Owner / Family Distributions</v>
      </c>
    </row>
    <row r="802" customFormat="false" ht="15" hidden="false" customHeight="false" outlineLevel="0" collapsed="false">
      <c r="A802" s="0" t="str">
        <f aca="false">Chase1168_2025!A802</f>
        <v>DEBIT</v>
      </c>
      <c r="B802" s="14" t="n">
        <f aca="false">Chase1168_2025!B802</f>
        <v>45866</v>
      </c>
      <c r="C802" s="0" t="str">
        <f aca="false">Chase1168_2025!C802</f>
        <v>Basic Online Payroll Payment 11180834649 to ########4122</v>
      </c>
      <c r="D802" s="7" t="n">
        <f aca="false">Chase1168_2025!D802</f>
        <v>-1500</v>
      </c>
      <c r="E802" s="0" t="str">
        <f aca="false">Chase1168_2025!E802</f>
        <v>BASIC_PAYROLL</v>
      </c>
      <c r="F802" s="7" t="n">
        <f aca="false">Chase1168_2025!F802</f>
        <v>13510.34</v>
      </c>
      <c r="G802" s="0" t="str">
        <f aca="false">Chase1168_2025!G802</f>
        <v>Mike Paytonjian - Payroll</v>
      </c>
      <c r="H802" s="15" t="n">
        <f aca="false">IF($B802="","",DATE(YEAR($B802),MONTH($B802),1))</f>
        <v>45839</v>
      </c>
      <c r="I802" s="0" t="str">
        <f aca="false">IF($G802="","Uncategorized — Review",IFERROR(INDEX(Mapping!$B:$B,MATCH($G802,Mapping!$A:$A,0)),"Uncategorized — Review"))</f>
        <v>Mike Paytonjian - Payroll</v>
      </c>
      <c r="J802" s="0" t="str">
        <f aca="false">IF($G802="","Uncategorized — Review",IFERROR(INDEX(Mapping!$C:$C,MATCH($G802,Mapping!$A:$A,0)),"Uncategorized — Review"))</f>
        <v>Payroll &amp; Contractors</v>
      </c>
    </row>
    <row r="803" customFormat="false" ht="15" hidden="false" customHeight="false" outlineLevel="0" collapsed="false">
      <c r="A803" s="0" t="str">
        <f aca="false">Chase1168_2025!A803</f>
        <v>DEBIT</v>
      </c>
      <c r="B803" s="14" t="n">
        <f aca="false">Chase1168_2025!B803</f>
        <v>45866</v>
      </c>
      <c r="C803" s="0" t="str">
        <f aca="false">Chase1168_2025!C803</f>
        <v>ORIG CO NAME:BANNER LIFE            ORIG ID:1521236145 DESC DATE:250727 CO ENTRY DESCR:PREM DEBITSEC:PPD    TRACE#:091000013101950 EED:250728   IND ID:                             IND NAME:ANGELA L DUNNING TRN: 2093101950TC</v>
      </c>
      <c r="D803" s="7" t="n">
        <f aca="false">Chase1168_2025!D803</f>
        <v>-12.5</v>
      </c>
      <c r="E803" s="0" t="str">
        <f aca="false">Chase1168_2025!E803</f>
        <v>ACH_DEBIT</v>
      </c>
      <c r="F803" s="7" t="n">
        <f aca="false">Chase1168_2025!F803</f>
        <v>15010.34</v>
      </c>
      <c r="G803" s="0" t="str">
        <f aca="false">Chase1168_2025!G803</f>
        <v>Personal - Life Insurance</v>
      </c>
      <c r="H803" s="15" t="n">
        <f aca="false">IF($B803="","",DATE(YEAR($B803),MONTH($B803),1))</f>
        <v>45839</v>
      </c>
      <c r="I803" s="0" t="str">
        <f aca="false">IF($G803="","Uncategorized — Review",IFERROR(INDEX(Mapping!$B:$B,MATCH($G803,Mapping!$A:$A,0)),"Uncategorized — Review"))</f>
        <v>Personal - Life Insurance</v>
      </c>
      <c r="J803" s="0" t="str">
        <f aca="false">IF($G803="","Uncategorized — Review",IFERROR(INDEX(Mapping!$C:$C,MATCH($G803,Mapping!$A:$A,0)),"Uncategorized — Review"))</f>
        <v>Personal — Owner</v>
      </c>
    </row>
    <row r="804" customFormat="false" ht="15" hidden="false" customHeight="false" outlineLevel="0" collapsed="false">
      <c r="A804" s="0" t="str">
        <f aca="false">Chase1168_2025!A804</f>
        <v>DEBIT</v>
      </c>
      <c r="B804" s="14" t="n">
        <f aca="false">Chase1168_2025!B804</f>
        <v>45866</v>
      </c>
      <c r="C804" s="0" t="str">
        <f aca="false">Chase1168_2025!C804</f>
        <v>ORIG CO NAME:BANNER LIFE            ORIG ID:1521236145 DESC DATE:250727 CO ENTRY DESCR:PREM DEBITSEC:PPD    TRACE#:091000013101951 EED:250728   IND ID:                             IND NAME:JOHN  DUNNING TRN: 2093101951TC</v>
      </c>
      <c r="D804" s="7" t="n">
        <f aca="false">Chase1168_2025!D804</f>
        <v>-22.92</v>
      </c>
      <c r="E804" s="0" t="str">
        <f aca="false">Chase1168_2025!E804</f>
        <v>ACH_DEBIT</v>
      </c>
      <c r="F804" s="7" t="n">
        <f aca="false">Chase1168_2025!F804</f>
        <v>15022.84</v>
      </c>
      <c r="G804" s="0" t="str">
        <f aca="false">Chase1168_2025!G804</f>
        <v>Personal - Life Insurance</v>
      </c>
      <c r="H804" s="15" t="n">
        <f aca="false">IF($B804="","",DATE(YEAR($B804),MONTH($B804),1))</f>
        <v>45839</v>
      </c>
      <c r="I804" s="0" t="str">
        <f aca="false">IF($G804="","Uncategorized — Review",IFERROR(INDEX(Mapping!$B:$B,MATCH($G804,Mapping!$A:$A,0)),"Uncategorized — Review"))</f>
        <v>Personal - Life Insurance</v>
      </c>
      <c r="J804" s="0" t="str">
        <f aca="false">IF($G804="","Uncategorized — Review",IFERROR(INDEX(Mapping!$C:$C,MATCH($G804,Mapping!$A:$A,0)),"Uncategorized — Review"))</f>
        <v>Personal — Owner</v>
      </c>
    </row>
    <row r="805" customFormat="false" ht="15" hidden="false" customHeight="false" outlineLevel="0" collapsed="false">
      <c r="A805" s="0" t="str">
        <f aca="false">Chase1168_2025!A805</f>
        <v>DEBIT</v>
      </c>
      <c r="B805" s="14" t="n">
        <f aca="false">Chase1168_2025!B805</f>
        <v>45866</v>
      </c>
      <c r="C805" s="0" t="str">
        <f aca="false">Chase1168_2025!C805</f>
        <v>ORIG CO NAME:INTUIT *               ORIG ID:0000756346 DESC DATE:250727 CO ENTRY DESCR:QBooks OnlSEC:CCD    TRACE#:021000022629070 EED:250728   IND ID:2765077                      IND NAME:DWG CAPITAL GROUP                                                                                            800-446-8848 TRN: 2092629070TC</v>
      </c>
      <c r="D805" s="7" t="n">
        <f aca="false">Chase1168_2025!D805</f>
        <v>-121.21</v>
      </c>
      <c r="E805" s="0" t="str">
        <f aca="false">Chase1168_2025!E805</f>
        <v>ACH_DEBIT</v>
      </c>
      <c r="F805" s="7" t="n">
        <f aca="false">Chase1168_2025!F805</f>
        <v>15045.76</v>
      </c>
      <c r="G805" s="0" t="str">
        <f aca="false">Chase1168_2025!G805</f>
        <v>Software/Accounting</v>
      </c>
      <c r="H805" s="15" t="n">
        <f aca="false">IF($B805="","",DATE(YEAR($B805),MONTH($B805),1))</f>
        <v>45839</v>
      </c>
      <c r="I805" s="0" t="str">
        <f aca="false">IF($G805="","Uncategorized — Review",IFERROR(INDEX(Mapping!$B:$B,MATCH($G805,Mapping!$A:$A,0)),"Uncategorized — Review"))</f>
        <v>Software/Accounting</v>
      </c>
      <c r="J805" s="0" t="str">
        <f aca="false">IF($G805="","Uncategorized — Review",IFERROR(INDEX(Mapping!$C:$C,MATCH($G805,Mapping!$A:$A,0)),"Uncategorized — Review"))</f>
        <v>DWG Operating</v>
      </c>
    </row>
    <row r="806" customFormat="false" ht="15" hidden="false" customHeight="false" outlineLevel="0" collapsed="false">
      <c r="A806" s="0" t="str">
        <f aca="false">Chase1168_2025!A806</f>
        <v>DEBIT</v>
      </c>
      <c r="B806" s="14" t="n">
        <f aca="false">Chase1168_2025!B806</f>
        <v>45866</v>
      </c>
      <c r="C806" s="0" t="str">
        <f aca="false">Chase1168_2025!C806</f>
        <v>Zelle payment to mike paytonjian JPM99bh5kks4</v>
      </c>
      <c r="D806" s="7" t="n">
        <f aca="false">Chase1168_2025!D806</f>
        <v>-1000</v>
      </c>
      <c r="E806" s="0" t="str">
        <f aca="false">Chase1168_2025!E806</f>
        <v>CHASE_TO_PARTNERFI</v>
      </c>
      <c r="F806" s="7" t="n">
        <f aca="false">Chase1168_2025!F806</f>
        <v>15166.97</v>
      </c>
      <c r="G806" s="0" t="str">
        <f aca="false">Chase1168_2025!G806</f>
        <v>Mike Paytonjian - Payroll</v>
      </c>
      <c r="H806" s="15" t="n">
        <f aca="false">IF($B806="","",DATE(YEAR($B806),MONTH($B806),1))</f>
        <v>45839</v>
      </c>
      <c r="I806" s="0" t="str">
        <f aca="false">IF($G806="","Uncategorized — Review",IFERROR(INDEX(Mapping!$B:$B,MATCH($G806,Mapping!$A:$A,0)),"Uncategorized — Review"))</f>
        <v>Mike Paytonjian - Payroll</v>
      </c>
      <c r="J806" s="0" t="str">
        <f aca="false">IF($G806="","Uncategorized — Review",IFERROR(INDEX(Mapping!$C:$C,MATCH($G806,Mapping!$A:$A,0)),"Uncategorized — Review"))</f>
        <v>Payroll &amp; Contractors</v>
      </c>
    </row>
    <row r="807" customFormat="false" ht="15" hidden="false" customHeight="false" outlineLevel="0" collapsed="false">
      <c r="A807" s="0" t="str">
        <f aca="false">Chase1168_2025!A807</f>
        <v>DEBIT</v>
      </c>
      <c r="B807" s="14" t="n">
        <f aca="false">Chase1168_2025!B807</f>
        <v>45866</v>
      </c>
      <c r="C807" s="0" t="str">
        <f aca="false">Chase1168_2025!C807</f>
        <v>PP*APPLE.COM/BILL 800-275-2273 CA            07/27</v>
      </c>
      <c r="D807" s="7" t="n">
        <f aca="false">Chase1168_2025!D807</f>
        <v>-16.99</v>
      </c>
      <c r="E807" s="0" t="str">
        <f aca="false">Chase1168_2025!E807</f>
        <v>DEBIT_CARD</v>
      </c>
      <c r="F807" s="7" t="n">
        <f aca="false">Chase1168_2025!F807</f>
        <v>16166.97</v>
      </c>
      <c r="G807" s="0" t="str">
        <f aca="false">Chase1168_2025!G807</f>
        <v>Personal - Subscriptions</v>
      </c>
      <c r="H807" s="15" t="n">
        <f aca="false">IF($B807="","",DATE(YEAR($B807),MONTH($B807),1))</f>
        <v>45839</v>
      </c>
      <c r="I807" s="0" t="str">
        <f aca="false">IF($G807="","Uncategorized — Review",IFERROR(INDEX(Mapping!$B:$B,MATCH($G807,Mapping!$A:$A,0)),"Uncategorized — Review"))</f>
        <v>Personal - Subscriptions</v>
      </c>
      <c r="J807" s="0" t="str">
        <f aca="false">IF($G807="","Uncategorized — Review",IFERROR(INDEX(Mapping!$C:$C,MATCH($G807,Mapping!$A:$A,0)),"Uncategorized — Review"))</f>
        <v>Personal — Owner</v>
      </c>
    </row>
    <row r="808" customFormat="false" ht="15" hidden="false" customHeight="false" outlineLevel="0" collapsed="false">
      <c r="A808" s="0" t="str">
        <f aca="false">Chase1168_2025!A808</f>
        <v>DEBIT</v>
      </c>
      <c r="B808" s="14" t="n">
        <f aca="false">Chase1168_2025!B808</f>
        <v>45866</v>
      </c>
      <c r="C808" s="0" t="str">
        <f aca="false">Chase1168_2025!C808</f>
        <v>Zelle payment to jeff seider JPM99bh40b99</v>
      </c>
      <c r="D808" s="7" t="n">
        <f aca="false">Chase1168_2025!D808</f>
        <v>-100</v>
      </c>
      <c r="E808" s="0" t="str">
        <f aca="false">Chase1168_2025!E808</f>
        <v>CHASE_TO_PARTNERFI</v>
      </c>
      <c r="F808" s="7" t="n">
        <f aca="false">Chase1168_2025!F808</f>
        <v>16183.96</v>
      </c>
      <c r="G808" s="0" t="str">
        <f aca="false">Chase1168_2025!G808</f>
        <v>Zelle - Jeff Seider</v>
      </c>
      <c r="H808" s="15" t="n">
        <f aca="false">IF($B808="","",DATE(YEAR($B808),MONTH($B808),1))</f>
        <v>45839</v>
      </c>
      <c r="I808" s="0" t="str">
        <f aca="false">IF($G808="","Uncategorized — Review",IFERROR(INDEX(Mapping!$B:$B,MATCH($G808,Mapping!$A:$A,0)),"Uncategorized — Review"))</f>
        <v>Zelle - Jeff Seider</v>
      </c>
      <c r="J808" s="0" t="str">
        <f aca="false">IF($G808="","Uncategorized — Review",IFERROR(INDEX(Mapping!$C:$C,MATCH($G808,Mapping!$A:$A,0)),"Uncategorized — Review"))</f>
        <v>P2P Payments (Zelle/Venmo/PayPal)</v>
      </c>
    </row>
    <row r="809" customFormat="false" ht="15" hidden="false" customHeight="false" outlineLevel="0" collapsed="false">
      <c r="A809" s="0" t="str">
        <f aca="false">Chase1168_2025!A809</f>
        <v>DEBIT</v>
      </c>
      <c r="B809" s="14" t="n">
        <f aca="false">Chase1168_2025!B809</f>
        <v>45866</v>
      </c>
      <c r="C809" s="0" t="str">
        <f aca="false">Chase1168_2025!C809</f>
        <v>Online Transfer to CHK ...1117 transaction#: 25621756173 07/28</v>
      </c>
      <c r="D809" s="7" t="n">
        <f aca="false">Chase1168_2025!D809</f>
        <v>-2000</v>
      </c>
      <c r="E809" s="0" t="str">
        <f aca="false">Chase1168_2025!E809</f>
        <v>ACCT_XFER</v>
      </c>
      <c r="F809" s="7" t="n">
        <f aca="false">Chase1168_2025!F809</f>
        <v>16283.96</v>
      </c>
      <c r="G809" s="0" t="str">
        <f aca="false">Chase1168_2025!G809</f>
        <v>Transfer to Angela Dunning</v>
      </c>
      <c r="H809" s="15" t="n">
        <f aca="false">IF($B809="","",DATE(YEAR($B809),MONTH($B809),1))</f>
        <v>45839</v>
      </c>
      <c r="I809" s="0" t="str">
        <f aca="false">IF($G809="","Uncategorized — Review",IFERROR(INDEX(Mapping!$B:$B,MATCH($G809,Mapping!$A:$A,0)),"Uncategorized — Review"))</f>
        <v>Transfer to Angela Dunning</v>
      </c>
      <c r="J809" s="0" t="str">
        <f aca="false">IF($G809="","Uncategorized — Review",IFERROR(INDEX(Mapping!$C:$C,MATCH($G809,Mapping!$A:$A,0)),"Uncategorized — Review"))</f>
        <v>Owner / Family Distributions</v>
      </c>
    </row>
    <row r="810" customFormat="false" ht="15" hidden="false" customHeight="false" outlineLevel="0" collapsed="false">
      <c r="A810" s="0" t="str">
        <f aca="false">Chase1168_2025!A810</f>
        <v>DEBIT</v>
      </c>
      <c r="B810" s="14" t="n">
        <f aca="false">Chase1168_2025!B810</f>
        <v>45866</v>
      </c>
      <c r="C810" s="0" t="str">
        <f aca="false">Chase1168_2025!C810</f>
        <v>PP*APPLE.COM/BILL 800-275-2273 CA            07/27</v>
      </c>
      <c r="D810" s="7" t="n">
        <f aca="false">Chase1168_2025!D810</f>
        <v>-8.99</v>
      </c>
      <c r="E810" s="0" t="str">
        <f aca="false">Chase1168_2025!E810</f>
        <v>DEBIT_CARD</v>
      </c>
      <c r="F810" s="7" t="n">
        <f aca="false">Chase1168_2025!F810</f>
        <v>18283.96</v>
      </c>
      <c r="G810" s="0" t="str">
        <f aca="false">Chase1168_2025!G810</f>
        <v>Personal - Subscriptions</v>
      </c>
      <c r="H810" s="15" t="n">
        <f aca="false">IF($B810="","",DATE(YEAR($B810),MONTH($B810),1))</f>
        <v>45839</v>
      </c>
      <c r="I810" s="0" t="str">
        <f aca="false">IF($G810="","Uncategorized — Review",IFERROR(INDEX(Mapping!$B:$B,MATCH($G810,Mapping!$A:$A,0)),"Uncategorized — Review"))</f>
        <v>Personal - Subscriptions</v>
      </c>
      <c r="J810" s="0" t="str">
        <f aca="false">IF($G810="","Uncategorized — Review",IFERROR(INDEX(Mapping!$C:$C,MATCH($G810,Mapping!$A:$A,0)),"Uncategorized — Review"))</f>
        <v>Personal — Owner</v>
      </c>
    </row>
    <row r="811" customFormat="false" ht="15" hidden="false" customHeight="false" outlineLevel="0" collapsed="false">
      <c r="A811" s="0" t="str">
        <f aca="false">Chase1168_2025!A811</f>
        <v>DEBIT</v>
      </c>
      <c r="B811" s="14" t="n">
        <f aca="false">Chase1168_2025!B811</f>
        <v>45866</v>
      </c>
      <c r="C811" s="0" t="str">
        <f aca="false">Chase1168_2025!C811</f>
        <v>PP*APPLE.COM/BILL 800-275-2273 CA            07/27</v>
      </c>
      <c r="D811" s="7" t="n">
        <f aca="false">Chase1168_2025!D811</f>
        <v>-9.99</v>
      </c>
      <c r="E811" s="0" t="str">
        <f aca="false">Chase1168_2025!E811</f>
        <v>DEBIT_CARD</v>
      </c>
      <c r="F811" s="7" t="n">
        <f aca="false">Chase1168_2025!F811</f>
        <v>18292.95</v>
      </c>
      <c r="G811" s="0" t="str">
        <f aca="false">Chase1168_2025!G811</f>
        <v>Personal - Subscriptions</v>
      </c>
      <c r="H811" s="15" t="n">
        <f aca="false">IF($B811="","",DATE(YEAR($B811),MONTH($B811),1))</f>
        <v>45839</v>
      </c>
      <c r="I811" s="0" t="str">
        <f aca="false">IF($G811="","Uncategorized — Review",IFERROR(INDEX(Mapping!$B:$B,MATCH($G811,Mapping!$A:$A,0)),"Uncategorized — Review"))</f>
        <v>Personal - Subscriptions</v>
      </c>
      <c r="J811" s="0" t="str">
        <f aca="false">IF($G811="","Uncategorized — Review",IFERROR(INDEX(Mapping!$C:$C,MATCH($G811,Mapping!$A:$A,0)),"Uncategorized — Review"))</f>
        <v>Personal — Owner</v>
      </c>
    </row>
    <row r="812" customFormat="false" ht="15" hidden="false" customHeight="false" outlineLevel="0" collapsed="false">
      <c r="A812" s="0" t="str">
        <f aca="false">Chase1168_2025!A812</f>
        <v>DEBIT</v>
      </c>
      <c r="B812" s="14" t="n">
        <f aca="false">Chase1168_2025!B812</f>
        <v>45866</v>
      </c>
      <c r="C812" s="0" t="str">
        <f aca="false">Chase1168_2025!C812</f>
        <v>Disney Plus 888-9057888 CA                   07/26</v>
      </c>
      <c r="D812" s="7" t="n">
        <f aca="false">Chase1168_2025!D812</f>
        <v>-17.27</v>
      </c>
      <c r="E812" s="0" t="str">
        <f aca="false">Chase1168_2025!E812</f>
        <v>DEBIT_CARD</v>
      </c>
      <c r="F812" s="7" t="n">
        <f aca="false">Chase1168_2025!F812</f>
        <v>18302.94</v>
      </c>
      <c r="G812" s="0" t="str">
        <f aca="false">Chase1168_2025!G812</f>
        <v>Personal - Subscriptions</v>
      </c>
      <c r="H812" s="15" t="n">
        <f aca="false">IF($B812="","",DATE(YEAR($B812),MONTH($B812),1))</f>
        <v>45839</v>
      </c>
      <c r="I812" s="0" t="str">
        <f aca="false">IF($G812="","Uncategorized — Review",IFERROR(INDEX(Mapping!$B:$B,MATCH($G812,Mapping!$A:$A,0)),"Uncategorized — Review"))</f>
        <v>Personal - Subscriptions</v>
      </c>
      <c r="J812" s="0" t="str">
        <f aca="false">IF($G812="","Uncategorized — Review",IFERROR(INDEX(Mapping!$C:$C,MATCH($G812,Mapping!$A:$A,0)),"Uncategorized — Review"))</f>
        <v>Personal — Owner</v>
      </c>
    </row>
    <row r="813" customFormat="false" ht="15" hidden="false" customHeight="false" outlineLevel="0" collapsed="false">
      <c r="A813" s="0" t="str">
        <f aca="false">Chase1168_2025!A813</f>
        <v>DEBIT</v>
      </c>
      <c r="B813" s="14" t="n">
        <f aca="false">Chase1168_2025!B813</f>
        <v>45866</v>
      </c>
      <c r="C813" s="0" t="str">
        <f aca="false">Chase1168_2025!C813</f>
        <v>PAYPAL *LINKEDIN 402-935-7733 CA             07/27</v>
      </c>
      <c r="D813" s="7" t="n">
        <f aca="false">Chase1168_2025!D813</f>
        <v>-510</v>
      </c>
      <c r="E813" s="0" t="str">
        <f aca="false">Chase1168_2025!E813</f>
        <v>DEBIT_CARD</v>
      </c>
      <c r="F813" s="7" t="n">
        <f aca="false">Chase1168_2025!F813</f>
        <v>18320.21</v>
      </c>
      <c r="G813" s="0" t="str">
        <f aca="false">Chase1168_2025!G813</f>
        <v>DWG HR</v>
      </c>
      <c r="H813" s="15" t="n">
        <f aca="false">IF($B813="","",DATE(YEAR($B813),MONTH($B813),1))</f>
        <v>45839</v>
      </c>
      <c r="I813" s="0" t="str">
        <f aca="false">IF($G813="","Uncategorized — Review",IFERROR(INDEX(Mapping!$B:$B,MATCH($G813,Mapping!$A:$A,0)),"Uncategorized — Review"))</f>
        <v>DWG HR</v>
      </c>
      <c r="J813" s="0" t="str">
        <f aca="false">IF($G813="","Uncategorized — Review",IFERROR(INDEX(Mapping!$C:$C,MATCH($G813,Mapping!$A:$A,0)),"Uncategorized — Review"))</f>
        <v>Payroll &amp; Contractors</v>
      </c>
    </row>
    <row r="814" customFormat="false" ht="15" hidden="false" customHeight="false" outlineLevel="0" collapsed="false">
      <c r="A814" s="0" t="str">
        <f aca="false">Chase1168_2025!A814</f>
        <v>DEBIT</v>
      </c>
      <c r="B814" s="14" t="n">
        <f aca="false">Chase1168_2025!B814</f>
        <v>45866</v>
      </c>
      <c r="C814" s="0" t="str">
        <f aca="false">Chase1168_2025!C814</f>
        <v>Zelle payment to Richard JPM99bh23bb6</v>
      </c>
      <c r="D814" s="7" t="n">
        <f aca="false">Chase1168_2025!D814</f>
        <v>-1300</v>
      </c>
      <c r="E814" s="0" t="str">
        <f aca="false">Chase1168_2025!E814</f>
        <v>CHASE_TO_PARTNERFI</v>
      </c>
      <c r="F814" s="7" t="n">
        <f aca="false">Chase1168_2025!F814</f>
        <v>18830.21</v>
      </c>
      <c r="G814" s="0" t="str">
        <f aca="false">Chase1168_2025!G814</f>
        <v>Zelle/P2P</v>
      </c>
      <c r="H814" s="15" t="n">
        <f aca="false">IF($B814="","",DATE(YEAR($B814),MONTH($B814),1))</f>
        <v>45839</v>
      </c>
      <c r="I814" s="0" t="str">
        <f aca="false">IF($G814="","Uncategorized — Review",IFERROR(INDEX(Mapping!$B:$B,MATCH($G814,Mapping!$A:$A,0)),"Uncategorized — Review"))</f>
        <v>Zelle/P2P</v>
      </c>
      <c r="J814" s="0" t="str">
        <f aca="false">IF($G814="","Uncategorized — Review",IFERROR(INDEX(Mapping!$C:$C,MATCH($G814,Mapping!$A:$A,0)),"Uncategorized — Review"))</f>
        <v>P2P Payments (Zelle/Venmo/PayPal)</v>
      </c>
    </row>
    <row r="815" customFormat="false" ht="15" hidden="false" customHeight="false" outlineLevel="0" collapsed="false">
      <c r="A815" s="0" t="str">
        <f aca="false">Chase1168_2025!A815</f>
        <v>DEBIT</v>
      </c>
      <c r="B815" s="14" t="n">
        <f aca="false">Chase1168_2025!B815</f>
        <v>45863</v>
      </c>
      <c r="C815" s="0" t="str">
        <f aca="false">Chase1168_2025!C815</f>
        <v>Online Transfer to CHK ...7899 transaction#: 25615653457 07/25</v>
      </c>
      <c r="D815" s="7" t="n">
        <f aca="false">Chase1168_2025!D815</f>
        <v>-15000</v>
      </c>
      <c r="E815" s="0" t="str">
        <f aca="false">Chase1168_2025!E815</f>
        <v>ACCT_XFER</v>
      </c>
      <c r="F815" s="7" t="n">
        <f aca="false">Chase1168_2025!F815</f>
        <v>20130.21</v>
      </c>
      <c r="G815" s="0" t="str">
        <f aca="false">Chase1168_2025!G815</f>
        <v>Transfer to TX Personal Joint</v>
      </c>
      <c r="H815" s="15" t="n">
        <f aca="false">IF($B815="","",DATE(YEAR($B815),MONTH($B815),1))</f>
        <v>45839</v>
      </c>
      <c r="I815" s="0" t="str">
        <f aca="false">IF($G815="","Uncategorized — Review",IFERROR(INDEX(Mapping!$B:$B,MATCH($G815,Mapping!$A:$A,0)),"Uncategorized — Review"))</f>
        <v>Transfer to TX Personal Joint</v>
      </c>
      <c r="J815" s="0" t="str">
        <f aca="false">IF($G815="","Uncategorized — Review",IFERROR(INDEX(Mapping!$C:$C,MATCH($G815,Mapping!$A:$A,0)),"Uncategorized — Review"))</f>
        <v>Owner / Family Distributions</v>
      </c>
    </row>
    <row r="816" customFormat="false" ht="15" hidden="false" customHeight="false" outlineLevel="0" collapsed="false">
      <c r="A816" s="0" t="str">
        <f aca="false">Chase1168_2025!A816</f>
        <v>DEBIT</v>
      </c>
      <c r="B816" s="14" t="n">
        <f aca="false">Chase1168_2025!B816</f>
        <v>45863</v>
      </c>
      <c r="C816" s="0" t="str">
        <f aca="false">Chase1168_2025!C816</f>
        <v>Online Transfer to CHK ...6975 transaction#: 25615597656 07/25</v>
      </c>
      <c r="D816" s="7" t="n">
        <f aca="false">Chase1168_2025!D816</f>
        <v>-1000</v>
      </c>
      <c r="E816" s="0" t="str">
        <f aca="false">Chase1168_2025!E816</f>
        <v>ACCT_XFER</v>
      </c>
      <c r="F816" s="7" t="n">
        <f aca="false">Chase1168_2025!F816</f>
        <v>35130.21</v>
      </c>
      <c r="G816" s="0" t="str">
        <f aca="false">Chase1168_2025!G816</f>
        <v>Transfer to Ava Perez-Dunning</v>
      </c>
      <c r="H816" s="15" t="n">
        <f aca="false">IF($B816="","",DATE(YEAR($B816),MONTH($B816),1))</f>
        <v>45839</v>
      </c>
      <c r="I816" s="0" t="str">
        <f aca="false">IF($G816="","Uncategorized — Review",IFERROR(INDEX(Mapping!$B:$B,MATCH($G816,Mapping!$A:$A,0)),"Uncategorized — Review"))</f>
        <v>Transfer to Ava Perez-Dunning</v>
      </c>
      <c r="J816" s="0" t="str">
        <f aca="false">IF($G816="","Uncategorized — Review",IFERROR(INDEX(Mapping!$C:$C,MATCH($G816,Mapping!$A:$A,0)),"Uncategorized — Review"))</f>
        <v>Owner / Family Distributions</v>
      </c>
    </row>
    <row r="817" customFormat="false" ht="15" hidden="false" customHeight="false" outlineLevel="0" collapsed="false">
      <c r="A817" s="0" t="str">
        <f aca="false">Chase1168_2025!A817</f>
        <v>DEBIT</v>
      </c>
      <c r="B817" s="14" t="n">
        <f aca="false">Chase1168_2025!B817</f>
        <v>45863</v>
      </c>
      <c r="C817" s="0" t="str">
        <f aca="false">Chase1168_2025!C817</f>
        <v>PAYPAL *CANVA 416-131-8870 DE                07/25</v>
      </c>
      <c r="D817" s="7" t="n">
        <f aca="false">Chase1168_2025!D817</f>
        <v>-12.99</v>
      </c>
      <c r="E817" s="0" t="str">
        <f aca="false">Chase1168_2025!E817</f>
        <v>DEBIT_CARD</v>
      </c>
      <c r="F817" s="7" t="n">
        <f aca="false">Chase1168_2025!F817</f>
        <v>36130.21</v>
      </c>
      <c r="G817" s="0" t="str">
        <f aca="false">Chase1168_2025!G817</f>
        <v>DWG Marketing</v>
      </c>
      <c r="H817" s="15" t="n">
        <f aca="false">IF($B817="","",DATE(YEAR($B817),MONTH($B817),1))</f>
        <v>45839</v>
      </c>
      <c r="I817" s="0" t="str">
        <f aca="false">IF($G817="","Uncategorized — Review",IFERROR(INDEX(Mapping!$B:$B,MATCH($G817,Mapping!$A:$A,0)),"Uncategorized — Review"))</f>
        <v>DWG Marketing</v>
      </c>
      <c r="J817" s="0" t="str">
        <f aca="false">IF($G817="","Uncategorized — Review",IFERROR(INDEX(Mapping!$C:$C,MATCH($G817,Mapping!$A:$A,0)),"Uncategorized — Review"))</f>
        <v>DWG Operating</v>
      </c>
    </row>
    <row r="818" customFormat="false" ht="15" hidden="false" customHeight="false" outlineLevel="0" collapsed="false">
      <c r="A818" s="0" t="str">
        <f aca="false">Chase1168_2025!A818</f>
        <v>CREDIT</v>
      </c>
      <c r="B818" s="14" t="n">
        <f aca="false">Chase1168_2025!B818</f>
        <v>45863</v>
      </c>
      <c r="C818" s="0" t="str">
        <f aca="false">Chase1168_2025!C818</f>
        <v>Online Transfer from CHK ...9335 transaction#: 25615617302</v>
      </c>
      <c r="D818" s="7" t="n">
        <f aca="false">Chase1168_2025!D818</f>
        <v>20000</v>
      </c>
      <c r="E818" s="0" t="str">
        <f aca="false">Chase1168_2025!E818</f>
        <v>ACCT_XFER</v>
      </c>
      <c r="F818" s="7" t="n">
        <f aca="false">Chase1168_2025!F818</f>
        <v>36143.2</v>
      </c>
      <c r="G818" s="0" t="str">
        <f aca="false">Chase1168_2025!G818</f>
        <v>Poseidon Asset Group (Incoming)</v>
      </c>
      <c r="H818" s="15" t="n">
        <f aca="false">IF($B818="","",DATE(YEAR($B818),MONTH($B818),1))</f>
        <v>45839</v>
      </c>
      <c r="I818" s="0" t="str">
        <f aca="false">IF($G818="","Uncategorized — Review",IFERROR(INDEX(Mapping!$B:$B,MATCH($G818,Mapping!$A:$A,0)),"Uncategorized — Review"))</f>
        <v>Poseidon Asset Group (Incoming)</v>
      </c>
      <c r="J818" s="0" t="str">
        <f aca="false">IF($G818="","Uncategorized — Review",IFERROR(INDEX(Mapping!$C:$C,MATCH($G818,Mapping!$A:$A,0)),"Uncategorized — Review"))</f>
        <v>Poseidon Asset Group</v>
      </c>
    </row>
    <row r="819" customFormat="false" ht="15" hidden="false" customHeight="false" outlineLevel="0" collapsed="false">
      <c r="A819" s="0" t="str">
        <f aca="false">Chase1168_2025!A819</f>
        <v>DEBIT</v>
      </c>
      <c r="B819" s="14" t="n">
        <f aca="false">Chase1168_2025!B819</f>
        <v>45862</v>
      </c>
      <c r="C819" s="0" t="str">
        <f aca="false">Chase1168_2025!C819</f>
        <v>Online Transfer to CHK ...1117 transaction#: 25596612709 07/24</v>
      </c>
      <c r="D819" s="7" t="n">
        <f aca="false">Chase1168_2025!D819</f>
        <v>-2000</v>
      </c>
      <c r="E819" s="0" t="str">
        <f aca="false">Chase1168_2025!E819</f>
        <v>ACCT_XFER</v>
      </c>
      <c r="F819" s="7" t="n">
        <f aca="false">Chase1168_2025!F819</f>
        <v>16143.2</v>
      </c>
      <c r="G819" s="0" t="str">
        <f aca="false">Chase1168_2025!G819</f>
        <v>Transfer to Angela Dunning</v>
      </c>
      <c r="H819" s="15" t="n">
        <f aca="false">IF($B819="","",DATE(YEAR($B819),MONTH($B819),1))</f>
        <v>45839</v>
      </c>
      <c r="I819" s="0" t="str">
        <f aca="false">IF($G819="","Uncategorized — Review",IFERROR(INDEX(Mapping!$B:$B,MATCH($G819,Mapping!$A:$A,0)),"Uncategorized — Review"))</f>
        <v>Transfer to Angela Dunning</v>
      </c>
      <c r="J819" s="0" t="str">
        <f aca="false">IF($G819="","Uncategorized — Review",IFERROR(INDEX(Mapping!$C:$C,MATCH($G819,Mapping!$A:$A,0)),"Uncategorized — Review"))</f>
        <v>Owner / Family Distributions</v>
      </c>
    </row>
    <row r="820" customFormat="false" ht="15" hidden="false" customHeight="false" outlineLevel="0" collapsed="false">
      <c r="A820" s="0" t="str">
        <f aca="false">Chase1168_2025!A820</f>
        <v>DEBIT</v>
      </c>
      <c r="B820" s="14" t="n">
        <f aca="false">Chase1168_2025!B820</f>
        <v>45862</v>
      </c>
      <c r="C820" s="0" t="str">
        <f aca="false">Chase1168_2025!C820</f>
        <v>PP*APPLE.COM/BILL 800-275-2273 CA            07/24</v>
      </c>
      <c r="D820" s="7" t="n">
        <f aca="false">Chase1168_2025!D820</f>
        <v>-9.99</v>
      </c>
      <c r="E820" s="0" t="str">
        <f aca="false">Chase1168_2025!E820</f>
        <v>DEBIT_CARD</v>
      </c>
      <c r="F820" s="7" t="n">
        <f aca="false">Chase1168_2025!F820</f>
        <v>18143.2</v>
      </c>
      <c r="G820" s="0" t="str">
        <f aca="false">Chase1168_2025!G820</f>
        <v>Personal - Subscriptions</v>
      </c>
      <c r="H820" s="15" t="n">
        <f aca="false">IF($B820="","",DATE(YEAR($B820),MONTH($B820),1))</f>
        <v>45839</v>
      </c>
      <c r="I820" s="0" t="str">
        <f aca="false">IF($G820="","Uncategorized — Review",IFERROR(INDEX(Mapping!$B:$B,MATCH($G820,Mapping!$A:$A,0)),"Uncategorized — Review"))</f>
        <v>Personal - Subscriptions</v>
      </c>
      <c r="J820" s="0" t="str">
        <f aca="false">IF($G820="","Uncategorized — Review",IFERROR(INDEX(Mapping!$C:$C,MATCH($G820,Mapping!$A:$A,0)),"Uncategorized — Review"))</f>
        <v>Personal — Owner</v>
      </c>
    </row>
    <row r="821" customFormat="false" ht="15" hidden="false" customHeight="false" outlineLevel="0" collapsed="false">
      <c r="A821" s="0" t="str">
        <f aca="false">Chase1168_2025!A821</f>
        <v>DEBIT</v>
      </c>
      <c r="B821" s="14" t="n">
        <f aca="false">Chase1168_2025!B821</f>
        <v>45862</v>
      </c>
      <c r="C821" s="0" t="str">
        <f aca="false">Chase1168_2025!C821</f>
        <v>PP*APPLE.COM/BILL 800-275-2273 CA            07/24</v>
      </c>
      <c r="D821" s="7" t="n">
        <f aca="false">Chase1168_2025!D821</f>
        <v>-8.99</v>
      </c>
      <c r="E821" s="0" t="str">
        <f aca="false">Chase1168_2025!E821</f>
        <v>DEBIT_CARD</v>
      </c>
      <c r="F821" s="7" t="n">
        <f aca="false">Chase1168_2025!F821</f>
        <v>18153.19</v>
      </c>
      <c r="G821" s="0" t="str">
        <f aca="false">Chase1168_2025!G821</f>
        <v>Personal - Subscriptions</v>
      </c>
      <c r="H821" s="15" t="n">
        <f aca="false">IF($B821="","",DATE(YEAR($B821),MONTH($B821),1))</f>
        <v>45839</v>
      </c>
      <c r="I821" s="0" t="str">
        <f aca="false">IF($G821="","Uncategorized — Review",IFERROR(INDEX(Mapping!$B:$B,MATCH($G821,Mapping!$A:$A,0)),"Uncategorized — Review"))</f>
        <v>Personal - Subscriptions</v>
      </c>
      <c r="J821" s="0" t="str">
        <f aca="false">IF($G821="","Uncategorized — Review",IFERROR(INDEX(Mapping!$C:$C,MATCH($G821,Mapping!$A:$A,0)),"Uncategorized — Review"))</f>
        <v>Personal — Owner</v>
      </c>
    </row>
    <row r="822" customFormat="false" ht="15" hidden="false" customHeight="false" outlineLevel="0" collapsed="false">
      <c r="A822" s="0" t="str">
        <f aca="false">Chase1168_2025!A822</f>
        <v>DEBIT</v>
      </c>
      <c r="B822" s="14" t="n">
        <f aca="false">Chase1168_2025!B822</f>
        <v>45861</v>
      </c>
      <c r="C822" s="0" t="str">
        <f aca="false">Chase1168_2025!C822</f>
        <v>ORIG CO NAME:VENMO                  ORIG ID:3264681992 DESC DATE:250723 CO ENTRY DESCR:PAYMENT   SEC:WEB    TRACE#:021000021553403 EED:250723   IND ID:1043708379014                IND NAME:JUDD DUNNING                                                                                                 250723PPZD21 TRN: 2041553403TC</v>
      </c>
      <c r="D822" s="7" t="n">
        <f aca="false">Chase1168_2025!D822</f>
        <v>-120</v>
      </c>
      <c r="E822" s="0" t="str">
        <f aca="false">Chase1168_2025!E822</f>
        <v>ACH_DEBIT</v>
      </c>
      <c r="F822" s="7" t="n">
        <f aca="false">Chase1168_2025!F822</f>
        <v>18162.18</v>
      </c>
      <c r="G822" s="0" t="str">
        <f aca="false">Chase1168_2025!G822</f>
        <v>Venmo</v>
      </c>
      <c r="H822" s="15" t="n">
        <f aca="false">IF($B822="","",DATE(YEAR($B822),MONTH($B822),1))</f>
        <v>45839</v>
      </c>
      <c r="I822" s="0" t="str">
        <f aca="false">IF($G822="","Uncategorized — Review",IFERROR(INDEX(Mapping!$B:$B,MATCH($G822,Mapping!$A:$A,0)),"Uncategorized — Review"))</f>
        <v>Venmo</v>
      </c>
      <c r="J822" s="0" t="str">
        <f aca="false">IF($G822="","Uncategorized — Review",IFERROR(INDEX(Mapping!$C:$C,MATCH($G822,Mapping!$A:$A,0)),"Uncategorized — Review"))</f>
        <v>P2P Payments (Zelle/Venmo/PayPal)</v>
      </c>
    </row>
    <row r="823" customFormat="false" ht="15" hidden="false" customHeight="false" outlineLevel="0" collapsed="false">
      <c r="A823" s="0" t="str">
        <f aca="false">Chase1168_2025!A823</f>
        <v>DEBIT</v>
      </c>
      <c r="B823" s="14" t="n">
        <f aca="false">Chase1168_2025!B823</f>
        <v>45861</v>
      </c>
      <c r="C823" s="0" t="str">
        <f aca="false">Chase1168_2025!C823</f>
        <v>WWW.PERPLEXITY.AI WWW.PERPLEXIT CA           07/23</v>
      </c>
      <c r="D823" s="7" t="n">
        <f aca="false">Chase1168_2025!D823</f>
        <v>-21.28</v>
      </c>
      <c r="E823" s="0" t="str">
        <f aca="false">Chase1168_2025!E823</f>
        <v>DEBIT_CARD</v>
      </c>
      <c r="F823" s="7" t="n">
        <f aca="false">Chase1168_2025!F823</f>
        <v>18282.18</v>
      </c>
      <c r="G823" s="0" t="str">
        <f aca="false">Chase1168_2025!G823</f>
        <v>AI Subscriptions</v>
      </c>
      <c r="H823" s="15" t="n">
        <f aca="false">IF($B823="","",DATE(YEAR($B823),MONTH($B823),1))</f>
        <v>45839</v>
      </c>
      <c r="I823" s="0" t="str">
        <f aca="false">IF($G823="","Uncategorized — Review",IFERROR(INDEX(Mapping!$B:$B,MATCH($G823,Mapping!$A:$A,0)),"Uncategorized — Review"))</f>
        <v>AI Subscriptions</v>
      </c>
      <c r="J823" s="0" t="str">
        <f aca="false">IF($G823="","Uncategorized — Review",IFERROR(INDEX(Mapping!$C:$C,MATCH($G823,Mapping!$A:$A,0)),"Uncategorized — Review"))</f>
        <v>DWG Operating</v>
      </c>
    </row>
    <row r="824" customFormat="false" ht="15" hidden="false" customHeight="false" outlineLevel="0" collapsed="false">
      <c r="A824" s="0" t="str">
        <f aca="false">Chase1168_2025!A824</f>
        <v>DEBIT</v>
      </c>
      <c r="B824" s="14" t="n">
        <f aca="false">Chase1168_2025!B824</f>
        <v>45860</v>
      </c>
      <c r="C824" s="0" t="str">
        <f aca="false">Chase1168_2025!C824</f>
        <v>Online Transfer to CHK ...1117 transaction#: 25576008777 07/22</v>
      </c>
      <c r="D824" s="7" t="n">
        <f aca="false">Chase1168_2025!D824</f>
        <v>-3000</v>
      </c>
      <c r="E824" s="0" t="str">
        <f aca="false">Chase1168_2025!E824</f>
        <v>ACCT_XFER</v>
      </c>
      <c r="F824" s="7" t="n">
        <f aca="false">Chase1168_2025!F824</f>
        <v>18303.46</v>
      </c>
      <c r="G824" s="0" t="str">
        <f aca="false">Chase1168_2025!G824</f>
        <v>Transfer to Angela Dunning</v>
      </c>
      <c r="H824" s="15" t="n">
        <f aca="false">IF($B824="","",DATE(YEAR($B824),MONTH($B824),1))</f>
        <v>45839</v>
      </c>
      <c r="I824" s="0" t="str">
        <f aca="false">IF($G824="","Uncategorized — Review",IFERROR(INDEX(Mapping!$B:$B,MATCH($G824,Mapping!$A:$A,0)),"Uncategorized — Review"))</f>
        <v>Transfer to Angela Dunning</v>
      </c>
      <c r="J824" s="0" t="str">
        <f aca="false">IF($G824="","Uncategorized — Review",IFERROR(INDEX(Mapping!$C:$C,MATCH($G824,Mapping!$A:$A,0)),"Uncategorized — Review"))</f>
        <v>Owner / Family Distributions</v>
      </c>
    </row>
    <row r="825" customFormat="false" ht="15" hidden="false" customHeight="false" outlineLevel="0" collapsed="false">
      <c r="A825" s="0" t="str">
        <f aca="false">Chase1168_2025!A825</f>
        <v>DEBIT</v>
      </c>
      <c r="B825" s="14" t="n">
        <f aca="false">Chase1168_2025!B825</f>
        <v>45860</v>
      </c>
      <c r="C825" s="0" t="str">
        <f aca="false">Chase1168_2025!C825</f>
        <v>INDEED USI25-03900028 AUSTIN TX      352046  07/22</v>
      </c>
      <c r="D825" s="7" t="n">
        <f aca="false">Chase1168_2025!D825</f>
        <v>-519.81</v>
      </c>
      <c r="E825" s="0" t="str">
        <f aca="false">Chase1168_2025!E825</f>
        <v>DEBIT_CARD</v>
      </c>
      <c r="F825" s="7" t="n">
        <f aca="false">Chase1168_2025!F825</f>
        <v>21303.46</v>
      </c>
      <c r="G825" s="0" t="str">
        <f aca="false">Chase1168_2025!G825</f>
        <v>DWG HR</v>
      </c>
      <c r="H825" s="15" t="n">
        <f aca="false">IF($B825="","",DATE(YEAR($B825),MONTH($B825),1))</f>
        <v>45839</v>
      </c>
      <c r="I825" s="0" t="str">
        <f aca="false">IF($G825="","Uncategorized — Review",IFERROR(INDEX(Mapping!$B:$B,MATCH($G825,Mapping!$A:$A,0)),"Uncategorized — Review"))</f>
        <v>DWG HR</v>
      </c>
      <c r="J825" s="0" t="str">
        <f aca="false">IF($G825="","Uncategorized — Review",IFERROR(INDEX(Mapping!$C:$C,MATCH($G825,Mapping!$A:$A,0)),"Uncategorized — Review"))</f>
        <v>Payroll &amp; Contractors</v>
      </c>
    </row>
    <row r="826" customFormat="false" ht="15" hidden="false" customHeight="false" outlineLevel="0" collapsed="false">
      <c r="A826" s="0" t="str">
        <f aca="false">Chase1168_2025!A826</f>
        <v>DEBIT</v>
      </c>
      <c r="B826" s="14" t="n">
        <f aca="false">Chase1168_2025!B826</f>
        <v>45860</v>
      </c>
      <c r="C826" s="0" t="str">
        <f aca="false">Chase1168_2025!C826</f>
        <v>SXM*SIRIUSXM.COM/ACCT 888-635-5144 NY        07/22</v>
      </c>
      <c r="D826" s="7" t="n">
        <f aca="false">Chase1168_2025!D826</f>
        <v>-6.31</v>
      </c>
      <c r="E826" s="0" t="str">
        <f aca="false">Chase1168_2025!E826</f>
        <v>DEBIT_CARD</v>
      </c>
      <c r="F826" s="7" t="n">
        <f aca="false">Chase1168_2025!F826</f>
        <v>21823.27</v>
      </c>
      <c r="G826" s="0" t="str">
        <f aca="false">Chase1168_2025!G826</f>
        <v>Personal - Subscriptions</v>
      </c>
      <c r="H826" s="15" t="n">
        <f aca="false">IF($B826="","",DATE(YEAR($B826),MONTH($B826),1))</f>
        <v>45839</v>
      </c>
      <c r="I826" s="0" t="str">
        <f aca="false">IF($G826="","Uncategorized — Review",IFERROR(INDEX(Mapping!$B:$B,MATCH($G826,Mapping!$A:$A,0)),"Uncategorized — Review"))</f>
        <v>Personal - Subscriptions</v>
      </c>
      <c r="J826" s="0" t="str">
        <f aca="false">IF($G826="","Uncategorized — Review",IFERROR(INDEX(Mapping!$C:$C,MATCH($G826,Mapping!$A:$A,0)),"Uncategorized — Review"))</f>
        <v>Personal — Owner</v>
      </c>
    </row>
    <row r="827" customFormat="false" ht="15" hidden="false" customHeight="false" outlineLevel="0" collapsed="false">
      <c r="A827" s="0" t="str">
        <f aca="false">Chase1168_2025!A827</f>
        <v>DEBIT</v>
      </c>
      <c r="B827" s="14" t="n">
        <f aca="false">Chase1168_2025!B827</f>
        <v>45860</v>
      </c>
      <c r="C827" s="0" t="str">
        <f aca="false">Chase1168_2025!C827</f>
        <v>ORIG CO NAME:VENMO                  ORIG ID:3264681992 DESC DATE:250722 CO ENTRY DESCR:PAYMENT   SEC:WEB    TRACE#:021000024916669 EED:250722   IND ID:1043674943377                IND NAME:JUDD DUNNING                                                                                                 250722PPZVA4 TRN: 2034916669TC</v>
      </c>
      <c r="D827" s="7" t="n">
        <f aca="false">Chase1168_2025!D827</f>
        <v>-1</v>
      </c>
      <c r="E827" s="0" t="str">
        <f aca="false">Chase1168_2025!E827</f>
        <v>ACH_DEBIT</v>
      </c>
      <c r="F827" s="7" t="n">
        <f aca="false">Chase1168_2025!F827</f>
        <v>21829.58</v>
      </c>
      <c r="G827" s="0" t="str">
        <f aca="false">Chase1168_2025!G827</f>
        <v>Venmo</v>
      </c>
      <c r="H827" s="15" t="n">
        <f aca="false">IF($B827="","",DATE(YEAR($B827),MONTH($B827),1))</f>
        <v>45839</v>
      </c>
      <c r="I827" s="0" t="str">
        <f aca="false">IF($G827="","Uncategorized — Review",IFERROR(INDEX(Mapping!$B:$B,MATCH($G827,Mapping!$A:$A,0)),"Uncategorized — Review"))</f>
        <v>Venmo</v>
      </c>
      <c r="J827" s="0" t="str">
        <f aca="false">IF($G827="","Uncategorized — Review",IFERROR(INDEX(Mapping!$C:$C,MATCH($G827,Mapping!$A:$A,0)),"Uncategorized — Review"))</f>
        <v>P2P Payments (Zelle/Venmo/PayPal)</v>
      </c>
    </row>
    <row r="828" customFormat="false" ht="15" hidden="false" customHeight="false" outlineLevel="0" collapsed="false">
      <c r="A828" s="0" t="str">
        <f aca="false">Chase1168_2025!A828</f>
        <v>DEBIT</v>
      </c>
      <c r="B828" s="14" t="n">
        <f aca="false">Chase1168_2025!B828</f>
        <v>45860</v>
      </c>
      <c r="C828" s="0" t="str">
        <f aca="false">Chase1168_2025!C828</f>
        <v>ORIG CO NAME:VENMO                  ORIG ID:3264681992 DESC DATE:250722 CO ENTRY DESCR:PAYMENT   SEC:WEB    TRACE#:021000024917650 EED:250722   IND ID:1043674924137                IND NAME:JUDD DUNNING                                                                                                 250722PPZVA4 TRN: 2034917650TC</v>
      </c>
      <c r="D828" s="7" t="n">
        <f aca="false">Chase1168_2025!D828</f>
        <v>-400</v>
      </c>
      <c r="E828" s="0" t="str">
        <f aca="false">Chase1168_2025!E828</f>
        <v>ACH_DEBIT</v>
      </c>
      <c r="F828" s="7" t="n">
        <f aca="false">Chase1168_2025!F828</f>
        <v>21830.58</v>
      </c>
      <c r="G828" s="0" t="str">
        <f aca="false">Chase1168_2025!G828</f>
        <v>Venmo</v>
      </c>
      <c r="H828" s="15" t="n">
        <f aca="false">IF($B828="","",DATE(YEAR($B828),MONTH($B828),1))</f>
        <v>45839</v>
      </c>
      <c r="I828" s="0" t="str">
        <f aca="false">IF($G828="","Uncategorized — Review",IFERROR(INDEX(Mapping!$B:$B,MATCH($G828,Mapping!$A:$A,0)),"Uncategorized — Review"))</f>
        <v>Venmo</v>
      </c>
      <c r="J828" s="0" t="str">
        <f aca="false">IF($G828="","Uncategorized — Review",IFERROR(INDEX(Mapping!$C:$C,MATCH($G828,Mapping!$A:$A,0)),"Uncategorized — Review"))</f>
        <v>P2P Payments (Zelle/Venmo/PayPal)</v>
      </c>
    </row>
    <row r="829" customFormat="false" ht="15" hidden="false" customHeight="false" outlineLevel="0" collapsed="false">
      <c r="A829" s="0" t="str">
        <f aca="false">Chase1168_2025!A829</f>
        <v>DEBIT</v>
      </c>
      <c r="B829" s="14" t="n">
        <f aca="false">Chase1168_2025!B829</f>
        <v>45860</v>
      </c>
      <c r="C829" s="0" t="str">
        <f aca="false">Chase1168_2025!C829</f>
        <v>ORIG CO NAME:PRINCIPAL-CCAPNL       ORIG ID:9INDPNLEFT DESC DATE:071925 CO ENTRY DESCR:PRIN FINANSEC:PPD    TRACE#:091000012201526 EED:250722   IND ID:                             IND NAME:JOHN B DUNNING TRN: 2032201526TC</v>
      </c>
      <c r="D829" s="7" t="n">
        <f aca="false">Chase1168_2025!D829</f>
        <v>-331.54</v>
      </c>
      <c r="E829" s="0" t="str">
        <f aca="false">Chase1168_2025!E829</f>
        <v>ACH_DEBIT</v>
      </c>
      <c r="F829" s="7" t="n">
        <f aca="false">Chase1168_2025!F829</f>
        <v>22230.58</v>
      </c>
      <c r="G829" s="0" t="str">
        <f aca="false">Chase1168_2025!G829</f>
        <v>???</v>
      </c>
      <c r="H829" s="15" t="n">
        <f aca="false">IF($B829="","",DATE(YEAR($B829),MONTH($B829),1))</f>
        <v>45839</v>
      </c>
      <c r="I829" s="0" t="str">
        <f aca="false">IF($G829="","Uncategorized — Review",IFERROR(INDEX(Mapping!$B:$B,MATCH($G829,Mapping!$A:$A,0)),"Uncategorized — Review"))</f>
        <v>???</v>
      </c>
      <c r="J829" s="0" t="str">
        <f aca="false">IF($G829="","Uncategorized — Review",IFERROR(INDEX(Mapping!$C:$C,MATCH($G829,Mapping!$A:$A,0)),"Uncategorized — Review"))</f>
        <v>Uncategorized — Review</v>
      </c>
    </row>
    <row r="830" customFormat="false" ht="15" hidden="false" customHeight="false" outlineLevel="0" collapsed="false">
      <c r="A830" s="0" t="str">
        <f aca="false">Chase1168_2025!A830</f>
        <v>DEBIT</v>
      </c>
      <c r="B830" s="14" t="n">
        <f aca="false">Chase1168_2025!B830</f>
        <v>45860</v>
      </c>
      <c r="C830" s="0" t="str">
        <f aca="false">Chase1168_2025!C830</f>
        <v>Experian* ProtectMyID 866-5849446 CA         07/21</v>
      </c>
      <c r="D830" s="7" t="n">
        <f aca="false">Chase1168_2025!D830</f>
        <v>-17.95</v>
      </c>
      <c r="E830" s="0" t="str">
        <f aca="false">Chase1168_2025!E830</f>
        <v>DEBIT_CARD</v>
      </c>
      <c r="F830" s="7" t="n">
        <f aca="false">Chase1168_2025!F830</f>
        <v>22562.12</v>
      </c>
      <c r="G830" s="0" t="str">
        <f aca="false">Chase1168_2025!G830</f>
        <v>Personal - Subscriptions</v>
      </c>
      <c r="H830" s="15" t="n">
        <f aca="false">IF($B830="","",DATE(YEAR($B830),MONTH($B830),1))</f>
        <v>45839</v>
      </c>
      <c r="I830" s="0" t="str">
        <f aca="false">IF($G830="","Uncategorized — Review",IFERROR(INDEX(Mapping!$B:$B,MATCH($G830,Mapping!$A:$A,0)),"Uncategorized — Review"))</f>
        <v>Personal - Subscriptions</v>
      </c>
      <c r="J830" s="0" t="str">
        <f aca="false">IF($G830="","Uncategorized — Review",IFERROR(INDEX(Mapping!$C:$C,MATCH($G830,Mapping!$A:$A,0)),"Uncategorized — Review"))</f>
        <v>Personal — Owner</v>
      </c>
    </row>
    <row r="831" customFormat="false" ht="15" hidden="false" customHeight="false" outlineLevel="0" collapsed="false">
      <c r="A831" s="0" t="str">
        <f aca="false">Chase1168_2025!A831</f>
        <v>DEBIT</v>
      </c>
      <c r="B831" s="14" t="n">
        <f aca="false">Chase1168_2025!B831</f>
        <v>45860</v>
      </c>
      <c r="C831" s="0" t="str">
        <f aca="false">Chase1168_2025!C831</f>
        <v>UPWORK * -829237721 866-262-4478 CA          07/21</v>
      </c>
      <c r="D831" s="7" t="n">
        <f aca="false">Chase1168_2025!D831</f>
        <v>-708.75</v>
      </c>
      <c r="E831" s="0" t="str">
        <f aca="false">Chase1168_2025!E831</f>
        <v>DEBIT_CARD</v>
      </c>
      <c r="F831" s="7" t="n">
        <f aca="false">Chase1168_2025!F831</f>
        <v>22580.07</v>
      </c>
      <c r="G831" s="0" t="str">
        <f aca="false">Chase1168_2025!G831</f>
        <v>Upwork - Sergei M.</v>
      </c>
      <c r="H831" s="15" t="n">
        <f aca="false">IF($B831="","",DATE(YEAR($B831),MONTH($B831),1))</f>
        <v>45839</v>
      </c>
      <c r="I831" s="0" t="str">
        <f aca="false">IF($G831="","Uncategorized — Review",IFERROR(INDEX(Mapping!$B:$B,MATCH($G831,Mapping!$A:$A,0)),"Uncategorized — Review"))</f>
        <v>Upwork - Sergei M.</v>
      </c>
      <c r="J831" s="0" t="str">
        <f aca="false">IF($G831="","Uncategorized — Review",IFERROR(INDEX(Mapping!$C:$C,MATCH($G831,Mapping!$A:$A,0)),"Uncategorized — Review"))</f>
        <v>Payroll &amp; Contractors</v>
      </c>
    </row>
    <row r="832" customFormat="false" ht="15" hidden="false" customHeight="false" outlineLevel="0" collapsed="false">
      <c r="A832" s="0" t="str">
        <f aca="false">Chase1168_2025!A832</f>
        <v>CREDIT</v>
      </c>
      <c r="B832" s="14" t="n">
        <f aca="false">Chase1168_2025!B832</f>
        <v>45860</v>
      </c>
      <c r="C832" s="0" t="str">
        <f aca="false">Chase1168_2025!C832</f>
        <v>Online Transfer from CHK ...9335 transaction#: 25575997996</v>
      </c>
      <c r="D832" s="7" t="n">
        <f aca="false">Chase1168_2025!D832</f>
        <v>20000</v>
      </c>
      <c r="E832" s="0" t="str">
        <f aca="false">Chase1168_2025!E832</f>
        <v>ACCT_XFER</v>
      </c>
      <c r="F832" s="7" t="n">
        <f aca="false">Chase1168_2025!F832</f>
        <v>23288.82</v>
      </c>
      <c r="G832" s="0" t="str">
        <f aca="false">Chase1168_2025!G832</f>
        <v>Poseidon Asset Group (Incoming)</v>
      </c>
      <c r="H832" s="15" t="n">
        <f aca="false">IF($B832="","",DATE(YEAR($B832),MONTH($B832),1))</f>
        <v>45839</v>
      </c>
      <c r="I832" s="0" t="str">
        <f aca="false">IF($G832="","Uncategorized — Review",IFERROR(INDEX(Mapping!$B:$B,MATCH($G832,Mapping!$A:$A,0)),"Uncategorized — Review"))</f>
        <v>Poseidon Asset Group (Incoming)</v>
      </c>
      <c r="J832" s="0" t="str">
        <f aca="false">IF($G832="","Uncategorized — Review",IFERROR(INDEX(Mapping!$C:$C,MATCH($G832,Mapping!$A:$A,0)),"Uncategorized — Review"))</f>
        <v>Poseidon Asset Group</v>
      </c>
    </row>
    <row r="833" customFormat="false" ht="15" hidden="false" customHeight="false" outlineLevel="0" collapsed="false">
      <c r="A833" s="0" t="str">
        <f aca="false">Chase1168_2025!A833</f>
        <v>DEBIT</v>
      </c>
      <c r="B833" s="14" t="n">
        <f aca="false">Chase1168_2025!B833</f>
        <v>45859</v>
      </c>
      <c r="C833" s="0" t="str">
        <f aca="false">Chase1168_2025!C833</f>
        <v>Basic Online Payroll Payment 11179996480 to ########4122</v>
      </c>
      <c r="D833" s="7" t="n">
        <f aca="false">Chase1168_2025!D833</f>
        <v>-1500</v>
      </c>
      <c r="E833" s="0" t="str">
        <f aca="false">Chase1168_2025!E833</f>
        <v>BASIC_PAYROLL</v>
      </c>
      <c r="F833" s="7" t="n">
        <f aca="false">Chase1168_2025!F833</f>
        <v>3288.82</v>
      </c>
      <c r="G833" s="0" t="str">
        <f aca="false">Chase1168_2025!G833</f>
        <v>Mike Paytonjian - Payroll</v>
      </c>
      <c r="H833" s="15" t="n">
        <f aca="false">IF($B833="","",DATE(YEAR($B833),MONTH($B833),1))</f>
        <v>45839</v>
      </c>
      <c r="I833" s="0" t="str">
        <f aca="false">IF($G833="","Uncategorized — Review",IFERROR(INDEX(Mapping!$B:$B,MATCH($G833,Mapping!$A:$A,0)),"Uncategorized — Review"))</f>
        <v>Mike Paytonjian - Payroll</v>
      </c>
      <c r="J833" s="0" t="str">
        <f aca="false">IF($G833="","Uncategorized — Review",IFERROR(INDEX(Mapping!$C:$C,MATCH($G833,Mapping!$A:$A,0)),"Uncategorized — Review"))</f>
        <v>Payroll &amp; Contractors</v>
      </c>
    </row>
    <row r="834" customFormat="false" ht="15" hidden="false" customHeight="false" outlineLevel="0" collapsed="false">
      <c r="A834" s="0" t="str">
        <f aca="false">Chase1168_2025!A834</f>
        <v>DEBIT</v>
      </c>
      <c r="B834" s="14" t="n">
        <f aca="false">Chase1168_2025!B834</f>
        <v>45859</v>
      </c>
      <c r="C834" s="0" t="str">
        <f aca="false">Chase1168_2025!C834</f>
        <v>ORIG CO NAME:VENMO                  ORIG ID:3264681992 DESC DATE:250719 CO ENTRY DESCR:PAYMENT   SEC:WEB    TRACE#:021000029206290 EED:250721   IND ID:1043624580282                IND NAME:JUDD DUNNING                                                                                                 250719PPZJRU TRN: 2029206290TC</v>
      </c>
      <c r="D834" s="7" t="n">
        <f aca="false">Chase1168_2025!D834</f>
        <v>-1</v>
      </c>
      <c r="E834" s="0" t="str">
        <f aca="false">Chase1168_2025!E834</f>
        <v>ACH_DEBIT</v>
      </c>
      <c r="F834" s="7" t="n">
        <f aca="false">Chase1168_2025!F834</f>
        <v>4788.82</v>
      </c>
      <c r="G834" s="0" t="str">
        <f aca="false">Chase1168_2025!G834</f>
        <v>Venmo</v>
      </c>
      <c r="H834" s="15" t="n">
        <f aca="false">IF($B834="","",DATE(YEAR($B834),MONTH($B834),1))</f>
        <v>45839</v>
      </c>
      <c r="I834" s="0" t="str">
        <f aca="false">IF($G834="","Uncategorized — Review",IFERROR(INDEX(Mapping!$B:$B,MATCH($G834,Mapping!$A:$A,0)),"Uncategorized — Review"))</f>
        <v>Venmo</v>
      </c>
      <c r="J834" s="0" t="str">
        <f aca="false">IF($G834="","Uncategorized — Review",IFERROR(INDEX(Mapping!$C:$C,MATCH($G834,Mapping!$A:$A,0)),"Uncategorized — Review"))</f>
        <v>P2P Payments (Zelle/Venmo/PayPal)</v>
      </c>
    </row>
    <row r="835" customFormat="false" ht="15" hidden="false" customHeight="false" outlineLevel="0" collapsed="false">
      <c r="A835" s="0" t="str">
        <f aca="false">Chase1168_2025!A835</f>
        <v>DEBIT</v>
      </c>
      <c r="B835" s="14" t="n">
        <f aca="false">Chase1168_2025!B835</f>
        <v>45859</v>
      </c>
      <c r="C835" s="0" t="str">
        <f aca="false">Chase1168_2025!C835</f>
        <v>ORIG CO NAME:VENMO                  ORIG ID:3264681992 DESC DATE:250720 CO ENTRY DESCR:PAYMENT   SEC:WEB    TRACE#:021000029894489 EED:250721   IND ID:1043650918704                IND NAME:JUDD DUNNING                                                                                                 250720PPZMFO TRN: 2029894489TC</v>
      </c>
      <c r="D835" s="7" t="n">
        <f aca="false">Chase1168_2025!D835</f>
        <v>-10</v>
      </c>
      <c r="E835" s="0" t="str">
        <f aca="false">Chase1168_2025!E835</f>
        <v>ACH_DEBIT</v>
      </c>
      <c r="F835" s="7" t="n">
        <f aca="false">Chase1168_2025!F835</f>
        <v>4789.82</v>
      </c>
      <c r="G835" s="0" t="str">
        <f aca="false">Chase1168_2025!G835</f>
        <v>Venmo</v>
      </c>
      <c r="H835" s="15" t="n">
        <f aca="false">IF($B835="","",DATE(YEAR($B835),MONTH($B835),1))</f>
        <v>45839</v>
      </c>
      <c r="I835" s="0" t="str">
        <f aca="false">IF($G835="","Uncategorized — Review",IFERROR(INDEX(Mapping!$B:$B,MATCH($G835,Mapping!$A:$A,0)),"Uncategorized — Review"))</f>
        <v>Venmo</v>
      </c>
      <c r="J835" s="0" t="str">
        <f aca="false">IF($G835="","Uncategorized — Review",IFERROR(INDEX(Mapping!$C:$C,MATCH($G835,Mapping!$A:$A,0)),"Uncategorized — Review"))</f>
        <v>P2P Payments (Zelle/Venmo/PayPal)</v>
      </c>
    </row>
    <row r="836" customFormat="false" ht="15" hidden="false" customHeight="false" outlineLevel="0" collapsed="false">
      <c r="A836" s="0" t="str">
        <f aca="false">Chase1168_2025!A836</f>
        <v>DEBIT</v>
      </c>
      <c r="B836" s="14" t="n">
        <f aca="false">Chase1168_2025!B836</f>
        <v>45859</v>
      </c>
      <c r="C836" s="0" t="str">
        <f aca="false">Chase1168_2025!C836</f>
        <v>ORIG CO NAME:VENMO                  ORIG ID:3264681992 DESC DATE:250719 CO ENTRY DESCR:PAYMENT   SEC:WEB    TRACE#:021000029206130 EED:250721   IND ID:1043624567763                IND NAME:JUDD DUNNING                                                                                                 250719PPZJRU TRN: 2029206130TC</v>
      </c>
      <c r="D836" s="7" t="n">
        <f aca="false">Chase1168_2025!D836</f>
        <v>-20</v>
      </c>
      <c r="E836" s="0" t="str">
        <f aca="false">Chase1168_2025!E836</f>
        <v>ACH_DEBIT</v>
      </c>
      <c r="F836" s="7" t="n">
        <f aca="false">Chase1168_2025!F836</f>
        <v>4799.82</v>
      </c>
      <c r="G836" s="0" t="str">
        <f aca="false">Chase1168_2025!G836</f>
        <v>Venmo</v>
      </c>
      <c r="H836" s="15" t="n">
        <f aca="false">IF($B836="","",DATE(YEAR($B836),MONTH($B836),1))</f>
        <v>45839</v>
      </c>
      <c r="I836" s="0" t="str">
        <f aca="false">IF($G836="","Uncategorized — Review",IFERROR(INDEX(Mapping!$B:$B,MATCH($G836,Mapping!$A:$A,0)),"Uncategorized — Review"))</f>
        <v>Venmo</v>
      </c>
      <c r="J836" s="0" t="str">
        <f aca="false">IF($G836="","Uncategorized — Review",IFERROR(INDEX(Mapping!$C:$C,MATCH($G836,Mapping!$A:$A,0)),"Uncategorized — Review"))</f>
        <v>P2P Payments (Zelle/Venmo/PayPal)</v>
      </c>
    </row>
    <row r="837" customFormat="false" ht="15" hidden="false" customHeight="false" outlineLevel="0" collapsed="false">
      <c r="A837" s="0" t="str">
        <f aca="false">Chase1168_2025!A837</f>
        <v>DEBIT</v>
      </c>
      <c r="B837" s="14" t="n">
        <f aca="false">Chase1168_2025!B837</f>
        <v>45859</v>
      </c>
      <c r="C837" s="0" t="str">
        <f aca="false">Chase1168_2025!C837</f>
        <v>ORIG CO NAME:VENMO                  ORIG ID:3264681992 DESC DATE:250720 CO ENTRY DESCR:PAYMENT   SEC:WEB    TRACE#:021000029907848 EED:250721   IND ID:1043630494953                IND NAME:JUDD DUNNING                                                                                                 250720PPZM8K TRN: 2029907848TC</v>
      </c>
      <c r="D837" s="7" t="n">
        <f aca="false">Chase1168_2025!D837</f>
        <v>-1000</v>
      </c>
      <c r="E837" s="0" t="str">
        <f aca="false">Chase1168_2025!E837</f>
        <v>ACH_DEBIT</v>
      </c>
      <c r="F837" s="7" t="n">
        <f aca="false">Chase1168_2025!F837</f>
        <v>4819.82</v>
      </c>
      <c r="G837" s="0" t="str">
        <f aca="false">Chase1168_2025!G837</f>
        <v>Venmo</v>
      </c>
      <c r="H837" s="15" t="n">
        <f aca="false">IF($B837="","",DATE(YEAR($B837),MONTH($B837),1))</f>
        <v>45839</v>
      </c>
      <c r="I837" s="0" t="str">
        <f aca="false">IF($G837="","Uncategorized — Review",IFERROR(INDEX(Mapping!$B:$B,MATCH($G837,Mapping!$A:$A,0)),"Uncategorized — Review"))</f>
        <v>Venmo</v>
      </c>
      <c r="J837" s="0" t="str">
        <f aca="false">IF($G837="","Uncategorized — Review",IFERROR(INDEX(Mapping!$C:$C,MATCH($G837,Mapping!$A:$A,0)),"Uncategorized — Review"))</f>
        <v>P2P Payments (Zelle/Venmo/PayPal)</v>
      </c>
    </row>
    <row r="838" customFormat="false" ht="15" hidden="false" customHeight="false" outlineLevel="0" collapsed="false">
      <c r="A838" s="0" t="str">
        <f aca="false">Chase1168_2025!A838</f>
        <v>DEBIT</v>
      </c>
      <c r="B838" s="14" t="n">
        <f aca="false">Chase1168_2025!B838</f>
        <v>45859</v>
      </c>
      <c r="C838" s="0" t="str">
        <f aca="false">Chase1168_2025!C838</f>
        <v>ORIG CO NAME:VENMO                  ORIG ID:3264681992 DESC DATE:250720 CO ENTRY DESCR:PAYMENT   SEC:WEB    TRACE#:021000029907804 EED:250721   IND ID:1043630481567                IND NAME:JUDD DUNNING                                                                                                 250720PPZM8K TRN: 2029907804TC</v>
      </c>
      <c r="D838" s="7" t="n">
        <f aca="false">Chase1168_2025!D838</f>
        <v>-1250</v>
      </c>
      <c r="E838" s="0" t="str">
        <f aca="false">Chase1168_2025!E838</f>
        <v>ACH_DEBIT</v>
      </c>
      <c r="F838" s="7" t="n">
        <f aca="false">Chase1168_2025!F838</f>
        <v>5819.82</v>
      </c>
      <c r="G838" s="0" t="str">
        <f aca="false">Chase1168_2025!G838</f>
        <v>Venmo</v>
      </c>
      <c r="H838" s="15" t="n">
        <f aca="false">IF($B838="","",DATE(YEAR($B838),MONTH($B838),1))</f>
        <v>45839</v>
      </c>
      <c r="I838" s="0" t="str">
        <f aca="false">IF($G838="","Uncategorized — Review",IFERROR(INDEX(Mapping!$B:$B,MATCH($G838,Mapping!$A:$A,0)),"Uncategorized — Review"))</f>
        <v>Venmo</v>
      </c>
      <c r="J838" s="0" t="str">
        <f aca="false">IF($G838="","Uncategorized — Review",IFERROR(INDEX(Mapping!$C:$C,MATCH($G838,Mapping!$A:$A,0)),"Uncategorized — Review"))</f>
        <v>P2P Payments (Zelle/Venmo/PayPal)</v>
      </c>
    </row>
    <row r="839" customFormat="false" ht="15" hidden="false" customHeight="false" outlineLevel="0" collapsed="false">
      <c r="A839" s="0" t="str">
        <f aca="false">Chase1168_2025!A839</f>
        <v>DEBIT</v>
      </c>
      <c r="B839" s="14" t="n">
        <f aca="false">Chase1168_2025!B839</f>
        <v>45859</v>
      </c>
      <c r="C839" s="0" t="str">
        <f aca="false">Chase1168_2025!C839</f>
        <v>Online Transfer to CHK ...1117 transaction#: 25558040698 07/21</v>
      </c>
      <c r="D839" s="7" t="n">
        <f aca="false">Chase1168_2025!D839</f>
        <v>-2000</v>
      </c>
      <c r="E839" s="0" t="str">
        <f aca="false">Chase1168_2025!E839</f>
        <v>ACCT_XFER</v>
      </c>
      <c r="F839" s="7" t="n">
        <f aca="false">Chase1168_2025!F839</f>
        <v>7069.82</v>
      </c>
      <c r="G839" s="0" t="str">
        <f aca="false">Chase1168_2025!G839</f>
        <v>Transfer to Angela Dunning</v>
      </c>
      <c r="H839" s="15" t="n">
        <f aca="false">IF($B839="","",DATE(YEAR($B839),MONTH($B839),1))</f>
        <v>45839</v>
      </c>
      <c r="I839" s="0" t="str">
        <f aca="false">IF($G839="","Uncategorized — Review",IFERROR(INDEX(Mapping!$B:$B,MATCH($G839,Mapping!$A:$A,0)),"Uncategorized — Review"))</f>
        <v>Transfer to Angela Dunning</v>
      </c>
      <c r="J839" s="0" t="str">
        <f aca="false">IF($G839="","Uncategorized — Review",IFERROR(INDEX(Mapping!$C:$C,MATCH($G839,Mapping!$A:$A,0)),"Uncategorized — Review"))</f>
        <v>Owner / Family Distributions</v>
      </c>
    </row>
    <row r="840" customFormat="false" ht="15" hidden="false" customHeight="false" outlineLevel="0" collapsed="false">
      <c r="A840" s="0" t="str">
        <f aca="false">Chase1168_2025!A840</f>
        <v>DEBIT</v>
      </c>
      <c r="B840" s="14" t="n">
        <f aca="false">Chase1168_2025!B840</f>
        <v>45859</v>
      </c>
      <c r="C840" s="0" t="str">
        <f aca="false">Chase1168_2025!C840</f>
        <v>PAYPAL *UBER 866-576-1039 CA                 07/20</v>
      </c>
      <c r="D840" s="7" t="n">
        <f aca="false">Chase1168_2025!D840</f>
        <v>-6.03</v>
      </c>
      <c r="E840" s="0" t="str">
        <f aca="false">Chase1168_2025!E840</f>
        <v>DEBIT_CARD</v>
      </c>
      <c r="F840" s="7" t="n">
        <f aca="false">Chase1168_2025!F840</f>
        <v>9069.82</v>
      </c>
      <c r="G840" s="0" t="str">
        <f aca="false">Chase1168_2025!G840</f>
        <v>Personal - Car</v>
      </c>
      <c r="H840" s="15" t="n">
        <f aca="false">IF($B840="","",DATE(YEAR($B840),MONTH($B840),1))</f>
        <v>45839</v>
      </c>
      <c r="I840" s="0" t="str">
        <f aca="false">IF($G840="","Uncategorized — Review",IFERROR(INDEX(Mapping!$B:$B,MATCH($G840,Mapping!$A:$A,0)),"Uncategorized — Review"))</f>
        <v>Personal - Car &amp; Auto</v>
      </c>
      <c r="J840" s="0" t="str">
        <f aca="false">IF($G840="","Uncategorized — Review",IFERROR(INDEX(Mapping!$C:$C,MATCH($G840,Mapping!$A:$A,0)),"Uncategorized — Review"))</f>
        <v>Personal — Owner</v>
      </c>
    </row>
    <row r="841" customFormat="false" ht="15" hidden="false" customHeight="false" outlineLevel="0" collapsed="false">
      <c r="A841" s="0" t="str">
        <f aca="false">Chase1168_2025!A841</f>
        <v>DEBIT</v>
      </c>
      <c r="B841" s="14" t="n">
        <f aca="false">Chase1168_2025!B841</f>
        <v>45859</v>
      </c>
      <c r="C841" s="0" t="str">
        <f aca="false">Chase1168_2025!C841</f>
        <v>PP*APPLE.COM/BILL 800-275-2273 CA            07/20</v>
      </c>
      <c r="D841" s="7" t="n">
        <f aca="false">Chase1168_2025!D841</f>
        <v>-9.99</v>
      </c>
      <c r="E841" s="0" t="str">
        <f aca="false">Chase1168_2025!E841</f>
        <v>DEBIT_CARD</v>
      </c>
      <c r="F841" s="7" t="n">
        <f aca="false">Chase1168_2025!F841</f>
        <v>9075.85</v>
      </c>
      <c r="G841" s="0" t="str">
        <f aca="false">Chase1168_2025!G841</f>
        <v>Personal - Subscriptions</v>
      </c>
      <c r="H841" s="15" t="n">
        <f aca="false">IF($B841="","",DATE(YEAR($B841),MONTH($B841),1))</f>
        <v>45839</v>
      </c>
      <c r="I841" s="0" t="str">
        <f aca="false">IF($G841="","Uncategorized — Review",IFERROR(INDEX(Mapping!$B:$B,MATCH($G841,Mapping!$A:$A,0)),"Uncategorized — Review"))</f>
        <v>Personal - Subscriptions</v>
      </c>
      <c r="J841" s="0" t="str">
        <f aca="false">IF($G841="","Uncategorized — Review",IFERROR(INDEX(Mapping!$C:$C,MATCH($G841,Mapping!$A:$A,0)),"Uncategorized — Review"))</f>
        <v>Personal — Owner</v>
      </c>
    </row>
    <row r="842" customFormat="false" ht="15" hidden="false" customHeight="false" outlineLevel="0" collapsed="false">
      <c r="A842" s="0" t="str">
        <f aca="false">Chase1168_2025!A842</f>
        <v>DEBIT</v>
      </c>
      <c r="B842" s="14" t="n">
        <f aca="false">Chase1168_2025!B842</f>
        <v>45859</v>
      </c>
      <c r="C842" s="0" t="str">
        <f aca="false">Chase1168_2025!C842</f>
        <v>PAYPAL *BEENVERIFIE 786-482-6776 NY          07/21</v>
      </c>
      <c r="D842" s="7" t="n">
        <f aca="false">Chase1168_2025!D842</f>
        <v>-26.89</v>
      </c>
      <c r="E842" s="0" t="str">
        <f aca="false">Chase1168_2025!E842</f>
        <v>DEBIT_CARD</v>
      </c>
      <c r="F842" s="7" t="n">
        <f aca="false">Chase1168_2025!F842</f>
        <v>9085.84</v>
      </c>
      <c r="G842" s="0" t="str">
        <f aca="false">Chase1168_2025!G842</f>
        <v>Personal - Subscriptions</v>
      </c>
      <c r="H842" s="15" t="n">
        <f aca="false">IF($B842="","",DATE(YEAR($B842),MONTH($B842),1))</f>
        <v>45839</v>
      </c>
      <c r="I842" s="0" t="str">
        <f aca="false">IF($G842="","Uncategorized — Review",IFERROR(INDEX(Mapping!$B:$B,MATCH($G842,Mapping!$A:$A,0)),"Uncategorized — Review"))</f>
        <v>Personal - Subscriptions</v>
      </c>
      <c r="J842" s="0" t="str">
        <f aca="false">IF($G842="","Uncategorized — Review",IFERROR(INDEX(Mapping!$C:$C,MATCH($G842,Mapping!$A:$A,0)),"Uncategorized — Review"))</f>
        <v>Personal — Owner</v>
      </c>
    </row>
    <row r="843" customFormat="false" ht="15" hidden="false" customHeight="false" outlineLevel="0" collapsed="false">
      <c r="A843" s="0" t="str">
        <f aca="false">Chase1168_2025!A843</f>
        <v>DEBIT</v>
      </c>
      <c r="B843" s="14" t="n">
        <f aca="false">Chase1168_2025!B843</f>
        <v>45859</v>
      </c>
      <c r="C843" s="0" t="str">
        <f aca="false">Chase1168_2025!C843</f>
        <v>PP*APPLE.COM/BILL 800-275-2273 CA            07/20</v>
      </c>
      <c r="D843" s="7" t="n">
        <f aca="false">Chase1168_2025!D843</f>
        <v>-3.99</v>
      </c>
      <c r="E843" s="0" t="str">
        <f aca="false">Chase1168_2025!E843</f>
        <v>DEBIT_CARD</v>
      </c>
      <c r="F843" s="7" t="n">
        <f aca="false">Chase1168_2025!F843</f>
        <v>9112.73</v>
      </c>
      <c r="G843" s="0" t="str">
        <f aca="false">Chase1168_2025!G843</f>
        <v>Personal - Subscriptions</v>
      </c>
      <c r="H843" s="15" t="n">
        <f aca="false">IF($B843="","",DATE(YEAR($B843),MONTH($B843),1))</f>
        <v>45839</v>
      </c>
      <c r="I843" s="0" t="str">
        <f aca="false">IF($G843="","Uncategorized — Review",IFERROR(INDEX(Mapping!$B:$B,MATCH($G843,Mapping!$A:$A,0)),"Uncategorized — Review"))</f>
        <v>Personal - Subscriptions</v>
      </c>
      <c r="J843" s="0" t="str">
        <f aca="false">IF($G843="","Uncategorized — Review",IFERROR(INDEX(Mapping!$C:$C,MATCH($G843,Mapping!$A:$A,0)),"Uncategorized — Review"))</f>
        <v>Personal — Owner</v>
      </c>
    </row>
    <row r="844" customFormat="false" ht="15" hidden="false" customHeight="false" outlineLevel="0" collapsed="false">
      <c r="A844" s="0" t="str">
        <f aca="false">Chase1168_2025!A844</f>
        <v>DEBIT</v>
      </c>
      <c r="B844" s="14" t="n">
        <f aca="false">Chase1168_2025!B844</f>
        <v>45859</v>
      </c>
      <c r="C844" s="0" t="str">
        <f aca="false">Chase1168_2025!C844</f>
        <v>PAYPAL *THEREALDEAL O 212-260-1332 NY        07/19</v>
      </c>
      <c r="D844" s="7" t="n">
        <f aca="false">Chase1168_2025!D844</f>
        <v>-15</v>
      </c>
      <c r="E844" s="0" t="str">
        <f aca="false">Chase1168_2025!E844</f>
        <v>DEBIT_CARD</v>
      </c>
      <c r="F844" s="7" t="n">
        <f aca="false">Chase1168_2025!F844</f>
        <v>9116.72</v>
      </c>
      <c r="G844" s="0" t="str">
        <f aca="false">Chase1168_2025!G844</f>
        <v>Personal - Subscriptions</v>
      </c>
      <c r="H844" s="15" t="n">
        <f aca="false">IF($B844="","",DATE(YEAR($B844),MONTH($B844),1))</f>
        <v>45839</v>
      </c>
      <c r="I844" s="0" t="str">
        <f aca="false">IF($G844="","Uncategorized — Review",IFERROR(INDEX(Mapping!$B:$B,MATCH($G844,Mapping!$A:$A,0)),"Uncategorized — Review"))</f>
        <v>Personal - Subscriptions</v>
      </c>
      <c r="J844" s="0" t="str">
        <f aca="false">IF($G844="","Uncategorized — Review",IFERROR(INDEX(Mapping!$C:$C,MATCH($G844,Mapping!$A:$A,0)),"Uncategorized — Review"))</f>
        <v>Personal — Owner</v>
      </c>
    </row>
    <row r="845" customFormat="false" ht="15" hidden="false" customHeight="false" outlineLevel="0" collapsed="false">
      <c r="A845" s="0" t="str">
        <f aca="false">Chase1168_2025!A845</f>
        <v>DEBIT</v>
      </c>
      <c r="B845" s="14" t="n">
        <f aca="false">Chase1168_2025!B845</f>
        <v>45859</v>
      </c>
      <c r="C845" s="0" t="str">
        <f aca="false">Chase1168_2025!C845</f>
        <v>RING PREMIUM PLAN RING.COM CA                07/19</v>
      </c>
      <c r="D845" s="7" t="n">
        <f aca="false">Chase1168_2025!D845</f>
        <v>-11.25</v>
      </c>
      <c r="E845" s="0" t="str">
        <f aca="false">Chase1168_2025!E845</f>
        <v>DEBIT_CARD</v>
      </c>
      <c r="F845" s="7" t="n">
        <f aca="false">Chase1168_2025!F845</f>
        <v>9131.72</v>
      </c>
      <c r="G845" s="0" t="str">
        <f aca="false">Chase1168_2025!G845</f>
        <v>Personal - Subscriptions</v>
      </c>
      <c r="H845" s="15" t="n">
        <f aca="false">IF($B845="","",DATE(YEAR($B845),MONTH($B845),1))</f>
        <v>45839</v>
      </c>
      <c r="I845" s="0" t="str">
        <f aca="false">IF($G845="","Uncategorized — Review",IFERROR(INDEX(Mapping!$B:$B,MATCH($G845,Mapping!$A:$A,0)),"Uncategorized — Review"))</f>
        <v>Personal - Subscriptions</v>
      </c>
      <c r="J845" s="0" t="str">
        <f aca="false">IF($G845="","Uncategorized — Review",IFERROR(INDEX(Mapping!$C:$C,MATCH($G845,Mapping!$A:$A,0)),"Uncategorized — Review"))</f>
        <v>Personal — Owner</v>
      </c>
    </row>
    <row r="846" customFormat="false" ht="15" hidden="false" customHeight="false" outlineLevel="0" collapsed="false">
      <c r="A846" s="0" t="str">
        <f aca="false">Chase1168_2025!A846</f>
        <v>DEBIT</v>
      </c>
      <c r="B846" s="14" t="n">
        <f aca="false">Chase1168_2025!B846</f>
        <v>45859</v>
      </c>
      <c r="C846" s="0" t="str">
        <f aca="false">Chase1168_2025!C846</f>
        <v>PAYPAL *FOXCORP 888-596-3938 CA              07/19</v>
      </c>
      <c r="D846" s="7" t="n">
        <f aca="false">Chase1168_2025!D846</f>
        <v>-7.99</v>
      </c>
      <c r="E846" s="0" t="str">
        <f aca="false">Chase1168_2025!E846</f>
        <v>DEBIT_CARD</v>
      </c>
      <c r="F846" s="7" t="n">
        <f aca="false">Chase1168_2025!F846</f>
        <v>9142.97</v>
      </c>
      <c r="G846" s="0" t="str">
        <f aca="false">Chase1168_2025!G846</f>
        <v>Personal - Subscriptions</v>
      </c>
      <c r="H846" s="15" t="n">
        <f aca="false">IF($B846="","",DATE(YEAR($B846),MONTH($B846),1))</f>
        <v>45839</v>
      </c>
      <c r="I846" s="0" t="str">
        <f aca="false">IF($G846="","Uncategorized — Review",IFERROR(INDEX(Mapping!$B:$B,MATCH($G846,Mapping!$A:$A,0)),"Uncategorized — Review"))</f>
        <v>Personal - Subscriptions</v>
      </c>
      <c r="J846" s="0" t="str">
        <f aca="false">IF($G846="","Uncategorized — Review",IFERROR(INDEX(Mapping!$C:$C,MATCH($G846,Mapping!$A:$A,0)),"Uncategorized — Review"))</f>
        <v>Personal — Owner</v>
      </c>
    </row>
    <row r="847" customFormat="false" ht="15" hidden="false" customHeight="false" outlineLevel="0" collapsed="false">
      <c r="A847" s="0" t="str">
        <f aca="false">Chase1168_2025!A847</f>
        <v>DEBIT</v>
      </c>
      <c r="B847" s="14" t="n">
        <f aca="false">Chase1168_2025!B847</f>
        <v>45859</v>
      </c>
      <c r="C847" s="0" t="str">
        <f aca="false">Chase1168_2025!C847</f>
        <v>DNH*GODADDY#3822186140 480-5058855 AZ        07/18</v>
      </c>
      <c r="D847" s="7" t="n">
        <f aca="false">Chase1168_2025!D847</f>
        <v>-21.98</v>
      </c>
      <c r="E847" s="0" t="str">
        <f aca="false">Chase1168_2025!E847</f>
        <v>DEBIT_CARD</v>
      </c>
      <c r="F847" s="7" t="n">
        <f aca="false">Chase1168_2025!F847</f>
        <v>9150.96</v>
      </c>
      <c r="G847" s="0" t="str">
        <f aca="false">Chase1168_2025!G847</f>
        <v>Go Daddy</v>
      </c>
      <c r="H847" s="15" t="n">
        <f aca="false">IF($B847="","",DATE(YEAR($B847),MONTH($B847),1))</f>
        <v>45839</v>
      </c>
      <c r="I847" s="0" t="str">
        <f aca="false">IF($G847="","Uncategorized — Review",IFERROR(INDEX(Mapping!$B:$B,MATCH($G847,Mapping!$A:$A,0)),"Uncategorized — Review"))</f>
        <v>Go Daddy</v>
      </c>
      <c r="J847" s="0" t="str">
        <f aca="false">IF($G847="","Uncategorized — Review",IFERROR(INDEX(Mapping!$C:$C,MATCH($G847,Mapping!$A:$A,0)),"Uncategorized — Review"))</f>
        <v>DWG Operating</v>
      </c>
    </row>
    <row r="848" customFormat="false" ht="15" hidden="false" customHeight="false" outlineLevel="0" collapsed="false">
      <c r="A848" s="0" t="str">
        <f aca="false">Chase1168_2025!A848</f>
        <v>DEBIT</v>
      </c>
      <c r="B848" s="14" t="n">
        <f aca="false">Chase1168_2025!B848</f>
        <v>45859</v>
      </c>
      <c r="C848" s="0" t="str">
        <f aca="false">Chase1168_2025!C848</f>
        <v>DNH*GODADDY#3822186099 480-5058855 AZ        07/18</v>
      </c>
      <c r="D848" s="7" t="n">
        <f aca="false">Chase1168_2025!D848</f>
        <v>-15.98</v>
      </c>
      <c r="E848" s="0" t="str">
        <f aca="false">Chase1168_2025!E848</f>
        <v>DEBIT_CARD</v>
      </c>
      <c r="F848" s="7" t="n">
        <f aca="false">Chase1168_2025!F848</f>
        <v>9172.94</v>
      </c>
      <c r="G848" s="0" t="str">
        <f aca="false">Chase1168_2025!G848</f>
        <v>Go Daddy</v>
      </c>
      <c r="H848" s="15" t="n">
        <f aca="false">IF($B848="","",DATE(YEAR($B848),MONTH($B848),1))</f>
        <v>45839</v>
      </c>
      <c r="I848" s="0" t="str">
        <f aca="false">IF($G848="","Uncategorized — Review",IFERROR(INDEX(Mapping!$B:$B,MATCH($G848,Mapping!$A:$A,0)),"Uncategorized — Review"))</f>
        <v>Go Daddy</v>
      </c>
      <c r="J848" s="0" t="str">
        <f aca="false">IF($G848="","Uncategorized — Review",IFERROR(INDEX(Mapping!$C:$C,MATCH($G848,Mapping!$A:$A,0)),"Uncategorized — Review"))</f>
        <v>DWG Operating</v>
      </c>
    </row>
    <row r="849" customFormat="false" ht="15" hidden="false" customHeight="false" outlineLevel="0" collapsed="false">
      <c r="A849" s="0" t="str">
        <f aca="false">Chase1168_2025!A849</f>
        <v>DEBIT</v>
      </c>
      <c r="B849" s="14" t="n">
        <f aca="false">Chase1168_2025!B849</f>
        <v>45859</v>
      </c>
      <c r="C849" s="0" t="str">
        <f aca="false">Chase1168_2025!C849</f>
        <v>DNH*GODADDY#3791442191 480-5058855 AZ        07/17</v>
      </c>
      <c r="D849" s="7" t="n">
        <f aca="false">Chase1168_2025!D849</f>
        <v>-89.18</v>
      </c>
      <c r="E849" s="0" t="str">
        <f aca="false">Chase1168_2025!E849</f>
        <v>DEBIT_CARD</v>
      </c>
      <c r="F849" s="7" t="n">
        <f aca="false">Chase1168_2025!F849</f>
        <v>9188.92</v>
      </c>
      <c r="G849" s="0" t="str">
        <f aca="false">Chase1168_2025!G849</f>
        <v>Go Daddy</v>
      </c>
      <c r="H849" s="15" t="n">
        <f aca="false">IF($B849="","",DATE(YEAR($B849),MONTH($B849),1))</f>
        <v>45839</v>
      </c>
      <c r="I849" s="0" t="str">
        <f aca="false">IF($G849="","Uncategorized — Review",IFERROR(INDEX(Mapping!$B:$B,MATCH($G849,Mapping!$A:$A,0)),"Uncategorized — Review"))</f>
        <v>Go Daddy</v>
      </c>
      <c r="J849" s="0" t="str">
        <f aca="false">IF($G849="","Uncategorized — Review",IFERROR(INDEX(Mapping!$C:$C,MATCH($G849,Mapping!$A:$A,0)),"Uncategorized — Review"))</f>
        <v>DWG Operating</v>
      </c>
    </row>
    <row r="850" customFormat="false" ht="15" hidden="false" customHeight="false" outlineLevel="0" collapsed="false">
      <c r="A850" s="0" t="str">
        <f aca="false">Chase1168_2025!A850</f>
        <v>DEBIT</v>
      </c>
      <c r="B850" s="14" t="n">
        <f aca="false">Chase1168_2025!B850</f>
        <v>45856</v>
      </c>
      <c r="C850" s="0" t="str">
        <f aca="false">Chase1168_2025!C850</f>
        <v>ORIG CO NAME:VENMO                  ORIG ID:3264681992 DESC DATE:250718 CO ENTRY DESCR:PAYMENT   SEC:WEB    TRACE#:021000024640030 EED:250718   IND ID:1043601854842                IND NAME:JUDD DUNNING                                                                                                 250718PPZFR8 TRN: 1994640030TC</v>
      </c>
      <c r="D850" s="7" t="n">
        <f aca="false">Chase1168_2025!D850</f>
        <v>-120</v>
      </c>
      <c r="E850" s="0" t="str">
        <f aca="false">Chase1168_2025!E850</f>
        <v>ACH_DEBIT</v>
      </c>
      <c r="F850" s="7" t="n">
        <f aca="false">Chase1168_2025!F850</f>
        <v>9278.1</v>
      </c>
      <c r="G850" s="0" t="str">
        <f aca="false">Chase1168_2025!G850</f>
        <v>Venmo</v>
      </c>
      <c r="H850" s="15" t="n">
        <f aca="false">IF($B850="","",DATE(YEAR($B850),MONTH($B850),1))</f>
        <v>45839</v>
      </c>
      <c r="I850" s="0" t="str">
        <f aca="false">IF($G850="","Uncategorized — Review",IFERROR(INDEX(Mapping!$B:$B,MATCH($G850,Mapping!$A:$A,0)),"Uncategorized — Review"))</f>
        <v>Venmo</v>
      </c>
      <c r="J850" s="0" t="str">
        <f aca="false">IF($G850="","Uncategorized — Review",IFERROR(INDEX(Mapping!$C:$C,MATCH($G850,Mapping!$A:$A,0)),"Uncategorized — Review"))</f>
        <v>P2P Payments (Zelle/Venmo/PayPal)</v>
      </c>
    </row>
    <row r="851" customFormat="false" ht="15" hidden="false" customHeight="false" outlineLevel="0" collapsed="false">
      <c r="A851" s="0" t="str">
        <f aca="false">Chase1168_2025!A851</f>
        <v>DEBIT</v>
      </c>
      <c r="B851" s="14" t="n">
        <f aca="false">Chase1168_2025!B851</f>
        <v>45856</v>
      </c>
      <c r="C851" s="0" t="str">
        <f aca="false">Chase1168_2025!C851</f>
        <v>Zelle payment to Jeff Fajardo JPM99bg6kzzl</v>
      </c>
      <c r="D851" s="7" t="n">
        <f aca="false">Chase1168_2025!D851</f>
        <v>-750</v>
      </c>
      <c r="E851" s="0" t="str">
        <f aca="false">Chase1168_2025!E851</f>
        <v>CHASE_TO_PARTNERFI</v>
      </c>
      <c r="F851" s="7" t="n">
        <f aca="false">Chase1168_2025!F851</f>
        <v>9398.1</v>
      </c>
      <c r="G851" s="0" t="str">
        <f aca="false">Chase1168_2025!G851</f>
        <v>Zelle - Jeff Fajardo</v>
      </c>
      <c r="H851" s="15" t="n">
        <f aca="false">IF($B851="","",DATE(YEAR($B851),MONTH($B851),1))</f>
        <v>45839</v>
      </c>
      <c r="I851" s="0" t="str">
        <f aca="false">IF($G851="","Uncategorized — Review",IFERROR(INDEX(Mapping!$B:$B,MATCH($G851,Mapping!$A:$A,0)),"Uncategorized — Review"))</f>
        <v>Zelle - Jeff Fajardo</v>
      </c>
      <c r="J851" s="0" t="str">
        <f aca="false">IF($G851="","Uncategorized — Review",IFERROR(INDEX(Mapping!$C:$C,MATCH($G851,Mapping!$A:$A,0)),"Uncategorized — Review"))</f>
        <v>P2P Payments (Zelle/Venmo/PayPal)</v>
      </c>
    </row>
    <row r="852" customFormat="false" ht="15" hidden="false" customHeight="false" outlineLevel="0" collapsed="false">
      <c r="A852" s="0" t="str">
        <f aca="false">Chase1168_2025!A852</f>
        <v>DEBIT</v>
      </c>
      <c r="B852" s="14" t="n">
        <f aca="false">Chase1168_2025!B852</f>
        <v>45856</v>
      </c>
      <c r="C852" s="0" t="str">
        <f aca="false">Chase1168_2025!C852</f>
        <v>Online Payment 25532127611 To MERCEDES BENZ FINANCIAL SVCS 07/18</v>
      </c>
      <c r="D852" s="7" t="n">
        <f aca="false">Chase1168_2025!D852</f>
        <v>-1399.78</v>
      </c>
      <c r="E852" s="0" t="str">
        <f aca="false">Chase1168_2025!E852</f>
        <v>BILLPAY</v>
      </c>
      <c r="F852" s="7" t="n">
        <f aca="false">Chase1168_2025!F852</f>
        <v>10148.1</v>
      </c>
      <c r="G852" s="0" t="str">
        <f aca="false">Chase1168_2025!G852</f>
        <v>Personal - Car (Mercedes)</v>
      </c>
      <c r="H852" s="15" t="n">
        <f aca="false">IF($B852="","",DATE(YEAR($B852),MONTH($B852),1))</f>
        <v>45839</v>
      </c>
      <c r="I852" s="0" t="str">
        <f aca="false">IF($G852="","Uncategorized — Review",IFERROR(INDEX(Mapping!$B:$B,MATCH($G852,Mapping!$A:$A,0)),"Uncategorized — Review"))</f>
        <v>Personal - Car &amp; Auto</v>
      </c>
      <c r="J852" s="0" t="str">
        <f aca="false">IF($G852="","Uncategorized — Review",IFERROR(INDEX(Mapping!$C:$C,MATCH($G852,Mapping!$A:$A,0)),"Uncategorized — Review"))</f>
        <v>Personal — Owner</v>
      </c>
    </row>
    <row r="853" customFormat="false" ht="15" hidden="false" customHeight="false" outlineLevel="0" collapsed="false">
      <c r="A853" s="0" t="str">
        <f aca="false">Chase1168_2025!A853</f>
        <v>DEBIT</v>
      </c>
      <c r="B853" s="14" t="n">
        <f aca="false">Chase1168_2025!B853</f>
        <v>45856</v>
      </c>
      <c r="C853" s="0" t="str">
        <f aca="false">Chase1168_2025!C853</f>
        <v>Online Payment 25532128110 To LOS ANGELES MUNICIPAL SERVICE 07/18</v>
      </c>
      <c r="D853" s="7" t="n">
        <f aca="false">Chase1168_2025!D853</f>
        <v>-1781</v>
      </c>
      <c r="E853" s="0" t="str">
        <f aca="false">Chase1168_2025!E853</f>
        <v>BILLPAY</v>
      </c>
      <c r="F853" s="7" t="n">
        <f aca="false">Chase1168_2025!F853</f>
        <v>11547.88</v>
      </c>
      <c r="G853" s="0" t="str">
        <f aca="false">Chase1168_2025!G853</f>
        <v>Bill Payment</v>
      </c>
      <c r="H853" s="15" t="n">
        <f aca="false">IF($B853="","",DATE(YEAR($B853),MONTH($B853),1))</f>
        <v>45839</v>
      </c>
      <c r="I853" s="0" t="str">
        <f aca="false">IF($G853="","Uncategorized — Review",IFERROR(INDEX(Mapping!$B:$B,MATCH($G853,Mapping!$A:$A,0)),"Uncategorized — Review"))</f>
        <v>Bill Payment</v>
      </c>
      <c r="J853" s="0" t="str">
        <f aca="false">IF($G853="","Uncategorized — Review",IFERROR(INDEX(Mapping!$C:$C,MATCH($G853,Mapping!$A:$A,0)),"Uncategorized — Review"))</f>
        <v>DWG Operating</v>
      </c>
    </row>
    <row r="854" customFormat="false" ht="15" hidden="false" customHeight="false" outlineLevel="0" collapsed="false">
      <c r="A854" s="0" t="str">
        <f aca="false">Chase1168_2025!A854</f>
        <v>DEBIT</v>
      </c>
      <c r="B854" s="14" t="n">
        <f aca="false">Chase1168_2025!B854</f>
        <v>45856</v>
      </c>
      <c r="C854" s="0" t="str">
        <f aca="false">Chase1168_2025!C854</f>
        <v>Online Transfer to CHK ...1117 transaction#: 25532010124 07/18</v>
      </c>
      <c r="D854" s="7" t="n">
        <f aca="false">Chase1168_2025!D854</f>
        <v>-2000</v>
      </c>
      <c r="E854" s="0" t="str">
        <f aca="false">Chase1168_2025!E854</f>
        <v>ACCT_XFER</v>
      </c>
      <c r="F854" s="7" t="n">
        <f aca="false">Chase1168_2025!F854</f>
        <v>13328.88</v>
      </c>
      <c r="G854" s="0" t="str">
        <f aca="false">Chase1168_2025!G854</f>
        <v>Transfer to Angela Dunning</v>
      </c>
      <c r="H854" s="15" t="n">
        <f aca="false">IF($B854="","",DATE(YEAR($B854),MONTH($B854),1))</f>
        <v>45839</v>
      </c>
      <c r="I854" s="0" t="str">
        <f aca="false">IF($G854="","Uncategorized — Review",IFERROR(INDEX(Mapping!$B:$B,MATCH($G854,Mapping!$A:$A,0)),"Uncategorized — Review"))</f>
        <v>Transfer to Angela Dunning</v>
      </c>
      <c r="J854" s="0" t="str">
        <f aca="false">IF($G854="","Uncategorized — Review",IFERROR(INDEX(Mapping!$C:$C,MATCH($G854,Mapping!$A:$A,0)),"Uncategorized — Review"))</f>
        <v>Owner / Family Distributions</v>
      </c>
    </row>
    <row r="855" customFormat="false" ht="15" hidden="false" customHeight="false" outlineLevel="0" collapsed="false">
      <c r="A855" s="0" t="str">
        <f aca="false">Chase1168_2025!A855</f>
        <v>DEBIT</v>
      </c>
      <c r="B855" s="14" t="n">
        <f aca="false">Chase1168_2025!B855</f>
        <v>45856</v>
      </c>
      <c r="C855" s="0" t="str">
        <f aca="false">Chase1168_2025!C855</f>
        <v>ORIG CO NAME:AMERICAN EXPRESS       ORIG ID:2005032111 DESC DATE:250718 CO ENTRY DESCR:ACH PMT   SEC:CCD    TRACE#:021000022223782 EED:250718   IND ID:W6760                        IND NAME:John Dunning                                                                                                 ER AM TRN: 1992223782TC</v>
      </c>
      <c r="D855" s="7" t="n">
        <f aca="false">Chase1168_2025!D855</f>
        <v>-1373.57</v>
      </c>
      <c r="E855" s="0" t="str">
        <f aca="false">Chase1168_2025!E855</f>
        <v>ACH_DEBIT</v>
      </c>
      <c r="F855" s="7" t="n">
        <f aca="false">Chase1168_2025!F855</f>
        <v>15328.88</v>
      </c>
      <c r="G855" s="0" t="str">
        <f aca="false">Chase1168_2025!G855</f>
        <v>American Express Credit Card PMT</v>
      </c>
      <c r="H855" s="15" t="n">
        <f aca="false">IF($B855="","",DATE(YEAR($B855),MONTH($B855),1))</f>
        <v>45839</v>
      </c>
      <c r="I855" s="0" t="str">
        <f aca="false">IF($G855="","Uncategorized — Review",IFERROR(INDEX(Mapping!$B:$B,MATCH($G855,Mapping!$A:$A,0)),"Uncategorized — Review"))</f>
        <v>American Express Credit Card PMT</v>
      </c>
      <c r="J855" s="0" t="str">
        <f aca="false">IF($G855="","Uncategorized — Review",IFERROR(INDEX(Mapping!$C:$C,MATCH($G855,Mapping!$A:$A,0)),"Uncategorized — Review"))</f>
        <v>Credit Card &amp; Loan Payments</v>
      </c>
    </row>
    <row r="856" customFormat="false" ht="15" hidden="false" customHeight="false" outlineLevel="0" collapsed="false">
      <c r="A856" s="0" t="str">
        <f aca="false">Chase1168_2025!A856</f>
        <v>DEBIT</v>
      </c>
      <c r="B856" s="14" t="n">
        <f aca="false">Chase1168_2025!B856</f>
        <v>45856</v>
      </c>
      <c r="C856" s="0" t="str">
        <f aca="false">Chase1168_2025!C856</f>
        <v>CITY OF SANTA MONICA SANTA MONICA CA         07/17</v>
      </c>
      <c r="D856" s="7" t="n">
        <f aca="false">Chase1168_2025!D856</f>
        <v>-1.25</v>
      </c>
      <c r="E856" s="0" t="str">
        <f aca="false">Chase1168_2025!E856</f>
        <v>DEBIT_CARD</v>
      </c>
      <c r="F856" s="7" t="n">
        <f aca="false">Chase1168_2025!F856</f>
        <v>16702.45</v>
      </c>
      <c r="G856" s="0" t="str">
        <f aca="false">Chase1168_2025!G856</f>
        <v>Personal - Car</v>
      </c>
      <c r="H856" s="15" t="n">
        <f aca="false">IF($B856="","",DATE(YEAR($B856),MONTH($B856),1))</f>
        <v>45839</v>
      </c>
      <c r="I856" s="0" t="str">
        <f aca="false">IF($G856="","Uncategorized — Review",IFERROR(INDEX(Mapping!$B:$B,MATCH($G856,Mapping!$A:$A,0)),"Uncategorized — Review"))</f>
        <v>Personal - Car &amp; Auto</v>
      </c>
      <c r="J856" s="0" t="str">
        <f aca="false">IF($G856="","Uncategorized — Review",IFERROR(INDEX(Mapping!$C:$C,MATCH($G856,Mapping!$A:$A,0)),"Uncategorized — Review"))</f>
        <v>Personal — Owner</v>
      </c>
    </row>
    <row r="857" customFormat="false" ht="15" hidden="false" customHeight="false" outlineLevel="0" collapsed="false">
      <c r="A857" s="0" t="str">
        <f aca="false">Chase1168_2025!A857</f>
        <v>DEBIT</v>
      </c>
      <c r="B857" s="14" t="n">
        <f aca="false">Chase1168_2025!B857</f>
        <v>45856</v>
      </c>
      <c r="C857" s="0" t="str">
        <f aca="false">Chase1168_2025!C857</f>
        <v>TST*BLUEYS KITCHEN MAR Los Angeles CA        07/17</v>
      </c>
      <c r="D857" s="7" t="n">
        <f aca="false">Chase1168_2025!D857</f>
        <v>-7.79</v>
      </c>
      <c r="E857" s="0" t="str">
        <f aca="false">Chase1168_2025!E857</f>
        <v>DEBIT_CARD</v>
      </c>
      <c r="F857" s="7" t="n">
        <f aca="false">Chase1168_2025!F857</f>
        <v>16704.95</v>
      </c>
      <c r="G857" s="0" t="str">
        <f aca="false">Chase1168_2025!G857</f>
        <v>Personal - Food</v>
      </c>
      <c r="H857" s="15" t="n">
        <f aca="false">IF($B857="","",DATE(YEAR($B857),MONTH($B857),1))</f>
        <v>45839</v>
      </c>
      <c r="I857" s="0" t="str">
        <f aca="false">IF($G857="","Uncategorized — Review",IFERROR(INDEX(Mapping!$B:$B,MATCH($G857,Mapping!$A:$A,0)),"Uncategorized — Review"))</f>
        <v>Personal - Food &amp; Dining</v>
      </c>
      <c r="J857" s="0" t="str">
        <f aca="false">IF($G857="","Uncategorized — Review",IFERROR(INDEX(Mapping!$C:$C,MATCH($G857,Mapping!$A:$A,0)),"Uncategorized — Review"))</f>
        <v>Personal — Owner</v>
      </c>
    </row>
    <row r="858" customFormat="false" ht="15" hidden="false" customHeight="false" outlineLevel="0" collapsed="false">
      <c r="A858" s="0" t="str">
        <f aca="false">Chase1168_2025!A858</f>
        <v>DEBIT</v>
      </c>
      <c r="B858" s="14" t="n">
        <f aca="false">Chase1168_2025!B858</f>
        <v>45856</v>
      </c>
      <c r="C858" s="0" t="str">
        <f aca="false">Chase1168_2025!C858</f>
        <v>TST*BLUEYS KITCHEN MAR Los Angeles CA        07/17</v>
      </c>
      <c r="D858" s="7" t="n">
        <f aca="false">Chase1168_2025!D858</f>
        <v>-86.76</v>
      </c>
      <c r="E858" s="0" t="str">
        <f aca="false">Chase1168_2025!E858</f>
        <v>DEBIT_CARD</v>
      </c>
      <c r="F858" s="7" t="n">
        <f aca="false">Chase1168_2025!F858</f>
        <v>16712.74</v>
      </c>
      <c r="G858" s="0" t="str">
        <f aca="false">Chase1168_2025!G858</f>
        <v>Personal - Food</v>
      </c>
      <c r="H858" s="15" t="n">
        <f aca="false">IF($B858="","",DATE(YEAR($B858),MONTH($B858),1))</f>
        <v>45839</v>
      </c>
      <c r="I858" s="0" t="str">
        <f aca="false">IF($G858="","Uncategorized — Review",IFERROR(INDEX(Mapping!$B:$B,MATCH($G858,Mapping!$A:$A,0)),"Uncategorized — Review"))</f>
        <v>Personal - Food &amp; Dining</v>
      </c>
      <c r="J858" s="0" t="str">
        <f aca="false">IF($G858="","Uncategorized — Review",IFERROR(INDEX(Mapping!$C:$C,MATCH($G858,Mapping!$A:$A,0)),"Uncategorized — Review"))</f>
        <v>Personal — Owner</v>
      </c>
    </row>
    <row r="859" customFormat="false" ht="15" hidden="false" customHeight="false" outlineLevel="0" collapsed="false">
      <c r="A859" s="0" t="str">
        <f aca="false">Chase1168_2025!A859</f>
        <v>DEBIT</v>
      </c>
      <c r="B859" s="14" t="n">
        <f aca="false">Chase1168_2025!B859</f>
        <v>45856</v>
      </c>
      <c r="C859" s="0" t="str">
        <f aca="false">Chase1168_2025!C859</f>
        <v>PP*APPLE.COM/BILL 800-275-2273 CA            07/18</v>
      </c>
      <c r="D859" s="7" t="n">
        <f aca="false">Chase1168_2025!D859</f>
        <v>-9.99</v>
      </c>
      <c r="E859" s="0" t="str">
        <f aca="false">Chase1168_2025!E859</f>
        <v>DEBIT_CARD</v>
      </c>
      <c r="F859" s="7" t="n">
        <f aca="false">Chase1168_2025!F859</f>
        <v>16799.5</v>
      </c>
      <c r="G859" s="0" t="str">
        <f aca="false">Chase1168_2025!G859</f>
        <v>Personal - Subscriptions</v>
      </c>
      <c r="H859" s="15" t="n">
        <f aca="false">IF($B859="","",DATE(YEAR($B859),MONTH($B859),1))</f>
        <v>45839</v>
      </c>
      <c r="I859" s="0" t="str">
        <f aca="false">IF($G859="","Uncategorized — Review",IFERROR(INDEX(Mapping!$B:$B,MATCH($G859,Mapping!$A:$A,0)),"Uncategorized — Review"))</f>
        <v>Personal - Subscriptions</v>
      </c>
      <c r="J859" s="0" t="str">
        <f aca="false">IF($G859="","Uncategorized — Review",IFERROR(INDEX(Mapping!$C:$C,MATCH($G859,Mapping!$A:$A,0)),"Uncategorized — Review"))</f>
        <v>Personal — Owner</v>
      </c>
    </row>
    <row r="860" customFormat="false" ht="15" hidden="false" customHeight="false" outlineLevel="0" collapsed="false">
      <c r="A860" s="0" t="str">
        <f aca="false">Chase1168_2025!A860</f>
        <v>DEBIT</v>
      </c>
      <c r="B860" s="14" t="n">
        <f aca="false">Chase1168_2025!B860</f>
        <v>45856</v>
      </c>
      <c r="C860" s="0" t="str">
        <f aca="false">Chase1168_2025!C860</f>
        <v>CVS/PHARMACY #09493 LOS ANGELES CA           07/16</v>
      </c>
      <c r="D860" s="7" t="n">
        <f aca="false">Chase1168_2025!D860</f>
        <v>15.35</v>
      </c>
      <c r="E860" s="0" t="str">
        <f aca="false">Chase1168_2025!E860</f>
        <v>DEBIT_CARD</v>
      </c>
      <c r="F860" s="7" t="n">
        <f aca="false">Chase1168_2025!F860</f>
        <v>16809.49</v>
      </c>
      <c r="G860" s="0" t="str">
        <f aca="false">Chase1168_2025!G860</f>
        <v>Personal - Health</v>
      </c>
      <c r="H860" s="15" t="n">
        <f aca="false">IF($B860="","",DATE(YEAR($B860),MONTH($B860),1))</f>
        <v>45839</v>
      </c>
      <c r="I860" s="0" t="str">
        <f aca="false">IF($G860="","Uncategorized — Review",IFERROR(INDEX(Mapping!$B:$B,MATCH($G860,Mapping!$A:$A,0)),"Uncategorized — Review"))</f>
        <v>Personal - Health (incl. Ins.)</v>
      </c>
      <c r="J860" s="0" t="str">
        <f aca="false">IF($G860="","Uncategorized — Review",IFERROR(INDEX(Mapping!$C:$C,MATCH($G860,Mapping!$A:$A,0)),"Uncategorized — Review"))</f>
        <v>Personal — Owner</v>
      </c>
    </row>
    <row r="861" customFormat="false" ht="15" hidden="false" customHeight="false" outlineLevel="0" collapsed="false">
      <c r="A861" s="0" t="str">
        <f aca="false">Chase1168_2025!A861</f>
        <v>DEBIT</v>
      </c>
      <c r="B861" s="14" t="n">
        <f aca="false">Chase1168_2025!B861</f>
        <v>45855</v>
      </c>
      <c r="C861" s="0" t="str">
        <f aca="false">Chase1168_2025!C861</f>
        <v>ONLINE FX INTERNATIONAL WIRE FEE</v>
      </c>
      <c r="D861" s="7" t="n">
        <f aca="false">Chase1168_2025!D861</f>
        <v>-5</v>
      </c>
      <c r="E861" s="0" t="str">
        <f aca="false">Chase1168_2025!E861</f>
        <v>FEE_TRANSACTION</v>
      </c>
      <c r="F861" s="7" t="n">
        <f aca="false">Chase1168_2025!F861</f>
        <v>16794.14</v>
      </c>
      <c r="G861" s="0" t="str">
        <f aca="false">Chase1168_2025!G861</f>
        <v>Andres Alarcon Payroll</v>
      </c>
      <c r="H861" s="15" t="n">
        <f aca="false">IF($B861="","",DATE(YEAR($B861),MONTH($B861),1))</f>
        <v>45839</v>
      </c>
      <c r="I861" s="0" t="str">
        <f aca="false">IF($G861="","Uncategorized — Review",IFERROR(INDEX(Mapping!$B:$B,MATCH($G861,Mapping!$A:$A,0)),"Uncategorized — Review"))</f>
        <v>Andres Alarcon Payroll</v>
      </c>
      <c r="J861" s="0" t="str">
        <f aca="false">IF($G861="","Uncategorized — Review",IFERROR(INDEX(Mapping!$C:$C,MATCH($G861,Mapping!$A:$A,0)),"Uncategorized — Review"))</f>
        <v>Payroll &amp; Contractors</v>
      </c>
    </row>
    <row r="862" customFormat="false" ht="15" hidden="false" customHeight="false" outlineLevel="0" collapsed="false">
      <c r="A862" s="0" t="str">
        <f aca="false">Chase1168_2025!A862</f>
        <v>DEBIT</v>
      </c>
      <c r="B862" s="14" t="n">
        <f aca="false">Chase1168_2025!B862</f>
        <v>45855</v>
      </c>
      <c r="C862" s="0" t="str">
        <f aca="false">Chase1168_2025!C862</f>
        <v>INDEED USI25-03844568 AUSTIN TX      022611  07/17</v>
      </c>
      <c r="D862" s="7" t="n">
        <f aca="false">Chase1168_2025!D862</f>
        <v>-505.8</v>
      </c>
      <c r="E862" s="0" t="str">
        <f aca="false">Chase1168_2025!E862</f>
        <v>DEBIT_CARD</v>
      </c>
      <c r="F862" s="7" t="n">
        <f aca="false">Chase1168_2025!F862</f>
        <v>16799.14</v>
      </c>
      <c r="G862" s="0" t="str">
        <f aca="false">Chase1168_2025!G862</f>
        <v>DWG HR</v>
      </c>
      <c r="H862" s="15" t="n">
        <f aca="false">IF($B862="","",DATE(YEAR($B862),MONTH($B862),1))</f>
        <v>45839</v>
      </c>
      <c r="I862" s="0" t="str">
        <f aca="false">IF($G862="","Uncategorized — Review",IFERROR(INDEX(Mapping!$B:$B,MATCH($G862,Mapping!$A:$A,0)),"Uncategorized — Review"))</f>
        <v>DWG HR</v>
      </c>
      <c r="J862" s="0" t="str">
        <f aca="false">IF($G862="","Uncategorized — Review",IFERROR(INDEX(Mapping!$C:$C,MATCH($G862,Mapping!$A:$A,0)),"Uncategorized — Review"))</f>
        <v>Payroll &amp; Contractors</v>
      </c>
    </row>
    <row r="863" customFormat="false" ht="15" hidden="false" customHeight="false" outlineLevel="0" collapsed="false">
      <c r="A863" s="0" t="str">
        <f aca="false">Chase1168_2025!A863</f>
        <v>DEBIT</v>
      </c>
      <c r="B863" s="14" t="n">
        <f aca="false">Chase1168_2025!B863</f>
        <v>45855</v>
      </c>
      <c r="C863" s="0" t="str">
        <f aca="false">Chase1168_2025!C863</f>
        <v>Zelle payment to Jay 25516557426</v>
      </c>
      <c r="D863" s="7" t="n">
        <f aca="false">Chase1168_2025!D863</f>
        <v>-150</v>
      </c>
      <c r="E863" s="0" t="str">
        <f aca="false">Chase1168_2025!E863</f>
        <v>QUICKPAY_DEBIT</v>
      </c>
      <c r="F863" s="7" t="n">
        <f aca="false">Chase1168_2025!F863</f>
        <v>17304.94</v>
      </c>
      <c r="G863" s="0" t="str">
        <f aca="false">Chase1168_2025!G863</f>
        <v>Zelle/P2P</v>
      </c>
      <c r="H863" s="15" t="n">
        <f aca="false">IF($B863="","",DATE(YEAR($B863),MONTH($B863),1))</f>
        <v>45839</v>
      </c>
      <c r="I863" s="0" t="str">
        <f aca="false">IF($G863="","Uncategorized — Review",IFERROR(INDEX(Mapping!$B:$B,MATCH($G863,Mapping!$A:$A,0)),"Uncategorized — Review"))</f>
        <v>Zelle/P2P</v>
      </c>
      <c r="J863" s="0" t="str">
        <f aca="false">IF($G863="","Uncategorized — Review",IFERROR(INDEX(Mapping!$C:$C,MATCH($G863,Mapping!$A:$A,0)),"Uncategorized — Review"))</f>
        <v>P2P Payments (Zelle/Venmo/PayPal)</v>
      </c>
    </row>
    <row r="864" customFormat="false" ht="15" hidden="false" customHeight="false" outlineLevel="0" collapsed="false">
      <c r="A864" s="0" t="str">
        <f aca="false">Chase1168_2025!A864</f>
        <v>DEBIT</v>
      </c>
      <c r="B864" s="14" t="n">
        <f aca="false">Chase1168_2025!B864</f>
        <v>45855</v>
      </c>
      <c r="C864" s="0" t="str">
        <f aca="false">Chase1168_2025!C864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ENTS/OCMT/COP2899247,55/EXCH/3865.6 634/CNTR/26173300/INT/ANDRES_527 TRN: 4331800198RE 07/17</v>
      </c>
      <c r="D864" s="7" t="n">
        <f aca="false">Chase1168_2025!D864</f>
        <v>-750</v>
      </c>
      <c r="E864" s="0" t="str">
        <f aca="false">Chase1168_2025!E864</f>
        <v>WIRE_OUTGOING</v>
      </c>
      <c r="F864" s="7" t="n">
        <f aca="false">Chase1168_2025!F864</f>
        <v>17454.94</v>
      </c>
      <c r="G864" s="0" t="str">
        <f aca="false">Chase1168_2025!G864</f>
        <v>Andres Alarcon Payroll</v>
      </c>
      <c r="H864" s="15" t="n">
        <f aca="false">IF($B864="","",DATE(YEAR($B864),MONTH($B864),1))</f>
        <v>45839</v>
      </c>
      <c r="I864" s="0" t="str">
        <f aca="false">IF($G864="","Uncategorized — Review",IFERROR(INDEX(Mapping!$B:$B,MATCH($G864,Mapping!$A:$A,0)),"Uncategorized — Review"))</f>
        <v>Andres Alarcon Payroll</v>
      </c>
      <c r="J864" s="0" t="str">
        <f aca="false">IF($G864="","Uncategorized — Review",IFERROR(INDEX(Mapping!$C:$C,MATCH($G864,Mapping!$A:$A,0)),"Uncategorized — Review"))</f>
        <v>Payroll &amp; Contractors</v>
      </c>
    </row>
    <row r="865" customFormat="false" ht="15" hidden="false" customHeight="false" outlineLevel="0" collapsed="false">
      <c r="A865" s="0" t="str">
        <f aca="false">Chase1168_2025!A865</f>
        <v>DEBIT</v>
      </c>
      <c r="B865" s="14" t="n">
        <f aca="false">Chase1168_2025!B865</f>
        <v>45855</v>
      </c>
      <c r="C865" s="0" t="str">
        <f aca="false">Chase1168_2025!C865</f>
        <v>Zelle payment to Jeff Fajardo JPM99bfztuvj</v>
      </c>
      <c r="D865" s="7" t="n">
        <f aca="false">Chase1168_2025!D865</f>
        <v>-1025</v>
      </c>
      <c r="E865" s="0" t="str">
        <f aca="false">Chase1168_2025!E865</f>
        <v>CHASE_TO_PARTNERFI</v>
      </c>
      <c r="F865" s="7" t="n">
        <f aca="false">Chase1168_2025!F865</f>
        <v>18204.94</v>
      </c>
      <c r="G865" s="0" t="str">
        <f aca="false">Chase1168_2025!G865</f>
        <v>Zelle - Jeff Fajardo</v>
      </c>
      <c r="H865" s="15" t="n">
        <f aca="false">IF($B865="","",DATE(YEAR($B865),MONTH($B865),1))</f>
        <v>45839</v>
      </c>
      <c r="I865" s="0" t="str">
        <f aca="false">IF($G865="","Uncategorized — Review",IFERROR(INDEX(Mapping!$B:$B,MATCH($G865,Mapping!$A:$A,0)),"Uncategorized — Review"))</f>
        <v>Zelle - Jeff Fajardo</v>
      </c>
      <c r="J865" s="0" t="str">
        <f aca="false">IF($G865="","Uncategorized — Review",IFERROR(INDEX(Mapping!$C:$C,MATCH($G865,Mapping!$A:$A,0)),"Uncategorized — Review"))</f>
        <v>P2P Payments (Zelle/Venmo/PayPal)</v>
      </c>
    </row>
    <row r="866" customFormat="false" ht="15" hidden="false" customHeight="false" outlineLevel="0" collapsed="false">
      <c r="A866" s="0" t="str">
        <f aca="false">Chase1168_2025!A866</f>
        <v>DEBIT</v>
      </c>
      <c r="B866" s="14" t="n">
        <f aca="false">Chase1168_2025!B866</f>
        <v>45855</v>
      </c>
      <c r="C866" s="0" t="str">
        <f aca="false">Chase1168_2025!C866</f>
        <v>Zelle payment to Jeffrey Seider JPM99bfzu0od</v>
      </c>
      <c r="D866" s="7" t="n">
        <f aca="false">Chase1168_2025!D866</f>
        <v>-100</v>
      </c>
      <c r="E866" s="0" t="str">
        <f aca="false">Chase1168_2025!E866</f>
        <v>CHASE_TO_PARTNERFI</v>
      </c>
      <c r="F866" s="7" t="n">
        <f aca="false">Chase1168_2025!F866</f>
        <v>19229.94</v>
      </c>
      <c r="G866" s="0" t="str">
        <f aca="false">Chase1168_2025!G866</f>
        <v>Zelle - Jeff Seider</v>
      </c>
      <c r="H866" s="15" t="n">
        <f aca="false">IF($B866="","",DATE(YEAR($B866),MONTH($B866),1))</f>
        <v>45839</v>
      </c>
      <c r="I866" s="0" t="str">
        <f aca="false">IF($G866="","Uncategorized — Review",IFERROR(INDEX(Mapping!$B:$B,MATCH($G866,Mapping!$A:$A,0)),"Uncategorized — Review"))</f>
        <v>Zelle - Jeff Seider</v>
      </c>
      <c r="J866" s="0" t="str">
        <f aca="false">IF($G866="","Uncategorized — Review",IFERROR(INDEX(Mapping!$C:$C,MATCH($G866,Mapping!$A:$A,0)),"Uncategorized — Review"))</f>
        <v>P2P Payments (Zelle/Venmo/PayPal)</v>
      </c>
    </row>
    <row r="867" customFormat="false" ht="15" hidden="false" customHeight="false" outlineLevel="0" collapsed="false">
      <c r="A867" s="0" t="str">
        <f aca="false">Chase1168_2025!A867</f>
        <v>DEBIT</v>
      </c>
      <c r="B867" s="14" t="n">
        <f aca="false">Chase1168_2025!B867</f>
        <v>45855</v>
      </c>
      <c r="C867" s="0" t="str">
        <f aca="false">Chase1168_2025!C867</f>
        <v>Zelle payment to Jay 25511219227</v>
      </c>
      <c r="D867" s="7" t="n">
        <f aca="false">Chase1168_2025!D867</f>
        <v>-200</v>
      </c>
      <c r="E867" s="0" t="str">
        <f aca="false">Chase1168_2025!E867</f>
        <v>QUICKPAY_DEBIT</v>
      </c>
      <c r="F867" s="7" t="n">
        <f aca="false">Chase1168_2025!F867</f>
        <v>19329.94</v>
      </c>
      <c r="G867" s="0" t="str">
        <f aca="false">Chase1168_2025!G867</f>
        <v>Zelle/P2P</v>
      </c>
      <c r="H867" s="15" t="n">
        <f aca="false">IF($B867="","",DATE(YEAR($B867),MONTH($B867),1))</f>
        <v>45839</v>
      </c>
      <c r="I867" s="0" t="str">
        <f aca="false">IF($G867="","Uncategorized — Review",IFERROR(INDEX(Mapping!$B:$B,MATCH($G867,Mapping!$A:$A,0)),"Uncategorized — Review"))</f>
        <v>Zelle/P2P</v>
      </c>
      <c r="J867" s="0" t="str">
        <f aca="false">IF($G867="","Uncategorized — Review",IFERROR(INDEX(Mapping!$C:$C,MATCH($G867,Mapping!$A:$A,0)),"Uncategorized — Review"))</f>
        <v>P2P Payments (Zelle/Venmo/PayPal)</v>
      </c>
    </row>
    <row r="868" customFormat="false" ht="15" hidden="false" customHeight="false" outlineLevel="0" collapsed="false">
      <c r="A868" s="0" t="str">
        <f aca="false">Chase1168_2025!A868</f>
        <v>DEBIT</v>
      </c>
      <c r="B868" s="14" t="n">
        <f aca="false">Chase1168_2025!B868</f>
        <v>45855</v>
      </c>
      <c r="C868" s="0" t="str">
        <f aca="false">Chase1168_2025!C868</f>
        <v>CVS/PHARMACY #09493 LOS ANGELES CA           07/16</v>
      </c>
      <c r="D868" s="7" t="n">
        <f aca="false">Chase1168_2025!D868</f>
        <v>-21.94</v>
      </c>
      <c r="E868" s="0" t="str">
        <f aca="false">Chase1168_2025!E868</f>
        <v>DEBIT_CARD</v>
      </c>
      <c r="F868" s="7" t="n">
        <f aca="false">Chase1168_2025!F868</f>
        <v>19529.94</v>
      </c>
      <c r="G868" s="0" t="str">
        <f aca="false">Chase1168_2025!G868</f>
        <v>Personal - Health</v>
      </c>
      <c r="H868" s="15" t="n">
        <f aca="false">IF($B868="","",DATE(YEAR($B868),MONTH($B868),1))</f>
        <v>45839</v>
      </c>
      <c r="I868" s="0" t="str">
        <f aca="false">IF($G868="","Uncategorized — Review",IFERROR(INDEX(Mapping!$B:$B,MATCH($G868,Mapping!$A:$A,0)),"Uncategorized — Review"))</f>
        <v>Personal - Health (incl. Ins.)</v>
      </c>
      <c r="J868" s="0" t="str">
        <f aca="false">IF($G868="","Uncategorized — Review",IFERROR(INDEX(Mapping!$C:$C,MATCH($G868,Mapping!$A:$A,0)),"Uncategorized — Review"))</f>
        <v>Personal — Owner</v>
      </c>
    </row>
    <row r="869" customFormat="false" ht="15" hidden="false" customHeight="false" outlineLevel="0" collapsed="false">
      <c r="A869" s="0" t="str">
        <f aca="false">Chase1168_2025!A869</f>
        <v>DEBIT</v>
      </c>
      <c r="B869" s="14" t="n">
        <f aca="false">Chase1168_2025!B869</f>
        <v>45855</v>
      </c>
      <c r="C869" s="0" t="str">
        <f aca="false">Chase1168_2025!C869</f>
        <v>CVS/PHARMACY #09493 LOS ANGELES CA           07/16</v>
      </c>
      <c r="D869" s="7" t="n">
        <f aca="false">Chase1168_2025!D869</f>
        <v>-15.35</v>
      </c>
      <c r="E869" s="0" t="str">
        <f aca="false">Chase1168_2025!E869</f>
        <v>DEBIT_CARD</v>
      </c>
      <c r="F869" s="7" t="n">
        <f aca="false">Chase1168_2025!F869</f>
        <v>19551.88</v>
      </c>
      <c r="G869" s="0" t="str">
        <f aca="false">Chase1168_2025!G869</f>
        <v>Personal - Health</v>
      </c>
      <c r="H869" s="15" t="n">
        <f aca="false">IF($B869="","",DATE(YEAR($B869),MONTH($B869),1))</f>
        <v>45839</v>
      </c>
      <c r="I869" s="0" t="str">
        <f aca="false">IF($G869="","Uncategorized — Review",IFERROR(INDEX(Mapping!$B:$B,MATCH($G869,Mapping!$A:$A,0)),"Uncategorized — Review"))</f>
        <v>Personal - Health (incl. Ins.)</v>
      </c>
      <c r="J869" s="0" t="str">
        <f aca="false">IF($G869="","Uncategorized — Review",IFERROR(INDEX(Mapping!$C:$C,MATCH($G869,Mapping!$A:$A,0)),"Uncategorized — Review"))</f>
        <v>Personal — Owner</v>
      </c>
    </row>
    <row r="870" customFormat="false" ht="15" hidden="false" customHeight="false" outlineLevel="0" collapsed="false">
      <c r="A870" s="0" t="str">
        <f aca="false">Chase1168_2025!A870</f>
        <v>DEBIT</v>
      </c>
      <c r="B870" s="14" t="n">
        <f aca="false">Chase1168_2025!B870</f>
        <v>45855</v>
      </c>
      <c r="C870" s="0" t="str">
        <f aca="false">Chase1168_2025!C870</f>
        <v>SQ *VERSAILLES CUBAN F Los Angeles CA        07/16</v>
      </c>
      <c r="D870" s="7" t="n">
        <f aca="false">Chase1168_2025!D870</f>
        <v>-90.22</v>
      </c>
      <c r="E870" s="0" t="str">
        <f aca="false">Chase1168_2025!E870</f>
        <v>DEBIT_CARD</v>
      </c>
      <c r="F870" s="7" t="n">
        <f aca="false">Chase1168_2025!F870</f>
        <v>19567.23</v>
      </c>
      <c r="G870" s="0" t="str">
        <f aca="false">Chase1168_2025!G870</f>
        <v>Personal - Food</v>
      </c>
      <c r="H870" s="15" t="n">
        <f aca="false">IF($B870="","",DATE(YEAR($B870),MONTH($B870),1))</f>
        <v>45839</v>
      </c>
      <c r="I870" s="0" t="str">
        <f aca="false">IF($G870="","Uncategorized — Review",IFERROR(INDEX(Mapping!$B:$B,MATCH($G870,Mapping!$A:$A,0)),"Uncategorized — Review"))</f>
        <v>Personal - Food &amp; Dining</v>
      </c>
      <c r="J870" s="0" t="str">
        <f aca="false">IF($G870="","Uncategorized — Review",IFERROR(INDEX(Mapping!$C:$C,MATCH($G870,Mapping!$A:$A,0)),"Uncategorized — Review"))</f>
        <v>Personal — Owner</v>
      </c>
    </row>
    <row r="871" customFormat="false" ht="15" hidden="false" customHeight="false" outlineLevel="0" collapsed="false">
      <c r="A871" s="0" t="str">
        <f aca="false">Chase1168_2025!A871</f>
        <v>DEBIT</v>
      </c>
      <c r="B871" s="14" t="n">
        <f aca="false">Chase1168_2025!B871</f>
        <v>45855</v>
      </c>
      <c r="C871" s="0" t="str">
        <f aca="false">Chase1168_2025!C871</f>
        <v>CTLP*FIRST CLASS VENDI BELLGARDENS CA        07/16</v>
      </c>
      <c r="D871" s="7" t="n">
        <f aca="false">Chase1168_2025!D871</f>
        <v>-2.1</v>
      </c>
      <c r="E871" s="0" t="str">
        <f aca="false">Chase1168_2025!E871</f>
        <v>DEBIT_CARD</v>
      </c>
      <c r="F871" s="7" t="n">
        <f aca="false">Chase1168_2025!F871</f>
        <v>19657.45</v>
      </c>
      <c r="G871" s="0" t="str">
        <f aca="false">Chase1168_2025!G871</f>
        <v>Personal - Food</v>
      </c>
      <c r="H871" s="15" t="n">
        <f aca="false">IF($B871="","",DATE(YEAR($B871),MONTH($B871),1))</f>
        <v>45839</v>
      </c>
      <c r="I871" s="0" t="str">
        <f aca="false">IF($G871="","Uncategorized — Review",IFERROR(INDEX(Mapping!$B:$B,MATCH($G871,Mapping!$A:$A,0)),"Uncategorized — Review"))</f>
        <v>Personal - Food &amp; Dining</v>
      </c>
      <c r="J871" s="0" t="str">
        <f aca="false">IF($G871="","Uncategorized — Review",IFERROR(INDEX(Mapping!$C:$C,MATCH($G871,Mapping!$A:$A,0)),"Uncategorized — Review"))</f>
        <v>Personal — Owner</v>
      </c>
    </row>
    <row r="872" customFormat="false" ht="15" hidden="false" customHeight="false" outlineLevel="0" collapsed="false">
      <c r="A872" s="0" t="str">
        <f aca="false">Chase1168_2025!A872</f>
        <v>DEBIT</v>
      </c>
      <c r="B872" s="14" t="n">
        <f aca="false">Chase1168_2025!B872</f>
        <v>45855</v>
      </c>
      <c r="C872" s="0" t="str">
        <f aca="false">Chase1168_2025!C872</f>
        <v>PP*APPLE.COM/BILL 800-275-2273 CA            07/17</v>
      </c>
      <c r="D872" s="7" t="n">
        <f aca="false">Chase1168_2025!D872</f>
        <v>-11</v>
      </c>
      <c r="E872" s="0" t="str">
        <f aca="false">Chase1168_2025!E872</f>
        <v>DEBIT_CARD</v>
      </c>
      <c r="F872" s="7" t="n">
        <f aca="false">Chase1168_2025!F872</f>
        <v>19659.55</v>
      </c>
      <c r="G872" s="0" t="str">
        <f aca="false">Chase1168_2025!G872</f>
        <v>Personal - Subscriptions</v>
      </c>
      <c r="H872" s="15" t="n">
        <f aca="false">IF($B872="","",DATE(YEAR($B872),MONTH($B872),1))</f>
        <v>45839</v>
      </c>
      <c r="I872" s="0" t="str">
        <f aca="false">IF($G872="","Uncategorized — Review",IFERROR(INDEX(Mapping!$B:$B,MATCH($G872,Mapping!$A:$A,0)),"Uncategorized — Review"))</f>
        <v>Personal - Subscriptions</v>
      </c>
      <c r="J872" s="0" t="str">
        <f aca="false">IF($G872="","Uncategorized — Review",IFERROR(INDEX(Mapping!$C:$C,MATCH($G872,Mapping!$A:$A,0)),"Uncategorized — Review"))</f>
        <v>Personal — Owner</v>
      </c>
    </row>
    <row r="873" customFormat="false" ht="15" hidden="false" customHeight="false" outlineLevel="0" collapsed="false">
      <c r="A873" s="0" t="str">
        <f aca="false">Chase1168_2025!A873</f>
        <v>DEBIT</v>
      </c>
      <c r="B873" s="14" t="n">
        <f aca="false">Chase1168_2025!B873</f>
        <v>45855</v>
      </c>
      <c r="C873" s="0" t="str">
        <f aca="false">Chase1168_2025!C873</f>
        <v>PAYPAL *LINKEDIN 402-935-7733 CA             07/17</v>
      </c>
      <c r="D873" s="7" t="n">
        <f aca="false">Chase1168_2025!D873</f>
        <v>-69.99</v>
      </c>
      <c r="E873" s="0" t="str">
        <f aca="false">Chase1168_2025!E873</f>
        <v>DEBIT_CARD</v>
      </c>
      <c r="F873" s="7" t="n">
        <f aca="false">Chase1168_2025!F873</f>
        <v>19670.55</v>
      </c>
      <c r="G873" s="0" t="str">
        <f aca="false">Chase1168_2025!G873</f>
        <v>DWG HR</v>
      </c>
      <c r="H873" s="15" t="n">
        <f aca="false">IF($B873="","",DATE(YEAR($B873),MONTH($B873),1))</f>
        <v>45839</v>
      </c>
      <c r="I873" s="0" t="str">
        <f aca="false">IF($G873="","Uncategorized — Review",IFERROR(INDEX(Mapping!$B:$B,MATCH($G873,Mapping!$A:$A,0)),"Uncategorized — Review"))</f>
        <v>DWG HR</v>
      </c>
      <c r="J873" s="0" t="str">
        <f aca="false">IF($G873="","Uncategorized — Review",IFERROR(INDEX(Mapping!$C:$C,MATCH($G873,Mapping!$A:$A,0)),"Uncategorized — Review"))</f>
        <v>Payroll &amp; Contractors</v>
      </c>
    </row>
    <row r="874" customFormat="false" ht="15" hidden="false" customHeight="false" outlineLevel="0" collapsed="false">
      <c r="A874" s="0" t="str">
        <f aca="false">Chase1168_2025!A874</f>
        <v>DEBIT</v>
      </c>
      <c r="B874" s="14" t="n">
        <f aca="false">Chase1168_2025!B874</f>
        <v>45854</v>
      </c>
      <c r="C874" s="0" t="str">
        <f aca="false">Chase1168_2025!C874</f>
        <v>ORIG CO NAME:LEASEDIRECT            ORIG ID:138190450  DESC DATE:250715 CO ENTRY DESCR:13329_1   SEC:CCD    TRACE#:043000095439679 EED:250716   IND ID:1556926                      IND NAME:DWG CAPITAL GROUP          INV# 590618241 DUE 07/15/25 REC# 22 97462                                         13330 TRN: 1975439679TC</v>
      </c>
      <c r="D874" s="7" t="n">
        <f aca="false">Chase1168_2025!D874</f>
        <v>-104.01</v>
      </c>
      <c r="E874" s="0" t="str">
        <f aca="false">Chase1168_2025!E874</f>
        <v>ACH_DEBIT</v>
      </c>
      <c r="F874" s="7" t="n">
        <f aca="false">Chase1168_2025!F874</f>
        <v>19740.54</v>
      </c>
      <c r="G874" s="0" t="str">
        <f aca="false">Chase1168_2025!G874</f>
        <v>DWG Marketing</v>
      </c>
      <c r="H874" s="15" t="n">
        <f aca="false">IF($B874="","",DATE(YEAR($B874),MONTH($B874),1))</f>
        <v>45839</v>
      </c>
      <c r="I874" s="0" t="str">
        <f aca="false">IF($G874="","Uncategorized — Review",IFERROR(INDEX(Mapping!$B:$B,MATCH($G874,Mapping!$A:$A,0)),"Uncategorized — Review"))</f>
        <v>DWG Marketing</v>
      </c>
      <c r="J874" s="0" t="str">
        <f aca="false">IF($G874="","Uncategorized — Review",IFERROR(INDEX(Mapping!$C:$C,MATCH($G874,Mapping!$A:$A,0)),"Uncategorized — Review"))</f>
        <v>DWG Operating</v>
      </c>
    </row>
    <row r="875" customFormat="false" ht="15" hidden="false" customHeight="false" outlineLevel="0" collapsed="false">
      <c r="A875" s="0" t="str">
        <f aca="false">Chase1168_2025!A875</f>
        <v>DEBIT</v>
      </c>
      <c r="B875" s="14" t="n">
        <f aca="false">Chase1168_2025!B875</f>
        <v>45854</v>
      </c>
      <c r="C875" s="0" t="str">
        <f aca="false">Chase1168_2025!C875</f>
        <v>RABADI SERVICE STATION LOS ANGELES CA349900  07/15</v>
      </c>
      <c r="D875" s="7" t="n">
        <f aca="false">Chase1168_2025!D875</f>
        <v>-77.24</v>
      </c>
      <c r="E875" s="0" t="str">
        <f aca="false">Chase1168_2025!E875</f>
        <v>DEBIT_CARD</v>
      </c>
      <c r="F875" s="7" t="n">
        <f aca="false">Chase1168_2025!F875</f>
        <v>19844.55</v>
      </c>
      <c r="G875" s="0" t="str">
        <f aca="false">Chase1168_2025!G875</f>
        <v>Personal - Car</v>
      </c>
      <c r="H875" s="15" t="n">
        <f aca="false">IF($B875="","",DATE(YEAR($B875),MONTH($B875),1))</f>
        <v>45839</v>
      </c>
      <c r="I875" s="0" t="str">
        <f aca="false">IF($G875="","Uncategorized — Review",IFERROR(INDEX(Mapping!$B:$B,MATCH($G875,Mapping!$A:$A,0)),"Uncategorized — Review"))</f>
        <v>Personal - Car &amp; Auto</v>
      </c>
      <c r="J875" s="0" t="str">
        <f aca="false">IF($G875="","Uncategorized — Review",IFERROR(INDEX(Mapping!$C:$C,MATCH($G875,Mapping!$A:$A,0)),"Uncategorized — Review"))</f>
        <v>Personal — Owner</v>
      </c>
    </row>
    <row r="876" customFormat="false" ht="15" hidden="false" customHeight="false" outlineLevel="0" collapsed="false">
      <c r="A876" s="0" t="str">
        <f aca="false">Chase1168_2025!A876</f>
        <v>DEBIT</v>
      </c>
      <c r="B876" s="14" t="n">
        <f aca="false">Chase1168_2025!B876</f>
        <v>45854</v>
      </c>
      <c r="C876" s="0" t="str">
        <f aca="false">Chase1168_2025!C876</f>
        <v>TST*DOOMIES HOME COOKI Los Angeles CA        07/16</v>
      </c>
      <c r="D876" s="7" t="n">
        <f aca="false">Chase1168_2025!D876</f>
        <v>-99.78</v>
      </c>
      <c r="E876" s="0" t="str">
        <f aca="false">Chase1168_2025!E876</f>
        <v>DEBIT_CARD</v>
      </c>
      <c r="F876" s="7" t="n">
        <f aca="false">Chase1168_2025!F876</f>
        <v>19921.79</v>
      </c>
      <c r="G876" s="0" t="str">
        <f aca="false">Chase1168_2025!G876</f>
        <v>Personal - Food</v>
      </c>
      <c r="H876" s="15" t="n">
        <f aca="false">IF($B876="","",DATE(YEAR($B876),MONTH($B876),1))</f>
        <v>45839</v>
      </c>
      <c r="I876" s="0" t="str">
        <f aca="false">IF($G876="","Uncategorized — Review",IFERROR(INDEX(Mapping!$B:$B,MATCH($G876,Mapping!$A:$A,0)),"Uncategorized — Review"))</f>
        <v>Personal - Food &amp; Dining</v>
      </c>
      <c r="J876" s="0" t="str">
        <f aca="false">IF($G876="","Uncategorized — Review",IFERROR(INDEX(Mapping!$C:$C,MATCH($G876,Mapping!$A:$A,0)),"Uncategorized — Review"))</f>
        <v>Personal — Owner</v>
      </c>
    </row>
    <row r="877" customFormat="false" ht="15" hidden="false" customHeight="false" outlineLevel="0" collapsed="false">
      <c r="A877" s="0" t="str">
        <f aca="false">Chase1168_2025!A877</f>
        <v>DEBIT</v>
      </c>
      <c r="B877" s="14" t="n">
        <f aca="false">Chase1168_2025!B877</f>
        <v>45854</v>
      </c>
      <c r="C877" s="0" t="str">
        <f aca="false">Chase1168_2025!C877</f>
        <v>HWB TAPIN2 1 LOS ANGELES CA                  07/15</v>
      </c>
      <c r="D877" s="7" t="n">
        <f aca="false">Chase1168_2025!D877</f>
        <v>-26.19</v>
      </c>
      <c r="E877" s="0" t="str">
        <f aca="false">Chase1168_2025!E877</f>
        <v>DEBIT_CARD</v>
      </c>
      <c r="F877" s="7" t="n">
        <f aca="false">Chase1168_2025!F877</f>
        <v>20021.57</v>
      </c>
      <c r="G877" s="0" t="str">
        <f aca="false">Chase1168_2025!G877</f>
        <v>Personal - Entertainment</v>
      </c>
      <c r="H877" s="15" t="n">
        <f aca="false">IF($B877="","",DATE(YEAR($B877),MONTH($B877),1))</f>
        <v>45839</v>
      </c>
      <c r="I877" s="0" t="str">
        <f aca="false">IF($G877="","Uncategorized — Review",IFERROR(INDEX(Mapping!$B:$B,MATCH($G877,Mapping!$A:$A,0)),"Uncategorized — Review"))</f>
        <v>Personal - Entertainment</v>
      </c>
      <c r="J877" s="0" t="str">
        <f aca="false">IF($G877="","Uncategorized — Review",IFERROR(INDEX(Mapping!$C:$C,MATCH($G877,Mapping!$A:$A,0)),"Uncategorized — Review"))</f>
        <v>Personal — Owner</v>
      </c>
    </row>
    <row r="878" customFormat="false" ht="15" hidden="false" customHeight="false" outlineLevel="0" collapsed="false">
      <c r="A878" s="0" t="str">
        <f aca="false">Chase1168_2025!A878</f>
        <v>DEBIT</v>
      </c>
      <c r="B878" s="14" t="n">
        <f aca="false">Chase1168_2025!B878</f>
        <v>45854</v>
      </c>
      <c r="C878" s="0" t="str">
        <f aca="false">Chase1168_2025!C878</f>
        <v>HWB TAPIN2 1 LOS ANGELES CA                  07/15</v>
      </c>
      <c r="D878" s="7" t="n">
        <f aca="false">Chase1168_2025!D878</f>
        <v>-19.96</v>
      </c>
      <c r="E878" s="0" t="str">
        <f aca="false">Chase1168_2025!E878</f>
        <v>DEBIT_CARD</v>
      </c>
      <c r="F878" s="7" t="n">
        <f aca="false">Chase1168_2025!F878</f>
        <v>20047.76</v>
      </c>
      <c r="G878" s="0" t="str">
        <f aca="false">Chase1168_2025!G878</f>
        <v>Personal - Entertainment</v>
      </c>
      <c r="H878" s="15" t="n">
        <f aca="false">IF($B878="","",DATE(YEAR($B878),MONTH($B878),1))</f>
        <v>45839</v>
      </c>
      <c r="I878" s="0" t="str">
        <f aca="false">IF($G878="","Uncategorized — Review",IFERROR(INDEX(Mapping!$B:$B,MATCH($G878,Mapping!$A:$A,0)),"Uncategorized — Review"))</f>
        <v>Personal - Entertainment</v>
      </c>
      <c r="J878" s="0" t="str">
        <f aca="false">IF($G878="","Uncategorized — Review",IFERROR(INDEX(Mapping!$C:$C,MATCH($G878,Mapping!$A:$A,0)),"Uncategorized — Review"))</f>
        <v>Personal — Owner</v>
      </c>
    </row>
    <row r="879" customFormat="false" ht="15" hidden="false" customHeight="false" outlineLevel="0" collapsed="false">
      <c r="A879" s="0" t="str">
        <f aca="false">Chase1168_2025!A879</f>
        <v>DEBIT</v>
      </c>
      <c r="B879" s="14" t="n">
        <f aca="false">Chase1168_2025!B879</f>
        <v>45854</v>
      </c>
      <c r="C879" s="0" t="str">
        <f aca="false">Chase1168_2025!C879</f>
        <v>HOLLYWOOD BOWL 410-6882489 CA                07/15</v>
      </c>
      <c r="D879" s="7" t="n">
        <f aca="false">Chase1168_2025!D879</f>
        <v>-39.92</v>
      </c>
      <c r="E879" s="0" t="str">
        <f aca="false">Chase1168_2025!E879</f>
        <v>DEBIT_CARD</v>
      </c>
      <c r="F879" s="7" t="n">
        <f aca="false">Chase1168_2025!F879</f>
        <v>20067.72</v>
      </c>
      <c r="G879" s="0" t="str">
        <f aca="false">Chase1168_2025!G879</f>
        <v>Personal - Entertainment</v>
      </c>
      <c r="H879" s="15" t="n">
        <f aca="false">IF($B879="","",DATE(YEAR($B879),MONTH($B879),1))</f>
        <v>45839</v>
      </c>
      <c r="I879" s="0" t="str">
        <f aca="false">IF($G879="","Uncategorized — Review",IFERROR(INDEX(Mapping!$B:$B,MATCH($G879,Mapping!$A:$A,0)),"Uncategorized — Review"))</f>
        <v>Personal - Entertainment</v>
      </c>
      <c r="J879" s="0" t="str">
        <f aca="false">IF($G879="","Uncategorized — Review",IFERROR(INDEX(Mapping!$C:$C,MATCH($G879,Mapping!$A:$A,0)),"Uncategorized — Review"))</f>
        <v>Personal — Owner</v>
      </c>
    </row>
    <row r="880" customFormat="false" ht="15" hidden="false" customHeight="false" outlineLevel="0" collapsed="false">
      <c r="A880" s="0" t="str">
        <f aca="false">Chase1168_2025!A880</f>
        <v>DEBIT</v>
      </c>
      <c r="B880" s="14" t="n">
        <f aca="false">Chase1168_2025!B880</f>
        <v>45854</v>
      </c>
      <c r="C880" s="0" t="str">
        <f aca="false">Chase1168_2025!C880</f>
        <v>SQ *PAYA THAI LA LLC. LOS ANGELES CA         07/15</v>
      </c>
      <c r="D880" s="7" t="n">
        <f aca="false">Chase1168_2025!D880</f>
        <v>-104</v>
      </c>
      <c r="E880" s="0" t="str">
        <f aca="false">Chase1168_2025!E880</f>
        <v>DEBIT_CARD</v>
      </c>
      <c r="F880" s="7" t="n">
        <f aca="false">Chase1168_2025!F880</f>
        <v>20107.64</v>
      </c>
      <c r="G880" s="0" t="str">
        <f aca="false">Chase1168_2025!G880</f>
        <v>Personal - Health</v>
      </c>
      <c r="H880" s="15" t="n">
        <f aca="false">IF($B880="","",DATE(YEAR($B880),MONTH($B880),1))</f>
        <v>45839</v>
      </c>
      <c r="I880" s="0" t="str">
        <f aca="false">IF($G880="","Uncategorized — Review",IFERROR(INDEX(Mapping!$B:$B,MATCH($G880,Mapping!$A:$A,0)),"Uncategorized — Review"))</f>
        <v>Personal - Health (incl. Ins.)</v>
      </c>
      <c r="J880" s="0" t="str">
        <f aca="false">IF($G880="","Uncategorized — Review",IFERROR(INDEX(Mapping!$C:$C,MATCH($G880,Mapping!$A:$A,0)),"Uncategorized — Review"))</f>
        <v>Personal — Owner</v>
      </c>
    </row>
    <row r="881" customFormat="false" ht="15" hidden="false" customHeight="false" outlineLevel="0" collapsed="false">
      <c r="A881" s="0" t="str">
        <f aca="false">Chase1168_2025!A881</f>
        <v>DEBIT</v>
      </c>
      <c r="B881" s="14" t="n">
        <f aca="false">Chase1168_2025!B881</f>
        <v>45854</v>
      </c>
      <c r="C881" s="0" t="str">
        <f aca="false">Chase1168_2025!C881</f>
        <v>PP*APPLE.COM/BILL 800-275-2273 CA            07/16</v>
      </c>
      <c r="D881" s="7" t="n">
        <f aca="false">Chase1168_2025!D881</f>
        <v>-5.99</v>
      </c>
      <c r="E881" s="0" t="str">
        <f aca="false">Chase1168_2025!E881</f>
        <v>DEBIT_CARD</v>
      </c>
      <c r="F881" s="7" t="n">
        <f aca="false">Chase1168_2025!F881</f>
        <v>20211.64</v>
      </c>
      <c r="G881" s="0" t="str">
        <f aca="false">Chase1168_2025!G881</f>
        <v>Personal - Subscriptions</v>
      </c>
      <c r="H881" s="15" t="n">
        <f aca="false">IF($B881="","",DATE(YEAR($B881),MONTH($B881),1))</f>
        <v>45839</v>
      </c>
      <c r="I881" s="0" t="str">
        <f aca="false">IF($G881="","Uncategorized — Review",IFERROR(INDEX(Mapping!$B:$B,MATCH($G881,Mapping!$A:$A,0)),"Uncategorized — Review"))</f>
        <v>Personal - Subscriptions</v>
      </c>
      <c r="J881" s="0" t="str">
        <f aca="false">IF($G881="","Uncategorized — Review",IFERROR(INDEX(Mapping!$C:$C,MATCH($G881,Mapping!$A:$A,0)),"Uncategorized — Review"))</f>
        <v>Personal — Owner</v>
      </c>
    </row>
    <row r="882" customFormat="false" ht="15" hidden="false" customHeight="false" outlineLevel="0" collapsed="false">
      <c r="A882" s="0" t="str">
        <f aca="false">Chase1168_2025!A882</f>
        <v>DEBIT</v>
      </c>
      <c r="B882" s="14" t="n">
        <f aca="false">Chase1168_2025!B882</f>
        <v>45854</v>
      </c>
      <c r="C882" s="0" t="str">
        <f aca="false">Chase1168_2025!C882</f>
        <v>TST*SUTADONYA - SANTA Los Angeles CA         07/15</v>
      </c>
      <c r="D882" s="7" t="n">
        <f aca="false">Chase1168_2025!D882</f>
        <v>-29.22</v>
      </c>
      <c r="E882" s="0" t="str">
        <f aca="false">Chase1168_2025!E882</f>
        <v>DEBIT_CARD</v>
      </c>
      <c r="F882" s="7" t="n">
        <f aca="false">Chase1168_2025!F882</f>
        <v>20217.63</v>
      </c>
      <c r="G882" s="0" t="str">
        <f aca="false">Chase1168_2025!G882</f>
        <v>Personal - Food</v>
      </c>
      <c r="H882" s="15" t="n">
        <f aca="false">IF($B882="","",DATE(YEAR($B882),MONTH($B882),1))</f>
        <v>45839</v>
      </c>
      <c r="I882" s="0" t="str">
        <f aca="false">IF($G882="","Uncategorized — Review",IFERROR(INDEX(Mapping!$B:$B,MATCH($G882,Mapping!$A:$A,0)),"Uncategorized — Review"))</f>
        <v>Personal - Food &amp; Dining</v>
      </c>
      <c r="J882" s="0" t="str">
        <f aca="false">IF($G882="","Uncategorized — Review",IFERROR(INDEX(Mapping!$C:$C,MATCH($G882,Mapping!$A:$A,0)),"Uncategorized — Review"))</f>
        <v>Personal — Owner</v>
      </c>
    </row>
    <row r="883" customFormat="false" ht="15" hidden="false" customHeight="false" outlineLevel="0" collapsed="false">
      <c r="A883" s="0" t="str">
        <f aca="false">Chase1168_2025!A883</f>
        <v>DEBIT</v>
      </c>
      <c r="B883" s="14" t="n">
        <f aca="false">Chase1168_2025!B883</f>
        <v>45854</v>
      </c>
      <c r="C883" s="0" t="str">
        <f aca="false">Chase1168_2025!C883</f>
        <v>TST*SUTADONYA - SANTA Los Angeles CA         07/15</v>
      </c>
      <c r="D883" s="7" t="n">
        <f aca="false">Chase1168_2025!D883</f>
        <v>-39.44</v>
      </c>
      <c r="E883" s="0" t="str">
        <f aca="false">Chase1168_2025!E883</f>
        <v>DEBIT_CARD</v>
      </c>
      <c r="F883" s="7" t="n">
        <f aca="false">Chase1168_2025!F883</f>
        <v>20246.85</v>
      </c>
      <c r="G883" s="0" t="str">
        <f aca="false">Chase1168_2025!G883</f>
        <v>Personal - Food</v>
      </c>
      <c r="H883" s="15" t="n">
        <f aca="false">IF($B883="","",DATE(YEAR($B883),MONTH($B883),1))</f>
        <v>45839</v>
      </c>
      <c r="I883" s="0" t="str">
        <f aca="false">IF($G883="","Uncategorized — Review",IFERROR(INDEX(Mapping!$B:$B,MATCH($G883,Mapping!$A:$A,0)),"Uncategorized — Review"))</f>
        <v>Personal - Food &amp; Dining</v>
      </c>
      <c r="J883" s="0" t="str">
        <f aca="false">IF($G883="","Uncategorized — Review",IFERROR(INDEX(Mapping!$C:$C,MATCH($G883,Mapping!$A:$A,0)),"Uncategorized — Review"))</f>
        <v>Personal — Owner</v>
      </c>
    </row>
    <row r="884" customFormat="false" ht="15" hidden="false" customHeight="false" outlineLevel="0" collapsed="false">
      <c r="A884" s="0" t="str">
        <f aca="false">Chase1168_2025!A884</f>
        <v>DEBIT</v>
      </c>
      <c r="B884" s="14" t="n">
        <f aca="false">Chase1168_2025!B884</f>
        <v>45854</v>
      </c>
      <c r="C884" s="0" t="str">
        <f aca="false">Chase1168_2025!C884</f>
        <v>SQ *ALANA'S COFFEE ROA Los Angeles CA        07/15</v>
      </c>
      <c r="D884" s="7" t="n">
        <f aca="false">Chase1168_2025!D884</f>
        <v>-15.9</v>
      </c>
      <c r="E884" s="0" t="str">
        <f aca="false">Chase1168_2025!E884</f>
        <v>DEBIT_CARD</v>
      </c>
      <c r="F884" s="7" t="n">
        <f aca="false">Chase1168_2025!F884</f>
        <v>20286.29</v>
      </c>
      <c r="G884" s="0" t="str">
        <f aca="false">Chase1168_2025!G884</f>
        <v>Personal - Food</v>
      </c>
      <c r="H884" s="15" t="n">
        <f aca="false">IF($B884="","",DATE(YEAR($B884),MONTH($B884),1))</f>
        <v>45839</v>
      </c>
      <c r="I884" s="0" t="str">
        <f aca="false">IF($G884="","Uncategorized — Review",IFERROR(INDEX(Mapping!$B:$B,MATCH($G884,Mapping!$A:$A,0)),"Uncategorized — Review"))</f>
        <v>Personal - Food &amp; Dining</v>
      </c>
      <c r="J884" s="0" t="str">
        <f aca="false">IF($G884="","Uncategorized — Review",IFERROR(INDEX(Mapping!$C:$C,MATCH($G884,Mapping!$A:$A,0)),"Uncategorized — Review"))</f>
        <v>Personal — Owner</v>
      </c>
    </row>
    <row r="885" customFormat="false" ht="15" hidden="false" customHeight="false" outlineLevel="0" collapsed="false">
      <c r="A885" s="0" t="str">
        <f aca="false">Chase1168_2025!A885</f>
        <v>CREDIT</v>
      </c>
      <c r="B885" s="14" t="n">
        <f aca="false">Chase1168_2025!B885</f>
        <v>45854</v>
      </c>
      <c r="C885" s="0" t="str">
        <f aca="false">Chase1168_2025!C885</f>
        <v>Online Transfer from CHK ...9335 transaction#: 25507535073</v>
      </c>
      <c r="D885" s="7" t="n">
        <f aca="false">Chase1168_2025!D885</f>
        <v>20000</v>
      </c>
      <c r="E885" s="0" t="str">
        <f aca="false">Chase1168_2025!E885</f>
        <v>ACCT_XFER</v>
      </c>
      <c r="F885" s="7" t="n">
        <f aca="false">Chase1168_2025!F885</f>
        <v>20302.19</v>
      </c>
      <c r="G885" s="0" t="str">
        <f aca="false">Chase1168_2025!G885</f>
        <v>Poseidon Asset Group (Incoming)</v>
      </c>
      <c r="H885" s="15" t="n">
        <f aca="false">IF($B885="","",DATE(YEAR($B885),MONTH($B885),1))</f>
        <v>45839</v>
      </c>
      <c r="I885" s="0" t="str">
        <f aca="false">IF($G885="","Uncategorized — Review",IFERROR(INDEX(Mapping!$B:$B,MATCH($G885,Mapping!$A:$A,0)),"Uncategorized — Review"))</f>
        <v>Poseidon Asset Group (Incoming)</v>
      </c>
      <c r="J885" s="0" t="str">
        <f aca="false">IF($G885="","Uncategorized — Review",IFERROR(INDEX(Mapping!$C:$C,MATCH($G885,Mapping!$A:$A,0)),"Uncategorized — Review"))</f>
        <v>Poseidon Asset Group</v>
      </c>
    </row>
    <row r="886" customFormat="false" ht="15" hidden="false" customHeight="false" outlineLevel="0" collapsed="false">
      <c r="A886" s="0" t="str">
        <f aca="false">Chase1168_2025!A886</f>
        <v>DEBIT</v>
      </c>
      <c r="B886" s="14" t="n">
        <f aca="false">Chase1168_2025!B886</f>
        <v>45853</v>
      </c>
      <c r="C886" s="0" t="str">
        <f aca="false">Chase1168_2025!C886</f>
        <v>RESTORE.COM RESTORE.COM TX                   07/15</v>
      </c>
      <c r="D886" s="7" t="n">
        <f aca="false">Chase1168_2025!D886</f>
        <v>-199</v>
      </c>
      <c r="E886" s="0" t="str">
        <f aca="false">Chase1168_2025!E886</f>
        <v>DEBIT_CARD</v>
      </c>
      <c r="F886" s="7" t="n">
        <f aca="false">Chase1168_2025!F886</f>
        <v>302.19</v>
      </c>
      <c r="G886" s="0" t="str">
        <f aca="false">Chase1168_2025!G886</f>
        <v>Personal - Health</v>
      </c>
      <c r="H886" s="15" t="n">
        <f aca="false">IF($B886="","",DATE(YEAR($B886),MONTH($B886),1))</f>
        <v>45839</v>
      </c>
      <c r="I886" s="0" t="str">
        <f aca="false">IF($G886="","Uncategorized — Review",IFERROR(INDEX(Mapping!$B:$B,MATCH($G886,Mapping!$A:$A,0)),"Uncategorized — Review"))</f>
        <v>Personal - Health (incl. Ins.)</v>
      </c>
      <c r="J886" s="0" t="str">
        <f aca="false">IF($G886="","Uncategorized — Review",IFERROR(INDEX(Mapping!$C:$C,MATCH($G886,Mapping!$A:$A,0)),"Uncategorized — Review"))</f>
        <v>Personal — Owner</v>
      </c>
    </row>
    <row r="887" customFormat="false" ht="15" hidden="false" customHeight="false" outlineLevel="0" collapsed="false">
      <c r="A887" s="0" t="str">
        <f aca="false">Chase1168_2025!A887</f>
        <v>DEBIT</v>
      </c>
      <c r="B887" s="14" t="n">
        <f aca="false">Chase1168_2025!B887</f>
        <v>45853</v>
      </c>
      <c r="C887" s="0" t="str">
        <f aca="false">Chase1168_2025!C887</f>
        <v>TST*CANTALINIS Playa del Rey CA              07/14</v>
      </c>
      <c r="D887" s="7" t="n">
        <f aca="false">Chase1168_2025!D887</f>
        <v>-248.05</v>
      </c>
      <c r="E887" s="0" t="str">
        <f aca="false">Chase1168_2025!E887</f>
        <v>DEBIT_CARD</v>
      </c>
      <c r="F887" s="7" t="n">
        <f aca="false">Chase1168_2025!F887</f>
        <v>501.19</v>
      </c>
      <c r="G887" s="0" t="str">
        <f aca="false">Chase1168_2025!G887</f>
        <v>Personal - Food</v>
      </c>
      <c r="H887" s="15" t="n">
        <f aca="false">IF($B887="","",DATE(YEAR($B887),MONTH($B887),1))</f>
        <v>45839</v>
      </c>
      <c r="I887" s="0" t="str">
        <f aca="false">IF($G887="","Uncategorized — Review",IFERROR(INDEX(Mapping!$B:$B,MATCH($G887,Mapping!$A:$A,0)),"Uncategorized — Review"))</f>
        <v>Personal - Food &amp; Dining</v>
      </c>
      <c r="J887" s="0" t="str">
        <f aca="false">IF($G887="","Uncategorized — Review",IFERROR(INDEX(Mapping!$C:$C,MATCH($G887,Mapping!$A:$A,0)),"Uncategorized — Review"))</f>
        <v>Personal — Owner</v>
      </c>
    </row>
    <row r="888" customFormat="false" ht="15" hidden="false" customHeight="false" outlineLevel="0" collapsed="false">
      <c r="A888" s="0" t="str">
        <f aca="false">Chase1168_2025!A888</f>
        <v>DEBIT</v>
      </c>
      <c r="B888" s="14" t="n">
        <f aca="false">Chase1168_2025!B888</f>
        <v>45853</v>
      </c>
      <c r="C888" s="0" t="str">
        <f aca="false">Chase1168_2025!C888</f>
        <v>PP*APPLE.COM/BILL 800-275-2273 CA            07/15</v>
      </c>
      <c r="D888" s="7" t="n">
        <f aca="false">Chase1168_2025!D888</f>
        <v>-8.99</v>
      </c>
      <c r="E888" s="0" t="str">
        <f aca="false">Chase1168_2025!E888</f>
        <v>DEBIT_CARD</v>
      </c>
      <c r="F888" s="7" t="n">
        <f aca="false">Chase1168_2025!F888</f>
        <v>749.24</v>
      </c>
      <c r="G888" s="0" t="str">
        <f aca="false">Chase1168_2025!G888</f>
        <v>Personal - Subscriptions</v>
      </c>
      <c r="H888" s="15" t="n">
        <f aca="false">IF($B888="","",DATE(YEAR($B888),MONTH($B888),1))</f>
        <v>45839</v>
      </c>
      <c r="I888" s="0" t="str">
        <f aca="false">IF($G888="","Uncategorized — Review",IFERROR(INDEX(Mapping!$B:$B,MATCH($G888,Mapping!$A:$A,0)),"Uncategorized — Review"))</f>
        <v>Personal - Subscriptions</v>
      </c>
      <c r="J888" s="0" t="str">
        <f aca="false">IF($G888="","Uncategorized — Review",IFERROR(INDEX(Mapping!$C:$C,MATCH($G888,Mapping!$A:$A,0)),"Uncategorized — Review"))</f>
        <v>Personal — Owner</v>
      </c>
    </row>
    <row r="889" customFormat="false" ht="15" hidden="false" customHeight="false" outlineLevel="0" collapsed="false">
      <c r="A889" s="0" t="str">
        <f aca="false">Chase1168_2025!A889</f>
        <v>DEBIT</v>
      </c>
      <c r="B889" s="14" t="n">
        <f aca="false">Chase1168_2025!B889</f>
        <v>45853</v>
      </c>
      <c r="C889" s="0" t="str">
        <f aca="false">Chase1168_2025!C889</f>
        <v>PP*GOOGLE GOOGLE ONE 855-836-3987 CA         07/15</v>
      </c>
      <c r="D889" s="7" t="n">
        <f aca="false">Chase1168_2025!D889</f>
        <v>-1.99</v>
      </c>
      <c r="E889" s="0" t="str">
        <f aca="false">Chase1168_2025!E889</f>
        <v>DEBIT_CARD</v>
      </c>
      <c r="F889" s="7" t="n">
        <f aca="false">Chase1168_2025!F889</f>
        <v>758.23</v>
      </c>
      <c r="G889" s="0" t="str">
        <f aca="false">Chase1168_2025!G889</f>
        <v>Personal - Subscriptions</v>
      </c>
      <c r="H889" s="15" t="n">
        <f aca="false">IF($B889="","",DATE(YEAR($B889),MONTH($B889),1))</f>
        <v>45839</v>
      </c>
      <c r="I889" s="0" t="str">
        <f aca="false">IF($G889="","Uncategorized — Review",IFERROR(INDEX(Mapping!$B:$B,MATCH($G889,Mapping!$A:$A,0)),"Uncategorized — Review"))</f>
        <v>Personal - Subscriptions</v>
      </c>
      <c r="J889" s="0" t="str">
        <f aca="false">IF($G889="","Uncategorized — Review",IFERROR(INDEX(Mapping!$C:$C,MATCH($G889,Mapping!$A:$A,0)),"Uncategorized — Review"))</f>
        <v>Personal — Owner</v>
      </c>
    </row>
    <row r="890" customFormat="false" ht="15" hidden="false" customHeight="false" outlineLevel="0" collapsed="false">
      <c r="A890" s="0" t="str">
        <f aca="false">Chase1168_2025!A890</f>
        <v>DEBIT</v>
      </c>
      <c r="B890" s="14" t="n">
        <f aca="false">Chase1168_2025!B890</f>
        <v>45853</v>
      </c>
      <c r="C890" s="0" t="str">
        <f aca="false">Chase1168_2025!C890</f>
        <v>UPWORK * -827070191 866-262-4478 CA          07/14</v>
      </c>
      <c r="D890" s="7" t="n">
        <f aca="false">Chase1168_2025!D890</f>
        <v>-1225</v>
      </c>
      <c r="E890" s="0" t="str">
        <f aca="false">Chase1168_2025!E890</f>
        <v>DEBIT_CARD</v>
      </c>
      <c r="F890" s="7" t="n">
        <f aca="false">Chase1168_2025!F890</f>
        <v>760.22</v>
      </c>
      <c r="G890" s="0" t="str">
        <f aca="false">Chase1168_2025!G890</f>
        <v>Upwork - Sergei M.</v>
      </c>
      <c r="H890" s="15" t="n">
        <f aca="false">IF($B890="","",DATE(YEAR($B890),MONTH($B890),1))</f>
        <v>45839</v>
      </c>
      <c r="I890" s="0" t="str">
        <f aca="false">IF($G890="","Uncategorized — Review",IFERROR(INDEX(Mapping!$B:$B,MATCH($G890,Mapping!$A:$A,0)),"Uncategorized — Review"))</f>
        <v>Upwork - Sergei M.</v>
      </c>
      <c r="J890" s="0" t="str">
        <f aca="false">IF($G890="","Uncategorized — Review",IFERROR(INDEX(Mapping!$C:$C,MATCH($G890,Mapping!$A:$A,0)),"Uncategorized — Review"))</f>
        <v>Payroll &amp; Contractors</v>
      </c>
    </row>
    <row r="891" customFormat="false" ht="15" hidden="false" customHeight="false" outlineLevel="0" collapsed="false">
      <c r="A891" s="0" t="str">
        <f aca="false">Chase1168_2025!A891</f>
        <v>DEBIT</v>
      </c>
      <c r="B891" s="14" t="n">
        <f aca="false">Chase1168_2025!B891</f>
        <v>45853</v>
      </c>
      <c r="C891" s="0" t="str">
        <f aca="false">Chase1168_2025!C891</f>
        <v>PP*APPLE.COM/BILL 800-275-2273 CA            07/14</v>
      </c>
      <c r="D891" s="7" t="n">
        <f aca="false">Chase1168_2025!D891</f>
        <v>-10.99</v>
      </c>
      <c r="E891" s="0" t="str">
        <f aca="false">Chase1168_2025!E891</f>
        <v>DEBIT_CARD</v>
      </c>
      <c r="F891" s="7" t="n">
        <f aca="false">Chase1168_2025!F891</f>
        <v>1985.22</v>
      </c>
      <c r="G891" s="0" t="str">
        <f aca="false">Chase1168_2025!G891</f>
        <v>Personal - Subscriptions</v>
      </c>
      <c r="H891" s="15" t="n">
        <f aca="false">IF($B891="","",DATE(YEAR($B891),MONTH($B891),1))</f>
        <v>45839</v>
      </c>
      <c r="I891" s="0" t="str">
        <f aca="false">IF($G891="","Uncategorized — Review",IFERROR(INDEX(Mapping!$B:$B,MATCH($G891,Mapping!$A:$A,0)),"Uncategorized — Review"))</f>
        <v>Personal - Subscriptions</v>
      </c>
      <c r="J891" s="0" t="str">
        <f aca="false">IF($G891="","Uncategorized — Review",IFERROR(INDEX(Mapping!$C:$C,MATCH($G891,Mapping!$A:$A,0)),"Uncategorized — Review"))</f>
        <v>Personal — Owner</v>
      </c>
    </row>
    <row r="892" customFormat="false" ht="15" hidden="false" customHeight="false" outlineLevel="0" collapsed="false">
      <c r="A892" s="0" t="str">
        <f aca="false">Chase1168_2025!A892</f>
        <v>DEBIT</v>
      </c>
      <c r="B892" s="14" t="n">
        <f aca="false">Chase1168_2025!B892</f>
        <v>45852</v>
      </c>
      <c r="C892" s="0" t="str">
        <f aca="false">Chase1168_2025!C892</f>
        <v>ORIG CO NAME:VENMO                  ORIG ID:3264681992 DESC DATE:250714 CO ENTRY DESCR:PAYMENT   SEC:WEB    TRACE#:021000020172240 EED:250714   IND ID:1043523129314                IND NAME:JUDD DUNNING                                                                                                 250714PPZEY7 TRN: 1950172240TC</v>
      </c>
      <c r="D892" s="7" t="n">
        <f aca="false">Chase1168_2025!D892</f>
        <v>-1250</v>
      </c>
      <c r="E892" s="0" t="str">
        <f aca="false">Chase1168_2025!E892</f>
        <v>ACH_DEBIT</v>
      </c>
      <c r="F892" s="7" t="n">
        <f aca="false">Chase1168_2025!F892</f>
        <v>1996.21</v>
      </c>
      <c r="G892" s="0" t="str">
        <f aca="false">Chase1168_2025!G892</f>
        <v>Venmo</v>
      </c>
      <c r="H892" s="15" t="n">
        <f aca="false">IF($B892="","",DATE(YEAR($B892),MONTH($B892),1))</f>
        <v>45839</v>
      </c>
      <c r="I892" s="0" t="str">
        <f aca="false">IF($G892="","Uncategorized — Review",IFERROR(INDEX(Mapping!$B:$B,MATCH($G892,Mapping!$A:$A,0)),"Uncategorized — Review"))</f>
        <v>Venmo</v>
      </c>
      <c r="J892" s="0" t="str">
        <f aca="false">IF($G892="","Uncategorized — Review",IFERROR(INDEX(Mapping!$C:$C,MATCH($G892,Mapping!$A:$A,0)),"Uncategorized — Review"))</f>
        <v>P2P Payments (Zelle/Venmo/PayPal)</v>
      </c>
    </row>
    <row r="893" customFormat="false" ht="15" hidden="false" customHeight="false" outlineLevel="0" collapsed="false">
      <c r="A893" s="0" t="str">
        <f aca="false">Chase1168_2025!A893</f>
        <v>DEBIT</v>
      </c>
      <c r="B893" s="14" t="n">
        <f aca="false">Chase1168_2025!B893</f>
        <v>45852</v>
      </c>
      <c r="C893" s="0" t="str">
        <f aca="false">Chase1168_2025!C893</f>
        <v>Basic Online Payroll Payment 11179120811 to ########4122</v>
      </c>
      <c r="D893" s="7" t="n">
        <f aca="false">Chase1168_2025!D893</f>
        <v>-1500</v>
      </c>
      <c r="E893" s="0" t="str">
        <f aca="false">Chase1168_2025!E893</f>
        <v>BASIC_PAYROLL</v>
      </c>
      <c r="F893" s="7" t="n">
        <f aca="false">Chase1168_2025!F893</f>
        <v>3246.21</v>
      </c>
      <c r="G893" s="0" t="str">
        <f aca="false">Chase1168_2025!G893</f>
        <v>Mike Paytonjian - Payroll</v>
      </c>
      <c r="H893" s="15" t="n">
        <f aca="false">IF($B893="","",DATE(YEAR($B893),MONTH($B893),1))</f>
        <v>45839</v>
      </c>
      <c r="I893" s="0" t="str">
        <f aca="false">IF($G893="","Uncategorized — Review",IFERROR(INDEX(Mapping!$B:$B,MATCH($G893,Mapping!$A:$A,0)),"Uncategorized — Review"))</f>
        <v>Mike Paytonjian - Payroll</v>
      </c>
      <c r="J893" s="0" t="str">
        <f aca="false">IF($G893="","Uncategorized — Review",IFERROR(INDEX(Mapping!$C:$C,MATCH($G893,Mapping!$A:$A,0)),"Uncategorized — Review"))</f>
        <v>Payroll &amp; Contractors</v>
      </c>
    </row>
    <row r="894" customFormat="false" ht="15" hidden="false" customHeight="false" outlineLevel="0" collapsed="false">
      <c r="A894" s="0" t="str">
        <f aca="false">Chase1168_2025!A894</f>
        <v>DEBIT</v>
      </c>
      <c r="B894" s="14" t="n">
        <f aca="false">Chase1168_2025!B894</f>
        <v>45852</v>
      </c>
      <c r="C894" s="0" t="str">
        <f aca="false">Chase1168_2025!C894</f>
        <v>Zelle payment to Jeff Fajardo JPM99bfo2pkt</v>
      </c>
      <c r="D894" s="7" t="n">
        <f aca="false">Chase1168_2025!D894</f>
        <v>-600</v>
      </c>
      <c r="E894" s="0" t="str">
        <f aca="false">Chase1168_2025!E894</f>
        <v>CHASE_TO_PARTNERFI</v>
      </c>
      <c r="F894" s="7" t="n">
        <f aca="false">Chase1168_2025!F894</f>
        <v>4746.21</v>
      </c>
      <c r="G894" s="0" t="str">
        <f aca="false">Chase1168_2025!G894</f>
        <v>Zelle - Jeff Fajardo</v>
      </c>
      <c r="H894" s="15" t="n">
        <f aca="false">IF($B894="","",DATE(YEAR($B894),MONTH($B894),1))</f>
        <v>45839</v>
      </c>
      <c r="I894" s="0" t="str">
        <f aca="false">IF($G894="","Uncategorized — Review",IFERROR(INDEX(Mapping!$B:$B,MATCH($G894,Mapping!$A:$A,0)),"Uncategorized — Review"))</f>
        <v>Zelle - Jeff Fajardo</v>
      </c>
      <c r="J894" s="0" t="str">
        <f aca="false">IF($G894="","Uncategorized — Review",IFERROR(INDEX(Mapping!$C:$C,MATCH($G894,Mapping!$A:$A,0)),"Uncategorized — Review"))</f>
        <v>P2P Payments (Zelle/Venmo/PayPal)</v>
      </c>
    </row>
    <row r="895" customFormat="false" ht="15" hidden="false" customHeight="false" outlineLevel="0" collapsed="false">
      <c r="A895" s="0" t="str">
        <f aca="false">Chase1168_2025!A895</f>
        <v>DEBIT</v>
      </c>
      <c r="B895" s="14" t="n">
        <f aca="false">Chase1168_2025!B895</f>
        <v>45852</v>
      </c>
      <c r="C895" s="0" t="str">
        <f aca="false">Chase1168_2025!C895</f>
        <v>Zelle payment to Jeffrey Seider JPM99bfo2pfx</v>
      </c>
      <c r="D895" s="7" t="n">
        <f aca="false">Chase1168_2025!D895</f>
        <v>-150</v>
      </c>
      <c r="E895" s="0" t="str">
        <f aca="false">Chase1168_2025!E895</f>
        <v>CHASE_TO_PARTNERFI</v>
      </c>
      <c r="F895" s="7" t="n">
        <f aca="false">Chase1168_2025!F895</f>
        <v>5346.21</v>
      </c>
      <c r="G895" s="0" t="str">
        <f aca="false">Chase1168_2025!G895</f>
        <v>Zelle - Jeff Seider</v>
      </c>
      <c r="H895" s="15" t="n">
        <f aca="false">IF($B895="","",DATE(YEAR($B895),MONTH($B895),1))</f>
        <v>45839</v>
      </c>
      <c r="I895" s="0" t="str">
        <f aca="false">IF($G895="","Uncategorized — Review",IFERROR(INDEX(Mapping!$B:$B,MATCH($G895,Mapping!$A:$A,0)),"Uncategorized — Review"))</f>
        <v>Zelle - Jeff Seider</v>
      </c>
      <c r="J895" s="0" t="str">
        <f aca="false">IF($G895="","Uncategorized — Review",IFERROR(INDEX(Mapping!$C:$C,MATCH($G895,Mapping!$A:$A,0)),"Uncategorized — Review"))</f>
        <v>P2P Payments (Zelle/Venmo/PayPal)</v>
      </c>
    </row>
    <row r="896" customFormat="false" ht="15" hidden="false" customHeight="false" outlineLevel="0" collapsed="false">
      <c r="A896" s="0" t="str">
        <f aca="false">Chase1168_2025!A896</f>
        <v>DEBIT</v>
      </c>
      <c r="B896" s="14" t="n">
        <f aca="false">Chase1168_2025!B896</f>
        <v>45852</v>
      </c>
      <c r="C896" s="0" t="str">
        <f aca="false">Chase1168_2025!C896</f>
        <v>Online Transfer to CHK ...1117 transaction#: 25474633803 07/14</v>
      </c>
      <c r="D896" s="7" t="n">
        <f aca="false">Chase1168_2025!D896</f>
        <v>-3000</v>
      </c>
      <c r="E896" s="0" t="str">
        <f aca="false">Chase1168_2025!E896</f>
        <v>ACCT_XFER</v>
      </c>
      <c r="F896" s="7" t="n">
        <f aca="false">Chase1168_2025!F896</f>
        <v>5496.21</v>
      </c>
      <c r="G896" s="0" t="str">
        <f aca="false">Chase1168_2025!G896</f>
        <v>Transfer to Angela Dunning</v>
      </c>
      <c r="H896" s="15" t="n">
        <f aca="false">IF($B896="","",DATE(YEAR($B896),MONTH($B896),1))</f>
        <v>45839</v>
      </c>
      <c r="I896" s="0" t="str">
        <f aca="false">IF($G896="","Uncategorized — Review",IFERROR(INDEX(Mapping!$B:$B,MATCH($G896,Mapping!$A:$A,0)),"Uncategorized — Review"))</f>
        <v>Transfer to Angela Dunning</v>
      </c>
      <c r="J896" s="0" t="str">
        <f aca="false">IF($G896="","Uncategorized — Review",IFERROR(INDEX(Mapping!$C:$C,MATCH($G896,Mapping!$A:$A,0)),"Uncategorized — Review"))</f>
        <v>Owner / Family Distributions</v>
      </c>
    </row>
    <row r="897" customFormat="false" ht="15" hidden="false" customHeight="false" outlineLevel="0" collapsed="false">
      <c r="A897" s="0" t="str">
        <f aca="false">Chase1168_2025!A897</f>
        <v>DEBIT</v>
      </c>
      <c r="B897" s="14" t="n">
        <f aca="false">Chase1168_2025!B897</f>
        <v>45852</v>
      </c>
      <c r="C897" s="0" t="str">
        <f aca="false">Chase1168_2025!C897</f>
        <v>PAYPAL *RUTHALCANCI 402-935-7733 CA          07/14</v>
      </c>
      <c r="D897" s="7" t="n">
        <f aca="false">Chase1168_2025!D897</f>
        <v>-200</v>
      </c>
      <c r="E897" s="0" t="str">
        <f aca="false">Chase1168_2025!E897</f>
        <v>DEBIT_CARD</v>
      </c>
      <c r="F897" s="7" t="n">
        <f aca="false">Chase1168_2025!F897</f>
        <v>8496.21</v>
      </c>
      <c r="G897" s="0" t="str">
        <f aca="false">Chase1168_2025!G897</f>
        <v>Ruth Alcancia - Forward Bridge Payment</v>
      </c>
      <c r="H897" s="15" t="n">
        <f aca="false">IF($B897="","",DATE(YEAR($B897),MONTH($B897),1))</f>
        <v>45839</v>
      </c>
      <c r="I897" s="0" t="str">
        <f aca="false">IF($G897="","Uncategorized — Review",IFERROR(INDEX(Mapping!$B:$B,MATCH($G897,Mapping!$A:$A,0)),"Uncategorized — Review"))</f>
        <v>Ruth Alcancia - Forward Bridge Payment</v>
      </c>
      <c r="J897" s="0" t="str">
        <f aca="false">IF($G897="","Uncategorized — Review",IFERROR(INDEX(Mapping!$C:$C,MATCH($G897,Mapping!$A:$A,0)),"Uncategorized — Review"))</f>
        <v>Payroll &amp; Contractors</v>
      </c>
    </row>
    <row r="898" customFormat="false" ht="15" hidden="false" customHeight="false" outlineLevel="0" collapsed="false">
      <c r="A898" s="0" t="str">
        <f aca="false">Chase1168_2025!A898</f>
        <v>DEBIT</v>
      </c>
      <c r="B898" s="14" t="n">
        <f aca="false">Chase1168_2025!B898</f>
        <v>45852</v>
      </c>
      <c r="C898" s="0" t="str">
        <f aca="false">Chase1168_2025!C898</f>
        <v>CHIPOTLE 1460 SAN FRANCISCO CA               07/13</v>
      </c>
      <c r="D898" s="7" t="n">
        <f aca="false">Chase1168_2025!D898</f>
        <v>-15.7</v>
      </c>
      <c r="E898" s="0" t="str">
        <f aca="false">Chase1168_2025!E898</f>
        <v>DEBIT_CARD</v>
      </c>
      <c r="F898" s="7" t="n">
        <f aca="false">Chase1168_2025!F898</f>
        <v>8696.21</v>
      </c>
      <c r="G898" s="0" t="str">
        <f aca="false">Chase1168_2025!G898</f>
        <v>San Francisco Investor Meeting</v>
      </c>
      <c r="H898" s="15" t="n">
        <f aca="false">IF($B898="","",DATE(YEAR($B898),MONTH($B898),1))</f>
        <v>45839</v>
      </c>
      <c r="I898" s="0" t="str">
        <f aca="false">IF($G898="","Uncategorized — Review",IFERROR(INDEX(Mapping!$B:$B,MATCH($G898,Mapping!$A:$A,0)),"Uncategorized — Review"))</f>
        <v>San Francisco Investor Meeting</v>
      </c>
      <c r="J898" s="0" t="str">
        <f aca="false">IF($G898="","Uncategorized — Review",IFERROR(INDEX(Mapping!$C:$C,MATCH($G898,Mapping!$A:$A,0)),"Uncategorized — Review"))</f>
        <v>Business Travel</v>
      </c>
    </row>
    <row r="899" customFormat="false" ht="15" hidden="false" customHeight="false" outlineLevel="0" collapsed="false">
      <c r="A899" s="0" t="str">
        <f aca="false">Chase1168_2025!A899</f>
        <v>DEBIT</v>
      </c>
      <c r="B899" s="14" t="n">
        <f aca="false">Chase1168_2025!B899</f>
        <v>45852</v>
      </c>
      <c r="C899" s="0" t="str">
        <f aca="false">Chase1168_2025!C899</f>
        <v>BOCCONCINO SAN FRANCISCO CA                  07/12</v>
      </c>
      <c r="D899" s="7" t="n">
        <f aca="false">Chase1168_2025!D899</f>
        <v>-195.12</v>
      </c>
      <c r="E899" s="0" t="str">
        <f aca="false">Chase1168_2025!E899</f>
        <v>DEBIT_CARD</v>
      </c>
      <c r="F899" s="7" t="n">
        <f aca="false">Chase1168_2025!F899</f>
        <v>8711.91</v>
      </c>
      <c r="G899" s="0" t="str">
        <f aca="false">Chase1168_2025!G899</f>
        <v>San Francisco Investor Meeting</v>
      </c>
      <c r="H899" s="15" t="n">
        <f aca="false">IF($B899="","",DATE(YEAR($B899),MONTH($B899),1))</f>
        <v>45839</v>
      </c>
      <c r="I899" s="0" t="str">
        <f aca="false">IF($G899="","Uncategorized — Review",IFERROR(INDEX(Mapping!$B:$B,MATCH($G899,Mapping!$A:$A,0)),"Uncategorized — Review"))</f>
        <v>San Francisco Investor Meeting</v>
      </c>
      <c r="J899" s="0" t="str">
        <f aca="false">IF($G899="","Uncategorized — Review",IFERROR(INDEX(Mapping!$C:$C,MATCH($G899,Mapping!$A:$A,0)),"Uncategorized — Review"))</f>
        <v>Business Travel</v>
      </c>
    </row>
    <row r="900" customFormat="false" ht="15" hidden="false" customHeight="false" outlineLevel="0" collapsed="false">
      <c r="A900" s="0" t="str">
        <f aca="false">Chase1168_2025!A900</f>
        <v>DEBIT</v>
      </c>
      <c r="B900" s="14" t="n">
        <f aca="false">Chase1168_2025!B900</f>
        <v>45852</v>
      </c>
      <c r="C900" s="0" t="str">
        <f aca="false">Chase1168_2025!C900</f>
        <v>PEET'S #00502 SAN FRANCISCO CA               07/12</v>
      </c>
      <c r="D900" s="7" t="n">
        <f aca="false">Chase1168_2025!D900</f>
        <v>-9.9</v>
      </c>
      <c r="E900" s="0" t="str">
        <f aca="false">Chase1168_2025!E900</f>
        <v>DEBIT_CARD</v>
      </c>
      <c r="F900" s="7" t="n">
        <f aca="false">Chase1168_2025!F900</f>
        <v>8907.03</v>
      </c>
      <c r="G900" s="0" t="str">
        <f aca="false">Chase1168_2025!G900</f>
        <v>San Francisco Investor Meeting</v>
      </c>
      <c r="H900" s="15" t="n">
        <f aca="false">IF($B900="","",DATE(YEAR($B900),MONTH($B900),1))</f>
        <v>45839</v>
      </c>
      <c r="I900" s="0" t="str">
        <f aca="false">IF($G900="","Uncategorized — Review",IFERROR(INDEX(Mapping!$B:$B,MATCH($G900,Mapping!$A:$A,0)),"Uncategorized — Review"))</f>
        <v>San Francisco Investor Meeting</v>
      </c>
      <c r="J900" s="0" t="str">
        <f aca="false">IF($G900="","Uncategorized — Review",IFERROR(INDEX(Mapping!$C:$C,MATCH($G900,Mapping!$A:$A,0)),"Uncategorized — Review"))</f>
        <v>Business Travel</v>
      </c>
    </row>
    <row r="901" customFormat="false" ht="15" hidden="false" customHeight="false" outlineLevel="0" collapsed="false">
      <c r="A901" s="0" t="str">
        <f aca="false">Chase1168_2025!A901</f>
        <v>DEBIT</v>
      </c>
      <c r="B901" s="14" t="n">
        <f aca="false">Chase1168_2025!B901</f>
        <v>45852</v>
      </c>
      <c r="C901" s="0" t="str">
        <f aca="false">Chase1168_2025!C901</f>
        <v>WALGREENS STORE 459 SAN FRANCISCO CA 947655  07/12</v>
      </c>
      <c r="D901" s="7" t="n">
        <f aca="false">Chase1168_2025!D901</f>
        <v>-31.49</v>
      </c>
      <c r="E901" s="0" t="str">
        <f aca="false">Chase1168_2025!E901</f>
        <v>DEBIT_CARD</v>
      </c>
      <c r="F901" s="7" t="n">
        <f aca="false">Chase1168_2025!F901</f>
        <v>8916.93</v>
      </c>
      <c r="G901" s="0" t="str">
        <f aca="false">Chase1168_2025!G901</f>
        <v>San Francisco Investor Meeting</v>
      </c>
      <c r="H901" s="15" t="n">
        <f aca="false">IF($B901="","",DATE(YEAR($B901),MONTH($B901),1))</f>
        <v>45839</v>
      </c>
      <c r="I901" s="0" t="str">
        <f aca="false">IF($G901="","Uncategorized — Review",IFERROR(INDEX(Mapping!$B:$B,MATCH($G901,Mapping!$A:$A,0)),"Uncategorized — Review"))</f>
        <v>San Francisco Investor Meeting</v>
      </c>
      <c r="J901" s="0" t="str">
        <f aca="false">IF($G901="","Uncategorized — Review",IFERROR(INDEX(Mapping!$C:$C,MATCH($G901,Mapping!$A:$A,0)),"Uncategorized — Review"))</f>
        <v>Business Travel</v>
      </c>
    </row>
    <row r="902" customFormat="false" ht="15" hidden="false" customHeight="false" outlineLevel="0" collapsed="false">
      <c r="A902" s="0" t="str">
        <f aca="false">Chase1168_2025!A902</f>
        <v>DEBIT</v>
      </c>
      <c r="B902" s="14" t="n">
        <f aca="false">Chase1168_2025!B902</f>
        <v>45852</v>
      </c>
      <c r="C902" s="0" t="str">
        <f aca="false">Chase1168_2025!C902</f>
        <v>SXM*SIRIUSXM.COM/ACCT 888-635-5144 NY        07/13</v>
      </c>
      <c r="D902" s="7" t="n">
        <f aca="false">Chase1168_2025!D902</f>
        <v>-6.31</v>
      </c>
      <c r="E902" s="0" t="str">
        <f aca="false">Chase1168_2025!E902</f>
        <v>DEBIT_CARD</v>
      </c>
      <c r="F902" s="7" t="n">
        <f aca="false">Chase1168_2025!F902</f>
        <v>8948.42</v>
      </c>
      <c r="G902" s="0" t="str">
        <f aca="false">Chase1168_2025!G902</f>
        <v>Personal - Subscriptions</v>
      </c>
      <c r="H902" s="15" t="n">
        <f aca="false">IF($B902="","",DATE(YEAR($B902),MONTH($B902),1))</f>
        <v>45839</v>
      </c>
      <c r="I902" s="0" t="str">
        <f aca="false">IF($G902="","Uncategorized — Review",IFERROR(INDEX(Mapping!$B:$B,MATCH($G902,Mapping!$A:$A,0)),"Uncategorized — Review"))</f>
        <v>Personal - Subscriptions</v>
      </c>
      <c r="J902" s="0" t="str">
        <f aca="false">IF($G902="","Uncategorized — Review",IFERROR(INDEX(Mapping!$C:$C,MATCH($G902,Mapping!$A:$A,0)),"Uncategorized — Review"))</f>
        <v>Personal — Owner</v>
      </c>
    </row>
    <row r="903" customFormat="false" ht="15" hidden="false" customHeight="false" outlineLevel="0" collapsed="false">
      <c r="A903" s="0" t="str">
        <f aca="false">Chase1168_2025!A903</f>
        <v>DEBIT</v>
      </c>
      <c r="B903" s="14" t="n">
        <f aca="false">Chase1168_2025!B903</f>
        <v>45852</v>
      </c>
      <c r="C903" s="0" t="str">
        <f aca="false">Chase1168_2025!C903</f>
        <v>PP*APPLE.COM/BILL 800-275-2273 CA            07/13</v>
      </c>
      <c r="D903" s="7" t="n">
        <f aca="false">Chase1168_2025!D903</f>
        <v>-17.99</v>
      </c>
      <c r="E903" s="0" t="str">
        <f aca="false">Chase1168_2025!E903</f>
        <v>DEBIT_CARD</v>
      </c>
      <c r="F903" s="7" t="n">
        <f aca="false">Chase1168_2025!F903</f>
        <v>8954.73</v>
      </c>
      <c r="G903" s="0" t="str">
        <f aca="false">Chase1168_2025!G903</f>
        <v>Personal - Subscriptions</v>
      </c>
      <c r="H903" s="15" t="n">
        <f aca="false">IF($B903="","",DATE(YEAR($B903),MONTH($B903),1))</f>
        <v>45839</v>
      </c>
      <c r="I903" s="0" t="str">
        <f aca="false">IF($G903="","Uncategorized — Review",IFERROR(INDEX(Mapping!$B:$B,MATCH($G903,Mapping!$A:$A,0)),"Uncategorized — Review"))</f>
        <v>Personal - Subscriptions</v>
      </c>
      <c r="J903" s="0" t="str">
        <f aca="false">IF($G903="","Uncategorized — Review",IFERROR(INDEX(Mapping!$C:$C,MATCH($G903,Mapping!$A:$A,0)),"Uncategorized — Review"))</f>
        <v>Personal — Owner</v>
      </c>
    </row>
    <row r="904" customFormat="false" ht="15" hidden="false" customHeight="false" outlineLevel="0" collapsed="false">
      <c r="A904" s="0" t="str">
        <f aca="false">Chase1168_2025!A904</f>
        <v>DEBIT</v>
      </c>
      <c r="B904" s="14" t="n">
        <f aca="false">Chase1168_2025!B904</f>
        <v>45852</v>
      </c>
      <c r="C904" s="0" t="str">
        <f aca="false">Chase1168_2025!C904</f>
        <v>PAYPAL *HULU 877-801-5441 CA                 07/12</v>
      </c>
      <c r="D904" s="7" t="n">
        <f aca="false">Chase1168_2025!D904</f>
        <v>-18.99</v>
      </c>
      <c r="E904" s="0" t="str">
        <f aca="false">Chase1168_2025!E904</f>
        <v>DEBIT_CARD</v>
      </c>
      <c r="F904" s="7" t="n">
        <f aca="false">Chase1168_2025!F904</f>
        <v>8972.72</v>
      </c>
      <c r="G904" s="0" t="str">
        <f aca="false">Chase1168_2025!G904</f>
        <v>Personal - Subscriptions</v>
      </c>
      <c r="H904" s="15" t="n">
        <f aca="false">IF($B904="","",DATE(YEAR($B904),MONTH($B904),1))</f>
        <v>45839</v>
      </c>
      <c r="I904" s="0" t="str">
        <f aca="false">IF($G904="","Uncategorized — Review",IFERROR(INDEX(Mapping!$B:$B,MATCH($G904,Mapping!$A:$A,0)),"Uncategorized — Review"))</f>
        <v>Personal - Subscriptions</v>
      </c>
      <c r="J904" s="0" t="str">
        <f aca="false">IF($G904="","Uncategorized — Review",IFERROR(INDEX(Mapping!$C:$C,MATCH($G904,Mapping!$A:$A,0)),"Uncategorized — Review"))</f>
        <v>Personal — Owner</v>
      </c>
    </row>
    <row r="905" customFormat="false" ht="15" hidden="false" customHeight="false" outlineLevel="0" collapsed="false">
      <c r="A905" s="0" t="str">
        <f aca="false">Chase1168_2025!A905</f>
        <v>DEBIT</v>
      </c>
      <c r="B905" s="14" t="n">
        <f aca="false">Chase1168_2025!B905</f>
        <v>45852</v>
      </c>
      <c r="C905" s="0" t="str">
        <f aca="false">Chase1168_2025!C905</f>
        <v>PP*SPOTIFY*P3881CAE83 203-318-9708 NY        07/12</v>
      </c>
      <c r="D905" s="7" t="n">
        <f aca="false">Chase1168_2025!D905</f>
        <v>-11.99</v>
      </c>
      <c r="E905" s="0" t="str">
        <f aca="false">Chase1168_2025!E905</f>
        <v>DEBIT_CARD</v>
      </c>
      <c r="F905" s="7" t="n">
        <f aca="false">Chase1168_2025!F905</f>
        <v>8991.71</v>
      </c>
      <c r="G905" s="0" t="str">
        <f aca="false">Chase1168_2025!G905</f>
        <v>Personal - Subscriptions</v>
      </c>
      <c r="H905" s="15" t="n">
        <f aca="false">IF($B905="","",DATE(YEAR($B905),MONTH($B905),1))</f>
        <v>45839</v>
      </c>
      <c r="I905" s="0" t="str">
        <f aca="false">IF($G905="","Uncategorized — Review",IFERROR(INDEX(Mapping!$B:$B,MATCH($G905,Mapping!$A:$A,0)),"Uncategorized — Review"))</f>
        <v>Personal - Subscriptions</v>
      </c>
      <c r="J905" s="0" t="str">
        <f aca="false">IF($G905="","Uncategorized — Review",IFERROR(INDEX(Mapping!$C:$C,MATCH($G905,Mapping!$A:$A,0)),"Uncategorized — Review"))</f>
        <v>Personal — Owner</v>
      </c>
    </row>
    <row r="906" customFormat="false" ht="15" hidden="false" customHeight="false" outlineLevel="0" collapsed="false">
      <c r="A906" s="0" t="str">
        <f aca="false">Chase1168_2025!A906</f>
        <v>DEBIT</v>
      </c>
      <c r="B906" s="14" t="n">
        <f aca="false">Chase1168_2025!B906</f>
        <v>45852</v>
      </c>
      <c r="C906" s="0" t="str">
        <f aca="false">Chase1168_2025!C906</f>
        <v>SAVOR SAN FRANCISCO CA               071235  07/11</v>
      </c>
      <c r="D906" s="7" t="n">
        <f aca="false">Chase1168_2025!D906</f>
        <v>-119.49</v>
      </c>
      <c r="E906" s="0" t="str">
        <f aca="false">Chase1168_2025!E906</f>
        <v>DEBIT_CARD</v>
      </c>
      <c r="F906" s="7" t="n">
        <f aca="false">Chase1168_2025!F906</f>
        <v>9003.7</v>
      </c>
      <c r="G906" s="0" t="str">
        <f aca="false">Chase1168_2025!G906</f>
        <v>San Francisco Investor Meeting</v>
      </c>
      <c r="H906" s="15" t="n">
        <f aca="false">IF($B906="","",DATE(YEAR($B906),MONTH($B906),1))</f>
        <v>45839</v>
      </c>
      <c r="I906" s="0" t="str">
        <f aca="false">IF($G906="","Uncategorized — Review",IFERROR(INDEX(Mapping!$B:$B,MATCH($G906,Mapping!$A:$A,0)),"Uncategorized — Review"))</f>
        <v>San Francisco Investor Meeting</v>
      </c>
      <c r="J906" s="0" t="str">
        <f aca="false">IF($G906="","Uncategorized — Review",IFERROR(INDEX(Mapping!$C:$C,MATCH($G906,Mapping!$A:$A,0)),"Uncategorized — Review"))</f>
        <v>Business Travel</v>
      </c>
    </row>
    <row r="907" customFormat="false" ht="15" hidden="false" customHeight="false" outlineLevel="0" collapsed="false">
      <c r="A907" s="0" t="str">
        <f aca="false">Chase1168_2025!A907</f>
        <v>DEBIT</v>
      </c>
      <c r="B907" s="14" t="n">
        <f aca="false">Chase1168_2025!B907</f>
        <v>45852</v>
      </c>
      <c r="C907" s="0" t="str">
        <f aca="false">Chase1168_2025!C907</f>
        <v>TST*SIGHTGLASS COFFE San Francisco CA        07/11</v>
      </c>
      <c r="D907" s="7" t="n">
        <f aca="false">Chase1168_2025!D907</f>
        <v>-23.06</v>
      </c>
      <c r="E907" s="0" t="str">
        <f aca="false">Chase1168_2025!E907</f>
        <v>DEBIT_CARD</v>
      </c>
      <c r="F907" s="7" t="n">
        <f aca="false">Chase1168_2025!F907</f>
        <v>9123.19</v>
      </c>
      <c r="G907" s="0" t="str">
        <f aca="false">Chase1168_2025!G907</f>
        <v>San Francisco Investor Meeting</v>
      </c>
      <c r="H907" s="15" t="n">
        <f aca="false">IF($B907="","",DATE(YEAR($B907),MONTH($B907),1))</f>
        <v>45839</v>
      </c>
      <c r="I907" s="0" t="str">
        <f aca="false">IF($G907="","Uncategorized — Review",IFERROR(INDEX(Mapping!$B:$B,MATCH($G907,Mapping!$A:$A,0)),"Uncategorized — Review"))</f>
        <v>San Francisco Investor Meeting</v>
      </c>
      <c r="J907" s="0" t="str">
        <f aca="false">IF($G907="","Uncategorized — Review",IFERROR(INDEX(Mapping!$C:$C,MATCH($G907,Mapping!$A:$A,0)),"Uncategorized — Review"))</f>
        <v>Business Travel</v>
      </c>
    </row>
    <row r="908" customFormat="false" ht="15" hidden="false" customHeight="false" outlineLevel="0" collapsed="false">
      <c r="A908" s="0" t="str">
        <f aca="false">Chase1168_2025!A908</f>
        <v>DEBIT</v>
      </c>
      <c r="B908" s="14" t="n">
        <f aca="false">Chase1168_2025!B908</f>
        <v>45849</v>
      </c>
      <c r="C908" s="0" t="str">
        <f aca="false">Chase1168_2025!C908</f>
        <v>Online Transfer to CHK ...0709 transaction#: 25449052578 07/11</v>
      </c>
      <c r="D908" s="7" t="n">
        <f aca="false">Chase1168_2025!D908</f>
        <v>-2000</v>
      </c>
      <c r="E908" s="0" t="str">
        <f aca="false">Chase1168_2025!E908</f>
        <v>ACCT_XFER</v>
      </c>
      <c r="F908" s="7" t="n">
        <f aca="false">Chase1168_2025!F908</f>
        <v>9146.25</v>
      </c>
      <c r="G908" s="0" t="str">
        <f aca="false">Chase1168_2025!G908</f>
        <v>Transfer to DWG Capital Group_Savings</v>
      </c>
      <c r="H908" s="15" t="n">
        <f aca="false">IF($B908="","",DATE(YEAR($B908),MONTH($B908),1))</f>
        <v>45839</v>
      </c>
      <c r="I908" s="0" t="str">
        <f aca="false">IF($G908="","Uncategorized — Review",IFERROR(INDEX(Mapping!$B:$B,MATCH($G908,Mapping!$A:$A,0)),"Uncategorized — Review"))</f>
        <v>Transfer to DWG Savings</v>
      </c>
      <c r="J908" s="0" t="str">
        <f aca="false">IF($G908="","Uncategorized — Review",IFERROR(INDEX(Mapping!$C:$C,MATCH($G908,Mapping!$A:$A,0)),"Uncategorized — Review"))</f>
        <v>Intercompany &amp; Savings Transfers</v>
      </c>
    </row>
    <row r="909" customFormat="false" ht="15" hidden="false" customHeight="false" outlineLevel="0" collapsed="false">
      <c r="A909" s="0" t="str">
        <f aca="false">Chase1168_2025!A909</f>
        <v>DEBIT</v>
      </c>
      <c r="B909" s="14" t="n">
        <f aca="false">Chase1168_2025!B909</f>
        <v>45849</v>
      </c>
      <c r="C909" s="0" t="str">
        <f aca="false">Chase1168_2025!C909</f>
        <v>ORIG CO NAME:BANNER LIFE            ORIG ID:1521236145 DESC DATE:250710 CO ENTRY DESCR:PREM DEBITSEC:PPD    TRACE#:091000011270336 EED:250711   IND ID:                             IND NAME:ANGELA L DUNNING TRN: 1921270336TC</v>
      </c>
      <c r="D909" s="7" t="n">
        <f aca="false">Chase1168_2025!D909</f>
        <v>-171.21</v>
      </c>
      <c r="E909" s="0" t="str">
        <f aca="false">Chase1168_2025!E909</f>
        <v>ACH_DEBIT</v>
      </c>
      <c r="F909" s="7" t="n">
        <f aca="false">Chase1168_2025!F909</f>
        <v>11146.25</v>
      </c>
      <c r="G909" s="0" t="str">
        <f aca="false">Chase1168_2025!G909</f>
        <v>Personal - Life Insurance</v>
      </c>
      <c r="H909" s="15" t="n">
        <f aca="false">IF($B909="","",DATE(YEAR($B909),MONTH($B909),1))</f>
        <v>45839</v>
      </c>
      <c r="I909" s="0" t="str">
        <f aca="false">IF($G909="","Uncategorized — Review",IFERROR(INDEX(Mapping!$B:$B,MATCH($G909,Mapping!$A:$A,0)),"Uncategorized — Review"))</f>
        <v>Personal - Life Insurance</v>
      </c>
      <c r="J909" s="0" t="str">
        <f aca="false">IF($G909="","Uncategorized — Review",IFERROR(INDEX(Mapping!$C:$C,MATCH($G909,Mapping!$A:$A,0)),"Uncategorized — Review"))</f>
        <v>Personal — Owner</v>
      </c>
    </row>
    <row r="910" customFormat="false" ht="15" hidden="false" customHeight="false" outlineLevel="0" collapsed="false">
      <c r="A910" s="0" t="str">
        <f aca="false">Chase1168_2025!A910</f>
        <v>DEBIT</v>
      </c>
      <c r="B910" s="14" t="n">
        <f aca="false">Chase1168_2025!B910</f>
        <v>45849</v>
      </c>
      <c r="C910" s="0" t="str">
        <f aca="false">Chase1168_2025!C910</f>
        <v>ORIG CO NAME:GM Financial           ORIG ID:I522190781 DESC DATE:250711 CO ENTRY DESCR:GMF Pymt  SEC:PPD    TRACE#:091000019287391 EED:250711   IND ID:                             IND NAME:ANGELA DUNNING TRN: 1929287391TC</v>
      </c>
      <c r="D910" s="7" t="n">
        <f aca="false">Chase1168_2025!D910</f>
        <v>-1249.96</v>
      </c>
      <c r="E910" s="0" t="str">
        <f aca="false">Chase1168_2025!E910</f>
        <v>ACH_DEBIT</v>
      </c>
      <c r="F910" s="7" t="n">
        <f aca="false">Chase1168_2025!F910</f>
        <v>11317.46</v>
      </c>
      <c r="G910" s="0" t="str">
        <f aca="false">Chase1168_2025!G910</f>
        <v>Personal - Car</v>
      </c>
      <c r="H910" s="15" t="n">
        <f aca="false">IF($B910="","",DATE(YEAR($B910),MONTH($B910),1))</f>
        <v>45839</v>
      </c>
      <c r="I910" s="0" t="str">
        <f aca="false">IF($G910="","Uncategorized — Review",IFERROR(INDEX(Mapping!$B:$B,MATCH($G910,Mapping!$A:$A,0)),"Uncategorized — Review"))</f>
        <v>Personal - Car &amp; Auto</v>
      </c>
      <c r="J910" s="0" t="str">
        <f aca="false">IF($G910="","Uncategorized — Review",IFERROR(INDEX(Mapping!$C:$C,MATCH($G910,Mapping!$A:$A,0)),"Uncategorized — Review"))</f>
        <v>Personal — Owner</v>
      </c>
    </row>
    <row r="911" customFormat="false" ht="15" hidden="false" customHeight="false" outlineLevel="0" collapsed="false">
      <c r="A911" s="0" t="str">
        <f aca="false">Chase1168_2025!A911</f>
        <v>DEBIT</v>
      </c>
      <c r="B911" s="14" t="n">
        <f aca="false">Chase1168_2025!B911</f>
        <v>45849</v>
      </c>
      <c r="C911" s="0" t="str">
        <f aca="false">Chase1168_2025!C911</f>
        <v>ORIG CO NAME:ALLSTATE V&amp;P INS       ORIG ID:1360719665 DESC DATE:JUL 25 CO ENTRY DESCR:INS PREM  SEC:PPD    TRACE#:021000020973368 EED:250711   IND ID:                             IND NAME:DUNNING TRN: 1920973368TC</v>
      </c>
      <c r="D911" s="7" t="n">
        <f aca="false">Chase1168_2025!D911</f>
        <v>-1533.71</v>
      </c>
      <c r="E911" s="0" t="str">
        <f aca="false">Chase1168_2025!E911</f>
        <v>ACH_DEBIT</v>
      </c>
      <c r="F911" s="7" t="n">
        <f aca="false">Chase1168_2025!F911</f>
        <v>12567.42</v>
      </c>
      <c r="G911" s="0" t="str">
        <f aca="false">Chase1168_2025!G911</f>
        <v>Personal - Car</v>
      </c>
      <c r="H911" s="15" t="n">
        <f aca="false">IF($B911="","",DATE(YEAR($B911),MONTH($B911),1))</f>
        <v>45839</v>
      </c>
      <c r="I911" s="0" t="str">
        <f aca="false">IF($G911="","Uncategorized — Review",IFERROR(INDEX(Mapping!$B:$B,MATCH($G911,Mapping!$A:$A,0)),"Uncategorized — Review"))</f>
        <v>Personal - Car &amp; Auto</v>
      </c>
      <c r="J911" s="0" t="str">
        <f aca="false">IF($G911="","Uncategorized — Review",IFERROR(INDEX(Mapping!$C:$C,MATCH($G911,Mapping!$A:$A,0)),"Uncategorized — Review"))</f>
        <v>Personal — Owner</v>
      </c>
    </row>
    <row r="912" customFormat="false" ht="15" hidden="false" customHeight="false" outlineLevel="0" collapsed="false">
      <c r="A912" s="0" t="str">
        <f aca="false">Chase1168_2025!A912</f>
        <v>DEBIT</v>
      </c>
      <c r="B912" s="14" t="n">
        <f aca="false">Chase1168_2025!B912</f>
        <v>45849</v>
      </c>
      <c r="C912" s="0" t="str">
        <f aca="false">Chase1168_2025!C912</f>
        <v>HLU*HULUPLUS hulu.com/bill CA                07/11</v>
      </c>
      <c r="D912" s="7" t="n">
        <f aca="false">Chase1168_2025!D912</f>
        <v>-53.97</v>
      </c>
      <c r="E912" s="0" t="str">
        <f aca="false">Chase1168_2025!E912</f>
        <v>DEBIT_CARD</v>
      </c>
      <c r="F912" s="7" t="n">
        <f aca="false">Chase1168_2025!F912</f>
        <v>14101.13</v>
      </c>
      <c r="G912" s="0" t="str">
        <f aca="false">Chase1168_2025!G912</f>
        <v>Personal - Subscriptions</v>
      </c>
      <c r="H912" s="15" t="n">
        <f aca="false">IF($B912="","",DATE(YEAR($B912),MONTH($B912),1))</f>
        <v>45839</v>
      </c>
      <c r="I912" s="0" t="str">
        <f aca="false">IF($G912="","Uncategorized — Review",IFERROR(INDEX(Mapping!$B:$B,MATCH($G912,Mapping!$A:$A,0)),"Uncategorized — Review"))</f>
        <v>Personal - Subscriptions</v>
      </c>
      <c r="J912" s="0" t="str">
        <f aca="false">IF($G912="","Uncategorized — Review",IFERROR(INDEX(Mapping!$C:$C,MATCH($G912,Mapping!$A:$A,0)),"Uncategorized — Review"))</f>
        <v>Personal — Owner</v>
      </c>
    </row>
    <row r="913" customFormat="false" ht="15" hidden="false" customHeight="false" outlineLevel="0" collapsed="false">
      <c r="A913" s="0" t="str">
        <f aca="false">Chase1168_2025!A913</f>
        <v>DEBIT</v>
      </c>
      <c r="B913" s="14" t="n">
        <f aca="false">Chase1168_2025!B913</f>
        <v>45849</v>
      </c>
      <c r="C913" s="0" t="str">
        <f aca="false">Chase1168_2025!C913</f>
        <v>PAYPAL *LINKEDIN 402-935-7733 CA             07/10</v>
      </c>
      <c r="D913" s="7" t="n">
        <f aca="false">Chase1168_2025!D913</f>
        <v>-510</v>
      </c>
      <c r="E913" s="0" t="str">
        <f aca="false">Chase1168_2025!E913</f>
        <v>DEBIT_CARD</v>
      </c>
      <c r="F913" s="7" t="n">
        <f aca="false">Chase1168_2025!F913</f>
        <v>14155.1</v>
      </c>
      <c r="G913" s="0" t="str">
        <f aca="false">Chase1168_2025!G913</f>
        <v>DWG HR</v>
      </c>
      <c r="H913" s="15" t="n">
        <f aca="false">IF($B913="","",DATE(YEAR($B913),MONTH($B913),1))</f>
        <v>45839</v>
      </c>
      <c r="I913" s="0" t="str">
        <f aca="false">IF($G913="","Uncategorized — Review",IFERROR(INDEX(Mapping!$B:$B,MATCH($G913,Mapping!$A:$A,0)),"Uncategorized — Review"))</f>
        <v>DWG HR</v>
      </c>
      <c r="J913" s="0" t="str">
        <f aca="false">IF($G913="","Uncategorized — Review",IFERROR(INDEX(Mapping!$C:$C,MATCH($G913,Mapping!$A:$A,0)),"Uncategorized — Review"))</f>
        <v>Payroll &amp; Contractors</v>
      </c>
    </row>
    <row r="914" customFormat="false" ht="15" hidden="false" customHeight="false" outlineLevel="0" collapsed="false">
      <c r="A914" s="0" t="str">
        <f aca="false">Chase1168_2025!A914</f>
        <v>DEBIT</v>
      </c>
      <c r="B914" s="14" t="n">
        <f aca="false">Chase1168_2025!B914</f>
        <v>45848</v>
      </c>
      <c r="C914" s="0" t="str">
        <f aca="false">Chase1168_2025!C914</f>
        <v>INDEED USI25-03772775 AUSTIN TX      222643  07/10</v>
      </c>
      <c r="D914" s="7" t="n">
        <f aca="false">Chase1168_2025!D914</f>
        <v>-524.27</v>
      </c>
      <c r="E914" s="0" t="str">
        <f aca="false">Chase1168_2025!E914</f>
        <v>DEBIT_CARD</v>
      </c>
      <c r="F914" s="7" t="n">
        <f aca="false">Chase1168_2025!F914</f>
        <v>14665.1</v>
      </c>
      <c r="G914" s="0" t="str">
        <f aca="false">Chase1168_2025!G914</f>
        <v>DWG HR</v>
      </c>
      <c r="H914" s="15" t="n">
        <f aca="false">IF($B914="","",DATE(YEAR($B914),MONTH($B914),1))</f>
        <v>45839</v>
      </c>
      <c r="I914" s="0" t="str">
        <f aca="false">IF($G914="","Uncategorized — Review",IFERROR(INDEX(Mapping!$B:$B,MATCH($G914,Mapping!$A:$A,0)),"Uncategorized — Review"))</f>
        <v>DWG HR</v>
      </c>
      <c r="J914" s="0" t="str">
        <f aca="false">IF($G914="","Uncategorized — Review",IFERROR(INDEX(Mapping!$C:$C,MATCH($G914,Mapping!$A:$A,0)),"Uncategorized — Review"))</f>
        <v>Payroll &amp; Contractors</v>
      </c>
    </row>
    <row r="915" customFormat="false" ht="15" hidden="false" customHeight="false" outlineLevel="0" collapsed="false">
      <c r="A915" s="0" t="str">
        <f aca="false">Chase1168_2025!A915</f>
        <v>DEBIT</v>
      </c>
      <c r="B915" s="14" t="n">
        <f aca="false">Chase1168_2025!B915</f>
        <v>45848</v>
      </c>
      <c r="C915" s="0" t="str">
        <f aca="false">Chase1168_2025!C915</f>
        <v>PP*APPLE.COM/BILL 800-275-2273 CA            07/10</v>
      </c>
      <c r="D915" s="7" t="n">
        <f aca="false">Chase1168_2025!D915</f>
        <v>-11.99</v>
      </c>
      <c r="E915" s="0" t="str">
        <f aca="false">Chase1168_2025!E915</f>
        <v>DEBIT_CARD</v>
      </c>
      <c r="F915" s="7" t="n">
        <f aca="false">Chase1168_2025!F915</f>
        <v>15189.37</v>
      </c>
      <c r="G915" s="0" t="str">
        <f aca="false">Chase1168_2025!G915</f>
        <v>Personal - Subscriptions</v>
      </c>
      <c r="H915" s="15" t="n">
        <f aca="false">IF($B915="","",DATE(YEAR($B915),MONTH($B915),1))</f>
        <v>45839</v>
      </c>
      <c r="I915" s="0" t="str">
        <f aca="false">IF($G915="","Uncategorized — Review",IFERROR(INDEX(Mapping!$B:$B,MATCH($G915,Mapping!$A:$A,0)),"Uncategorized — Review"))</f>
        <v>Personal - Subscriptions</v>
      </c>
      <c r="J915" s="0" t="str">
        <f aca="false">IF($G915="","Uncategorized — Review",IFERROR(INDEX(Mapping!$C:$C,MATCH($G915,Mapping!$A:$A,0)),"Uncategorized — Review"))</f>
        <v>Personal — Owner</v>
      </c>
    </row>
    <row r="916" customFormat="false" ht="15" hidden="false" customHeight="false" outlineLevel="0" collapsed="false">
      <c r="A916" s="0" t="str">
        <f aca="false">Chase1168_2025!A916</f>
        <v>DEBIT</v>
      </c>
      <c r="B916" s="14" t="n">
        <f aca="false">Chase1168_2025!B916</f>
        <v>45847</v>
      </c>
      <c r="C916" s="0" t="str">
        <f aca="false">Chase1168_2025!C916</f>
        <v>ORIG CO NAME:VENMO                  ORIG ID:3264681992 DESC DATE:250709 CO ENTRY DESCR:PAYMENT   SEC:WEB    TRACE#:021000022619365 EED:250709   IND ID:1043415015451                IND NAME:JUDD DUNNING                                                                                                 250709PPZJWG TRN: 1902619365TC</v>
      </c>
      <c r="D916" s="7" t="n">
        <f aca="false">Chase1168_2025!D916</f>
        <v>-100</v>
      </c>
      <c r="E916" s="0" t="str">
        <f aca="false">Chase1168_2025!E916</f>
        <v>ACH_DEBIT</v>
      </c>
      <c r="F916" s="7" t="n">
        <f aca="false">Chase1168_2025!F916</f>
        <v>15201.36</v>
      </c>
      <c r="G916" s="0" t="str">
        <f aca="false">Chase1168_2025!G916</f>
        <v>Venmo</v>
      </c>
      <c r="H916" s="15" t="n">
        <f aca="false">IF($B916="","",DATE(YEAR($B916),MONTH($B916),1))</f>
        <v>45839</v>
      </c>
      <c r="I916" s="0" t="str">
        <f aca="false">IF($G916="","Uncategorized — Review",IFERROR(INDEX(Mapping!$B:$B,MATCH($G916,Mapping!$A:$A,0)),"Uncategorized — Review"))</f>
        <v>Venmo</v>
      </c>
      <c r="J916" s="0" t="str">
        <f aca="false">IF($G916="","Uncategorized — Review",IFERROR(INDEX(Mapping!$C:$C,MATCH($G916,Mapping!$A:$A,0)),"Uncategorized — Review"))</f>
        <v>P2P Payments (Zelle/Venmo/PayPal)</v>
      </c>
    </row>
    <row r="917" customFormat="false" ht="15" hidden="false" customHeight="false" outlineLevel="0" collapsed="false">
      <c r="A917" s="0" t="str">
        <f aca="false">Chase1168_2025!A917</f>
        <v>DEBIT</v>
      </c>
      <c r="B917" s="14" t="n">
        <f aca="false">Chase1168_2025!B917</f>
        <v>45847</v>
      </c>
      <c r="C917" s="0" t="str">
        <f aca="false">Chase1168_2025!C917</f>
        <v>ORIG CO NAME:VENMO                  ORIG ID:3264681992 DESC DATE:250709 CO ENTRY DESCR:PAYMENT   SEC:WEB    TRACE#:021000022619368 EED:250709   IND ID:1043415016027                IND NAME:JUDD DUNNING                                                                                                 250709PPZJWG TRN: 1902619368TC</v>
      </c>
      <c r="D917" s="7" t="n">
        <f aca="false">Chase1168_2025!D917</f>
        <v>-120</v>
      </c>
      <c r="E917" s="0" t="str">
        <f aca="false">Chase1168_2025!E917</f>
        <v>ACH_DEBIT</v>
      </c>
      <c r="F917" s="7" t="n">
        <f aca="false">Chase1168_2025!F917</f>
        <v>15301.36</v>
      </c>
      <c r="G917" s="0" t="str">
        <f aca="false">Chase1168_2025!G917</f>
        <v>Venmo</v>
      </c>
      <c r="H917" s="15" t="n">
        <f aca="false">IF($B917="","",DATE(YEAR($B917),MONTH($B917),1))</f>
        <v>45839</v>
      </c>
      <c r="I917" s="0" t="str">
        <f aca="false">IF($G917="","Uncategorized — Review",IFERROR(INDEX(Mapping!$B:$B,MATCH($G917,Mapping!$A:$A,0)),"Uncategorized — Review"))</f>
        <v>Venmo</v>
      </c>
      <c r="J917" s="0" t="str">
        <f aca="false">IF($G917="","Uncategorized — Review",IFERROR(INDEX(Mapping!$C:$C,MATCH($G917,Mapping!$A:$A,0)),"Uncategorized — Review"))</f>
        <v>P2P Payments (Zelle/Venmo/PayPal)</v>
      </c>
    </row>
    <row r="918" customFormat="false" ht="15" hidden="false" customHeight="false" outlineLevel="0" collapsed="false">
      <c r="A918" s="0" t="str">
        <f aca="false">Chase1168_2025!A918</f>
        <v>DEBIT</v>
      </c>
      <c r="B918" s="14" t="n">
        <f aca="false">Chase1168_2025!B918</f>
        <v>45847</v>
      </c>
      <c r="C918" s="0" t="str">
        <f aca="false">Chase1168_2025!C918</f>
        <v>ORIG CO NAME:VENMO                  ORIG ID:3264681992 DESC DATE:250709 CO ENTRY DESCR:PAYMENT   SEC:WEB    TRACE#:021000021058955 EED:250709   IND ID:1043410458049                IND NAME:JUDD DUNNING                                                                                                 250709PPZGUV TRN: 1901058955TC</v>
      </c>
      <c r="D918" s="7" t="n">
        <f aca="false">Chase1168_2025!D918</f>
        <v>-50</v>
      </c>
      <c r="E918" s="0" t="str">
        <f aca="false">Chase1168_2025!E918</f>
        <v>ACH_DEBIT</v>
      </c>
      <c r="F918" s="7" t="n">
        <f aca="false">Chase1168_2025!F918</f>
        <v>15421.36</v>
      </c>
      <c r="G918" s="0" t="str">
        <f aca="false">Chase1168_2025!G918</f>
        <v>Venmo</v>
      </c>
      <c r="H918" s="15" t="n">
        <f aca="false">IF($B918="","",DATE(YEAR($B918),MONTH($B918),1))</f>
        <v>45839</v>
      </c>
      <c r="I918" s="0" t="str">
        <f aca="false">IF($G918="","Uncategorized — Review",IFERROR(INDEX(Mapping!$B:$B,MATCH($G918,Mapping!$A:$A,0)),"Uncategorized — Review"))</f>
        <v>Venmo</v>
      </c>
      <c r="J918" s="0" t="str">
        <f aca="false">IF($G918="","Uncategorized — Review",IFERROR(INDEX(Mapping!$C:$C,MATCH($G918,Mapping!$A:$A,0)),"Uncategorized — Review"))</f>
        <v>P2P Payments (Zelle/Venmo/PayPal)</v>
      </c>
    </row>
    <row r="919" customFormat="false" ht="15" hidden="false" customHeight="false" outlineLevel="0" collapsed="false">
      <c r="A919" s="0" t="str">
        <f aca="false">Chase1168_2025!A919</f>
        <v>DEBIT</v>
      </c>
      <c r="B919" s="14" t="n">
        <f aca="false">Chase1168_2025!B919</f>
        <v>45847</v>
      </c>
      <c r="C919" s="0" t="str">
        <f aca="false">Chase1168_2025!C919</f>
        <v>PAYPAL *EPOCH TIMES T 833-699-1888 NY        07/08</v>
      </c>
      <c r="D919" s="7" t="n">
        <f aca="false">Chase1168_2025!D919</f>
        <v>-16</v>
      </c>
      <c r="E919" s="0" t="str">
        <f aca="false">Chase1168_2025!E919</f>
        <v>DEBIT_CARD</v>
      </c>
      <c r="F919" s="7" t="n">
        <f aca="false">Chase1168_2025!F919</f>
        <v>15471.36</v>
      </c>
      <c r="G919" s="0" t="str">
        <f aca="false">Chase1168_2025!G919</f>
        <v>Personal - Subscriptions</v>
      </c>
      <c r="H919" s="15" t="n">
        <f aca="false">IF($B919="","",DATE(YEAR($B919),MONTH($B919),1))</f>
        <v>45839</v>
      </c>
      <c r="I919" s="0" t="str">
        <f aca="false">IF($G919="","Uncategorized — Review",IFERROR(INDEX(Mapping!$B:$B,MATCH($G919,Mapping!$A:$A,0)),"Uncategorized — Review"))</f>
        <v>Personal - Subscriptions</v>
      </c>
      <c r="J919" s="0" t="str">
        <f aca="false">IF($G919="","Uncategorized — Review",IFERROR(INDEX(Mapping!$C:$C,MATCH($G919,Mapping!$A:$A,0)),"Uncategorized — Review"))</f>
        <v>Personal — Owner</v>
      </c>
    </row>
    <row r="920" customFormat="false" ht="15" hidden="false" customHeight="false" outlineLevel="0" collapsed="false">
      <c r="A920" s="0" t="str">
        <f aca="false">Chase1168_2025!A920</f>
        <v>DEBIT</v>
      </c>
      <c r="B920" s="14" t="n">
        <f aca="false">Chase1168_2025!B920</f>
        <v>45847</v>
      </c>
      <c r="C920" s="0" t="str">
        <f aca="false">Chase1168_2025!C920</f>
        <v>LA VEGAN PLACE LOS ANGELES CA                07/07</v>
      </c>
      <c r="D920" s="7" t="n">
        <f aca="false">Chase1168_2025!D920</f>
        <v>-2.74</v>
      </c>
      <c r="E920" s="0" t="str">
        <f aca="false">Chase1168_2025!E920</f>
        <v>DEBIT_CARD</v>
      </c>
      <c r="F920" s="7" t="n">
        <f aca="false">Chase1168_2025!F920</f>
        <v>15487.36</v>
      </c>
      <c r="G920" s="0" t="str">
        <f aca="false">Chase1168_2025!G920</f>
        <v>Personal - Food</v>
      </c>
      <c r="H920" s="15" t="n">
        <f aca="false">IF($B920="","",DATE(YEAR($B920),MONTH($B920),1))</f>
        <v>45839</v>
      </c>
      <c r="I920" s="0" t="str">
        <f aca="false">IF($G920="","Uncategorized — Review",IFERROR(INDEX(Mapping!$B:$B,MATCH($G920,Mapping!$A:$A,0)),"Uncategorized — Review"))</f>
        <v>Personal - Food &amp; Dining</v>
      </c>
      <c r="J920" s="0" t="str">
        <f aca="false">IF($G920="","Uncategorized — Review",IFERROR(INDEX(Mapping!$C:$C,MATCH($G920,Mapping!$A:$A,0)),"Uncategorized — Review"))</f>
        <v>Personal — Owner</v>
      </c>
    </row>
    <row r="921" customFormat="false" ht="15" hidden="false" customHeight="false" outlineLevel="0" collapsed="false">
      <c r="A921" s="0" t="str">
        <f aca="false">Chase1168_2025!A921</f>
        <v>DEBIT</v>
      </c>
      <c r="B921" s="14" t="n">
        <f aca="false">Chase1168_2025!B921</f>
        <v>45846</v>
      </c>
      <c r="C921" s="0" t="str">
        <f aca="false">Chase1168_2025!C921</f>
        <v>ORIG CO NAME:VENMO                  ORIG ID:3264681992 DESC DATE:250708 CO ENTRY DESCR:PAYMENT   SEC:WEB    TRACE#:021000024320750 EED:250708   IND ID:1043388699507                IND NAME:JUDD DUNNING                                                                                                 250708PPZ7EK TRN: 1894320750TC</v>
      </c>
      <c r="D921" s="7" t="n">
        <f aca="false">Chase1168_2025!D921</f>
        <v>-1250</v>
      </c>
      <c r="E921" s="0" t="str">
        <f aca="false">Chase1168_2025!E921</f>
        <v>ACH_DEBIT</v>
      </c>
      <c r="F921" s="7" t="n">
        <f aca="false">Chase1168_2025!F921</f>
        <v>15490.1</v>
      </c>
      <c r="G921" s="0" t="str">
        <f aca="false">Chase1168_2025!G921</f>
        <v>Venmo</v>
      </c>
      <c r="H921" s="15" t="n">
        <f aca="false">IF($B921="","",DATE(YEAR($B921),MONTH($B921),1))</f>
        <v>45839</v>
      </c>
      <c r="I921" s="0" t="str">
        <f aca="false">IF($G921="","Uncategorized — Review",IFERROR(INDEX(Mapping!$B:$B,MATCH($G921,Mapping!$A:$A,0)),"Uncategorized — Review"))</f>
        <v>Venmo</v>
      </c>
      <c r="J921" s="0" t="str">
        <f aca="false">IF($G921="","Uncategorized — Review",IFERROR(INDEX(Mapping!$C:$C,MATCH($G921,Mapping!$A:$A,0)),"Uncategorized — Review"))</f>
        <v>P2P Payments (Zelle/Venmo/PayPal)</v>
      </c>
    </row>
    <row r="922" customFormat="false" ht="15" hidden="false" customHeight="false" outlineLevel="0" collapsed="false">
      <c r="A922" s="0" t="str">
        <f aca="false">Chase1168_2025!A922</f>
        <v>DEBIT</v>
      </c>
      <c r="B922" s="14" t="n">
        <f aca="false">Chase1168_2025!B922</f>
        <v>45846</v>
      </c>
      <c r="C922" s="0" t="str">
        <f aca="false">Chase1168_2025!C922</f>
        <v>ORIG CO NAME:VENMO                  ORIG ID:3264681992 DESC DATE:250708 CO ENTRY DESCR:PAYMENT   SEC:WEB    TRACE#:021000028403190 EED:250708   IND ID:1043377488811                IND NAME:JUDD DUNNING                                                                                                 250708PPZ24U TRN: 1898403190TC</v>
      </c>
      <c r="D922" s="7" t="n">
        <f aca="false">Chase1168_2025!D922</f>
        <v>-130</v>
      </c>
      <c r="E922" s="0" t="str">
        <f aca="false">Chase1168_2025!E922</f>
        <v>ACH_DEBIT</v>
      </c>
      <c r="F922" s="7" t="n">
        <f aca="false">Chase1168_2025!F922</f>
        <v>16740.1</v>
      </c>
      <c r="G922" s="0" t="str">
        <f aca="false">Chase1168_2025!G922</f>
        <v>Venmo</v>
      </c>
      <c r="H922" s="15" t="n">
        <f aca="false">IF($B922="","",DATE(YEAR($B922),MONTH($B922),1))</f>
        <v>45839</v>
      </c>
      <c r="I922" s="0" t="str">
        <f aca="false">IF($G922="","Uncategorized — Review",IFERROR(INDEX(Mapping!$B:$B,MATCH($G922,Mapping!$A:$A,0)),"Uncategorized — Review"))</f>
        <v>Venmo</v>
      </c>
      <c r="J922" s="0" t="str">
        <f aca="false">IF($G922="","Uncategorized — Review",IFERROR(INDEX(Mapping!$C:$C,MATCH($G922,Mapping!$A:$A,0)),"Uncategorized — Review"))</f>
        <v>P2P Payments (Zelle/Venmo/PayPal)</v>
      </c>
    </row>
    <row r="923" customFormat="false" ht="15" hidden="false" customHeight="false" outlineLevel="0" collapsed="false">
      <c r="A923" s="0" t="str">
        <f aca="false">Chase1168_2025!A923</f>
        <v>DEBIT</v>
      </c>
      <c r="B923" s="14" t="n">
        <f aca="false">Chase1168_2025!B923</f>
        <v>45846</v>
      </c>
      <c r="C923" s="0" t="str">
        <f aca="false">Chase1168_2025!C923</f>
        <v>NNT THE SS CO      000 LOS ANGELES CA948842  07/07</v>
      </c>
      <c r="D923" s="7" t="n">
        <f aca="false">Chase1168_2025!D923</f>
        <v>-6.57</v>
      </c>
      <c r="E923" s="0" t="str">
        <f aca="false">Chase1168_2025!E923</f>
        <v>DEBIT_CARD</v>
      </c>
      <c r="F923" s="7" t="n">
        <f aca="false">Chase1168_2025!F923</f>
        <v>16870.1</v>
      </c>
      <c r="G923" s="0" t="str">
        <f aca="false">Chase1168_2025!G923</f>
        <v>Personal - Food</v>
      </c>
      <c r="H923" s="15" t="n">
        <f aca="false">IF($B923="","",DATE(YEAR($B923),MONTH($B923),1))</f>
        <v>45839</v>
      </c>
      <c r="I923" s="0" t="str">
        <f aca="false">IF($G923="","Uncategorized — Review",IFERROR(INDEX(Mapping!$B:$B,MATCH($G923,Mapping!$A:$A,0)),"Uncategorized — Review"))</f>
        <v>Personal - Food &amp; Dining</v>
      </c>
      <c r="J923" s="0" t="str">
        <f aca="false">IF($G923="","Uncategorized — Review",IFERROR(INDEX(Mapping!$C:$C,MATCH($G923,Mapping!$A:$A,0)),"Uncategorized — Review"))</f>
        <v>Personal — Owner</v>
      </c>
    </row>
    <row r="924" customFormat="false" ht="15" hidden="false" customHeight="false" outlineLevel="0" collapsed="false">
      <c r="A924" s="0" t="str">
        <f aca="false">Chase1168_2025!A924</f>
        <v>DEBIT</v>
      </c>
      <c r="B924" s="14" t="n">
        <f aca="false">Chase1168_2025!B924</f>
        <v>45846</v>
      </c>
      <c r="C924" s="0" t="str">
        <f aca="false">Chase1168_2025!C924</f>
        <v>PP*APPLE.COM/BILL 800-275-2273 CA            07/08</v>
      </c>
      <c r="D924" s="7" t="n">
        <f aca="false">Chase1168_2025!D924</f>
        <v>-8.99</v>
      </c>
      <c r="E924" s="0" t="str">
        <f aca="false">Chase1168_2025!E924</f>
        <v>DEBIT_CARD</v>
      </c>
      <c r="F924" s="7" t="n">
        <f aca="false">Chase1168_2025!F924</f>
        <v>16876.67</v>
      </c>
      <c r="G924" s="0" t="str">
        <f aca="false">Chase1168_2025!G924</f>
        <v>Personal - Subscriptions</v>
      </c>
      <c r="H924" s="15" t="n">
        <f aca="false">IF($B924="","",DATE(YEAR($B924),MONTH($B924),1))</f>
        <v>45839</v>
      </c>
      <c r="I924" s="0" t="str">
        <f aca="false">IF($G924="","Uncategorized — Review",IFERROR(INDEX(Mapping!$B:$B,MATCH($G924,Mapping!$A:$A,0)),"Uncategorized — Review"))</f>
        <v>Personal - Subscriptions</v>
      </c>
      <c r="J924" s="0" t="str">
        <f aca="false">IF($G924="","Uncategorized — Review",IFERROR(INDEX(Mapping!$C:$C,MATCH($G924,Mapping!$A:$A,0)),"Uncategorized — Review"))</f>
        <v>Personal — Owner</v>
      </c>
    </row>
    <row r="925" customFormat="false" ht="15" hidden="false" customHeight="false" outlineLevel="0" collapsed="false">
      <c r="A925" s="0" t="str">
        <f aca="false">Chase1168_2025!A925</f>
        <v>DEBIT</v>
      </c>
      <c r="B925" s="14" t="n">
        <f aca="false">Chase1168_2025!B925</f>
        <v>45846</v>
      </c>
      <c r="C925" s="0" t="str">
        <f aca="false">Chase1168_2025!C925</f>
        <v>UPWORK * -824911506 866-262-4478 CA          07/07</v>
      </c>
      <c r="D925" s="7" t="n">
        <f aca="false">Chase1168_2025!D925</f>
        <v>-210</v>
      </c>
      <c r="E925" s="0" t="str">
        <f aca="false">Chase1168_2025!E925</f>
        <v>DEBIT_CARD</v>
      </c>
      <c r="F925" s="7" t="n">
        <f aca="false">Chase1168_2025!F925</f>
        <v>16885.66</v>
      </c>
      <c r="G925" s="0" t="str">
        <f aca="false">Chase1168_2025!G925</f>
        <v>Upwork - Sergei M.</v>
      </c>
      <c r="H925" s="15" t="n">
        <f aca="false">IF($B925="","",DATE(YEAR($B925),MONTH($B925),1))</f>
        <v>45839</v>
      </c>
      <c r="I925" s="0" t="str">
        <f aca="false">IF($G925="","Uncategorized — Review",IFERROR(INDEX(Mapping!$B:$B,MATCH($G925,Mapping!$A:$A,0)),"Uncategorized — Review"))</f>
        <v>Upwork - Sergei M.</v>
      </c>
      <c r="J925" s="0" t="str">
        <f aca="false">IF($G925="","Uncategorized — Review",IFERROR(INDEX(Mapping!$C:$C,MATCH($G925,Mapping!$A:$A,0)),"Uncategorized — Review"))</f>
        <v>Payroll &amp; Contractors</v>
      </c>
    </row>
    <row r="926" customFormat="false" ht="15" hidden="false" customHeight="false" outlineLevel="0" collapsed="false">
      <c r="A926" s="0" t="str">
        <f aca="false">Chase1168_2025!A926</f>
        <v>DEBIT</v>
      </c>
      <c r="B926" s="14" t="n">
        <f aca="false">Chase1168_2025!B926</f>
        <v>45845</v>
      </c>
      <c r="C926" s="0" t="str">
        <f aca="false">Chase1168_2025!C926</f>
        <v>Basic Online Payroll Payment 11179059863 to ########4122</v>
      </c>
      <c r="D926" s="7" t="n">
        <f aca="false">Chase1168_2025!D926</f>
        <v>-1500</v>
      </c>
      <c r="E926" s="0" t="str">
        <f aca="false">Chase1168_2025!E926</f>
        <v>BASIC_PAYROLL</v>
      </c>
      <c r="F926" s="7" t="n">
        <f aca="false">Chase1168_2025!F926</f>
        <v>17095.66</v>
      </c>
      <c r="G926" s="0" t="str">
        <f aca="false">Chase1168_2025!G926</f>
        <v>Mike Paytonjian - Payroll</v>
      </c>
      <c r="H926" s="15" t="n">
        <f aca="false">IF($B926="","",DATE(YEAR($B926),MONTH($B926),1))</f>
        <v>45839</v>
      </c>
      <c r="I926" s="0" t="str">
        <f aca="false">IF($G926="","Uncategorized — Review",IFERROR(INDEX(Mapping!$B:$B,MATCH($G926,Mapping!$A:$A,0)),"Uncategorized — Review"))</f>
        <v>Mike Paytonjian - Payroll</v>
      </c>
      <c r="J926" s="0" t="str">
        <f aca="false">IF($G926="","Uncategorized — Review",IFERROR(INDEX(Mapping!$C:$C,MATCH($G926,Mapping!$A:$A,0)),"Uncategorized — Review"))</f>
        <v>Payroll &amp; Contractors</v>
      </c>
    </row>
    <row r="927" customFormat="false" ht="15" hidden="false" customHeight="false" outlineLevel="0" collapsed="false">
      <c r="A927" s="0" t="str">
        <f aca="false">Chase1168_2025!A927</f>
        <v>DEBIT</v>
      </c>
      <c r="B927" s="14" t="n">
        <f aca="false">Chase1168_2025!B927</f>
        <v>45845</v>
      </c>
      <c r="C927" s="0" t="str">
        <f aca="false">Chase1168_2025!C927</f>
        <v>Basic Online Payroll Payment 11179056518 to ########4122</v>
      </c>
      <c r="D927" s="7" t="n">
        <f aca="false">Chase1168_2025!D927</f>
        <v>-3000</v>
      </c>
      <c r="E927" s="0" t="str">
        <f aca="false">Chase1168_2025!E927</f>
        <v>BASIC_PAYROLL</v>
      </c>
      <c r="F927" s="7" t="n">
        <f aca="false">Chase1168_2025!F927</f>
        <v>18595.66</v>
      </c>
      <c r="G927" s="0" t="str">
        <f aca="false">Chase1168_2025!G927</f>
        <v>Mike Paytonjian - Payroll</v>
      </c>
      <c r="H927" s="15" t="n">
        <f aca="false">IF($B927="","",DATE(YEAR($B927),MONTH($B927),1))</f>
        <v>45839</v>
      </c>
      <c r="I927" s="0" t="str">
        <f aca="false">IF($G927="","Uncategorized — Review",IFERROR(INDEX(Mapping!$B:$B,MATCH($G927,Mapping!$A:$A,0)),"Uncategorized — Review"))</f>
        <v>Mike Paytonjian - Payroll</v>
      </c>
      <c r="J927" s="0" t="str">
        <f aca="false">IF($G927="","Uncategorized — Review",IFERROR(INDEX(Mapping!$C:$C,MATCH($G927,Mapping!$A:$A,0)),"Uncategorized — Review"))</f>
        <v>Payroll &amp; Contractors</v>
      </c>
    </row>
    <row r="928" customFormat="false" ht="15" hidden="false" customHeight="false" outlineLevel="0" collapsed="false">
      <c r="A928" s="0" t="str">
        <f aca="false">Chase1168_2025!A928</f>
        <v>DEBIT</v>
      </c>
      <c r="B928" s="14" t="n">
        <f aca="false">Chase1168_2025!B928</f>
        <v>45845</v>
      </c>
      <c r="C928" s="0" t="str">
        <f aca="false">Chase1168_2025!C928</f>
        <v>Zelle payment to Jeff Fajardo JPM99beug35e</v>
      </c>
      <c r="D928" s="7" t="n">
        <f aca="false">Chase1168_2025!D928</f>
        <v>-1213</v>
      </c>
      <c r="E928" s="0" t="str">
        <f aca="false">Chase1168_2025!E928</f>
        <v>CHASE_TO_PARTNERFI</v>
      </c>
      <c r="F928" s="7" t="n">
        <f aca="false">Chase1168_2025!F928</f>
        <v>21595.66</v>
      </c>
      <c r="G928" s="0" t="str">
        <f aca="false">Chase1168_2025!G928</f>
        <v>Zelle - Jeff Fajardo</v>
      </c>
      <c r="H928" s="15" t="n">
        <f aca="false">IF($B928="","",DATE(YEAR($B928),MONTH($B928),1))</f>
        <v>45839</v>
      </c>
      <c r="I928" s="0" t="str">
        <f aca="false">IF($G928="","Uncategorized — Review",IFERROR(INDEX(Mapping!$B:$B,MATCH($G928,Mapping!$A:$A,0)),"Uncategorized — Review"))</f>
        <v>Zelle - Jeff Fajardo</v>
      </c>
      <c r="J928" s="0" t="str">
        <f aca="false">IF($G928="","Uncategorized — Review",IFERROR(INDEX(Mapping!$C:$C,MATCH($G928,Mapping!$A:$A,0)),"Uncategorized — Review"))</f>
        <v>P2P Payments (Zelle/Venmo/PayPal)</v>
      </c>
    </row>
    <row r="929" customFormat="false" ht="15" hidden="false" customHeight="false" outlineLevel="0" collapsed="false">
      <c r="A929" s="0" t="str">
        <f aca="false">Chase1168_2025!A929</f>
        <v>DEBIT</v>
      </c>
      <c r="B929" s="14" t="n">
        <f aca="false">Chase1168_2025!B929</f>
        <v>45845</v>
      </c>
      <c r="C929" s="0" t="str">
        <f aca="false">Chase1168_2025!C929</f>
        <v>Zelle payment to Estella Martinez JPM99beugf0u</v>
      </c>
      <c r="D929" s="7" t="n">
        <f aca="false">Chase1168_2025!D929</f>
        <v>-800</v>
      </c>
      <c r="E929" s="0" t="str">
        <f aca="false">Chase1168_2025!E929</f>
        <v>CHASE_TO_PARTNERFI</v>
      </c>
      <c r="F929" s="7" t="n">
        <f aca="false">Chase1168_2025!F929</f>
        <v>22808.66</v>
      </c>
      <c r="G929" s="0" t="str">
        <f aca="false">Chase1168_2025!G929</f>
        <v>Zelle - Estella M.</v>
      </c>
      <c r="H929" s="15" t="n">
        <f aca="false">IF($B929="","",DATE(YEAR($B929),MONTH($B929),1))</f>
        <v>45839</v>
      </c>
      <c r="I929" s="0" t="str">
        <f aca="false">IF($G929="","Uncategorized — Review",IFERROR(INDEX(Mapping!$B:$B,MATCH($G929,Mapping!$A:$A,0)),"Uncategorized — Review"))</f>
        <v>Zelle - Estella M.</v>
      </c>
      <c r="J929" s="0" t="str">
        <f aca="false">IF($G929="","Uncategorized — Review",IFERROR(INDEX(Mapping!$C:$C,MATCH($G929,Mapping!$A:$A,0)),"Uncategorized — Review"))</f>
        <v>P2P Payments (Zelle/Venmo/PayPal)</v>
      </c>
    </row>
    <row r="930" customFormat="false" ht="15" hidden="false" customHeight="false" outlineLevel="0" collapsed="false">
      <c r="A930" s="0" t="str">
        <f aca="false">Chase1168_2025!A930</f>
        <v>DEBIT</v>
      </c>
      <c r="B930" s="14" t="n">
        <f aca="false">Chase1168_2025!B930</f>
        <v>45845</v>
      </c>
      <c r="C930" s="0" t="str">
        <f aca="false">Chase1168_2025!C930</f>
        <v>Online Transfer to CHK ...1117 transaction#: 25383580147 07/07</v>
      </c>
      <c r="D930" s="7" t="n">
        <f aca="false">Chase1168_2025!D930</f>
        <v>-2000</v>
      </c>
      <c r="E930" s="0" t="str">
        <f aca="false">Chase1168_2025!E930</f>
        <v>ACCT_XFER</v>
      </c>
      <c r="F930" s="7" t="n">
        <f aca="false">Chase1168_2025!F930</f>
        <v>23608.66</v>
      </c>
      <c r="G930" s="0" t="str">
        <f aca="false">Chase1168_2025!G930</f>
        <v>Transfer to Angela Dunning</v>
      </c>
      <c r="H930" s="15" t="n">
        <f aca="false">IF($B930="","",DATE(YEAR($B930),MONTH($B930),1))</f>
        <v>45839</v>
      </c>
      <c r="I930" s="0" t="str">
        <f aca="false">IF($G930="","Uncategorized — Review",IFERROR(INDEX(Mapping!$B:$B,MATCH($G930,Mapping!$A:$A,0)),"Uncategorized — Review"))</f>
        <v>Transfer to Angela Dunning</v>
      </c>
      <c r="J930" s="0" t="str">
        <f aca="false">IF($G930="","Uncategorized — Review",IFERROR(INDEX(Mapping!$C:$C,MATCH($G930,Mapping!$A:$A,0)),"Uncategorized — Review"))</f>
        <v>Owner / Family Distributions</v>
      </c>
    </row>
    <row r="931" customFormat="false" ht="15" hidden="false" customHeight="false" outlineLevel="0" collapsed="false">
      <c r="A931" s="0" t="str">
        <f aca="false">Chase1168_2025!A931</f>
        <v>DEBIT</v>
      </c>
      <c r="B931" s="14" t="n">
        <f aca="false">Chase1168_2025!B931</f>
        <v>45845</v>
      </c>
      <c r="C931" s="0" t="str">
        <f aca="false">Chase1168_2025!C931</f>
        <v>PP*APPLE.COM/BILL 800-275-2273 CA            07/05</v>
      </c>
      <c r="D931" s="7" t="n">
        <f aca="false">Chase1168_2025!D931</f>
        <v>-5</v>
      </c>
      <c r="E931" s="0" t="str">
        <f aca="false">Chase1168_2025!E931</f>
        <v>DEBIT_CARD</v>
      </c>
      <c r="F931" s="7" t="n">
        <f aca="false">Chase1168_2025!F931</f>
        <v>25608.66</v>
      </c>
      <c r="G931" s="0" t="str">
        <f aca="false">Chase1168_2025!G931</f>
        <v>Personal - Subscriptions</v>
      </c>
      <c r="H931" s="15" t="n">
        <f aca="false">IF($B931="","",DATE(YEAR($B931),MONTH($B931),1))</f>
        <v>45839</v>
      </c>
      <c r="I931" s="0" t="str">
        <f aca="false">IF($G931="","Uncategorized — Review",IFERROR(INDEX(Mapping!$B:$B,MATCH($G931,Mapping!$A:$A,0)),"Uncategorized — Review"))</f>
        <v>Personal - Subscriptions</v>
      </c>
      <c r="J931" s="0" t="str">
        <f aca="false">IF($G931="","Uncategorized — Review",IFERROR(INDEX(Mapping!$C:$C,MATCH($G931,Mapping!$A:$A,0)),"Uncategorized — Review"))</f>
        <v>Personal — Owner</v>
      </c>
    </row>
    <row r="932" customFormat="false" ht="15" hidden="false" customHeight="false" outlineLevel="0" collapsed="false">
      <c r="A932" s="0" t="str">
        <f aca="false">Chase1168_2025!A932</f>
        <v>DEBIT</v>
      </c>
      <c r="B932" s="14" t="n">
        <f aca="false">Chase1168_2025!B932</f>
        <v>45845</v>
      </c>
      <c r="C932" s="0" t="str">
        <f aca="false">Chase1168_2025!C932</f>
        <v>Zelle payment to Jeffrey Seider JPM99ben1xj6</v>
      </c>
      <c r="D932" s="7" t="n">
        <f aca="false">Chase1168_2025!D932</f>
        <v>-100</v>
      </c>
      <c r="E932" s="0" t="str">
        <f aca="false">Chase1168_2025!E932</f>
        <v>CHASE_TO_PARTNERFI</v>
      </c>
      <c r="F932" s="7" t="n">
        <f aca="false">Chase1168_2025!F932</f>
        <v>25613.66</v>
      </c>
      <c r="G932" s="0" t="str">
        <f aca="false">Chase1168_2025!G932</f>
        <v>Zelle - Jeff Seider</v>
      </c>
      <c r="H932" s="15" t="n">
        <f aca="false">IF($B932="","",DATE(YEAR($B932),MONTH($B932),1))</f>
        <v>45839</v>
      </c>
      <c r="I932" s="0" t="str">
        <f aca="false">IF($G932="","Uncategorized — Review",IFERROR(INDEX(Mapping!$B:$B,MATCH($G932,Mapping!$A:$A,0)),"Uncategorized — Review"))</f>
        <v>Zelle - Jeff Seider</v>
      </c>
      <c r="J932" s="0" t="str">
        <f aca="false">IF($G932="","Uncategorized — Review",IFERROR(INDEX(Mapping!$C:$C,MATCH($G932,Mapping!$A:$A,0)),"Uncategorized — Review"))</f>
        <v>P2P Payments (Zelle/Venmo/PayPal)</v>
      </c>
    </row>
    <row r="933" customFormat="false" ht="15" hidden="false" customHeight="false" outlineLevel="0" collapsed="false">
      <c r="A933" s="0" t="str">
        <f aca="false">Chase1168_2025!A933</f>
        <v>DEBIT</v>
      </c>
      <c r="B933" s="14" t="n">
        <f aca="false">Chase1168_2025!B933</f>
        <v>45845</v>
      </c>
      <c r="C933" s="0" t="str">
        <f aca="false">Chase1168_2025!C933</f>
        <v>Zelle payment to Jeff Fajardo JPM99bejbowe</v>
      </c>
      <c r="D933" s="7" t="n">
        <f aca="false">Chase1168_2025!D933</f>
        <v>-670</v>
      </c>
      <c r="E933" s="0" t="str">
        <f aca="false">Chase1168_2025!E933</f>
        <v>CHASE_TO_PARTNERFI</v>
      </c>
      <c r="F933" s="7" t="n">
        <f aca="false">Chase1168_2025!F933</f>
        <v>25713.66</v>
      </c>
      <c r="G933" s="0" t="str">
        <f aca="false">Chase1168_2025!G933</f>
        <v>Zelle - Jeff Fajardo</v>
      </c>
      <c r="H933" s="15" t="n">
        <f aca="false">IF($B933="","",DATE(YEAR($B933),MONTH($B933),1))</f>
        <v>45839</v>
      </c>
      <c r="I933" s="0" t="str">
        <f aca="false">IF($G933="","Uncategorized — Review",IFERROR(INDEX(Mapping!$B:$B,MATCH($G933,Mapping!$A:$A,0)),"Uncategorized — Review"))</f>
        <v>Zelle - Jeff Fajardo</v>
      </c>
      <c r="J933" s="0" t="str">
        <f aca="false">IF($G933="","Uncategorized — Review",IFERROR(INDEX(Mapping!$C:$C,MATCH($G933,Mapping!$A:$A,0)),"Uncategorized — Review"))</f>
        <v>P2P Payments (Zelle/Venmo/PayPal)</v>
      </c>
    </row>
    <row r="934" customFormat="false" ht="15" hidden="false" customHeight="false" outlineLevel="0" collapsed="false">
      <c r="A934" s="0" t="str">
        <f aca="false">Chase1168_2025!A934</f>
        <v>DEBIT</v>
      </c>
      <c r="B934" s="14" t="n">
        <f aca="false">Chase1168_2025!B934</f>
        <v>45845</v>
      </c>
      <c r="C934" s="0" t="str">
        <f aca="false">Chase1168_2025!C934</f>
        <v>Online Transfer to CHK ...6586 transaction#: 25367199048 07/07</v>
      </c>
      <c r="D934" s="7" t="n">
        <f aca="false">Chase1168_2025!D934</f>
        <v>-1000</v>
      </c>
      <c r="E934" s="0" t="str">
        <f aca="false">Chase1168_2025!E934</f>
        <v>ACCT_XFER</v>
      </c>
      <c r="F934" s="7" t="n">
        <f aca="false">Chase1168_2025!F934</f>
        <v>26383.66</v>
      </c>
      <c r="G934" s="0" t="str">
        <f aca="false">Chase1168_2025!G934</f>
        <v>Transfer to TGAIF Fund</v>
      </c>
      <c r="H934" s="15" t="n">
        <f aca="false">IF($B934="","",DATE(YEAR($B934),MONTH($B934),1))</f>
        <v>45839</v>
      </c>
      <c r="I934" s="0" t="str">
        <f aca="false">IF($G934="","Uncategorized — Review",IFERROR(INDEX(Mapping!$B:$B,MATCH($G934,Mapping!$A:$A,0)),"Uncategorized — Review"))</f>
        <v>Transfer to TGAIF Fund</v>
      </c>
      <c r="J934" s="0" t="str">
        <f aca="false">IF($G934="","Uncategorized — Review",IFERROR(INDEX(Mapping!$C:$C,MATCH($G934,Mapping!$A:$A,0)),"Uncategorized — Review"))</f>
        <v>Intercompany &amp; Savings Transfers</v>
      </c>
    </row>
    <row r="935" customFormat="false" ht="15" hidden="false" customHeight="false" outlineLevel="0" collapsed="false">
      <c r="A935" s="0" t="str">
        <f aca="false">Chase1168_2025!A935</f>
        <v>DEBIT</v>
      </c>
      <c r="B935" s="14" t="n">
        <f aca="false">Chase1168_2025!B935</f>
        <v>45845</v>
      </c>
      <c r="C935" s="0" t="str">
        <f aca="false">Chase1168_2025!C935</f>
        <v>PP*APPLE.COM/BILL 800-275-2273 CA            07/05</v>
      </c>
      <c r="D935" s="7" t="n">
        <f aca="false">Chase1168_2025!D935</f>
        <v>-29.99</v>
      </c>
      <c r="E935" s="0" t="str">
        <f aca="false">Chase1168_2025!E935</f>
        <v>DEBIT_CARD</v>
      </c>
      <c r="F935" s="7" t="n">
        <f aca="false">Chase1168_2025!F935</f>
        <v>27383.66</v>
      </c>
      <c r="G935" s="0" t="str">
        <f aca="false">Chase1168_2025!G935</f>
        <v>Personal - Subscriptions</v>
      </c>
      <c r="H935" s="15" t="n">
        <f aca="false">IF($B935="","",DATE(YEAR($B935),MONTH($B935),1))</f>
        <v>45839</v>
      </c>
      <c r="I935" s="0" t="str">
        <f aca="false">IF($G935="","Uncategorized — Review",IFERROR(INDEX(Mapping!$B:$B,MATCH($G935,Mapping!$A:$A,0)),"Uncategorized — Review"))</f>
        <v>Personal - Subscriptions</v>
      </c>
      <c r="J935" s="0" t="str">
        <f aca="false">IF($G935="","Uncategorized — Review",IFERROR(INDEX(Mapping!$C:$C,MATCH($G935,Mapping!$A:$A,0)),"Uncategorized — Review"))</f>
        <v>Personal — Owner</v>
      </c>
    </row>
    <row r="936" customFormat="false" ht="15" hidden="false" customHeight="false" outlineLevel="0" collapsed="false">
      <c r="A936" s="0" t="str">
        <f aca="false">Chase1168_2025!A936</f>
        <v>DEBIT</v>
      </c>
      <c r="B936" s="14" t="n">
        <f aca="false">Chase1168_2025!B936</f>
        <v>45845</v>
      </c>
      <c r="C936" s="0" t="str">
        <f aca="false">Chase1168_2025!C936</f>
        <v>PAYPAL *SANDYPR COM 402-935-7733 CA          07/03</v>
      </c>
      <c r="D936" s="7" t="n">
        <f aca="false">Chase1168_2025!D936</f>
        <v>-300</v>
      </c>
      <c r="E936" s="0" t="str">
        <f aca="false">Chase1168_2025!E936</f>
        <v>DEBIT_CARD</v>
      </c>
      <c r="F936" s="7" t="n">
        <f aca="false">Chase1168_2025!F936</f>
        <v>27413.65</v>
      </c>
      <c r="G936" s="0" t="str">
        <f aca="false">Chase1168_2025!G936</f>
        <v>Sandy PR Payment</v>
      </c>
      <c r="H936" s="15" t="n">
        <f aca="false">IF($B936="","",DATE(YEAR($B936),MONTH($B936),1))</f>
        <v>45839</v>
      </c>
      <c r="I936" s="0" t="str">
        <f aca="false">IF($G936="","Uncategorized — Review",IFERROR(INDEX(Mapping!$B:$B,MATCH($G936,Mapping!$A:$A,0)),"Uncategorized — Review"))</f>
        <v>Sandy PR Payment</v>
      </c>
      <c r="J936" s="0" t="str">
        <f aca="false">IF($G936="","Uncategorized — Review",IFERROR(INDEX(Mapping!$C:$C,MATCH($G936,Mapping!$A:$A,0)),"Uncategorized — Review"))</f>
        <v>DWG Operating</v>
      </c>
    </row>
    <row r="937" customFormat="false" ht="15" hidden="false" customHeight="false" outlineLevel="0" collapsed="false">
      <c r="A937" s="0" t="str">
        <f aca="false">Chase1168_2025!A937</f>
        <v>DEBIT</v>
      </c>
      <c r="B937" s="14" t="n">
        <f aca="false">Chase1168_2025!B937</f>
        <v>45845</v>
      </c>
      <c r="C937" s="0" t="str">
        <f aca="false">Chase1168_2025!C937</f>
        <v>PAYPAL *PRAGERUNIVE P 833-772-4378 CA        07/03</v>
      </c>
      <c r="D937" s="7" t="n">
        <f aca="false">Chase1168_2025!D937</f>
        <v>-10.78</v>
      </c>
      <c r="E937" s="0" t="str">
        <f aca="false">Chase1168_2025!E937</f>
        <v>DEBIT_CARD</v>
      </c>
      <c r="F937" s="7" t="n">
        <f aca="false">Chase1168_2025!F937</f>
        <v>27713.65</v>
      </c>
      <c r="G937" s="0" t="str">
        <f aca="false">Chase1168_2025!G937</f>
        <v>DWGCP Business Development</v>
      </c>
      <c r="H937" s="15" t="n">
        <f aca="false">IF($B937="","",DATE(YEAR($B937),MONTH($B937),1))</f>
        <v>45839</v>
      </c>
      <c r="I937" s="0" t="str">
        <f aca="false">IF($G937="","Uncategorized — Review",IFERROR(INDEX(Mapping!$B:$B,MATCH($G937,Mapping!$A:$A,0)),"Uncategorized — Review"))</f>
        <v>DWGCP Business Development</v>
      </c>
      <c r="J937" s="0" t="str">
        <f aca="false">IF($G937="","Uncategorized — Review",IFERROR(INDEX(Mapping!$C:$C,MATCH($G937,Mapping!$A:$A,0)),"Uncategorized — Review"))</f>
        <v>DWG Operating</v>
      </c>
    </row>
    <row r="938" customFormat="false" ht="15" hidden="false" customHeight="false" outlineLevel="0" collapsed="false">
      <c r="A938" s="0" t="str">
        <f aca="false">Chase1168_2025!A938</f>
        <v>CREDIT</v>
      </c>
      <c r="B938" s="14" t="n">
        <f aca="false">Chase1168_2025!B938</f>
        <v>45845</v>
      </c>
      <c r="C938" s="0" t="str">
        <f aca="false">Chase1168_2025!C938</f>
        <v>Online Transfer from CHK ...9335 transaction#: 25394288341</v>
      </c>
      <c r="D938" s="7" t="n">
        <f aca="false">Chase1168_2025!D938</f>
        <v>20000</v>
      </c>
      <c r="E938" s="0" t="str">
        <f aca="false">Chase1168_2025!E938</f>
        <v>ACCT_XFER</v>
      </c>
      <c r="F938" s="7" t="n">
        <f aca="false">Chase1168_2025!F938</f>
        <v>27724.43</v>
      </c>
      <c r="G938" s="0" t="str">
        <f aca="false">Chase1168_2025!G938</f>
        <v>Poseidon Asset Group (Incoming)</v>
      </c>
      <c r="H938" s="15" t="n">
        <f aca="false">IF($B938="","",DATE(YEAR($B938),MONTH($B938),1))</f>
        <v>45839</v>
      </c>
      <c r="I938" s="0" t="str">
        <f aca="false">IF($G938="","Uncategorized — Review",IFERROR(INDEX(Mapping!$B:$B,MATCH($G938,Mapping!$A:$A,0)),"Uncategorized — Review"))</f>
        <v>Poseidon Asset Group (Incoming)</v>
      </c>
      <c r="J938" s="0" t="str">
        <f aca="false">IF($G938="","Uncategorized — Review",IFERROR(INDEX(Mapping!$C:$C,MATCH($G938,Mapping!$A:$A,0)),"Uncategorized — Review"))</f>
        <v>Poseidon Asset Group</v>
      </c>
    </row>
    <row r="939" customFormat="false" ht="15" hidden="false" customHeight="false" outlineLevel="0" collapsed="false">
      <c r="A939" s="0" t="str">
        <f aca="false">Chase1168_2025!A939</f>
        <v>DEBIT</v>
      </c>
      <c r="B939" s="14" t="n">
        <f aca="false">Chase1168_2025!B939</f>
        <v>45841</v>
      </c>
      <c r="C939" s="0" t="str">
        <f aca="false">Chase1168_2025!C939</f>
        <v>ONLINE FX INTERNATIONAL WIRE FEE</v>
      </c>
      <c r="D939" s="7" t="n">
        <f aca="false">Chase1168_2025!D939</f>
        <v>-5</v>
      </c>
      <c r="E939" s="0" t="str">
        <f aca="false">Chase1168_2025!E939</f>
        <v>FEE_TRANSACTION</v>
      </c>
      <c r="F939" s="7" t="n">
        <f aca="false">Chase1168_2025!F939</f>
        <v>7724.43</v>
      </c>
      <c r="G939" s="0" t="str">
        <f aca="false">Chase1168_2025!G939</f>
        <v>Andres Alarcon Payroll</v>
      </c>
      <c r="H939" s="15" t="n">
        <f aca="false">IF($B939="","",DATE(YEAR($B939),MONTH($B939),1))</f>
        <v>45839</v>
      </c>
      <c r="I939" s="0" t="str">
        <f aca="false">IF($G939="","Uncategorized — Review",IFERROR(INDEX(Mapping!$B:$B,MATCH($G939,Mapping!$A:$A,0)),"Uncategorized — Review"))</f>
        <v>Andres Alarcon Payroll</v>
      </c>
      <c r="J939" s="0" t="str">
        <f aca="false">IF($G939="","Uncategorized — Review",IFERROR(INDEX(Mapping!$C:$C,MATCH($G939,Mapping!$A:$A,0)),"Uncategorized — Review"))</f>
        <v>Payroll &amp; Contractors</v>
      </c>
    </row>
    <row r="940" customFormat="false" ht="15" hidden="false" customHeight="false" outlineLevel="0" collapsed="false">
      <c r="A940" s="0" t="str">
        <f aca="false">Chase1168_2025!A940</f>
        <v>DEBIT</v>
      </c>
      <c r="B940" s="14" t="n">
        <f aca="false">Chase1168_2025!B940</f>
        <v>45841</v>
      </c>
      <c r="C940" s="0" t="str">
        <f aca="false">Chase1168_2025!C940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ENTS/OCMT/COP2876549,55/EXCH/3835.3 994/CNTR/39440620/INT/ANDRES_527 TRN: 7024100184RE 07/03</v>
      </c>
      <c r="D940" s="7" t="n">
        <f aca="false">Chase1168_2025!D940</f>
        <v>-750</v>
      </c>
      <c r="E940" s="0" t="str">
        <f aca="false">Chase1168_2025!E940</f>
        <v>WIRE_OUTGOING</v>
      </c>
      <c r="F940" s="7" t="n">
        <f aca="false">Chase1168_2025!F940</f>
        <v>7729.43</v>
      </c>
      <c r="G940" s="0" t="str">
        <f aca="false">Chase1168_2025!G940</f>
        <v>Andres Alarcon Payroll</v>
      </c>
      <c r="H940" s="15" t="n">
        <f aca="false">IF($B940="","",DATE(YEAR($B940),MONTH($B940),1))</f>
        <v>45839</v>
      </c>
      <c r="I940" s="0" t="str">
        <f aca="false">IF($G940="","Uncategorized — Review",IFERROR(INDEX(Mapping!$B:$B,MATCH($G940,Mapping!$A:$A,0)),"Uncategorized — Review"))</f>
        <v>Andres Alarcon Payroll</v>
      </c>
      <c r="J940" s="0" t="str">
        <f aca="false">IF($G940="","Uncategorized — Review",IFERROR(INDEX(Mapping!$C:$C,MATCH($G940,Mapping!$A:$A,0)),"Uncategorized — Review"))</f>
        <v>Payroll &amp; Contractors</v>
      </c>
    </row>
    <row r="941" customFormat="false" ht="15" hidden="false" customHeight="false" outlineLevel="0" collapsed="false">
      <c r="A941" s="0" t="str">
        <f aca="false">Chase1168_2025!A941</f>
        <v>DEBIT</v>
      </c>
      <c r="B941" s="14" t="n">
        <f aca="false">Chase1168_2025!B941</f>
        <v>45841</v>
      </c>
      <c r="C941" s="0" t="str">
        <f aca="false">Chase1168_2025!C941</f>
        <v>PP*APPLE.COM/BILL 800-275-2273 CA            07/03</v>
      </c>
      <c r="D941" s="7" t="n">
        <f aca="false">Chase1168_2025!D941</f>
        <v>-3.99</v>
      </c>
      <c r="E941" s="0" t="str">
        <f aca="false">Chase1168_2025!E941</f>
        <v>DEBIT_CARD</v>
      </c>
      <c r="F941" s="7" t="n">
        <f aca="false">Chase1168_2025!F941</f>
        <v>8479.43</v>
      </c>
      <c r="G941" s="0" t="str">
        <f aca="false">Chase1168_2025!G941</f>
        <v>Personal - Subscriptions</v>
      </c>
      <c r="H941" s="15" t="n">
        <f aca="false">IF($B941="","",DATE(YEAR($B941),MONTH($B941),1))</f>
        <v>45839</v>
      </c>
      <c r="I941" s="0" t="str">
        <f aca="false">IF($G941="","Uncategorized — Review",IFERROR(INDEX(Mapping!$B:$B,MATCH($G941,Mapping!$A:$A,0)),"Uncategorized — Review"))</f>
        <v>Personal - Subscriptions</v>
      </c>
      <c r="J941" s="0" t="str">
        <f aca="false">IF($G941="","Uncategorized — Review",IFERROR(INDEX(Mapping!$C:$C,MATCH($G941,Mapping!$A:$A,0)),"Uncategorized — Review"))</f>
        <v>Personal — Owner</v>
      </c>
    </row>
    <row r="942" customFormat="false" ht="15" hidden="false" customHeight="false" outlineLevel="0" collapsed="false">
      <c r="A942" s="0" t="str">
        <f aca="false">Chase1168_2025!A942</f>
        <v>DEBIT</v>
      </c>
      <c r="B942" s="14" t="n">
        <f aca="false">Chase1168_2025!B942</f>
        <v>45841</v>
      </c>
      <c r="C942" s="0" t="str">
        <f aca="false">Chase1168_2025!C942</f>
        <v>PP*APPLE.COM/BILL 800-275-2273 CA            07/03</v>
      </c>
      <c r="D942" s="7" t="n">
        <f aca="false">Chase1168_2025!D942</f>
        <v>-12.99</v>
      </c>
      <c r="E942" s="0" t="str">
        <f aca="false">Chase1168_2025!E942</f>
        <v>DEBIT_CARD</v>
      </c>
      <c r="F942" s="7" t="n">
        <f aca="false">Chase1168_2025!F942</f>
        <v>8483.42</v>
      </c>
      <c r="G942" s="0" t="str">
        <f aca="false">Chase1168_2025!G942</f>
        <v>Personal - Subscriptions</v>
      </c>
      <c r="H942" s="15" t="n">
        <f aca="false">IF($B942="","",DATE(YEAR($B942),MONTH($B942),1))</f>
        <v>45839</v>
      </c>
      <c r="I942" s="0" t="str">
        <f aca="false">IF($G942="","Uncategorized — Review",IFERROR(INDEX(Mapping!$B:$B,MATCH($G942,Mapping!$A:$A,0)),"Uncategorized — Review"))</f>
        <v>Personal - Subscriptions</v>
      </c>
      <c r="J942" s="0" t="str">
        <f aca="false">IF($G942="","Uncategorized — Review",IFERROR(INDEX(Mapping!$C:$C,MATCH($G942,Mapping!$A:$A,0)),"Uncategorized — Review"))</f>
        <v>Personal — Owner</v>
      </c>
    </row>
    <row r="943" customFormat="false" ht="15" hidden="false" customHeight="false" outlineLevel="0" collapsed="false">
      <c r="A943" s="0" t="str">
        <f aca="false">Chase1168_2025!A943</f>
        <v>DEBIT</v>
      </c>
      <c r="B943" s="14" t="n">
        <f aca="false">Chase1168_2025!B943</f>
        <v>45841</v>
      </c>
      <c r="C943" s="0" t="str">
        <f aca="false">Chase1168_2025!C943</f>
        <v>PAYPAL *DIRECTV 800-531-5000 TX              07/03</v>
      </c>
      <c r="D943" s="7" t="n">
        <f aca="false">Chase1168_2025!D943</f>
        <v>-101.99</v>
      </c>
      <c r="E943" s="0" t="str">
        <f aca="false">Chase1168_2025!E943</f>
        <v>DEBIT_CARD</v>
      </c>
      <c r="F943" s="7" t="n">
        <f aca="false">Chase1168_2025!F943</f>
        <v>8496.41</v>
      </c>
      <c r="G943" s="0" t="str">
        <f aca="false">Chase1168_2025!G943</f>
        <v>Personal - Subscriptions</v>
      </c>
      <c r="H943" s="15" t="n">
        <f aca="false">IF($B943="","",DATE(YEAR($B943),MONTH($B943),1))</f>
        <v>45839</v>
      </c>
      <c r="I943" s="0" t="str">
        <f aca="false">IF($G943="","Uncategorized — Review",IFERROR(INDEX(Mapping!$B:$B,MATCH($G943,Mapping!$A:$A,0)),"Uncategorized — Review"))</f>
        <v>Personal - Subscriptions</v>
      </c>
      <c r="J943" s="0" t="str">
        <f aca="false">IF($G943="","Uncategorized — Review",IFERROR(INDEX(Mapping!$C:$C,MATCH($G943,Mapping!$A:$A,0)),"Uncategorized — Review"))</f>
        <v>Personal — Owner</v>
      </c>
    </row>
    <row r="944" customFormat="false" ht="15" hidden="false" customHeight="false" outlineLevel="0" collapsed="false">
      <c r="A944" s="0" t="str">
        <f aca="false">Chase1168_2025!A944</f>
        <v>DEBIT</v>
      </c>
      <c r="B944" s="14" t="n">
        <f aca="false">Chase1168_2025!B944</f>
        <v>45840</v>
      </c>
      <c r="C944" s="0" t="str">
        <f aca="false">Chase1168_2025!C944</f>
        <v>ORIG CO NAME:TXU ENERGY             ORIG ID:1001020329 DESC DATE:       CO ENTRY DESCR:TXUE_ACH  SEC:WEB    TRACE#:021000029161940 EED:250702   IND ID:900062431557                 IND NAME:DWG CAPITAL GROUP          17333702810000000000000000000003526 0770205                                       DIRECT DEBITING TRN: 1839161940TC</v>
      </c>
      <c r="D944" s="7" t="n">
        <f aca="false">Chase1168_2025!D944</f>
        <v>-520.14</v>
      </c>
      <c r="E944" s="0" t="str">
        <f aca="false">Chase1168_2025!E944</f>
        <v>ACH_DEBIT</v>
      </c>
      <c r="F944" s="7" t="n">
        <f aca="false">Chase1168_2025!F944</f>
        <v>8598.4</v>
      </c>
      <c r="G944" s="0" t="str">
        <f aca="false">Chase1168_2025!G944</f>
        <v>Texas - House Utilities</v>
      </c>
      <c r="H944" s="15" t="n">
        <f aca="false">IF($B944="","",DATE(YEAR($B944),MONTH($B944),1))</f>
        <v>45839</v>
      </c>
      <c r="I944" s="0" t="str">
        <f aca="false">IF($G944="","Uncategorized — Review",IFERROR(INDEX(Mapping!$B:$B,MATCH($G944,Mapping!$A:$A,0)),"Uncategorized — Review"))</f>
        <v>Texas - House Utilities</v>
      </c>
      <c r="J944" s="0" t="str">
        <f aca="false">IF($G944="","Uncategorized — Review",IFERROR(INDEX(Mapping!$C:$C,MATCH($G944,Mapping!$A:$A,0)),"Uncategorized — Review"))</f>
        <v>Personal — Owner</v>
      </c>
    </row>
    <row r="945" customFormat="false" ht="15" hidden="false" customHeight="false" outlineLevel="0" collapsed="false">
      <c r="A945" s="0" t="str">
        <f aca="false">Chase1168_2025!A945</f>
        <v>DEBIT</v>
      </c>
      <c r="B945" s="14" t="n">
        <f aca="false">Chase1168_2025!B945</f>
        <v>45840</v>
      </c>
      <c r="C945" s="0" t="str">
        <f aca="false">Chase1168_2025!C945</f>
        <v>INDEED USI25-03377394 AUSTIN TX      022358  07/02</v>
      </c>
      <c r="D945" s="7" t="n">
        <f aca="false">Chase1168_2025!D945</f>
        <v>-502.93</v>
      </c>
      <c r="E945" s="0" t="str">
        <f aca="false">Chase1168_2025!E945</f>
        <v>DEBIT_CARD</v>
      </c>
      <c r="F945" s="7" t="n">
        <f aca="false">Chase1168_2025!F945</f>
        <v>9118.54</v>
      </c>
      <c r="G945" s="0" t="str">
        <f aca="false">Chase1168_2025!G945</f>
        <v>DWG HR</v>
      </c>
      <c r="H945" s="15" t="n">
        <f aca="false">IF($B945="","",DATE(YEAR($B945),MONTH($B945),1))</f>
        <v>45839</v>
      </c>
      <c r="I945" s="0" t="str">
        <f aca="false">IF($G945="","Uncategorized — Review",IFERROR(INDEX(Mapping!$B:$B,MATCH($G945,Mapping!$A:$A,0)),"Uncategorized — Review"))</f>
        <v>DWG HR</v>
      </c>
      <c r="J945" s="0" t="str">
        <f aca="false">IF($G945="","Uncategorized — Review",IFERROR(INDEX(Mapping!$C:$C,MATCH($G945,Mapping!$A:$A,0)),"Uncategorized — Review"))</f>
        <v>Payroll &amp; Contractors</v>
      </c>
    </row>
    <row r="946" customFormat="false" ht="15" hidden="false" customHeight="false" outlineLevel="0" collapsed="false">
      <c r="A946" s="0" t="str">
        <f aca="false">Chase1168_2025!A946</f>
        <v>DEBIT</v>
      </c>
      <c r="B946" s="14" t="n">
        <f aca="false">Chase1168_2025!B946</f>
        <v>45840</v>
      </c>
      <c r="C946" s="0" t="str">
        <f aca="false">Chase1168_2025!C946</f>
        <v>INDEED USI25-03578662 AUSTIN TX      192268  07/02</v>
      </c>
      <c r="D946" s="7" t="n">
        <f aca="false">Chase1168_2025!D946</f>
        <v>-12.45</v>
      </c>
      <c r="E946" s="0" t="str">
        <f aca="false">Chase1168_2025!E946</f>
        <v>DEBIT_CARD</v>
      </c>
      <c r="F946" s="7" t="n">
        <f aca="false">Chase1168_2025!F946</f>
        <v>9621.47</v>
      </c>
      <c r="G946" s="0" t="str">
        <f aca="false">Chase1168_2025!G946</f>
        <v>DWG HR</v>
      </c>
      <c r="H946" s="15" t="n">
        <f aca="false">IF($B946="","",DATE(YEAR($B946),MONTH($B946),1))</f>
        <v>45839</v>
      </c>
      <c r="I946" s="0" t="str">
        <f aca="false">IF($G946="","Uncategorized — Review",IFERROR(INDEX(Mapping!$B:$B,MATCH($G946,Mapping!$A:$A,0)),"Uncategorized — Review"))</f>
        <v>DWG HR</v>
      </c>
      <c r="J946" s="0" t="str">
        <f aca="false">IF($G946="","Uncategorized — Review",IFERROR(INDEX(Mapping!$C:$C,MATCH($G946,Mapping!$A:$A,0)),"Uncategorized — Review"))</f>
        <v>Payroll &amp; Contractors</v>
      </c>
    </row>
    <row r="947" customFormat="false" ht="15" hidden="false" customHeight="false" outlineLevel="0" collapsed="false">
      <c r="A947" s="0" t="str">
        <f aca="false">Chase1168_2025!A947</f>
        <v>DEBIT</v>
      </c>
      <c r="B947" s="14" t="n">
        <f aca="false">Chase1168_2025!B947</f>
        <v>45840</v>
      </c>
      <c r="C947" s="0" t="str">
        <f aca="false">Chase1168_2025!C947</f>
        <v>Online Payment 25333630470 To MERCEDES BENZ FINANCIAL SVCS 07/02</v>
      </c>
      <c r="D947" s="7" t="n">
        <f aca="false">Chase1168_2025!D947</f>
        <v>-1399.78</v>
      </c>
      <c r="E947" s="0" t="str">
        <f aca="false">Chase1168_2025!E947</f>
        <v>BILLPAY</v>
      </c>
      <c r="F947" s="7" t="n">
        <f aca="false">Chase1168_2025!F947</f>
        <v>9633.92</v>
      </c>
      <c r="G947" s="0" t="str">
        <f aca="false">Chase1168_2025!G947</f>
        <v>Personal - Car (Mercedes)</v>
      </c>
      <c r="H947" s="15" t="n">
        <f aca="false">IF($B947="","",DATE(YEAR($B947),MONTH($B947),1))</f>
        <v>45839</v>
      </c>
      <c r="I947" s="0" t="str">
        <f aca="false">IF($G947="","Uncategorized — Review",IFERROR(INDEX(Mapping!$B:$B,MATCH($G947,Mapping!$A:$A,0)),"Uncategorized — Review"))</f>
        <v>Personal - Car &amp; Auto</v>
      </c>
      <c r="J947" s="0" t="str">
        <f aca="false">IF($G947="","Uncategorized — Review",IFERROR(INDEX(Mapping!$C:$C,MATCH($G947,Mapping!$A:$A,0)),"Uncategorized — Review"))</f>
        <v>Personal — Owner</v>
      </c>
    </row>
    <row r="948" customFormat="false" ht="15" hidden="false" customHeight="false" outlineLevel="0" collapsed="false">
      <c r="A948" s="0" t="str">
        <f aca="false">Chase1168_2025!A948</f>
        <v>DEBIT</v>
      </c>
      <c r="B948" s="14" t="n">
        <f aca="false">Chase1168_2025!B948</f>
        <v>45840</v>
      </c>
      <c r="C948" s="0" t="str">
        <f aca="false">Chase1168_2025!C948</f>
        <v>Online Payment 25333603585 To PENTAGON FEDERAL CREDIT UNION 07/02</v>
      </c>
      <c r="D948" s="7" t="n">
        <f aca="false">Chase1168_2025!D948</f>
        <v>-7010</v>
      </c>
      <c r="E948" s="0" t="str">
        <f aca="false">Chase1168_2025!E948</f>
        <v>BILLPAY</v>
      </c>
      <c r="F948" s="7" t="n">
        <f aca="false">Chase1168_2025!F948</f>
        <v>11033.7</v>
      </c>
      <c r="G948" s="0" t="str">
        <f aca="false">Chase1168_2025!G948</f>
        <v>Personal - California Mortgage PMT</v>
      </c>
      <c r="H948" s="15" t="n">
        <f aca="false">IF($B948="","",DATE(YEAR($B948),MONTH($B948),1))</f>
        <v>45839</v>
      </c>
      <c r="I948" s="0" t="str">
        <f aca="false">IF($G948="","Uncategorized — Review",IFERROR(INDEX(Mapping!$B:$B,MATCH($G948,Mapping!$A:$A,0)),"Uncategorized — Review"))</f>
        <v>Personal - California Mortgage PMT</v>
      </c>
      <c r="J948" s="0" t="str">
        <f aca="false">IF($G948="","Uncategorized — Review",IFERROR(INDEX(Mapping!$C:$C,MATCH($G948,Mapping!$A:$A,0)),"Uncategorized — Review"))</f>
        <v>Personal — Owner</v>
      </c>
    </row>
    <row r="949" customFormat="false" ht="15" hidden="false" customHeight="false" outlineLevel="0" collapsed="false">
      <c r="A949" s="0" t="str">
        <f aca="false">Chase1168_2025!A949</f>
        <v>DEBIT</v>
      </c>
      <c r="B949" s="14" t="n">
        <f aca="false">Chase1168_2025!B949</f>
        <v>45840</v>
      </c>
      <c r="C949" s="0" t="str">
        <f aca="false">Chase1168_2025!C949</f>
        <v>PP*APPLE.COM/BILL 800-275-2273 CA            07/02</v>
      </c>
      <c r="D949" s="7" t="n">
        <f aca="false">Chase1168_2025!D949</f>
        <v>-15.99</v>
      </c>
      <c r="E949" s="0" t="str">
        <f aca="false">Chase1168_2025!E949</f>
        <v>DEBIT_CARD</v>
      </c>
      <c r="F949" s="7" t="n">
        <f aca="false">Chase1168_2025!F949</f>
        <v>18043.7</v>
      </c>
      <c r="G949" s="0" t="str">
        <f aca="false">Chase1168_2025!G949</f>
        <v>Personal - Subscriptions</v>
      </c>
      <c r="H949" s="15" t="n">
        <f aca="false">IF($B949="","",DATE(YEAR($B949),MONTH($B949),1))</f>
        <v>45839</v>
      </c>
      <c r="I949" s="0" t="str">
        <f aca="false">IF($G949="","Uncategorized — Review",IFERROR(INDEX(Mapping!$B:$B,MATCH($G949,Mapping!$A:$A,0)),"Uncategorized — Review"))</f>
        <v>Personal - Subscriptions</v>
      </c>
      <c r="J949" s="0" t="str">
        <f aca="false">IF($G949="","Uncategorized — Review",IFERROR(INDEX(Mapping!$C:$C,MATCH($G949,Mapping!$A:$A,0)),"Uncategorized — Review"))</f>
        <v>Personal — Owner</v>
      </c>
    </row>
    <row r="950" customFormat="false" ht="15" hidden="false" customHeight="false" outlineLevel="0" collapsed="false">
      <c r="A950" s="0" t="str">
        <f aca="false">Chase1168_2025!A950</f>
        <v>DEBIT</v>
      </c>
      <c r="B950" s="14" t="n">
        <f aca="false">Chase1168_2025!B950</f>
        <v>45840</v>
      </c>
      <c r="C950" s="0" t="str">
        <f aca="false">Chase1168_2025!C950</f>
        <v>PAYPAL *HULU 877-801-5441 CA                 07/01</v>
      </c>
      <c r="D950" s="7" t="n">
        <f aca="false">Chase1168_2025!D950</f>
        <v>-18.99</v>
      </c>
      <c r="E950" s="0" t="str">
        <f aca="false">Chase1168_2025!E950</f>
        <v>DEBIT_CARD</v>
      </c>
      <c r="F950" s="7" t="n">
        <f aca="false">Chase1168_2025!F950</f>
        <v>18059.69</v>
      </c>
      <c r="G950" s="0" t="str">
        <f aca="false">Chase1168_2025!G950</f>
        <v>Personal - Subscriptions</v>
      </c>
      <c r="H950" s="15" t="n">
        <f aca="false">IF($B950="","",DATE(YEAR($B950),MONTH($B950),1))</f>
        <v>45839</v>
      </c>
      <c r="I950" s="0" t="str">
        <f aca="false">IF($G950="","Uncategorized — Review",IFERROR(INDEX(Mapping!$B:$B,MATCH($G950,Mapping!$A:$A,0)),"Uncategorized — Review"))</f>
        <v>Personal - Subscriptions</v>
      </c>
      <c r="J950" s="0" t="str">
        <f aca="false">IF($G950="","Uncategorized — Review",IFERROR(INDEX(Mapping!$C:$C,MATCH($G950,Mapping!$A:$A,0)),"Uncategorized — Review"))</f>
        <v>Personal — Owner</v>
      </c>
    </row>
    <row r="951" customFormat="false" ht="15" hidden="false" customHeight="false" outlineLevel="0" collapsed="false">
      <c r="A951" s="0" t="str">
        <f aca="false">Chase1168_2025!A951</f>
        <v>DEBIT</v>
      </c>
      <c r="B951" s="14" t="n">
        <f aca="false">Chase1168_2025!B951</f>
        <v>45840</v>
      </c>
      <c r="C951" s="0" t="str">
        <f aca="false">Chase1168_2025!C951</f>
        <v>PAYPAL *GOOGLE LLC GO 650-253-0000 CA        07/01</v>
      </c>
      <c r="D951" s="7" t="n">
        <f aca="false">Chase1168_2025!D951</f>
        <v>-14.4</v>
      </c>
      <c r="E951" s="0" t="str">
        <f aca="false">Chase1168_2025!E951</f>
        <v>DEBIT_CARD</v>
      </c>
      <c r="F951" s="7" t="n">
        <f aca="false">Chase1168_2025!F951</f>
        <v>18078.68</v>
      </c>
      <c r="G951" s="0" t="str">
        <f aca="false">Chase1168_2025!G951</f>
        <v>Personal - Subscriptions</v>
      </c>
      <c r="H951" s="15" t="n">
        <f aca="false">IF($B951="","",DATE(YEAR($B951),MONTH($B951),1))</f>
        <v>45839</v>
      </c>
      <c r="I951" s="0" t="str">
        <f aca="false">IF($G951="","Uncategorized — Review",IFERROR(INDEX(Mapping!$B:$B,MATCH($G951,Mapping!$A:$A,0)),"Uncategorized — Review"))</f>
        <v>Personal - Subscriptions</v>
      </c>
      <c r="J951" s="0" t="str">
        <f aca="false">IF($G951="","Uncategorized — Review",IFERROR(INDEX(Mapping!$C:$C,MATCH($G951,Mapping!$A:$A,0)),"Uncategorized — Review"))</f>
        <v>Personal — Owner</v>
      </c>
    </row>
    <row r="952" customFormat="false" ht="15" hidden="false" customHeight="false" outlineLevel="0" collapsed="false">
      <c r="A952" s="0" t="str">
        <f aca="false">Chase1168_2025!A952</f>
        <v>DEBIT</v>
      </c>
      <c r="B952" s="14" t="n">
        <f aca="false">Chase1168_2025!B952</f>
        <v>45840</v>
      </c>
      <c r="C952" s="0" t="str">
        <f aca="false">Chase1168_2025!C952</f>
        <v>PAYPAL *BABBEL BABBEL. 35314369001           06/29</v>
      </c>
      <c r="D952" s="7" t="n">
        <f aca="false">Chase1168_2025!D952</f>
        <v>-27.16</v>
      </c>
      <c r="E952" s="0" t="str">
        <f aca="false">Chase1168_2025!E952</f>
        <v>DEBIT_CARD</v>
      </c>
      <c r="F952" s="7" t="n">
        <f aca="false">Chase1168_2025!F952</f>
        <v>18093.08</v>
      </c>
      <c r="G952" s="0" t="str">
        <f aca="false">Chase1168_2025!G952</f>
        <v>Personal - Entertainment</v>
      </c>
      <c r="H952" s="15" t="n">
        <f aca="false">IF($B952="","",DATE(YEAR($B952),MONTH($B952),1))</f>
        <v>45839</v>
      </c>
      <c r="I952" s="0" t="str">
        <f aca="false">IF($G952="","Uncategorized — Review",IFERROR(INDEX(Mapping!$B:$B,MATCH($G952,Mapping!$A:$A,0)),"Uncategorized — Review"))</f>
        <v>Personal - Entertainment</v>
      </c>
      <c r="J952" s="0" t="str">
        <f aca="false">IF($G952="","Uncategorized — Review",IFERROR(INDEX(Mapping!$C:$C,MATCH($G952,Mapping!$A:$A,0)),"Uncategorized — Review"))</f>
        <v>Personal — Owner</v>
      </c>
    </row>
    <row r="953" customFormat="false" ht="15" hidden="false" customHeight="false" outlineLevel="0" collapsed="false">
      <c r="A953" s="0" t="str">
        <f aca="false">Chase1168_2025!A953</f>
        <v>DEBIT</v>
      </c>
      <c r="B953" s="14" t="n">
        <f aca="false">Chase1168_2025!B953</f>
        <v>45839</v>
      </c>
      <c r="C953" s="0" t="str">
        <f aca="false">Chase1168_2025!C953</f>
        <v>STD ACH PMNTS VOLUME FEE QTY = 4</v>
      </c>
      <c r="D953" s="7" t="n">
        <f aca="false">Chase1168_2025!D953</f>
        <v>-0.6</v>
      </c>
      <c r="E953" s="0" t="str">
        <f aca="false">Chase1168_2025!E953</f>
        <v>FEE_TRANSACTION</v>
      </c>
      <c r="F953" s="7" t="n">
        <f aca="false">Chase1168_2025!F953</f>
        <v>18120.24</v>
      </c>
      <c r="G953" s="0" t="str">
        <f aca="false">Chase1168_2025!G953</f>
        <v>Bank Fees</v>
      </c>
      <c r="H953" s="15" t="n">
        <f aca="false">IF($B953="","",DATE(YEAR($B953),MONTH($B953),1))</f>
        <v>45839</v>
      </c>
      <c r="I953" s="0" t="str">
        <f aca="false">IF($G953="","Uncategorized — Review",IFERROR(INDEX(Mapping!$B:$B,MATCH($G953,Mapping!$A:$A,0)),"Uncategorized — Review"))</f>
        <v>Bank Fees</v>
      </c>
      <c r="J953" s="0" t="str">
        <f aca="false">IF($G953="","Uncategorized — Review",IFERROR(INDEX(Mapping!$C:$C,MATCH($G953,Mapping!$A:$A,0)),"Uncategorized — Review"))</f>
        <v>DWG Operating</v>
      </c>
    </row>
    <row r="954" customFormat="false" ht="15" hidden="false" customHeight="false" outlineLevel="0" collapsed="false">
      <c r="A954" s="0" t="str">
        <f aca="false">Chase1168_2025!A954</f>
        <v>DEBIT</v>
      </c>
      <c r="B954" s="14" t="n">
        <f aca="false">Chase1168_2025!B954</f>
        <v>45839</v>
      </c>
      <c r="C954" s="0" t="str">
        <f aca="false">Chase1168_2025!C954</f>
        <v>STANDARD ACH PMNTS INITIAL FEE QTY = 10</v>
      </c>
      <c r="D954" s="7" t="n">
        <f aca="false">Chase1168_2025!D954</f>
        <v>-25</v>
      </c>
      <c r="E954" s="0" t="str">
        <f aca="false">Chase1168_2025!E954</f>
        <v>FEE_TRANSACTION</v>
      </c>
      <c r="F954" s="7" t="n">
        <f aca="false">Chase1168_2025!F954</f>
        <v>18120.84</v>
      </c>
      <c r="G954" s="0" t="str">
        <f aca="false">Chase1168_2025!G954</f>
        <v>Bank Fees</v>
      </c>
      <c r="H954" s="15" t="n">
        <f aca="false">IF($B954="","",DATE(YEAR($B954),MONTH($B954),1))</f>
        <v>45839</v>
      </c>
      <c r="I954" s="0" t="str">
        <f aca="false">IF($G954="","Uncategorized — Review",IFERROR(INDEX(Mapping!$B:$B,MATCH($G954,Mapping!$A:$A,0)),"Uncategorized — Review"))</f>
        <v>Bank Fees</v>
      </c>
      <c r="J954" s="0" t="str">
        <f aca="false">IF($G954="","Uncategorized — Review",IFERROR(INDEX(Mapping!$C:$C,MATCH($G954,Mapping!$A:$A,0)),"Uncategorized — Review"))</f>
        <v>DWG Operating</v>
      </c>
    </row>
    <row r="955" customFormat="false" ht="15" hidden="false" customHeight="false" outlineLevel="0" collapsed="false">
      <c r="A955" s="0" t="str">
        <f aca="false">Chase1168_2025!A955</f>
        <v>DEBIT</v>
      </c>
      <c r="B955" s="14" t="n">
        <f aca="false">Chase1168_2025!B955</f>
        <v>45839</v>
      </c>
      <c r="C955" s="0" t="str">
        <f aca="false">Chase1168_2025!C955</f>
        <v>ORIG CO NAME:BLUESHIELDCA           ORIG ID:7529219311 DESC DATE:250630 CO ENTRY DESCR:BILL PAY  SEC:CCD    TRACE#:031101117581939 EED:250701   IND ID:15680353641                  IND NAME:ANGELA DUNNING TRN: 1827581939TC</v>
      </c>
      <c r="D955" s="7" t="n">
        <f aca="false">Chase1168_2025!D955</f>
        <v>-870.55</v>
      </c>
      <c r="E955" s="0" t="str">
        <f aca="false">Chase1168_2025!E955</f>
        <v>ACH_DEBIT</v>
      </c>
      <c r="F955" s="7" t="n">
        <f aca="false">Chase1168_2025!F955</f>
        <v>18145.84</v>
      </c>
      <c r="G955" s="0" t="str">
        <f aca="false">Chase1168_2025!G955</f>
        <v>Personal - Health Insurance</v>
      </c>
      <c r="H955" s="15" t="n">
        <f aca="false">IF($B955="","",DATE(YEAR($B955),MONTH($B955),1))</f>
        <v>45839</v>
      </c>
      <c r="I955" s="0" t="str">
        <f aca="false">IF($G955="","Uncategorized — Review",IFERROR(INDEX(Mapping!$B:$B,MATCH($G955,Mapping!$A:$A,0)),"Uncategorized — Review"))</f>
        <v>Personal - Health (incl. Ins.)</v>
      </c>
      <c r="J955" s="0" t="str">
        <f aca="false">IF($G955="","Uncategorized — Review",IFERROR(INDEX(Mapping!$C:$C,MATCH($G955,Mapping!$A:$A,0)),"Uncategorized — Review"))</f>
        <v>Personal — Owner</v>
      </c>
    </row>
    <row r="956" customFormat="false" ht="15" hidden="false" customHeight="false" outlineLevel="0" collapsed="false">
      <c r="A956" s="0" t="str">
        <f aca="false">Chase1168_2025!A956</f>
        <v>DEBIT</v>
      </c>
      <c r="B956" s="14" t="n">
        <f aca="false">Chase1168_2025!B956</f>
        <v>45839</v>
      </c>
      <c r="C956" s="0" t="str">
        <f aca="false">Chase1168_2025!C956</f>
        <v>ORIG CO NAME:GEICO                  ORIG ID:3530075853 DESC DATE:250630 CO ENTRY DESCR:PREM COLL SEC:PPD    TRACE#:021000027420809 EED:250701   IND ID:                             IND NAME:ANGELA TRN: 1827420809TC</v>
      </c>
      <c r="D956" s="7" t="n">
        <f aca="false">Chase1168_2025!D956</f>
        <v>-824.4</v>
      </c>
      <c r="E956" s="0" t="str">
        <f aca="false">Chase1168_2025!E956</f>
        <v>ACH_DEBIT</v>
      </c>
      <c r="F956" s="7" t="n">
        <f aca="false">Chase1168_2025!F956</f>
        <v>19016.39</v>
      </c>
      <c r="G956" s="0" t="str">
        <f aca="false">Chase1168_2025!G956</f>
        <v>Personal - Car Insurance</v>
      </c>
      <c r="H956" s="15" t="n">
        <f aca="false">IF($B956="","",DATE(YEAR($B956),MONTH($B956),1))</f>
        <v>45839</v>
      </c>
      <c r="I956" s="0" t="str">
        <f aca="false">IF($G956="","Uncategorized — Review",IFERROR(INDEX(Mapping!$B:$B,MATCH($G956,Mapping!$A:$A,0)),"Uncategorized — Review"))</f>
        <v>Personal - Car &amp; Auto</v>
      </c>
      <c r="J956" s="0" t="str">
        <f aca="false">IF($G956="","Uncategorized — Review",IFERROR(INDEX(Mapping!$C:$C,MATCH($G956,Mapping!$A:$A,0)),"Uncategorized — Review"))</f>
        <v>Personal — Owner</v>
      </c>
    </row>
    <row r="957" customFormat="false" ht="15" hidden="false" customHeight="false" outlineLevel="0" collapsed="false">
      <c r="A957" s="0" t="str">
        <f aca="false">Chase1168_2025!A957</f>
        <v>DEBIT</v>
      </c>
      <c r="B957" s="14" t="n">
        <f aca="false">Chase1168_2025!B957</f>
        <v>45839</v>
      </c>
      <c r="C957" s="0" t="str">
        <f aca="false">Chase1168_2025!C957</f>
        <v>UPWORK * -822728565 866-262-4478 CA          06/30</v>
      </c>
      <c r="D957" s="7" t="n">
        <f aca="false">Chase1168_2025!D957</f>
        <v>-157.5</v>
      </c>
      <c r="E957" s="0" t="str">
        <f aca="false">Chase1168_2025!E957</f>
        <v>DEBIT_CARD</v>
      </c>
      <c r="F957" s="7" t="n">
        <f aca="false">Chase1168_2025!F957</f>
        <v>19840.79</v>
      </c>
      <c r="G957" s="0" t="str">
        <f aca="false">Chase1168_2025!G957</f>
        <v>Upwork - Sergei M.</v>
      </c>
      <c r="H957" s="15" t="n">
        <f aca="false">IF($B957="","",DATE(YEAR($B957),MONTH($B957),1))</f>
        <v>45839</v>
      </c>
      <c r="I957" s="0" t="str">
        <f aca="false">IF($G957="","Uncategorized — Review",IFERROR(INDEX(Mapping!$B:$B,MATCH($G957,Mapping!$A:$A,0)),"Uncategorized — Review"))</f>
        <v>Upwork - Sergei M.</v>
      </c>
      <c r="J957" s="0" t="str">
        <f aca="false">IF($G957="","Uncategorized — Review",IFERROR(INDEX(Mapping!$C:$C,MATCH($G957,Mapping!$A:$A,0)),"Uncategorized — Review"))</f>
        <v>Payroll &amp; Contractors</v>
      </c>
    </row>
    <row r="958" customFormat="false" ht="15" hidden="false" customHeight="false" outlineLevel="0" collapsed="false">
      <c r="A958" s="0" t="str">
        <f aca="false">Chase1168_2025!A958</f>
        <v>DEBIT</v>
      </c>
      <c r="B958" s="14" t="n">
        <f aca="false">Chase1168_2025!B958</f>
        <v>45839</v>
      </c>
      <c r="C958" s="0" t="str">
        <f aca="false">Chase1168_2025!C958</f>
        <v>PP*APPLE.COM/BILL 800-275-2273 CA            07/01</v>
      </c>
      <c r="D958" s="7" t="n">
        <f aca="false">Chase1168_2025!D958</f>
        <v>-8.99</v>
      </c>
      <c r="E958" s="0" t="str">
        <f aca="false">Chase1168_2025!E958</f>
        <v>DEBIT_CARD</v>
      </c>
      <c r="F958" s="7" t="n">
        <f aca="false">Chase1168_2025!F958</f>
        <v>19998.29</v>
      </c>
      <c r="G958" s="0" t="str">
        <f aca="false">Chase1168_2025!G958</f>
        <v>Personal - Subscriptions</v>
      </c>
      <c r="H958" s="15" t="n">
        <f aca="false">IF($B958="","",DATE(YEAR($B958),MONTH($B958),1))</f>
        <v>45839</v>
      </c>
      <c r="I958" s="0" t="str">
        <f aca="false">IF($G958="","Uncategorized — Review",IFERROR(INDEX(Mapping!$B:$B,MATCH($G958,Mapping!$A:$A,0)),"Uncategorized — Review"))</f>
        <v>Personal - Subscriptions</v>
      </c>
      <c r="J958" s="0" t="str">
        <f aca="false">IF($G958="","Uncategorized — Review",IFERROR(INDEX(Mapping!$C:$C,MATCH($G958,Mapping!$A:$A,0)),"Uncategorized — Review"))</f>
        <v>Personal — Owner</v>
      </c>
    </row>
    <row r="959" customFormat="false" ht="15" hidden="false" customHeight="false" outlineLevel="0" collapsed="false">
      <c r="A959" s="0" t="str">
        <f aca="false">Chase1168_2025!A959</f>
        <v>DEBIT</v>
      </c>
      <c r="B959" s="14" t="n">
        <f aca="false">Chase1168_2025!B959</f>
        <v>45838</v>
      </c>
      <c r="C959" s="0" t="str">
        <f aca="false">Chase1168_2025!C959</f>
        <v>ORIG CO NAME:VENMO                  ORIG ID:3264681992 DESC DATE:250628 CO ENTRY DESCR:PAYMENT   SEC:WEB    TRACE#:021000023516530 EED:250630   IND ID:1043167659093                IND NAME:JUDD DUNNING                                                                                                 250628PPZI0Y TRN: 1813516530TC</v>
      </c>
      <c r="D959" s="7" t="n">
        <f aca="false">Chase1168_2025!D959</f>
        <v>-100</v>
      </c>
      <c r="E959" s="0" t="str">
        <f aca="false">Chase1168_2025!E959</f>
        <v>ACH_DEBIT</v>
      </c>
      <c r="F959" s="7" t="n">
        <f aca="false">Chase1168_2025!F959</f>
        <v>20007.28</v>
      </c>
      <c r="G959" s="0" t="str">
        <f aca="false">Chase1168_2025!G959</f>
        <v>Venmo</v>
      </c>
      <c r="H959" s="15" t="n">
        <f aca="false">IF($B959="","",DATE(YEAR($B959),MONTH($B959),1))</f>
        <v>45809</v>
      </c>
      <c r="I959" s="0" t="str">
        <f aca="false">IF($G959="","Uncategorized — Review",IFERROR(INDEX(Mapping!$B:$B,MATCH($G959,Mapping!$A:$A,0)),"Uncategorized — Review"))</f>
        <v>Venmo</v>
      </c>
      <c r="J959" s="0" t="str">
        <f aca="false">IF($G959="","Uncategorized — Review",IFERROR(INDEX(Mapping!$C:$C,MATCH($G959,Mapping!$A:$A,0)),"Uncategorized — Review"))</f>
        <v>P2P Payments (Zelle/Venmo/PayPal)</v>
      </c>
    </row>
    <row r="960" customFormat="false" ht="15" hidden="false" customHeight="false" outlineLevel="0" collapsed="false">
      <c r="A960" s="0" t="str">
        <f aca="false">Chase1168_2025!A960</f>
        <v>DEBIT</v>
      </c>
      <c r="B960" s="14" t="n">
        <f aca="false">Chase1168_2025!B960</f>
        <v>45838</v>
      </c>
      <c r="C960" s="0" t="str">
        <f aca="false">Chase1168_2025!C960</f>
        <v>ORIG CO NAME:VENMO                  ORIG ID:3264681992 DESC DATE:250629 CO ENTRY DESCR:PAYMENT   SEC:WEB    TRACE#:021000024426290 EED:250630   IND ID:1043170264416                IND NAME:JUDD DUNNING                                                                                                 250629PPZJMX TRN: 1814426290TC</v>
      </c>
      <c r="D960" s="7" t="n">
        <f aca="false">Chase1168_2025!D960</f>
        <v>-120</v>
      </c>
      <c r="E960" s="0" t="str">
        <f aca="false">Chase1168_2025!E960</f>
        <v>ACH_DEBIT</v>
      </c>
      <c r="F960" s="7" t="n">
        <f aca="false">Chase1168_2025!F960</f>
        <v>20107.28</v>
      </c>
      <c r="G960" s="0" t="str">
        <f aca="false">Chase1168_2025!G960</f>
        <v>Venmo</v>
      </c>
      <c r="H960" s="15" t="n">
        <f aca="false">IF($B960="","",DATE(YEAR($B960),MONTH($B960),1))</f>
        <v>45809</v>
      </c>
      <c r="I960" s="0" t="str">
        <f aca="false">IF($G960="","Uncategorized — Review",IFERROR(INDEX(Mapping!$B:$B,MATCH($G960,Mapping!$A:$A,0)),"Uncategorized — Review"))</f>
        <v>Venmo</v>
      </c>
      <c r="J960" s="0" t="str">
        <f aca="false">IF($G960="","Uncategorized — Review",IFERROR(INDEX(Mapping!$C:$C,MATCH($G960,Mapping!$A:$A,0)),"Uncategorized — Review"))</f>
        <v>P2P Payments (Zelle/Venmo/PayPal)</v>
      </c>
    </row>
    <row r="961" customFormat="false" ht="15" hidden="false" customHeight="false" outlineLevel="0" collapsed="false">
      <c r="A961" s="0" t="str">
        <f aca="false">Chase1168_2025!A961</f>
        <v>DEBIT</v>
      </c>
      <c r="B961" s="14" t="n">
        <f aca="false">Chase1168_2025!B961</f>
        <v>45838</v>
      </c>
      <c r="C961" s="0" t="str">
        <f aca="false">Chase1168_2025!C961</f>
        <v>ORIG CO NAME:GEICO                  ORIG ID:3530075853 DESC DATE:250628 CO ENTRY DESCR:PREM COLL SEC:PPD    TRACE#:021000023731615 EED:250630   IND ID:                             IND NAME:ANGELA DUNNING TRN: 1813731615TC</v>
      </c>
      <c r="D961" s="7" t="n">
        <f aca="false">Chase1168_2025!D961</f>
        <v>-770.96</v>
      </c>
      <c r="E961" s="0" t="str">
        <f aca="false">Chase1168_2025!E961</f>
        <v>ACH_DEBIT</v>
      </c>
      <c r="F961" s="7" t="n">
        <f aca="false">Chase1168_2025!F961</f>
        <v>20227.28</v>
      </c>
      <c r="G961" s="0" t="str">
        <f aca="false">Chase1168_2025!G961</f>
        <v>Personal - Car Insurance</v>
      </c>
      <c r="H961" s="15" t="n">
        <f aca="false">IF($B961="","",DATE(YEAR($B961),MONTH($B961),1))</f>
        <v>45809</v>
      </c>
      <c r="I961" s="0" t="str">
        <f aca="false">IF($G961="","Uncategorized — Review",IFERROR(INDEX(Mapping!$B:$B,MATCH($G961,Mapping!$A:$A,0)),"Uncategorized — Review"))</f>
        <v>Personal - Car &amp; Auto</v>
      </c>
      <c r="J961" s="0" t="str">
        <f aca="false">IF($G961="","Uncategorized — Review",IFERROR(INDEX(Mapping!$C:$C,MATCH($G961,Mapping!$A:$A,0)),"Uncategorized — Review"))</f>
        <v>Personal — Owner</v>
      </c>
    </row>
    <row r="962" customFormat="false" ht="15" hidden="false" customHeight="false" outlineLevel="0" collapsed="false">
      <c r="A962" s="0" t="str">
        <f aca="false">Chase1168_2025!A962</f>
        <v>DEBIT</v>
      </c>
      <c r="B962" s="14" t="n">
        <f aca="false">Chase1168_2025!B962</f>
        <v>45838</v>
      </c>
      <c r="C962" s="0" t="str">
        <f aca="false">Chase1168_2025!C962</f>
        <v>ORIG CO NAME:VENMO                  ORIG ID:3264681992 DESC DATE:250628 CO ENTRY DESCR:PAYMENT   SEC:WEB    TRACE#:021000023541830 EED:250630   IND ID:1043153990491                IND NAME:JUDD DUNNING                                                                                                 250628PPZH4H TRN: 1813541830TC</v>
      </c>
      <c r="D962" s="7" t="n">
        <f aca="false">Chase1168_2025!D962</f>
        <v>-1250</v>
      </c>
      <c r="E962" s="0" t="str">
        <f aca="false">Chase1168_2025!E962</f>
        <v>ACH_DEBIT</v>
      </c>
      <c r="F962" s="7" t="n">
        <f aca="false">Chase1168_2025!F962</f>
        <v>20998.24</v>
      </c>
      <c r="G962" s="0" t="str">
        <f aca="false">Chase1168_2025!G962</f>
        <v>Venmo</v>
      </c>
      <c r="H962" s="15" t="n">
        <f aca="false">IF($B962="","",DATE(YEAR($B962),MONTH($B962),1))</f>
        <v>45809</v>
      </c>
      <c r="I962" s="0" t="str">
        <f aca="false">IF($G962="","Uncategorized — Review",IFERROR(INDEX(Mapping!$B:$B,MATCH($G962,Mapping!$A:$A,0)),"Uncategorized — Review"))</f>
        <v>Venmo</v>
      </c>
      <c r="J962" s="0" t="str">
        <f aca="false">IF($G962="","Uncategorized — Review",IFERROR(INDEX(Mapping!$C:$C,MATCH($G962,Mapping!$A:$A,0)),"Uncategorized — Review"))</f>
        <v>P2P Payments (Zelle/Venmo/PayPal)</v>
      </c>
    </row>
    <row r="963" customFormat="false" ht="15" hidden="false" customHeight="false" outlineLevel="0" collapsed="false">
      <c r="A963" s="0" t="str">
        <f aca="false">Chase1168_2025!A963</f>
        <v>DEBIT</v>
      </c>
      <c r="B963" s="14" t="n">
        <f aca="false">Chase1168_2025!B963</f>
        <v>45838</v>
      </c>
      <c r="C963" s="0" t="str">
        <f aca="false">Chase1168_2025!C963</f>
        <v>PAYPAL *UBER 866-576-1039 CA                 06/29</v>
      </c>
      <c r="D963" s="7" t="n">
        <f aca="false">Chase1168_2025!D963</f>
        <v>-40.2</v>
      </c>
      <c r="E963" s="0" t="str">
        <f aca="false">Chase1168_2025!E963</f>
        <v>DEBIT_CARD</v>
      </c>
      <c r="F963" s="7" t="n">
        <f aca="false">Chase1168_2025!F963</f>
        <v>22248.24</v>
      </c>
      <c r="G963" s="0" t="str">
        <f aca="false">Chase1168_2025!G963</f>
        <v>Personal - Car</v>
      </c>
      <c r="H963" s="15" t="n">
        <f aca="false">IF($B963="","",DATE(YEAR($B963),MONTH($B963),1))</f>
        <v>45809</v>
      </c>
      <c r="I963" s="0" t="str">
        <f aca="false">IF($G963="","Uncategorized — Review",IFERROR(INDEX(Mapping!$B:$B,MATCH($G963,Mapping!$A:$A,0)),"Uncategorized — Review"))</f>
        <v>Personal - Car &amp; Auto</v>
      </c>
      <c r="J963" s="0" t="str">
        <f aca="false">IF($G963="","Uncategorized — Review",IFERROR(INDEX(Mapping!$C:$C,MATCH($G963,Mapping!$A:$A,0)),"Uncategorized — Review"))</f>
        <v>Personal — Owner</v>
      </c>
    </row>
    <row r="964" customFormat="false" ht="15" hidden="false" customHeight="false" outlineLevel="0" collapsed="false">
      <c r="A964" s="0" t="str">
        <f aca="false">Chase1168_2025!A964</f>
        <v>DEBIT</v>
      </c>
      <c r="B964" s="14" t="n">
        <f aca="false">Chase1168_2025!B964</f>
        <v>45838</v>
      </c>
      <c r="C964" s="0" t="str">
        <f aca="false">Chase1168_2025!C964</f>
        <v>PAYPAL *UBER 866-576-1039 CA                 06/29</v>
      </c>
      <c r="D964" s="7" t="n">
        <f aca="false">Chase1168_2025!D964</f>
        <v>-4.6</v>
      </c>
      <c r="E964" s="0" t="str">
        <f aca="false">Chase1168_2025!E964</f>
        <v>DEBIT_CARD</v>
      </c>
      <c r="F964" s="7" t="n">
        <f aca="false">Chase1168_2025!F964</f>
        <v>22288.44</v>
      </c>
      <c r="G964" s="0" t="str">
        <f aca="false">Chase1168_2025!G964</f>
        <v>Personal - Car</v>
      </c>
      <c r="H964" s="15" t="n">
        <f aca="false">IF($B964="","",DATE(YEAR($B964),MONTH($B964),1))</f>
        <v>45809</v>
      </c>
      <c r="I964" s="0" t="str">
        <f aca="false">IF($G964="","Uncategorized — Review",IFERROR(INDEX(Mapping!$B:$B,MATCH($G964,Mapping!$A:$A,0)),"Uncategorized — Review"))</f>
        <v>Personal - Car &amp; Auto</v>
      </c>
      <c r="J964" s="0" t="str">
        <f aca="false">IF($G964="","Uncategorized — Review",IFERROR(INDEX(Mapping!$C:$C,MATCH($G964,Mapping!$A:$A,0)),"Uncategorized — Review"))</f>
        <v>Personal — Owner</v>
      </c>
    </row>
    <row r="965" customFormat="false" ht="15" hidden="false" customHeight="false" outlineLevel="0" collapsed="false">
      <c r="A965" s="0" t="str">
        <f aca="false">Chase1168_2025!A965</f>
        <v>DEBIT</v>
      </c>
      <c r="B965" s="14" t="n">
        <f aca="false">Chase1168_2025!B965</f>
        <v>45838</v>
      </c>
      <c r="C965" s="0" t="str">
        <f aca="false">Chase1168_2025!C965</f>
        <v>PAYPAL *UBER 866-576-1039 CA                 06/29</v>
      </c>
      <c r="D965" s="7" t="n">
        <f aca="false">Chase1168_2025!D965</f>
        <v>-46.03</v>
      </c>
      <c r="E965" s="0" t="str">
        <f aca="false">Chase1168_2025!E965</f>
        <v>DEBIT_CARD</v>
      </c>
      <c r="F965" s="7" t="n">
        <f aca="false">Chase1168_2025!F965</f>
        <v>22293.04</v>
      </c>
      <c r="G965" s="0" t="str">
        <f aca="false">Chase1168_2025!G965</f>
        <v>Personal - Car</v>
      </c>
      <c r="H965" s="15" t="n">
        <f aca="false">IF($B965="","",DATE(YEAR($B965),MONTH($B965),1))</f>
        <v>45809</v>
      </c>
      <c r="I965" s="0" t="str">
        <f aca="false">IF($G965="","Uncategorized — Review",IFERROR(INDEX(Mapping!$B:$B,MATCH($G965,Mapping!$A:$A,0)),"Uncategorized — Review"))</f>
        <v>Personal - Car &amp; Auto</v>
      </c>
      <c r="J965" s="0" t="str">
        <f aca="false">IF($G965="","Uncategorized — Review",IFERROR(INDEX(Mapping!$C:$C,MATCH($G965,Mapping!$A:$A,0)),"Uncategorized — Review"))</f>
        <v>Personal — Owner</v>
      </c>
    </row>
    <row r="966" customFormat="false" ht="15" hidden="false" customHeight="false" outlineLevel="0" collapsed="false">
      <c r="A966" s="0" t="str">
        <f aca="false">Chase1168_2025!A966</f>
        <v>DEBIT</v>
      </c>
      <c r="B966" s="14" t="n">
        <f aca="false">Chase1168_2025!B966</f>
        <v>45838</v>
      </c>
      <c r="C966" s="0" t="str">
        <f aca="false">Chase1168_2025!C966</f>
        <v>PP*APPLE.COM/BILL 800-275-2273 CA            06/28</v>
      </c>
      <c r="D966" s="7" t="n">
        <f aca="false">Chase1168_2025!D966</f>
        <v>-18.99</v>
      </c>
      <c r="E966" s="0" t="str">
        <f aca="false">Chase1168_2025!E966</f>
        <v>DEBIT_CARD</v>
      </c>
      <c r="F966" s="7" t="n">
        <f aca="false">Chase1168_2025!F966</f>
        <v>22339.07</v>
      </c>
      <c r="G966" s="0" t="str">
        <f aca="false">Chase1168_2025!G966</f>
        <v>Personal - Subscriptions</v>
      </c>
      <c r="H966" s="15" t="n">
        <f aca="false">IF($B966="","",DATE(YEAR($B966),MONTH($B966),1))</f>
        <v>45809</v>
      </c>
      <c r="I966" s="0" t="str">
        <f aca="false">IF($G966="","Uncategorized — Review",IFERROR(INDEX(Mapping!$B:$B,MATCH($G966,Mapping!$A:$A,0)),"Uncategorized — Review"))</f>
        <v>Personal - Subscriptions</v>
      </c>
      <c r="J966" s="0" t="str">
        <f aca="false">IF($G966="","Uncategorized — Review",IFERROR(INDEX(Mapping!$C:$C,MATCH($G966,Mapping!$A:$A,0)),"Uncategorized — Review"))</f>
        <v>Personal — Owner</v>
      </c>
    </row>
    <row r="967" customFormat="false" ht="15" hidden="false" customHeight="false" outlineLevel="0" collapsed="false">
      <c r="A967" s="0" t="str">
        <f aca="false">Chase1168_2025!A967</f>
        <v>DEBIT</v>
      </c>
      <c r="B967" s="14" t="n">
        <f aca="false">Chase1168_2025!B967</f>
        <v>45838</v>
      </c>
      <c r="C967" s="0" t="str">
        <f aca="false">Chase1168_2025!C967</f>
        <v>ORIG CO NAME:BANNER LIFE            ORIG ID:1521236145 DESC DATE:250627 CO ENTRY DESCR:PREM DEBITSEC:PPD    TRACE#:091000018613749 EED:250630   IND ID:                             IND NAME:ANGELA L DUNNING TRN: 1818613749TC</v>
      </c>
      <c r="D967" s="7" t="n">
        <f aca="false">Chase1168_2025!D967</f>
        <v>-12.5</v>
      </c>
      <c r="E967" s="0" t="str">
        <f aca="false">Chase1168_2025!E967</f>
        <v>ACH_DEBIT</v>
      </c>
      <c r="F967" s="7" t="n">
        <f aca="false">Chase1168_2025!F967</f>
        <v>22358.06</v>
      </c>
      <c r="G967" s="0" t="str">
        <f aca="false">Chase1168_2025!G967</f>
        <v>Personal - Life Insurance</v>
      </c>
      <c r="H967" s="15" t="n">
        <f aca="false">IF($B967="","",DATE(YEAR($B967),MONTH($B967),1))</f>
        <v>45809</v>
      </c>
      <c r="I967" s="0" t="str">
        <f aca="false">IF($G967="","Uncategorized — Review",IFERROR(INDEX(Mapping!$B:$B,MATCH($G967,Mapping!$A:$A,0)),"Uncategorized — Review"))</f>
        <v>Personal - Life Insurance</v>
      </c>
      <c r="J967" s="0" t="str">
        <f aca="false">IF($G967="","Uncategorized — Review",IFERROR(INDEX(Mapping!$C:$C,MATCH($G967,Mapping!$A:$A,0)),"Uncategorized — Review"))</f>
        <v>Personal — Owner</v>
      </c>
    </row>
    <row r="968" customFormat="false" ht="15" hidden="false" customHeight="false" outlineLevel="0" collapsed="false">
      <c r="A968" s="0" t="str">
        <f aca="false">Chase1168_2025!A968</f>
        <v>DEBIT</v>
      </c>
      <c r="B968" s="14" t="n">
        <f aca="false">Chase1168_2025!B968</f>
        <v>45838</v>
      </c>
      <c r="C968" s="0" t="str">
        <f aca="false">Chase1168_2025!C968</f>
        <v>ORIG CO NAME:BANNER LIFE            ORIG ID:1521236145 DESC DATE:250627 CO ENTRY DESCR:PREM DEBITSEC:PPD    TRACE#:091000018613750 EED:250630   IND ID:                             IND NAME:JOHN  DUNNING TRN: 1818613750TC</v>
      </c>
      <c r="D968" s="7" t="n">
        <f aca="false">Chase1168_2025!D968</f>
        <v>-22.92</v>
      </c>
      <c r="E968" s="0" t="str">
        <f aca="false">Chase1168_2025!E968</f>
        <v>ACH_DEBIT</v>
      </c>
      <c r="F968" s="7" t="n">
        <f aca="false">Chase1168_2025!F968</f>
        <v>22370.56</v>
      </c>
      <c r="G968" s="0" t="str">
        <f aca="false">Chase1168_2025!G968</f>
        <v>Personal - Life Insurance</v>
      </c>
      <c r="H968" s="15" t="n">
        <f aca="false">IF($B968="","",DATE(YEAR($B968),MONTH($B968),1))</f>
        <v>45809</v>
      </c>
      <c r="I968" s="0" t="str">
        <f aca="false">IF($G968="","Uncategorized — Review",IFERROR(INDEX(Mapping!$B:$B,MATCH($G968,Mapping!$A:$A,0)),"Uncategorized — Review"))</f>
        <v>Personal - Life Insurance</v>
      </c>
      <c r="J968" s="0" t="str">
        <f aca="false">IF($G968="","Uncategorized — Review",IFERROR(INDEX(Mapping!$C:$C,MATCH($G968,Mapping!$A:$A,0)),"Uncategorized — Review"))</f>
        <v>Personal — Owner</v>
      </c>
    </row>
    <row r="969" customFormat="false" ht="15" hidden="false" customHeight="false" outlineLevel="0" collapsed="false">
      <c r="A969" s="0" t="str">
        <f aca="false">Chase1168_2025!A969</f>
        <v>DEBIT</v>
      </c>
      <c r="B969" s="14" t="n">
        <f aca="false">Chase1168_2025!B969</f>
        <v>45838</v>
      </c>
      <c r="C969" s="0" t="str">
        <f aca="false">Chase1168_2025!C969</f>
        <v>ORIG CO NAME:SBA EIDL LOAN          ORIG ID:7300000118 DESC DATE:250627 CO ENTRY DESCR:PAYMENT   SEC:CCD    TRACE#:041036046336446 EED:250630   IND ID:0000                         IND NAME:JOHN DUNNING               1871308204                                                                        ACH TRANSACTION TRN: 1816336446TC</v>
      </c>
      <c r="D969" s="7" t="n">
        <f aca="false">Chase1168_2025!D969</f>
        <v>-2524</v>
      </c>
      <c r="E969" s="0" t="str">
        <f aca="false">Chase1168_2025!E969</f>
        <v>ACH_DEBIT</v>
      </c>
      <c r="F969" s="7" t="n">
        <f aca="false">Chase1168_2025!F969</f>
        <v>22393.48</v>
      </c>
      <c r="G969" s="0" t="str">
        <f aca="false">Chase1168_2025!G969</f>
        <v>SBC EIDL Loan</v>
      </c>
      <c r="H969" s="15" t="n">
        <f aca="false">IF($B969="","",DATE(YEAR($B969),MONTH($B969),1))</f>
        <v>45809</v>
      </c>
      <c r="I969" s="0" t="str">
        <f aca="false">IF($G969="","Uncategorized — Review",IFERROR(INDEX(Mapping!$B:$B,MATCH($G969,Mapping!$A:$A,0)),"Uncategorized — Review"))</f>
        <v>SBC EIDL Loan</v>
      </c>
      <c r="J969" s="0" t="str">
        <f aca="false">IF($G969="","Uncategorized — Review",IFERROR(INDEX(Mapping!$C:$C,MATCH($G969,Mapping!$A:$A,0)),"Uncategorized — Review"))</f>
        <v>Credit Card &amp; Loan Payments</v>
      </c>
    </row>
    <row r="970" customFormat="false" ht="15" hidden="false" customHeight="false" outlineLevel="0" collapsed="false">
      <c r="A970" s="0" t="str">
        <f aca="false">Chase1168_2025!A970</f>
        <v>DEBIT</v>
      </c>
      <c r="B970" s="14" t="n">
        <f aca="false">Chase1168_2025!B970</f>
        <v>45838</v>
      </c>
      <c r="C970" s="0" t="str">
        <f aca="false">Chase1168_2025!C970</f>
        <v>PAYPAL *GRUBHUBFOOD L 877-585-7878 IL        06/28</v>
      </c>
      <c r="D970" s="7" t="n">
        <f aca="false">Chase1168_2025!D970</f>
        <v>-60.6</v>
      </c>
      <c r="E970" s="0" t="str">
        <f aca="false">Chase1168_2025!E970</f>
        <v>DEBIT_CARD</v>
      </c>
      <c r="F970" s="7" t="n">
        <f aca="false">Chase1168_2025!F970</f>
        <v>24917.48</v>
      </c>
      <c r="G970" s="0" t="str">
        <f aca="false">Chase1168_2025!G970</f>
        <v>Personal - Food</v>
      </c>
      <c r="H970" s="15" t="n">
        <f aca="false">IF($B970="","",DATE(YEAR($B970),MONTH($B970),1))</f>
        <v>45809</v>
      </c>
      <c r="I970" s="0" t="str">
        <f aca="false">IF($G970="","Uncategorized — Review",IFERROR(INDEX(Mapping!$B:$B,MATCH($G970,Mapping!$A:$A,0)),"Uncategorized — Review"))</f>
        <v>Personal - Food &amp; Dining</v>
      </c>
      <c r="J970" s="0" t="str">
        <f aca="false">IF($G970="","Uncategorized — Review",IFERROR(INDEX(Mapping!$C:$C,MATCH($G970,Mapping!$A:$A,0)),"Uncategorized — Review"))</f>
        <v>Personal — Owner</v>
      </c>
    </row>
    <row r="971" customFormat="false" ht="15" hidden="false" customHeight="false" outlineLevel="0" collapsed="false">
      <c r="A971" s="0" t="str">
        <f aca="false">Chase1168_2025!A971</f>
        <v>DEBIT</v>
      </c>
      <c r="B971" s="14" t="n">
        <f aca="false">Chase1168_2025!B971</f>
        <v>45835</v>
      </c>
      <c r="C971" s="0" t="str">
        <f aca="false">Chase1168_2025!C971</f>
        <v>ORIG CO NAME:AMERICAN EXPRESS       ORIG ID:2005032111 DESC DATE:250627 CO ENTRY DESCR:ACH PMT   SEC:CCD    TRACE#:021000028437252 EED:250627   IND ID:A9736                        IND NAME:John Dunning                                                                                                 ER AM TRN: 1788437252TC</v>
      </c>
      <c r="D971" s="7" t="n">
        <f aca="false">Chase1168_2025!D971</f>
        <v>-1492.91</v>
      </c>
      <c r="E971" s="0" t="str">
        <f aca="false">Chase1168_2025!E971</f>
        <v>ACH_DEBIT</v>
      </c>
      <c r="F971" s="7" t="n">
        <f aca="false">Chase1168_2025!F971</f>
        <v>24978.08</v>
      </c>
      <c r="G971" s="0" t="str">
        <f aca="false">Chase1168_2025!G971</f>
        <v>American Express Credit Card PMT</v>
      </c>
      <c r="H971" s="15" t="n">
        <f aca="false">IF($B971="","",DATE(YEAR($B971),MONTH($B971),1))</f>
        <v>45809</v>
      </c>
      <c r="I971" s="0" t="str">
        <f aca="false">IF($G971="","Uncategorized — Review",IFERROR(INDEX(Mapping!$B:$B,MATCH($G971,Mapping!$A:$A,0)),"Uncategorized — Review"))</f>
        <v>American Express Credit Card PMT</v>
      </c>
      <c r="J971" s="0" t="str">
        <f aca="false">IF($G971="","Uncategorized — Review",IFERROR(INDEX(Mapping!$C:$C,MATCH($G971,Mapping!$A:$A,0)),"Uncategorized — Review"))</f>
        <v>Credit Card &amp; Loan Payments</v>
      </c>
    </row>
    <row r="972" customFormat="false" ht="15" hidden="false" customHeight="false" outlineLevel="0" collapsed="false">
      <c r="A972" s="0" t="str">
        <f aca="false">Chase1168_2025!A972</f>
        <v>DEBIT</v>
      </c>
      <c r="B972" s="14" t="n">
        <f aca="false">Chase1168_2025!B972</f>
        <v>45835</v>
      </c>
      <c r="C972" s="0" t="str">
        <f aca="false">Chase1168_2025!C972</f>
        <v>ORIG CO NAME:AMERICAN EXPRESS       ORIG ID:2005032111 DESC DATE:250627 CO ENTRY DESCR:ACH PMT   SEC:CCD    TRACE#:021000028437141 EED:250627   IND ID:A2890                        IND NAME:John Dunning                                                                                                 ER AM TRN: 1788437141TC</v>
      </c>
      <c r="D972" s="7" t="n">
        <f aca="false">Chase1168_2025!D972</f>
        <v>-2829.37</v>
      </c>
      <c r="E972" s="0" t="str">
        <f aca="false">Chase1168_2025!E972</f>
        <v>ACH_DEBIT</v>
      </c>
      <c r="F972" s="7" t="n">
        <f aca="false">Chase1168_2025!F972</f>
        <v>26470.99</v>
      </c>
      <c r="G972" s="0" t="str">
        <f aca="false">Chase1168_2025!G972</f>
        <v>American Express Credit Card PMT</v>
      </c>
      <c r="H972" s="15" t="n">
        <f aca="false">IF($B972="","",DATE(YEAR($B972),MONTH($B972),1))</f>
        <v>45809</v>
      </c>
      <c r="I972" s="0" t="str">
        <f aca="false">IF($G972="","Uncategorized — Review",IFERROR(INDEX(Mapping!$B:$B,MATCH($G972,Mapping!$A:$A,0)),"Uncategorized — Review"))</f>
        <v>American Express Credit Card PMT</v>
      </c>
      <c r="J972" s="0" t="str">
        <f aca="false">IF($G972="","Uncategorized — Review",IFERROR(INDEX(Mapping!$C:$C,MATCH($G972,Mapping!$A:$A,0)),"Uncategorized — Review"))</f>
        <v>Credit Card &amp; Loan Payments</v>
      </c>
    </row>
    <row r="973" customFormat="false" ht="15" hidden="false" customHeight="false" outlineLevel="0" collapsed="false">
      <c r="A973" s="0" t="str">
        <f aca="false">Chase1168_2025!A973</f>
        <v>DEBIT</v>
      </c>
      <c r="B973" s="14" t="n">
        <f aca="false">Chase1168_2025!B973</f>
        <v>45835</v>
      </c>
      <c r="C973" s="0" t="str">
        <f aca="false">Chase1168_2025!C973</f>
        <v>ORIG CO NAME:AMERICAN EXPRESS       ORIG ID:2005032111 DESC DATE:250627 CO ENTRY DESCR:ACH PMT   SEC:CCD    TRACE#:021000028437193 EED:250627   IND ID:A1598                        IND NAME:John Dunning                                                                                                 ER AM TRN: 1788437193TC</v>
      </c>
      <c r="D973" s="7" t="n">
        <f aca="false">Chase1168_2025!D973</f>
        <v>-11124</v>
      </c>
      <c r="E973" s="0" t="str">
        <f aca="false">Chase1168_2025!E973</f>
        <v>ACH_DEBIT</v>
      </c>
      <c r="F973" s="7" t="n">
        <f aca="false">Chase1168_2025!F973</f>
        <v>29300.36</v>
      </c>
      <c r="G973" s="0" t="str">
        <f aca="false">Chase1168_2025!G973</f>
        <v>American Express Credit Card PMT</v>
      </c>
      <c r="H973" s="15" t="n">
        <f aca="false">IF($B973="","",DATE(YEAR($B973),MONTH($B973),1))</f>
        <v>45809</v>
      </c>
      <c r="I973" s="0" t="str">
        <f aca="false">IF($G973="","Uncategorized — Review",IFERROR(INDEX(Mapping!$B:$B,MATCH($G973,Mapping!$A:$A,0)),"Uncategorized — Review"))</f>
        <v>American Express Credit Card PMT</v>
      </c>
      <c r="J973" s="0" t="str">
        <f aca="false">IF($G973="","Uncategorized — Review",IFERROR(INDEX(Mapping!$C:$C,MATCH($G973,Mapping!$A:$A,0)),"Uncategorized — Review"))</f>
        <v>Credit Card &amp; Loan Payments</v>
      </c>
    </row>
    <row r="974" customFormat="false" ht="15" hidden="false" customHeight="false" outlineLevel="0" collapsed="false">
      <c r="A974" s="0" t="str">
        <f aca="false">Chase1168_2025!A974</f>
        <v>DEBIT</v>
      </c>
      <c r="B974" s="14" t="n">
        <f aca="false">Chase1168_2025!B974</f>
        <v>45835</v>
      </c>
      <c r="C974" s="0" t="str">
        <f aca="false">Chase1168_2025!C974</f>
        <v>ORIG CO NAME:AMERICAN EXPRESS       ORIG ID:2005032111 DESC DATE:250627 CO ENTRY DESCR:ACH PMT   SEC:CCD    TRACE#:021000028437177 EED:250627   IND ID:A6214                        IND NAME:John Dunning                                                                                                 ER AM TRN: 1788437177TC</v>
      </c>
      <c r="D974" s="7" t="n">
        <f aca="false">Chase1168_2025!D974</f>
        <v>-11337.06</v>
      </c>
      <c r="E974" s="0" t="str">
        <f aca="false">Chase1168_2025!E974</f>
        <v>ACH_DEBIT</v>
      </c>
      <c r="F974" s="7" t="n">
        <f aca="false">Chase1168_2025!F974</f>
        <v>40424.36</v>
      </c>
      <c r="G974" s="0" t="str">
        <f aca="false">Chase1168_2025!G974</f>
        <v>American Express Credit Card PMT</v>
      </c>
      <c r="H974" s="15" t="n">
        <f aca="false">IF($B974="","",DATE(YEAR($B974),MONTH($B974),1))</f>
        <v>45809</v>
      </c>
      <c r="I974" s="0" t="str">
        <f aca="false">IF($G974="","Uncategorized — Review",IFERROR(INDEX(Mapping!$B:$B,MATCH($G974,Mapping!$A:$A,0)),"Uncategorized — Review"))</f>
        <v>American Express Credit Card PMT</v>
      </c>
      <c r="J974" s="0" t="str">
        <f aca="false">IF($G974="","Uncategorized — Review",IFERROR(INDEX(Mapping!$C:$C,MATCH($G974,Mapping!$A:$A,0)),"Uncategorized — Review"))</f>
        <v>Credit Card &amp; Loan Payments</v>
      </c>
    </row>
    <row r="975" customFormat="false" ht="15" hidden="false" customHeight="false" outlineLevel="0" collapsed="false">
      <c r="A975" s="0" t="str">
        <f aca="false">Chase1168_2025!A975</f>
        <v>DEBIT</v>
      </c>
      <c r="B975" s="14" t="n">
        <f aca="false">Chase1168_2025!B975</f>
        <v>45835</v>
      </c>
      <c r="C975" s="0" t="str">
        <f aca="false">Chase1168_2025!C975</f>
        <v>ORIG CO NAME:AMERICAN EXPRESS       ORIG ID:2005032111 DESC DATE:250627 CO ENTRY DESCR:ACH PMT   SEC:CCD    TRACE#:021000028437237 EED:250627   IND ID:A3064                        IND NAME:John Dunning                                                                                                 ER AM TRN: 1788437237TC</v>
      </c>
      <c r="D975" s="7" t="n">
        <f aca="false">Chase1168_2025!D975</f>
        <v>-37008.7</v>
      </c>
      <c r="E975" s="0" t="str">
        <f aca="false">Chase1168_2025!E975</f>
        <v>ACH_DEBIT</v>
      </c>
      <c r="F975" s="7" t="n">
        <f aca="false">Chase1168_2025!F975</f>
        <v>51761.42</v>
      </c>
      <c r="G975" s="0" t="str">
        <f aca="false">Chase1168_2025!G975</f>
        <v>American Express Credit Card PMT</v>
      </c>
      <c r="H975" s="15" t="n">
        <f aca="false">IF($B975="","",DATE(YEAR($B975),MONTH($B975),1))</f>
        <v>45809</v>
      </c>
      <c r="I975" s="0" t="str">
        <f aca="false">IF($G975="","Uncategorized — Review",IFERROR(INDEX(Mapping!$B:$B,MATCH($G975,Mapping!$A:$A,0)),"Uncategorized — Review"))</f>
        <v>American Express Credit Card PMT</v>
      </c>
      <c r="J975" s="0" t="str">
        <f aca="false">IF($G975="","Uncategorized — Review",IFERROR(INDEX(Mapping!$C:$C,MATCH($G975,Mapping!$A:$A,0)),"Uncategorized — Review"))</f>
        <v>Credit Card &amp; Loan Payments</v>
      </c>
    </row>
    <row r="976" customFormat="false" ht="15" hidden="false" customHeight="false" outlineLevel="0" collapsed="false">
      <c r="A976" s="0" t="str">
        <f aca="false">Chase1168_2025!A976</f>
        <v>DEBIT</v>
      </c>
      <c r="B976" s="14" t="n">
        <f aca="false">Chase1168_2025!B976</f>
        <v>45835</v>
      </c>
      <c r="C976" s="0" t="str">
        <f aca="false">Chase1168_2025!C976</f>
        <v>ORIG CO NAME:INTUIT *               ORIG ID:0000756346 DESC DATE:250627 CO ENTRY DESCR:QBooks OnlSEC:CCD    TRACE#:021000025241103 EED:250627   IND ID:1111288                      IND NAME:DWG CAPITAL GROUP                                                                                            800-446-8848 TRN: 1785241103TC</v>
      </c>
      <c r="D976" s="7" t="n">
        <f aca="false">Chase1168_2025!D976</f>
        <v>-104.35</v>
      </c>
      <c r="E976" s="0" t="str">
        <f aca="false">Chase1168_2025!E976</f>
        <v>ACH_DEBIT</v>
      </c>
      <c r="F976" s="7" t="n">
        <f aca="false">Chase1168_2025!F976</f>
        <v>88770.12</v>
      </c>
      <c r="G976" s="0" t="str">
        <f aca="false">Chase1168_2025!G976</f>
        <v>Software/Accounting</v>
      </c>
      <c r="H976" s="15" t="n">
        <f aca="false">IF($B976="","",DATE(YEAR($B976),MONTH($B976),1))</f>
        <v>45809</v>
      </c>
      <c r="I976" s="0" t="str">
        <f aca="false">IF($G976="","Uncategorized — Review",IFERROR(INDEX(Mapping!$B:$B,MATCH($G976,Mapping!$A:$A,0)),"Uncategorized — Review"))</f>
        <v>Software/Accounting</v>
      </c>
      <c r="J976" s="0" t="str">
        <f aca="false">IF($G976="","Uncategorized — Review",IFERROR(INDEX(Mapping!$C:$C,MATCH($G976,Mapping!$A:$A,0)),"Uncategorized — Review"))</f>
        <v>DWG Operating</v>
      </c>
    </row>
    <row r="977" customFormat="false" ht="15" hidden="false" customHeight="false" outlineLevel="0" collapsed="false">
      <c r="A977" s="0" t="str">
        <f aca="false">Chase1168_2025!A977</f>
        <v>DEBIT</v>
      </c>
      <c r="B977" s="14" t="n">
        <f aca="false">Chase1168_2025!B977</f>
        <v>45835</v>
      </c>
      <c r="C977" s="0" t="str">
        <f aca="false">Chase1168_2025!C977</f>
        <v>PAYPAL *UBER 866-576-1039 CA                 06/27</v>
      </c>
      <c r="D977" s="7" t="n">
        <f aca="false">Chase1168_2025!D977</f>
        <v>-7.96</v>
      </c>
      <c r="E977" s="0" t="str">
        <f aca="false">Chase1168_2025!E977</f>
        <v>DEBIT_CARD</v>
      </c>
      <c r="F977" s="7" t="n">
        <f aca="false">Chase1168_2025!F977</f>
        <v>88874.47</v>
      </c>
      <c r="G977" s="0" t="str">
        <f aca="false">Chase1168_2025!G977</f>
        <v>Personal - Car</v>
      </c>
      <c r="H977" s="15" t="n">
        <f aca="false">IF($B977="","",DATE(YEAR($B977),MONTH($B977),1))</f>
        <v>45809</v>
      </c>
      <c r="I977" s="0" t="str">
        <f aca="false">IF($G977="","Uncategorized — Review",IFERROR(INDEX(Mapping!$B:$B,MATCH($G977,Mapping!$A:$A,0)),"Uncategorized — Review"))</f>
        <v>Personal - Car &amp; Auto</v>
      </c>
      <c r="J977" s="0" t="str">
        <f aca="false">IF($G977="","Uncategorized — Review",IFERROR(INDEX(Mapping!$C:$C,MATCH($G977,Mapping!$A:$A,0)),"Uncategorized — Review"))</f>
        <v>Personal — Owner</v>
      </c>
    </row>
    <row r="978" customFormat="false" ht="15" hidden="false" customHeight="false" outlineLevel="0" collapsed="false">
      <c r="A978" s="0" t="str">
        <f aca="false">Chase1168_2025!A978</f>
        <v>DEBIT</v>
      </c>
      <c r="B978" s="14" t="n">
        <f aca="false">Chase1168_2025!B978</f>
        <v>45835</v>
      </c>
      <c r="C978" s="0" t="str">
        <f aca="false">Chase1168_2025!C978</f>
        <v>PP*APPLE.COM/BILL 800-275-2273 CA            06/27</v>
      </c>
      <c r="D978" s="7" t="n">
        <f aca="false">Chase1168_2025!D978</f>
        <v>-16.99</v>
      </c>
      <c r="E978" s="0" t="str">
        <f aca="false">Chase1168_2025!E978</f>
        <v>DEBIT_CARD</v>
      </c>
      <c r="F978" s="7" t="n">
        <f aca="false">Chase1168_2025!F978</f>
        <v>88882.43</v>
      </c>
      <c r="G978" s="0" t="str">
        <f aca="false">Chase1168_2025!G978</f>
        <v>Personal - Subscriptions</v>
      </c>
      <c r="H978" s="15" t="n">
        <f aca="false">IF($B978="","",DATE(YEAR($B978),MONTH($B978),1))</f>
        <v>45809</v>
      </c>
      <c r="I978" s="0" t="str">
        <f aca="false">IF($G978="","Uncategorized — Review",IFERROR(INDEX(Mapping!$B:$B,MATCH($G978,Mapping!$A:$A,0)),"Uncategorized — Review"))</f>
        <v>Personal - Subscriptions</v>
      </c>
      <c r="J978" s="0" t="str">
        <f aca="false">IF($G978="","Uncategorized — Review",IFERROR(INDEX(Mapping!$C:$C,MATCH($G978,Mapping!$A:$A,0)),"Uncategorized — Review"))</f>
        <v>Personal — Owner</v>
      </c>
    </row>
    <row r="979" customFormat="false" ht="15" hidden="false" customHeight="false" outlineLevel="0" collapsed="false">
      <c r="A979" s="0" t="str">
        <f aca="false">Chase1168_2025!A979</f>
        <v>DEBIT</v>
      </c>
      <c r="B979" s="14" t="n">
        <f aca="false">Chase1168_2025!B979</f>
        <v>45835</v>
      </c>
      <c r="C979" s="0" t="str">
        <f aca="false">Chase1168_2025!C979</f>
        <v>PAYPAL *CHEVYBENSON 402-935-7733 CA          06/27</v>
      </c>
      <c r="D979" s="7" t="n">
        <f aca="false">Chase1168_2025!D979</f>
        <v>-51.75</v>
      </c>
      <c r="E979" s="0" t="str">
        <f aca="false">Chase1168_2025!E979</f>
        <v>DEBIT_CARD</v>
      </c>
      <c r="F979" s="7" t="n">
        <f aca="false">Chase1168_2025!F979</f>
        <v>88899.42</v>
      </c>
      <c r="G979" s="0" t="str">
        <f aca="false">Chase1168_2025!G979</f>
        <v>Personal - Car</v>
      </c>
      <c r="H979" s="15" t="n">
        <f aca="false">IF($B979="","",DATE(YEAR($B979),MONTH($B979),1))</f>
        <v>45809</v>
      </c>
      <c r="I979" s="0" t="str">
        <f aca="false">IF($G979="","Uncategorized — Review",IFERROR(INDEX(Mapping!$B:$B,MATCH($G979,Mapping!$A:$A,0)),"Uncategorized — Review"))</f>
        <v>Personal - Car &amp; Auto</v>
      </c>
      <c r="J979" s="0" t="str">
        <f aca="false">IF($G979="","Uncategorized — Review",IFERROR(INDEX(Mapping!$C:$C,MATCH($G979,Mapping!$A:$A,0)),"Uncategorized — Review"))</f>
        <v>Personal — Owner</v>
      </c>
    </row>
    <row r="980" customFormat="false" ht="15" hidden="false" customHeight="false" outlineLevel="0" collapsed="false">
      <c r="A980" s="0" t="str">
        <f aca="false">Chase1168_2025!A980</f>
        <v>DEBIT</v>
      </c>
      <c r="B980" s="14" t="n">
        <f aca="false">Chase1168_2025!B980</f>
        <v>45835</v>
      </c>
      <c r="C980" s="0" t="str">
        <f aca="false">Chase1168_2025!C980</f>
        <v>PP*APPLE.COM/BILL 800-275-2273 CA            06/27</v>
      </c>
      <c r="D980" s="7" t="n">
        <f aca="false">Chase1168_2025!D980</f>
        <v>-9.99</v>
      </c>
      <c r="E980" s="0" t="str">
        <f aca="false">Chase1168_2025!E980</f>
        <v>DEBIT_CARD</v>
      </c>
      <c r="F980" s="7" t="n">
        <f aca="false">Chase1168_2025!F980</f>
        <v>88951.17</v>
      </c>
      <c r="G980" s="0" t="str">
        <f aca="false">Chase1168_2025!G980</f>
        <v>Personal - Subscriptions</v>
      </c>
      <c r="H980" s="15" t="n">
        <f aca="false">IF($B980="","",DATE(YEAR($B980),MONTH($B980),1))</f>
        <v>45809</v>
      </c>
      <c r="I980" s="0" t="str">
        <f aca="false">IF($G980="","Uncategorized — Review",IFERROR(INDEX(Mapping!$B:$B,MATCH($G980,Mapping!$A:$A,0)),"Uncategorized — Review"))</f>
        <v>Personal - Subscriptions</v>
      </c>
      <c r="J980" s="0" t="str">
        <f aca="false">IF($G980="","Uncategorized — Review",IFERROR(INDEX(Mapping!$C:$C,MATCH($G980,Mapping!$A:$A,0)),"Uncategorized — Review"))</f>
        <v>Personal — Owner</v>
      </c>
    </row>
    <row r="981" customFormat="false" ht="15" hidden="false" customHeight="false" outlineLevel="0" collapsed="false">
      <c r="A981" s="0" t="str">
        <f aca="false">Chase1168_2025!A981</f>
        <v>DEBIT</v>
      </c>
      <c r="B981" s="14" t="n">
        <f aca="false">Chase1168_2025!B981</f>
        <v>45834</v>
      </c>
      <c r="C981" s="0" t="str">
        <f aca="false">Chase1168_2025!C981</f>
        <v>Online Transfer to CHK ...6975 transaction#: 25262909719 06/26</v>
      </c>
      <c r="D981" s="7" t="n">
        <f aca="false">Chase1168_2025!D981</f>
        <v>-1000</v>
      </c>
      <c r="E981" s="0" t="str">
        <f aca="false">Chase1168_2025!E981</f>
        <v>ACCT_XFER</v>
      </c>
      <c r="F981" s="7" t="n">
        <f aca="false">Chase1168_2025!F981</f>
        <v>88961.16</v>
      </c>
      <c r="G981" s="0" t="str">
        <f aca="false">Chase1168_2025!G981</f>
        <v>Transfer to Ava Perez-Dunning</v>
      </c>
      <c r="H981" s="15" t="n">
        <f aca="false">IF($B981="","",DATE(YEAR($B981),MONTH($B981),1))</f>
        <v>45809</v>
      </c>
      <c r="I981" s="0" t="str">
        <f aca="false">IF($G981="","Uncategorized — Review",IFERROR(INDEX(Mapping!$B:$B,MATCH($G981,Mapping!$A:$A,0)),"Uncategorized — Review"))</f>
        <v>Transfer to Ava Perez-Dunning</v>
      </c>
      <c r="J981" s="0" t="str">
        <f aca="false">IF($G981="","Uncategorized — Review",IFERROR(INDEX(Mapping!$C:$C,MATCH($G981,Mapping!$A:$A,0)),"Uncategorized — Review"))</f>
        <v>Owner / Family Distributions</v>
      </c>
    </row>
    <row r="982" customFormat="false" ht="15" hidden="false" customHeight="false" outlineLevel="0" collapsed="false">
      <c r="A982" s="0" t="str">
        <f aca="false">Chase1168_2025!A982</f>
        <v>DEBIT</v>
      </c>
      <c r="B982" s="14" t="n">
        <f aca="false">Chase1168_2025!B982</f>
        <v>45834</v>
      </c>
      <c r="C982" s="0" t="str">
        <f aca="false">Chase1168_2025!C982</f>
        <v>Online Transfer to CHK ...1117 transaction#: 25262867466 06/26</v>
      </c>
      <c r="D982" s="7" t="n">
        <f aca="false">Chase1168_2025!D982</f>
        <v>-5000</v>
      </c>
      <c r="E982" s="0" t="str">
        <f aca="false">Chase1168_2025!E982</f>
        <v>ACCT_XFER</v>
      </c>
      <c r="F982" s="7" t="n">
        <f aca="false">Chase1168_2025!F982</f>
        <v>89961.16</v>
      </c>
      <c r="G982" s="0" t="str">
        <f aca="false">Chase1168_2025!G982</f>
        <v>Transfer to Angela Dunning</v>
      </c>
      <c r="H982" s="15" t="n">
        <f aca="false">IF($B982="","",DATE(YEAR($B982),MONTH($B982),1))</f>
        <v>45809</v>
      </c>
      <c r="I982" s="0" t="str">
        <f aca="false">IF($G982="","Uncategorized — Review",IFERROR(INDEX(Mapping!$B:$B,MATCH($G982,Mapping!$A:$A,0)),"Uncategorized — Review"))</f>
        <v>Transfer to Angela Dunning</v>
      </c>
      <c r="J982" s="0" t="str">
        <f aca="false">IF($G982="","Uncategorized — Review",IFERROR(INDEX(Mapping!$C:$C,MATCH($G982,Mapping!$A:$A,0)),"Uncategorized — Review"))</f>
        <v>Owner / Family Distributions</v>
      </c>
    </row>
    <row r="983" customFormat="false" ht="15" hidden="false" customHeight="false" outlineLevel="0" collapsed="false">
      <c r="A983" s="0" t="str">
        <f aca="false">Chase1168_2025!A983</f>
        <v>DEBIT</v>
      </c>
      <c r="B983" s="14" t="n">
        <f aca="false">Chase1168_2025!B983</f>
        <v>45834</v>
      </c>
      <c r="C983" s="0" t="str">
        <f aca="false">Chase1168_2025!C983</f>
        <v>Online Transfer to CHK ...7899 transaction#: 25262856489 06/26</v>
      </c>
      <c r="D983" s="7" t="n">
        <f aca="false">Chase1168_2025!D983</f>
        <v>-8000</v>
      </c>
      <c r="E983" s="0" t="str">
        <f aca="false">Chase1168_2025!E983</f>
        <v>ACCT_XFER</v>
      </c>
      <c r="F983" s="7" t="n">
        <f aca="false">Chase1168_2025!F983</f>
        <v>94961.16</v>
      </c>
      <c r="G983" s="0" t="str">
        <f aca="false">Chase1168_2025!G983</f>
        <v>Transfer to TX Personal Joint</v>
      </c>
      <c r="H983" s="15" t="n">
        <f aca="false">IF($B983="","",DATE(YEAR($B983),MONTH($B983),1))</f>
        <v>45809</v>
      </c>
      <c r="I983" s="0" t="str">
        <f aca="false">IF($G983="","Uncategorized — Review",IFERROR(INDEX(Mapping!$B:$B,MATCH($G983,Mapping!$A:$A,0)),"Uncategorized — Review"))</f>
        <v>Transfer to TX Personal Joint</v>
      </c>
      <c r="J983" s="0" t="str">
        <f aca="false">IF($G983="","Uncategorized — Review",IFERROR(INDEX(Mapping!$C:$C,MATCH($G983,Mapping!$A:$A,0)),"Uncategorized — Review"))</f>
        <v>Owner / Family Distributions</v>
      </c>
    </row>
    <row r="984" customFormat="false" ht="15" hidden="false" customHeight="false" outlineLevel="0" collapsed="false">
      <c r="A984" s="0" t="str">
        <f aca="false">Chase1168_2025!A984</f>
        <v>DEBIT</v>
      </c>
      <c r="B984" s="14" t="n">
        <f aca="false">Chase1168_2025!B984</f>
        <v>45834</v>
      </c>
      <c r="C984" s="0" t="str">
        <f aca="false">Chase1168_2025!C984</f>
        <v>Zelle payment to Jeffrey Seider JPM99bdi73m3</v>
      </c>
      <c r="D984" s="7" t="n">
        <f aca="false">Chase1168_2025!D984</f>
        <v>-200</v>
      </c>
      <c r="E984" s="0" t="str">
        <f aca="false">Chase1168_2025!E984</f>
        <v>CHASE_TO_PARTNERFI</v>
      </c>
      <c r="F984" s="7" t="n">
        <f aca="false">Chase1168_2025!F984</f>
        <v>102961.16</v>
      </c>
      <c r="G984" s="0" t="str">
        <f aca="false">Chase1168_2025!G984</f>
        <v>Zelle - Jeff Seider</v>
      </c>
      <c r="H984" s="15" t="n">
        <f aca="false">IF($B984="","",DATE(YEAR($B984),MONTH($B984),1))</f>
        <v>45809</v>
      </c>
      <c r="I984" s="0" t="str">
        <f aca="false">IF($G984="","Uncategorized — Review",IFERROR(INDEX(Mapping!$B:$B,MATCH($G984,Mapping!$A:$A,0)),"Uncategorized — Review"))</f>
        <v>Zelle - Jeff Seider</v>
      </c>
      <c r="J984" s="0" t="str">
        <f aca="false">IF($G984="","Uncategorized — Review",IFERROR(INDEX(Mapping!$C:$C,MATCH($G984,Mapping!$A:$A,0)),"Uncategorized — Review"))</f>
        <v>P2P Payments (Zelle/Venmo/PayPal)</v>
      </c>
    </row>
    <row r="985" customFormat="false" ht="15" hidden="false" customHeight="false" outlineLevel="0" collapsed="false">
      <c r="A985" s="0" t="str">
        <f aca="false">Chase1168_2025!A985</f>
        <v>DEBIT</v>
      </c>
      <c r="B985" s="14" t="n">
        <f aca="false">Chase1168_2025!B985</f>
        <v>45834</v>
      </c>
      <c r="C985" s="0" t="str">
        <f aca="false">Chase1168_2025!C985</f>
        <v>Disney Plus 888-9057888 CA                   06/26</v>
      </c>
      <c r="D985" s="7" t="n">
        <f aca="false">Chase1168_2025!D985</f>
        <v>-17.27</v>
      </c>
      <c r="E985" s="0" t="str">
        <f aca="false">Chase1168_2025!E985</f>
        <v>DEBIT_CARD</v>
      </c>
      <c r="F985" s="7" t="n">
        <f aca="false">Chase1168_2025!F985</f>
        <v>103161.16</v>
      </c>
      <c r="G985" s="0" t="str">
        <f aca="false">Chase1168_2025!G985</f>
        <v>Personal - Subscriptions</v>
      </c>
      <c r="H985" s="15" t="n">
        <f aca="false">IF($B985="","",DATE(YEAR($B985),MONTH($B985),1))</f>
        <v>45809</v>
      </c>
      <c r="I985" s="0" t="str">
        <f aca="false">IF($G985="","Uncategorized — Review",IFERROR(INDEX(Mapping!$B:$B,MATCH($G985,Mapping!$A:$A,0)),"Uncategorized — Review"))</f>
        <v>Personal - Subscriptions</v>
      </c>
      <c r="J985" s="0" t="str">
        <f aca="false">IF($G985="","Uncategorized — Review",IFERROR(INDEX(Mapping!$C:$C,MATCH($G985,Mapping!$A:$A,0)),"Uncategorized — Review"))</f>
        <v>Personal — Owner</v>
      </c>
    </row>
    <row r="986" customFormat="false" ht="15" hidden="false" customHeight="false" outlineLevel="0" collapsed="false">
      <c r="A986" s="0" t="str">
        <f aca="false">Chase1168_2025!A986</f>
        <v>DEBIT</v>
      </c>
      <c r="B986" s="14" t="n">
        <f aca="false">Chase1168_2025!B986</f>
        <v>45834</v>
      </c>
      <c r="C986" s="0" t="str">
        <f aca="false">Chase1168_2025!C986</f>
        <v>PAYPAL *UBER 866-576-1039 CA                 06/26</v>
      </c>
      <c r="D986" s="7" t="n">
        <f aca="false">Chase1168_2025!D986</f>
        <v>-53.06</v>
      </c>
      <c r="E986" s="0" t="str">
        <f aca="false">Chase1168_2025!E986</f>
        <v>DEBIT_CARD</v>
      </c>
      <c r="F986" s="7" t="n">
        <f aca="false">Chase1168_2025!F986</f>
        <v>103178.43</v>
      </c>
      <c r="G986" s="0" t="str">
        <f aca="false">Chase1168_2025!G986</f>
        <v>Personal - Car</v>
      </c>
      <c r="H986" s="15" t="n">
        <f aca="false">IF($B986="","",DATE(YEAR($B986),MONTH($B986),1))</f>
        <v>45809</v>
      </c>
      <c r="I986" s="0" t="str">
        <f aca="false">IF($G986="","Uncategorized — Review",IFERROR(INDEX(Mapping!$B:$B,MATCH($G986,Mapping!$A:$A,0)),"Uncategorized — Review"))</f>
        <v>Personal - Car &amp; Auto</v>
      </c>
      <c r="J986" s="0" t="str">
        <f aca="false">IF($G986="","Uncategorized — Review",IFERROR(INDEX(Mapping!$C:$C,MATCH($G986,Mapping!$A:$A,0)),"Uncategorized — Review"))</f>
        <v>Personal — Owner</v>
      </c>
    </row>
    <row r="987" customFormat="false" ht="15" hidden="false" customHeight="false" outlineLevel="0" collapsed="false">
      <c r="A987" s="0" t="str">
        <f aca="false">Chase1168_2025!A987</f>
        <v>DEBIT</v>
      </c>
      <c r="B987" s="14" t="n">
        <f aca="false">Chase1168_2025!B987</f>
        <v>45834</v>
      </c>
      <c r="C987" s="0" t="str">
        <f aca="false">Chase1168_2025!C987</f>
        <v>PAYPAL *UBER 866-576-1039 CA                 06/26</v>
      </c>
      <c r="D987" s="7" t="n">
        <f aca="false">Chase1168_2025!D987</f>
        <v>-2</v>
      </c>
      <c r="E987" s="0" t="str">
        <f aca="false">Chase1168_2025!E987</f>
        <v>DEBIT_CARD</v>
      </c>
      <c r="F987" s="7" t="n">
        <f aca="false">Chase1168_2025!F987</f>
        <v>103231.49</v>
      </c>
      <c r="G987" s="0" t="str">
        <f aca="false">Chase1168_2025!G987</f>
        <v>Personal - Car</v>
      </c>
      <c r="H987" s="15" t="n">
        <f aca="false">IF($B987="","",DATE(YEAR($B987),MONTH($B987),1))</f>
        <v>45809</v>
      </c>
      <c r="I987" s="0" t="str">
        <f aca="false">IF($G987="","Uncategorized — Review",IFERROR(INDEX(Mapping!$B:$B,MATCH($G987,Mapping!$A:$A,0)),"Uncategorized — Review"))</f>
        <v>Personal - Car &amp; Auto</v>
      </c>
      <c r="J987" s="0" t="str">
        <f aca="false">IF($G987="","Uncategorized — Review",IFERROR(INDEX(Mapping!$C:$C,MATCH($G987,Mapping!$A:$A,0)),"Uncategorized — Review"))</f>
        <v>Personal — Owner</v>
      </c>
    </row>
    <row r="988" customFormat="false" ht="15" hidden="false" customHeight="false" outlineLevel="0" collapsed="false">
      <c r="A988" s="0" t="str">
        <f aca="false">Chase1168_2025!A988</f>
        <v>DEBIT</v>
      </c>
      <c r="B988" s="14" t="n">
        <f aca="false">Chase1168_2025!B988</f>
        <v>45834</v>
      </c>
      <c r="C988" s="0" t="str">
        <f aca="false">Chase1168_2025!C988</f>
        <v>PP*APPLE.COM/BILL 800-275-2273 CA            06/25</v>
      </c>
      <c r="D988" s="7" t="n">
        <f aca="false">Chase1168_2025!D988</f>
        <v>-8.99</v>
      </c>
      <c r="E988" s="0" t="str">
        <f aca="false">Chase1168_2025!E988</f>
        <v>DEBIT_CARD</v>
      </c>
      <c r="F988" s="7" t="n">
        <f aca="false">Chase1168_2025!F988</f>
        <v>103233.49</v>
      </c>
      <c r="G988" s="0" t="str">
        <f aca="false">Chase1168_2025!G988</f>
        <v>Personal - Subscriptions</v>
      </c>
      <c r="H988" s="15" t="n">
        <f aca="false">IF($B988="","",DATE(YEAR($B988),MONTH($B988),1))</f>
        <v>45809</v>
      </c>
      <c r="I988" s="0" t="str">
        <f aca="false">IF($G988="","Uncategorized — Review",IFERROR(INDEX(Mapping!$B:$B,MATCH($G988,Mapping!$A:$A,0)),"Uncategorized — Review"))</f>
        <v>Personal - Subscriptions</v>
      </c>
      <c r="J988" s="0" t="str">
        <f aca="false">IF($G988="","Uncategorized — Review",IFERROR(INDEX(Mapping!$C:$C,MATCH($G988,Mapping!$A:$A,0)),"Uncategorized — Review"))</f>
        <v>Personal — Owner</v>
      </c>
    </row>
    <row r="989" customFormat="false" ht="15" hidden="false" customHeight="false" outlineLevel="0" collapsed="false">
      <c r="A989" s="0" t="str">
        <f aca="false">Chase1168_2025!A989</f>
        <v>DEBIT</v>
      </c>
      <c r="B989" s="14" t="n">
        <f aca="false">Chase1168_2025!B989</f>
        <v>45833</v>
      </c>
      <c r="C989" s="0" t="str">
        <f aca="false">Chase1168_2025!C989</f>
        <v>ONLINE DOMESTIC WIRE FEE</v>
      </c>
      <c r="D989" s="7" t="n">
        <f aca="false">Chase1168_2025!D989</f>
        <v>-25</v>
      </c>
      <c r="E989" s="0" t="str">
        <f aca="false">Chase1168_2025!E989</f>
        <v>FEE_TRANSACTION</v>
      </c>
      <c r="F989" s="7" t="n">
        <f aca="false">Chase1168_2025!F989</f>
        <v>103242.48</v>
      </c>
      <c r="G989" s="0" t="str">
        <f aca="false">Chase1168_2025!G989</f>
        <v>Wire Fee</v>
      </c>
      <c r="H989" s="15" t="n">
        <f aca="false">IF($B989="","",DATE(YEAR($B989),MONTH($B989),1))</f>
        <v>45809</v>
      </c>
      <c r="I989" s="0" t="str">
        <f aca="false">IF($G989="","Uncategorized — Review",IFERROR(INDEX(Mapping!$B:$B,MATCH($G989,Mapping!$A:$A,0)),"Uncategorized — Review"))</f>
        <v>Wire Fee</v>
      </c>
      <c r="J989" s="0" t="str">
        <f aca="false">IF($G989="","Uncategorized — Review",IFERROR(INDEX(Mapping!$C:$C,MATCH($G989,Mapping!$A:$A,0)),"Uncategorized — Review"))</f>
        <v>DWG Operating</v>
      </c>
    </row>
    <row r="990" customFormat="false" ht="15" hidden="false" customHeight="false" outlineLevel="0" collapsed="false">
      <c r="A990" s="0" t="str">
        <f aca="false">Chase1168_2025!A990</f>
        <v>DEBIT</v>
      </c>
      <c r="B990" s="14" t="n">
        <f aca="false">Chase1168_2025!B990</f>
        <v>45833</v>
      </c>
      <c r="C990" s="0" t="str">
        <f aca="false">Chase1168_2025!C990</f>
        <v>ONLINE DOMESTIC WIRE TRANSFER A/C: MAX E RODRIGUEZ JR OR SEABY D COTO DE CAZA CA 92679-5115 US REF: JUNE AND FINAL MO JULY RETAINER 10KFOR SPENT RETAINER CAPITAL CLAWBACK AND PERCEENTAGE FORWARD AS AGREED/A CC/4290705355 MAX RODRIGUEZ 19 CENT AURUS WAY TRABUCO CANYON CA 92579 U S TRN: 3059995176ES 06/25</v>
      </c>
      <c r="D990" s="7" t="n">
        <f aca="false">Chase1168_2025!D990</f>
        <v>-10000</v>
      </c>
      <c r="E990" s="0" t="str">
        <f aca="false">Chase1168_2025!E990</f>
        <v>WIRE_OUTGOING</v>
      </c>
      <c r="F990" s="7" t="n">
        <f aca="false">Chase1168_2025!F990</f>
        <v>103267.48</v>
      </c>
      <c r="G990" s="0" t="str">
        <f aca="false">Chase1168_2025!G990</f>
        <v>Max Rodriguez - Payroll</v>
      </c>
      <c r="H990" s="15" t="n">
        <f aca="false">IF($B990="","",DATE(YEAR($B990),MONTH($B990),1))</f>
        <v>45809</v>
      </c>
      <c r="I990" s="0" t="str">
        <f aca="false">IF($G990="","Uncategorized — Review",IFERROR(INDEX(Mapping!$B:$B,MATCH($G990,Mapping!$A:$A,0)),"Uncategorized — Review"))</f>
        <v>Max Rodriguez - Payroll</v>
      </c>
      <c r="J990" s="0" t="str">
        <f aca="false">IF($G990="","Uncategorized — Review",IFERROR(INDEX(Mapping!$C:$C,MATCH($G990,Mapping!$A:$A,0)),"Uncategorized — Review"))</f>
        <v>Payroll &amp; Contractors</v>
      </c>
    </row>
    <row r="991" customFormat="false" ht="15" hidden="false" customHeight="false" outlineLevel="0" collapsed="false">
      <c r="A991" s="0" t="str">
        <f aca="false">Chase1168_2025!A991</f>
        <v>DEBIT</v>
      </c>
      <c r="B991" s="14" t="n">
        <f aca="false">Chase1168_2025!B991</f>
        <v>45833</v>
      </c>
      <c r="C991" s="0" t="str">
        <f aca="false">Chase1168_2025!C991</f>
        <v>PAYPAL *CANVA 416-131-8870 DE                06/25</v>
      </c>
      <c r="D991" s="7" t="n">
        <f aca="false">Chase1168_2025!D991</f>
        <v>-12.99</v>
      </c>
      <c r="E991" s="0" t="str">
        <f aca="false">Chase1168_2025!E991</f>
        <v>DEBIT_CARD</v>
      </c>
      <c r="F991" s="7" t="n">
        <f aca="false">Chase1168_2025!F991</f>
        <v>113267.48</v>
      </c>
      <c r="G991" s="0" t="str">
        <f aca="false">Chase1168_2025!G991</f>
        <v>DWG Marketing</v>
      </c>
      <c r="H991" s="15" t="n">
        <f aca="false">IF($B991="","",DATE(YEAR($B991),MONTH($B991),1))</f>
        <v>45809</v>
      </c>
      <c r="I991" s="0" t="str">
        <f aca="false">IF($G991="","Uncategorized — Review",IFERROR(INDEX(Mapping!$B:$B,MATCH($G991,Mapping!$A:$A,0)),"Uncategorized — Review"))</f>
        <v>DWG Marketing</v>
      </c>
      <c r="J991" s="0" t="str">
        <f aca="false">IF($G991="","Uncategorized — Review",IFERROR(INDEX(Mapping!$C:$C,MATCH($G991,Mapping!$A:$A,0)),"Uncategorized — Review"))</f>
        <v>DWG Operating</v>
      </c>
    </row>
    <row r="992" customFormat="false" ht="15" hidden="false" customHeight="false" outlineLevel="0" collapsed="false">
      <c r="A992" s="0" t="str">
        <f aca="false">Chase1168_2025!A992</f>
        <v>DEBIT</v>
      </c>
      <c r="B992" s="14" t="n">
        <f aca="false">Chase1168_2025!B992</f>
        <v>45832</v>
      </c>
      <c r="C992" s="0" t="str">
        <f aca="false">Chase1168_2025!C992</f>
        <v>INDEED USI25-03297354 AUSTIN TX      072271  06/24</v>
      </c>
      <c r="D992" s="7" t="n">
        <f aca="false">Chase1168_2025!D992</f>
        <v>-500.27</v>
      </c>
      <c r="E992" s="0" t="str">
        <f aca="false">Chase1168_2025!E992</f>
        <v>DEBIT_CARD</v>
      </c>
      <c r="F992" s="7" t="n">
        <f aca="false">Chase1168_2025!F992</f>
        <v>113280.47</v>
      </c>
      <c r="G992" s="0" t="str">
        <f aca="false">Chase1168_2025!G992</f>
        <v>DWG HR</v>
      </c>
      <c r="H992" s="15" t="n">
        <f aca="false">IF($B992="","",DATE(YEAR($B992),MONTH($B992),1))</f>
        <v>45809</v>
      </c>
      <c r="I992" s="0" t="str">
        <f aca="false">IF($G992="","Uncategorized — Review",IFERROR(INDEX(Mapping!$B:$B,MATCH($G992,Mapping!$A:$A,0)),"Uncategorized — Review"))</f>
        <v>DWG HR</v>
      </c>
      <c r="J992" s="0" t="str">
        <f aca="false">IF($G992="","Uncategorized — Review",IFERROR(INDEX(Mapping!$C:$C,MATCH($G992,Mapping!$A:$A,0)),"Uncategorized — Review"))</f>
        <v>Payroll &amp; Contractors</v>
      </c>
    </row>
    <row r="993" customFormat="false" ht="15" hidden="false" customHeight="false" outlineLevel="0" collapsed="false">
      <c r="A993" s="0" t="str">
        <f aca="false">Chase1168_2025!A993</f>
        <v>DEBIT</v>
      </c>
      <c r="B993" s="14" t="n">
        <f aca="false">Chase1168_2025!B993</f>
        <v>45832</v>
      </c>
      <c r="C993" s="0" t="str">
        <f aca="false">Chase1168_2025!C993</f>
        <v>PAYPAL *SUCCESS B 402-935-7733 CA            06/24</v>
      </c>
      <c r="D993" s="7" t="n">
        <f aca="false">Chase1168_2025!D993</f>
        <v>-299</v>
      </c>
      <c r="E993" s="0" t="str">
        <f aca="false">Chase1168_2025!E993</f>
        <v>DEBIT_CARD</v>
      </c>
      <c r="F993" s="7" t="n">
        <f aca="false">Chase1168_2025!F993</f>
        <v>113780.74</v>
      </c>
      <c r="G993" s="0" t="str">
        <f aca="false">Chase1168_2025!G993</f>
        <v>PayPal</v>
      </c>
      <c r="H993" s="15" t="n">
        <f aca="false">IF($B993="","",DATE(YEAR($B993),MONTH($B993),1))</f>
        <v>45809</v>
      </c>
      <c r="I993" s="0" t="str">
        <f aca="false">IF($G993="","Uncategorized — Review",IFERROR(INDEX(Mapping!$B:$B,MATCH($G993,Mapping!$A:$A,0)),"Uncategorized — Review"))</f>
        <v>PayPal</v>
      </c>
      <c r="J993" s="0" t="str">
        <f aca="false">IF($G993="","Uncategorized — Review",IFERROR(INDEX(Mapping!$C:$C,MATCH($G993,Mapping!$A:$A,0)),"Uncategorized — Review"))</f>
        <v>P2P Payments (Zelle/Venmo/PayPal)</v>
      </c>
    </row>
    <row r="994" customFormat="false" ht="15" hidden="false" customHeight="false" outlineLevel="0" collapsed="false">
      <c r="A994" s="0" t="str">
        <f aca="false">Chase1168_2025!A994</f>
        <v>DEBIT</v>
      </c>
      <c r="B994" s="14" t="n">
        <f aca="false">Chase1168_2025!B994</f>
        <v>45832</v>
      </c>
      <c r="C994" s="0" t="str">
        <f aca="false">Chase1168_2025!C994</f>
        <v>UPWORK * -820520106 866-262-4478 CA          06/23</v>
      </c>
      <c r="D994" s="7" t="n">
        <f aca="false">Chase1168_2025!D994</f>
        <v>-813.75</v>
      </c>
      <c r="E994" s="0" t="str">
        <f aca="false">Chase1168_2025!E994</f>
        <v>DEBIT_CARD</v>
      </c>
      <c r="F994" s="7" t="n">
        <f aca="false">Chase1168_2025!F994</f>
        <v>114079.74</v>
      </c>
      <c r="G994" s="0" t="str">
        <f aca="false">Chase1168_2025!G994</f>
        <v>Upwork - Sergei M.</v>
      </c>
      <c r="H994" s="15" t="n">
        <f aca="false">IF($B994="","",DATE(YEAR($B994),MONTH($B994),1))</f>
        <v>45809</v>
      </c>
      <c r="I994" s="0" t="str">
        <f aca="false">IF($G994="","Uncategorized — Review",IFERROR(INDEX(Mapping!$B:$B,MATCH($G994,Mapping!$A:$A,0)),"Uncategorized — Review"))</f>
        <v>Upwork - Sergei M.</v>
      </c>
      <c r="J994" s="0" t="str">
        <f aca="false">IF($G994="","Uncategorized — Review",IFERROR(INDEX(Mapping!$C:$C,MATCH($G994,Mapping!$A:$A,0)),"Uncategorized — Review"))</f>
        <v>Payroll &amp; Contractors</v>
      </c>
    </row>
    <row r="995" customFormat="false" ht="15" hidden="false" customHeight="false" outlineLevel="0" collapsed="false">
      <c r="A995" s="0" t="str">
        <f aca="false">Chase1168_2025!A995</f>
        <v>DEBIT</v>
      </c>
      <c r="B995" s="14" t="n">
        <f aca="false">Chase1168_2025!B995</f>
        <v>45832</v>
      </c>
      <c r="C995" s="0" t="str">
        <f aca="false">Chase1168_2025!C995</f>
        <v>PP*APPLE.COM/BILL 800-275-2273 CA            06/24</v>
      </c>
      <c r="D995" s="7" t="n">
        <f aca="false">Chase1168_2025!D995</f>
        <v>-9.99</v>
      </c>
      <c r="E995" s="0" t="str">
        <f aca="false">Chase1168_2025!E995</f>
        <v>DEBIT_CARD</v>
      </c>
      <c r="F995" s="7" t="n">
        <f aca="false">Chase1168_2025!F995</f>
        <v>114893.49</v>
      </c>
      <c r="G995" s="0" t="str">
        <f aca="false">Chase1168_2025!G995</f>
        <v>Personal - Subscriptions</v>
      </c>
      <c r="H995" s="15" t="n">
        <f aca="false">IF($B995="","",DATE(YEAR($B995),MONTH($B995),1))</f>
        <v>45809</v>
      </c>
      <c r="I995" s="0" t="str">
        <f aca="false">IF($G995="","Uncategorized — Review",IFERROR(INDEX(Mapping!$B:$B,MATCH($G995,Mapping!$A:$A,0)),"Uncategorized — Review"))</f>
        <v>Personal - Subscriptions</v>
      </c>
      <c r="J995" s="0" t="str">
        <f aca="false">IF($G995="","Uncategorized — Review",IFERROR(INDEX(Mapping!$C:$C,MATCH($G995,Mapping!$A:$A,0)),"Uncategorized — Review"))</f>
        <v>Personal — Owner</v>
      </c>
    </row>
    <row r="996" customFormat="false" ht="15" hidden="false" customHeight="false" outlineLevel="0" collapsed="false">
      <c r="A996" s="0" t="str">
        <f aca="false">Chase1168_2025!A996</f>
        <v>DEBIT</v>
      </c>
      <c r="B996" s="14" t="n">
        <f aca="false">Chase1168_2025!B996</f>
        <v>45832</v>
      </c>
      <c r="C996" s="0" t="str">
        <f aca="false">Chase1168_2025!C996</f>
        <v>PAYPAL *LINKEDIN 402-935-7733 CA             06/23</v>
      </c>
      <c r="D996" s="7" t="n">
        <f aca="false">Chase1168_2025!D996</f>
        <v>-500.6</v>
      </c>
      <c r="E996" s="0" t="str">
        <f aca="false">Chase1168_2025!E996</f>
        <v>DEBIT_CARD</v>
      </c>
      <c r="F996" s="7" t="n">
        <f aca="false">Chase1168_2025!F996</f>
        <v>114903.48</v>
      </c>
      <c r="G996" s="0" t="str">
        <f aca="false">Chase1168_2025!G996</f>
        <v>DWG HR</v>
      </c>
      <c r="H996" s="15" t="n">
        <f aca="false">IF($B996="","",DATE(YEAR($B996),MONTH($B996),1))</f>
        <v>45809</v>
      </c>
      <c r="I996" s="0" t="str">
        <f aca="false">IF($G996="","Uncategorized — Review",IFERROR(INDEX(Mapping!$B:$B,MATCH($G996,Mapping!$A:$A,0)),"Uncategorized — Review"))</f>
        <v>DWG HR</v>
      </c>
      <c r="J996" s="0" t="str">
        <f aca="false">IF($G996="","Uncategorized — Review",IFERROR(INDEX(Mapping!$C:$C,MATCH($G996,Mapping!$A:$A,0)),"Uncategorized — Review"))</f>
        <v>Payroll &amp; Contractors</v>
      </c>
    </row>
    <row r="997" customFormat="false" ht="15" hidden="false" customHeight="false" outlineLevel="0" collapsed="false">
      <c r="A997" s="0" t="str">
        <f aca="false">Chase1168_2025!A997</f>
        <v>DEBIT</v>
      </c>
      <c r="B997" s="14" t="n">
        <f aca="false">Chase1168_2025!B997</f>
        <v>45831</v>
      </c>
      <c r="C997" s="0" t="str">
        <f aca="false">Chase1168_2025!C997</f>
        <v>DOMESTIC INCOMING WIRE FEE</v>
      </c>
      <c r="D997" s="7" t="n">
        <f aca="false">Chase1168_2025!D997</f>
        <v>-15</v>
      </c>
      <c r="E997" s="0" t="str">
        <f aca="false">Chase1168_2025!E997</f>
        <v>FEE_TRANSACTION</v>
      </c>
      <c r="F997" s="7" t="n">
        <f aca="false">Chase1168_2025!F997</f>
        <v>115404.08</v>
      </c>
      <c r="G997" s="0" t="str">
        <f aca="false">Chase1168_2025!G997</f>
        <v>Wire Fee</v>
      </c>
      <c r="H997" s="15" t="n">
        <f aca="false">IF($B997="","",DATE(YEAR($B997),MONTH($B997),1))</f>
        <v>45809</v>
      </c>
      <c r="I997" s="0" t="str">
        <f aca="false">IF($G997="","Uncategorized — Review",IFERROR(INDEX(Mapping!$B:$B,MATCH($G997,Mapping!$A:$A,0)),"Uncategorized — Review"))</f>
        <v>Wire Fee</v>
      </c>
      <c r="J997" s="0" t="str">
        <f aca="false">IF($G997="","Uncategorized — Review",IFERROR(INDEX(Mapping!$C:$C,MATCH($G997,Mapping!$A:$A,0)),"Uncategorized — Review"))</f>
        <v>DWG Operating</v>
      </c>
    </row>
    <row r="998" customFormat="false" ht="15" hidden="false" customHeight="false" outlineLevel="0" collapsed="false">
      <c r="A998" s="0" t="str">
        <f aca="false">Chase1168_2025!A998</f>
        <v>DEBIT</v>
      </c>
      <c r="B998" s="14" t="n">
        <f aca="false">Chase1168_2025!B998</f>
        <v>45831</v>
      </c>
      <c r="C998" s="0" t="str">
        <f aca="false">Chase1168_2025!C998</f>
        <v>ORIG CO NAME:VENMO                  ORIG ID:3264681992 DESC DATE:250623 CO ENTRY DESCR:PAYMENT   SEC:WEB    TRACE#:021000021817681 EED:250623   IND ID:1043064229739                IND NAME:JUDD DUNNING                                                                                                 250623PPZEME TRN: 1741817681TC</v>
      </c>
      <c r="D998" s="7" t="n">
        <f aca="false">Chase1168_2025!D998</f>
        <v>-100</v>
      </c>
      <c r="E998" s="0" t="str">
        <f aca="false">Chase1168_2025!E998</f>
        <v>ACH_DEBIT</v>
      </c>
      <c r="F998" s="7" t="n">
        <f aca="false">Chase1168_2025!F998</f>
        <v>115419.08</v>
      </c>
      <c r="G998" s="0" t="str">
        <f aca="false">Chase1168_2025!G998</f>
        <v>Venmo</v>
      </c>
      <c r="H998" s="15" t="n">
        <f aca="false">IF($B998="","",DATE(YEAR($B998),MONTH($B998),1))</f>
        <v>45809</v>
      </c>
      <c r="I998" s="0" t="str">
        <f aca="false">IF($G998="","Uncategorized — Review",IFERROR(INDEX(Mapping!$B:$B,MATCH($G998,Mapping!$A:$A,0)),"Uncategorized — Review"))</f>
        <v>Venmo</v>
      </c>
      <c r="J998" s="0" t="str">
        <f aca="false">IF($G998="","Uncategorized — Review",IFERROR(INDEX(Mapping!$C:$C,MATCH($G998,Mapping!$A:$A,0)),"Uncategorized — Review"))</f>
        <v>P2P Payments (Zelle/Venmo/PayPal)</v>
      </c>
    </row>
    <row r="999" customFormat="false" ht="15" hidden="false" customHeight="false" outlineLevel="0" collapsed="false">
      <c r="A999" s="0" t="str">
        <f aca="false">Chase1168_2025!A999</f>
        <v>DEBIT</v>
      </c>
      <c r="B999" s="14" t="n">
        <f aca="false">Chase1168_2025!B999</f>
        <v>45831</v>
      </c>
      <c r="C999" s="0" t="str">
        <f aca="false">Chase1168_2025!C999</f>
        <v>Zelle payment to Jeffrey Seider JPM99bd7otf2</v>
      </c>
      <c r="D999" s="7" t="n">
        <f aca="false">Chase1168_2025!D999</f>
        <v>-150</v>
      </c>
      <c r="E999" s="0" t="str">
        <f aca="false">Chase1168_2025!E999</f>
        <v>CHASE_TO_PARTNERFI</v>
      </c>
      <c r="F999" s="7" t="n">
        <f aca="false">Chase1168_2025!F999</f>
        <v>115519.08</v>
      </c>
      <c r="G999" s="0" t="str">
        <f aca="false">Chase1168_2025!G999</f>
        <v>Zelle - Jeff Seider</v>
      </c>
      <c r="H999" s="15" t="n">
        <f aca="false">IF($B999="","",DATE(YEAR($B999),MONTH($B999),1))</f>
        <v>45809</v>
      </c>
      <c r="I999" s="0" t="str">
        <f aca="false">IF($G999="","Uncategorized — Review",IFERROR(INDEX(Mapping!$B:$B,MATCH($G999,Mapping!$A:$A,0)),"Uncategorized — Review"))</f>
        <v>Zelle - Jeff Seider</v>
      </c>
      <c r="J999" s="0" t="str">
        <f aca="false">IF($G999="","Uncategorized — Review",IFERROR(INDEX(Mapping!$C:$C,MATCH($G999,Mapping!$A:$A,0)),"Uncategorized — Review"))</f>
        <v>P2P Payments (Zelle/Venmo/PayPal)</v>
      </c>
    </row>
    <row r="1000" customFormat="false" ht="15" hidden="false" customHeight="false" outlineLevel="0" collapsed="false">
      <c r="A1000" s="0" t="str">
        <f aca="false">Chase1168_2025!A1000</f>
        <v>DEBIT</v>
      </c>
      <c r="B1000" s="14" t="n">
        <f aca="false">Chase1168_2025!B1000</f>
        <v>45831</v>
      </c>
      <c r="C1000" s="0" t="str">
        <f aca="false">Chase1168_2025!C1000</f>
        <v>Zelle payment to Jeffrey Seider JPM99bd7p6m1</v>
      </c>
      <c r="D1000" s="7" t="n">
        <f aca="false">Chase1168_2025!D1000</f>
        <v>-100</v>
      </c>
      <c r="E1000" s="0" t="str">
        <f aca="false">Chase1168_2025!E1000</f>
        <v>CHASE_TO_PARTNERFI</v>
      </c>
      <c r="F1000" s="7" t="n">
        <f aca="false">Chase1168_2025!F1000</f>
        <v>115669.08</v>
      </c>
      <c r="G1000" s="0" t="str">
        <f aca="false">Chase1168_2025!G1000</f>
        <v>Zelle - Jeff Seider</v>
      </c>
      <c r="H1000" s="15" t="n">
        <f aca="false">IF($B1000="","",DATE(YEAR($B1000),MONTH($B1000),1))</f>
        <v>45809</v>
      </c>
      <c r="I1000" s="0" t="str">
        <f aca="false">IF($G1000="","Uncategorized — Review",IFERROR(INDEX(Mapping!$B:$B,MATCH($G1000,Mapping!$A:$A,0)),"Uncategorized — Review"))</f>
        <v>Zelle - Jeff Seider</v>
      </c>
      <c r="J1000" s="0" t="str">
        <f aca="false">IF($G1000="","Uncategorized — Review",IFERROR(INDEX(Mapping!$C:$C,MATCH($G1000,Mapping!$A:$A,0)),"Uncategorized — Review"))</f>
        <v>P2P Payments (Zelle/Venmo/PayPal)</v>
      </c>
    </row>
    <row r="1001" customFormat="false" ht="15" hidden="false" customHeight="false" outlineLevel="0" collapsed="false">
      <c r="A1001" s="0" t="str">
        <f aca="false">Chase1168_2025!A1001</f>
        <v>DEBIT</v>
      </c>
      <c r="B1001" s="14" t="n">
        <f aca="false">Chase1168_2025!B1001</f>
        <v>45831</v>
      </c>
      <c r="C1001" s="0" t="str">
        <f aca="false">Chase1168_2025!C1001</f>
        <v>Online Transfer to CHK ...1117 transaction#: 25232122097 06/23</v>
      </c>
      <c r="D1001" s="7" t="n">
        <f aca="false">Chase1168_2025!D1001</f>
        <v>-3000</v>
      </c>
      <c r="E1001" s="0" t="str">
        <f aca="false">Chase1168_2025!E1001</f>
        <v>ACCT_XFER</v>
      </c>
      <c r="F1001" s="7" t="n">
        <f aca="false">Chase1168_2025!F1001</f>
        <v>115769.08</v>
      </c>
      <c r="G1001" s="0" t="str">
        <f aca="false">Chase1168_2025!G1001</f>
        <v>Transfer to Angela Dunning</v>
      </c>
      <c r="H1001" s="15" t="n">
        <f aca="false">IF($B1001="","",DATE(YEAR($B1001),MONTH($B1001),1))</f>
        <v>45809</v>
      </c>
      <c r="I1001" s="0" t="str">
        <f aca="false">IF($G1001="","Uncategorized — Review",IFERROR(INDEX(Mapping!$B:$B,MATCH($G1001,Mapping!$A:$A,0)),"Uncategorized — Review"))</f>
        <v>Transfer to Angela Dunning</v>
      </c>
      <c r="J1001" s="0" t="str">
        <f aca="false">IF($G1001="","Uncategorized — Review",IFERROR(INDEX(Mapping!$C:$C,MATCH($G1001,Mapping!$A:$A,0)),"Uncategorized — Review"))</f>
        <v>Owner / Family Distributions</v>
      </c>
    </row>
    <row r="1002" customFormat="false" ht="15" hidden="false" customHeight="false" outlineLevel="0" collapsed="false">
      <c r="A1002" s="0" t="str">
        <f aca="false">Chase1168_2025!A1002</f>
        <v>DEBIT</v>
      </c>
      <c r="B1002" s="14" t="n">
        <f aca="false">Chase1168_2025!B1002</f>
        <v>45831</v>
      </c>
      <c r="C1002" s="0" t="str">
        <f aca="false">Chase1168_2025!C1002</f>
        <v>ORIG CO NAME:VENMO                  ORIG ID:3264681992 DESC DATE:250621 CO ENTRY DESCR:PAYMENT   SEC:WEB    TRACE#:021000025873144 EED:250623   IND ID:1043017321334                IND NAME:JUDD DUNNING                                                                                                 250621PPZ4UL TRN: 1745873144TC</v>
      </c>
      <c r="D1002" s="7" t="n">
        <f aca="false">Chase1168_2025!D1002</f>
        <v>-20</v>
      </c>
      <c r="E1002" s="0" t="str">
        <f aca="false">Chase1168_2025!E1002</f>
        <v>ACH_DEBIT</v>
      </c>
      <c r="F1002" s="7" t="n">
        <f aca="false">Chase1168_2025!F1002</f>
        <v>118769.08</v>
      </c>
      <c r="G1002" s="0" t="str">
        <f aca="false">Chase1168_2025!G1002</f>
        <v>Venmo</v>
      </c>
      <c r="H1002" s="15" t="n">
        <f aca="false">IF($B1002="","",DATE(YEAR($B1002),MONTH($B1002),1))</f>
        <v>45809</v>
      </c>
      <c r="I1002" s="0" t="str">
        <f aca="false">IF($G1002="","Uncategorized — Review",IFERROR(INDEX(Mapping!$B:$B,MATCH($G1002,Mapping!$A:$A,0)),"Uncategorized — Review"))</f>
        <v>Venmo</v>
      </c>
      <c r="J1002" s="0" t="str">
        <f aca="false">IF($G1002="","Uncategorized — Review",IFERROR(INDEX(Mapping!$C:$C,MATCH($G1002,Mapping!$A:$A,0)),"Uncategorized — Review"))</f>
        <v>P2P Payments (Zelle/Venmo/PayPal)</v>
      </c>
    </row>
    <row r="1003" customFormat="false" ht="15" hidden="false" customHeight="false" outlineLevel="0" collapsed="false">
      <c r="A1003" s="0" t="str">
        <f aca="false">Chase1168_2025!A1003</f>
        <v>DEBIT</v>
      </c>
      <c r="B1003" s="14" t="n">
        <f aca="false">Chase1168_2025!B1003</f>
        <v>45831</v>
      </c>
      <c r="C1003" s="0" t="str">
        <f aca="false">Chase1168_2025!C1003</f>
        <v>ORIG CO NAME:VENMO                  ORIG ID:3264681992 DESC DATE:250622 CO ENTRY DESCR:PAYMENT   SEC:WEB    TRACE#:021000026680458 EED:250623   IND ID:1043019164659                IND NAME:JUDD DUNNING                                                                                                 250622PPZ6GJ TRN: 1746680458TC</v>
      </c>
      <c r="D1003" s="7" t="n">
        <f aca="false">Chase1168_2025!D1003</f>
        <v>-1250</v>
      </c>
      <c r="E1003" s="0" t="str">
        <f aca="false">Chase1168_2025!E1003</f>
        <v>ACH_DEBIT</v>
      </c>
      <c r="F1003" s="7" t="n">
        <f aca="false">Chase1168_2025!F1003</f>
        <v>118789.08</v>
      </c>
      <c r="G1003" s="0" t="str">
        <f aca="false">Chase1168_2025!G1003</f>
        <v>Venmo</v>
      </c>
      <c r="H1003" s="15" t="n">
        <f aca="false">IF($B1003="","",DATE(YEAR($B1003),MONTH($B1003),1))</f>
        <v>45809</v>
      </c>
      <c r="I1003" s="0" t="str">
        <f aca="false">IF($G1003="","Uncategorized — Review",IFERROR(INDEX(Mapping!$B:$B,MATCH($G1003,Mapping!$A:$A,0)),"Uncategorized — Review"))</f>
        <v>Venmo</v>
      </c>
      <c r="J1003" s="0" t="str">
        <f aca="false">IF($G1003="","Uncategorized — Review",IFERROR(INDEX(Mapping!$C:$C,MATCH($G1003,Mapping!$A:$A,0)),"Uncategorized — Review"))</f>
        <v>P2P Payments (Zelle/Venmo/PayPal)</v>
      </c>
    </row>
    <row r="1004" customFormat="false" ht="15" hidden="false" customHeight="false" outlineLevel="0" collapsed="false">
      <c r="A1004" s="0" t="str">
        <f aca="false">Chase1168_2025!A1004</f>
        <v>DEBIT</v>
      </c>
      <c r="B1004" s="14" t="n">
        <f aca="false">Chase1168_2025!B1004</f>
        <v>45831</v>
      </c>
      <c r="C1004" s="0" t="str">
        <f aca="false">Chase1168_2025!C1004</f>
        <v>ORIG CO NAME:PRINCIPAL-CCAPNL       ORIG ID:9INDPNLEFT DESC DATE:061925 CO ENTRY DESCR:PRIN FINANSEC:PPD    TRACE#:091000010082163 EED:250623   IND ID:                             IND NAME:JOHN B DUNNING TRN: 1740082163TC</v>
      </c>
      <c r="D1004" s="7" t="n">
        <f aca="false">Chase1168_2025!D1004</f>
        <v>-331.54</v>
      </c>
      <c r="E1004" s="0" t="str">
        <f aca="false">Chase1168_2025!E1004</f>
        <v>ACH_DEBIT</v>
      </c>
      <c r="F1004" s="7" t="n">
        <f aca="false">Chase1168_2025!F1004</f>
        <v>120039.08</v>
      </c>
      <c r="G1004" s="0" t="str">
        <f aca="false">Chase1168_2025!G1004</f>
        <v>???</v>
      </c>
      <c r="H1004" s="15" t="n">
        <f aca="false">IF($B1004="","",DATE(YEAR($B1004),MONTH($B1004),1))</f>
        <v>45809</v>
      </c>
      <c r="I1004" s="0" t="str">
        <f aca="false">IF($G1004="","Uncategorized — Review",IFERROR(INDEX(Mapping!$B:$B,MATCH($G1004,Mapping!$A:$A,0)),"Uncategorized — Review"))</f>
        <v>???</v>
      </c>
      <c r="J1004" s="0" t="str">
        <f aca="false">IF($G1004="","Uncategorized — Review",IFERROR(INDEX(Mapping!$C:$C,MATCH($G1004,Mapping!$A:$A,0)),"Uncategorized — Review"))</f>
        <v>Uncategorized — Review</v>
      </c>
    </row>
    <row r="1005" customFormat="false" ht="15" hidden="false" customHeight="false" outlineLevel="0" collapsed="false">
      <c r="A1005" s="0" t="str">
        <f aca="false">Chase1168_2025!A1005</f>
        <v>DEBIT</v>
      </c>
      <c r="B1005" s="14" t="n">
        <f aca="false">Chase1168_2025!B1005</f>
        <v>45831</v>
      </c>
      <c r="C1005" s="0" t="str">
        <f aca="false">Chase1168_2025!C1005</f>
        <v>PAYPAL *SMALLPDF 4029357733                  06/21</v>
      </c>
      <c r="D1005" s="7" t="n">
        <f aca="false">Chase1168_2025!D1005</f>
        <v>-168</v>
      </c>
      <c r="E1005" s="0" t="str">
        <f aca="false">Chase1168_2025!E1005</f>
        <v>DEBIT_CARD</v>
      </c>
      <c r="F1005" s="7" t="n">
        <f aca="false">Chase1168_2025!F1005</f>
        <v>120370.62</v>
      </c>
      <c r="G1005" s="0" t="str">
        <f aca="false">Chase1168_2025!G1005</f>
        <v>DWG Subscription</v>
      </c>
      <c r="H1005" s="15" t="n">
        <f aca="false">IF($B1005="","",DATE(YEAR($B1005),MONTH($B1005),1))</f>
        <v>45809</v>
      </c>
      <c r="I1005" s="0" t="str">
        <f aca="false">IF($G1005="","Uncategorized — Review",IFERROR(INDEX(Mapping!$B:$B,MATCH($G1005,Mapping!$A:$A,0)),"Uncategorized — Review"))</f>
        <v>DWG Subscription</v>
      </c>
      <c r="J1005" s="0" t="str">
        <f aca="false">IF($G1005="","Uncategorized — Review",IFERROR(INDEX(Mapping!$C:$C,MATCH($G1005,Mapping!$A:$A,0)),"Uncategorized — Review"))</f>
        <v>DWG Operating</v>
      </c>
    </row>
    <row r="1006" customFormat="false" ht="15" hidden="false" customHeight="false" outlineLevel="0" collapsed="false">
      <c r="A1006" s="0" t="str">
        <f aca="false">Chase1168_2025!A1006</f>
        <v>DEBIT</v>
      </c>
      <c r="B1006" s="14" t="n">
        <f aca="false">Chase1168_2025!B1006</f>
        <v>45831</v>
      </c>
      <c r="C1006" s="0" t="str">
        <f aca="false">Chase1168_2025!C1006</f>
        <v>PP*APPLE.COM/BILL 800-275-2273 CA            06/20</v>
      </c>
      <c r="D1006" s="7" t="n">
        <f aca="false">Chase1168_2025!D1006</f>
        <v>-3.99</v>
      </c>
      <c r="E1006" s="0" t="str">
        <f aca="false">Chase1168_2025!E1006</f>
        <v>DEBIT_CARD</v>
      </c>
      <c r="F1006" s="7" t="n">
        <f aca="false">Chase1168_2025!F1006</f>
        <v>120538.62</v>
      </c>
      <c r="G1006" s="0" t="str">
        <f aca="false">Chase1168_2025!G1006</f>
        <v>Personal - Subscriptions</v>
      </c>
      <c r="H1006" s="15" t="n">
        <f aca="false">IF($B1006="","",DATE(YEAR($B1006),MONTH($B1006),1))</f>
        <v>45809</v>
      </c>
      <c r="I1006" s="0" t="str">
        <f aca="false">IF($G1006="","Uncategorized — Review",IFERROR(INDEX(Mapping!$B:$B,MATCH($G1006,Mapping!$A:$A,0)),"Uncategorized — Review"))</f>
        <v>Personal - Subscriptions</v>
      </c>
      <c r="J1006" s="0" t="str">
        <f aca="false">IF($G1006="","Uncategorized — Review",IFERROR(INDEX(Mapping!$C:$C,MATCH($G1006,Mapping!$A:$A,0)),"Uncategorized — Review"))</f>
        <v>Personal — Owner</v>
      </c>
    </row>
    <row r="1007" customFormat="false" ht="15" hidden="false" customHeight="false" outlineLevel="0" collapsed="false">
      <c r="A1007" s="0" t="str">
        <f aca="false">Chase1168_2025!A1007</f>
        <v>DEBIT</v>
      </c>
      <c r="B1007" s="14" t="n">
        <f aca="false">Chase1168_2025!B1007</f>
        <v>45831</v>
      </c>
      <c r="C1007" s="0" t="str">
        <f aca="false">Chase1168_2025!C1007</f>
        <v>PAYPAL *BEENVERIFIE 786-482-6776 NY          06/21</v>
      </c>
      <c r="D1007" s="7" t="n">
        <f aca="false">Chase1168_2025!D1007</f>
        <v>-26.89</v>
      </c>
      <c r="E1007" s="0" t="str">
        <f aca="false">Chase1168_2025!E1007</f>
        <v>DEBIT_CARD</v>
      </c>
      <c r="F1007" s="7" t="n">
        <f aca="false">Chase1168_2025!F1007</f>
        <v>120542.61</v>
      </c>
      <c r="G1007" s="0" t="str">
        <f aca="false">Chase1168_2025!G1007</f>
        <v>Personal - Subscriptions</v>
      </c>
      <c r="H1007" s="15" t="n">
        <f aca="false">IF($B1007="","",DATE(YEAR($B1007),MONTH($B1007),1))</f>
        <v>45809</v>
      </c>
      <c r="I1007" s="0" t="str">
        <f aca="false">IF($G1007="","Uncategorized — Review",IFERROR(INDEX(Mapping!$B:$B,MATCH($G1007,Mapping!$A:$A,0)),"Uncategorized — Review"))</f>
        <v>Personal - Subscriptions</v>
      </c>
      <c r="J1007" s="0" t="str">
        <f aca="false">IF($G1007="","Uncategorized — Review",IFERROR(INDEX(Mapping!$C:$C,MATCH($G1007,Mapping!$A:$A,0)),"Uncategorized — Review"))</f>
        <v>Personal — Owner</v>
      </c>
    </row>
    <row r="1008" customFormat="false" ht="15" hidden="false" customHeight="false" outlineLevel="0" collapsed="false">
      <c r="A1008" s="0" t="str">
        <f aca="false">Chase1168_2025!A1008</f>
        <v>CREDIT</v>
      </c>
      <c r="B1008" s="14" t="n">
        <f aca="false">Chase1168_2025!B1008</f>
        <v>45831</v>
      </c>
      <c r="C1008" s="0" t="str">
        <f aca="false">Chase1168_2025!C1008</f>
        <v>FEDWIRE CREDIT VIA: ALPINE BANK/102103407 B/O: LAND TITLE GUARANTEE COMPANY DENVER CO 80217-5440 REF: CHASE NYC/CTR/BNF=DWG CAPITAL GROUP LOS ANGELES CA 90066-3638 US/AC-00 0000002836 RFB=O/B ALPINE GLENW OBI =LOAN FINANCING COMMISSION AGREEMEN T FOR 500 FRANCIS, ASPEN WITH MAG C A PITAL GROUP IMAD: 0623MMQFMPJ3000053 TRN: 0666481174FF</v>
      </c>
      <c r="D1008" s="7" t="n">
        <f aca="false">Chase1168_2025!D1008</f>
        <v>87850</v>
      </c>
      <c r="E1008" s="0" t="str">
        <f aca="false">Chase1168_2025!E1008</f>
        <v>WIRE_INCOMING</v>
      </c>
      <c r="F1008" s="7" t="n">
        <f aca="false">Chase1168_2025!F1008</f>
        <v>120569.5</v>
      </c>
      <c r="G1008" s="0" t="str">
        <f aca="false">Chase1168_2025!G1008</f>
        <v>DWG Commission - Aspen</v>
      </c>
      <c r="H1008" s="15" t="n">
        <f aca="false">IF($B1008="","",DATE(YEAR($B1008),MONTH($B1008),1))</f>
        <v>45809</v>
      </c>
      <c r="I1008" s="0" t="str">
        <f aca="false">IF($G1008="","Uncategorized — Review",IFERROR(INDEX(Mapping!$B:$B,MATCH($G1008,Mapping!$A:$A,0)),"Uncategorized — Review"))</f>
        <v>Incoming Commission: Aspen</v>
      </c>
      <c r="J1008" s="0" t="str">
        <f aca="false">IF($G1008="","Uncategorized — Review",IFERROR(INDEX(Mapping!$C:$C,MATCH($G1008,Mapping!$A:$A,0)),"Uncategorized — Review"))</f>
        <v>Commissions — Incoming</v>
      </c>
    </row>
    <row r="1009" customFormat="false" ht="15" hidden="false" customHeight="false" outlineLevel="0" collapsed="false">
      <c r="A1009" s="0" t="str">
        <f aca="false">Chase1168_2025!A1009</f>
        <v>DEBIT</v>
      </c>
      <c r="B1009" s="14" t="n">
        <f aca="false">Chase1168_2025!B1009</f>
        <v>45828</v>
      </c>
      <c r="C1009" s="0" t="str">
        <f aca="false">Chase1168_2025!C1009</f>
        <v>ORIG CO NAME:VENMO                  ORIG ID:3264681992 DESC DATE:250620 CO ENTRY DESCR:PAYMENT   SEC:WEB    TRACE#:021000027464864 EED:250620   IND ID:1043001499084                IND NAME:JUDD DUNNING                                                                                                 250620PPZ2WJ TRN: 1717464864TC</v>
      </c>
      <c r="D1009" s="7" t="n">
        <f aca="false">Chase1168_2025!D1009</f>
        <v>-240</v>
      </c>
      <c r="E1009" s="0" t="str">
        <f aca="false">Chase1168_2025!E1009</f>
        <v>ACH_DEBIT</v>
      </c>
      <c r="F1009" s="7" t="n">
        <f aca="false">Chase1168_2025!F1009</f>
        <v>32719.5</v>
      </c>
      <c r="G1009" s="0" t="str">
        <f aca="false">Chase1168_2025!G1009</f>
        <v>Venmo</v>
      </c>
      <c r="H1009" s="15" t="n">
        <f aca="false">IF($B1009="","",DATE(YEAR($B1009),MONTH($B1009),1))</f>
        <v>45809</v>
      </c>
      <c r="I1009" s="0" t="str">
        <f aca="false">IF($G1009="","Uncategorized — Review",IFERROR(INDEX(Mapping!$B:$B,MATCH($G1009,Mapping!$A:$A,0)),"Uncategorized — Review"))</f>
        <v>Venmo</v>
      </c>
      <c r="J1009" s="0" t="str">
        <f aca="false">IF($G1009="","Uncategorized — Review",IFERROR(INDEX(Mapping!$C:$C,MATCH($G1009,Mapping!$A:$A,0)),"Uncategorized — Review"))</f>
        <v>P2P Payments (Zelle/Venmo/PayPal)</v>
      </c>
    </row>
    <row r="1010" customFormat="false" ht="15" hidden="false" customHeight="false" outlineLevel="0" collapsed="false">
      <c r="A1010" s="0" t="str">
        <f aca="false">Chase1168_2025!A1010</f>
        <v>DEBIT</v>
      </c>
      <c r="B1010" s="14" t="n">
        <f aca="false">Chase1168_2025!B1010</f>
        <v>45828</v>
      </c>
      <c r="C1010" s="0" t="str">
        <f aca="false">Chase1168_2025!C1010</f>
        <v>Online Transfer to CHK ...1117 transaction#: 25200276037 06/20</v>
      </c>
      <c r="D1010" s="7" t="n">
        <f aca="false">Chase1168_2025!D1010</f>
        <v>-3000</v>
      </c>
      <c r="E1010" s="0" t="str">
        <f aca="false">Chase1168_2025!E1010</f>
        <v>ACCT_XFER</v>
      </c>
      <c r="F1010" s="7" t="n">
        <f aca="false">Chase1168_2025!F1010</f>
        <v>32959.5</v>
      </c>
      <c r="G1010" s="0" t="str">
        <f aca="false">Chase1168_2025!G1010</f>
        <v>Transfer to Angela Dunning</v>
      </c>
      <c r="H1010" s="15" t="n">
        <f aca="false">IF($B1010="","",DATE(YEAR($B1010),MONTH($B1010),1))</f>
        <v>45809</v>
      </c>
      <c r="I1010" s="0" t="str">
        <f aca="false">IF($G1010="","Uncategorized — Review",IFERROR(INDEX(Mapping!$B:$B,MATCH($G1010,Mapping!$A:$A,0)),"Uncategorized — Review"))</f>
        <v>Transfer to Angela Dunning</v>
      </c>
      <c r="J1010" s="0" t="str">
        <f aca="false">IF($G1010="","Uncategorized — Review",IFERROR(INDEX(Mapping!$C:$C,MATCH($G1010,Mapping!$A:$A,0)),"Uncategorized — Review"))</f>
        <v>Owner / Family Distributions</v>
      </c>
    </row>
    <row r="1011" customFormat="false" ht="15" hidden="false" customHeight="false" outlineLevel="0" collapsed="false">
      <c r="A1011" s="0" t="str">
        <f aca="false">Chase1168_2025!A1011</f>
        <v>DEBIT</v>
      </c>
      <c r="B1011" s="14" t="n">
        <f aca="false">Chase1168_2025!B1011</f>
        <v>45828</v>
      </c>
      <c r="C1011" s="0" t="str">
        <f aca="false">Chase1168_2025!C1011</f>
        <v>Zelle payment to Jeffrey Seider JPM99bcuvr90</v>
      </c>
      <c r="D1011" s="7" t="n">
        <f aca="false">Chase1168_2025!D1011</f>
        <v>-100</v>
      </c>
      <c r="E1011" s="0" t="str">
        <f aca="false">Chase1168_2025!E1011</f>
        <v>CHASE_TO_PARTNERFI</v>
      </c>
      <c r="F1011" s="7" t="n">
        <f aca="false">Chase1168_2025!F1011</f>
        <v>35959.5</v>
      </c>
      <c r="G1011" s="0" t="str">
        <f aca="false">Chase1168_2025!G1011</f>
        <v>Zelle - Jeff Seider</v>
      </c>
      <c r="H1011" s="15" t="n">
        <f aca="false">IF($B1011="","",DATE(YEAR($B1011),MONTH($B1011),1))</f>
        <v>45809</v>
      </c>
      <c r="I1011" s="0" t="str">
        <f aca="false">IF($G1011="","Uncategorized — Review",IFERROR(INDEX(Mapping!$B:$B,MATCH($G1011,Mapping!$A:$A,0)),"Uncategorized — Review"))</f>
        <v>Zelle - Jeff Seider</v>
      </c>
      <c r="J1011" s="0" t="str">
        <f aca="false">IF($G1011="","Uncategorized — Review",IFERROR(INDEX(Mapping!$C:$C,MATCH($G1011,Mapping!$A:$A,0)),"Uncategorized — Review"))</f>
        <v>P2P Payments (Zelle/Venmo/PayPal)</v>
      </c>
    </row>
    <row r="1012" customFormat="false" ht="15" hidden="false" customHeight="false" outlineLevel="0" collapsed="false">
      <c r="A1012" s="0" t="str">
        <f aca="false">Chase1168_2025!A1012</f>
        <v>DEBIT</v>
      </c>
      <c r="B1012" s="14" t="n">
        <f aca="false">Chase1168_2025!B1012</f>
        <v>45828</v>
      </c>
      <c r="C1012" s="0" t="str">
        <f aca="false">Chase1168_2025!C1012</f>
        <v>ORIG CO NAME:VENMO                  ORIG ID:3264681992 DESC DATE:250620 CO ENTRY DESCR:PAYMENT   SEC:WEB    TRACE#:021000029973131 EED:250620   IND ID:1042983624004                IND NAME:JUDD DUNNING                                                                                                 250620PPZUQ6 TRN: 1719973131TC</v>
      </c>
      <c r="D1012" s="7" t="n">
        <f aca="false">Chase1168_2025!D1012</f>
        <v>-69</v>
      </c>
      <c r="E1012" s="0" t="str">
        <f aca="false">Chase1168_2025!E1012</f>
        <v>ACH_DEBIT</v>
      </c>
      <c r="F1012" s="7" t="n">
        <f aca="false">Chase1168_2025!F1012</f>
        <v>36059.5</v>
      </c>
      <c r="G1012" s="0" t="str">
        <f aca="false">Chase1168_2025!G1012</f>
        <v>Venmo</v>
      </c>
      <c r="H1012" s="15" t="n">
        <f aca="false">IF($B1012="","",DATE(YEAR($B1012),MONTH($B1012),1))</f>
        <v>45809</v>
      </c>
      <c r="I1012" s="0" t="str">
        <f aca="false">IF($G1012="","Uncategorized — Review",IFERROR(INDEX(Mapping!$B:$B,MATCH($G1012,Mapping!$A:$A,0)),"Uncategorized — Review"))</f>
        <v>Venmo</v>
      </c>
      <c r="J1012" s="0" t="str">
        <f aca="false">IF($G1012="","Uncategorized — Review",IFERROR(INDEX(Mapping!$C:$C,MATCH($G1012,Mapping!$A:$A,0)),"Uncategorized — Review"))</f>
        <v>P2P Payments (Zelle/Venmo/PayPal)</v>
      </c>
    </row>
    <row r="1013" customFormat="false" ht="15" hidden="false" customHeight="false" outlineLevel="0" collapsed="false">
      <c r="A1013" s="0" t="str">
        <f aca="false">Chase1168_2025!A1013</f>
        <v>DEBIT</v>
      </c>
      <c r="B1013" s="14" t="n">
        <f aca="false">Chase1168_2025!B1013</f>
        <v>45828</v>
      </c>
      <c r="C1013" s="0" t="str">
        <f aca="false">Chase1168_2025!C1013</f>
        <v>ORIG CO NAME:VENMO                  ORIG ID:3264681992 DESC DATE:250619 CO ENTRY DESCR:PAYMENT   SEC:WEB    TRACE#:021000026979206 EED:250620   IND ID:1042964089896                IND NAME:JUDD DUNNING                                                                                                 250619PPZP87 TRN: 1716979206TC</v>
      </c>
      <c r="D1013" s="7" t="n">
        <f aca="false">Chase1168_2025!D1013</f>
        <v>-100</v>
      </c>
      <c r="E1013" s="0" t="str">
        <f aca="false">Chase1168_2025!E1013</f>
        <v>ACH_DEBIT</v>
      </c>
      <c r="F1013" s="7" t="n">
        <f aca="false">Chase1168_2025!F1013</f>
        <v>36128.5</v>
      </c>
      <c r="G1013" s="0" t="str">
        <f aca="false">Chase1168_2025!G1013</f>
        <v>Venmo</v>
      </c>
      <c r="H1013" s="15" t="n">
        <f aca="false">IF($B1013="","",DATE(YEAR($B1013),MONTH($B1013),1))</f>
        <v>45809</v>
      </c>
      <c r="I1013" s="0" t="str">
        <f aca="false">IF($G1013="","Uncategorized — Review",IFERROR(INDEX(Mapping!$B:$B,MATCH($G1013,Mapping!$A:$A,0)),"Uncategorized — Review"))</f>
        <v>Venmo</v>
      </c>
      <c r="J1013" s="0" t="str">
        <f aca="false">IF($G1013="","Uncategorized — Review",IFERROR(INDEX(Mapping!$C:$C,MATCH($G1013,Mapping!$A:$A,0)),"Uncategorized — Review"))</f>
        <v>P2P Payments (Zelle/Venmo/PayPal)</v>
      </c>
    </row>
    <row r="1014" customFormat="false" ht="15" hidden="false" customHeight="false" outlineLevel="0" collapsed="false">
      <c r="A1014" s="0" t="str">
        <f aca="false">Chase1168_2025!A1014</f>
        <v>DEBIT</v>
      </c>
      <c r="B1014" s="14" t="n">
        <f aca="false">Chase1168_2025!B1014</f>
        <v>45828</v>
      </c>
      <c r="C1014" s="0" t="str">
        <f aca="false">Chase1168_2025!C1014</f>
        <v>ORIG CO NAME:VENMO                  ORIG ID:3264681992 DESC DATE:250619 CO ENTRY DESCR:PAYMENT   SEC:WEB    TRACE#:021000027023338 EED:250620   IND ID:1042971908367                IND NAME:JUDD DUNNING                                                                                                 250619PPZSED TRN: 1717023338TC</v>
      </c>
      <c r="D1014" s="7" t="n">
        <f aca="false">Chase1168_2025!D1014</f>
        <v>-875</v>
      </c>
      <c r="E1014" s="0" t="str">
        <f aca="false">Chase1168_2025!E1014</f>
        <v>ACH_DEBIT</v>
      </c>
      <c r="F1014" s="7" t="n">
        <f aca="false">Chase1168_2025!F1014</f>
        <v>36228.5</v>
      </c>
      <c r="G1014" s="0" t="str">
        <f aca="false">Chase1168_2025!G1014</f>
        <v>Venmo</v>
      </c>
      <c r="H1014" s="15" t="n">
        <f aca="false">IF($B1014="","",DATE(YEAR($B1014),MONTH($B1014),1))</f>
        <v>45809</v>
      </c>
      <c r="I1014" s="0" t="str">
        <f aca="false">IF($G1014="","Uncategorized — Review",IFERROR(INDEX(Mapping!$B:$B,MATCH($G1014,Mapping!$A:$A,0)),"Uncategorized — Review"))</f>
        <v>Venmo</v>
      </c>
      <c r="J1014" s="0" t="str">
        <f aca="false">IF($G1014="","Uncategorized — Review",IFERROR(INDEX(Mapping!$C:$C,MATCH($G1014,Mapping!$A:$A,0)),"Uncategorized — Review"))</f>
        <v>P2P Payments (Zelle/Venmo/PayPal)</v>
      </c>
    </row>
    <row r="1015" customFormat="false" ht="15" hidden="false" customHeight="false" outlineLevel="0" collapsed="false">
      <c r="A1015" s="0" t="str">
        <f aca="false">Chase1168_2025!A1015</f>
        <v>DEBIT</v>
      </c>
      <c r="B1015" s="14" t="n">
        <f aca="false">Chase1168_2025!B1015</f>
        <v>45828</v>
      </c>
      <c r="C1015" s="0" t="str">
        <f aca="false">Chase1168_2025!C1015</f>
        <v>PP*APPLE.COM/BILL 800-275-2273 CA            06/20</v>
      </c>
      <c r="D1015" s="7" t="n">
        <f aca="false">Chase1168_2025!D1015</f>
        <v>-9.99</v>
      </c>
      <c r="E1015" s="0" t="str">
        <f aca="false">Chase1168_2025!E1015</f>
        <v>DEBIT_CARD</v>
      </c>
      <c r="F1015" s="7" t="n">
        <f aca="false">Chase1168_2025!F1015</f>
        <v>37103.5</v>
      </c>
      <c r="G1015" s="0" t="str">
        <f aca="false">Chase1168_2025!G1015</f>
        <v>Personal - Subscriptions</v>
      </c>
      <c r="H1015" s="15" t="n">
        <f aca="false">IF($B1015="","",DATE(YEAR($B1015),MONTH($B1015),1))</f>
        <v>45809</v>
      </c>
      <c r="I1015" s="0" t="str">
        <f aca="false">IF($G1015="","Uncategorized — Review",IFERROR(INDEX(Mapping!$B:$B,MATCH($G1015,Mapping!$A:$A,0)),"Uncategorized — Review"))</f>
        <v>Personal - Subscriptions</v>
      </c>
      <c r="J1015" s="0" t="str">
        <f aca="false">IF($G1015="","Uncategorized — Review",IFERROR(INDEX(Mapping!$C:$C,MATCH($G1015,Mapping!$A:$A,0)),"Uncategorized — Review"))</f>
        <v>Personal — Owner</v>
      </c>
    </row>
    <row r="1016" customFormat="false" ht="15" hidden="false" customHeight="false" outlineLevel="0" collapsed="false">
      <c r="A1016" s="0" t="str">
        <f aca="false">Chase1168_2025!A1016</f>
        <v>DEBIT</v>
      </c>
      <c r="B1016" s="14" t="n">
        <f aca="false">Chase1168_2025!B1016</f>
        <v>45828</v>
      </c>
      <c r="C1016" s="0" t="str">
        <f aca="false">Chase1168_2025!C1016</f>
        <v>PAYPAL *THEREALDEAL O 212-260-1332 NY        06/19</v>
      </c>
      <c r="D1016" s="7" t="n">
        <f aca="false">Chase1168_2025!D1016</f>
        <v>-15</v>
      </c>
      <c r="E1016" s="0" t="str">
        <f aca="false">Chase1168_2025!E1016</f>
        <v>DEBIT_CARD</v>
      </c>
      <c r="F1016" s="7" t="n">
        <f aca="false">Chase1168_2025!F1016</f>
        <v>37113.49</v>
      </c>
      <c r="G1016" s="0" t="str">
        <f aca="false">Chase1168_2025!G1016</f>
        <v>Personal - Subscriptions</v>
      </c>
      <c r="H1016" s="15" t="n">
        <f aca="false">IF($B1016="","",DATE(YEAR($B1016),MONTH($B1016),1))</f>
        <v>45809</v>
      </c>
      <c r="I1016" s="0" t="str">
        <f aca="false">IF($G1016="","Uncategorized — Review",IFERROR(INDEX(Mapping!$B:$B,MATCH($G1016,Mapping!$A:$A,0)),"Uncategorized — Review"))</f>
        <v>Personal - Subscriptions</v>
      </c>
      <c r="J1016" s="0" t="str">
        <f aca="false">IF($G1016="","Uncategorized — Review",IFERROR(INDEX(Mapping!$C:$C,MATCH($G1016,Mapping!$A:$A,0)),"Uncategorized — Review"))</f>
        <v>Personal — Owner</v>
      </c>
    </row>
    <row r="1017" customFormat="false" ht="15" hidden="false" customHeight="false" outlineLevel="0" collapsed="false">
      <c r="A1017" s="0" t="str">
        <f aca="false">Chase1168_2025!A1017</f>
        <v>DEBIT</v>
      </c>
      <c r="B1017" s="14" t="n">
        <f aca="false">Chase1168_2025!B1017</f>
        <v>45828</v>
      </c>
      <c r="C1017" s="0" t="str">
        <f aca="false">Chase1168_2025!C1017</f>
        <v>PAYPAL *FOXCORP 888-596-3938 CA              06/19</v>
      </c>
      <c r="D1017" s="7" t="n">
        <f aca="false">Chase1168_2025!D1017</f>
        <v>-7.99</v>
      </c>
      <c r="E1017" s="0" t="str">
        <f aca="false">Chase1168_2025!E1017</f>
        <v>DEBIT_CARD</v>
      </c>
      <c r="F1017" s="7" t="n">
        <f aca="false">Chase1168_2025!F1017</f>
        <v>37128.49</v>
      </c>
      <c r="G1017" s="0" t="str">
        <f aca="false">Chase1168_2025!G1017</f>
        <v>Personal - Subscriptions</v>
      </c>
      <c r="H1017" s="15" t="n">
        <f aca="false">IF($B1017="","",DATE(YEAR($B1017),MONTH($B1017),1))</f>
        <v>45809</v>
      </c>
      <c r="I1017" s="0" t="str">
        <f aca="false">IF($G1017="","Uncategorized — Review",IFERROR(INDEX(Mapping!$B:$B,MATCH($G1017,Mapping!$A:$A,0)),"Uncategorized — Review"))</f>
        <v>Personal - Subscriptions</v>
      </c>
      <c r="J1017" s="0" t="str">
        <f aca="false">IF($G1017="","Uncategorized — Review",IFERROR(INDEX(Mapping!$C:$C,MATCH($G1017,Mapping!$A:$A,0)),"Uncategorized — Review"))</f>
        <v>Personal — Owner</v>
      </c>
    </row>
    <row r="1018" customFormat="false" ht="15" hidden="false" customHeight="false" outlineLevel="0" collapsed="false">
      <c r="A1018" s="0" t="str">
        <f aca="false">Chase1168_2025!A1018</f>
        <v>DEBIT</v>
      </c>
      <c r="B1018" s="14" t="n">
        <f aca="false">Chase1168_2025!B1018</f>
        <v>45828</v>
      </c>
      <c r="C1018" s="0" t="str">
        <f aca="false">Chase1168_2025!C1018</f>
        <v>DNH*GODADDY#3787511387 480-5058855 AZ        06/18</v>
      </c>
      <c r="D1018" s="7" t="n">
        <f aca="false">Chase1168_2025!D1018</f>
        <v>-21.98</v>
      </c>
      <c r="E1018" s="0" t="str">
        <f aca="false">Chase1168_2025!E1018</f>
        <v>DEBIT_CARD</v>
      </c>
      <c r="F1018" s="7" t="n">
        <f aca="false">Chase1168_2025!F1018</f>
        <v>37136.48</v>
      </c>
      <c r="G1018" s="0" t="str">
        <f aca="false">Chase1168_2025!G1018</f>
        <v>Go Daddy</v>
      </c>
      <c r="H1018" s="15" t="n">
        <f aca="false">IF($B1018="","",DATE(YEAR($B1018),MONTH($B1018),1))</f>
        <v>45809</v>
      </c>
      <c r="I1018" s="0" t="str">
        <f aca="false">IF($G1018="","Uncategorized — Review",IFERROR(INDEX(Mapping!$B:$B,MATCH($G1018,Mapping!$A:$A,0)),"Uncategorized — Review"))</f>
        <v>Go Daddy</v>
      </c>
      <c r="J1018" s="0" t="str">
        <f aca="false">IF($G1018="","Uncategorized — Review",IFERROR(INDEX(Mapping!$C:$C,MATCH($G1018,Mapping!$A:$A,0)),"Uncategorized — Review"))</f>
        <v>DWG Operating</v>
      </c>
    </row>
    <row r="1019" customFormat="false" ht="15" hidden="false" customHeight="false" outlineLevel="0" collapsed="false">
      <c r="A1019" s="0" t="str">
        <f aca="false">Chase1168_2025!A1019</f>
        <v>DEBIT</v>
      </c>
      <c r="B1019" s="14" t="n">
        <f aca="false">Chase1168_2025!B1019</f>
        <v>45826</v>
      </c>
      <c r="C1019" s="0" t="str">
        <f aca="false">Chase1168_2025!C1019</f>
        <v>ONLINE FX INTERNATIONAL WIRE FEE</v>
      </c>
      <c r="D1019" s="7" t="n">
        <f aca="false">Chase1168_2025!D1019</f>
        <v>-5</v>
      </c>
      <c r="E1019" s="0" t="str">
        <f aca="false">Chase1168_2025!E1019</f>
        <v>FEE_TRANSACTION</v>
      </c>
      <c r="F1019" s="7" t="n">
        <f aca="false">Chase1168_2025!F1019</f>
        <v>37158.46</v>
      </c>
      <c r="G1019" s="0" t="str">
        <f aca="false">Chase1168_2025!G1019</f>
        <v>Andres Alarcon Payroll</v>
      </c>
      <c r="H1019" s="15" t="n">
        <f aca="false">IF($B1019="","",DATE(YEAR($B1019),MONTH($B1019),1))</f>
        <v>45809</v>
      </c>
      <c r="I1019" s="0" t="str">
        <f aca="false">IF($G1019="","Uncategorized — Review",IFERROR(INDEX(Mapping!$B:$B,MATCH($G1019,Mapping!$A:$A,0)),"Uncategorized — Review"))</f>
        <v>Andres Alarcon Payroll</v>
      </c>
      <c r="J1019" s="0" t="str">
        <f aca="false">IF($G1019="","Uncategorized — Review",IFERROR(INDEX(Mapping!$C:$C,MATCH($G1019,Mapping!$A:$A,0)),"Uncategorized — Review"))</f>
        <v>Payroll &amp; Contractors</v>
      </c>
    </row>
    <row r="1020" customFormat="false" ht="15" hidden="false" customHeight="false" outlineLevel="0" collapsed="false">
      <c r="A1020" s="0" t="str">
        <f aca="false">Chase1168_2025!A1020</f>
        <v>DEBIT</v>
      </c>
      <c r="B1020" s="14" t="n">
        <f aca="false">Chase1168_2025!B1020</f>
        <v>45826</v>
      </c>
      <c r="C1020" s="0" t="str">
        <f aca="false">Chase1168_2025!C1020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ENTS/OCMT/COP2958284,18/EXCH/3944.3 789/CNTR/28002958/INT/ANDRES_527 TRN: 6928800169RE 06/18</v>
      </c>
      <c r="D1020" s="7" t="n">
        <f aca="false">Chase1168_2025!D1020</f>
        <v>-750</v>
      </c>
      <c r="E1020" s="0" t="str">
        <f aca="false">Chase1168_2025!E1020</f>
        <v>WIRE_OUTGOING</v>
      </c>
      <c r="F1020" s="7" t="n">
        <f aca="false">Chase1168_2025!F1020</f>
        <v>37163.46</v>
      </c>
      <c r="G1020" s="0" t="str">
        <f aca="false">Chase1168_2025!G1020</f>
        <v>Andres Alarcon Payroll</v>
      </c>
      <c r="H1020" s="15" t="n">
        <f aca="false">IF($B1020="","",DATE(YEAR($B1020),MONTH($B1020),1))</f>
        <v>45809</v>
      </c>
      <c r="I1020" s="0" t="str">
        <f aca="false">IF($G1020="","Uncategorized — Review",IFERROR(INDEX(Mapping!$B:$B,MATCH($G1020,Mapping!$A:$A,0)),"Uncategorized — Review"))</f>
        <v>Andres Alarcon Payroll</v>
      </c>
      <c r="J1020" s="0" t="str">
        <f aca="false">IF($G1020="","Uncategorized — Review",IFERROR(INDEX(Mapping!$C:$C,MATCH($G1020,Mapping!$A:$A,0)),"Uncategorized — Review"))</f>
        <v>Payroll &amp; Contractors</v>
      </c>
    </row>
    <row r="1021" customFormat="false" ht="15" hidden="false" customHeight="false" outlineLevel="0" collapsed="false">
      <c r="A1021" s="0" t="str">
        <f aca="false">Chase1168_2025!A1021</f>
        <v>DEBIT</v>
      </c>
      <c r="B1021" s="14" t="n">
        <f aca="false">Chase1168_2025!B1021</f>
        <v>45826</v>
      </c>
      <c r="C1021" s="0" t="str">
        <f aca="false">Chase1168_2025!C1021</f>
        <v>PP*APPLE.COM/BILL 800-275-2273 CA            06/18</v>
      </c>
      <c r="D1021" s="7" t="n">
        <f aca="false">Chase1168_2025!D1021</f>
        <v>-9.99</v>
      </c>
      <c r="E1021" s="0" t="str">
        <f aca="false">Chase1168_2025!E1021</f>
        <v>DEBIT_CARD</v>
      </c>
      <c r="F1021" s="7" t="n">
        <f aca="false">Chase1168_2025!F1021</f>
        <v>37913.46</v>
      </c>
      <c r="G1021" s="0" t="str">
        <f aca="false">Chase1168_2025!G1021</f>
        <v>Personal - Subscriptions</v>
      </c>
      <c r="H1021" s="15" t="n">
        <f aca="false">IF($B1021="","",DATE(YEAR($B1021),MONTH($B1021),1))</f>
        <v>45809</v>
      </c>
      <c r="I1021" s="0" t="str">
        <f aca="false">IF($G1021="","Uncategorized — Review",IFERROR(INDEX(Mapping!$B:$B,MATCH($G1021,Mapping!$A:$A,0)),"Uncategorized — Review"))</f>
        <v>Personal - Subscriptions</v>
      </c>
      <c r="J1021" s="0" t="str">
        <f aca="false">IF($G1021="","Uncategorized — Review",IFERROR(INDEX(Mapping!$C:$C,MATCH($G1021,Mapping!$A:$A,0)),"Uncategorized — Review"))</f>
        <v>Personal — Owner</v>
      </c>
    </row>
    <row r="1022" customFormat="false" ht="15" hidden="false" customHeight="false" outlineLevel="0" collapsed="false">
      <c r="A1022" s="0" t="str">
        <f aca="false">Chase1168_2025!A1022</f>
        <v>DEBIT</v>
      </c>
      <c r="B1022" s="14" t="n">
        <f aca="false">Chase1168_2025!B1022</f>
        <v>45825</v>
      </c>
      <c r="C1022" s="0" t="str">
        <f aca="false">Chase1168_2025!C1022</f>
        <v>INDEED USI25-03218437 AUSTIN TX      072176  06/17</v>
      </c>
      <c r="D1022" s="7" t="n">
        <f aca="false">Chase1168_2025!D1022</f>
        <v>-505.61</v>
      </c>
      <c r="E1022" s="0" t="str">
        <f aca="false">Chase1168_2025!E1022</f>
        <v>DEBIT_CARD</v>
      </c>
      <c r="F1022" s="7" t="n">
        <f aca="false">Chase1168_2025!F1022</f>
        <v>37923.45</v>
      </c>
      <c r="G1022" s="0" t="str">
        <f aca="false">Chase1168_2025!G1022</f>
        <v>DWG HR</v>
      </c>
      <c r="H1022" s="15" t="n">
        <f aca="false">IF($B1022="","",DATE(YEAR($B1022),MONTH($B1022),1))</f>
        <v>45809</v>
      </c>
      <c r="I1022" s="0" t="str">
        <f aca="false">IF($G1022="","Uncategorized — Review",IFERROR(INDEX(Mapping!$B:$B,MATCH($G1022,Mapping!$A:$A,0)),"Uncategorized — Review"))</f>
        <v>DWG HR</v>
      </c>
      <c r="J1022" s="0" t="str">
        <f aca="false">IF($G1022="","Uncategorized — Review",IFERROR(INDEX(Mapping!$C:$C,MATCH($G1022,Mapping!$A:$A,0)),"Uncategorized — Review"))</f>
        <v>Payroll &amp; Contractors</v>
      </c>
    </row>
    <row r="1023" customFormat="false" ht="15" hidden="false" customHeight="false" outlineLevel="0" collapsed="false">
      <c r="A1023" s="0" t="str">
        <f aca="false">Chase1168_2025!A1023</f>
        <v>DEBIT</v>
      </c>
      <c r="B1023" s="14" t="n">
        <f aca="false">Chase1168_2025!B1023</f>
        <v>45825</v>
      </c>
      <c r="C1023" s="0" t="str">
        <f aca="false">Chase1168_2025!C1023</f>
        <v>ORIG CO NAME:LEASEDIRECT            ORIG ID:138190450  DESC DATE:250616 CO ENTRY DESCR:13103_1   SEC:CCD    TRACE#:043000099056757 EED:250617   IND ID:1556926                      IND NAME:DWG CAPITAL GROUP          INV# 590325113 DUE 06/15/25 REC# 22 10987                                         13104 TRN: 1689056757TC</v>
      </c>
      <c r="D1023" s="7" t="n">
        <f aca="false">Chase1168_2025!D1023</f>
        <v>-104.01</v>
      </c>
      <c r="E1023" s="0" t="str">
        <f aca="false">Chase1168_2025!E1023</f>
        <v>ACH_DEBIT</v>
      </c>
      <c r="F1023" s="7" t="n">
        <f aca="false">Chase1168_2025!F1023</f>
        <v>38429.06</v>
      </c>
      <c r="G1023" s="0" t="str">
        <f aca="false">Chase1168_2025!G1023</f>
        <v>DWG Marketing</v>
      </c>
      <c r="H1023" s="15" t="n">
        <f aca="false">IF($B1023="","",DATE(YEAR($B1023),MONTH($B1023),1))</f>
        <v>45809</v>
      </c>
      <c r="I1023" s="0" t="str">
        <f aca="false">IF($G1023="","Uncategorized — Review",IFERROR(INDEX(Mapping!$B:$B,MATCH($G1023,Mapping!$A:$A,0)),"Uncategorized — Review"))</f>
        <v>DWG Marketing</v>
      </c>
      <c r="J1023" s="0" t="str">
        <f aca="false">IF($G1023="","Uncategorized — Review",IFERROR(INDEX(Mapping!$C:$C,MATCH($G1023,Mapping!$A:$A,0)),"Uncategorized — Review"))</f>
        <v>DWG Operating</v>
      </c>
    </row>
    <row r="1024" customFormat="false" ht="15" hidden="false" customHeight="false" outlineLevel="0" collapsed="false">
      <c r="A1024" s="0" t="str">
        <f aca="false">Chase1168_2025!A1024</f>
        <v>DEBIT</v>
      </c>
      <c r="B1024" s="14" t="n">
        <f aca="false">Chase1168_2025!B1024</f>
        <v>45825</v>
      </c>
      <c r="C1024" s="0" t="str">
        <f aca="false">Chase1168_2025!C1024</f>
        <v>UPWORK * -818355192 866-262-4478 CA          06/16</v>
      </c>
      <c r="D1024" s="7" t="n">
        <f aca="false">Chase1168_2025!D1024</f>
        <v>-262.5</v>
      </c>
      <c r="E1024" s="0" t="str">
        <f aca="false">Chase1168_2025!E1024</f>
        <v>DEBIT_CARD</v>
      </c>
      <c r="F1024" s="7" t="n">
        <f aca="false">Chase1168_2025!F1024</f>
        <v>38533.07</v>
      </c>
      <c r="G1024" s="0" t="str">
        <f aca="false">Chase1168_2025!G1024</f>
        <v>Upwork - Sergei M.</v>
      </c>
      <c r="H1024" s="15" t="n">
        <f aca="false">IF($B1024="","",DATE(YEAR($B1024),MONTH($B1024),1))</f>
        <v>45809</v>
      </c>
      <c r="I1024" s="0" t="str">
        <f aca="false">IF($G1024="","Uncategorized — Review",IFERROR(INDEX(Mapping!$B:$B,MATCH($G1024,Mapping!$A:$A,0)),"Uncategorized — Review"))</f>
        <v>Upwork - Sergei M.</v>
      </c>
      <c r="J1024" s="0" t="str">
        <f aca="false">IF($G1024="","Uncategorized — Review",IFERROR(INDEX(Mapping!$C:$C,MATCH($G1024,Mapping!$A:$A,0)),"Uncategorized — Review"))</f>
        <v>Payroll &amp; Contractors</v>
      </c>
    </row>
    <row r="1025" customFormat="false" ht="15" hidden="false" customHeight="false" outlineLevel="0" collapsed="false">
      <c r="A1025" s="0" t="str">
        <f aca="false">Chase1168_2025!A1025</f>
        <v>DEBIT</v>
      </c>
      <c r="B1025" s="14" t="n">
        <f aca="false">Chase1168_2025!B1025</f>
        <v>45825</v>
      </c>
      <c r="C1025" s="0" t="str">
        <f aca="false">Chase1168_2025!C1025</f>
        <v>PP*APPLE.COM/BILL 800-275-2273 CA            06/17</v>
      </c>
      <c r="D1025" s="7" t="n">
        <f aca="false">Chase1168_2025!D1025</f>
        <v>-11</v>
      </c>
      <c r="E1025" s="0" t="str">
        <f aca="false">Chase1168_2025!E1025</f>
        <v>DEBIT_CARD</v>
      </c>
      <c r="F1025" s="7" t="n">
        <f aca="false">Chase1168_2025!F1025</f>
        <v>38795.57</v>
      </c>
      <c r="G1025" s="0" t="str">
        <f aca="false">Chase1168_2025!G1025</f>
        <v>Personal - Subscriptions</v>
      </c>
      <c r="H1025" s="15" t="n">
        <f aca="false">IF($B1025="","",DATE(YEAR($B1025),MONTH($B1025),1))</f>
        <v>45809</v>
      </c>
      <c r="I1025" s="0" t="str">
        <f aca="false">IF($G1025="","Uncategorized — Review",IFERROR(INDEX(Mapping!$B:$B,MATCH($G1025,Mapping!$A:$A,0)),"Uncategorized — Review"))</f>
        <v>Personal - Subscriptions</v>
      </c>
      <c r="J1025" s="0" t="str">
        <f aca="false">IF($G1025="","Uncategorized — Review",IFERROR(INDEX(Mapping!$C:$C,MATCH($G1025,Mapping!$A:$A,0)),"Uncategorized — Review"))</f>
        <v>Personal — Owner</v>
      </c>
    </row>
    <row r="1026" customFormat="false" ht="15" hidden="false" customHeight="false" outlineLevel="0" collapsed="false">
      <c r="A1026" s="0" t="str">
        <f aca="false">Chase1168_2025!A1026</f>
        <v>DEBIT</v>
      </c>
      <c r="B1026" s="14" t="n">
        <f aca="false">Chase1168_2025!B1026</f>
        <v>45825</v>
      </c>
      <c r="C1026" s="0" t="str">
        <f aca="false">Chase1168_2025!C1026</f>
        <v>PAYPAL *LINKEDIN 402-935-7733 CA             06/17</v>
      </c>
      <c r="D1026" s="7" t="n">
        <f aca="false">Chase1168_2025!D1026</f>
        <v>-69.99</v>
      </c>
      <c r="E1026" s="0" t="str">
        <f aca="false">Chase1168_2025!E1026</f>
        <v>DEBIT_CARD</v>
      </c>
      <c r="F1026" s="7" t="n">
        <f aca="false">Chase1168_2025!F1026</f>
        <v>38806.57</v>
      </c>
      <c r="G1026" s="0" t="str">
        <f aca="false">Chase1168_2025!G1026</f>
        <v>DWG HR</v>
      </c>
      <c r="H1026" s="15" t="n">
        <f aca="false">IF($B1026="","",DATE(YEAR($B1026),MONTH($B1026),1))</f>
        <v>45809</v>
      </c>
      <c r="I1026" s="0" t="str">
        <f aca="false">IF($G1026="","Uncategorized — Review",IFERROR(INDEX(Mapping!$B:$B,MATCH($G1026,Mapping!$A:$A,0)),"Uncategorized — Review"))</f>
        <v>DWG HR</v>
      </c>
      <c r="J1026" s="0" t="str">
        <f aca="false">IF($G1026="","Uncategorized — Review",IFERROR(INDEX(Mapping!$C:$C,MATCH($G1026,Mapping!$A:$A,0)),"Uncategorized — Review"))</f>
        <v>Payroll &amp; Contractors</v>
      </c>
    </row>
    <row r="1027" customFormat="false" ht="15" hidden="false" customHeight="false" outlineLevel="0" collapsed="false">
      <c r="A1027" s="0" t="str">
        <f aca="false">Chase1168_2025!A1027</f>
        <v>DEBIT</v>
      </c>
      <c r="B1027" s="14" t="n">
        <f aca="false">Chase1168_2025!B1027</f>
        <v>45824</v>
      </c>
      <c r="C1027" s="0" t="str">
        <f aca="false">Chase1168_2025!C1027</f>
        <v>ORIG CO NAME:VENMO                  ORIG ID:3264681992 DESC DATE:250615 CO ENTRY DESCR:PAYMENT   SEC:WEB    TRACE#:021000024924045 EED:250616   IND ID:1042887661757                IND NAME:JUDD DUNNING                                                                                                 250615PPZW7L TRN: 1674924045TC</v>
      </c>
      <c r="D1027" s="7" t="n">
        <f aca="false">Chase1168_2025!D1027</f>
        <v>-1</v>
      </c>
      <c r="E1027" s="0" t="str">
        <f aca="false">Chase1168_2025!E1027</f>
        <v>ACH_DEBIT</v>
      </c>
      <c r="F1027" s="7" t="n">
        <f aca="false">Chase1168_2025!F1027</f>
        <v>38876.56</v>
      </c>
      <c r="G1027" s="0" t="str">
        <f aca="false">Chase1168_2025!G1027</f>
        <v>Venmo</v>
      </c>
      <c r="H1027" s="15" t="n">
        <f aca="false">IF($B1027="","",DATE(YEAR($B1027),MONTH($B1027),1))</f>
        <v>45809</v>
      </c>
      <c r="I1027" s="0" t="str">
        <f aca="false">IF($G1027="","Uncategorized — Review",IFERROR(INDEX(Mapping!$B:$B,MATCH($G1027,Mapping!$A:$A,0)),"Uncategorized — Review"))</f>
        <v>Venmo</v>
      </c>
      <c r="J1027" s="0" t="str">
        <f aca="false">IF($G1027="","Uncategorized — Review",IFERROR(INDEX(Mapping!$C:$C,MATCH($G1027,Mapping!$A:$A,0)),"Uncategorized — Review"))</f>
        <v>P2P Payments (Zelle/Venmo/PayPal)</v>
      </c>
    </row>
    <row r="1028" customFormat="false" ht="15" hidden="false" customHeight="false" outlineLevel="0" collapsed="false">
      <c r="A1028" s="0" t="str">
        <f aca="false">Chase1168_2025!A1028</f>
        <v>DEBIT</v>
      </c>
      <c r="B1028" s="14" t="n">
        <f aca="false">Chase1168_2025!B1028</f>
        <v>45824</v>
      </c>
      <c r="C1028" s="0" t="str">
        <f aca="false">Chase1168_2025!C1028</f>
        <v>ORIG CO NAME:VENMO                  ORIG ID:3264681992 DESC DATE:250615 CO ENTRY DESCR:PAYMENT   SEC:WEB    TRACE#:021000024920727 EED:250616   IND ID:1042887641607                IND NAME:JUDD DUNNING                                                                                                 250615PPZW7L TRN: 1674920727TC</v>
      </c>
      <c r="D1028" s="7" t="n">
        <f aca="false">Chase1168_2025!D1028</f>
        <v>-10</v>
      </c>
      <c r="E1028" s="0" t="str">
        <f aca="false">Chase1168_2025!E1028</f>
        <v>ACH_DEBIT</v>
      </c>
      <c r="F1028" s="7" t="n">
        <f aca="false">Chase1168_2025!F1028</f>
        <v>38877.56</v>
      </c>
      <c r="G1028" s="0" t="str">
        <f aca="false">Chase1168_2025!G1028</f>
        <v>Venmo</v>
      </c>
      <c r="H1028" s="15" t="n">
        <f aca="false">IF($B1028="","",DATE(YEAR($B1028),MONTH($B1028),1))</f>
        <v>45809</v>
      </c>
      <c r="I1028" s="0" t="str">
        <f aca="false">IF($G1028="","Uncategorized — Review",IFERROR(INDEX(Mapping!$B:$B,MATCH($G1028,Mapping!$A:$A,0)),"Uncategorized — Review"))</f>
        <v>Venmo</v>
      </c>
      <c r="J1028" s="0" t="str">
        <f aca="false">IF($G1028="","Uncategorized — Review",IFERROR(INDEX(Mapping!$C:$C,MATCH($G1028,Mapping!$A:$A,0)),"Uncategorized — Review"))</f>
        <v>P2P Payments (Zelle/Venmo/PayPal)</v>
      </c>
    </row>
    <row r="1029" customFormat="false" ht="15" hidden="false" customHeight="false" outlineLevel="0" collapsed="false">
      <c r="A1029" s="0" t="str">
        <f aca="false">Chase1168_2025!A1029</f>
        <v>DEBIT</v>
      </c>
      <c r="B1029" s="14" t="n">
        <f aca="false">Chase1168_2025!B1029</f>
        <v>45824</v>
      </c>
      <c r="C1029" s="0" t="str">
        <f aca="false">Chase1168_2025!C1029</f>
        <v>ORIG CO NAME:VENMO                  ORIG ID:3264681992 DESC DATE:250615 CO ENTRY DESCR:PAYMENT   SEC:WEB    TRACE#:021000024905810 EED:250616   IND ID:1042878929553                IND NAME:JUDD DUNNING                                                                                                 250615PPZW7K TRN: 1674905810TC</v>
      </c>
      <c r="D1029" s="7" t="n">
        <f aca="false">Chase1168_2025!D1029</f>
        <v>-10</v>
      </c>
      <c r="E1029" s="0" t="str">
        <f aca="false">Chase1168_2025!E1029</f>
        <v>ACH_DEBIT</v>
      </c>
      <c r="F1029" s="7" t="n">
        <f aca="false">Chase1168_2025!F1029</f>
        <v>38887.56</v>
      </c>
      <c r="G1029" s="0" t="str">
        <f aca="false">Chase1168_2025!G1029</f>
        <v>Venmo</v>
      </c>
      <c r="H1029" s="15" t="n">
        <f aca="false">IF($B1029="","",DATE(YEAR($B1029),MONTH($B1029),1))</f>
        <v>45809</v>
      </c>
      <c r="I1029" s="0" t="str">
        <f aca="false">IF($G1029="","Uncategorized — Review",IFERROR(INDEX(Mapping!$B:$B,MATCH($G1029,Mapping!$A:$A,0)),"Uncategorized — Review"))</f>
        <v>Venmo</v>
      </c>
      <c r="J1029" s="0" t="str">
        <f aca="false">IF($G1029="","Uncategorized — Review",IFERROR(INDEX(Mapping!$C:$C,MATCH($G1029,Mapping!$A:$A,0)),"Uncategorized — Review"))</f>
        <v>P2P Payments (Zelle/Venmo/PayPal)</v>
      </c>
    </row>
    <row r="1030" customFormat="false" ht="15" hidden="false" customHeight="false" outlineLevel="0" collapsed="false">
      <c r="A1030" s="0" t="str">
        <f aca="false">Chase1168_2025!A1030</f>
        <v>DEBIT</v>
      </c>
      <c r="B1030" s="14" t="n">
        <f aca="false">Chase1168_2025!B1030</f>
        <v>45824</v>
      </c>
      <c r="C1030" s="0" t="str">
        <f aca="false">Chase1168_2025!C1030</f>
        <v>ORIG CO NAME:VENMO                  ORIG ID:3264681992 DESC DATE:250615 CO ENTRY DESCR:PAYMENT   SEC:WEB    TRACE#:021000024917221 EED:250616   IND ID:1042880481969                IND NAME:JUDD DUNNING                                                                                                 250615PPZW7K TRN: 1674917221TC</v>
      </c>
      <c r="D1030" s="7" t="n">
        <f aca="false">Chase1168_2025!D1030</f>
        <v>-12</v>
      </c>
      <c r="E1030" s="0" t="str">
        <f aca="false">Chase1168_2025!E1030</f>
        <v>ACH_DEBIT</v>
      </c>
      <c r="F1030" s="7" t="n">
        <f aca="false">Chase1168_2025!F1030</f>
        <v>38897.56</v>
      </c>
      <c r="G1030" s="0" t="str">
        <f aca="false">Chase1168_2025!G1030</f>
        <v>Venmo</v>
      </c>
      <c r="H1030" s="15" t="n">
        <f aca="false">IF($B1030="","",DATE(YEAR($B1030),MONTH($B1030),1))</f>
        <v>45809</v>
      </c>
      <c r="I1030" s="0" t="str">
        <f aca="false">IF($G1030="","Uncategorized — Review",IFERROR(INDEX(Mapping!$B:$B,MATCH($G1030,Mapping!$A:$A,0)),"Uncategorized — Review"))</f>
        <v>Venmo</v>
      </c>
      <c r="J1030" s="0" t="str">
        <f aca="false">IF($G1030="","Uncategorized — Review",IFERROR(INDEX(Mapping!$C:$C,MATCH($G1030,Mapping!$A:$A,0)),"Uncategorized — Review"))</f>
        <v>P2P Payments (Zelle/Venmo/PayPal)</v>
      </c>
    </row>
    <row r="1031" customFormat="false" ht="15" hidden="false" customHeight="false" outlineLevel="0" collapsed="false">
      <c r="A1031" s="0" t="str">
        <f aca="false">Chase1168_2025!A1031</f>
        <v>DEBIT</v>
      </c>
      <c r="B1031" s="14" t="n">
        <f aca="false">Chase1168_2025!B1031</f>
        <v>45824</v>
      </c>
      <c r="C1031" s="0" t="str">
        <f aca="false">Chase1168_2025!C1031</f>
        <v>ORIG CO NAME:VENMO                  ORIG ID:3264681992 DESC DATE:250614 CO ENTRY DESCR:PAYMENT   SEC:WEB    TRACE#:021000024095535 EED:250616   IND ID:1042859632248                IND NAME:JUDD DUNNING                                                                                                 250614PPZTSR TRN: 1674095535TC</v>
      </c>
      <c r="D1031" s="7" t="n">
        <f aca="false">Chase1168_2025!D1031</f>
        <v>-1250</v>
      </c>
      <c r="E1031" s="0" t="str">
        <f aca="false">Chase1168_2025!E1031</f>
        <v>ACH_DEBIT</v>
      </c>
      <c r="F1031" s="7" t="n">
        <f aca="false">Chase1168_2025!F1031</f>
        <v>38909.56</v>
      </c>
      <c r="G1031" s="0" t="str">
        <f aca="false">Chase1168_2025!G1031</f>
        <v>Venmo</v>
      </c>
      <c r="H1031" s="15" t="n">
        <f aca="false">IF($B1031="","",DATE(YEAR($B1031),MONTH($B1031),1))</f>
        <v>45809</v>
      </c>
      <c r="I1031" s="0" t="str">
        <f aca="false">IF($G1031="","Uncategorized — Review",IFERROR(INDEX(Mapping!$B:$B,MATCH($G1031,Mapping!$A:$A,0)),"Uncategorized — Review"))</f>
        <v>Venmo</v>
      </c>
      <c r="J1031" s="0" t="str">
        <f aca="false">IF($G1031="","Uncategorized — Review",IFERROR(INDEX(Mapping!$C:$C,MATCH($G1031,Mapping!$A:$A,0)),"Uncategorized — Review"))</f>
        <v>P2P Payments (Zelle/Venmo/PayPal)</v>
      </c>
    </row>
    <row r="1032" customFormat="false" ht="15" hidden="false" customHeight="false" outlineLevel="0" collapsed="false">
      <c r="A1032" s="0" t="str">
        <f aca="false">Chase1168_2025!A1032</f>
        <v>DEBIT</v>
      </c>
      <c r="B1032" s="14" t="n">
        <f aca="false">Chase1168_2025!B1032</f>
        <v>45824</v>
      </c>
      <c r="C1032" s="0" t="str">
        <f aca="false">Chase1168_2025!C1032</f>
        <v>PP*APPLE.COM/BILL 800-275-2273 CA            06/16</v>
      </c>
      <c r="D1032" s="7" t="n">
        <f aca="false">Chase1168_2025!D1032</f>
        <v>-5.99</v>
      </c>
      <c r="E1032" s="0" t="str">
        <f aca="false">Chase1168_2025!E1032</f>
        <v>DEBIT_CARD</v>
      </c>
      <c r="F1032" s="7" t="n">
        <f aca="false">Chase1168_2025!F1032</f>
        <v>40159.56</v>
      </c>
      <c r="G1032" s="0" t="str">
        <f aca="false">Chase1168_2025!G1032</f>
        <v>Personal - Subscriptions</v>
      </c>
      <c r="H1032" s="15" t="n">
        <f aca="false">IF($B1032="","",DATE(YEAR($B1032),MONTH($B1032),1))</f>
        <v>45809</v>
      </c>
      <c r="I1032" s="0" t="str">
        <f aca="false">IF($G1032="","Uncategorized — Review",IFERROR(INDEX(Mapping!$B:$B,MATCH($G1032,Mapping!$A:$A,0)),"Uncategorized — Review"))</f>
        <v>Personal - Subscriptions</v>
      </c>
      <c r="J1032" s="0" t="str">
        <f aca="false">IF($G1032="","Uncategorized — Review",IFERROR(INDEX(Mapping!$C:$C,MATCH($G1032,Mapping!$A:$A,0)),"Uncategorized — Review"))</f>
        <v>Personal — Owner</v>
      </c>
    </row>
    <row r="1033" customFormat="false" ht="15" hidden="false" customHeight="false" outlineLevel="0" collapsed="false">
      <c r="A1033" s="0" t="str">
        <f aca="false">Chase1168_2025!A1033</f>
        <v>DEBIT</v>
      </c>
      <c r="B1033" s="14" t="n">
        <f aca="false">Chase1168_2025!B1033</f>
        <v>45824</v>
      </c>
      <c r="C1033" s="0" t="str">
        <f aca="false">Chase1168_2025!C1033</f>
        <v>RESTORE.COM RESTORE.COM TX                   06/15</v>
      </c>
      <c r="D1033" s="7" t="n">
        <f aca="false">Chase1168_2025!D1033</f>
        <v>-199</v>
      </c>
      <c r="E1033" s="0" t="str">
        <f aca="false">Chase1168_2025!E1033</f>
        <v>DEBIT_CARD</v>
      </c>
      <c r="F1033" s="7" t="n">
        <f aca="false">Chase1168_2025!F1033</f>
        <v>40165.55</v>
      </c>
      <c r="G1033" s="0" t="str">
        <f aca="false">Chase1168_2025!G1033</f>
        <v>Personal - Health</v>
      </c>
      <c r="H1033" s="15" t="n">
        <f aca="false">IF($B1033="","",DATE(YEAR($B1033),MONTH($B1033),1))</f>
        <v>45809</v>
      </c>
      <c r="I1033" s="0" t="str">
        <f aca="false">IF($G1033="","Uncategorized — Review",IFERROR(INDEX(Mapping!$B:$B,MATCH($G1033,Mapping!$A:$A,0)),"Uncategorized — Review"))</f>
        <v>Personal - Health (incl. Ins.)</v>
      </c>
      <c r="J1033" s="0" t="str">
        <f aca="false">IF($G1033="","Uncategorized — Review",IFERROR(INDEX(Mapping!$C:$C,MATCH($G1033,Mapping!$A:$A,0)),"Uncategorized — Review"))</f>
        <v>Personal — Owner</v>
      </c>
    </row>
    <row r="1034" customFormat="false" ht="15" hidden="false" customHeight="false" outlineLevel="0" collapsed="false">
      <c r="A1034" s="0" t="str">
        <f aca="false">Chase1168_2025!A1034</f>
        <v>DEBIT</v>
      </c>
      <c r="B1034" s="14" t="n">
        <f aca="false">Chase1168_2025!B1034</f>
        <v>45824</v>
      </c>
      <c r="C1034" s="0" t="str">
        <f aca="false">Chase1168_2025!C1034</f>
        <v>PP*APPLE.COM/BILL 800-275-2273 CA            06/14</v>
      </c>
      <c r="D1034" s="7" t="n">
        <f aca="false">Chase1168_2025!D1034</f>
        <v>-17.99</v>
      </c>
      <c r="E1034" s="0" t="str">
        <f aca="false">Chase1168_2025!E1034</f>
        <v>DEBIT_CARD</v>
      </c>
      <c r="F1034" s="7" t="n">
        <f aca="false">Chase1168_2025!F1034</f>
        <v>40364.55</v>
      </c>
      <c r="G1034" s="0" t="str">
        <f aca="false">Chase1168_2025!G1034</f>
        <v>Personal - Subscriptions</v>
      </c>
      <c r="H1034" s="15" t="n">
        <f aca="false">IF($B1034="","",DATE(YEAR($B1034),MONTH($B1034),1))</f>
        <v>45809</v>
      </c>
      <c r="I1034" s="0" t="str">
        <f aca="false">IF($G1034="","Uncategorized — Review",IFERROR(INDEX(Mapping!$B:$B,MATCH($G1034,Mapping!$A:$A,0)),"Uncategorized — Review"))</f>
        <v>Personal - Subscriptions</v>
      </c>
      <c r="J1034" s="0" t="str">
        <f aca="false">IF($G1034="","Uncategorized — Review",IFERROR(INDEX(Mapping!$C:$C,MATCH($G1034,Mapping!$A:$A,0)),"Uncategorized — Review"))</f>
        <v>Personal — Owner</v>
      </c>
    </row>
    <row r="1035" customFormat="false" ht="15" hidden="false" customHeight="false" outlineLevel="0" collapsed="false">
      <c r="A1035" s="0" t="str">
        <f aca="false">Chase1168_2025!A1035</f>
        <v>DEBIT</v>
      </c>
      <c r="B1035" s="14" t="n">
        <f aca="false">Chase1168_2025!B1035</f>
        <v>45824</v>
      </c>
      <c r="C1035" s="0" t="str">
        <f aca="false">Chase1168_2025!C1035</f>
        <v>PP*APPLE.COM/BILL 800-275-2273 CA            06/15</v>
      </c>
      <c r="D1035" s="7" t="n">
        <f aca="false">Chase1168_2025!D1035</f>
        <v>-8.99</v>
      </c>
      <c r="E1035" s="0" t="str">
        <f aca="false">Chase1168_2025!E1035</f>
        <v>DEBIT_CARD</v>
      </c>
      <c r="F1035" s="7" t="n">
        <f aca="false">Chase1168_2025!F1035</f>
        <v>40382.54</v>
      </c>
      <c r="G1035" s="0" t="str">
        <f aca="false">Chase1168_2025!G1035</f>
        <v>Personal - Subscriptions</v>
      </c>
      <c r="H1035" s="15" t="n">
        <f aca="false">IF($B1035="","",DATE(YEAR($B1035),MONTH($B1035),1))</f>
        <v>45809</v>
      </c>
      <c r="I1035" s="0" t="str">
        <f aca="false">IF($G1035="","Uncategorized — Review",IFERROR(INDEX(Mapping!$B:$B,MATCH($G1035,Mapping!$A:$A,0)),"Uncategorized — Review"))</f>
        <v>Personal - Subscriptions</v>
      </c>
      <c r="J1035" s="0" t="str">
        <f aca="false">IF($G1035="","Uncategorized — Review",IFERROR(INDEX(Mapping!$C:$C,MATCH($G1035,Mapping!$A:$A,0)),"Uncategorized — Review"))</f>
        <v>Personal — Owner</v>
      </c>
    </row>
    <row r="1036" customFormat="false" ht="15" hidden="false" customHeight="false" outlineLevel="0" collapsed="false">
      <c r="A1036" s="0" t="str">
        <f aca="false">Chase1168_2025!A1036</f>
        <v>DEBIT</v>
      </c>
      <c r="B1036" s="14" t="n">
        <f aca="false">Chase1168_2025!B1036</f>
        <v>45824</v>
      </c>
      <c r="C1036" s="0" t="str">
        <f aca="false">Chase1168_2025!C1036</f>
        <v>PP*GOOGLE GOOGLE ONE 855-836-3987 CA         06/15</v>
      </c>
      <c r="D1036" s="7" t="n">
        <f aca="false">Chase1168_2025!D1036</f>
        <v>-1.99</v>
      </c>
      <c r="E1036" s="0" t="str">
        <f aca="false">Chase1168_2025!E1036</f>
        <v>DEBIT_CARD</v>
      </c>
      <c r="F1036" s="7" t="n">
        <f aca="false">Chase1168_2025!F1036</f>
        <v>40391.53</v>
      </c>
      <c r="G1036" s="0" t="str">
        <f aca="false">Chase1168_2025!G1036</f>
        <v>Personal - Subscriptions</v>
      </c>
      <c r="H1036" s="15" t="n">
        <f aca="false">IF($B1036="","",DATE(YEAR($B1036),MONTH($B1036),1))</f>
        <v>45809</v>
      </c>
      <c r="I1036" s="0" t="str">
        <f aca="false">IF($G1036="","Uncategorized — Review",IFERROR(INDEX(Mapping!$B:$B,MATCH($G1036,Mapping!$A:$A,0)),"Uncategorized — Review"))</f>
        <v>Personal - Subscriptions</v>
      </c>
      <c r="J1036" s="0" t="str">
        <f aca="false">IF($G1036="","Uncategorized — Review",IFERROR(INDEX(Mapping!$C:$C,MATCH($G1036,Mapping!$A:$A,0)),"Uncategorized — Review"))</f>
        <v>Personal — Owner</v>
      </c>
    </row>
    <row r="1037" customFormat="false" ht="15" hidden="false" customHeight="false" outlineLevel="0" collapsed="false">
      <c r="A1037" s="0" t="str">
        <f aca="false">Chase1168_2025!A1037</f>
        <v>DEBIT</v>
      </c>
      <c r="B1037" s="14" t="n">
        <f aca="false">Chase1168_2025!B1037</f>
        <v>45824</v>
      </c>
      <c r="C1037" s="0" t="str">
        <f aca="false">Chase1168_2025!C1037</f>
        <v>PP*APPLE.COM/BILL 800-275-2273 CA            06/14</v>
      </c>
      <c r="D1037" s="7" t="n">
        <f aca="false">Chase1168_2025!D1037</f>
        <v>-10.99</v>
      </c>
      <c r="E1037" s="0" t="str">
        <f aca="false">Chase1168_2025!E1037</f>
        <v>DEBIT_CARD</v>
      </c>
      <c r="F1037" s="7" t="n">
        <f aca="false">Chase1168_2025!F1037</f>
        <v>40393.52</v>
      </c>
      <c r="G1037" s="0" t="str">
        <f aca="false">Chase1168_2025!G1037</f>
        <v>Personal - Subscriptions</v>
      </c>
      <c r="H1037" s="15" t="n">
        <f aca="false">IF($B1037="","",DATE(YEAR($B1037),MONTH($B1037),1))</f>
        <v>45809</v>
      </c>
      <c r="I1037" s="0" t="str">
        <f aca="false">IF($G1037="","Uncategorized — Review",IFERROR(INDEX(Mapping!$B:$B,MATCH($G1037,Mapping!$A:$A,0)),"Uncategorized — Review"))</f>
        <v>Personal - Subscriptions</v>
      </c>
      <c r="J1037" s="0" t="str">
        <f aca="false">IF($G1037="","Uncategorized — Review",IFERROR(INDEX(Mapping!$C:$C,MATCH($G1037,Mapping!$A:$A,0)),"Uncategorized — Review"))</f>
        <v>Personal — Owner</v>
      </c>
    </row>
    <row r="1038" customFormat="false" ht="15" hidden="false" customHeight="false" outlineLevel="0" collapsed="false">
      <c r="A1038" s="0" t="str">
        <f aca="false">Chase1168_2025!A1038</f>
        <v>DEBIT</v>
      </c>
      <c r="B1038" s="14" t="n">
        <f aca="false">Chase1168_2025!B1038</f>
        <v>45824</v>
      </c>
      <c r="C1038" s="0" t="str">
        <f aca="false">Chase1168_2025!C1038</f>
        <v>PAYPAL *LINKEDIN 402-935-7733 CA             06/15</v>
      </c>
      <c r="D1038" s="7" t="n">
        <f aca="false">Chase1168_2025!D1038</f>
        <v>-555.81</v>
      </c>
      <c r="E1038" s="0" t="str">
        <f aca="false">Chase1168_2025!E1038</f>
        <v>DEBIT_CARD</v>
      </c>
      <c r="F1038" s="7" t="n">
        <f aca="false">Chase1168_2025!F1038</f>
        <v>40404.51</v>
      </c>
      <c r="G1038" s="0" t="str">
        <f aca="false">Chase1168_2025!G1038</f>
        <v>DWG HR</v>
      </c>
      <c r="H1038" s="15" t="n">
        <f aca="false">IF($B1038="","",DATE(YEAR($B1038),MONTH($B1038),1))</f>
        <v>45809</v>
      </c>
      <c r="I1038" s="0" t="str">
        <f aca="false">IF($G1038="","Uncategorized — Review",IFERROR(INDEX(Mapping!$B:$B,MATCH($G1038,Mapping!$A:$A,0)),"Uncategorized — Review"))</f>
        <v>DWG HR</v>
      </c>
      <c r="J1038" s="0" t="str">
        <f aca="false">IF($G1038="","Uncategorized — Review",IFERROR(INDEX(Mapping!$C:$C,MATCH($G1038,Mapping!$A:$A,0)),"Uncategorized — Review"))</f>
        <v>Payroll &amp; Contractors</v>
      </c>
    </row>
    <row r="1039" customFormat="false" ht="15" hidden="false" customHeight="false" outlineLevel="0" collapsed="false">
      <c r="A1039" s="0" t="str">
        <f aca="false">Chase1168_2025!A1039</f>
        <v>DEBIT</v>
      </c>
      <c r="B1039" s="14" t="n">
        <f aca="false">Chase1168_2025!B1039</f>
        <v>45821</v>
      </c>
      <c r="C1039" s="0" t="str">
        <f aca="false">Chase1168_2025!C1039</f>
        <v>CARD REPLACEMENT FEE</v>
      </c>
      <c r="D1039" s="7" t="n">
        <f aca="false">Chase1168_2025!D1039</f>
        <v>-5</v>
      </c>
      <c r="E1039" s="0" t="str">
        <f aca="false">Chase1168_2025!E1039</f>
        <v>FEE_TRANSACTION</v>
      </c>
      <c r="F1039" s="7" t="n">
        <f aca="false">Chase1168_2025!F1039</f>
        <v>40960.32</v>
      </c>
      <c r="G1039" s="0" t="str">
        <f aca="false">Chase1168_2025!G1039</f>
        <v>Bank Fees</v>
      </c>
      <c r="H1039" s="15" t="n">
        <f aca="false">IF($B1039="","",DATE(YEAR($B1039),MONTH($B1039),1))</f>
        <v>45809</v>
      </c>
      <c r="I1039" s="0" t="str">
        <f aca="false">IF($G1039="","Uncategorized — Review",IFERROR(INDEX(Mapping!$B:$B,MATCH($G1039,Mapping!$A:$A,0)),"Uncategorized — Review"))</f>
        <v>Bank Fees</v>
      </c>
      <c r="J1039" s="0" t="str">
        <f aca="false">IF($G1039="","Uncategorized — Review",IFERROR(INDEX(Mapping!$C:$C,MATCH($G1039,Mapping!$A:$A,0)),"Uncategorized — Review"))</f>
        <v>DWG Operating</v>
      </c>
    </row>
    <row r="1040" customFormat="false" ht="15" hidden="false" customHeight="false" outlineLevel="0" collapsed="false">
      <c r="A1040" s="0" t="str">
        <f aca="false">Chase1168_2025!A1040</f>
        <v>DEBIT</v>
      </c>
      <c r="B1040" s="14" t="n">
        <f aca="false">Chase1168_2025!B1040</f>
        <v>45821</v>
      </c>
      <c r="C1040" s="0" t="str">
        <f aca="false">Chase1168_2025!C1040</f>
        <v>PAYPAL *HULU 877-801-5441 CA                 06/12</v>
      </c>
      <c r="D1040" s="7" t="n">
        <f aca="false">Chase1168_2025!D1040</f>
        <v>-18.99</v>
      </c>
      <c r="E1040" s="0" t="str">
        <f aca="false">Chase1168_2025!E1040</f>
        <v>DEBIT_CARD</v>
      </c>
      <c r="F1040" s="7" t="n">
        <f aca="false">Chase1168_2025!F1040</f>
        <v>40965.32</v>
      </c>
      <c r="G1040" s="0" t="str">
        <f aca="false">Chase1168_2025!G1040</f>
        <v>Personal - Subscriptions</v>
      </c>
      <c r="H1040" s="15" t="n">
        <f aca="false">IF($B1040="","",DATE(YEAR($B1040),MONTH($B1040),1))</f>
        <v>45809</v>
      </c>
      <c r="I1040" s="0" t="str">
        <f aca="false">IF($G1040="","Uncategorized — Review",IFERROR(INDEX(Mapping!$B:$B,MATCH($G1040,Mapping!$A:$A,0)),"Uncategorized — Review"))</f>
        <v>Personal - Subscriptions</v>
      </c>
      <c r="J1040" s="0" t="str">
        <f aca="false">IF($G1040="","Uncategorized — Review",IFERROR(INDEX(Mapping!$C:$C,MATCH($G1040,Mapping!$A:$A,0)),"Uncategorized — Review"))</f>
        <v>Personal — Owner</v>
      </c>
    </row>
    <row r="1041" customFormat="false" ht="15" hidden="false" customHeight="false" outlineLevel="0" collapsed="false">
      <c r="A1041" s="0" t="str">
        <f aca="false">Chase1168_2025!A1041</f>
        <v>DEBIT</v>
      </c>
      <c r="B1041" s="14" t="n">
        <f aca="false">Chase1168_2025!B1041</f>
        <v>45820</v>
      </c>
      <c r="C1041" s="0" t="str">
        <f aca="false">Chase1168_2025!C1041</f>
        <v>INDEED USI25-03160880 AUSTIN TX      072655  06/12</v>
      </c>
      <c r="D1041" s="7" t="n">
        <f aca="false">Chase1168_2025!D1041</f>
        <v>-511.19</v>
      </c>
      <c r="E1041" s="0" t="str">
        <f aca="false">Chase1168_2025!E1041</f>
        <v>DEBIT_CARD</v>
      </c>
      <c r="F1041" s="7" t="n">
        <f aca="false">Chase1168_2025!F1041</f>
        <v>40984.31</v>
      </c>
      <c r="G1041" s="0" t="str">
        <f aca="false">Chase1168_2025!G1041</f>
        <v>DWG HR</v>
      </c>
      <c r="H1041" s="15" t="n">
        <f aca="false">IF($B1041="","",DATE(YEAR($B1041),MONTH($B1041),1))</f>
        <v>45809</v>
      </c>
      <c r="I1041" s="0" t="str">
        <f aca="false">IF($G1041="","Uncategorized — Review",IFERROR(INDEX(Mapping!$B:$B,MATCH($G1041,Mapping!$A:$A,0)),"Uncategorized — Review"))</f>
        <v>DWG HR</v>
      </c>
      <c r="J1041" s="0" t="str">
        <f aca="false">IF($G1041="","Uncategorized — Review",IFERROR(INDEX(Mapping!$C:$C,MATCH($G1041,Mapping!$A:$A,0)),"Uncategorized — Review"))</f>
        <v>Payroll &amp; Contractors</v>
      </c>
    </row>
    <row r="1042" customFormat="false" ht="15" hidden="false" customHeight="false" outlineLevel="0" collapsed="false">
      <c r="A1042" s="0" t="str">
        <f aca="false">Chase1168_2025!A1042</f>
        <v>DEBIT</v>
      </c>
      <c r="B1042" s="14" t="n">
        <f aca="false">Chase1168_2025!B1042</f>
        <v>45820</v>
      </c>
      <c r="C1042" s="0" t="str">
        <f aca="false">Chase1168_2025!C1042</f>
        <v>Zelle payment to Jeff Fajardo JPM99bbug2il</v>
      </c>
      <c r="D1042" s="7" t="n">
        <f aca="false">Chase1168_2025!D1042</f>
        <v>-1350</v>
      </c>
      <c r="E1042" s="0" t="str">
        <f aca="false">Chase1168_2025!E1042</f>
        <v>CHASE_TO_PARTNERFI</v>
      </c>
      <c r="F1042" s="7" t="n">
        <f aca="false">Chase1168_2025!F1042</f>
        <v>41495.5</v>
      </c>
      <c r="G1042" s="0" t="str">
        <f aca="false">Chase1168_2025!G1042</f>
        <v>Zelle - Jeff Fajardo</v>
      </c>
      <c r="H1042" s="15" t="n">
        <f aca="false">IF($B1042="","",DATE(YEAR($B1042),MONTH($B1042),1))</f>
        <v>45809</v>
      </c>
      <c r="I1042" s="0" t="str">
        <f aca="false">IF($G1042="","Uncategorized — Review",IFERROR(INDEX(Mapping!$B:$B,MATCH($G1042,Mapping!$A:$A,0)),"Uncategorized — Review"))</f>
        <v>Zelle - Jeff Fajardo</v>
      </c>
      <c r="J1042" s="0" t="str">
        <f aca="false">IF($G1042="","Uncategorized — Review",IFERROR(INDEX(Mapping!$C:$C,MATCH($G1042,Mapping!$A:$A,0)),"Uncategorized — Review"))</f>
        <v>P2P Payments (Zelle/Venmo/PayPal)</v>
      </c>
    </row>
    <row r="1043" customFormat="false" ht="15" hidden="false" customHeight="false" outlineLevel="0" collapsed="false">
      <c r="A1043" s="0" t="str">
        <f aca="false">Chase1168_2025!A1043</f>
        <v>DEBIT</v>
      </c>
      <c r="B1043" s="14" t="n">
        <f aca="false">Chase1168_2025!B1043</f>
        <v>45820</v>
      </c>
      <c r="C1043" s="0" t="str">
        <f aca="false">Chase1168_2025!C1043</f>
        <v>PP*SPOTIFY*P379C98EAB 203-318-9708 NY        06/12</v>
      </c>
      <c r="D1043" s="7" t="n">
        <f aca="false">Chase1168_2025!D1043</f>
        <v>-11.99</v>
      </c>
      <c r="E1043" s="0" t="str">
        <f aca="false">Chase1168_2025!E1043</f>
        <v>DEBIT_CARD</v>
      </c>
      <c r="F1043" s="7" t="n">
        <f aca="false">Chase1168_2025!F1043</f>
        <v>42845.5</v>
      </c>
      <c r="G1043" s="0" t="str">
        <f aca="false">Chase1168_2025!G1043</f>
        <v>Personal - Subscriptions</v>
      </c>
      <c r="H1043" s="15" t="n">
        <f aca="false">IF($B1043="","",DATE(YEAR($B1043),MONTH($B1043),1))</f>
        <v>45809</v>
      </c>
      <c r="I1043" s="0" t="str">
        <f aca="false">IF($G1043="","Uncategorized — Review",IFERROR(INDEX(Mapping!$B:$B,MATCH($G1043,Mapping!$A:$A,0)),"Uncategorized — Review"))</f>
        <v>Personal - Subscriptions</v>
      </c>
      <c r="J1043" s="0" t="str">
        <f aca="false">IF($G1043="","Uncategorized — Review",IFERROR(INDEX(Mapping!$C:$C,MATCH($G1043,Mapping!$A:$A,0)),"Uncategorized — Review"))</f>
        <v>Personal — Owner</v>
      </c>
    </row>
    <row r="1044" customFormat="false" ht="15" hidden="false" customHeight="false" outlineLevel="0" collapsed="false">
      <c r="A1044" s="0" t="str">
        <f aca="false">Chase1168_2025!A1044</f>
        <v>DEBIT</v>
      </c>
      <c r="B1044" s="14" t="n">
        <f aca="false">Chase1168_2025!B1044</f>
        <v>45819</v>
      </c>
      <c r="C1044" s="0" t="str">
        <f aca="false">Chase1168_2025!C1044</f>
        <v>Online Transfer to CHK ...1117 transaction#: 25094128940 06/11</v>
      </c>
      <c r="D1044" s="7" t="n">
        <f aca="false">Chase1168_2025!D1044</f>
        <v>-5000</v>
      </c>
      <c r="E1044" s="0" t="str">
        <f aca="false">Chase1168_2025!E1044</f>
        <v>ACCT_XFER</v>
      </c>
      <c r="F1044" s="7" t="n">
        <f aca="false">Chase1168_2025!F1044</f>
        <v>42857.49</v>
      </c>
      <c r="G1044" s="0" t="str">
        <f aca="false">Chase1168_2025!G1044</f>
        <v>Transfer to Angela Dunning</v>
      </c>
      <c r="H1044" s="15" t="n">
        <f aca="false">IF($B1044="","",DATE(YEAR($B1044),MONTH($B1044),1))</f>
        <v>45809</v>
      </c>
      <c r="I1044" s="0" t="str">
        <f aca="false">IF($G1044="","Uncategorized — Review",IFERROR(INDEX(Mapping!$B:$B,MATCH($G1044,Mapping!$A:$A,0)),"Uncategorized — Review"))</f>
        <v>Transfer to Angela Dunning</v>
      </c>
      <c r="J1044" s="0" t="str">
        <f aca="false">IF($G1044="","Uncategorized — Review",IFERROR(INDEX(Mapping!$C:$C,MATCH($G1044,Mapping!$A:$A,0)),"Uncategorized — Review"))</f>
        <v>Owner / Family Distributions</v>
      </c>
    </row>
    <row r="1045" customFormat="false" ht="15" hidden="false" customHeight="false" outlineLevel="0" collapsed="false">
      <c r="A1045" s="0" t="str">
        <f aca="false">Chase1168_2025!A1045</f>
        <v>DEBIT</v>
      </c>
      <c r="B1045" s="14" t="n">
        <f aca="false">Chase1168_2025!B1045</f>
        <v>45819</v>
      </c>
      <c r="C1045" s="0" t="str">
        <f aca="false">Chase1168_2025!C1045</f>
        <v>Online Transfer to CHK ...7899 transaction#: 25094105298 06/11</v>
      </c>
      <c r="D1045" s="7" t="n">
        <f aca="false">Chase1168_2025!D1045</f>
        <v>-23000</v>
      </c>
      <c r="E1045" s="0" t="str">
        <f aca="false">Chase1168_2025!E1045</f>
        <v>ACCT_XFER</v>
      </c>
      <c r="F1045" s="7" t="n">
        <f aca="false">Chase1168_2025!F1045</f>
        <v>47857.49</v>
      </c>
      <c r="G1045" s="0" t="str">
        <f aca="false">Chase1168_2025!G1045</f>
        <v>Transfer to TX Personal Joint</v>
      </c>
      <c r="H1045" s="15" t="n">
        <f aca="false">IF($B1045="","",DATE(YEAR($B1045),MONTH($B1045),1))</f>
        <v>45809</v>
      </c>
      <c r="I1045" s="0" t="str">
        <f aca="false">IF($G1045="","Uncategorized — Review",IFERROR(INDEX(Mapping!$B:$B,MATCH($G1045,Mapping!$A:$A,0)),"Uncategorized — Review"))</f>
        <v>Transfer to TX Personal Joint</v>
      </c>
      <c r="J1045" s="0" t="str">
        <f aca="false">IF($G1045="","Uncategorized — Review",IFERROR(INDEX(Mapping!$C:$C,MATCH($G1045,Mapping!$A:$A,0)),"Uncategorized — Review"))</f>
        <v>Owner / Family Distributions</v>
      </c>
    </row>
    <row r="1046" customFormat="false" ht="15" hidden="false" customHeight="false" outlineLevel="0" collapsed="false">
      <c r="A1046" s="0" t="str">
        <f aca="false">Chase1168_2025!A1046</f>
        <v>DEBIT</v>
      </c>
      <c r="B1046" s="14" t="n">
        <f aca="false">Chase1168_2025!B1046</f>
        <v>45819</v>
      </c>
      <c r="C1046" s="0" t="str">
        <f aca="false">Chase1168_2025!C1046</f>
        <v>Online Payment 25091695142 To LOS ANGELES MUNICIPAL SERVICE 06/11</v>
      </c>
      <c r="D1046" s="7" t="n">
        <f aca="false">Chase1168_2025!D1046</f>
        <v>-1473.45</v>
      </c>
      <c r="E1046" s="0" t="str">
        <f aca="false">Chase1168_2025!E1046</f>
        <v>BILLPAY</v>
      </c>
      <c r="F1046" s="7" t="n">
        <f aca="false">Chase1168_2025!F1046</f>
        <v>70857.49</v>
      </c>
      <c r="G1046" s="0" t="str">
        <f aca="false">Chase1168_2025!G1046</f>
        <v>Bill Payment</v>
      </c>
      <c r="H1046" s="15" t="n">
        <f aca="false">IF($B1046="","",DATE(YEAR($B1046),MONTH($B1046),1))</f>
        <v>45809</v>
      </c>
      <c r="I1046" s="0" t="str">
        <f aca="false">IF($G1046="","Uncategorized — Review",IFERROR(INDEX(Mapping!$B:$B,MATCH($G1046,Mapping!$A:$A,0)),"Uncategorized — Review"))</f>
        <v>Bill Payment</v>
      </c>
      <c r="J1046" s="0" t="str">
        <f aca="false">IF($G1046="","Uncategorized — Review",IFERROR(INDEX(Mapping!$C:$C,MATCH($G1046,Mapping!$A:$A,0)),"Uncategorized — Review"))</f>
        <v>DWG Operating</v>
      </c>
    </row>
    <row r="1047" customFormat="false" ht="15" hidden="false" customHeight="false" outlineLevel="0" collapsed="false">
      <c r="A1047" s="0" t="str">
        <f aca="false">Chase1168_2025!A1047</f>
        <v>DEBIT</v>
      </c>
      <c r="B1047" s="14" t="n">
        <f aca="false">Chase1168_2025!B1047</f>
        <v>45819</v>
      </c>
      <c r="C1047" s="0" t="str">
        <f aca="false">Chase1168_2025!C1047</f>
        <v>Online Transfer to CHK ...0709 transaction#: 25091680917 06/11</v>
      </c>
      <c r="D1047" s="7" t="n">
        <f aca="false">Chase1168_2025!D1047</f>
        <v>-1000</v>
      </c>
      <c r="E1047" s="0" t="str">
        <f aca="false">Chase1168_2025!E1047</f>
        <v>ACCT_XFER</v>
      </c>
      <c r="F1047" s="7" t="n">
        <f aca="false">Chase1168_2025!F1047</f>
        <v>72330.94</v>
      </c>
      <c r="G1047" s="0" t="str">
        <f aca="false">Chase1168_2025!G1047</f>
        <v>Transfer to DWG Capital Group_Savings</v>
      </c>
      <c r="H1047" s="15" t="n">
        <f aca="false">IF($B1047="","",DATE(YEAR($B1047),MONTH($B1047),1))</f>
        <v>45809</v>
      </c>
      <c r="I1047" s="0" t="str">
        <f aca="false">IF($G1047="","Uncategorized — Review",IFERROR(INDEX(Mapping!$B:$B,MATCH($G1047,Mapping!$A:$A,0)),"Uncategorized — Review"))</f>
        <v>Transfer to DWG Savings</v>
      </c>
      <c r="J1047" s="0" t="str">
        <f aca="false">IF($G1047="","Uncategorized — Review",IFERROR(INDEX(Mapping!$C:$C,MATCH($G1047,Mapping!$A:$A,0)),"Uncategorized — Review"))</f>
        <v>Intercompany &amp; Savings Transfers</v>
      </c>
    </row>
    <row r="1048" customFormat="false" ht="15" hidden="false" customHeight="false" outlineLevel="0" collapsed="false">
      <c r="A1048" s="0" t="str">
        <f aca="false">Chase1168_2025!A1048</f>
        <v>DEBIT</v>
      </c>
      <c r="B1048" s="14" t="n">
        <f aca="false">Chase1168_2025!B1048</f>
        <v>45819</v>
      </c>
      <c r="C1048" s="0" t="str">
        <f aca="false">Chase1168_2025!C1048</f>
        <v>ORIG CO NAME:GM Financial           ORIG ID:I522190781 DESC DATE:250611 CO ENTRY DESCR:GMF Pymt  SEC:PPD    TRACE#:091000010612020 EED:250611   IND ID:                             IND NAME:ANGELA DUNNING TRN: 1620612020TC</v>
      </c>
      <c r="D1048" s="7" t="n">
        <f aca="false">Chase1168_2025!D1048</f>
        <v>-1249.96</v>
      </c>
      <c r="E1048" s="0" t="str">
        <f aca="false">Chase1168_2025!E1048</f>
        <v>ACH_DEBIT</v>
      </c>
      <c r="F1048" s="7" t="n">
        <f aca="false">Chase1168_2025!F1048</f>
        <v>73330.94</v>
      </c>
      <c r="G1048" s="0" t="str">
        <f aca="false">Chase1168_2025!G1048</f>
        <v>Personal - Car</v>
      </c>
      <c r="H1048" s="15" t="n">
        <f aca="false">IF($B1048="","",DATE(YEAR($B1048),MONTH($B1048),1))</f>
        <v>45809</v>
      </c>
      <c r="I1048" s="0" t="str">
        <f aca="false">IF($G1048="","Uncategorized — Review",IFERROR(INDEX(Mapping!$B:$B,MATCH($G1048,Mapping!$A:$A,0)),"Uncategorized — Review"))</f>
        <v>Personal - Car &amp; Auto</v>
      </c>
      <c r="J1048" s="0" t="str">
        <f aca="false">IF($G1048="","Uncategorized — Review",IFERROR(INDEX(Mapping!$C:$C,MATCH($G1048,Mapping!$A:$A,0)),"Uncategorized — Review"))</f>
        <v>Personal — Owner</v>
      </c>
    </row>
    <row r="1049" customFormat="false" ht="15" hidden="false" customHeight="false" outlineLevel="0" collapsed="false">
      <c r="A1049" s="0" t="str">
        <f aca="false">Chase1168_2025!A1049</f>
        <v>DEBIT</v>
      </c>
      <c r="B1049" s="14" t="n">
        <f aca="false">Chase1168_2025!B1049</f>
        <v>45819</v>
      </c>
      <c r="C1049" s="0" t="str">
        <f aca="false">Chase1168_2025!C1049</f>
        <v>ORIG CO NAME:ALLSTATE V&amp;P INS       ORIG ID:1360719665 DESC DATE:JUN 25 CO ENTRY DESCR:INS PREM  SEC:PPD    TRACE#:021000024777174 EED:250611   IND ID:                             IND NAME:DUNNING TRN: 1624777174TC</v>
      </c>
      <c r="D1049" s="7" t="n">
        <f aca="false">Chase1168_2025!D1049</f>
        <v>-1533.71</v>
      </c>
      <c r="E1049" s="0" t="str">
        <f aca="false">Chase1168_2025!E1049</f>
        <v>ACH_DEBIT</v>
      </c>
      <c r="F1049" s="7" t="n">
        <f aca="false">Chase1168_2025!F1049</f>
        <v>74580.9</v>
      </c>
      <c r="G1049" s="0" t="str">
        <f aca="false">Chase1168_2025!G1049</f>
        <v>Personal - Car</v>
      </c>
      <c r="H1049" s="15" t="n">
        <f aca="false">IF($B1049="","",DATE(YEAR($B1049),MONTH($B1049),1))</f>
        <v>45809</v>
      </c>
      <c r="I1049" s="0" t="str">
        <f aca="false">IF($G1049="","Uncategorized — Review",IFERROR(INDEX(Mapping!$B:$B,MATCH($G1049,Mapping!$A:$A,0)),"Uncategorized — Review"))</f>
        <v>Personal - Car &amp; Auto</v>
      </c>
      <c r="J1049" s="0" t="str">
        <f aca="false">IF($G1049="","Uncategorized — Review",IFERROR(INDEX(Mapping!$C:$C,MATCH($G1049,Mapping!$A:$A,0)),"Uncategorized — Review"))</f>
        <v>Personal — Owner</v>
      </c>
    </row>
    <row r="1050" customFormat="false" ht="15" hidden="false" customHeight="false" outlineLevel="0" collapsed="false">
      <c r="A1050" s="0" t="str">
        <f aca="false">Chase1168_2025!A1050</f>
        <v>DEBIT</v>
      </c>
      <c r="B1050" s="14" t="n">
        <f aca="false">Chase1168_2025!B1050</f>
        <v>45819</v>
      </c>
      <c r="C1050" s="0" t="str">
        <f aca="false">Chase1168_2025!C1050</f>
        <v>PAYPAL *RUTHALCANCI 402-935-7733 CA          06/11</v>
      </c>
      <c r="D1050" s="7" t="n">
        <f aca="false">Chase1168_2025!D1050</f>
        <v>-270</v>
      </c>
      <c r="E1050" s="0" t="str">
        <f aca="false">Chase1168_2025!E1050</f>
        <v>DEBIT_CARD</v>
      </c>
      <c r="F1050" s="7" t="n">
        <f aca="false">Chase1168_2025!F1050</f>
        <v>76114.61</v>
      </c>
      <c r="G1050" s="0" t="str">
        <f aca="false">Chase1168_2025!G1050</f>
        <v>Ruth Alcancia - Forward Bridge Payment</v>
      </c>
      <c r="H1050" s="15" t="n">
        <f aca="false">IF($B1050="","",DATE(YEAR($B1050),MONTH($B1050),1))</f>
        <v>45809</v>
      </c>
      <c r="I1050" s="0" t="str">
        <f aca="false">IF($G1050="","Uncategorized — Review",IFERROR(INDEX(Mapping!$B:$B,MATCH($G1050,Mapping!$A:$A,0)),"Uncategorized — Review"))</f>
        <v>Ruth Alcancia - Forward Bridge Payment</v>
      </c>
      <c r="J1050" s="0" t="str">
        <f aca="false">IF($G1050="","Uncategorized — Review",IFERROR(INDEX(Mapping!$C:$C,MATCH($G1050,Mapping!$A:$A,0)),"Uncategorized — Review"))</f>
        <v>Payroll &amp; Contractors</v>
      </c>
    </row>
    <row r="1051" customFormat="false" ht="15" hidden="false" customHeight="false" outlineLevel="0" collapsed="false">
      <c r="A1051" s="0" t="str">
        <f aca="false">Chase1168_2025!A1051</f>
        <v>DEBIT</v>
      </c>
      <c r="B1051" s="14" t="n">
        <f aca="false">Chase1168_2025!B1051</f>
        <v>45819</v>
      </c>
      <c r="C1051" s="0" t="str">
        <f aca="false">Chase1168_2025!C1051</f>
        <v>PAYPAL *EPOCH TIMES T 833-699-1888 NY        06/10</v>
      </c>
      <c r="D1051" s="7" t="n">
        <f aca="false">Chase1168_2025!D1051</f>
        <v>-16</v>
      </c>
      <c r="E1051" s="0" t="str">
        <f aca="false">Chase1168_2025!E1051</f>
        <v>DEBIT_CARD</v>
      </c>
      <c r="F1051" s="7" t="n">
        <f aca="false">Chase1168_2025!F1051</f>
        <v>76384.61</v>
      </c>
      <c r="G1051" s="0" t="str">
        <f aca="false">Chase1168_2025!G1051</f>
        <v>Personal - Subscriptions</v>
      </c>
      <c r="H1051" s="15" t="n">
        <f aca="false">IF($B1051="","",DATE(YEAR($B1051),MONTH($B1051),1))</f>
        <v>45809</v>
      </c>
      <c r="I1051" s="0" t="str">
        <f aca="false">IF($G1051="","Uncategorized — Review",IFERROR(INDEX(Mapping!$B:$B,MATCH($G1051,Mapping!$A:$A,0)),"Uncategorized — Review"))</f>
        <v>Personal - Subscriptions</v>
      </c>
      <c r="J1051" s="0" t="str">
        <f aca="false">IF($G1051="","Uncategorized — Review",IFERROR(INDEX(Mapping!$C:$C,MATCH($G1051,Mapping!$A:$A,0)),"Uncategorized — Review"))</f>
        <v>Personal — Owner</v>
      </c>
    </row>
    <row r="1052" customFormat="false" ht="15" hidden="false" customHeight="false" outlineLevel="0" collapsed="false">
      <c r="A1052" s="0" t="str">
        <f aca="false">Chase1168_2025!A1052</f>
        <v>CREDIT</v>
      </c>
      <c r="B1052" s="14" t="n">
        <f aca="false">Chase1168_2025!B1052</f>
        <v>45819</v>
      </c>
      <c r="C1052" s="0" t="str">
        <f aca="false">Chase1168_2025!C1052</f>
        <v>Online Transfer from CHK ...8061 transaction#: 25094083466</v>
      </c>
      <c r="D1052" s="7" t="n">
        <f aca="false">Chase1168_2025!D1052</f>
        <v>20000</v>
      </c>
      <c r="E1052" s="0" t="str">
        <f aca="false">Chase1168_2025!E1052</f>
        <v>ACCT_XFER</v>
      </c>
      <c r="F1052" s="7" t="n">
        <f aca="false">Chase1168_2025!F1052</f>
        <v>76400.61</v>
      </c>
      <c r="G1052" s="0" t="str">
        <f aca="false">Chase1168_2025!G1052</f>
        <v>Internal Transfer</v>
      </c>
      <c r="H1052" s="15" t="n">
        <f aca="false">IF($B1052="","",DATE(YEAR($B1052),MONTH($B1052),1))</f>
        <v>45809</v>
      </c>
      <c r="I1052" s="0" t="str">
        <f aca="false">IF($G1052="","Uncategorized — Review",IFERROR(INDEX(Mapping!$B:$B,MATCH($G1052,Mapping!$A:$A,0)),"Uncategorized — Review"))</f>
        <v>Internal Transfer</v>
      </c>
      <c r="J1052" s="0" t="str">
        <f aca="false">IF($G1052="","Uncategorized — Review",IFERROR(INDEX(Mapping!$C:$C,MATCH($G1052,Mapping!$A:$A,0)),"Uncategorized — Review"))</f>
        <v>Intercompany &amp; Savings Transfers</v>
      </c>
    </row>
    <row r="1053" customFormat="false" ht="15" hidden="false" customHeight="false" outlineLevel="0" collapsed="false">
      <c r="A1053" s="0" t="str">
        <f aca="false">Chase1168_2025!A1053</f>
        <v>CREDIT</v>
      </c>
      <c r="B1053" s="14" t="n">
        <f aca="false">Chase1168_2025!B1053</f>
        <v>45819</v>
      </c>
      <c r="C1053" s="0" t="str">
        <f aca="false">Chase1168_2025!C1053</f>
        <v>Online Transfer from CHK ...9335 transaction#: 25094067351</v>
      </c>
      <c r="D1053" s="7" t="n">
        <f aca="false">Chase1168_2025!D1053</f>
        <v>43000</v>
      </c>
      <c r="E1053" s="0" t="str">
        <f aca="false">Chase1168_2025!E1053</f>
        <v>ACCT_XFER</v>
      </c>
      <c r="F1053" s="7" t="n">
        <f aca="false">Chase1168_2025!F1053</f>
        <v>56400.61</v>
      </c>
      <c r="G1053" s="0" t="str">
        <f aca="false">Chase1168_2025!G1053</f>
        <v>Poseidon Asset Group (Incoming)</v>
      </c>
      <c r="H1053" s="15" t="n">
        <f aca="false">IF($B1053="","",DATE(YEAR($B1053),MONTH($B1053),1))</f>
        <v>45809</v>
      </c>
      <c r="I1053" s="0" t="str">
        <f aca="false">IF($G1053="","Uncategorized — Review",IFERROR(INDEX(Mapping!$B:$B,MATCH($G1053,Mapping!$A:$A,0)),"Uncategorized — Review"))</f>
        <v>Poseidon Asset Group (Incoming)</v>
      </c>
      <c r="J1053" s="0" t="str">
        <f aca="false">IF($G1053="","Uncategorized — Review",IFERROR(INDEX(Mapping!$C:$C,MATCH($G1053,Mapping!$A:$A,0)),"Uncategorized — Review"))</f>
        <v>Poseidon Asset Group</v>
      </c>
    </row>
    <row r="1054" customFormat="false" ht="15" hidden="false" customHeight="false" outlineLevel="0" collapsed="false">
      <c r="A1054" s="0" t="str">
        <f aca="false">Chase1168_2025!A1054</f>
        <v>DEBIT</v>
      </c>
      <c r="B1054" s="14" t="n">
        <f aca="false">Chase1168_2025!B1054</f>
        <v>45818</v>
      </c>
      <c r="C1054" s="0" t="str">
        <f aca="false">Chase1168_2025!C1054</f>
        <v>Online Transfer to CHK ...0805 transaction#: 25086125336 06/10</v>
      </c>
      <c r="D1054" s="7" t="n">
        <f aca="false">Chase1168_2025!D1054</f>
        <v>-500</v>
      </c>
      <c r="E1054" s="0" t="str">
        <f aca="false">Chase1168_2025!E1054</f>
        <v>ACCT_XFER</v>
      </c>
      <c r="F1054" s="7" t="n">
        <f aca="false">Chase1168_2025!F1054</f>
        <v>13400.61</v>
      </c>
      <c r="G1054" s="0" t="str">
        <f aca="false">Chase1168_2025!G1054</f>
        <v>Transfer to Breese Marketing</v>
      </c>
      <c r="H1054" s="15" t="n">
        <f aca="false">IF($B1054="","",DATE(YEAR($B1054),MONTH($B1054),1))</f>
        <v>45809</v>
      </c>
      <c r="I1054" s="0" t="str">
        <f aca="false">IF($G1054="","Uncategorized — Review",IFERROR(INDEX(Mapping!$B:$B,MATCH($G1054,Mapping!$A:$A,0)),"Uncategorized — Review"))</f>
        <v>Transfer to Breese Marketing</v>
      </c>
      <c r="J1054" s="0" t="str">
        <f aca="false">IF($G1054="","Uncategorized — Review",IFERROR(INDEX(Mapping!$C:$C,MATCH($G1054,Mapping!$A:$A,0)),"Uncategorized — Review"))</f>
        <v>Intercompany &amp; Savings Transfers</v>
      </c>
    </row>
    <row r="1055" customFormat="false" ht="15" hidden="false" customHeight="false" outlineLevel="0" collapsed="false">
      <c r="A1055" s="0" t="str">
        <f aca="false">Chase1168_2025!A1055</f>
        <v>DEBIT</v>
      </c>
      <c r="B1055" s="14" t="n">
        <f aca="false">Chase1168_2025!B1055</f>
        <v>45818</v>
      </c>
      <c r="C1055" s="0" t="str">
        <f aca="false">Chase1168_2025!C1055</f>
        <v>HLU*HULUPLUS hulu.com/bill CA                06/10</v>
      </c>
      <c r="D1055" s="7" t="n">
        <f aca="false">Chase1168_2025!D1055</f>
        <v>-53.97</v>
      </c>
      <c r="E1055" s="0" t="str">
        <f aca="false">Chase1168_2025!E1055</f>
        <v>DEBIT_CARD</v>
      </c>
      <c r="F1055" s="7" t="n">
        <f aca="false">Chase1168_2025!F1055</f>
        <v>13900.61</v>
      </c>
      <c r="G1055" s="0" t="str">
        <f aca="false">Chase1168_2025!G1055</f>
        <v>Personal - Subscriptions</v>
      </c>
      <c r="H1055" s="15" t="n">
        <f aca="false">IF($B1055="","",DATE(YEAR($B1055),MONTH($B1055),1))</f>
        <v>45809</v>
      </c>
      <c r="I1055" s="0" t="str">
        <f aca="false">IF($G1055="","Uncategorized — Review",IFERROR(INDEX(Mapping!$B:$B,MATCH($G1055,Mapping!$A:$A,0)),"Uncategorized — Review"))</f>
        <v>Personal - Subscriptions</v>
      </c>
      <c r="J1055" s="0" t="str">
        <f aca="false">IF($G1055="","Uncategorized — Review",IFERROR(INDEX(Mapping!$C:$C,MATCH($G1055,Mapping!$A:$A,0)),"Uncategorized — Review"))</f>
        <v>Personal — Owner</v>
      </c>
    </row>
    <row r="1056" customFormat="false" ht="15" hidden="false" customHeight="false" outlineLevel="0" collapsed="false">
      <c r="A1056" s="0" t="str">
        <f aca="false">Chase1168_2025!A1056</f>
        <v>DEBIT</v>
      </c>
      <c r="B1056" s="14" t="n">
        <f aca="false">Chase1168_2025!B1056</f>
        <v>45818</v>
      </c>
      <c r="C1056" s="0" t="str">
        <f aca="false">Chase1168_2025!C1056</f>
        <v>PAYPAL *CHURCH ROSE 402-935-7733 CA          06/10</v>
      </c>
      <c r="D1056" s="7" t="n">
        <f aca="false">Chase1168_2025!D1056</f>
        <v>-40</v>
      </c>
      <c r="E1056" s="0" t="str">
        <f aca="false">Chase1168_2025!E1056</f>
        <v>DEBIT_CARD</v>
      </c>
      <c r="F1056" s="7" t="n">
        <f aca="false">Chase1168_2025!F1056</f>
        <v>13954.58</v>
      </c>
      <c r="G1056" s="0" t="str">
        <f aca="false">Chase1168_2025!G1056</f>
        <v>PayPal</v>
      </c>
      <c r="H1056" s="15" t="n">
        <f aca="false">IF($B1056="","",DATE(YEAR($B1056),MONTH($B1056),1))</f>
        <v>45809</v>
      </c>
      <c r="I1056" s="0" t="str">
        <f aca="false">IF($G1056="","Uncategorized — Review",IFERROR(INDEX(Mapping!$B:$B,MATCH($G1056,Mapping!$A:$A,0)),"Uncategorized — Review"))</f>
        <v>PayPal</v>
      </c>
      <c r="J1056" s="0" t="str">
        <f aca="false">IF($G1056="","Uncategorized — Review",IFERROR(INDEX(Mapping!$C:$C,MATCH($G1056,Mapping!$A:$A,0)),"Uncategorized — Review"))</f>
        <v>P2P Payments (Zelle/Venmo/PayPal)</v>
      </c>
    </row>
    <row r="1057" customFormat="false" ht="15" hidden="false" customHeight="false" outlineLevel="0" collapsed="false">
      <c r="A1057" s="0" t="str">
        <f aca="false">Chase1168_2025!A1057</f>
        <v>DEBIT</v>
      </c>
      <c r="B1057" s="14" t="n">
        <f aca="false">Chase1168_2025!B1057</f>
        <v>45818</v>
      </c>
      <c r="C1057" s="0" t="str">
        <f aca="false">Chase1168_2025!C1057</f>
        <v>PAYPAL *RUTHALCANCI 402-935-7733 CA          06/10</v>
      </c>
      <c r="D1057" s="7" t="n">
        <f aca="false">Chase1168_2025!D1057</f>
        <v>-30</v>
      </c>
      <c r="E1057" s="0" t="str">
        <f aca="false">Chase1168_2025!E1057</f>
        <v>DEBIT_CARD</v>
      </c>
      <c r="F1057" s="7" t="n">
        <f aca="false">Chase1168_2025!F1057</f>
        <v>13994.58</v>
      </c>
      <c r="G1057" s="0" t="str">
        <f aca="false">Chase1168_2025!G1057</f>
        <v>Ruth Alcancia - Forward Bridge Payment</v>
      </c>
      <c r="H1057" s="15" t="n">
        <f aca="false">IF($B1057="","",DATE(YEAR($B1057),MONTH($B1057),1))</f>
        <v>45809</v>
      </c>
      <c r="I1057" s="0" t="str">
        <f aca="false">IF($G1057="","Uncategorized — Review",IFERROR(INDEX(Mapping!$B:$B,MATCH($G1057,Mapping!$A:$A,0)),"Uncategorized — Review"))</f>
        <v>Ruth Alcancia - Forward Bridge Payment</v>
      </c>
      <c r="J1057" s="0" t="str">
        <f aca="false">IF($G1057="","Uncategorized — Review",IFERROR(INDEX(Mapping!$C:$C,MATCH($G1057,Mapping!$A:$A,0)),"Uncategorized — Review"))</f>
        <v>Payroll &amp; Contractors</v>
      </c>
    </row>
    <row r="1058" customFormat="false" ht="15" hidden="false" customHeight="false" outlineLevel="0" collapsed="false">
      <c r="A1058" s="0" t="str">
        <f aca="false">Chase1168_2025!A1058</f>
        <v>DEBIT</v>
      </c>
      <c r="B1058" s="14" t="n">
        <f aca="false">Chase1168_2025!B1058</f>
        <v>45818</v>
      </c>
      <c r="C1058" s="0" t="str">
        <f aca="false">Chase1168_2025!C1058</f>
        <v>Online Transfer to CHK ...1117 transaction#: 25076703692 06/10</v>
      </c>
      <c r="D1058" s="7" t="n">
        <f aca="false">Chase1168_2025!D1058</f>
        <v>-1000</v>
      </c>
      <c r="E1058" s="0" t="str">
        <f aca="false">Chase1168_2025!E1058</f>
        <v>ACCT_XFER</v>
      </c>
      <c r="F1058" s="7" t="n">
        <f aca="false">Chase1168_2025!F1058</f>
        <v>14024.58</v>
      </c>
      <c r="G1058" s="0" t="str">
        <f aca="false">Chase1168_2025!G1058</f>
        <v>Transfer to Angela Dunning</v>
      </c>
      <c r="H1058" s="15" t="n">
        <f aca="false">IF($B1058="","",DATE(YEAR($B1058),MONTH($B1058),1))</f>
        <v>45809</v>
      </c>
      <c r="I1058" s="0" t="str">
        <f aca="false">IF($G1058="","Uncategorized — Review",IFERROR(INDEX(Mapping!$B:$B,MATCH($G1058,Mapping!$A:$A,0)),"Uncategorized — Review"))</f>
        <v>Transfer to Angela Dunning</v>
      </c>
      <c r="J1058" s="0" t="str">
        <f aca="false">IF($G1058="","Uncategorized — Review",IFERROR(INDEX(Mapping!$C:$C,MATCH($G1058,Mapping!$A:$A,0)),"Uncategorized — Review"))</f>
        <v>Owner / Family Distributions</v>
      </c>
    </row>
    <row r="1059" customFormat="false" ht="15" hidden="false" customHeight="false" outlineLevel="0" collapsed="false">
      <c r="A1059" s="0" t="str">
        <f aca="false">Chase1168_2025!A1059</f>
        <v>DEBIT</v>
      </c>
      <c r="B1059" s="14" t="n">
        <f aca="false">Chase1168_2025!B1059</f>
        <v>45818</v>
      </c>
      <c r="C1059" s="0" t="str">
        <f aca="false">Chase1168_2025!C1059</f>
        <v>Zelle payment to Aaron Frankel JPM99bbmur1g</v>
      </c>
      <c r="D1059" s="7" t="n">
        <f aca="false">Chase1168_2025!D1059</f>
        <v>-500</v>
      </c>
      <c r="E1059" s="0" t="str">
        <f aca="false">Chase1168_2025!E1059</f>
        <v>CHASE_TO_PARTNERFI</v>
      </c>
      <c r="F1059" s="7" t="n">
        <f aca="false">Chase1168_2025!F1059</f>
        <v>15024.58</v>
      </c>
      <c r="G1059" s="0" t="str">
        <f aca="false">Chase1168_2025!G1059</f>
        <v>Zelle - Aaron Frankel</v>
      </c>
      <c r="H1059" s="15" t="n">
        <f aca="false">IF($B1059="","",DATE(YEAR($B1059),MONTH($B1059),1))</f>
        <v>45809</v>
      </c>
      <c r="I1059" s="0" t="str">
        <f aca="false">IF($G1059="","Uncategorized — Review",IFERROR(INDEX(Mapping!$B:$B,MATCH($G1059,Mapping!$A:$A,0)),"Uncategorized — Review"))</f>
        <v>Zelle - Aaron Frankel</v>
      </c>
      <c r="J1059" s="0" t="str">
        <f aca="false">IF($G1059="","Uncategorized — Review",IFERROR(INDEX(Mapping!$C:$C,MATCH($G1059,Mapping!$A:$A,0)),"Uncategorized — Review"))</f>
        <v>P2P Payments (Zelle/Venmo/PayPal)</v>
      </c>
    </row>
    <row r="1060" customFormat="false" ht="15" hidden="false" customHeight="false" outlineLevel="0" collapsed="false">
      <c r="A1060" s="0" t="str">
        <f aca="false">Chase1168_2025!A1060</f>
        <v>DEBIT</v>
      </c>
      <c r="B1060" s="14" t="n">
        <f aca="false">Chase1168_2025!B1060</f>
        <v>45818</v>
      </c>
      <c r="C1060" s="0" t="str">
        <f aca="false">Chase1168_2025!C1060</f>
        <v>Zelle payment to Jeffrey Seider JPM99bbmuhyg</v>
      </c>
      <c r="D1060" s="7" t="n">
        <f aca="false">Chase1168_2025!D1060</f>
        <v>-150</v>
      </c>
      <c r="E1060" s="0" t="str">
        <f aca="false">Chase1168_2025!E1060</f>
        <v>CHASE_TO_PARTNERFI</v>
      </c>
      <c r="F1060" s="7" t="n">
        <f aca="false">Chase1168_2025!F1060</f>
        <v>15524.58</v>
      </c>
      <c r="G1060" s="0" t="str">
        <f aca="false">Chase1168_2025!G1060</f>
        <v>Zelle - Jeff Seider</v>
      </c>
      <c r="H1060" s="15" t="n">
        <f aca="false">IF($B1060="","",DATE(YEAR($B1060),MONTH($B1060),1))</f>
        <v>45809</v>
      </c>
      <c r="I1060" s="0" t="str">
        <f aca="false">IF($G1060="","Uncategorized — Review",IFERROR(INDEX(Mapping!$B:$B,MATCH($G1060,Mapping!$A:$A,0)),"Uncategorized — Review"))</f>
        <v>Zelle - Jeff Seider</v>
      </c>
      <c r="J1060" s="0" t="str">
        <f aca="false">IF($G1060="","Uncategorized — Review",IFERROR(INDEX(Mapping!$C:$C,MATCH($G1060,Mapping!$A:$A,0)),"Uncategorized — Review"))</f>
        <v>P2P Payments (Zelle/Venmo/PayPal)</v>
      </c>
    </row>
    <row r="1061" customFormat="false" ht="15" hidden="false" customHeight="false" outlineLevel="0" collapsed="false">
      <c r="A1061" s="0" t="str">
        <f aca="false">Chase1168_2025!A1061</f>
        <v>DEBIT</v>
      </c>
      <c r="B1061" s="14" t="n">
        <f aca="false">Chase1168_2025!B1061</f>
        <v>45818</v>
      </c>
      <c r="C1061" s="0" t="str">
        <f aca="false">Chase1168_2025!C1061</f>
        <v>Zelle payment to Jeffrey Seider JPM99bbmubm8</v>
      </c>
      <c r="D1061" s="7" t="n">
        <f aca="false">Chase1168_2025!D1061</f>
        <v>-175</v>
      </c>
      <c r="E1061" s="0" t="str">
        <f aca="false">Chase1168_2025!E1061</f>
        <v>CHASE_TO_PARTNERFI</v>
      </c>
      <c r="F1061" s="7" t="n">
        <f aca="false">Chase1168_2025!F1061</f>
        <v>15674.58</v>
      </c>
      <c r="G1061" s="0" t="str">
        <f aca="false">Chase1168_2025!G1061</f>
        <v>Zelle - Jeff Seider</v>
      </c>
      <c r="H1061" s="15" t="n">
        <f aca="false">IF($B1061="","",DATE(YEAR($B1061),MONTH($B1061),1))</f>
        <v>45809</v>
      </c>
      <c r="I1061" s="0" t="str">
        <f aca="false">IF($G1061="","Uncategorized — Review",IFERROR(INDEX(Mapping!$B:$B,MATCH($G1061,Mapping!$A:$A,0)),"Uncategorized — Review"))</f>
        <v>Zelle - Jeff Seider</v>
      </c>
      <c r="J1061" s="0" t="str">
        <f aca="false">IF($G1061="","Uncategorized — Review",IFERROR(INDEX(Mapping!$C:$C,MATCH($G1061,Mapping!$A:$A,0)),"Uncategorized — Review"))</f>
        <v>P2P Payments (Zelle/Venmo/PayPal)</v>
      </c>
    </row>
    <row r="1062" customFormat="false" ht="15" hidden="false" customHeight="false" outlineLevel="0" collapsed="false">
      <c r="A1062" s="0" t="str">
        <f aca="false">Chase1168_2025!A1062</f>
        <v>DEBIT</v>
      </c>
      <c r="B1062" s="14" t="n">
        <f aca="false">Chase1168_2025!B1062</f>
        <v>45818</v>
      </c>
      <c r="C1062" s="0" t="str">
        <f aca="false">Chase1168_2025!C1062</f>
        <v>PP*APPLE.COM/BILL 800-275-2273 CA            06/10</v>
      </c>
      <c r="D1062" s="7" t="n">
        <f aca="false">Chase1168_2025!D1062</f>
        <v>-11.99</v>
      </c>
      <c r="E1062" s="0" t="str">
        <f aca="false">Chase1168_2025!E1062</f>
        <v>DEBIT_CARD</v>
      </c>
      <c r="F1062" s="7" t="n">
        <f aca="false">Chase1168_2025!F1062</f>
        <v>15849.58</v>
      </c>
      <c r="G1062" s="0" t="str">
        <f aca="false">Chase1168_2025!G1062</f>
        <v>Personal - Subscriptions</v>
      </c>
      <c r="H1062" s="15" t="n">
        <f aca="false">IF($B1062="","",DATE(YEAR($B1062),MONTH($B1062),1))</f>
        <v>45809</v>
      </c>
      <c r="I1062" s="0" t="str">
        <f aca="false">IF($G1062="","Uncategorized — Review",IFERROR(INDEX(Mapping!$B:$B,MATCH($G1062,Mapping!$A:$A,0)),"Uncategorized — Review"))</f>
        <v>Personal - Subscriptions</v>
      </c>
      <c r="J1062" s="0" t="str">
        <f aca="false">IF($G1062="","Uncategorized — Review",IFERROR(INDEX(Mapping!$C:$C,MATCH($G1062,Mapping!$A:$A,0)),"Uncategorized — Review"))</f>
        <v>Personal — Owner</v>
      </c>
    </row>
    <row r="1063" customFormat="false" ht="15" hidden="false" customHeight="false" outlineLevel="0" collapsed="false">
      <c r="A1063" s="0" t="str">
        <f aca="false">Chase1168_2025!A1063</f>
        <v>DEBIT</v>
      </c>
      <c r="B1063" s="14" t="n">
        <f aca="false">Chase1168_2025!B1063</f>
        <v>45817</v>
      </c>
      <c r="C1063" s="0" t="str">
        <f aca="false">Chase1168_2025!C1063</f>
        <v>Online Transfer to CHK ...1117 transaction#: 25071815929 06/09</v>
      </c>
      <c r="D1063" s="7" t="n">
        <f aca="false">Chase1168_2025!D1063</f>
        <v>-1000</v>
      </c>
      <c r="E1063" s="0" t="str">
        <f aca="false">Chase1168_2025!E1063</f>
        <v>ACCT_XFER</v>
      </c>
      <c r="F1063" s="7" t="n">
        <f aca="false">Chase1168_2025!F1063</f>
        <v>15861.57</v>
      </c>
      <c r="G1063" s="0" t="str">
        <f aca="false">Chase1168_2025!G1063</f>
        <v>Transfer to Angela Dunning</v>
      </c>
      <c r="H1063" s="15" t="n">
        <f aca="false">IF($B1063="","",DATE(YEAR($B1063),MONTH($B1063),1))</f>
        <v>45809</v>
      </c>
      <c r="I1063" s="0" t="str">
        <f aca="false">IF($G1063="","Uncategorized — Review",IFERROR(INDEX(Mapping!$B:$B,MATCH($G1063,Mapping!$A:$A,0)),"Uncategorized — Review"))</f>
        <v>Transfer to Angela Dunning</v>
      </c>
      <c r="J1063" s="0" t="str">
        <f aca="false">IF($G1063="","Uncategorized — Review",IFERROR(INDEX(Mapping!$C:$C,MATCH($G1063,Mapping!$A:$A,0)),"Uncategorized — Review"))</f>
        <v>Owner / Family Distributions</v>
      </c>
    </row>
    <row r="1064" customFormat="false" ht="15" hidden="false" customHeight="false" outlineLevel="0" collapsed="false">
      <c r="A1064" s="0" t="str">
        <f aca="false">Chase1168_2025!A1064</f>
        <v>DEBIT</v>
      </c>
      <c r="B1064" s="14" t="n">
        <f aca="false">Chase1168_2025!B1064</f>
        <v>45817</v>
      </c>
      <c r="C1064" s="0" t="str">
        <f aca="false">Chase1168_2025!C1064</f>
        <v>Online Transfer to CHK ...6975 transaction#: 25071827091 06/09</v>
      </c>
      <c r="D1064" s="7" t="n">
        <f aca="false">Chase1168_2025!D1064</f>
        <v>-700</v>
      </c>
      <c r="E1064" s="0" t="str">
        <f aca="false">Chase1168_2025!E1064</f>
        <v>ACCT_XFER</v>
      </c>
      <c r="F1064" s="7" t="n">
        <f aca="false">Chase1168_2025!F1064</f>
        <v>16861.57</v>
      </c>
      <c r="G1064" s="0" t="str">
        <f aca="false">Chase1168_2025!G1064</f>
        <v>Transfer to Ava Perez-Dunning</v>
      </c>
      <c r="H1064" s="15" t="n">
        <f aca="false">IF($B1064="","",DATE(YEAR($B1064),MONTH($B1064),1))</f>
        <v>45809</v>
      </c>
      <c r="I1064" s="0" t="str">
        <f aca="false">IF($G1064="","Uncategorized — Review",IFERROR(INDEX(Mapping!$B:$B,MATCH($G1064,Mapping!$A:$A,0)),"Uncategorized — Review"))</f>
        <v>Transfer to Ava Perez-Dunning</v>
      </c>
      <c r="J1064" s="0" t="str">
        <f aca="false">IF($G1064="","Uncategorized — Review",IFERROR(INDEX(Mapping!$C:$C,MATCH($G1064,Mapping!$A:$A,0)),"Uncategorized — Review"))</f>
        <v>Owner / Family Distributions</v>
      </c>
    </row>
    <row r="1065" customFormat="false" ht="15" hidden="false" customHeight="false" outlineLevel="0" collapsed="false">
      <c r="A1065" s="0" t="str">
        <f aca="false">Chase1168_2025!A1065</f>
        <v>DEBIT</v>
      </c>
      <c r="B1065" s="14" t="n">
        <f aca="false">Chase1168_2025!B1065</f>
        <v>45817</v>
      </c>
      <c r="C1065" s="0" t="str">
        <f aca="false">Chase1168_2025!C1065</f>
        <v>INDEED USI25-03125006 AUSTIN TX      362750  06/09</v>
      </c>
      <c r="D1065" s="7" t="n">
        <f aca="false">Chase1168_2025!D1065</f>
        <v>-504.85</v>
      </c>
      <c r="E1065" s="0" t="str">
        <f aca="false">Chase1168_2025!E1065</f>
        <v>DEBIT_CARD</v>
      </c>
      <c r="F1065" s="7" t="n">
        <f aca="false">Chase1168_2025!F1065</f>
        <v>17561.57</v>
      </c>
      <c r="G1065" s="0" t="str">
        <f aca="false">Chase1168_2025!G1065</f>
        <v>DWG HR</v>
      </c>
      <c r="H1065" s="15" t="n">
        <f aca="false">IF($B1065="","",DATE(YEAR($B1065),MONTH($B1065),1))</f>
        <v>45809</v>
      </c>
      <c r="I1065" s="0" t="str">
        <f aca="false">IF($G1065="","Uncategorized — Review",IFERROR(INDEX(Mapping!$B:$B,MATCH($G1065,Mapping!$A:$A,0)),"Uncategorized — Review"))</f>
        <v>DWG HR</v>
      </c>
      <c r="J1065" s="0" t="str">
        <f aca="false">IF($G1065="","Uncategorized — Review",IFERROR(INDEX(Mapping!$C:$C,MATCH($G1065,Mapping!$A:$A,0)),"Uncategorized — Review"))</f>
        <v>Payroll &amp; Contractors</v>
      </c>
    </row>
    <row r="1066" customFormat="false" ht="15" hidden="false" customHeight="false" outlineLevel="0" collapsed="false">
      <c r="A1066" s="0" t="str">
        <f aca="false">Chase1168_2025!A1066</f>
        <v>DEBIT</v>
      </c>
      <c r="B1066" s="14" t="n">
        <f aca="false">Chase1168_2025!B1066</f>
        <v>45817</v>
      </c>
      <c r="C1066" s="0" t="str">
        <f aca="false">Chase1168_2025!C1066</f>
        <v>ORIG CO NAME:VENMO                  ORIG ID:3264681992 DESC DATE:250607 CO ENTRY DESCR:PAYMENT   SEC:WEB    TRACE#:021000022152250 EED:250609   IND ID:1042711566158                IND NAME:JUDD DUNNING                                                                                                 250607PPZGSX TRN: 1602152250TC</v>
      </c>
      <c r="D1066" s="7" t="n">
        <f aca="false">Chase1168_2025!D1066</f>
        <v>-120</v>
      </c>
      <c r="E1066" s="0" t="str">
        <f aca="false">Chase1168_2025!E1066</f>
        <v>ACH_DEBIT</v>
      </c>
      <c r="F1066" s="7" t="n">
        <f aca="false">Chase1168_2025!F1066</f>
        <v>18066.42</v>
      </c>
      <c r="G1066" s="0" t="str">
        <f aca="false">Chase1168_2025!G1066</f>
        <v>Venmo</v>
      </c>
      <c r="H1066" s="15" t="n">
        <f aca="false">IF($B1066="","",DATE(YEAR($B1066),MONTH($B1066),1))</f>
        <v>45809</v>
      </c>
      <c r="I1066" s="0" t="str">
        <f aca="false">IF($G1066="","Uncategorized — Review",IFERROR(INDEX(Mapping!$B:$B,MATCH($G1066,Mapping!$A:$A,0)),"Uncategorized — Review"))</f>
        <v>Venmo</v>
      </c>
      <c r="J1066" s="0" t="str">
        <f aca="false">IF($G1066="","Uncategorized — Review",IFERROR(INDEX(Mapping!$C:$C,MATCH($G1066,Mapping!$A:$A,0)),"Uncategorized — Review"))</f>
        <v>P2P Payments (Zelle/Venmo/PayPal)</v>
      </c>
    </row>
    <row r="1067" customFormat="false" ht="15" hidden="false" customHeight="false" outlineLevel="0" collapsed="false">
      <c r="A1067" s="0" t="str">
        <f aca="false">Chase1168_2025!A1067</f>
        <v>DEBIT</v>
      </c>
      <c r="B1067" s="14" t="n">
        <f aca="false">Chase1168_2025!B1067</f>
        <v>45817</v>
      </c>
      <c r="C1067" s="0" t="str">
        <f aca="false">Chase1168_2025!C1067</f>
        <v>ORIG CO NAME:VENMO                  ORIG ID:3264681992 DESC DATE:250607 CO ENTRY DESCR:PAYMENT   SEC:WEB    TRACE#:021000022152309 EED:250609   IND ID:1042711564181                IND NAME:JUDD DUNNING                                                                                                 250607PPZGSX TRN: 1602152309TC</v>
      </c>
      <c r="D1067" s="7" t="n">
        <f aca="false">Chase1168_2025!D1067</f>
        <v>-400</v>
      </c>
      <c r="E1067" s="0" t="str">
        <f aca="false">Chase1168_2025!E1067</f>
        <v>ACH_DEBIT</v>
      </c>
      <c r="F1067" s="7" t="n">
        <f aca="false">Chase1168_2025!F1067</f>
        <v>18186.42</v>
      </c>
      <c r="G1067" s="0" t="str">
        <f aca="false">Chase1168_2025!G1067</f>
        <v>Venmo</v>
      </c>
      <c r="H1067" s="15" t="n">
        <f aca="false">IF($B1067="","",DATE(YEAR($B1067),MONTH($B1067),1))</f>
        <v>45809</v>
      </c>
      <c r="I1067" s="0" t="str">
        <f aca="false">IF($G1067="","Uncategorized — Review",IFERROR(INDEX(Mapping!$B:$B,MATCH($G1067,Mapping!$A:$A,0)),"Uncategorized — Review"))</f>
        <v>Venmo</v>
      </c>
      <c r="J1067" s="0" t="str">
        <f aca="false">IF($G1067="","Uncategorized — Review",IFERROR(INDEX(Mapping!$C:$C,MATCH($G1067,Mapping!$A:$A,0)),"Uncategorized — Review"))</f>
        <v>P2P Payments (Zelle/Venmo/PayPal)</v>
      </c>
    </row>
    <row r="1068" customFormat="false" ht="15" hidden="false" customHeight="false" outlineLevel="0" collapsed="false">
      <c r="A1068" s="0" t="str">
        <f aca="false">Chase1168_2025!A1068</f>
        <v>DEBIT</v>
      </c>
      <c r="B1068" s="14" t="n">
        <f aca="false">Chase1168_2025!B1068</f>
        <v>45817</v>
      </c>
      <c r="C1068" s="0" t="str">
        <f aca="false">Chase1168_2025!C1068</f>
        <v>ORIG CO NAME:VENMO                  ORIG ID:3264681992 DESC DATE:250607 CO ENTRY DESCR:PAYMENT   SEC:WEB    TRACE#:021000022152282 EED:250609   IND ID:1042711562121                IND NAME:JUDD DUNNING                                                                                                 250607PPZGSX TRN: 1602152282TC</v>
      </c>
      <c r="D1068" s="7" t="n">
        <f aca="false">Chase1168_2025!D1068</f>
        <v>-1250</v>
      </c>
      <c r="E1068" s="0" t="str">
        <f aca="false">Chase1168_2025!E1068</f>
        <v>ACH_DEBIT</v>
      </c>
      <c r="F1068" s="7" t="n">
        <f aca="false">Chase1168_2025!F1068</f>
        <v>18586.42</v>
      </c>
      <c r="G1068" s="0" t="str">
        <f aca="false">Chase1168_2025!G1068</f>
        <v>Venmo</v>
      </c>
      <c r="H1068" s="15" t="n">
        <f aca="false">IF($B1068="","",DATE(YEAR($B1068),MONTH($B1068),1))</f>
        <v>45809</v>
      </c>
      <c r="I1068" s="0" t="str">
        <f aca="false">IF($G1068="","Uncategorized — Review",IFERROR(INDEX(Mapping!$B:$B,MATCH($G1068,Mapping!$A:$A,0)),"Uncategorized — Review"))</f>
        <v>Venmo</v>
      </c>
      <c r="J1068" s="0" t="str">
        <f aca="false">IF($G1068="","Uncategorized — Review",IFERROR(INDEX(Mapping!$C:$C,MATCH($G1068,Mapping!$A:$A,0)),"Uncategorized — Review"))</f>
        <v>P2P Payments (Zelle/Venmo/PayPal)</v>
      </c>
    </row>
    <row r="1069" customFormat="false" ht="15" hidden="false" customHeight="false" outlineLevel="0" collapsed="false">
      <c r="A1069" s="0" t="str">
        <f aca="false">Chase1168_2025!A1069</f>
        <v>DEBIT</v>
      </c>
      <c r="B1069" s="14" t="n">
        <f aca="false">Chase1168_2025!B1069</f>
        <v>45817</v>
      </c>
      <c r="C1069" s="0" t="str">
        <f aca="false">Chase1168_2025!C1069</f>
        <v>PP*APPLE.COM/BILL 800-275-2273 CA            06/08</v>
      </c>
      <c r="D1069" s="7" t="n">
        <f aca="false">Chase1168_2025!D1069</f>
        <v>-8.99</v>
      </c>
      <c r="E1069" s="0" t="str">
        <f aca="false">Chase1168_2025!E1069</f>
        <v>DEBIT_CARD</v>
      </c>
      <c r="F1069" s="7" t="n">
        <f aca="false">Chase1168_2025!F1069</f>
        <v>19836.42</v>
      </c>
      <c r="G1069" s="0" t="str">
        <f aca="false">Chase1168_2025!G1069</f>
        <v>Personal - Subscriptions</v>
      </c>
      <c r="H1069" s="15" t="n">
        <f aca="false">IF($B1069="","",DATE(YEAR($B1069),MONTH($B1069),1))</f>
        <v>45809</v>
      </c>
      <c r="I1069" s="0" t="str">
        <f aca="false">IF($G1069="","Uncategorized — Review",IFERROR(INDEX(Mapping!$B:$B,MATCH($G1069,Mapping!$A:$A,0)),"Uncategorized — Review"))</f>
        <v>Personal - Subscriptions</v>
      </c>
      <c r="J1069" s="0" t="str">
        <f aca="false">IF($G1069="","Uncategorized — Review",IFERROR(INDEX(Mapping!$C:$C,MATCH($G1069,Mapping!$A:$A,0)),"Uncategorized — Review"))</f>
        <v>Personal — Owner</v>
      </c>
    </row>
    <row r="1070" customFormat="false" ht="15" hidden="false" customHeight="false" outlineLevel="0" collapsed="false">
      <c r="A1070" s="0" t="str">
        <f aca="false">Chase1168_2025!A1070</f>
        <v>DEBIT</v>
      </c>
      <c r="B1070" s="14" t="n">
        <f aca="false">Chase1168_2025!B1070</f>
        <v>45817</v>
      </c>
      <c r="C1070" s="0" t="str">
        <f aca="false">Chase1168_2025!C1070</f>
        <v>PP*APPLE.COM/BILL 800-275-2273 CA            06/08</v>
      </c>
      <c r="D1070" s="7" t="n">
        <f aca="false">Chase1168_2025!D1070</f>
        <v>-5</v>
      </c>
      <c r="E1070" s="0" t="str">
        <f aca="false">Chase1168_2025!E1070</f>
        <v>DEBIT_CARD</v>
      </c>
      <c r="F1070" s="7" t="n">
        <f aca="false">Chase1168_2025!F1070</f>
        <v>19845.41</v>
      </c>
      <c r="G1070" s="0" t="str">
        <f aca="false">Chase1168_2025!G1070</f>
        <v>Personal - Subscriptions</v>
      </c>
      <c r="H1070" s="15" t="n">
        <f aca="false">IF($B1070="","",DATE(YEAR($B1070),MONTH($B1070),1))</f>
        <v>45809</v>
      </c>
      <c r="I1070" s="0" t="str">
        <f aca="false">IF($G1070="","Uncategorized — Review",IFERROR(INDEX(Mapping!$B:$B,MATCH($G1070,Mapping!$A:$A,0)),"Uncategorized — Review"))</f>
        <v>Personal - Subscriptions</v>
      </c>
      <c r="J1070" s="0" t="str">
        <f aca="false">IF($G1070="","Uncategorized — Review",IFERROR(INDEX(Mapping!$C:$C,MATCH($G1070,Mapping!$A:$A,0)),"Uncategorized — Review"))</f>
        <v>Personal — Owner</v>
      </c>
    </row>
    <row r="1071" customFormat="false" ht="15" hidden="false" customHeight="false" outlineLevel="0" collapsed="false">
      <c r="A1071" s="0" t="str">
        <f aca="false">Chase1168_2025!A1071</f>
        <v>DEBIT</v>
      </c>
      <c r="B1071" s="14" t="n">
        <f aca="false">Chase1168_2025!B1071</f>
        <v>45817</v>
      </c>
      <c r="C1071" s="0" t="str">
        <f aca="false">Chase1168_2025!C1071</f>
        <v>PAYPAL *LINKEDIN 402-935-7733 CA             06/08</v>
      </c>
      <c r="D1071" s="7" t="n">
        <f aca="false">Chase1168_2025!D1071</f>
        <v>-567.4</v>
      </c>
      <c r="E1071" s="0" t="str">
        <f aca="false">Chase1168_2025!E1071</f>
        <v>DEBIT_CARD</v>
      </c>
      <c r="F1071" s="7" t="n">
        <f aca="false">Chase1168_2025!F1071</f>
        <v>19850.41</v>
      </c>
      <c r="G1071" s="0" t="str">
        <f aca="false">Chase1168_2025!G1071</f>
        <v>DWG HR</v>
      </c>
      <c r="H1071" s="15" t="n">
        <f aca="false">IF($B1071="","",DATE(YEAR($B1071),MONTH($B1071),1))</f>
        <v>45809</v>
      </c>
      <c r="I1071" s="0" t="str">
        <f aca="false">IF($G1071="","Uncategorized — Review",IFERROR(INDEX(Mapping!$B:$B,MATCH($G1071,Mapping!$A:$A,0)),"Uncategorized — Review"))</f>
        <v>DWG HR</v>
      </c>
      <c r="J1071" s="0" t="str">
        <f aca="false">IF($G1071="","Uncategorized — Review",IFERROR(INDEX(Mapping!$C:$C,MATCH($G1071,Mapping!$A:$A,0)),"Uncategorized — Review"))</f>
        <v>Payroll &amp; Contractors</v>
      </c>
    </row>
    <row r="1072" customFormat="false" ht="15" hidden="false" customHeight="false" outlineLevel="0" collapsed="false">
      <c r="A1072" s="0" t="str">
        <f aca="false">Chase1168_2025!A1072</f>
        <v>DEBIT</v>
      </c>
      <c r="B1072" s="14" t="n">
        <f aca="false">Chase1168_2025!B1072</f>
        <v>45814</v>
      </c>
      <c r="C1072" s="0" t="str">
        <f aca="false">Chase1168_2025!C1072</f>
        <v>Online Transfer to CHK ...1117 transaction#: 25030613857 06/06</v>
      </c>
      <c r="D1072" s="7" t="n">
        <f aca="false">Chase1168_2025!D1072</f>
        <v>-2000</v>
      </c>
      <c r="E1072" s="0" t="str">
        <f aca="false">Chase1168_2025!E1072</f>
        <v>ACCT_XFER</v>
      </c>
      <c r="F1072" s="7" t="n">
        <f aca="false">Chase1168_2025!F1072</f>
        <v>20417.81</v>
      </c>
      <c r="G1072" s="0" t="str">
        <f aca="false">Chase1168_2025!G1072</f>
        <v>Transfer to Angela Dunning</v>
      </c>
      <c r="H1072" s="15" t="n">
        <f aca="false">IF($B1072="","",DATE(YEAR($B1072),MONTH($B1072),1))</f>
        <v>45809</v>
      </c>
      <c r="I1072" s="0" t="str">
        <f aca="false">IF($G1072="","Uncategorized — Review",IFERROR(INDEX(Mapping!$B:$B,MATCH($G1072,Mapping!$A:$A,0)),"Uncategorized — Review"))</f>
        <v>Transfer to Angela Dunning</v>
      </c>
      <c r="J1072" s="0" t="str">
        <f aca="false">IF($G1072="","Uncategorized — Review",IFERROR(INDEX(Mapping!$C:$C,MATCH($G1072,Mapping!$A:$A,0)),"Uncategorized — Review"))</f>
        <v>Owner / Family Distributions</v>
      </c>
    </row>
    <row r="1073" customFormat="false" ht="15" hidden="false" customHeight="false" outlineLevel="0" collapsed="false">
      <c r="A1073" s="0" t="str">
        <f aca="false">Chase1168_2025!A1073</f>
        <v>DEBIT</v>
      </c>
      <c r="B1073" s="14" t="n">
        <f aca="false">Chase1168_2025!B1073</f>
        <v>45813</v>
      </c>
      <c r="C1073" s="0" t="str">
        <f aca="false">Chase1168_2025!C1073</f>
        <v>ONLINE FX INTERNATIONAL WIRE FEE</v>
      </c>
      <c r="D1073" s="7" t="n">
        <f aca="false">Chase1168_2025!D1073</f>
        <v>-5</v>
      </c>
      <c r="E1073" s="0" t="str">
        <f aca="false">Chase1168_2025!E1073</f>
        <v>FEE_TRANSACTION</v>
      </c>
      <c r="F1073" s="7" t="n">
        <f aca="false">Chase1168_2025!F1073</f>
        <v>22417.81</v>
      </c>
      <c r="G1073" s="0" t="str">
        <f aca="false">Chase1168_2025!G1073</f>
        <v>Andres Alarcon Payroll</v>
      </c>
      <c r="H1073" s="15" t="n">
        <f aca="false">IF($B1073="","",DATE(YEAR($B1073),MONTH($B1073),1))</f>
        <v>45809</v>
      </c>
      <c r="I1073" s="0" t="str">
        <f aca="false">IF($G1073="","Uncategorized — Review",IFERROR(INDEX(Mapping!$B:$B,MATCH($G1073,Mapping!$A:$A,0)),"Uncategorized — Review"))</f>
        <v>Andres Alarcon Payroll</v>
      </c>
      <c r="J1073" s="0" t="str">
        <f aca="false">IF($G1073="","Uncategorized — Review",IFERROR(INDEX(Mapping!$C:$C,MATCH($G1073,Mapping!$A:$A,0)),"Uncategorized — Review"))</f>
        <v>Payroll &amp; Contractors</v>
      </c>
    </row>
    <row r="1074" customFormat="false" ht="15" hidden="false" customHeight="false" outlineLevel="0" collapsed="false">
      <c r="A1074" s="0" t="str">
        <f aca="false">Chase1168_2025!A1074</f>
        <v>DEBIT</v>
      </c>
      <c r="B1074" s="14" t="n">
        <f aca="false">Chase1168_2025!B1074</f>
        <v>45813</v>
      </c>
      <c r="C1074" s="0" t="str">
        <f aca="false">Chase1168_2025!C1074</f>
        <v>ORIG CO NAME:VENMO                  ORIG ID:3264681992 DESC DATE:250605 CO ENTRY DESCR:PAYMENT   SEC:WEB    TRACE#:021000020724303 EED:250605   IND ID:1042685435236                IND NAME:JUDD DUNNING                                                                                                 250605PPZ7C6 TRN: 1560724303TC</v>
      </c>
      <c r="D1074" s="7" t="n">
        <f aca="false">Chase1168_2025!D1074</f>
        <v>-62</v>
      </c>
      <c r="E1074" s="0" t="str">
        <f aca="false">Chase1168_2025!E1074</f>
        <v>ACH_DEBIT</v>
      </c>
      <c r="F1074" s="7" t="n">
        <f aca="false">Chase1168_2025!F1074</f>
        <v>22422.81</v>
      </c>
      <c r="G1074" s="0" t="str">
        <f aca="false">Chase1168_2025!G1074</f>
        <v>Venmo</v>
      </c>
      <c r="H1074" s="15" t="n">
        <f aca="false">IF($B1074="","",DATE(YEAR($B1074),MONTH($B1074),1))</f>
        <v>45809</v>
      </c>
      <c r="I1074" s="0" t="str">
        <f aca="false">IF($G1074="","Uncategorized — Review",IFERROR(INDEX(Mapping!$B:$B,MATCH($G1074,Mapping!$A:$A,0)),"Uncategorized — Review"))</f>
        <v>Venmo</v>
      </c>
      <c r="J1074" s="0" t="str">
        <f aca="false">IF($G1074="","Uncategorized — Review",IFERROR(INDEX(Mapping!$C:$C,MATCH($G1074,Mapping!$A:$A,0)),"Uncategorized — Review"))</f>
        <v>P2P Payments (Zelle/Venmo/PayPal)</v>
      </c>
    </row>
    <row r="1075" customFormat="false" ht="15" hidden="false" customHeight="false" outlineLevel="0" collapsed="false">
      <c r="A1075" s="0" t="str">
        <f aca="false">Chase1168_2025!A1075</f>
        <v>DEBIT</v>
      </c>
      <c r="B1075" s="14" t="n">
        <f aca="false">Chase1168_2025!B1075</f>
        <v>45813</v>
      </c>
      <c r="C1075" s="0" t="str">
        <f aca="false">Chase1168_2025!C1075</f>
        <v>INDEED USI25-03092346 AUSTIN TX      022988  06/05</v>
      </c>
      <c r="D1075" s="7" t="n">
        <f aca="false">Chase1168_2025!D1075</f>
        <v>-501.44</v>
      </c>
      <c r="E1075" s="0" t="str">
        <f aca="false">Chase1168_2025!E1075</f>
        <v>DEBIT_CARD</v>
      </c>
      <c r="F1075" s="7" t="n">
        <f aca="false">Chase1168_2025!F1075</f>
        <v>22484.81</v>
      </c>
      <c r="G1075" s="0" t="str">
        <f aca="false">Chase1168_2025!G1075</f>
        <v>DWG HR</v>
      </c>
      <c r="H1075" s="15" t="n">
        <f aca="false">IF($B1075="","",DATE(YEAR($B1075),MONTH($B1075),1))</f>
        <v>45809</v>
      </c>
      <c r="I1075" s="0" t="str">
        <f aca="false">IF($G1075="","Uncategorized — Review",IFERROR(INDEX(Mapping!$B:$B,MATCH($G1075,Mapping!$A:$A,0)),"Uncategorized — Review"))</f>
        <v>DWG HR</v>
      </c>
      <c r="J1075" s="0" t="str">
        <f aca="false">IF($G1075="","Uncategorized — Review",IFERROR(INDEX(Mapping!$C:$C,MATCH($G1075,Mapping!$A:$A,0)),"Uncategorized — Review"))</f>
        <v>Payroll &amp; Contractors</v>
      </c>
    </row>
    <row r="1076" customFormat="false" ht="15" hidden="false" customHeight="false" outlineLevel="0" collapsed="false">
      <c r="A1076" s="0" t="str">
        <f aca="false">Chase1168_2025!A1076</f>
        <v>DEBIT</v>
      </c>
      <c r="B1076" s="14" t="n">
        <f aca="false">Chase1168_2025!B1076</f>
        <v>45813</v>
      </c>
      <c r="C1076" s="0" t="str">
        <f aca="false">Chase1168_2025!C1076</f>
        <v>Online Transfer to CHK ...6975 transaction#: 25022282651 06/05</v>
      </c>
      <c r="D1076" s="7" t="n">
        <f aca="false">Chase1168_2025!D1076</f>
        <v>-350</v>
      </c>
      <c r="E1076" s="0" t="str">
        <f aca="false">Chase1168_2025!E1076</f>
        <v>ACCT_XFER</v>
      </c>
      <c r="F1076" s="7" t="n">
        <f aca="false">Chase1168_2025!F1076</f>
        <v>22986.25</v>
      </c>
      <c r="G1076" s="0" t="str">
        <f aca="false">Chase1168_2025!G1076</f>
        <v>Transfer to Ava Perez-Dunning</v>
      </c>
      <c r="H1076" s="15" t="n">
        <f aca="false">IF($B1076="","",DATE(YEAR($B1076),MONTH($B1076),1))</f>
        <v>45809</v>
      </c>
      <c r="I1076" s="0" t="str">
        <f aca="false">IF($G1076="","Uncategorized — Review",IFERROR(INDEX(Mapping!$B:$B,MATCH($G1076,Mapping!$A:$A,0)),"Uncategorized — Review"))</f>
        <v>Transfer to Ava Perez-Dunning</v>
      </c>
      <c r="J1076" s="0" t="str">
        <f aca="false">IF($G1076="","Uncategorized — Review",IFERROR(INDEX(Mapping!$C:$C,MATCH($G1076,Mapping!$A:$A,0)),"Uncategorized — Review"))</f>
        <v>Owner / Family Distributions</v>
      </c>
    </row>
    <row r="1077" customFormat="false" ht="15" hidden="false" customHeight="false" outlineLevel="0" collapsed="false">
      <c r="A1077" s="0" t="str">
        <f aca="false">Chase1168_2025!A1077</f>
        <v>DEBIT</v>
      </c>
      <c r="B1077" s="14" t="n">
        <f aca="false">Chase1168_2025!B1077</f>
        <v>45813</v>
      </c>
      <c r="C1077" s="0" t="str">
        <f aca="false">Chase1168_2025!C1077</f>
        <v>Online Transfer to CHK ...1117 transaction#: 25022244648 06/05</v>
      </c>
      <c r="D1077" s="7" t="n">
        <f aca="false">Chase1168_2025!D1077</f>
        <v>-2000</v>
      </c>
      <c r="E1077" s="0" t="str">
        <f aca="false">Chase1168_2025!E1077</f>
        <v>ACCT_XFER</v>
      </c>
      <c r="F1077" s="7" t="n">
        <f aca="false">Chase1168_2025!F1077</f>
        <v>23336.25</v>
      </c>
      <c r="G1077" s="0" t="str">
        <f aca="false">Chase1168_2025!G1077</f>
        <v>Transfer to Angela Dunning</v>
      </c>
      <c r="H1077" s="15" t="n">
        <f aca="false">IF($B1077="","",DATE(YEAR($B1077),MONTH($B1077),1))</f>
        <v>45809</v>
      </c>
      <c r="I1077" s="0" t="str">
        <f aca="false">IF($G1077="","Uncategorized — Review",IFERROR(INDEX(Mapping!$B:$B,MATCH($G1077,Mapping!$A:$A,0)),"Uncategorized — Review"))</f>
        <v>Transfer to Angela Dunning</v>
      </c>
      <c r="J1077" s="0" t="str">
        <f aca="false">IF($G1077="","Uncategorized — Review",IFERROR(INDEX(Mapping!$C:$C,MATCH($G1077,Mapping!$A:$A,0)),"Uncategorized — Review"))</f>
        <v>Owner / Family Distributions</v>
      </c>
    </row>
    <row r="1078" customFormat="false" ht="15" hidden="false" customHeight="false" outlineLevel="0" collapsed="false">
      <c r="A1078" s="0" t="str">
        <f aca="false">Chase1168_2025!A1078</f>
        <v>DEBIT</v>
      </c>
      <c r="B1078" s="14" t="n">
        <f aca="false">Chase1168_2025!B1078</f>
        <v>45813</v>
      </c>
      <c r="C1078" s="0" t="str">
        <f aca="false">Chase1168_2025!C1078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ENTS/OCMT/COP2965784,70/EXCH/3954.3 796/CNTR/65053313/INT/ANDRES_527 TRN: 5314900156RE 06/05</v>
      </c>
      <c r="D1078" s="7" t="n">
        <f aca="false">Chase1168_2025!D1078</f>
        <v>-750</v>
      </c>
      <c r="E1078" s="0" t="str">
        <f aca="false">Chase1168_2025!E1078</f>
        <v>WIRE_OUTGOING</v>
      </c>
      <c r="F1078" s="7" t="n">
        <f aca="false">Chase1168_2025!F1078</f>
        <v>25336.25</v>
      </c>
      <c r="G1078" s="0" t="str">
        <f aca="false">Chase1168_2025!G1078</f>
        <v>Andres Alarcon Payroll</v>
      </c>
      <c r="H1078" s="15" t="n">
        <f aca="false">IF($B1078="","",DATE(YEAR($B1078),MONTH($B1078),1))</f>
        <v>45809</v>
      </c>
      <c r="I1078" s="0" t="str">
        <f aca="false">IF($G1078="","Uncategorized — Review",IFERROR(INDEX(Mapping!$B:$B,MATCH($G1078,Mapping!$A:$A,0)),"Uncategorized — Review"))</f>
        <v>Andres Alarcon Payroll</v>
      </c>
      <c r="J1078" s="0" t="str">
        <f aca="false">IF($G1078="","Uncategorized — Review",IFERROR(INDEX(Mapping!$C:$C,MATCH($G1078,Mapping!$A:$A,0)),"Uncategorized — Review"))</f>
        <v>Payroll &amp; Contractors</v>
      </c>
    </row>
    <row r="1079" customFormat="false" ht="15" hidden="false" customHeight="false" outlineLevel="0" collapsed="false">
      <c r="A1079" s="0" t="str">
        <f aca="false">Chase1168_2025!A1079</f>
        <v>DEBIT</v>
      </c>
      <c r="B1079" s="14" t="n">
        <f aca="false">Chase1168_2025!B1079</f>
        <v>45813</v>
      </c>
      <c r="C1079" s="0" t="str">
        <f aca="false">Chase1168_2025!C1079</f>
        <v>PP*APPLE.COM/BILL 800-275-2273 CA            06/04</v>
      </c>
      <c r="D1079" s="7" t="n">
        <f aca="false">Chase1168_2025!D1079</f>
        <v>-29.99</v>
      </c>
      <c r="E1079" s="0" t="str">
        <f aca="false">Chase1168_2025!E1079</f>
        <v>DEBIT_CARD</v>
      </c>
      <c r="F1079" s="7" t="n">
        <f aca="false">Chase1168_2025!F1079</f>
        <v>26086.25</v>
      </c>
      <c r="G1079" s="0" t="str">
        <f aca="false">Chase1168_2025!G1079</f>
        <v>Personal - Subscriptions</v>
      </c>
      <c r="H1079" s="15" t="n">
        <f aca="false">IF($B1079="","",DATE(YEAR($B1079),MONTH($B1079),1))</f>
        <v>45809</v>
      </c>
      <c r="I1079" s="0" t="str">
        <f aca="false">IF($G1079="","Uncategorized — Review",IFERROR(INDEX(Mapping!$B:$B,MATCH($G1079,Mapping!$A:$A,0)),"Uncategorized — Review"))</f>
        <v>Personal - Subscriptions</v>
      </c>
      <c r="J1079" s="0" t="str">
        <f aca="false">IF($G1079="","Uncategorized — Review",IFERROR(INDEX(Mapping!$C:$C,MATCH($G1079,Mapping!$A:$A,0)),"Uncategorized — Review"))</f>
        <v>Personal — Owner</v>
      </c>
    </row>
    <row r="1080" customFormat="false" ht="15" hidden="false" customHeight="false" outlineLevel="0" collapsed="false">
      <c r="A1080" s="0" t="str">
        <f aca="false">Chase1168_2025!A1080</f>
        <v>DEBIT</v>
      </c>
      <c r="B1080" s="14" t="n">
        <f aca="false">Chase1168_2025!B1080</f>
        <v>45812</v>
      </c>
      <c r="C1080" s="0" t="str">
        <f aca="false">Chase1168_2025!C1080</f>
        <v>PAYPAL *UBER 866-576-1039 CA                 06/04</v>
      </c>
      <c r="D1080" s="7" t="n">
        <f aca="false">Chase1168_2025!D1080</f>
        <v>-11.2</v>
      </c>
      <c r="E1080" s="0" t="str">
        <f aca="false">Chase1168_2025!E1080</f>
        <v>DEBIT_CARD</v>
      </c>
      <c r="F1080" s="7" t="n">
        <f aca="false">Chase1168_2025!F1080</f>
        <v>26116.24</v>
      </c>
      <c r="G1080" s="0" t="str">
        <f aca="false">Chase1168_2025!G1080</f>
        <v>Personal - Car</v>
      </c>
      <c r="H1080" s="15" t="n">
        <f aca="false">IF($B1080="","",DATE(YEAR($B1080),MONTH($B1080),1))</f>
        <v>45809</v>
      </c>
      <c r="I1080" s="0" t="str">
        <f aca="false">IF($G1080="","Uncategorized — Review",IFERROR(INDEX(Mapping!$B:$B,MATCH($G1080,Mapping!$A:$A,0)),"Uncategorized — Review"))</f>
        <v>Personal - Car &amp; Auto</v>
      </c>
      <c r="J1080" s="0" t="str">
        <f aca="false">IF($G1080="","Uncategorized — Review",IFERROR(INDEX(Mapping!$C:$C,MATCH($G1080,Mapping!$A:$A,0)),"Uncategorized — Review"))</f>
        <v>Personal — Owner</v>
      </c>
    </row>
    <row r="1081" customFormat="false" ht="15" hidden="false" customHeight="false" outlineLevel="0" collapsed="false">
      <c r="A1081" s="0" t="str">
        <f aca="false">Chase1168_2025!A1081</f>
        <v>DEBIT</v>
      </c>
      <c r="B1081" s="14" t="n">
        <f aca="false">Chase1168_2025!B1081</f>
        <v>45812</v>
      </c>
      <c r="C1081" s="0" t="str">
        <f aca="false">Chase1168_2025!C1081</f>
        <v>PAYPAL *UBER 866-576-1039 CA                 06/04</v>
      </c>
      <c r="D1081" s="7" t="n">
        <f aca="false">Chase1168_2025!D1081</f>
        <v>-4.79</v>
      </c>
      <c r="E1081" s="0" t="str">
        <f aca="false">Chase1168_2025!E1081</f>
        <v>DEBIT_CARD</v>
      </c>
      <c r="F1081" s="7" t="n">
        <f aca="false">Chase1168_2025!F1081</f>
        <v>26127.44</v>
      </c>
      <c r="G1081" s="0" t="str">
        <f aca="false">Chase1168_2025!G1081</f>
        <v>Personal - Car</v>
      </c>
      <c r="H1081" s="15" t="n">
        <f aca="false">IF($B1081="","",DATE(YEAR($B1081),MONTH($B1081),1))</f>
        <v>45809</v>
      </c>
      <c r="I1081" s="0" t="str">
        <f aca="false">IF($G1081="","Uncategorized — Review",IFERROR(INDEX(Mapping!$B:$B,MATCH($G1081,Mapping!$A:$A,0)),"Uncategorized — Review"))</f>
        <v>Personal - Car &amp; Auto</v>
      </c>
      <c r="J1081" s="0" t="str">
        <f aca="false">IF($G1081="","Uncategorized — Review",IFERROR(INDEX(Mapping!$C:$C,MATCH($G1081,Mapping!$A:$A,0)),"Uncategorized — Review"))</f>
        <v>Personal — Owner</v>
      </c>
    </row>
    <row r="1082" customFormat="false" ht="15" hidden="false" customHeight="false" outlineLevel="0" collapsed="false">
      <c r="A1082" s="0" t="str">
        <f aca="false">Chase1168_2025!A1082</f>
        <v>DEBIT</v>
      </c>
      <c r="B1082" s="14" t="n">
        <f aca="false">Chase1168_2025!B1082</f>
        <v>45812</v>
      </c>
      <c r="C1082" s="0" t="str">
        <f aca="false">Chase1168_2025!C1082</f>
        <v>PAYPAL *UBER 866-576-1039 CA                 06/03</v>
      </c>
      <c r="D1082" s="7" t="n">
        <f aca="false">Chase1168_2025!D1082</f>
        <v>-31.96</v>
      </c>
      <c r="E1082" s="0" t="str">
        <f aca="false">Chase1168_2025!E1082</f>
        <v>DEBIT_CARD</v>
      </c>
      <c r="F1082" s="7" t="n">
        <f aca="false">Chase1168_2025!F1082</f>
        <v>26132.23</v>
      </c>
      <c r="G1082" s="0" t="str">
        <f aca="false">Chase1168_2025!G1082</f>
        <v>Personal - Car</v>
      </c>
      <c r="H1082" s="15" t="n">
        <f aca="false">IF($B1082="","",DATE(YEAR($B1082),MONTH($B1082),1))</f>
        <v>45809</v>
      </c>
      <c r="I1082" s="0" t="str">
        <f aca="false">IF($G1082="","Uncategorized — Review",IFERROR(INDEX(Mapping!$B:$B,MATCH($G1082,Mapping!$A:$A,0)),"Uncategorized — Review"))</f>
        <v>Personal - Car &amp; Auto</v>
      </c>
      <c r="J1082" s="0" t="str">
        <f aca="false">IF($G1082="","Uncategorized — Review",IFERROR(INDEX(Mapping!$C:$C,MATCH($G1082,Mapping!$A:$A,0)),"Uncategorized — Review"))</f>
        <v>Personal — Owner</v>
      </c>
    </row>
    <row r="1083" customFormat="false" ht="15" hidden="false" customHeight="false" outlineLevel="0" collapsed="false">
      <c r="A1083" s="0" t="str">
        <f aca="false">Chase1168_2025!A1083</f>
        <v>DEBIT</v>
      </c>
      <c r="B1083" s="14" t="n">
        <f aca="false">Chase1168_2025!B1083</f>
        <v>45812</v>
      </c>
      <c r="C1083" s="0" t="str">
        <f aca="false">Chase1168_2025!C1083</f>
        <v>PAYPAL *SANDYPR COM 402-935-7733 CA          06/03</v>
      </c>
      <c r="D1083" s="7" t="n">
        <f aca="false">Chase1168_2025!D1083</f>
        <v>-300</v>
      </c>
      <c r="E1083" s="0" t="str">
        <f aca="false">Chase1168_2025!E1083</f>
        <v>DEBIT_CARD</v>
      </c>
      <c r="F1083" s="7" t="n">
        <f aca="false">Chase1168_2025!F1083</f>
        <v>26164.19</v>
      </c>
      <c r="G1083" s="0" t="str">
        <f aca="false">Chase1168_2025!G1083</f>
        <v>Sandy PR Payment</v>
      </c>
      <c r="H1083" s="15" t="n">
        <f aca="false">IF($B1083="","",DATE(YEAR($B1083),MONTH($B1083),1))</f>
        <v>45809</v>
      </c>
      <c r="I1083" s="0" t="str">
        <f aca="false">IF($G1083="","Uncategorized — Review",IFERROR(INDEX(Mapping!$B:$B,MATCH($G1083,Mapping!$A:$A,0)),"Uncategorized — Review"))</f>
        <v>Sandy PR Payment</v>
      </c>
      <c r="J1083" s="0" t="str">
        <f aca="false">IF($G1083="","Uncategorized — Review",IFERROR(INDEX(Mapping!$C:$C,MATCH($G1083,Mapping!$A:$A,0)),"Uncategorized — Review"))</f>
        <v>DWG Operating</v>
      </c>
    </row>
    <row r="1084" customFormat="false" ht="15" hidden="false" customHeight="false" outlineLevel="0" collapsed="false">
      <c r="A1084" s="0" t="str">
        <f aca="false">Chase1168_2025!A1084</f>
        <v>DEBIT</v>
      </c>
      <c r="B1084" s="14" t="n">
        <f aca="false">Chase1168_2025!B1084</f>
        <v>45812</v>
      </c>
      <c r="C1084" s="0" t="str">
        <f aca="false">Chase1168_2025!C1084</f>
        <v>PAYPAL *PRAGERUNIVE P 833-772-4378 CA        06/03</v>
      </c>
      <c r="D1084" s="7" t="n">
        <f aca="false">Chase1168_2025!D1084</f>
        <v>-10.78</v>
      </c>
      <c r="E1084" s="0" t="str">
        <f aca="false">Chase1168_2025!E1084</f>
        <v>DEBIT_CARD</v>
      </c>
      <c r="F1084" s="7" t="n">
        <f aca="false">Chase1168_2025!F1084</f>
        <v>26464.19</v>
      </c>
      <c r="G1084" s="0" t="str">
        <f aca="false">Chase1168_2025!G1084</f>
        <v>DWGCP Business Development</v>
      </c>
      <c r="H1084" s="15" t="n">
        <f aca="false">IF($B1084="","",DATE(YEAR($B1084),MONTH($B1084),1))</f>
        <v>45809</v>
      </c>
      <c r="I1084" s="0" t="str">
        <f aca="false">IF($G1084="","Uncategorized — Review",IFERROR(INDEX(Mapping!$B:$B,MATCH($G1084,Mapping!$A:$A,0)),"Uncategorized — Review"))</f>
        <v>DWGCP Business Development</v>
      </c>
      <c r="J1084" s="0" t="str">
        <f aca="false">IF($G1084="","Uncategorized — Review",IFERROR(INDEX(Mapping!$C:$C,MATCH($G1084,Mapping!$A:$A,0)),"Uncategorized — Review"))</f>
        <v>DWG Operating</v>
      </c>
    </row>
    <row r="1085" customFormat="false" ht="15" hidden="false" customHeight="false" outlineLevel="0" collapsed="false">
      <c r="A1085" s="0" t="str">
        <f aca="false">Chase1168_2025!A1085</f>
        <v>DEBIT</v>
      </c>
      <c r="B1085" s="14" t="n">
        <f aca="false">Chase1168_2025!B1085</f>
        <v>45812</v>
      </c>
      <c r="C1085" s="0" t="str">
        <f aca="false">Chase1168_2025!C1085</f>
        <v>PAYPAL *SMALLPDF 4029357733                  06/03</v>
      </c>
      <c r="D1085" s="7" t="n">
        <f aca="false">Chase1168_2025!D1085</f>
        <v>-5.96</v>
      </c>
      <c r="E1085" s="0" t="str">
        <f aca="false">Chase1168_2025!E1085</f>
        <v>DEBIT_CARD</v>
      </c>
      <c r="F1085" s="7" t="n">
        <f aca="false">Chase1168_2025!F1085</f>
        <v>26474.97</v>
      </c>
      <c r="G1085" s="0" t="str">
        <f aca="false">Chase1168_2025!G1085</f>
        <v>PayPal</v>
      </c>
      <c r="H1085" s="15" t="n">
        <f aca="false">IF($B1085="","",DATE(YEAR($B1085),MONTH($B1085),1))</f>
        <v>45809</v>
      </c>
      <c r="I1085" s="0" t="str">
        <f aca="false">IF($G1085="","Uncategorized — Review",IFERROR(INDEX(Mapping!$B:$B,MATCH($G1085,Mapping!$A:$A,0)),"Uncategorized — Review"))</f>
        <v>PayPal</v>
      </c>
      <c r="J1085" s="0" t="str">
        <f aca="false">IF($G1085="","Uncategorized — Review",IFERROR(INDEX(Mapping!$C:$C,MATCH($G1085,Mapping!$A:$A,0)),"Uncategorized — Review"))</f>
        <v>P2P Payments (Zelle/Venmo/PayPal)</v>
      </c>
    </row>
    <row r="1086" customFormat="false" ht="15" hidden="false" customHeight="false" outlineLevel="0" collapsed="false">
      <c r="A1086" s="0" t="str">
        <f aca="false">Chase1168_2025!A1086</f>
        <v>DEBIT</v>
      </c>
      <c r="B1086" s="14" t="n">
        <f aca="false">Chase1168_2025!B1086</f>
        <v>45811</v>
      </c>
      <c r="C1086" s="0" t="str">
        <f aca="false">Chase1168_2025!C1086</f>
        <v>PP*APPLE.COM/BILL 800-275-2273 CA            06/03</v>
      </c>
      <c r="D1086" s="7" t="n">
        <f aca="false">Chase1168_2025!D1086</f>
        <v>-3.99</v>
      </c>
      <c r="E1086" s="0" t="str">
        <f aca="false">Chase1168_2025!E1086</f>
        <v>DEBIT_CARD</v>
      </c>
      <c r="F1086" s="7" t="n">
        <f aca="false">Chase1168_2025!F1086</f>
        <v>26480.93</v>
      </c>
      <c r="G1086" s="0" t="str">
        <f aca="false">Chase1168_2025!G1086</f>
        <v>Personal - Subscriptions</v>
      </c>
      <c r="H1086" s="15" t="n">
        <f aca="false">IF($B1086="","",DATE(YEAR($B1086),MONTH($B1086),1))</f>
        <v>45809</v>
      </c>
      <c r="I1086" s="0" t="str">
        <f aca="false">IF($G1086="","Uncategorized — Review",IFERROR(INDEX(Mapping!$B:$B,MATCH($G1086,Mapping!$A:$A,0)),"Uncategorized — Review"))</f>
        <v>Personal - Subscriptions</v>
      </c>
      <c r="J1086" s="0" t="str">
        <f aca="false">IF($G1086="","Uncategorized — Review",IFERROR(INDEX(Mapping!$C:$C,MATCH($G1086,Mapping!$A:$A,0)),"Uncategorized — Review"))</f>
        <v>Personal — Owner</v>
      </c>
    </row>
    <row r="1087" customFormat="false" ht="15" hidden="false" customHeight="false" outlineLevel="0" collapsed="false">
      <c r="A1087" s="0" t="str">
        <f aca="false">Chase1168_2025!A1087</f>
        <v>DEBIT</v>
      </c>
      <c r="B1087" s="14" t="n">
        <f aca="false">Chase1168_2025!B1087</f>
        <v>45811</v>
      </c>
      <c r="C1087" s="0" t="str">
        <f aca="false">Chase1168_2025!C1087</f>
        <v>PP*APPLE.COM/BILL 800-275-2273 CA            06/03</v>
      </c>
      <c r="D1087" s="7" t="n">
        <f aca="false">Chase1168_2025!D1087</f>
        <v>-12.99</v>
      </c>
      <c r="E1087" s="0" t="str">
        <f aca="false">Chase1168_2025!E1087</f>
        <v>DEBIT_CARD</v>
      </c>
      <c r="F1087" s="7" t="n">
        <f aca="false">Chase1168_2025!F1087</f>
        <v>26484.92</v>
      </c>
      <c r="G1087" s="0" t="str">
        <f aca="false">Chase1168_2025!G1087</f>
        <v>Personal - Subscriptions</v>
      </c>
      <c r="H1087" s="15" t="n">
        <f aca="false">IF($B1087="","",DATE(YEAR($B1087),MONTH($B1087),1))</f>
        <v>45809</v>
      </c>
      <c r="I1087" s="0" t="str">
        <f aca="false">IF($G1087="","Uncategorized — Review",IFERROR(INDEX(Mapping!$B:$B,MATCH($G1087,Mapping!$A:$A,0)),"Uncategorized — Review"))</f>
        <v>Personal - Subscriptions</v>
      </c>
      <c r="J1087" s="0" t="str">
        <f aca="false">IF($G1087="","Uncategorized — Review",IFERROR(INDEX(Mapping!$C:$C,MATCH($G1087,Mapping!$A:$A,0)),"Uncategorized — Review"))</f>
        <v>Personal — Owner</v>
      </c>
    </row>
    <row r="1088" customFormat="false" ht="15" hidden="false" customHeight="false" outlineLevel="0" collapsed="false">
      <c r="A1088" s="0" t="str">
        <f aca="false">Chase1168_2025!A1088</f>
        <v>DEBIT</v>
      </c>
      <c r="B1088" s="14" t="n">
        <f aca="false">Chase1168_2025!B1088</f>
        <v>45811</v>
      </c>
      <c r="C1088" s="0" t="str">
        <f aca="false">Chase1168_2025!C1088</f>
        <v>UPWORK * -814059305 866-262-4478 CA          06/02</v>
      </c>
      <c r="D1088" s="7" t="n">
        <f aca="false">Chase1168_2025!D1088</f>
        <v>-17.5</v>
      </c>
      <c r="E1088" s="0" t="str">
        <f aca="false">Chase1168_2025!E1088</f>
        <v>DEBIT_CARD</v>
      </c>
      <c r="F1088" s="7" t="n">
        <f aca="false">Chase1168_2025!F1088</f>
        <v>26497.91</v>
      </c>
      <c r="G1088" s="0" t="str">
        <f aca="false">Chase1168_2025!G1088</f>
        <v>Upwork - Sergei M.</v>
      </c>
      <c r="H1088" s="15" t="n">
        <f aca="false">IF($B1088="","",DATE(YEAR($B1088),MONTH($B1088),1))</f>
        <v>45809</v>
      </c>
      <c r="I1088" s="0" t="str">
        <f aca="false">IF($G1088="","Uncategorized — Review",IFERROR(INDEX(Mapping!$B:$B,MATCH($G1088,Mapping!$A:$A,0)),"Uncategorized — Review"))</f>
        <v>Upwork - Sergei M.</v>
      </c>
      <c r="J1088" s="0" t="str">
        <f aca="false">IF($G1088="","Uncategorized — Review",IFERROR(INDEX(Mapping!$C:$C,MATCH($G1088,Mapping!$A:$A,0)),"Uncategorized — Review"))</f>
        <v>Payroll &amp; Contractors</v>
      </c>
    </row>
    <row r="1089" customFormat="false" ht="15" hidden="false" customHeight="false" outlineLevel="0" collapsed="false">
      <c r="A1089" s="0" t="str">
        <f aca="false">Chase1168_2025!A1089</f>
        <v>DEBIT</v>
      </c>
      <c r="B1089" s="14" t="n">
        <f aca="false">Chase1168_2025!B1089</f>
        <v>45811</v>
      </c>
      <c r="C1089" s="0" t="str">
        <f aca="false">Chase1168_2025!C1089</f>
        <v>PAYPAL *DIRECTV 800-531-5000 TX              06/03</v>
      </c>
      <c r="D1089" s="7" t="n">
        <f aca="false">Chase1168_2025!D1089</f>
        <v>-101.99</v>
      </c>
      <c r="E1089" s="0" t="str">
        <f aca="false">Chase1168_2025!E1089</f>
        <v>DEBIT_CARD</v>
      </c>
      <c r="F1089" s="7" t="n">
        <f aca="false">Chase1168_2025!F1089</f>
        <v>26515.41</v>
      </c>
      <c r="G1089" s="0" t="str">
        <f aca="false">Chase1168_2025!G1089</f>
        <v>Personal - Subscriptions</v>
      </c>
      <c r="H1089" s="15" t="n">
        <f aca="false">IF($B1089="","",DATE(YEAR($B1089),MONTH($B1089),1))</f>
        <v>45809</v>
      </c>
      <c r="I1089" s="0" t="str">
        <f aca="false">IF($G1089="","Uncategorized — Review",IFERROR(INDEX(Mapping!$B:$B,MATCH($G1089,Mapping!$A:$A,0)),"Uncategorized — Review"))</f>
        <v>Personal - Subscriptions</v>
      </c>
      <c r="J1089" s="0" t="str">
        <f aca="false">IF($G1089="","Uncategorized — Review",IFERROR(INDEX(Mapping!$C:$C,MATCH($G1089,Mapping!$A:$A,0)),"Uncategorized — Review"))</f>
        <v>Personal — Owner</v>
      </c>
    </row>
    <row r="1090" customFormat="false" ht="15" hidden="false" customHeight="false" outlineLevel="0" collapsed="false">
      <c r="A1090" s="0" t="str">
        <f aca="false">Chase1168_2025!A1090</f>
        <v>DEBIT</v>
      </c>
      <c r="B1090" s="14" t="n">
        <f aca="false">Chase1168_2025!B1090</f>
        <v>45810</v>
      </c>
      <c r="C1090" s="0" t="str">
        <f aca="false">Chase1168_2025!C1090</f>
        <v>STANDARD ACH PMNTS INITIAL FEE QTY = 4</v>
      </c>
      <c r="D1090" s="7" t="n">
        <f aca="false">Chase1168_2025!D1090</f>
        <v>-10</v>
      </c>
      <c r="E1090" s="0" t="str">
        <f aca="false">Chase1168_2025!E1090</f>
        <v>FEE_TRANSACTION</v>
      </c>
      <c r="F1090" s="7" t="n">
        <f aca="false">Chase1168_2025!F1090</f>
        <v>26617.4</v>
      </c>
      <c r="G1090" s="0" t="str">
        <f aca="false">Chase1168_2025!G1090</f>
        <v>Bank Fees</v>
      </c>
      <c r="H1090" s="15" t="n">
        <f aca="false">IF($B1090="","",DATE(YEAR($B1090),MONTH($B1090),1))</f>
        <v>45809</v>
      </c>
      <c r="I1090" s="0" t="str">
        <f aca="false">IF($G1090="","Uncategorized — Review",IFERROR(INDEX(Mapping!$B:$B,MATCH($G1090,Mapping!$A:$A,0)),"Uncategorized — Review"))</f>
        <v>Bank Fees</v>
      </c>
      <c r="J1090" s="0" t="str">
        <f aca="false">IF($G1090="","Uncategorized — Review",IFERROR(INDEX(Mapping!$C:$C,MATCH($G1090,Mapping!$A:$A,0)),"Uncategorized — Review"))</f>
        <v>DWG Operating</v>
      </c>
    </row>
    <row r="1091" customFormat="false" ht="15" hidden="false" customHeight="false" outlineLevel="0" collapsed="false">
      <c r="A1091" s="0" t="str">
        <f aca="false">Chase1168_2025!A1091</f>
        <v>DEBIT</v>
      </c>
      <c r="B1091" s="14" t="n">
        <f aca="false">Chase1168_2025!B1091</f>
        <v>45810</v>
      </c>
      <c r="C1091" s="0" t="str">
        <f aca="false">Chase1168_2025!C1091</f>
        <v>Zelle payment to Estella Martinez JPM99baqhjnt</v>
      </c>
      <c r="D1091" s="7" t="n">
        <f aca="false">Chase1168_2025!D1091</f>
        <v>-800</v>
      </c>
      <c r="E1091" s="0" t="str">
        <f aca="false">Chase1168_2025!E1091</f>
        <v>CHASE_TO_PARTNERFI</v>
      </c>
      <c r="F1091" s="7" t="n">
        <f aca="false">Chase1168_2025!F1091</f>
        <v>26627.4</v>
      </c>
      <c r="G1091" s="0" t="str">
        <f aca="false">Chase1168_2025!G1091</f>
        <v>Zelle - Estella M.</v>
      </c>
      <c r="H1091" s="15" t="n">
        <f aca="false">IF($B1091="","",DATE(YEAR($B1091),MONTH($B1091),1))</f>
        <v>45809</v>
      </c>
      <c r="I1091" s="0" t="str">
        <f aca="false">IF($G1091="","Uncategorized — Review",IFERROR(INDEX(Mapping!$B:$B,MATCH($G1091,Mapping!$A:$A,0)),"Uncategorized — Review"))</f>
        <v>Zelle - Estella M.</v>
      </c>
      <c r="J1091" s="0" t="str">
        <f aca="false">IF($G1091="","Uncategorized — Review",IFERROR(INDEX(Mapping!$C:$C,MATCH($G1091,Mapping!$A:$A,0)),"Uncategorized — Review"))</f>
        <v>P2P Payments (Zelle/Venmo/PayPal)</v>
      </c>
    </row>
    <row r="1092" customFormat="false" ht="15" hidden="false" customHeight="false" outlineLevel="0" collapsed="false">
      <c r="A1092" s="0" t="str">
        <f aca="false">Chase1168_2025!A1092</f>
        <v>DEBIT</v>
      </c>
      <c r="B1092" s="14" t="n">
        <f aca="false">Chase1168_2025!B1092</f>
        <v>45810</v>
      </c>
      <c r="C1092" s="0" t="str">
        <f aca="false">Chase1168_2025!C1092</f>
        <v>Online Transfer to CHK ...6975 transaction#: 24989796561 06/02</v>
      </c>
      <c r="D1092" s="7" t="n">
        <f aca="false">Chase1168_2025!D1092</f>
        <v>-1500</v>
      </c>
      <c r="E1092" s="0" t="str">
        <f aca="false">Chase1168_2025!E1092</f>
        <v>ACCT_XFER</v>
      </c>
      <c r="F1092" s="7" t="n">
        <f aca="false">Chase1168_2025!F1092</f>
        <v>27427.4</v>
      </c>
      <c r="G1092" s="0" t="str">
        <f aca="false">Chase1168_2025!G1092</f>
        <v>Transfer to Ava Perez-Dunning</v>
      </c>
      <c r="H1092" s="15" t="n">
        <f aca="false">IF($B1092="","",DATE(YEAR($B1092),MONTH($B1092),1))</f>
        <v>45809</v>
      </c>
      <c r="I1092" s="0" t="str">
        <f aca="false">IF($G1092="","Uncategorized — Review",IFERROR(INDEX(Mapping!$B:$B,MATCH($G1092,Mapping!$A:$A,0)),"Uncategorized — Review"))</f>
        <v>Transfer to Ava Perez-Dunning</v>
      </c>
      <c r="J1092" s="0" t="str">
        <f aca="false">IF($G1092="","Uncategorized — Review",IFERROR(INDEX(Mapping!$C:$C,MATCH($G1092,Mapping!$A:$A,0)),"Uncategorized — Review"))</f>
        <v>Owner / Family Distributions</v>
      </c>
    </row>
    <row r="1093" customFormat="false" ht="15" hidden="false" customHeight="false" outlineLevel="0" collapsed="false">
      <c r="A1093" s="0" t="str">
        <f aca="false">Chase1168_2025!A1093</f>
        <v>DEBIT</v>
      </c>
      <c r="B1093" s="14" t="n">
        <f aca="false">Chase1168_2025!B1093</f>
        <v>45810</v>
      </c>
      <c r="C1093" s="0" t="str">
        <f aca="false">Chase1168_2025!C1093</f>
        <v>ORIG CO NAME:TXU ENERGY             ORIG ID:1001020329 DESC DATE:       CO ENTRY DESCR:TXUE_ACH  SEC:WEB    TRACE#:021000026327408 EED:250602   IND ID:900062431557                 IND NAME:DWG CAPITAL GROUP          17333702810000000000000000000003540 9337044                                       DIRECT DEBITING TRN: 1536327408TC</v>
      </c>
      <c r="D1093" s="7" t="n">
        <f aca="false">Chase1168_2025!D1093</f>
        <v>-596.31</v>
      </c>
      <c r="E1093" s="0" t="str">
        <f aca="false">Chase1168_2025!E1093</f>
        <v>ACH_DEBIT</v>
      </c>
      <c r="F1093" s="7" t="n">
        <f aca="false">Chase1168_2025!F1093</f>
        <v>28927.4</v>
      </c>
      <c r="G1093" s="0" t="str">
        <f aca="false">Chase1168_2025!G1093</f>
        <v>Texas - House Utilities</v>
      </c>
      <c r="H1093" s="15" t="n">
        <f aca="false">IF($B1093="","",DATE(YEAR($B1093),MONTH($B1093),1))</f>
        <v>45809</v>
      </c>
      <c r="I1093" s="0" t="str">
        <f aca="false">IF($G1093="","Uncategorized — Review",IFERROR(INDEX(Mapping!$B:$B,MATCH($G1093,Mapping!$A:$A,0)),"Uncategorized — Review"))</f>
        <v>Texas - House Utilities</v>
      </c>
      <c r="J1093" s="0" t="str">
        <f aca="false">IF($G1093="","Uncategorized — Review",IFERROR(INDEX(Mapping!$C:$C,MATCH($G1093,Mapping!$A:$A,0)),"Uncategorized — Review"))</f>
        <v>Personal — Owner</v>
      </c>
    </row>
    <row r="1094" customFormat="false" ht="15" hidden="false" customHeight="false" outlineLevel="0" collapsed="false">
      <c r="A1094" s="0" t="str">
        <f aca="false">Chase1168_2025!A1094</f>
        <v>DEBIT</v>
      </c>
      <c r="B1094" s="14" t="n">
        <f aca="false">Chase1168_2025!B1094</f>
        <v>45810</v>
      </c>
      <c r="C1094" s="0" t="str">
        <f aca="false">Chase1168_2025!C1094</f>
        <v>Online Transfer to CHK ...3922 transaction#: 24987650327 06/02</v>
      </c>
      <c r="D1094" s="7" t="n">
        <f aca="false">Chase1168_2025!D1094</f>
        <v>-1000</v>
      </c>
      <c r="E1094" s="0" t="str">
        <f aca="false">Chase1168_2025!E1094</f>
        <v>ACCT_XFER</v>
      </c>
      <c r="F1094" s="7" t="n">
        <f aca="false">Chase1168_2025!F1094</f>
        <v>29523.71</v>
      </c>
      <c r="G1094" s="0" t="str">
        <f aca="false">Chase1168_2025!G1094</f>
        <v>DWG Capital Partners - Outgoing</v>
      </c>
      <c r="H1094" s="15" t="n">
        <f aca="false">IF($B1094="","",DATE(YEAR($B1094),MONTH($B1094),1))</f>
        <v>45809</v>
      </c>
      <c r="I1094" s="0" t="str">
        <f aca="false">IF($G1094="","Uncategorized — Review",IFERROR(INDEX(Mapping!$B:$B,MATCH($G1094,Mapping!$A:$A,0)),"Uncategorized — Review"))</f>
        <v>DWG Capital Partners - Outgoing</v>
      </c>
      <c r="J1094" s="0" t="str">
        <f aca="false">IF($G1094="","Uncategorized — Review",IFERROR(INDEX(Mapping!$C:$C,MATCH($G1094,Mapping!$A:$A,0)),"Uncategorized — Review"))</f>
        <v>Intercompany &amp; Savings Transfers</v>
      </c>
    </row>
    <row r="1095" customFormat="false" ht="15" hidden="false" customHeight="false" outlineLevel="0" collapsed="false">
      <c r="A1095" s="0" t="str">
        <f aca="false">Chase1168_2025!A1095</f>
        <v>DEBIT</v>
      </c>
      <c r="B1095" s="14" t="n">
        <f aca="false">Chase1168_2025!B1095</f>
        <v>45810</v>
      </c>
      <c r="C1095" s="0" t="str">
        <f aca="false">Chase1168_2025!C1095</f>
        <v>Online Transfer to CHK ...7899 transaction#: 24987632837 06/02</v>
      </c>
      <c r="D1095" s="7" t="n">
        <f aca="false">Chase1168_2025!D1095</f>
        <v>-1000</v>
      </c>
      <c r="E1095" s="0" t="str">
        <f aca="false">Chase1168_2025!E1095</f>
        <v>ACCT_XFER</v>
      </c>
      <c r="F1095" s="7" t="n">
        <f aca="false">Chase1168_2025!F1095</f>
        <v>30523.71</v>
      </c>
      <c r="G1095" s="0" t="str">
        <f aca="false">Chase1168_2025!G1095</f>
        <v>Transfer to TX Personal Joint</v>
      </c>
      <c r="H1095" s="15" t="n">
        <f aca="false">IF($B1095="","",DATE(YEAR($B1095),MONTH($B1095),1))</f>
        <v>45809</v>
      </c>
      <c r="I1095" s="0" t="str">
        <f aca="false">IF($G1095="","Uncategorized — Review",IFERROR(INDEX(Mapping!$B:$B,MATCH($G1095,Mapping!$A:$A,0)),"Uncategorized — Review"))</f>
        <v>Transfer to TX Personal Joint</v>
      </c>
      <c r="J1095" s="0" t="str">
        <f aca="false">IF($G1095="","Uncategorized — Review",IFERROR(INDEX(Mapping!$C:$C,MATCH($G1095,Mapping!$A:$A,0)),"Uncategorized — Review"))</f>
        <v>Owner / Family Distributions</v>
      </c>
    </row>
    <row r="1096" customFormat="false" ht="15" hidden="false" customHeight="false" outlineLevel="0" collapsed="false">
      <c r="A1096" s="0" t="str">
        <f aca="false">Chase1168_2025!A1096</f>
        <v>DEBIT</v>
      </c>
      <c r="B1096" s="14" t="n">
        <f aca="false">Chase1168_2025!B1096</f>
        <v>45810</v>
      </c>
      <c r="C1096" s="0" t="str">
        <f aca="false">Chase1168_2025!C1096</f>
        <v>Online Transfer to CHK ...1117 transaction#: 24987610062 06/02</v>
      </c>
      <c r="D1096" s="7" t="n">
        <f aca="false">Chase1168_2025!D1096</f>
        <v>-3000</v>
      </c>
      <c r="E1096" s="0" t="str">
        <f aca="false">Chase1168_2025!E1096</f>
        <v>ACCT_XFER</v>
      </c>
      <c r="F1096" s="7" t="n">
        <f aca="false">Chase1168_2025!F1096</f>
        <v>31523.71</v>
      </c>
      <c r="G1096" s="0" t="str">
        <f aca="false">Chase1168_2025!G1096</f>
        <v>Transfer to Angela Dunning</v>
      </c>
      <c r="H1096" s="15" t="n">
        <f aca="false">IF($B1096="","",DATE(YEAR($B1096),MONTH($B1096),1))</f>
        <v>45809</v>
      </c>
      <c r="I1096" s="0" t="str">
        <f aca="false">IF($G1096="","Uncategorized — Review",IFERROR(INDEX(Mapping!$B:$B,MATCH($G1096,Mapping!$A:$A,0)),"Uncategorized — Review"))</f>
        <v>Transfer to Angela Dunning</v>
      </c>
      <c r="J1096" s="0" t="str">
        <f aca="false">IF($G1096="","Uncategorized — Review",IFERROR(INDEX(Mapping!$C:$C,MATCH($G1096,Mapping!$A:$A,0)),"Uncategorized — Review"))</f>
        <v>Owner / Family Distributions</v>
      </c>
    </row>
    <row r="1097" customFormat="false" ht="15" hidden="false" customHeight="false" outlineLevel="0" collapsed="false">
      <c r="A1097" s="0" t="str">
        <f aca="false">Chase1168_2025!A1097</f>
        <v>DEBIT</v>
      </c>
      <c r="B1097" s="14" t="n">
        <f aca="false">Chase1168_2025!B1097</f>
        <v>45810</v>
      </c>
      <c r="C1097" s="0" t="str">
        <f aca="false">Chase1168_2025!C1097</f>
        <v>INDEED USI25-02826772 AUSTIN TX      072089  06/02</v>
      </c>
      <c r="D1097" s="7" t="n">
        <f aca="false">Chase1168_2025!D1097</f>
        <v>-237.15</v>
      </c>
      <c r="E1097" s="0" t="str">
        <f aca="false">Chase1168_2025!E1097</f>
        <v>DEBIT_CARD</v>
      </c>
      <c r="F1097" s="7" t="n">
        <f aca="false">Chase1168_2025!F1097</f>
        <v>34523.71</v>
      </c>
      <c r="G1097" s="0" t="str">
        <f aca="false">Chase1168_2025!G1097</f>
        <v>DWG HR</v>
      </c>
      <c r="H1097" s="15" t="n">
        <f aca="false">IF($B1097="","",DATE(YEAR($B1097),MONTH($B1097),1))</f>
        <v>45809</v>
      </c>
      <c r="I1097" s="0" t="str">
        <f aca="false">IF($G1097="","Uncategorized — Review",IFERROR(INDEX(Mapping!$B:$B,MATCH($G1097,Mapping!$A:$A,0)),"Uncategorized — Review"))</f>
        <v>DWG HR</v>
      </c>
      <c r="J1097" s="0" t="str">
        <f aca="false">IF($G1097="","Uncategorized — Review",IFERROR(INDEX(Mapping!$C:$C,MATCH($G1097,Mapping!$A:$A,0)),"Uncategorized — Review"))</f>
        <v>Payroll &amp; Contractors</v>
      </c>
    </row>
    <row r="1098" customFormat="false" ht="15" hidden="false" customHeight="false" outlineLevel="0" collapsed="false">
      <c r="A1098" s="0" t="str">
        <f aca="false">Chase1168_2025!A1098</f>
        <v>DEBIT</v>
      </c>
      <c r="B1098" s="14" t="n">
        <f aca="false">Chase1168_2025!B1098</f>
        <v>45810</v>
      </c>
      <c r="C1098" s="0" t="str">
        <f aca="false">Chase1168_2025!C1098</f>
        <v>ORIG CO NAME:BLUESHIELDCA           ORIG ID:7529219311 DESC DATE:250531 CO ENTRY DESCR:BILL PAY  SEC:CCD    TRACE#:031101112286749 EED:250602   IND ID:15672480511                  IND NAME:ANGELA DUNNING TRN: 1532286749TC</v>
      </c>
      <c r="D1098" s="7" t="n">
        <f aca="false">Chase1168_2025!D1098</f>
        <v>-870.55</v>
      </c>
      <c r="E1098" s="0" t="str">
        <f aca="false">Chase1168_2025!E1098</f>
        <v>ACH_DEBIT</v>
      </c>
      <c r="F1098" s="7" t="n">
        <f aca="false">Chase1168_2025!F1098</f>
        <v>34760.86</v>
      </c>
      <c r="G1098" s="0" t="str">
        <f aca="false">Chase1168_2025!G1098</f>
        <v>Personal - Health Insurance</v>
      </c>
      <c r="H1098" s="15" t="n">
        <f aca="false">IF($B1098="","",DATE(YEAR($B1098),MONTH($B1098),1))</f>
        <v>45809</v>
      </c>
      <c r="I1098" s="0" t="str">
        <f aca="false">IF($G1098="","Uncategorized — Review",IFERROR(INDEX(Mapping!$B:$B,MATCH($G1098,Mapping!$A:$A,0)),"Uncategorized — Review"))</f>
        <v>Personal - Health (incl. Ins.)</v>
      </c>
      <c r="J1098" s="0" t="str">
        <f aca="false">IF($G1098="","Uncategorized — Review",IFERROR(INDEX(Mapping!$C:$C,MATCH($G1098,Mapping!$A:$A,0)),"Uncategorized — Review"))</f>
        <v>Personal — Owner</v>
      </c>
    </row>
    <row r="1099" customFormat="false" ht="15" hidden="false" customHeight="false" outlineLevel="0" collapsed="false">
      <c r="A1099" s="0" t="str">
        <f aca="false">Chase1168_2025!A1099</f>
        <v>DEBIT</v>
      </c>
      <c r="B1099" s="14" t="n">
        <f aca="false">Chase1168_2025!B1099</f>
        <v>45810</v>
      </c>
      <c r="C1099" s="0" t="str">
        <f aca="false">Chase1168_2025!C1099</f>
        <v>PP*APPLE.COM/BILL 800-275-2273 CA            06/02</v>
      </c>
      <c r="D1099" s="7" t="n">
        <f aca="false">Chase1168_2025!D1099</f>
        <v>-8.99</v>
      </c>
      <c r="E1099" s="0" t="str">
        <f aca="false">Chase1168_2025!E1099</f>
        <v>DEBIT_CARD</v>
      </c>
      <c r="F1099" s="7" t="n">
        <f aca="false">Chase1168_2025!F1099</f>
        <v>35631.41</v>
      </c>
      <c r="G1099" s="0" t="str">
        <f aca="false">Chase1168_2025!G1099</f>
        <v>Personal - Subscriptions</v>
      </c>
      <c r="H1099" s="15" t="n">
        <f aca="false">IF($B1099="","",DATE(YEAR($B1099),MONTH($B1099),1))</f>
        <v>45809</v>
      </c>
      <c r="I1099" s="0" t="str">
        <f aca="false">IF($G1099="","Uncategorized — Review",IFERROR(INDEX(Mapping!$B:$B,MATCH($G1099,Mapping!$A:$A,0)),"Uncategorized — Review"))</f>
        <v>Personal - Subscriptions</v>
      </c>
      <c r="J1099" s="0" t="str">
        <f aca="false">IF($G1099="","Uncategorized — Review",IFERROR(INDEX(Mapping!$C:$C,MATCH($G1099,Mapping!$A:$A,0)),"Uncategorized — Review"))</f>
        <v>Personal — Owner</v>
      </c>
    </row>
    <row r="1100" customFormat="false" ht="15" hidden="false" customHeight="false" outlineLevel="0" collapsed="false">
      <c r="A1100" s="0" t="str">
        <f aca="false">Chase1168_2025!A1100</f>
        <v>DEBIT</v>
      </c>
      <c r="B1100" s="14" t="n">
        <f aca="false">Chase1168_2025!B1100</f>
        <v>45810</v>
      </c>
      <c r="C1100" s="0" t="str">
        <f aca="false">Chase1168_2025!C1100</f>
        <v>PAYPAL *GOOGLE LLC GO 650-253-0000 CA        06/01</v>
      </c>
      <c r="D1100" s="7" t="n">
        <f aca="false">Chase1168_2025!D1100</f>
        <v>-14.4</v>
      </c>
      <c r="E1100" s="0" t="str">
        <f aca="false">Chase1168_2025!E1100</f>
        <v>DEBIT_CARD</v>
      </c>
      <c r="F1100" s="7" t="n">
        <f aca="false">Chase1168_2025!F1100</f>
        <v>35640.4</v>
      </c>
      <c r="G1100" s="0" t="str">
        <f aca="false">Chase1168_2025!G1100</f>
        <v>Personal - Subscriptions</v>
      </c>
      <c r="H1100" s="15" t="n">
        <f aca="false">IF($B1100="","",DATE(YEAR($B1100),MONTH($B1100),1))</f>
        <v>45809</v>
      </c>
      <c r="I1100" s="0" t="str">
        <f aca="false">IF($G1100="","Uncategorized — Review",IFERROR(INDEX(Mapping!$B:$B,MATCH($G1100,Mapping!$A:$A,0)),"Uncategorized — Review"))</f>
        <v>Personal - Subscriptions</v>
      </c>
      <c r="J1100" s="0" t="str">
        <f aca="false">IF($G1100="","Uncategorized — Review",IFERROR(INDEX(Mapping!$C:$C,MATCH($G1100,Mapping!$A:$A,0)),"Uncategorized — Review"))</f>
        <v>Personal — Owner</v>
      </c>
    </row>
    <row r="1101" customFormat="false" ht="15" hidden="false" customHeight="false" outlineLevel="0" collapsed="false">
      <c r="A1101" s="0" t="str">
        <f aca="false">Chase1168_2025!A1101</f>
        <v>DEBIT</v>
      </c>
      <c r="B1101" s="14" t="n">
        <f aca="false">Chase1168_2025!B1101</f>
        <v>45810</v>
      </c>
      <c r="C1101" s="0" t="str">
        <f aca="false">Chase1168_2025!C1101</f>
        <v>PAYPAL *HULU 877-801-5441 CA                 06/01</v>
      </c>
      <c r="D1101" s="7" t="n">
        <f aca="false">Chase1168_2025!D1101</f>
        <v>-18.99</v>
      </c>
      <c r="E1101" s="0" t="str">
        <f aca="false">Chase1168_2025!E1101</f>
        <v>DEBIT_CARD</v>
      </c>
      <c r="F1101" s="7" t="n">
        <f aca="false">Chase1168_2025!F1101</f>
        <v>35654.8</v>
      </c>
      <c r="G1101" s="0" t="str">
        <f aca="false">Chase1168_2025!G1101</f>
        <v>Personal - Subscriptions</v>
      </c>
      <c r="H1101" s="15" t="n">
        <f aca="false">IF($B1101="","",DATE(YEAR($B1101),MONTH($B1101),1))</f>
        <v>45809</v>
      </c>
      <c r="I1101" s="0" t="str">
        <f aca="false">IF($G1101="","Uncategorized — Review",IFERROR(INDEX(Mapping!$B:$B,MATCH($G1101,Mapping!$A:$A,0)),"Uncategorized — Review"))</f>
        <v>Personal - Subscriptions</v>
      </c>
      <c r="J1101" s="0" t="str">
        <f aca="false">IF($G1101="","Uncategorized — Review",IFERROR(INDEX(Mapping!$C:$C,MATCH($G1101,Mapping!$A:$A,0)),"Uncategorized — Review"))</f>
        <v>Personal — Owner</v>
      </c>
    </row>
    <row r="1102" customFormat="false" ht="15" hidden="false" customHeight="false" outlineLevel="0" collapsed="false">
      <c r="A1102" s="0" t="str">
        <f aca="false">Chase1168_2025!A1102</f>
        <v>DEBIT</v>
      </c>
      <c r="B1102" s="14" t="n">
        <f aca="false">Chase1168_2025!B1102</f>
        <v>45810</v>
      </c>
      <c r="C1102" s="0" t="str">
        <f aca="false">Chase1168_2025!C1102</f>
        <v>Online Transfer to CHK ...3922 transaction#: 24963263947 06/02</v>
      </c>
      <c r="D1102" s="7" t="n">
        <f aca="false">Chase1168_2025!D1102</f>
        <v>-1000</v>
      </c>
      <c r="E1102" s="0" t="str">
        <f aca="false">Chase1168_2025!E1102</f>
        <v>ACCT_XFER</v>
      </c>
      <c r="F1102" s="7" t="n">
        <f aca="false">Chase1168_2025!F1102</f>
        <v>35673.79</v>
      </c>
      <c r="G1102" s="0" t="str">
        <f aca="false">Chase1168_2025!G1102</f>
        <v>DWG Capital Partners - Outgoing</v>
      </c>
      <c r="H1102" s="15" t="n">
        <f aca="false">IF($B1102="","",DATE(YEAR($B1102),MONTH($B1102),1))</f>
        <v>45809</v>
      </c>
      <c r="I1102" s="0" t="str">
        <f aca="false">IF($G1102="","Uncategorized — Review",IFERROR(INDEX(Mapping!$B:$B,MATCH($G1102,Mapping!$A:$A,0)),"Uncategorized — Review"))</f>
        <v>DWG Capital Partners - Outgoing</v>
      </c>
      <c r="J1102" s="0" t="str">
        <f aca="false">IF($G1102="","Uncategorized — Review",IFERROR(INDEX(Mapping!$C:$C,MATCH($G1102,Mapping!$A:$A,0)),"Uncategorized — Review"))</f>
        <v>Intercompany &amp; Savings Transfers</v>
      </c>
    </row>
    <row r="1103" customFormat="false" ht="15" hidden="false" customHeight="false" outlineLevel="0" collapsed="false">
      <c r="A1103" s="0" t="str">
        <f aca="false">Chase1168_2025!A1103</f>
        <v>DEBIT</v>
      </c>
      <c r="B1103" s="14" t="n">
        <f aca="false">Chase1168_2025!B1103</f>
        <v>45810</v>
      </c>
      <c r="C1103" s="0" t="str">
        <f aca="false">Chase1168_2025!C1103</f>
        <v>Online Transfer to CHK ...0709 transaction#: 24963271423 06/02</v>
      </c>
      <c r="D1103" s="7" t="n">
        <f aca="false">Chase1168_2025!D1103</f>
        <v>-500</v>
      </c>
      <c r="E1103" s="0" t="str">
        <f aca="false">Chase1168_2025!E1103</f>
        <v>ACCT_XFER</v>
      </c>
      <c r="F1103" s="7" t="n">
        <f aca="false">Chase1168_2025!F1103</f>
        <v>36673.79</v>
      </c>
      <c r="G1103" s="0" t="str">
        <f aca="false">Chase1168_2025!G1103</f>
        <v>Transfer to DWG Capital Group_Savings</v>
      </c>
      <c r="H1103" s="15" t="n">
        <f aca="false">IF($B1103="","",DATE(YEAR($B1103),MONTH($B1103),1))</f>
        <v>45809</v>
      </c>
      <c r="I1103" s="0" t="str">
        <f aca="false">IF($G1103="","Uncategorized — Review",IFERROR(INDEX(Mapping!$B:$B,MATCH($G1103,Mapping!$A:$A,0)),"Uncategorized — Review"))</f>
        <v>Transfer to DWG Savings</v>
      </c>
      <c r="J1103" s="0" t="str">
        <f aca="false">IF($G1103="","Uncategorized — Review",IFERROR(INDEX(Mapping!$C:$C,MATCH($G1103,Mapping!$A:$A,0)),"Uncategorized — Review"))</f>
        <v>Intercompany &amp; Savings Transfers</v>
      </c>
    </row>
    <row r="1104" customFormat="false" ht="15" hidden="false" customHeight="false" outlineLevel="0" collapsed="false">
      <c r="A1104" s="0" t="str">
        <f aca="false">Chase1168_2025!A1104</f>
        <v>DEBIT</v>
      </c>
      <c r="B1104" s="14" t="n">
        <f aca="false">Chase1168_2025!B1104</f>
        <v>45810</v>
      </c>
      <c r="C1104" s="0" t="str">
        <f aca="false">Chase1168_2025!C1104</f>
        <v>ORIG CO NAME:GEICO                  ORIG ID:3530075853 DESC DATE:250530 CO ENTRY DESCR:PREM COLL SEC:PPD    TRACE#:021000021167857 EED:250602   IND ID:                             IND NAME:ANGELA TRN: 1531167857TC</v>
      </c>
      <c r="D1104" s="7" t="n">
        <f aca="false">Chase1168_2025!D1104</f>
        <v>-558.58</v>
      </c>
      <c r="E1104" s="0" t="str">
        <f aca="false">Chase1168_2025!E1104</f>
        <v>ACH_DEBIT</v>
      </c>
      <c r="F1104" s="7" t="n">
        <f aca="false">Chase1168_2025!F1104</f>
        <v>37173.79</v>
      </c>
      <c r="G1104" s="0" t="str">
        <f aca="false">Chase1168_2025!G1104</f>
        <v>Personal - Car Insurance</v>
      </c>
      <c r="H1104" s="15" t="n">
        <f aca="false">IF($B1104="","",DATE(YEAR($B1104),MONTH($B1104),1))</f>
        <v>45809</v>
      </c>
      <c r="I1104" s="0" t="str">
        <f aca="false">IF($G1104="","Uncategorized — Review",IFERROR(INDEX(Mapping!$B:$B,MATCH($G1104,Mapping!$A:$A,0)),"Uncategorized — Review"))</f>
        <v>Personal - Car &amp; Auto</v>
      </c>
      <c r="J1104" s="0" t="str">
        <f aca="false">IF($G1104="","Uncategorized — Review",IFERROR(INDEX(Mapping!$C:$C,MATCH($G1104,Mapping!$A:$A,0)),"Uncategorized — Review"))</f>
        <v>Personal — Owner</v>
      </c>
    </row>
    <row r="1105" customFormat="false" ht="15" hidden="false" customHeight="false" outlineLevel="0" collapsed="false">
      <c r="A1105" s="0" t="str">
        <f aca="false">Chase1168_2025!A1105</f>
        <v>DEBIT</v>
      </c>
      <c r="B1105" s="14" t="n">
        <f aca="false">Chase1168_2025!B1105</f>
        <v>45810</v>
      </c>
      <c r="C1105" s="0" t="str">
        <f aca="false">Chase1168_2025!C1105</f>
        <v>PP*APPLE.COM/BILL 800-275-2273 CA            06/01</v>
      </c>
      <c r="D1105" s="7" t="n">
        <f aca="false">Chase1168_2025!D1105</f>
        <v>-15.99</v>
      </c>
      <c r="E1105" s="0" t="str">
        <f aca="false">Chase1168_2025!E1105</f>
        <v>DEBIT_CARD</v>
      </c>
      <c r="F1105" s="7" t="n">
        <f aca="false">Chase1168_2025!F1105</f>
        <v>37732.37</v>
      </c>
      <c r="G1105" s="0" t="str">
        <f aca="false">Chase1168_2025!G1105</f>
        <v>Personal - Subscriptions</v>
      </c>
      <c r="H1105" s="15" t="n">
        <f aca="false">IF($B1105="","",DATE(YEAR($B1105),MONTH($B1105),1))</f>
        <v>45809</v>
      </c>
      <c r="I1105" s="0" t="str">
        <f aca="false">IF($G1105="","Uncategorized — Review",IFERROR(INDEX(Mapping!$B:$B,MATCH($G1105,Mapping!$A:$A,0)),"Uncategorized — Review"))</f>
        <v>Personal - Subscriptions</v>
      </c>
      <c r="J1105" s="0" t="str">
        <f aca="false">IF($G1105="","Uncategorized — Review",IFERROR(INDEX(Mapping!$C:$C,MATCH($G1105,Mapping!$A:$A,0)),"Uncategorized — Review"))</f>
        <v>Personal — Owner</v>
      </c>
    </row>
    <row r="1106" customFormat="false" ht="15" hidden="false" customHeight="false" outlineLevel="0" collapsed="false">
      <c r="A1106" s="0" t="str">
        <f aca="false">Chase1168_2025!A1106</f>
        <v>DEBIT</v>
      </c>
      <c r="B1106" s="14" t="n">
        <f aca="false">Chase1168_2025!B1106</f>
        <v>45810</v>
      </c>
      <c r="C1106" s="0" t="str">
        <f aca="false">Chase1168_2025!C1106</f>
        <v>PP*APPLE.COM/BILL 800-275-2273 CA            05/31</v>
      </c>
      <c r="D1106" s="7" t="n">
        <f aca="false">Chase1168_2025!D1106</f>
        <v>-18.99</v>
      </c>
      <c r="E1106" s="0" t="str">
        <f aca="false">Chase1168_2025!E1106</f>
        <v>DEBIT_CARD</v>
      </c>
      <c r="F1106" s="7" t="n">
        <f aca="false">Chase1168_2025!F1106</f>
        <v>37748.36</v>
      </c>
      <c r="G1106" s="0" t="str">
        <f aca="false">Chase1168_2025!G1106</f>
        <v>Personal - Subscriptions</v>
      </c>
      <c r="H1106" s="15" t="n">
        <f aca="false">IF($B1106="","",DATE(YEAR($B1106),MONTH($B1106),1))</f>
        <v>45809</v>
      </c>
      <c r="I1106" s="0" t="str">
        <f aca="false">IF($G1106="","Uncategorized — Review",IFERROR(INDEX(Mapping!$B:$B,MATCH($G1106,Mapping!$A:$A,0)),"Uncategorized — Review"))</f>
        <v>Personal - Subscriptions</v>
      </c>
      <c r="J1106" s="0" t="str">
        <f aca="false">IF($G1106="","Uncategorized — Review",IFERROR(INDEX(Mapping!$C:$C,MATCH($G1106,Mapping!$A:$A,0)),"Uncategorized — Review"))</f>
        <v>Personal — Owner</v>
      </c>
    </row>
    <row r="1107" customFormat="false" ht="15" hidden="false" customHeight="false" outlineLevel="0" collapsed="false">
      <c r="A1107" s="0" t="str">
        <f aca="false">Chase1168_2025!A1107</f>
        <v>DEBIT</v>
      </c>
      <c r="B1107" s="14" t="n">
        <f aca="false">Chase1168_2025!B1107</f>
        <v>45810</v>
      </c>
      <c r="C1107" s="0" t="str">
        <f aca="false">Chase1168_2025!C1107</f>
        <v>PAYPAL *LINKEDIN 402-935-7733 CA             05/31</v>
      </c>
      <c r="D1107" s="7" t="n">
        <f aca="false">Chase1168_2025!D1107</f>
        <v>-547.03</v>
      </c>
      <c r="E1107" s="0" t="str">
        <f aca="false">Chase1168_2025!E1107</f>
        <v>DEBIT_CARD</v>
      </c>
      <c r="F1107" s="7" t="n">
        <f aca="false">Chase1168_2025!F1107</f>
        <v>37767.35</v>
      </c>
      <c r="G1107" s="0" t="str">
        <f aca="false">Chase1168_2025!G1107</f>
        <v>DWG HR</v>
      </c>
      <c r="H1107" s="15" t="n">
        <f aca="false">IF($B1107="","",DATE(YEAR($B1107),MONTH($B1107),1))</f>
        <v>45809</v>
      </c>
      <c r="I1107" s="0" t="str">
        <f aca="false">IF($G1107="","Uncategorized — Review",IFERROR(INDEX(Mapping!$B:$B,MATCH($G1107,Mapping!$A:$A,0)),"Uncategorized — Review"))</f>
        <v>DWG HR</v>
      </c>
      <c r="J1107" s="0" t="str">
        <f aca="false">IF($G1107="","Uncategorized — Review",IFERROR(INDEX(Mapping!$C:$C,MATCH($G1107,Mapping!$A:$A,0)),"Uncategorized — Review"))</f>
        <v>Payroll &amp; Contractors</v>
      </c>
    </row>
    <row r="1108" customFormat="false" ht="15" hidden="false" customHeight="false" outlineLevel="0" collapsed="false">
      <c r="A1108" s="0" t="str">
        <f aca="false">Chase1168_2025!A1108</f>
        <v>CREDIT</v>
      </c>
      <c r="B1108" s="14" t="n">
        <f aca="false">Chase1168_2025!B1108</f>
        <v>45810</v>
      </c>
      <c r="C1108" s="0" t="str">
        <f aca="false">Chase1168_2025!C1108</f>
        <v>Online Transfer from CHK ...9335 transaction#: 24989793317</v>
      </c>
      <c r="D1108" s="7" t="n">
        <f aca="false">Chase1168_2025!D1108</f>
        <v>20000</v>
      </c>
      <c r="E1108" s="0" t="str">
        <f aca="false">Chase1168_2025!E1108</f>
        <v>ACCT_XFER</v>
      </c>
      <c r="F1108" s="7" t="n">
        <f aca="false">Chase1168_2025!F1108</f>
        <v>38314.38</v>
      </c>
      <c r="G1108" s="0" t="str">
        <f aca="false">Chase1168_2025!G1108</f>
        <v>Poseidon Asset Group (Incoming)</v>
      </c>
      <c r="H1108" s="15" t="n">
        <f aca="false">IF($B1108="","",DATE(YEAR($B1108),MONTH($B1108),1))</f>
        <v>45809</v>
      </c>
      <c r="I1108" s="0" t="str">
        <f aca="false">IF($G1108="","Uncategorized — Review",IFERROR(INDEX(Mapping!$B:$B,MATCH($G1108,Mapping!$A:$A,0)),"Uncategorized — Review"))</f>
        <v>Poseidon Asset Group (Incoming)</v>
      </c>
      <c r="J1108" s="0" t="str">
        <f aca="false">IF($G1108="","Uncategorized — Review",IFERROR(INDEX(Mapping!$C:$C,MATCH($G1108,Mapping!$A:$A,0)),"Uncategorized — Review"))</f>
        <v>Poseidon Asset Group</v>
      </c>
    </row>
    <row r="1109" customFormat="false" ht="15" hidden="false" customHeight="false" outlineLevel="0" collapsed="false">
      <c r="A1109" s="0" t="str">
        <f aca="false">Chase1168_2025!A1109</f>
        <v>DEBIT</v>
      </c>
      <c r="B1109" s="14" t="n">
        <f aca="false">Chase1168_2025!B1109</f>
        <v>45807</v>
      </c>
      <c r="C1109" s="0" t="str">
        <f aca="false">Chase1168_2025!C1109</f>
        <v>Online Transfer to CHK ...0709 transaction#: 24950193688 05/30</v>
      </c>
      <c r="D1109" s="7" t="n">
        <f aca="false">Chase1168_2025!D1109</f>
        <v>-500</v>
      </c>
      <c r="E1109" s="0" t="str">
        <f aca="false">Chase1168_2025!E1109</f>
        <v>ACCT_XFER</v>
      </c>
      <c r="F1109" s="7" t="n">
        <f aca="false">Chase1168_2025!F1109</f>
        <v>18314.38</v>
      </c>
      <c r="G1109" s="0" t="str">
        <f aca="false">Chase1168_2025!G1109</f>
        <v>Transfer to DWG Capital Group_Savings</v>
      </c>
      <c r="H1109" s="15" t="n">
        <f aca="false">IF($B1109="","",DATE(YEAR($B1109),MONTH($B1109),1))</f>
        <v>45778</v>
      </c>
      <c r="I1109" s="0" t="str">
        <f aca="false">IF($G1109="","Uncategorized — Review",IFERROR(INDEX(Mapping!$B:$B,MATCH($G1109,Mapping!$A:$A,0)),"Uncategorized — Review"))</f>
        <v>Transfer to DWG Savings</v>
      </c>
      <c r="J1109" s="0" t="str">
        <f aca="false">IF($G1109="","Uncategorized — Review",IFERROR(INDEX(Mapping!$C:$C,MATCH($G1109,Mapping!$A:$A,0)),"Uncategorized — Review"))</f>
        <v>Intercompany &amp; Savings Transfers</v>
      </c>
    </row>
    <row r="1110" customFormat="false" ht="15" hidden="false" customHeight="false" outlineLevel="0" collapsed="false">
      <c r="A1110" s="0" t="str">
        <f aca="false">Chase1168_2025!A1110</f>
        <v>DEBIT</v>
      </c>
      <c r="B1110" s="14" t="n">
        <f aca="false">Chase1168_2025!B1110</f>
        <v>45807</v>
      </c>
      <c r="C1110" s="0" t="str">
        <f aca="false">Chase1168_2025!C1110</f>
        <v>ORIG CO NAME:VENMO                  ORIG ID:3264681992 DESC DATE:250530 CO ENTRY DESCR:PAYMENT   SEC:WEB    TRACE#:021000021812705 EED:250530   IND ID:1042528469060                IND NAME:JUDD DUNNING                                                                                                 250530PPZTYY TRN: 1501812705TC</v>
      </c>
      <c r="D1110" s="7" t="n">
        <f aca="false">Chase1168_2025!D1110</f>
        <v>-1250</v>
      </c>
      <c r="E1110" s="0" t="str">
        <f aca="false">Chase1168_2025!E1110</f>
        <v>ACH_DEBIT</v>
      </c>
      <c r="F1110" s="7" t="n">
        <f aca="false">Chase1168_2025!F1110</f>
        <v>18814.38</v>
      </c>
      <c r="G1110" s="0" t="str">
        <f aca="false">Chase1168_2025!G1110</f>
        <v>Venmo</v>
      </c>
      <c r="H1110" s="15" t="n">
        <f aca="false">IF($B1110="","",DATE(YEAR($B1110),MONTH($B1110),1))</f>
        <v>45778</v>
      </c>
      <c r="I1110" s="0" t="str">
        <f aca="false">IF($G1110="","Uncategorized — Review",IFERROR(INDEX(Mapping!$B:$B,MATCH($G1110,Mapping!$A:$A,0)),"Uncategorized — Review"))</f>
        <v>Venmo</v>
      </c>
      <c r="J1110" s="0" t="str">
        <f aca="false">IF($G1110="","Uncategorized — Review",IFERROR(INDEX(Mapping!$C:$C,MATCH($G1110,Mapping!$A:$A,0)),"Uncategorized — Review"))</f>
        <v>P2P Payments (Zelle/Venmo/PayPal)</v>
      </c>
    </row>
    <row r="1111" customFormat="false" ht="15" hidden="false" customHeight="false" outlineLevel="0" collapsed="false">
      <c r="A1111" s="0" t="str">
        <f aca="false">Chase1168_2025!A1111</f>
        <v>DEBIT</v>
      </c>
      <c r="B1111" s="14" t="n">
        <f aca="false">Chase1168_2025!B1111</f>
        <v>45807</v>
      </c>
      <c r="C1111" s="0" t="str">
        <f aca="false">Chase1168_2025!C1111</f>
        <v>ORIG CO NAME:SBA EIDL LOAN          ORIG ID:7300000118 DESC DATE:250529 CO ENTRY DESCR:PAYMENT   SEC:CCD    TRACE#:041036040521570 EED:250530   IND ID:0000                         IND NAME:JOHN DUNNING               1871308204                                                                        ACH TRANSACTION TRN: 1500521570TC</v>
      </c>
      <c r="D1111" s="7" t="n">
        <f aca="false">Chase1168_2025!D1111</f>
        <v>-2524</v>
      </c>
      <c r="E1111" s="0" t="str">
        <f aca="false">Chase1168_2025!E1111</f>
        <v>ACH_DEBIT</v>
      </c>
      <c r="F1111" s="7" t="n">
        <f aca="false">Chase1168_2025!F1111</f>
        <v>20064.38</v>
      </c>
      <c r="G1111" s="0" t="str">
        <f aca="false">Chase1168_2025!G1111</f>
        <v>SBC EIDL Loan</v>
      </c>
      <c r="H1111" s="15" t="n">
        <f aca="false">IF($B1111="","",DATE(YEAR($B1111),MONTH($B1111),1))</f>
        <v>45778</v>
      </c>
      <c r="I1111" s="0" t="str">
        <f aca="false">IF($G1111="","Uncategorized — Review",IFERROR(INDEX(Mapping!$B:$B,MATCH($G1111,Mapping!$A:$A,0)),"Uncategorized — Review"))</f>
        <v>SBC EIDL Loan</v>
      </c>
      <c r="J1111" s="0" t="str">
        <f aca="false">IF($G1111="","Uncategorized — Review",IFERROR(INDEX(Mapping!$C:$C,MATCH($G1111,Mapping!$A:$A,0)),"Uncategorized — Review"))</f>
        <v>Credit Card &amp; Loan Payments</v>
      </c>
    </row>
    <row r="1112" customFormat="false" ht="15" hidden="false" customHeight="false" outlineLevel="0" collapsed="false">
      <c r="A1112" s="0" t="str">
        <f aca="false">Chase1168_2025!A1112</f>
        <v>DEBIT</v>
      </c>
      <c r="B1112" s="14" t="n">
        <f aca="false">Chase1168_2025!B1112</f>
        <v>45807</v>
      </c>
      <c r="C1112" s="0" t="str">
        <f aca="false">Chase1168_2025!C1112</f>
        <v>PAYPAL *UBER 866-576-1039 CA                 05/30</v>
      </c>
      <c r="D1112" s="7" t="n">
        <f aca="false">Chase1168_2025!D1112</f>
        <v>-16.29</v>
      </c>
      <c r="E1112" s="0" t="str">
        <f aca="false">Chase1168_2025!E1112</f>
        <v>DEBIT_CARD</v>
      </c>
      <c r="F1112" s="7" t="n">
        <f aca="false">Chase1168_2025!F1112</f>
        <v>22588.38</v>
      </c>
      <c r="G1112" s="0" t="str">
        <f aca="false">Chase1168_2025!G1112</f>
        <v>Personal - Car</v>
      </c>
      <c r="H1112" s="15" t="n">
        <f aca="false">IF($B1112="","",DATE(YEAR($B1112),MONTH($B1112),1))</f>
        <v>45778</v>
      </c>
      <c r="I1112" s="0" t="str">
        <f aca="false">IF($G1112="","Uncategorized — Review",IFERROR(INDEX(Mapping!$B:$B,MATCH($G1112,Mapping!$A:$A,0)),"Uncategorized — Review"))</f>
        <v>Personal - Car &amp; Auto</v>
      </c>
      <c r="J1112" s="0" t="str">
        <f aca="false">IF($G1112="","Uncategorized — Review",IFERROR(INDEX(Mapping!$C:$C,MATCH($G1112,Mapping!$A:$A,0)),"Uncategorized — Review"))</f>
        <v>Personal — Owner</v>
      </c>
    </row>
    <row r="1113" customFormat="false" ht="15" hidden="false" customHeight="false" outlineLevel="0" collapsed="false">
      <c r="A1113" s="0" t="str">
        <f aca="false">Chase1168_2025!A1113</f>
        <v>DEBIT</v>
      </c>
      <c r="B1113" s="14" t="n">
        <f aca="false">Chase1168_2025!B1113</f>
        <v>45806</v>
      </c>
      <c r="C1113" s="0" t="str">
        <f aca="false">Chase1168_2025!C1113</f>
        <v>ORIG CO NAME:VENMO                  ORIG ID:3264681992 DESC DATE:250529 CO ENTRY DESCR:PAYMENT   SEC:WEB    TRACE#:021000026797447 EED:250529   IND ID:1042514750194                IND NAME:JUDD DUNNING                                                                                                 250529PPZPL8 TRN: 1496797447TC</v>
      </c>
      <c r="D1113" s="7" t="n">
        <f aca="false">Chase1168_2025!D1113</f>
        <v>-20</v>
      </c>
      <c r="E1113" s="0" t="str">
        <f aca="false">Chase1168_2025!E1113</f>
        <v>ACH_DEBIT</v>
      </c>
      <c r="F1113" s="7" t="n">
        <f aca="false">Chase1168_2025!F1113</f>
        <v>22604.67</v>
      </c>
      <c r="G1113" s="0" t="str">
        <f aca="false">Chase1168_2025!G1113</f>
        <v>Venmo</v>
      </c>
      <c r="H1113" s="15" t="n">
        <f aca="false">IF($B1113="","",DATE(YEAR($B1113),MONTH($B1113),1))</f>
        <v>45778</v>
      </c>
      <c r="I1113" s="0" t="str">
        <f aca="false">IF($G1113="","Uncategorized — Review",IFERROR(INDEX(Mapping!$B:$B,MATCH($G1113,Mapping!$A:$A,0)),"Uncategorized — Review"))</f>
        <v>Venmo</v>
      </c>
      <c r="J1113" s="0" t="str">
        <f aca="false">IF($G1113="","Uncategorized — Review",IFERROR(INDEX(Mapping!$C:$C,MATCH($G1113,Mapping!$A:$A,0)),"Uncategorized — Review"))</f>
        <v>P2P Payments (Zelle/Venmo/PayPal)</v>
      </c>
    </row>
    <row r="1114" customFormat="false" ht="15" hidden="false" customHeight="false" outlineLevel="0" collapsed="false">
      <c r="A1114" s="0" t="str">
        <f aca="false">Chase1168_2025!A1114</f>
        <v>DEBIT</v>
      </c>
      <c r="B1114" s="14" t="n">
        <f aca="false">Chase1168_2025!B1114</f>
        <v>45806</v>
      </c>
      <c r="C1114" s="0" t="str">
        <f aca="false">Chase1168_2025!C1114</f>
        <v>INDEED USI25-02713381 AUSTIN TX      192889  05/29</v>
      </c>
      <c r="D1114" s="7" t="n">
        <f aca="false">Chase1168_2025!D1114</f>
        <v>-502.81</v>
      </c>
      <c r="E1114" s="0" t="str">
        <f aca="false">Chase1168_2025!E1114</f>
        <v>DEBIT_CARD</v>
      </c>
      <c r="F1114" s="7" t="n">
        <f aca="false">Chase1168_2025!F1114</f>
        <v>22624.67</v>
      </c>
      <c r="G1114" s="0" t="str">
        <f aca="false">Chase1168_2025!G1114</f>
        <v>DWG HR</v>
      </c>
      <c r="H1114" s="15" t="n">
        <f aca="false">IF($B1114="","",DATE(YEAR($B1114),MONTH($B1114),1))</f>
        <v>45778</v>
      </c>
      <c r="I1114" s="0" t="str">
        <f aca="false">IF($G1114="","Uncategorized — Review",IFERROR(INDEX(Mapping!$B:$B,MATCH($G1114,Mapping!$A:$A,0)),"Uncategorized — Review"))</f>
        <v>DWG HR</v>
      </c>
      <c r="J1114" s="0" t="str">
        <f aca="false">IF($G1114="","Uncategorized — Review",IFERROR(INDEX(Mapping!$C:$C,MATCH($G1114,Mapping!$A:$A,0)),"Uncategorized — Review"))</f>
        <v>Payroll &amp; Contractors</v>
      </c>
    </row>
    <row r="1115" customFormat="false" ht="15" hidden="false" customHeight="false" outlineLevel="0" collapsed="false">
      <c r="A1115" s="0" t="str">
        <f aca="false">Chase1168_2025!A1115</f>
        <v>DEBIT</v>
      </c>
      <c r="B1115" s="14" t="n">
        <f aca="false">Chase1168_2025!B1115</f>
        <v>45806</v>
      </c>
      <c r="C1115" s="0" t="str">
        <f aca="false">Chase1168_2025!C1115</f>
        <v>ORIG CO NAME:GEICO                  ORIG ID:3530075853 DESC DATE:250528 CO ENTRY DESCR:PREM COLL SEC:PPD    TRACE#:021000026576415 EED:250529   IND ID:                             IND NAME:ANGELA DUNNING TRN: 1496576415TC</v>
      </c>
      <c r="D1115" s="7" t="n">
        <f aca="false">Chase1168_2025!D1115</f>
        <v>-770.98</v>
      </c>
      <c r="E1115" s="0" t="str">
        <f aca="false">Chase1168_2025!E1115</f>
        <v>ACH_DEBIT</v>
      </c>
      <c r="F1115" s="7" t="n">
        <f aca="false">Chase1168_2025!F1115</f>
        <v>23127.48</v>
      </c>
      <c r="G1115" s="0" t="str">
        <f aca="false">Chase1168_2025!G1115</f>
        <v>Personal - Car Insurance</v>
      </c>
      <c r="H1115" s="15" t="n">
        <f aca="false">IF($B1115="","",DATE(YEAR($B1115),MONTH($B1115),1))</f>
        <v>45778</v>
      </c>
      <c r="I1115" s="0" t="str">
        <f aca="false">IF($G1115="","Uncategorized — Review",IFERROR(INDEX(Mapping!$B:$B,MATCH($G1115,Mapping!$A:$A,0)),"Uncategorized — Review"))</f>
        <v>Personal - Car &amp; Auto</v>
      </c>
      <c r="J1115" s="0" t="str">
        <f aca="false">IF($G1115="","Uncategorized — Review",IFERROR(INDEX(Mapping!$C:$C,MATCH($G1115,Mapping!$A:$A,0)),"Uncategorized — Review"))</f>
        <v>Personal — Owner</v>
      </c>
    </row>
    <row r="1116" customFormat="false" ht="15" hidden="false" customHeight="false" outlineLevel="0" collapsed="false">
      <c r="A1116" s="0" t="str">
        <f aca="false">Chase1168_2025!A1116</f>
        <v>DEBIT</v>
      </c>
      <c r="B1116" s="14" t="n">
        <f aca="false">Chase1168_2025!B1116</f>
        <v>45805</v>
      </c>
      <c r="C1116" s="0" t="str">
        <f aca="false">Chase1168_2025!C1116</f>
        <v>ORIG CO NAME:BANNER LIFE            ORIG ID:1521236145 DESC DATE:250527 CO ENTRY DESCR:PREM DEBITSEC:PPD    TRACE#:091000014341456 EED:250528   IND ID:                             IND NAME:ANGELA L DUNNING TRN: 1484341456TC</v>
      </c>
      <c r="D1116" s="7" t="n">
        <f aca="false">Chase1168_2025!D1116</f>
        <v>-12.5</v>
      </c>
      <c r="E1116" s="0" t="str">
        <f aca="false">Chase1168_2025!E1116</f>
        <v>ACH_DEBIT</v>
      </c>
      <c r="F1116" s="7" t="n">
        <f aca="false">Chase1168_2025!F1116</f>
        <v>23898.46</v>
      </c>
      <c r="G1116" s="0" t="str">
        <f aca="false">Chase1168_2025!G1116</f>
        <v>Personal - Life Insurance</v>
      </c>
      <c r="H1116" s="15" t="n">
        <f aca="false">IF($B1116="","",DATE(YEAR($B1116),MONTH($B1116),1))</f>
        <v>45778</v>
      </c>
      <c r="I1116" s="0" t="str">
        <f aca="false">IF($G1116="","Uncategorized — Review",IFERROR(INDEX(Mapping!$B:$B,MATCH($G1116,Mapping!$A:$A,0)),"Uncategorized — Review"))</f>
        <v>Personal - Life Insurance</v>
      </c>
      <c r="J1116" s="0" t="str">
        <f aca="false">IF($G1116="","Uncategorized — Review",IFERROR(INDEX(Mapping!$C:$C,MATCH($G1116,Mapping!$A:$A,0)),"Uncategorized — Review"))</f>
        <v>Personal — Owner</v>
      </c>
    </row>
    <row r="1117" customFormat="false" ht="15" hidden="false" customHeight="false" outlineLevel="0" collapsed="false">
      <c r="A1117" s="0" t="str">
        <f aca="false">Chase1168_2025!A1117</f>
        <v>DEBIT</v>
      </c>
      <c r="B1117" s="14" t="n">
        <f aca="false">Chase1168_2025!B1117</f>
        <v>45805</v>
      </c>
      <c r="C1117" s="0" t="str">
        <f aca="false">Chase1168_2025!C1117</f>
        <v>ORIG CO NAME:BANNER LIFE            ORIG ID:1521236145 DESC DATE:250527 CO ENTRY DESCR:PREM DEBITSEC:PPD    TRACE#:091000014341457 EED:250528   IND ID:                             IND NAME:JOHN  DUNNING TRN: 1484341457TC</v>
      </c>
      <c r="D1117" s="7" t="n">
        <f aca="false">Chase1168_2025!D1117</f>
        <v>-22.92</v>
      </c>
      <c r="E1117" s="0" t="str">
        <f aca="false">Chase1168_2025!E1117</f>
        <v>ACH_DEBIT</v>
      </c>
      <c r="F1117" s="7" t="n">
        <f aca="false">Chase1168_2025!F1117</f>
        <v>23910.96</v>
      </c>
      <c r="G1117" s="0" t="str">
        <f aca="false">Chase1168_2025!G1117</f>
        <v>Personal - Life Insurance</v>
      </c>
      <c r="H1117" s="15" t="n">
        <f aca="false">IF($B1117="","",DATE(YEAR($B1117),MONTH($B1117),1))</f>
        <v>45778</v>
      </c>
      <c r="I1117" s="0" t="str">
        <f aca="false">IF($G1117="","Uncategorized — Review",IFERROR(INDEX(Mapping!$B:$B,MATCH($G1117,Mapping!$A:$A,0)),"Uncategorized — Review"))</f>
        <v>Personal - Life Insurance</v>
      </c>
      <c r="J1117" s="0" t="str">
        <f aca="false">IF($G1117="","Uncategorized — Review",IFERROR(INDEX(Mapping!$C:$C,MATCH($G1117,Mapping!$A:$A,0)),"Uncategorized — Review"))</f>
        <v>Personal — Owner</v>
      </c>
    </row>
    <row r="1118" customFormat="false" ht="15" hidden="false" customHeight="false" outlineLevel="0" collapsed="false">
      <c r="A1118" s="0" t="str">
        <f aca="false">Chase1168_2025!A1118</f>
        <v>DEBIT</v>
      </c>
      <c r="B1118" s="14" t="n">
        <f aca="false">Chase1168_2025!B1118</f>
        <v>45805</v>
      </c>
      <c r="C1118" s="0" t="str">
        <f aca="false">Chase1168_2025!C1118</f>
        <v>ORIG CO NAME:ROBINHOOD              ORIG ID:5326394001 DESC DATE:       CO ENTRY DESCR:DEBITS    SEC:WEB    TRACE#:021000026106462 EED:250528   IND ID:465626935                    IND NAME:Judd Dunning TRN: 1486106462TC</v>
      </c>
      <c r="D1118" s="7" t="n">
        <f aca="false">Chase1168_2025!D1118</f>
        <v>-1000</v>
      </c>
      <c r="E1118" s="0" t="str">
        <f aca="false">Chase1168_2025!E1118</f>
        <v>ACH_DEBIT</v>
      </c>
      <c r="F1118" s="7" t="n">
        <f aca="false">Chase1168_2025!F1118</f>
        <v>23933.88</v>
      </c>
      <c r="G1118" s="0" t="str">
        <f aca="false">Chase1168_2025!G1118</f>
        <v>Personal - Investments</v>
      </c>
      <c r="H1118" s="15" t="n">
        <f aca="false">IF($B1118="","",DATE(YEAR($B1118),MONTH($B1118),1))</f>
        <v>45778</v>
      </c>
      <c r="I1118" s="0" t="str">
        <f aca="false">IF($G1118="","Uncategorized — Review",IFERROR(INDEX(Mapping!$B:$B,MATCH($G1118,Mapping!$A:$A,0)),"Uncategorized — Review"))</f>
        <v>Personal - Investments</v>
      </c>
      <c r="J1118" s="0" t="str">
        <f aca="false">IF($G1118="","Uncategorized — Review",IFERROR(INDEX(Mapping!$C:$C,MATCH($G1118,Mapping!$A:$A,0)),"Uncategorized — Review"))</f>
        <v>Personal — Owner</v>
      </c>
    </row>
    <row r="1119" customFormat="false" ht="15" hidden="false" customHeight="false" outlineLevel="0" collapsed="false">
      <c r="A1119" s="0" t="str">
        <f aca="false">Chase1168_2025!A1119</f>
        <v>DEBIT</v>
      </c>
      <c r="B1119" s="14" t="n">
        <f aca="false">Chase1168_2025!B1119</f>
        <v>45805</v>
      </c>
      <c r="C1119" s="0" t="str">
        <f aca="false">Chase1168_2025!C1119</f>
        <v>CVS/PHARMACY #09563 LOS ANGELES CA           05/27</v>
      </c>
      <c r="D1119" s="7" t="n">
        <f aca="false">Chase1168_2025!D1119</f>
        <v>-31.9</v>
      </c>
      <c r="E1119" s="0" t="str">
        <f aca="false">Chase1168_2025!E1119</f>
        <v>DEBIT_CARD</v>
      </c>
      <c r="F1119" s="7" t="n">
        <f aca="false">Chase1168_2025!F1119</f>
        <v>24933.88</v>
      </c>
      <c r="G1119" s="0" t="str">
        <f aca="false">Chase1168_2025!G1119</f>
        <v>Personal - Health</v>
      </c>
      <c r="H1119" s="15" t="n">
        <f aca="false">IF($B1119="","",DATE(YEAR($B1119),MONTH($B1119),1))</f>
        <v>45778</v>
      </c>
      <c r="I1119" s="0" t="str">
        <f aca="false">IF($G1119="","Uncategorized — Review",IFERROR(INDEX(Mapping!$B:$B,MATCH($G1119,Mapping!$A:$A,0)),"Uncategorized — Review"))</f>
        <v>Personal - Health (incl. Ins.)</v>
      </c>
      <c r="J1119" s="0" t="str">
        <f aca="false">IF($G1119="","Uncategorized — Review",IFERROR(INDEX(Mapping!$C:$C,MATCH($G1119,Mapping!$A:$A,0)),"Uncategorized — Review"))</f>
        <v>Personal — Owner</v>
      </c>
    </row>
    <row r="1120" customFormat="false" ht="15" hidden="false" customHeight="false" outlineLevel="0" collapsed="false">
      <c r="A1120" s="0" t="str">
        <f aca="false">Chase1168_2025!A1120</f>
        <v>DEBIT</v>
      </c>
      <c r="B1120" s="14" t="n">
        <f aca="false">Chase1168_2025!B1120</f>
        <v>45804</v>
      </c>
      <c r="C1120" s="0" t="str">
        <f aca="false">Chase1168_2025!C1120</f>
        <v>ORIG CO NAME:VENMO                  ORIG ID:3264681992 DESC DATE:250527 CO ENTRY DESCR:PAYMENT   SEC:WEB    TRACE#:021000024364947 EED:250527   IND ID:1042476301559                IND NAME:JUDD DUNNING                                                                                                 250527PPZ8EZ TRN: 1474364947TC</v>
      </c>
      <c r="D1120" s="7" t="n">
        <f aca="false">Chase1168_2025!D1120</f>
        <v>-200</v>
      </c>
      <c r="E1120" s="0" t="str">
        <f aca="false">Chase1168_2025!E1120</f>
        <v>ACH_DEBIT</v>
      </c>
      <c r="F1120" s="7" t="n">
        <f aca="false">Chase1168_2025!F1120</f>
        <v>24965.78</v>
      </c>
      <c r="G1120" s="0" t="str">
        <f aca="false">Chase1168_2025!G1120</f>
        <v>Venmo</v>
      </c>
      <c r="H1120" s="15" t="n">
        <f aca="false">IF($B1120="","",DATE(YEAR($B1120),MONTH($B1120),1))</f>
        <v>45778</v>
      </c>
      <c r="I1120" s="0" t="str">
        <f aca="false">IF($G1120="","Uncategorized — Review",IFERROR(INDEX(Mapping!$B:$B,MATCH($G1120,Mapping!$A:$A,0)),"Uncategorized — Review"))</f>
        <v>Venmo</v>
      </c>
      <c r="J1120" s="0" t="str">
        <f aca="false">IF($G1120="","Uncategorized — Review",IFERROR(INDEX(Mapping!$C:$C,MATCH($G1120,Mapping!$A:$A,0)),"Uncategorized — Review"))</f>
        <v>P2P Payments (Zelle/Venmo/PayPal)</v>
      </c>
    </row>
    <row r="1121" customFormat="false" ht="15" hidden="false" customHeight="false" outlineLevel="0" collapsed="false">
      <c r="A1121" s="0" t="str">
        <f aca="false">Chase1168_2025!A1121</f>
        <v>DEBIT</v>
      </c>
      <c r="B1121" s="14" t="n">
        <f aca="false">Chase1168_2025!B1121</f>
        <v>45804</v>
      </c>
      <c r="C1121" s="0" t="str">
        <f aca="false">Chase1168_2025!C1121</f>
        <v>Online Payment 24911067178 To PENTAGON FEDERAL CREDIT UNION 05/27</v>
      </c>
      <c r="D1121" s="7" t="n">
        <f aca="false">Chase1168_2025!D1121</f>
        <v>-7010</v>
      </c>
      <c r="E1121" s="0" t="str">
        <f aca="false">Chase1168_2025!E1121</f>
        <v>BILLPAY</v>
      </c>
      <c r="F1121" s="7" t="n">
        <f aca="false">Chase1168_2025!F1121</f>
        <v>25165.78</v>
      </c>
      <c r="G1121" s="0" t="str">
        <f aca="false">Chase1168_2025!G1121</f>
        <v>Personal - California Mortgage PMT</v>
      </c>
      <c r="H1121" s="15" t="n">
        <f aca="false">IF($B1121="","",DATE(YEAR($B1121),MONTH($B1121),1))</f>
        <v>45778</v>
      </c>
      <c r="I1121" s="0" t="str">
        <f aca="false">IF($G1121="","Uncategorized — Review",IFERROR(INDEX(Mapping!$B:$B,MATCH($G1121,Mapping!$A:$A,0)),"Uncategorized — Review"))</f>
        <v>Personal - California Mortgage PMT</v>
      </c>
      <c r="J1121" s="0" t="str">
        <f aca="false">IF($G1121="","Uncategorized — Review",IFERROR(INDEX(Mapping!$C:$C,MATCH($G1121,Mapping!$A:$A,0)),"Uncategorized — Review"))</f>
        <v>Personal — Owner</v>
      </c>
    </row>
    <row r="1122" customFormat="false" ht="15" hidden="false" customHeight="false" outlineLevel="0" collapsed="false">
      <c r="A1122" s="0" t="str">
        <f aca="false">Chase1168_2025!A1122</f>
        <v>DEBIT</v>
      </c>
      <c r="B1122" s="14" t="n">
        <f aca="false">Chase1168_2025!B1122</f>
        <v>45804</v>
      </c>
      <c r="C1122" s="0" t="str">
        <f aca="false">Chase1168_2025!C1122</f>
        <v>Online Payment 24911073100 To MERCEDES BENZ FINANCIAL 05/27</v>
      </c>
      <c r="D1122" s="7" t="n">
        <f aca="false">Chase1168_2025!D1122</f>
        <v>-412</v>
      </c>
      <c r="E1122" s="0" t="str">
        <f aca="false">Chase1168_2025!E1122</f>
        <v>BILLPAY</v>
      </c>
      <c r="F1122" s="7" t="n">
        <f aca="false">Chase1168_2025!F1122</f>
        <v>32175.78</v>
      </c>
      <c r="G1122" s="0" t="str">
        <f aca="false">Chase1168_2025!G1122</f>
        <v>Personal - Car (Mercedes)</v>
      </c>
      <c r="H1122" s="15" t="n">
        <f aca="false">IF($B1122="","",DATE(YEAR($B1122),MONTH($B1122),1))</f>
        <v>45778</v>
      </c>
      <c r="I1122" s="0" t="str">
        <f aca="false">IF($G1122="","Uncategorized — Review",IFERROR(INDEX(Mapping!$B:$B,MATCH($G1122,Mapping!$A:$A,0)),"Uncategorized — Review"))</f>
        <v>Personal - Car &amp; Auto</v>
      </c>
      <c r="J1122" s="0" t="str">
        <f aca="false">IF($G1122="","Uncategorized — Review",IFERROR(INDEX(Mapping!$C:$C,MATCH($G1122,Mapping!$A:$A,0)),"Uncategorized — Review"))</f>
        <v>Personal — Owner</v>
      </c>
    </row>
    <row r="1123" customFormat="false" ht="15" hidden="false" customHeight="false" outlineLevel="0" collapsed="false">
      <c r="A1123" s="0" t="str">
        <f aca="false">Chase1168_2025!A1123</f>
        <v>DEBIT</v>
      </c>
      <c r="B1123" s="14" t="n">
        <f aca="false">Chase1168_2025!B1123</f>
        <v>45804</v>
      </c>
      <c r="C1123" s="0" t="str">
        <f aca="false">Chase1168_2025!C1123</f>
        <v>Online Transfer to CHK ...1117 transaction#: 24911027530 05/27</v>
      </c>
      <c r="D1123" s="7" t="n">
        <f aca="false">Chase1168_2025!D1123</f>
        <v>-5000</v>
      </c>
      <c r="E1123" s="0" t="str">
        <f aca="false">Chase1168_2025!E1123</f>
        <v>ACCT_XFER</v>
      </c>
      <c r="F1123" s="7" t="n">
        <f aca="false">Chase1168_2025!F1123</f>
        <v>32587.78</v>
      </c>
      <c r="G1123" s="0" t="str">
        <f aca="false">Chase1168_2025!G1123</f>
        <v>Transfer to Angela Dunning</v>
      </c>
      <c r="H1123" s="15" t="n">
        <f aca="false">IF($B1123="","",DATE(YEAR($B1123),MONTH($B1123),1))</f>
        <v>45778</v>
      </c>
      <c r="I1123" s="0" t="str">
        <f aca="false">IF($G1123="","Uncategorized — Review",IFERROR(INDEX(Mapping!$B:$B,MATCH($G1123,Mapping!$A:$A,0)),"Uncategorized — Review"))</f>
        <v>Transfer to Angela Dunning</v>
      </c>
      <c r="J1123" s="0" t="str">
        <f aca="false">IF($G1123="","Uncategorized — Review",IFERROR(INDEX(Mapping!$C:$C,MATCH($G1123,Mapping!$A:$A,0)),"Uncategorized — Review"))</f>
        <v>Owner / Family Distributions</v>
      </c>
    </row>
    <row r="1124" customFormat="false" ht="15" hidden="false" customHeight="false" outlineLevel="0" collapsed="false">
      <c r="A1124" s="0" t="str">
        <f aca="false">Chase1168_2025!A1124</f>
        <v>DEBIT</v>
      </c>
      <c r="B1124" s="14" t="n">
        <f aca="false">Chase1168_2025!B1124</f>
        <v>45804</v>
      </c>
      <c r="C1124" s="0" t="str">
        <f aca="false">Chase1168_2025!C1124</f>
        <v>Online Transfer to CHK ...6975 transaction#: 24911034295 05/27</v>
      </c>
      <c r="D1124" s="7" t="n">
        <f aca="false">Chase1168_2025!D1124</f>
        <v>-1000</v>
      </c>
      <c r="E1124" s="0" t="str">
        <f aca="false">Chase1168_2025!E1124</f>
        <v>ACCT_XFER</v>
      </c>
      <c r="F1124" s="7" t="n">
        <f aca="false">Chase1168_2025!F1124</f>
        <v>37587.78</v>
      </c>
      <c r="G1124" s="0" t="str">
        <f aca="false">Chase1168_2025!G1124</f>
        <v>Transfer to Ava Perez-Dunning</v>
      </c>
      <c r="H1124" s="15" t="n">
        <f aca="false">IF($B1124="","",DATE(YEAR($B1124),MONTH($B1124),1))</f>
        <v>45778</v>
      </c>
      <c r="I1124" s="0" t="str">
        <f aca="false">IF($G1124="","Uncategorized — Review",IFERROR(INDEX(Mapping!$B:$B,MATCH($G1124,Mapping!$A:$A,0)),"Uncategorized — Review"))</f>
        <v>Transfer to Ava Perez-Dunning</v>
      </c>
      <c r="J1124" s="0" t="str">
        <f aca="false">IF($G1124="","Uncategorized — Review",IFERROR(INDEX(Mapping!$C:$C,MATCH($G1124,Mapping!$A:$A,0)),"Uncategorized — Review"))</f>
        <v>Owner / Family Distributions</v>
      </c>
    </row>
    <row r="1125" customFormat="false" ht="15" hidden="false" customHeight="false" outlineLevel="0" collapsed="false">
      <c r="A1125" s="0" t="str">
        <f aca="false">Chase1168_2025!A1125</f>
        <v>DEBIT</v>
      </c>
      <c r="B1125" s="14" t="n">
        <f aca="false">Chase1168_2025!B1125</f>
        <v>45804</v>
      </c>
      <c r="C1125" s="0" t="str">
        <f aca="false">Chase1168_2025!C1125</f>
        <v>Online Transfer to CHK ...7899 transaction#: 24911022231 05/27</v>
      </c>
      <c r="D1125" s="7" t="n">
        <f aca="false">Chase1168_2025!D1125</f>
        <v>-8000</v>
      </c>
      <c r="E1125" s="0" t="str">
        <f aca="false">Chase1168_2025!E1125</f>
        <v>ACCT_XFER</v>
      </c>
      <c r="F1125" s="7" t="n">
        <f aca="false">Chase1168_2025!F1125</f>
        <v>38587.78</v>
      </c>
      <c r="G1125" s="0" t="str">
        <f aca="false">Chase1168_2025!G1125</f>
        <v>Transfer to TX Personal Joint</v>
      </c>
      <c r="H1125" s="15" t="n">
        <f aca="false">IF($B1125="","",DATE(YEAR($B1125),MONTH($B1125),1))</f>
        <v>45778</v>
      </c>
      <c r="I1125" s="0" t="str">
        <f aca="false">IF($G1125="","Uncategorized — Review",IFERROR(INDEX(Mapping!$B:$B,MATCH($G1125,Mapping!$A:$A,0)),"Uncategorized — Review"))</f>
        <v>Transfer to TX Personal Joint</v>
      </c>
      <c r="J1125" s="0" t="str">
        <f aca="false">IF($G1125="","Uncategorized — Review",IFERROR(INDEX(Mapping!$C:$C,MATCH($G1125,Mapping!$A:$A,0)),"Uncategorized — Review"))</f>
        <v>Owner / Family Distributions</v>
      </c>
    </row>
    <row r="1126" customFormat="false" ht="15" hidden="false" customHeight="false" outlineLevel="0" collapsed="false">
      <c r="A1126" s="0" t="str">
        <f aca="false">Chase1168_2025!A1126</f>
        <v>DEBIT</v>
      </c>
      <c r="B1126" s="14" t="n">
        <f aca="false">Chase1168_2025!B1126</f>
        <v>45804</v>
      </c>
      <c r="C1126" s="0" t="str">
        <f aca="false">Chase1168_2025!C1126</f>
        <v>Online Transfer to CHK ...7753 transaction#: 24907758344 05/27</v>
      </c>
      <c r="D1126" s="7" t="n">
        <f aca="false">Chase1168_2025!D1126</f>
        <v>-5000</v>
      </c>
      <c r="E1126" s="0" t="str">
        <f aca="false">Chase1168_2025!E1126</f>
        <v>ACCT_XFER</v>
      </c>
      <c r="F1126" s="7" t="n">
        <f aca="false">Chase1168_2025!F1126</f>
        <v>46587.78</v>
      </c>
      <c r="G1126" s="0" t="str">
        <f aca="false">Chase1168_2025!G1126</f>
        <v>Transfer to DWG Capital Group_Costar</v>
      </c>
      <c r="H1126" s="15" t="n">
        <f aca="false">IF($B1126="","",DATE(YEAR($B1126),MONTH($B1126),1))</f>
        <v>45778</v>
      </c>
      <c r="I1126" s="0" t="str">
        <f aca="false">IF($G1126="","Uncategorized — Review",IFERROR(INDEX(Mapping!$B:$B,MATCH($G1126,Mapping!$A:$A,0)),"Uncategorized — Review"))</f>
        <v>Transfer to DWG Capital Group_Costar</v>
      </c>
      <c r="J1126" s="0" t="str">
        <f aca="false">IF($G1126="","Uncategorized — Review",IFERROR(INDEX(Mapping!$C:$C,MATCH($G1126,Mapping!$A:$A,0)),"Uncategorized — Review"))</f>
        <v>Intercompany &amp; Savings Transfers</v>
      </c>
    </row>
    <row r="1127" customFormat="false" ht="15" hidden="false" customHeight="false" outlineLevel="0" collapsed="false">
      <c r="A1127" s="0" t="str">
        <f aca="false">Chase1168_2025!A1127</f>
        <v>DEBIT</v>
      </c>
      <c r="B1127" s="14" t="n">
        <f aca="false">Chase1168_2025!B1127</f>
        <v>45804</v>
      </c>
      <c r="C1127" s="0" t="str">
        <f aca="false">Chase1168_2025!C1127</f>
        <v>ORIG CO NAME:INTUIT *               ORIG ID:0000756346 DESC DATE:250527 CO ENTRY DESCR:QBooks OnlSEC:CCD    TRACE#:021000021420807 EED:250527   IND ID:9520365                      IND NAME:DWG CAPITAL GROUP                                                                                            800-446-8848 TRN: 1471420807TC</v>
      </c>
      <c r="D1127" s="7" t="n">
        <f aca="false">Chase1168_2025!D1127</f>
        <v>-104.35</v>
      </c>
      <c r="E1127" s="0" t="str">
        <f aca="false">Chase1168_2025!E1127</f>
        <v>ACH_DEBIT</v>
      </c>
      <c r="F1127" s="7" t="n">
        <f aca="false">Chase1168_2025!F1127</f>
        <v>51587.78</v>
      </c>
      <c r="G1127" s="0" t="str">
        <f aca="false">Chase1168_2025!G1127</f>
        <v>Software/Accounting</v>
      </c>
      <c r="H1127" s="15" t="n">
        <f aca="false">IF($B1127="","",DATE(YEAR($B1127),MONTH($B1127),1))</f>
        <v>45778</v>
      </c>
      <c r="I1127" s="0" t="str">
        <f aca="false">IF($G1127="","Uncategorized — Review",IFERROR(INDEX(Mapping!$B:$B,MATCH($G1127,Mapping!$A:$A,0)),"Uncategorized — Review"))</f>
        <v>Software/Accounting</v>
      </c>
      <c r="J1127" s="0" t="str">
        <f aca="false">IF($G1127="","Uncategorized — Review",IFERROR(INDEX(Mapping!$C:$C,MATCH($G1127,Mapping!$A:$A,0)),"Uncategorized — Review"))</f>
        <v>DWG Operating</v>
      </c>
    </row>
    <row r="1128" customFormat="false" ht="15" hidden="false" customHeight="false" outlineLevel="0" collapsed="false">
      <c r="A1128" s="0" t="str">
        <f aca="false">Chase1168_2025!A1128</f>
        <v>DEBIT</v>
      </c>
      <c r="B1128" s="14" t="n">
        <f aca="false">Chase1168_2025!B1128</f>
        <v>45804</v>
      </c>
      <c r="C1128" s="0" t="str">
        <f aca="false">Chase1168_2025!C1128</f>
        <v>ORIG CO NAME:VENMO                  ORIG ID:3264681992 DESC DATE:250524 CO ENTRY DESCR:PAYMENT   SEC:WEB    TRACE#:021000020090199 EED:250527   IND ID:1042408722924                IND NAME:JUDD DUNNING                                                                                                 250524PPZVIC TRN: 1470090199TC</v>
      </c>
      <c r="D1128" s="7" t="n">
        <f aca="false">Chase1168_2025!D1128</f>
        <v>-1200</v>
      </c>
      <c r="E1128" s="0" t="str">
        <f aca="false">Chase1168_2025!E1128</f>
        <v>ACH_DEBIT</v>
      </c>
      <c r="F1128" s="7" t="n">
        <f aca="false">Chase1168_2025!F1128</f>
        <v>51692.13</v>
      </c>
      <c r="G1128" s="0" t="str">
        <f aca="false">Chase1168_2025!G1128</f>
        <v>Venmo</v>
      </c>
      <c r="H1128" s="15" t="n">
        <f aca="false">IF($B1128="","",DATE(YEAR($B1128),MONTH($B1128),1))</f>
        <v>45778</v>
      </c>
      <c r="I1128" s="0" t="str">
        <f aca="false">IF($G1128="","Uncategorized — Review",IFERROR(INDEX(Mapping!$B:$B,MATCH($G1128,Mapping!$A:$A,0)),"Uncategorized — Review"))</f>
        <v>Venmo</v>
      </c>
      <c r="J1128" s="0" t="str">
        <f aca="false">IF($G1128="","Uncategorized — Review",IFERROR(INDEX(Mapping!$C:$C,MATCH($G1128,Mapping!$A:$A,0)),"Uncategorized — Review"))</f>
        <v>P2P Payments (Zelle/Venmo/PayPal)</v>
      </c>
    </row>
    <row r="1129" customFormat="false" ht="15" hidden="false" customHeight="false" outlineLevel="0" collapsed="false">
      <c r="A1129" s="0" t="str">
        <f aca="false">Chase1168_2025!A1129</f>
        <v>DEBIT</v>
      </c>
      <c r="B1129" s="14" t="n">
        <f aca="false">Chase1168_2025!B1129</f>
        <v>45804</v>
      </c>
      <c r="C1129" s="0" t="str">
        <f aca="false">Chase1168_2025!C1129</f>
        <v>ORIG CO NAME:VENMO                  ORIG ID:3264681992 DESC DATE:250524 CO ENTRY DESCR:PAYMENT   SEC:WEB    TRACE#:021000020073067 EED:250527   IND ID:1042403207306                IND NAME:JUDD DUNNING                                                                                                 250524PPZUQX TRN: 1470073067TC</v>
      </c>
      <c r="D1129" s="7" t="n">
        <f aca="false">Chase1168_2025!D1129</f>
        <v>-1250</v>
      </c>
      <c r="E1129" s="0" t="str">
        <f aca="false">Chase1168_2025!E1129</f>
        <v>ACH_DEBIT</v>
      </c>
      <c r="F1129" s="7" t="n">
        <f aca="false">Chase1168_2025!F1129</f>
        <v>52892.13</v>
      </c>
      <c r="G1129" s="0" t="str">
        <f aca="false">Chase1168_2025!G1129</f>
        <v>Venmo</v>
      </c>
      <c r="H1129" s="15" t="n">
        <f aca="false">IF($B1129="","",DATE(YEAR($B1129),MONTH($B1129),1))</f>
        <v>45778</v>
      </c>
      <c r="I1129" s="0" t="str">
        <f aca="false">IF($G1129="","Uncategorized — Review",IFERROR(INDEX(Mapping!$B:$B,MATCH($G1129,Mapping!$A:$A,0)),"Uncategorized — Review"))</f>
        <v>Venmo</v>
      </c>
      <c r="J1129" s="0" t="str">
        <f aca="false">IF($G1129="","Uncategorized — Review",IFERROR(INDEX(Mapping!$C:$C,MATCH($G1129,Mapping!$A:$A,0)),"Uncategorized — Review"))</f>
        <v>P2P Payments (Zelle/Venmo/PayPal)</v>
      </c>
    </row>
    <row r="1130" customFormat="false" ht="15" hidden="false" customHeight="false" outlineLevel="0" collapsed="false">
      <c r="A1130" s="0" t="str">
        <f aca="false">Chase1168_2025!A1130</f>
        <v>DEBIT</v>
      </c>
      <c r="B1130" s="14" t="n">
        <f aca="false">Chase1168_2025!B1130</f>
        <v>45804</v>
      </c>
      <c r="C1130" s="0" t="str">
        <f aca="false">Chase1168_2025!C1130</f>
        <v>PP*APPLE.COM/BILL 800-275-2273 CA            05/27</v>
      </c>
      <c r="D1130" s="7" t="n">
        <f aca="false">Chase1168_2025!D1130</f>
        <v>-16.99</v>
      </c>
      <c r="E1130" s="0" t="str">
        <f aca="false">Chase1168_2025!E1130</f>
        <v>DEBIT_CARD</v>
      </c>
      <c r="F1130" s="7" t="n">
        <f aca="false">Chase1168_2025!F1130</f>
        <v>54142.13</v>
      </c>
      <c r="G1130" s="0" t="str">
        <f aca="false">Chase1168_2025!G1130</f>
        <v>Personal - Subscriptions</v>
      </c>
      <c r="H1130" s="15" t="n">
        <f aca="false">IF($B1130="","",DATE(YEAR($B1130),MONTH($B1130),1))</f>
        <v>45778</v>
      </c>
      <c r="I1130" s="0" t="str">
        <f aca="false">IF($G1130="","Uncategorized — Review",IFERROR(INDEX(Mapping!$B:$B,MATCH($G1130,Mapping!$A:$A,0)),"Uncategorized — Review"))</f>
        <v>Personal - Subscriptions</v>
      </c>
      <c r="J1130" s="0" t="str">
        <f aca="false">IF($G1130="","Uncategorized — Review",IFERROR(INDEX(Mapping!$C:$C,MATCH($G1130,Mapping!$A:$A,0)),"Uncategorized — Review"))</f>
        <v>Personal — Owner</v>
      </c>
    </row>
    <row r="1131" customFormat="false" ht="15" hidden="false" customHeight="false" outlineLevel="0" collapsed="false">
      <c r="A1131" s="0" t="str">
        <f aca="false">Chase1168_2025!A1131</f>
        <v>DEBIT</v>
      </c>
      <c r="B1131" s="14" t="n">
        <f aca="false">Chase1168_2025!B1131</f>
        <v>45804</v>
      </c>
      <c r="C1131" s="0" t="str">
        <f aca="false">Chase1168_2025!C1131</f>
        <v>Zelle payment to Jeff Fajardo JPM99b9twfw2</v>
      </c>
      <c r="D1131" s="7" t="n">
        <f aca="false">Chase1168_2025!D1131</f>
        <v>-5000</v>
      </c>
      <c r="E1131" s="0" t="str">
        <f aca="false">Chase1168_2025!E1131</f>
        <v>CHASE_TO_PARTNERFI</v>
      </c>
      <c r="F1131" s="7" t="n">
        <f aca="false">Chase1168_2025!F1131</f>
        <v>54159.12</v>
      </c>
      <c r="G1131" s="0" t="str">
        <f aca="false">Chase1168_2025!G1131</f>
        <v>Zelle - Jeff Fajardo</v>
      </c>
      <c r="H1131" s="15" t="n">
        <f aca="false">IF($B1131="","",DATE(YEAR($B1131),MONTH($B1131),1))</f>
        <v>45778</v>
      </c>
      <c r="I1131" s="0" t="str">
        <f aca="false">IF($G1131="","Uncategorized — Review",IFERROR(INDEX(Mapping!$B:$B,MATCH($G1131,Mapping!$A:$A,0)),"Uncategorized — Review"))</f>
        <v>Zelle - Jeff Fajardo</v>
      </c>
      <c r="J1131" s="0" t="str">
        <f aca="false">IF($G1131="","Uncategorized — Review",IFERROR(INDEX(Mapping!$C:$C,MATCH($G1131,Mapping!$A:$A,0)),"Uncategorized — Review"))</f>
        <v>P2P Payments (Zelle/Venmo/PayPal)</v>
      </c>
    </row>
    <row r="1132" customFormat="false" ht="15" hidden="false" customHeight="false" outlineLevel="0" collapsed="false">
      <c r="A1132" s="0" t="str">
        <f aca="false">Chase1168_2025!A1132</f>
        <v>DEBIT</v>
      </c>
      <c r="B1132" s="14" t="n">
        <f aca="false">Chase1168_2025!B1132</f>
        <v>45804</v>
      </c>
      <c r="C1132" s="0" t="str">
        <f aca="false">Chase1168_2025!C1132</f>
        <v>UPWORK * -811864380 866-262-4478 CA          05/26</v>
      </c>
      <c r="D1132" s="7" t="n">
        <f aca="false">Chase1168_2025!D1132</f>
        <v>-1207.5</v>
      </c>
      <c r="E1132" s="0" t="str">
        <f aca="false">Chase1168_2025!E1132</f>
        <v>DEBIT_CARD</v>
      </c>
      <c r="F1132" s="7" t="n">
        <f aca="false">Chase1168_2025!F1132</f>
        <v>59159.12</v>
      </c>
      <c r="G1132" s="0" t="str">
        <f aca="false">Chase1168_2025!G1132</f>
        <v>Upwork - Sergei M.</v>
      </c>
      <c r="H1132" s="15" t="n">
        <f aca="false">IF($B1132="","",DATE(YEAR($B1132),MONTH($B1132),1))</f>
        <v>45778</v>
      </c>
      <c r="I1132" s="0" t="str">
        <f aca="false">IF($G1132="","Uncategorized — Review",IFERROR(INDEX(Mapping!$B:$B,MATCH($G1132,Mapping!$A:$A,0)),"Uncategorized — Review"))</f>
        <v>Upwork - Sergei M.</v>
      </c>
      <c r="J1132" s="0" t="str">
        <f aca="false">IF($G1132="","Uncategorized — Review",IFERROR(INDEX(Mapping!$C:$C,MATCH($G1132,Mapping!$A:$A,0)),"Uncategorized — Review"))</f>
        <v>Payroll &amp; Contractors</v>
      </c>
    </row>
    <row r="1133" customFormat="false" ht="15" hidden="false" customHeight="false" outlineLevel="0" collapsed="false">
      <c r="A1133" s="0" t="str">
        <f aca="false">Chase1168_2025!A1133</f>
        <v>DEBIT</v>
      </c>
      <c r="B1133" s="14" t="n">
        <f aca="false">Chase1168_2025!B1133</f>
        <v>45804</v>
      </c>
      <c r="C1133" s="0" t="str">
        <f aca="false">Chase1168_2025!C1133</f>
        <v>PP*APPLE.COM/BILL 800-275-2273 CA            05/27</v>
      </c>
      <c r="D1133" s="7" t="n">
        <f aca="false">Chase1168_2025!D1133</f>
        <v>-9.99</v>
      </c>
      <c r="E1133" s="0" t="str">
        <f aca="false">Chase1168_2025!E1133</f>
        <v>DEBIT_CARD</v>
      </c>
      <c r="F1133" s="7" t="n">
        <f aca="false">Chase1168_2025!F1133</f>
        <v>60366.62</v>
      </c>
      <c r="G1133" s="0" t="str">
        <f aca="false">Chase1168_2025!G1133</f>
        <v>Personal - Subscriptions</v>
      </c>
      <c r="H1133" s="15" t="n">
        <f aca="false">IF($B1133="","",DATE(YEAR($B1133),MONTH($B1133),1))</f>
        <v>45778</v>
      </c>
      <c r="I1133" s="0" t="str">
        <f aca="false">IF($G1133="","Uncategorized — Review",IFERROR(INDEX(Mapping!$B:$B,MATCH($G1133,Mapping!$A:$A,0)),"Uncategorized — Review"))</f>
        <v>Personal - Subscriptions</v>
      </c>
      <c r="J1133" s="0" t="str">
        <f aca="false">IF($G1133="","Uncategorized — Review",IFERROR(INDEX(Mapping!$C:$C,MATCH($G1133,Mapping!$A:$A,0)),"Uncategorized — Review"))</f>
        <v>Personal — Owner</v>
      </c>
    </row>
    <row r="1134" customFormat="false" ht="15" hidden="false" customHeight="false" outlineLevel="0" collapsed="false">
      <c r="A1134" s="0" t="str">
        <f aca="false">Chase1168_2025!A1134</f>
        <v>DEBIT</v>
      </c>
      <c r="B1134" s="14" t="n">
        <f aca="false">Chase1168_2025!B1134</f>
        <v>45800</v>
      </c>
      <c r="C1134" s="0" t="str">
        <f aca="false">Chase1168_2025!C1134</f>
        <v>ORIG CO NAME:VENMO                  ORIG ID:3264681992 DESC DATE:250523 CO ENTRY DESCR:PAYMENT   SEC:WEB    TRACE#:021000028744012 EED:250523   IND ID:1042400744362                IND NAME:JUDD DUNNING                                                                                                 250523PPZU7Q TRN: 1438744012TC</v>
      </c>
      <c r="D1134" s="7" t="n">
        <f aca="false">Chase1168_2025!D1134</f>
        <v>-25</v>
      </c>
      <c r="E1134" s="0" t="str">
        <f aca="false">Chase1168_2025!E1134</f>
        <v>ACH_DEBIT</v>
      </c>
      <c r="F1134" s="7" t="n">
        <f aca="false">Chase1168_2025!F1134</f>
        <v>23548.31</v>
      </c>
      <c r="G1134" s="0" t="str">
        <f aca="false">Chase1168_2025!G1134</f>
        <v>Venmo</v>
      </c>
      <c r="H1134" s="15" t="n">
        <f aca="false">IF($B1134="","",DATE(YEAR($B1134),MONTH($B1134),1))</f>
        <v>45778</v>
      </c>
      <c r="I1134" s="0" t="str">
        <f aca="false">IF($G1134="","Uncategorized — Review",IFERROR(INDEX(Mapping!$B:$B,MATCH($G1134,Mapping!$A:$A,0)),"Uncategorized — Review"))</f>
        <v>Venmo</v>
      </c>
      <c r="J1134" s="0" t="str">
        <f aca="false">IF($G1134="","Uncategorized — Review",IFERROR(INDEX(Mapping!$C:$C,MATCH($G1134,Mapping!$A:$A,0)),"Uncategorized — Review"))</f>
        <v>P2P Payments (Zelle/Venmo/PayPal)</v>
      </c>
    </row>
    <row r="1135" customFormat="false" ht="15" hidden="false" customHeight="false" outlineLevel="0" collapsed="false">
      <c r="A1135" s="0" t="str">
        <f aca="false">Chase1168_2025!A1135</f>
        <v>DEBIT</v>
      </c>
      <c r="B1135" s="14" t="n">
        <f aca="false">Chase1168_2025!B1135</f>
        <v>45799</v>
      </c>
      <c r="C1135" s="0" t="str">
        <f aca="false">Chase1168_2025!C1135</f>
        <v>ONLINE FX INTERNATIONAL WIRE FEE</v>
      </c>
      <c r="D1135" s="7" t="n">
        <f aca="false">Chase1168_2025!D1135</f>
        <v>-5</v>
      </c>
      <c r="E1135" s="0" t="str">
        <f aca="false">Chase1168_2025!E1135</f>
        <v>FEE_TRANSACTION</v>
      </c>
      <c r="F1135" s="7" t="n">
        <f aca="false">Chase1168_2025!F1135</f>
        <v>23573.31</v>
      </c>
      <c r="G1135" s="0" t="str">
        <f aca="false">Chase1168_2025!G1135</f>
        <v>Andres Alarcon Payroll</v>
      </c>
      <c r="H1135" s="15" t="n">
        <f aca="false">IF($B1135="","",DATE(YEAR($B1135),MONTH($B1135),1))</f>
        <v>45778</v>
      </c>
      <c r="I1135" s="0" t="str">
        <f aca="false">IF($G1135="","Uncategorized — Review",IFERROR(INDEX(Mapping!$B:$B,MATCH($G1135,Mapping!$A:$A,0)),"Uncategorized — Review"))</f>
        <v>Andres Alarcon Payroll</v>
      </c>
      <c r="J1135" s="0" t="str">
        <f aca="false">IF($G1135="","Uncategorized — Review",IFERROR(INDEX(Mapping!$C:$C,MATCH($G1135,Mapping!$A:$A,0)),"Uncategorized — Review"))</f>
        <v>Payroll &amp; Contractors</v>
      </c>
    </row>
    <row r="1136" customFormat="false" ht="15" hidden="false" customHeight="false" outlineLevel="0" collapsed="false">
      <c r="A1136" s="0" t="str">
        <f aca="false">Chase1168_2025!A1136</f>
        <v>DEBIT</v>
      </c>
      <c r="B1136" s="14" t="n">
        <f aca="false">Chase1168_2025!B1136</f>
        <v>45799</v>
      </c>
      <c r="C1136" s="0" t="str">
        <f aca="false">Chase1168_2025!C1136</f>
        <v>SXM*SIRIUSXM.COM/ACCT 888-635-5144 NY        05/22</v>
      </c>
      <c r="D1136" s="7" t="n">
        <f aca="false">Chase1168_2025!D1136</f>
        <v>-3.43</v>
      </c>
      <c r="E1136" s="0" t="str">
        <f aca="false">Chase1168_2025!E1136</f>
        <v>DEBIT_CARD</v>
      </c>
      <c r="F1136" s="7" t="n">
        <f aca="false">Chase1168_2025!F1136</f>
        <v>23578.31</v>
      </c>
      <c r="G1136" s="0" t="str">
        <f aca="false">Chase1168_2025!G1136</f>
        <v>Personal - Subscriptions</v>
      </c>
      <c r="H1136" s="15" t="n">
        <f aca="false">IF($B1136="","",DATE(YEAR($B1136),MONTH($B1136),1))</f>
        <v>45778</v>
      </c>
      <c r="I1136" s="0" t="str">
        <f aca="false">IF($G1136="","Uncategorized — Review",IFERROR(INDEX(Mapping!$B:$B,MATCH($G1136,Mapping!$A:$A,0)),"Uncategorized — Review"))</f>
        <v>Personal - Subscriptions</v>
      </c>
      <c r="J1136" s="0" t="str">
        <f aca="false">IF($G1136="","Uncategorized — Review",IFERROR(INDEX(Mapping!$C:$C,MATCH($G1136,Mapping!$A:$A,0)),"Uncategorized — Review"))</f>
        <v>Personal — Owner</v>
      </c>
    </row>
    <row r="1137" customFormat="false" ht="15" hidden="false" customHeight="false" outlineLevel="0" collapsed="false">
      <c r="A1137" s="0" t="str">
        <f aca="false">Chase1168_2025!A1137</f>
        <v>DEBIT</v>
      </c>
      <c r="B1137" s="14" t="n">
        <f aca="false">Chase1168_2025!B1137</f>
        <v>45799</v>
      </c>
      <c r="C1137" s="0" t="str">
        <f aca="false">Chase1168_2025!C1137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ENTS/OCMT/COP3026276,33/EXCH/4035.0 351/CNTR/87387677/INT/ANDRES_527 TRN: 6822900142RE 05/22</v>
      </c>
      <c r="D1137" s="7" t="n">
        <f aca="false">Chase1168_2025!D1137</f>
        <v>-750</v>
      </c>
      <c r="E1137" s="0" t="str">
        <f aca="false">Chase1168_2025!E1137</f>
        <v>WIRE_OUTGOING</v>
      </c>
      <c r="F1137" s="7" t="n">
        <f aca="false">Chase1168_2025!F1137</f>
        <v>23581.74</v>
      </c>
      <c r="G1137" s="0" t="str">
        <f aca="false">Chase1168_2025!G1137</f>
        <v>Andres Alarcon Payroll</v>
      </c>
      <c r="H1137" s="15" t="n">
        <f aca="false">IF($B1137="","",DATE(YEAR($B1137),MONTH($B1137),1))</f>
        <v>45778</v>
      </c>
      <c r="I1137" s="0" t="str">
        <f aca="false">IF($G1137="","Uncategorized — Review",IFERROR(INDEX(Mapping!$B:$B,MATCH($G1137,Mapping!$A:$A,0)),"Uncategorized — Review"))</f>
        <v>Andres Alarcon Payroll</v>
      </c>
      <c r="J1137" s="0" t="str">
        <f aca="false">IF($G1137="","Uncategorized — Review",IFERROR(INDEX(Mapping!$C:$C,MATCH($G1137,Mapping!$A:$A,0)),"Uncategorized — Review"))</f>
        <v>Payroll &amp; Contractors</v>
      </c>
    </row>
    <row r="1138" customFormat="false" ht="15" hidden="false" customHeight="false" outlineLevel="0" collapsed="false">
      <c r="A1138" s="0" t="str">
        <f aca="false">Chase1168_2025!A1138</f>
        <v>DEBIT</v>
      </c>
      <c r="B1138" s="14" t="n">
        <f aca="false">Chase1168_2025!B1138</f>
        <v>45798</v>
      </c>
      <c r="C1138" s="0" t="str">
        <f aca="false">Chase1168_2025!C1138</f>
        <v>INDEED USI25-02635158 AUSTIN TX      192978  05/21</v>
      </c>
      <c r="D1138" s="7" t="n">
        <f aca="false">Chase1168_2025!D1138</f>
        <v>-503.89</v>
      </c>
      <c r="E1138" s="0" t="str">
        <f aca="false">Chase1168_2025!E1138</f>
        <v>DEBIT_CARD</v>
      </c>
      <c r="F1138" s="7" t="n">
        <f aca="false">Chase1168_2025!F1138</f>
        <v>24331.74</v>
      </c>
      <c r="G1138" s="0" t="str">
        <f aca="false">Chase1168_2025!G1138</f>
        <v>DWG HR</v>
      </c>
      <c r="H1138" s="15" t="n">
        <f aca="false">IF($B1138="","",DATE(YEAR($B1138),MONTH($B1138),1))</f>
        <v>45778</v>
      </c>
      <c r="I1138" s="0" t="str">
        <f aca="false">IF($G1138="","Uncategorized — Review",IFERROR(INDEX(Mapping!$B:$B,MATCH($G1138,Mapping!$A:$A,0)),"Uncategorized — Review"))</f>
        <v>DWG HR</v>
      </c>
      <c r="J1138" s="0" t="str">
        <f aca="false">IF($G1138="","Uncategorized — Review",IFERROR(INDEX(Mapping!$C:$C,MATCH($G1138,Mapping!$A:$A,0)),"Uncategorized — Review"))</f>
        <v>Payroll &amp; Contractors</v>
      </c>
    </row>
    <row r="1139" customFormat="false" ht="15" hidden="false" customHeight="false" outlineLevel="0" collapsed="false">
      <c r="A1139" s="0" t="str">
        <f aca="false">Chase1168_2025!A1139</f>
        <v>DEBIT</v>
      </c>
      <c r="B1139" s="14" t="n">
        <f aca="false">Chase1168_2025!B1139</f>
        <v>45798</v>
      </c>
      <c r="C1139" s="0" t="str">
        <f aca="false">Chase1168_2025!C1139</f>
        <v>ORIG CO NAME:PRINCIPAL-CCAPNL       ORIG ID:9INDPNLEFT DESC DATE:051925 CO ENTRY DESCR:PRIN FINANSEC:PPD    TRACE#:091000018722351 EED:250521   IND ID:                             IND NAME:JOHN B DUNNING TRN: 1418722351TC</v>
      </c>
      <c r="D1139" s="7" t="n">
        <f aca="false">Chase1168_2025!D1139</f>
        <v>-331.54</v>
      </c>
      <c r="E1139" s="0" t="str">
        <f aca="false">Chase1168_2025!E1139</f>
        <v>ACH_DEBIT</v>
      </c>
      <c r="F1139" s="7" t="n">
        <f aca="false">Chase1168_2025!F1139</f>
        <v>24835.63</v>
      </c>
      <c r="G1139" s="0" t="str">
        <f aca="false">Chase1168_2025!G1139</f>
        <v>???</v>
      </c>
      <c r="H1139" s="15" t="n">
        <f aca="false">IF($B1139="","",DATE(YEAR($B1139),MONTH($B1139),1))</f>
        <v>45778</v>
      </c>
      <c r="I1139" s="0" t="str">
        <f aca="false">IF($G1139="","Uncategorized — Review",IFERROR(INDEX(Mapping!$B:$B,MATCH($G1139,Mapping!$A:$A,0)),"Uncategorized — Review"))</f>
        <v>???</v>
      </c>
      <c r="J1139" s="0" t="str">
        <f aca="false">IF($G1139="","Uncategorized — Review",IFERROR(INDEX(Mapping!$C:$C,MATCH($G1139,Mapping!$A:$A,0)),"Uncategorized — Review"))</f>
        <v>Uncategorized — Review</v>
      </c>
    </row>
    <row r="1140" customFormat="false" ht="15" hidden="false" customHeight="false" outlineLevel="0" collapsed="false">
      <c r="A1140" s="0" t="str">
        <f aca="false">Chase1168_2025!A1140</f>
        <v>DEBIT</v>
      </c>
      <c r="B1140" s="14" t="n">
        <f aca="false">Chase1168_2025!B1140</f>
        <v>45798</v>
      </c>
      <c r="C1140" s="0" t="str">
        <f aca="false">Chase1168_2025!C1140</f>
        <v>Online Payment 24837446027 To MERCEDES BENZ FINANCIAL SVCS 05/21</v>
      </c>
      <c r="D1140" s="7" t="n">
        <f aca="false">Chase1168_2025!D1140</f>
        <v>-1399.78</v>
      </c>
      <c r="E1140" s="0" t="str">
        <f aca="false">Chase1168_2025!E1140</f>
        <v>BILLPAY</v>
      </c>
      <c r="F1140" s="7" t="n">
        <f aca="false">Chase1168_2025!F1140</f>
        <v>25167.17</v>
      </c>
      <c r="G1140" s="0" t="str">
        <f aca="false">Chase1168_2025!G1140</f>
        <v>Personal - Car (Mercedes)</v>
      </c>
      <c r="H1140" s="15" t="n">
        <f aca="false">IF($B1140="","",DATE(YEAR($B1140),MONTH($B1140),1))</f>
        <v>45778</v>
      </c>
      <c r="I1140" s="0" t="str">
        <f aca="false">IF($G1140="","Uncategorized — Review",IFERROR(INDEX(Mapping!$B:$B,MATCH($G1140,Mapping!$A:$A,0)),"Uncategorized — Review"))</f>
        <v>Personal - Car &amp; Auto</v>
      </c>
      <c r="J1140" s="0" t="str">
        <f aca="false">IF($G1140="","Uncategorized — Review",IFERROR(INDEX(Mapping!$C:$C,MATCH($G1140,Mapping!$A:$A,0)),"Uncategorized — Review"))</f>
        <v>Personal — Owner</v>
      </c>
    </row>
    <row r="1141" customFormat="false" ht="15" hidden="false" customHeight="false" outlineLevel="0" collapsed="false">
      <c r="A1141" s="0" t="str">
        <f aca="false">Chase1168_2025!A1141</f>
        <v>DEBIT</v>
      </c>
      <c r="B1141" s="14" t="n">
        <f aca="false">Chase1168_2025!B1141</f>
        <v>45798</v>
      </c>
      <c r="C1141" s="0" t="str">
        <f aca="false">Chase1168_2025!C1141</f>
        <v>PP*APPLE.COM/BILL 800-275-2273 CA            05/21</v>
      </c>
      <c r="D1141" s="7" t="n">
        <f aca="false">Chase1168_2025!D1141</f>
        <v>-8.99</v>
      </c>
      <c r="E1141" s="0" t="str">
        <f aca="false">Chase1168_2025!E1141</f>
        <v>DEBIT_CARD</v>
      </c>
      <c r="F1141" s="7" t="n">
        <f aca="false">Chase1168_2025!F1141</f>
        <v>26566.95</v>
      </c>
      <c r="G1141" s="0" t="str">
        <f aca="false">Chase1168_2025!G1141</f>
        <v>Personal - Subscriptions</v>
      </c>
      <c r="H1141" s="15" t="n">
        <f aca="false">IF($B1141="","",DATE(YEAR($B1141),MONTH($B1141),1))</f>
        <v>45778</v>
      </c>
      <c r="I1141" s="0" t="str">
        <f aca="false">IF($G1141="","Uncategorized — Review",IFERROR(INDEX(Mapping!$B:$B,MATCH($G1141,Mapping!$A:$A,0)),"Uncategorized — Review"))</f>
        <v>Personal - Subscriptions</v>
      </c>
      <c r="J1141" s="0" t="str">
        <f aca="false">IF($G1141="","Uncategorized — Review",IFERROR(INDEX(Mapping!$C:$C,MATCH($G1141,Mapping!$A:$A,0)),"Uncategorized — Review"))</f>
        <v>Personal — Owner</v>
      </c>
    </row>
    <row r="1142" customFormat="false" ht="15" hidden="false" customHeight="false" outlineLevel="0" collapsed="false">
      <c r="A1142" s="0" t="str">
        <f aca="false">Chase1168_2025!A1142</f>
        <v>DEBIT</v>
      </c>
      <c r="B1142" s="14" t="n">
        <f aca="false">Chase1168_2025!B1142</f>
        <v>45798</v>
      </c>
      <c r="C1142" s="0" t="str">
        <f aca="false">Chase1168_2025!C1142</f>
        <v>PAYPAL *BEENVERIFIE 786-482-6776 NY          05/21</v>
      </c>
      <c r="D1142" s="7" t="n">
        <f aca="false">Chase1168_2025!D1142</f>
        <v>-26.89</v>
      </c>
      <c r="E1142" s="0" t="str">
        <f aca="false">Chase1168_2025!E1142</f>
        <v>DEBIT_CARD</v>
      </c>
      <c r="F1142" s="7" t="n">
        <f aca="false">Chase1168_2025!F1142</f>
        <v>26575.94</v>
      </c>
      <c r="G1142" s="0" t="str">
        <f aca="false">Chase1168_2025!G1142</f>
        <v>Personal - Subscriptions</v>
      </c>
      <c r="H1142" s="15" t="n">
        <f aca="false">IF($B1142="","",DATE(YEAR($B1142),MONTH($B1142),1))</f>
        <v>45778</v>
      </c>
      <c r="I1142" s="0" t="str">
        <f aca="false">IF($G1142="","Uncategorized — Review",IFERROR(INDEX(Mapping!$B:$B,MATCH($G1142,Mapping!$A:$A,0)),"Uncategorized — Review"))</f>
        <v>Personal - Subscriptions</v>
      </c>
      <c r="J1142" s="0" t="str">
        <f aca="false">IF($G1142="","Uncategorized — Review",IFERROR(INDEX(Mapping!$C:$C,MATCH($G1142,Mapping!$A:$A,0)),"Uncategorized — Review"))</f>
        <v>Personal — Owner</v>
      </c>
    </row>
    <row r="1143" customFormat="false" ht="15" hidden="false" customHeight="false" outlineLevel="0" collapsed="false">
      <c r="A1143" s="0" t="str">
        <f aca="false">Chase1168_2025!A1143</f>
        <v>CREDIT</v>
      </c>
      <c r="B1143" s="14" t="n">
        <f aca="false">Chase1168_2025!B1143</f>
        <v>45798</v>
      </c>
      <c r="C1143" s="0" t="str">
        <f aca="false">Chase1168_2025!C1143</f>
        <v>Online Transfer from CHK ...9335 transaction#: 24842589640</v>
      </c>
      <c r="D1143" s="7" t="n">
        <f aca="false">Chase1168_2025!D1143</f>
        <v>20000</v>
      </c>
      <c r="E1143" s="0" t="str">
        <f aca="false">Chase1168_2025!E1143</f>
        <v>ACCT_XFER</v>
      </c>
      <c r="F1143" s="7" t="n">
        <f aca="false">Chase1168_2025!F1143</f>
        <v>26602.83</v>
      </c>
      <c r="G1143" s="0" t="str">
        <f aca="false">Chase1168_2025!G1143</f>
        <v>Transfer From Poseidon Asset Group</v>
      </c>
      <c r="H1143" s="15" t="n">
        <f aca="false">IF($B1143="","",DATE(YEAR($B1143),MONTH($B1143),1))</f>
        <v>45778</v>
      </c>
      <c r="I1143" s="0" t="str">
        <f aca="false">IF($G1143="","Uncategorized — Review",IFERROR(INDEX(Mapping!$B:$B,MATCH($G1143,Mapping!$A:$A,0)),"Uncategorized — Review"))</f>
        <v>Transfer From Poseidon Asset Group</v>
      </c>
      <c r="J1143" s="0" t="str">
        <f aca="false">IF($G1143="","Uncategorized — Review",IFERROR(INDEX(Mapping!$C:$C,MATCH($G1143,Mapping!$A:$A,0)),"Uncategorized — Review"))</f>
        <v>Poseidon Asset Group</v>
      </c>
    </row>
    <row r="1144" customFormat="false" ht="15" hidden="false" customHeight="false" outlineLevel="0" collapsed="false">
      <c r="A1144" s="0" t="str">
        <f aca="false">Chase1168_2025!A1144</f>
        <v>DEBIT</v>
      </c>
      <c r="B1144" s="14" t="n">
        <f aca="false">Chase1168_2025!B1144</f>
        <v>45797</v>
      </c>
      <c r="C1144" s="0" t="str">
        <f aca="false">Chase1168_2025!C1144</f>
        <v>Online Transfer to CHK ...3922 transaction#: 24837292184 05/20</v>
      </c>
      <c r="D1144" s="7" t="n">
        <f aca="false">Chase1168_2025!D1144</f>
        <v>-1000</v>
      </c>
      <c r="E1144" s="0" t="str">
        <f aca="false">Chase1168_2025!E1144</f>
        <v>ACCT_XFER</v>
      </c>
      <c r="F1144" s="7" t="n">
        <f aca="false">Chase1168_2025!F1144</f>
        <v>6602.83</v>
      </c>
      <c r="G1144" s="0" t="str">
        <f aca="false">Chase1168_2025!G1144</f>
        <v>Transfer to DWG Capital Partners</v>
      </c>
      <c r="H1144" s="15" t="n">
        <f aca="false">IF($B1144="","",DATE(YEAR($B1144),MONTH($B1144),1))</f>
        <v>45778</v>
      </c>
      <c r="I1144" s="0" t="str">
        <f aca="false">IF($G1144="","Uncategorized — Review",IFERROR(INDEX(Mapping!$B:$B,MATCH($G1144,Mapping!$A:$A,0)),"Uncategorized — Review"))</f>
        <v>Transfer to DWG Capital Partners</v>
      </c>
      <c r="J1144" s="0" t="str">
        <f aca="false">IF($G1144="","Uncategorized — Review",IFERROR(INDEX(Mapping!$C:$C,MATCH($G1144,Mapping!$A:$A,0)),"Uncategorized — Review"))</f>
        <v>Intercompany &amp; Savings Transfers</v>
      </c>
    </row>
    <row r="1145" customFormat="false" ht="15" hidden="false" customHeight="false" outlineLevel="0" collapsed="false">
      <c r="A1145" s="0" t="str">
        <f aca="false">Chase1168_2025!A1145</f>
        <v>DEBIT</v>
      </c>
      <c r="B1145" s="14" t="n">
        <f aca="false">Chase1168_2025!B1145</f>
        <v>45797</v>
      </c>
      <c r="C1145" s="0" t="str">
        <f aca="false">Chase1168_2025!C1145</f>
        <v>Online Transfer to CHK ...1117 transaction#: 24837290718 05/20</v>
      </c>
      <c r="D1145" s="7" t="n">
        <f aca="false">Chase1168_2025!D1145</f>
        <v>-3000</v>
      </c>
      <c r="E1145" s="0" t="str">
        <f aca="false">Chase1168_2025!E1145</f>
        <v>ACCT_XFER</v>
      </c>
      <c r="F1145" s="7" t="n">
        <f aca="false">Chase1168_2025!F1145</f>
        <v>7602.83</v>
      </c>
      <c r="G1145" s="0" t="str">
        <f aca="false">Chase1168_2025!G1145</f>
        <v>Transfer to Angela Dunning</v>
      </c>
      <c r="H1145" s="15" t="n">
        <f aca="false">IF($B1145="","",DATE(YEAR($B1145),MONTH($B1145),1))</f>
        <v>45778</v>
      </c>
      <c r="I1145" s="0" t="str">
        <f aca="false">IF($G1145="","Uncategorized — Review",IFERROR(INDEX(Mapping!$B:$B,MATCH($G1145,Mapping!$A:$A,0)),"Uncategorized — Review"))</f>
        <v>Transfer to Angela Dunning</v>
      </c>
      <c r="J1145" s="0" t="str">
        <f aca="false">IF($G1145="","Uncategorized — Review",IFERROR(INDEX(Mapping!$C:$C,MATCH($G1145,Mapping!$A:$A,0)),"Uncategorized — Review"))</f>
        <v>Owner / Family Distributions</v>
      </c>
    </row>
    <row r="1146" customFormat="false" ht="15" hidden="false" customHeight="false" outlineLevel="0" collapsed="false">
      <c r="A1146" s="0" t="str">
        <f aca="false">Chase1168_2025!A1146</f>
        <v>DEBIT</v>
      </c>
      <c r="B1146" s="14" t="n">
        <f aca="false">Chase1168_2025!B1146</f>
        <v>45797</v>
      </c>
      <c r="C1146" s="0" t="str">
        <f aca="false">Chase1168_2025!C1146</f>
        <v>PP*APPLE.COM/BILL 800-275-2273 CA            05/20</v>
      </c>
      <c r="D1146" s="7" t="n">
        <f aca="false">Chase1168_2025!D1146</f>
        <v>-9.99</v>
      </c>
      <c r="E1146" s="0" t="str">
        <f aca="false">Chase1168_2025!E1146</f>
        <v>DEBIT_CARD</v>
      </c>
      <c r="F1146" s="7" t="n">
        <f aca="false">Chase1168_2025!F1146</f>
        <v>10602.83</v>
      </c>
      <c r="G1146" s="0" t="str">
        <f aca="false">Chase1168_2025!G1146</f>
        <v>Personal - Subscriptions</v>
      </c>
      <c r="H1146" s="15" t="n">
        <f aca="false">IF($B1146="","",DATE(YEAR($B1146),MONTH($B1146),1))</f>
        <v>45778</v>
      </c>
      <c r="I1146" s="0" t="str">
        <f aca="false">IF($G1146="","Uncategorized — Review",IFERROR(INDEX(Mapping!$B:$B,MATCH($G1146,Mapping!$A:$A,0)),"Uncategorized — Review"))</f>
        <v>Personal - Subscriptions</v>
      </c>
      <c r="J1146" s="0" t="str">
        <f aca="false">IF($G1146="","Uncategorized — Review",IFERROR(INDEX(Mapping!$C:$C,MATCH($G1146,Mapping!$A:$A,0)),"Uncategorized — Review"))</f>
        <v>Personal — Owner</v>
      </c>
    </row>
    <row r="1147" customFormat="false" ht="15" hidden="false" customHeight="false" outlineLevel="0" collapsed="false">
      <c r="A1147" s="0" t="str">
        <f aca="false">Chase1168_2025!A1147</f>
        <v>DEBIT</v>
      </c>
      <c r="B1147" s="14" t="n">
        <f aca="false">Chase1168_2025!B1147</f>
        <v>45797</v>
      </c>
      <c r="C1147" s="0" t="str">
        <f aca="false">Chase1168_2025!C1147</f>
        <v>UPWORK * -809728687 866-262-4478 CA          05/19</v>
      </c>
      <c r="D1147" s="7" t="n">
        <f aca="false">Chase1168_2025!D1147</f>
        <v>-157.5</v>
      </c>
      <c r="E1147" s="0" t="str">
        <f aca="false">Chase1168_2025!E1147</f>
        <v>DEBIT_CARD</v>
      </c>
      <c r="F1147" s="7" t="n">
        <f aca="false">Chase1168_2025!F1147</f>
        <v>10612.82</v>
      </c>
      <c r="G1147" s="0" t="str">
        <f aca="false">Chase1168_2025!G1147</f>
        <v>Upwork - Sergei M.</v>
      </c>
      <c r="H1147" s="15" t="n">
        <f aca="false">IF($B1147="","",DATE(YEAR($B1147),MONTH($B1147),1))</f>
        <v>45778</v>
      </c>
      <c r="I1147" s="0" t="str">
        <f aca="false">IF($G1147="","Uncategorized — Review",IFERROR(INDEX(Mapping!$B:$B,MATCH($G1147,Mapping!$A:$A,0)),"Uncategorized — Review"))</f>
        <v>Upwork - Sergei M.</v>
      </c>
      <c r="J1147" s="0" t="str">
        <f aca="false">IF($G1147="","Uncategorized — Review",IFERROR(INDEX(Mapping!$C:$C,MATCH($G1147,Mapping!$A:$A,0)),"Uncategorized — Review"))</f>
        <v>Payroll &amp; Contractors</v>
      </c>
    </row>
    <row r="1148" customFormat="false" ht="15" hidden="false" customHeight="false" outlineLevel="0" collapsed="false">
      <c r="A1148" s="0" t="str">
        <f aca="false">Chase1168_2025!A1148</f>
        <v>DEBIT</v>
      </c>
      <c r="B1148" s="14" t="n">
        <f aca="false">Chase1168_2025!B1148</f>
        <v>45797</v>
      </c>
      <c r="C1148" s="0" t="str">
        <f aca="false">Chase1168_2025!C1148</f>
        <v>PAYPAL *THEREALDEAL O 212-260-1332 NY        05/19</v>
      </c>
      <c r="D1148" s="7" t="n">
        <f aca="false">Chase1168_2025!D1148</f>
        <v>-15</v>
      </c>
      <c r="E1148" s="0" t="str">
        <f aca="false">Chase1168_2025!E1148</f>
        <v>DEBIT_CARD</v>
      </c>
      <c r="F1148" s="7" t="n">
        <f aca="false">Chase1168_2025!F1148</f>
        <v>10770.32</v>
      </c>
      <c r="G1148" s="0" t="str">
        <f aca="false">Chase1168_2025!G1148</f>
        <v>Personal - Subscriptions</v>
      </c>
      <c r="H1148" s="15" t="n">
        <f aca="false">IF($B1148="","",DATE(YEAR($B1148),MONTH($B1148),1))</f>
        <v>45778</v>
      </c>
      <c r="I1148" s="0" t="str">
        <f aca="false">IF($G1148="","Uncategorized — Review",IFERROR(INDEX(Mapping!$B:$B,MATCH($G1148,Mapping!$A:$A,0)),"Uncategorized — Review"))</f>
        <v>Personal - Subscriptions</v>
      </c>
      <c r="J1148" s="0" t="str">
        <f aca="false">IF($G1148="","Uncategorized — Review",IFERROR(INDEX(Mapping!$C:$C,MATCH($G1148,Mapping!$A:$A,0)),"Uncategorized — Review"))</f>
        <v>Personal — Owner</v>
      </c>
    </row>
    <row r="1149" customFormat="false" ht="15" hidden="false" customHeight="false" outlineLevel="0" collapsed="false">
      <c r="A1149" s="0" t="str">
        <f aca="false">Chase1168_2025!A1149</f>
        <v>DEBIT</v>
      </c>
      <c r="B1149" s="14" t="n">
        <f aca="false">Chase1168_2025!B1149</f>
        <v>45796</v>
      </c>
      <c r="C1149" s="0" t="str">
        <f aca="false">Chase1168_2025!C1149</f>
        <v>ORIG CO NAME:VENMO                  ORIG ID:3264681992 DESC DATE:250518 CO ENTRY DESCR:PAYMENT   SEC:WEB    TRACE#:021000022639759 EED:250519   IND ID:1042282038145                IND NAME:JUDD DUNNING                                                                                                 250518PPZJSE TRN: 1392639759TC</v>
      </c>
      <c r="D1149" s="7" t="n">
        <f aca="false">Chase1168_2025!D1149</f>
        <v>-1250</v>
      </c>
      <c r="E1149" s="0" t="str">
        <f aca="false">Chase1168_2025!E1149</f>
        <v>ACH_DEBIT</v>
      </c>
      <c r="F1149" s="7" t="n">
        <f aca="false">Chase1168_2025!F1149</f>
        <v>10785.32</v>
      </c>
      <c r="G1149" s="0" t="str">
        <f aca="false">Chase1168_2025!G1149</f>
        <v>Venmo</v>
      </c>
      <c r="H1149" s="15" t="n">
        <f aca="false">IF($B1149="","",DATE(YEAR($B1149),MONTH($B1149),1))</f>
        <v>45778</v>
      </c>
      <c r="I1149" s="0" t="str">
        <f aca="false">IF($G1149="","Uncategorized — Review",IFERROR(INDEX(Mapping!$B:$B,MATCH($G1149,Mapping!$A:$A,0)),"Uncategorized — Review"))</f>
        <v>Venmo</v>
      </c>
      <c r="J1149" s="0" t="str">
        <f aca="false">IF($G1149="","Uncategorized — Review",IFERROR(INDEX(Mapping!$C:$C,MATCH($G1149,Mapping!$A:$A,0)),"Uncategorized — Review"))</f>
        <v>P2P Payments (Zelle/Venmo/PayPal)</v>
      </c>
    </row>
    <row r="1150" customFormat="false" ht="15" hidden="false" customHeight="false" outlineLevel="0" collapsed="false">
      <c r="A1150" s="0" t="str">
        <f aca="false">Chase1168_2025!A1150</f>
        <v>DEBIT</v>
      </c>
      <c r="B1150" s="14" t="n">
        <f aca="false">Chase1168_2025!B1150</f>
        <v>45796</v>
      </c>
      <c r="C1150" s="0" t="str">
        <f aca="false">Chase1168_2025!C1150</f>
        <v>PAYPAL *FOXCORP 888-596-3938 CA              05/19</v>
      </c>
      <c r="D1150" s="7" t="n">
        <f aca="false">Chase1168_2025!D1150</f>
        <v>-7.99</v>
      </c>
      <c r="E1150" s="0" t="str">
        <f aca="false">Chase1168_2025!E1150</f>
        <v>DEBIT_CARD</v>
      </c>
      <c r="F1150" s="7" t="n">
        <f aca="false">Chase1168_2025!F1150</f>
        <v>12035.32</v>
      </c>
      <c r="G1150" s="0" t="str">
        <f aca="false">Chase1168_2025!G1150</f>
        <v>Personal - Subscriptions</v>
      </c>
      <c r="H1150" s="15" t="n">
        <f aca="false">IF($B1150="","",DATE(YEAR($B1150),MONTH($B1150),1))</f>
        <v>45778</v>
      </c>
      <c r="I1150" s="0" t="str">
        <f aca="false">IF($G1150="","Uncategorized — Review",IFERROR(INDEX(Mapping!$B:$B,MATCH($G1150,Mapping!$A:$A,0)),"Uncategorized — Review"))</f>
        <v>Personal - Subscriptions</v>
      </c>
      <c r="J1150" s="0" t="str">
        <f aca="false">IF($G1150="","Uncategorized — Review",IFERROR(INDEX(Mapping!$C:$C,MATCH($G1150,Mapping!$A:$A,0)),"Uncategorized — Review"))</f>
        <v>Personal — Owner</v>
      </c>
    </row>
    <row r="1151" customFormat="false" ht="15" hidden="false" customHeight="false" outlineLevel="0" collapsed="false">
      <c r="A1151" s="0" t="str">
        <f aca="false">Chase1168_2025!A1151</f>
        <v>DEBIT</v>
      </c>
      <c r="B1151" s="14" t="n">
        <f aca="false">Chase1168_2025!B1151</f>
        <v>45796</v>
      </c>
      <c r="C1151" s="0" t="str">
        <f aca="false">Chase1168_2025!C1151</f>
        <v>DNH*GODADDY#3751565192 480-5058855 AZ        05/18</v>
      </c>
      <c r="D1151" s="7" t="n">
        <f aca="false">Chase1168_2025!D1151</f>
        <v>-21.98</v>
      </c>
      <c r="E1151" s="0" t="str">
        <f aca="false">Chase1168_2025!E1151</f>
        <v>DEBIT_CARD</v>
      </c>
      <c r="F1151" s="7" t="n">
        <f aca="false">Chase1168_2025!F1151</f>
        <v>12043.31</v>
      </c>
      <c r="G1151" s="0" t="str">
        <f aca="false">Chase1168_2025!G1151</f>
        <v>Go Daddy</v>
      </c>
      <c r="H1151" s="15" t="n">
        <f aca="false">IF($B1151="","",DATE(YEAR($B1151),MONTH($B1151),1))</f>
        <v>45778</v>
      </c>
      <c r="I1151" s="0" t="str">
        <f aca="false">IF($G1151="","Uncategorized — Review",IFERROR(INDEX(Mapping!$B:$B,MATCH($G1151,Mapping!$A:$A,0)),"Uncategorized — Review"))</f>
        <v>Go Daddy</v>
      </c>
      <c r="J1151" s="0" t="str">
        <f aca="false">IF($G1151="","Uncategorized — Review",IFERROR(INDEX(Mapping!$C:$C,MATCH($G1151,Mapping!$A:$A,0)),"Uncategorized — Review"))</f>
        <v>DWG Operating</v>
      </c>
    </row>
    <row r="1152" customFormat="false" ht="15" hidden="false" customHeight="false" outlineLevel="0" collapsed="false">
      <c r="A1152" s="0" t="str">
        <f aca="false">Chase1168_2025!A1152</f>
        <v>DEBIT</v>
      </c>
      <c r="B1152" s="14" t="n">
        <f aca="false">Chase1168_2025!B1152</f>
        <v>45796</v>
      </c>
      <c r="C1152" s="0" t="str">
        <f aca="false">Chase1168_2025!C1152</f>
        <v>PP*APPLE.COM/BILL 800-275-2273 CA            05/18</v>
      </c>
      <c r="D1152" s="7" t="n">
        <f aca="false">Chase1168_2025!D1152</f>
        <v>-9.99</v>
      </c>
      <c r="E1152" s="0" t="str">
        <f aca="false">Chase1168_2025!E1152</f>
        <v>DEBIT_CARD</v>
      </c>
      <c r="F1152" s="7" t="n">
        <f aca="false">Chase1168_2025!F1152</f>
        <v>12065.29</v>
      </c>
      <c r="G1152" s="0" t="str">
        <f aca="false">Chase1168_2025!G1152</f>
        <v>Personal - Subscriptions</v>
      </c>
      <c r="H1152" s="15" t="n">
        <f aca="false">IF($B1152="","",DATE(YEAR($B1152),MONTH($B1152),1))</f>
        <v>45778</v>
      </c>
      <c r="I1152" s="0" t="str">
        <f aca="false">IF($G1152="","Uncategorized — Review",IFERROR(INDEX(Mapping!$B:$B,MATCH($G1152,Mapping!$A:$A,0)),"Uncategorized — Review"))</f>
        <v>Personal - Subscriptions</v>
      </c>
      <c r="J1152" s="0" t="str">
        <f aca="false">IF($G1152="","Uncategorized — Review",IFERROR(INDEX(Mapping!$C:$C,MATCH($G1152,Mapping!$A:$A,0)),"Uncategorized — Review"))</f>
        <v>Personal — Owner</v>
      </c>
    </row>
    <row r="1153" customFormat="false" ht="15" hidden="false" customHeight="false" outlineLevel="0" collapsed="false">
      <c r="A1153" s="0" t="str">
        <f aca="false">Chase1168_2025!A1153</f>
        <v>DEBIT</v>
      </c>
      <c r="B1153" s="14" t="n">
        <f aca="false">Chase1168_2025!B1153</f>
        <v>45796</v>
      </c>
      <c r="C1153" s="0" t="str">
        <f aca="false">Chase1168_2025!C1153</f>
        <v>PP*APPLE.COM/BILL 800-275-2273 CA            05/18</v>
      </c>
      <c r="D1153" s="7" t="n">
        <f aca="false">Chase1168_2025!D1153</f>
        <v>-3.99</v>
      </c>
      <c r="E1153" s="0" t="str">
        <f aca="false">Chase1168_2025!E1153</f>
        <v>DEBIT_CARD</v>
      </c>
      <c r="F1153" s="7" t="n">
        <f aca="false">Chase1168_2025!F1153</f>
        <v>12075.28</v>
      </c>
      <c r="G1153" s="0" t="str">
        <f aca="false">Chase1168_2025!G1153</f>
        <v>Personal - Subscriptions</v>
      </c>
      <c r="H1153" s="15" t="n">
        <f aca="false">IF($B1153="","",DATE(YEAR($B1153),MONTH($B1153),1))</f>
        <v>45778</v>
      </c>
      <c r="I1153" s="0" t="str">
        <f aca="false">IF($G1153="","Uncategorized — Review",IFERROR(INDEX(Mapping!$B:$B,MATCH($G1153,Mapping!$A:$A,0)),"Uncategorized — Review"))</f>
        <v>Personal - Subscriptions</v>
      </c>
      <c r="J1153" s="0" t="str">
        <f aca="false">IF($G1153="","Uncategorized — Review",IFERROR(INDEX(Mapping!$C:$C,MATCH($G1153,Mapping!$A:$A,0)),"Uncategorized — Review"))</f>
        <v>Personal — Owner</v>
      </c>
    </row>
    <row r="1154" customFormat="false" ht="15" hidden="false" customHeight="false" outlineLevel="0" collapsed="false">
      <c r="A1154" s="0" t="str">
        <f aca="false">Chase1168_2025!A1154</f>
        <v>DEBIT</v>
      </c>
      <c r="B1154" s="14" t="n">
        <f aca="false">Chase1168_2025!B1154</f>
        <v>45796</v>
      </c>
      <c r="C1154" s="0" t="str">
        <f aca="false">Chase1168_2025!C1154</f>
        <v>PP*APPLE.COM/BILL 800-275-2273 CA            05/17</v>
      </c>
      <c r="D1154" s="7" t="n">
        <f aca="false">Chase1168_2025!D1154</f>
        <v>-11</v>
      </c>
      <c r="E1154" s="0" t="str">
        <f aca="false">Chase1168_2025!E1154</f>
        <v>DEBIT_CARD</v>
      </c>
      <c r="F1154" s="7" t="n">
        <f aca="false">Chase1168_2025!F1154</f>
        <v>12079.27</v>
      </c>
      <c r="G1154" s="0" t="str">
        <f aca="false">Chase1168_2025!G1154</f>
        <v>Personal - Subscriptions</v>
      </c>
      <c r="H1154" s="15" t="n">
        <f aca="false">IF($B1154="","",DATE(YEAR($B1154),MONTH($B1154),1))</f>
        <v>45778</v>
      </c>
      <c r="I1154" s="0" t="str">
        <f aca="false">IF($G1154="","Uncategorized — Review",IFERROR(INDEX(Mapping!$B:$B,MATCH($G1154,Mapping!$A:$A,0)),"Uncategorized — Review"))</f>
        <v>Personal - Subscriptions</v>
      </c>
      <c r="J1154" s="0" t="str">
        <f aca="false">IF($G1154="","Uncategorized — Review",IFERROR(INDEX(Mapping!$C:$C,MATCH($G1154,Mapping!$A:$A,0)),"Uncategorized — Review"))</f>
        <v>Personal — Owner</v>
      </c>
    </row>
    <row r="1155" customFormat="false" ht="15" hidden="false" customHeight="false" outlineLevel="0" collapsed="false">
      <c r="A1155" s="0" t="str">
        <f aca="false">Chase1168_2025!A1155</f>
        <v>DEBIT</v>
      </c>
      <c r="B1155" s="14" t="n">
        <f aca="false">Chase1168_2025!B1155</f>
        <v>45796</v>
      </c>
      <c r="C1155" s="0" t="str">
        <f aca="false">Chase1168_2025!C1155</f>
        <v>PAYPAL *LINKEDIN 402-935-7733 CA             05/17</v>
      </c>
      <c r="D1155" s="7" t="n">
        <f aca="false">Chase1168_2025!D1155</f>
        <v>-69.99</v>
      </c>
      <c r="E1155" s="0" t="str">
        <f aca="false">Chase1168_2025!E1155</f>
        <v>DEBIT_CARD</v>
      </c>
      <c r="F1155" s="7" t="n">
        <f aca="false">Chase1168_2025!F1155</f>
        <v>12090.27</v>
      </c>
      <c r="G1155" s="0" t="str">
        <f aca="false">Chase1168_2025!G1155</f>
        <v>DWG HR</v>
      </c>
      <c r="H1155" s="15" t="n">
        <f aca="false">IF($B1155="","",DATE(YEAR($B1155),MONTH($B1155),1))</f>
        <v>45778</v>
      </c>
      <c r="I1155" s="0" t="str">
        <f aca="false">IF($G1155="","Uncategorized — Review",IFERROR(INDEX(Mapping!$B:$B,MATCH($G1155,Mapping!$A:$A,0)),"Uncategorized — Review"))</f>
        <v>DWG HR</v>
      </c>
      <c r="J1155" s="0" t="str">
        <f aca="false">IF($G1155="","Uncategorized — Review",IFERROR(INDEX(Mapping!$C:$C,MATCH($G1155,Mapping!$A:$A,0)),"Uncategorized — Review"))</f>
        <v>Payroll &amp; Contractors</v>
      </c>
    </row>
    <row r="1156" customFormat="false" ht="15" hidden="false" customHeight="false" outlineLevel="0" collapsed="false">
      <c r="A1156" s="0" t="str">
        <f aca="false">Chase1168_2025!A1156</f>
        <v>DEBIT</v>
      </c>
      <c r="B1156" s="14" t="n">
        <f aca="false">Chase1168_2025!B1156</f>
        <v>45793</v>
      </c>
      <c r="C1156" s="0" t="str">
        <f aca="false">Chase1168_2025!C1156</f>
        <v>Online Transfer to CHK ...6975 transaction#: 24794089335 05/16</v>
      </c>
      <c r="D1156" s="7" t="n">
        <f aca="false">Chase1168_2025!D1156</f>
        <v>-1000</v>
      </c>
      <c r="E1156" s="0" t="str">
        <f aca="false">Chase1168_2025!E1156</f>
        <v>ACCT_XFER</v>
      </c>
      <c r="F1156" s="7" t="n">
        <f aca="false">Chase1168_2025!F1156</f>
        <v>12160.26</v>
      </c>
      <c r="G1156" s="0" t="str">
        <f aca="false">Chase1168_2025!G1156</f>
        <v>Transfer to Ava Perez-Dunning</v>
      </c>
      <c r="H1156" s="15" t="n">
        <f aca="false">IF($B1156="","",DATE(YEAR($B1156),MONTH($B1156),1))</f>
        <v>45778</v>
      </c>
      <c r="I1156" s="0" t="str">
        <f aca="false">IF($G1156="","Uncategorized — Review",IFERROR(INDEX(Mapping!$B:$B,MATCH($G1156,Mapping!$A:$A,0)),"Uncategorized — Review"))</f>
        <v>Transfer to Ava Perez-Dunning</v>
      </c>
      <c r="J1156" s="0" t="str">
        <f aca="false">IF($G1156="","Uncategorized — Review",IFERROR(INDEX(Mapping!$C:$C,MATCH($G1156,Mapping!$A:$A,0)),"Uncategorized — Review"))</f>
        <v>Owner / Family Distributions</v>
      </c>
    </row>
    <row r="1157" customFormat="false" ht="15" hidden="false" customHeight="false" outlineLevel="0" collapsed="false">
      <c r="A1157" s="0" t="str">
        <f aca="false">Chase1168_2025!A1157</f>
        <v>DEBIT</v>
      </c>
      <c r="B1157" s="14" t="n">
        <f aca="false">Chase1168_2025!B1157</f>
        <v>45793</v>
      </c>
      <c r="C1157" s="0" t="str">
        <f aca="false">Chase1168_2025!C1157</f>
        <v>ORIG CO NAME:LEASEDIRECT            ORIG ID:138190450  DESC DATE:250515 CO ENTRY DESCR:12683_1   SEC:CCD    TRACE#:043000096468369 EED:250516   IND ID:1556926                      IND NAME:DWG CAPITAL GROUP          INV# 590001725 DUE 05/15/25 REC# 21 03043                                         12684 TRN: 1366468369TC</v>
      </c>
      <c r="D1157" s="7" t="n">
        <f aca="false">Chase1168_2025!D1157</f>
        <v>-104.01</v>
      </c>
      <c r="E1157" s="0" t="str">
        <f aca="false">Chase1168_2025!E1157</f>
        <v>ACH_DEBIT</v>
      </c>
      <c r="F1157" s="7" t="n">
        <f aca="false">Chase1168_2025!F1157</f>
        <v>13160.26</v>
      </c>
      <c r="G1157" s="0" t="str">
        <f aca="false">Chase1168_2025!G1157</f>
        <v>DWG - TBD</v>
      </c>
      <c r="H1157" s="15" t="n">
        <f aca="false">IF($B1157="","",DATE(YEAR($B1157),MONTH($B1157),1))</f>
        <v>45778</v>
      </c>
      <c r="I1157" s="0" t="str">
        <f aca="false">IF($G1157="","Uncategorized — Review",IFERROR(INDEX(Mapping!$B:$B,MATCH($G1157,Mapping!$A:$A,0)),"Uncategorized — Review"))</f>
        <v>DWG - TBD</v>
      </c>
      <c r="J1157" s="0" t="str">
        <f aca="false">IF($G1157="","Uncategorized — Review",IFERROR(INDEX(Mapping!$C:$C,MATCH($G1157,Mapping!$A:$A,0)),"Uncategorized — Review"))</f>
        <v>Uncategorized — Review</v>
      </c>
    </row>
    <row r="1158" customFormat="false" ht="15" hidden="false" customHeight="false" outlineLevel="0" collapsed="false">
      <c r="A1158" s="0" t="str">
        <f aca="false">Chase1168_2025!A1158</f>
        <v>DEBIT</v>
      </c>
      <c r="B1158" s="14" t="n">
        <f aca="false">Chase1168_2025!B1158</f>
        <v>45793</v>
      </c>
      <c r="C1158" s="0" t="str">
        <f aca="false">Chase1168_2025!C1158</f>
        <v>PP*APPLE.COM/BILL 800-275-2273 CA            05/16</v>
      </c>
      <c r="D1158" s="7" t="n">
        <f aca="false">Chase1168_2025!D1158</f>
        <v>-5.99</v>
      </c>
      <c r="E1158" s="0" t="str">
        <f aca="false">Chase1168_2025!E1158</f>
        <v>DEBIT_CARD</v>
      </c>
      <c r="F1158" s="7" t="n">
        <f aca="false">Chase1168_2025!F1158</f>
        <v>13264.27</v>
      </c>
      <c r="G1158" s="0" t="str">
        <f aca="false">Chase1168_2025!G1158</f>
        <v>Personal - Subscriptions</v>
      </c>
      <c r="H1158" s="15" t="n">
        <f aca="false">IF($B1158="","",DATE(YEAR($B1158),MONTH($B1158),1))</f>
        <v>45778</v>
      </c>
      <c r="I1158" s="0" t="str">
        <f aca="false">IF($G1158="","Uncategorized — Review",IFERROR(INDEX(Mapping!$B:$B,MATCH($G1158,Mapping!$A:$A,0)),"Uncategorized — Review"))</f>
        <v>Personal - Subscriptions</v>
      </c>
      <c r="J1158" s="0" t="str">
        <f aca="false">IF($G1158="","Uncategorized — Review",IFERROR(INDEX(Mapping!$C:$C,MATCH($G1158,Mapping!$A:$A,0)),"Uncategorized — Review"))</f>
        <v>Personal — Owner</v>
      </c>
    </row>
    <row r="1159" customFormat="false" ht="15" hidden="false" customHeight="false" outlineLevel="0" collapsed="false">
      <c r="A1159" s="0" t="str">
        <f aca="false">Chase1168_2025!A1159</f>
        <v>CREDIT</v>
      </c>
      <c r="B1159" s="14" t="n">
        <f aca="false">Chase1168_2025!B1159</f>
        <v>45793</v>
      </c>
      <c r="C1159" s="0" t="str">
        <f aca="false">Chase1168_2025!C1159</f>
        <v>ORIG CO NAME:Mercedes-Benz Fi       ORIG ID:9849902201 DESC DATE:250516 CO ENTRY DESCR:PAYMENTS  SEC:CCD    TRACE#:021000022538379 EED:250516   IND ID:.10012002615383              IND NAME:JOHN DUNNING TRN: 1362538379TC</v>
      </c>
      <c r="D1159" s="7" t="n">
        <f aca="false">Chase1168_2025!D1159</f>
        <v>1399.46</v>
      </c>
      <c r="E1159" s="0" t="str">
        <f aca="false">Chase1168_2025!E1159</f>
        <v>ACH_CREDIT</v>
      </c>
      <c r="F1159" s="7" t="n">
        <f aca="false">Chase1168_2025!F1159</f>
        <v>13270.26</v>
      </c>
      <c r="G1159" s="0" t="str">
        <f aca="false">Chase1168_2025!G1159</f>
        <v>Personal - Car (Mercedes)</v>
      </c>
      <c r="H1159" s="15" t="n">
        <f aca="false">IF($B1159="","",DATE(YEAR($B1159),MONTH($B1159),1))</f>
        <v>45778</v>
      </c>
      <c r="I1159" s="0" t="str">
        <f aca="false">IF($G1159="","Uncategorized — Review",IFERROR(INDEX(Mapping!$B:$B,MATCH($G1159,Mapping!$A:$A,0)),"Uncategorized — Review"))</f>
        <v>Personal - Car &amp; Auto</v>
      </c>
      <c r="J1159" s="0" t="str">
        <f aca="false">IF($G1159="","Uncategorized — Review",IFERROR(INDEX(Mapping!$C:$C,MATCH($G1159,Mapping!$A:$A,0)),"Uncategorized — Review"))</f>
        <v>Personal — Owner</v>
      </c>
    </row>
    <row r="1160" customFormat="false" ht="15" hidden="false" customHeight="false" outlineLevel="0" collapsed="false">
      <c r="A1160" s="0" t="str">
        <f aca="false">Chase1168_2025!A1160</f>
        <v>DEBIT</v>
      </c>
      <c r="B1160" s="14" t="n">
        <f aca="false">Chase1168_2025!B1160</f>
        <v>45792</v>
      </c>
      <c r="C1160" s="0" t="str">
        <f aca="false">Chase1168_2025!C1160</f>
        <v>RESTORE.COM RESTORE.COM TX                   05/15</v>
      </c>
      <c r="D1160" s="7" t="n">
        <f aca="false">Chase1168_2025!D1160</f>
        <v>-199</v>
      </c>
      <c r="E1160" s="0" t="str">
        <f aca="false">Chase1168_2025!E1160</f>
        <v>DEBIT_CARD</v>
      </c>
      <c r="F1160" s="7" t="n">
        <f aca="false">Chase1168_2025!F1160</f>
        <v>11870.8</v>
      </c>
      <c r="G1160" s="0" t="str">
        <f aca="false">Chase1168_2025!G1160</f>
        <v>Personal - Health</v>
      </c>
      <c r="H1160" s="15" t="n">
        <f aca="false">IF($B1160="","",DATE(YEAR($B1160),MONTH($B1160),1))</f>
        <v>45778</v>
      </c>
      <c r="I1160" s="0" t="str">
        <f aca="false">IF($G1160="","Uncategorized — Review",IFERROR(INDEX(Mapping!$B:$B,MATCH($G1160,Mapping!$A:$A,0)),"Uncategorized — Review"))</f>
        <v>Personal - Health (incl. Ins.)</v>
      </c>
      <c r="J1160" s="0" t="str">
        <f aca="false">IF($G1160="","Uncategorized — Review",IFERROR(INDEX(Mapping!$C:$C,MATCH($G1160,Mapping!$A:$A,0)),"Uncategorized — Review"))</f>
        <v>Personal — Owner</v>
      </c>
    </row>
    <row r="1161" customFormat="false" ht="15" hidden="false" customHeight="false" outlineLevel="0" collapsed="false">
      <c r="A1161" s="0" t="str">
        <f aca="false">Chase1168_2025!A1161</f>
        <v>DEBIT</v>
      </c>
      <c r="B1161" s="14" t="n">
        <f aca="false">Chase1168_2025!B1161</f>
        <v>45792</v>
      </c>
      <c r="C1161" s="0" t="str">
        <f aca="false">Chase1168_2025!C1161</f>
        <v>PP*GOOGLE GOOGLE ONE 855-836-3987 CA         05/15</v>
      </c>
      <c r="D1161" s="7" t="n">
        <f aca="false">Chase1168_2025!D1161</f>
        <v>-1.99</v>
      </c>
      <c r="E1161" s="0" t="str">
        <f aca="false">Chase1168_2025!E1161</f>
        <v>DEBIT_CARD</v>
      </c>
      <c r="F1161" s="7" t="n">
        <f aca="false">Chase1168_2025!F1161</f>
        <v>12069.8</v>
      </c>
      <c r="G1161" s="0" t="str">
        <f aca="false">Chase1168_2025!G1161</f>
        <v>Personal - Subscriptions</v>
      </c>
      <c r="H1161" s="15" t="n">
        <f aca="false">IF($B1161="","",DATE(YEAR($B1161),MONTH($B1161),1))</f>
        <v>45778</v>
      </c>
      <c r="I1161" s="0" t="str">
        <f aca="false">IF($G1161="","Uncategorized — Review",IFERROR(INDEX(Mapping!$B:$B,MATCH($G1161,Mapping!$A:$A,0)),"Uncategorized — Review"))</f>
        <v>Personal - Subscriptions</v>
      </c>
      <c r="J1161" s="0" t="str">
        <f aca="false">IF($G1161="","Uncategorized — Review",IFERROR(INDEX(Mapping!$C:$C,MATCH($G1161,Mapping!$A:$A,0)),"Uncategorized — Review"))</f>
        <v>Personal — Owner</v>
      </c>
    </row>
    <row r="1162" customFormat="false" ht="15" hidden="false" customHeight="false" outlineLevel="0" collapsed="false">
      <c r="A1162" s="0" t="str">
        <f aca="false">Chase1168_2025!A1162</f>
        <v>DEBIT</v>
      </c>
      <c r="B1162" s="14" t="n">
        <f aca="false">Chase1168_2025!B1162</f>
        <v>45792</v>
      </c>
      <c r="C1162" s="0" t="str">
        <f aca="false">Chase1168_2025!C1162</f>
        <v>PP*APPLE.COM/BILL 800-275-2273 CA            05/15</v>
      </c>
      <c r="D1162" s="7" t="n">
        <f aca="false">Chase1168_2025!D1162</f>
        <v>-8.99</v>
      </c>
      <c r="E1162" s="0" t="str">
        <f aca="false">Chase1168_2025!E1162</f>
        <v>DEBIT_CARD</v>
      </c>
      <c r="F1162" s="7" t="n">
        <f aca="false">Chase1168_2025!F1162</f>
        <v>12071.79</v>
      </c>
      <c r="G1162" s="0" t="str">
        <f aca="false">Chase1168_2025!G1162</f>
        <v>Personal - Subscriptions</v>
      </c>
      <c r="H1162" s="15" t="n">
        <f aca="false">IF($B1162="","",DATE(YEAR($B1162),MONTH($B1162),1))</f>
        <v>45778</v>
      </c>
      <c r="I1162" s="0" t="str">
        <f aca="false">IF($G1162="","Uncategorized — Review",IFERROR(INDEX(Mapping!$B:$B,MATCH($G1162,Mapping!$A:$A,0)),"Uncategorized — Review"))</f>
        <v>Personal - Subscriptions</v>
      </c>
      <c r="J1162" s="0" t="str">
        <f aca="false">IF($G1162="","Uncategorized — Review",IFERROR(INDEX(Mapping!$C:$C,MATCH($G1162,Mapping!$A:$A,0)),"Uncategorized — Review"))</f>
        <v>Personal — Owner</v>
      </c>
    </row>
    <row r="1163" customFormat="false" ht="15" hidden="false" customHeight="false" outlineLevel="0" collapsed="false">
      <c r="A1163" s="0" t="str">
        <f aca="false">Chase1168_2025!A1163</f>
        <v>DEBIT</v>
      </c>
      <c r="B1163" s="14" t="n">
        <f aca="false">Chase1168_2025!B1163</f>
        <v>45792</v>
      </c>
      <c r="C1163" s="0" t="str">
        <f aca="false">Chase1168_2025!C1163</f>
        <v>PP*APPLE.COM/BILL 800-275-2273 CA            05/14</v>
      </c>
      <c r="D1163" s="7" t="n">
        <f aca="false">Chase1168_2025!D1163</f>
        <v>-10.99</v>
      </c>
      <c r="E1163" s="0" t="str">
        <f aca="false">Chase1168_2025!E1163</f>
        <v>DEBIT_CARD</v>
      </c>
      <c r="F1163" s="7" t="n">
        <f aca="false">Chase1168_2025!F1163</f>
        <v>12080.78</v>
      </c>
      <c r="G1163" s="0" t="str">
        <f aca="false">Chase1168_2025!G1163</f>
        <v>Personal - Subscriptions</v>
      </c>
      <c r="H1163" s="15" t="n">
        <f aca="false">IF($B1163="","",DATE(YEAR($B1163),MONTH($B1163),1))</f>
        <v>45778</v>
      </c>
      <c r="I1163" s="0" t="str">
        <f aca="false">IF($G1163="","Uncategorized — Review",IFERROR(INDEX(Mapping!$B:$B,MATCH($G1163,Mapping!$A:$A,0)),"Uncategorized — Review"))</f>
        <v>Personal - Subscriptions</v>
      </c>
      <c r="J1163" s="0" t="str">
        <f aca="false">IF($G1163="","Uncategorized — Review",IFERROR(INDEX(Mapping!$C:$C,MATCH($G1163,Mapping!$A:$A,0)),"Uncategorized — Review"))</f>
        <v>Personal — Owner</v>
      </c>
    </row>
    <row r="1164" customFormat="false" ht="15" hidden="false" customHeight="false" outlineLevel="0" collapsed="false">
      <c r="A1164" s="0" t="str">
        <f aca="false">Chase1168_2025!A1164</f>
        <v>DEBIT</v>
      </c>
      <c r="B1164" s="14" t="n">
        <f aca="false">Chase1168_2025!B1164</f>
        <v>45792</v>
      </c>
      <c r="C1164" s="0" t="str">
        <f aca="false">Chase1168_2025!C1164</f>
        <v>PAYPAL *LINKEDIN 402-935-7733 CA             05/14</v>
      </c>
      <c r="D1164" s="7" t="n">
        <f aca="false">Chase1168_2025!D1164</f>
        <v>-605.88</v>
      </c>
      <c r="E1164" s="0" t="str">
        <f aca="false">Chase1168_2025!E1164</f>
        <v>DEBIT_CARD</v>
      </c>
      <c r="F1164" s="7" t="n">
        <f aca="false">Chase1168_2025!F1164</f>
        <v>12091.77</v>
      </c>
      <c r="G1164" s="0" t="str">
        <f aca="false">Chase1168_2025!G1164</f>
        <v>DWG HR</v>
      </c>
      <c r="H1164" s="15" t="n">
        <f aca="false">IF($B1164="","",DATE(YEAR($B1164),MONTH($B1164),1))</f>
        <v>45778</v>
      </c>
      <c r="I1164" s="0" t="str">
        <f aca="false">IF($G1164="","Uncategorized — Review",IFERROR(INDEX(Mapping!$B:$B,MATCH($G1164,Mapping!$A:$A,0)),"Uncategorized — Review"))</f>
        <v>DWG HR</v>
      </c>
      <c r="J1164" s="0" t="str">
        <f aca="false">IF($G1164="","Uncategorized — Review",IFERROR(INDEX(Mapping!$C:$C,MATCH($G1164,Mapping!$A:$A,0)),"Uncategorized — Review"))</f>
        <v>Payroll &amp; Contractors</v>
      </c>
    </row>
    <row r="1165" customFormat="false" ht="15" hidden="false" customHeight="false" outlineLevel="0" collapsed="false">
      <c r="A1165" s="0" t="str">
        <f aca="false">Chase1168_2025!A1165</f>
        <v>DEBIT</v>
      </c>
      <c r="B1165" s="14" t="n">
        <f aca="false">Chase1168_2025!B1165</f>
        <v>45791</v>
      </c>
      <c r="C1165" s="0" t="str">
        <f aca="false">Chase1168_2025!C1165</f>
        <v>INDEED USI25-02547441 AUSTIN TX      192571  05/14</v>
      </c>
      <c r="D1165" s="7" t="n">
        <f aca="false">Chase1168_2025!D1165</f>
        <v>-504.49</v>
      </c>
      <c r="E1165" s="0" t="str">
        <f aca="false">Chase1168_2025!E1165</f>
        <v>DEBIT_CARD</v>
      </c>
      <c r="F1165" s="7" t="n">
        <f aca="false">Chase1168_2025!F1165</f>
        <v>12697.65</v>
      </c>
      <c r="G1165" s="0" t="str">
        <f aca="false">Chase1168_2025!G1165</f>
        <v>DWG HR</v>
      </c>
      <c r="H1165" s="15" t="n">
        <f aca="false">IF($B1165="","",DATE(YEAR($B1165),MONTH($B1165),1))</f>
        <v>45778</v>
      </c>
      <c r="I1165" s="0" t="str">
        <f aca="false">IF($G1165="","Uncategorized — Review",IFERROR(INDEX(Mapping!$B:$B,MATCH($G1165,Mapping!$A:$A,0)),"Uncategorized — Review"))</f>
        <v>DWG HR</v>
      </c>
      <c r="J1165" s="0" t="str">
        <f aca="false">IF($G1165="","Uncategorized — Review",IFERROR(INDEX(Mapping!$C:$C,MATCH($G1165,Mapping!$A:$A,0)),"Uncategorized — Review"))</f>
        <v>Payroll &amp; Contractors</v>
      </c>
    </row>
    <row r="1166" customFormat="false" ht="15" hidden="false" customHeight="false" outlineLevel="0" collapsed="false">
      <c r="A1166" s="0" t="str">
        <f aca="false">Chase1168_2025!A1166</f>
        <v>DEBIT</v>
      </c>
      <c r="B1166" s="14" t="n">
        <f aca="false">Chase1168_2025!B1166</f>
        <v>45791</v>
      </c>
      <c r="C1166" s="0" t="str">
        <f aca="false">Chase1168_2025!C1166</f>
        <v>Zelle payment to joe saunders 24763081707</v>
      </c>
      <c r="D1166" s="7" t="n">
        <f aca="false">Chase1168_2025!D1166</f>
        <v>-500</v>
      </c>
      <c r="E1166" s="0" t="str">
        <f aca="false">Chase1168_2025!E1166</f>
        <v>QUICKPAY_DEBIT</v>
      </c>
      <c r="F1166" s="7" t="n">
        <f aca="false">Chase1168_2025!F1166</f>
        <v>13202.14</v>
      </c>
      <c r="G1166" s="0" t="str">
        <f aca="false">Chase1168_2025!G1166</f>
        <v>Zelle - Joe Saunders</v>
      </c>
      <c r="H1166" s="15" t="n">
        <f aca="false">IF($B1166="","",DATE(YEAR($B1166),MONTH($B1166),1))</f>
        <v>45778</v>
      </c>
      <c r="I1166" s="0" t="str">
        <f aca="false">IF($G1166="","Uncategorized — Review",IFERROR(INDEX(Mapping!$B:$B,MATCH($G1166,Mapping!$A:$A,0)),"Uncategorized — Review"))</f>
        <v>Zelle - Joe Saunders</v>
      </c>
      <c r="J1166" s="0" t="str">
        <f aca="false">IF($G1166="","Uncategorized — Review",IFERROR(INDEX(Mapping!$C:$C,MATCH($G1166,Mapping!$A:$A,0)),"Uncategorized — Review"))</f>
        <v>P2P Payments (Zelle/Venmo/PayPal)</v>
      </c>
    </row>
    <row r="1167" customFormat="false" ht="15" hidden="false" customHeight="false" outlineLevel="0" collapsed="false">
      <c r="A1167" s="0" t="str">
        <f aca="false">Chase1168_2025!A1167</f>
        <v>DEBIT</v>
      </c>
      <c r="B1167" s="14" t="n">
        <f aca="false">Chase1168_2025!B1167</f>
        <v>45791</v>
      </c>
      <c r="C1167" s="0" t="str">
        <f aca="false">Chase1168_2025!C1167</f>
        <v>PAYPAL *EPOCH TIMES T 833-699-1888 NY        05/13</v>
      </c>
      <c r="D1167" s="7" t="n">
        <f aca="false">Chase1168_2025!D1167</f>
        <v>-16</v>
      </c>
      <c r="E1167" s="0" t="str">
        <f aca="false">Chase1168_2025!E1167</f>
        <v>DEBIT_CARD</v>
      </c>
      <c r="F1167" s="7" t="n">
        <f aca="false">Chase1168_2025!F1167</f>
        <v>13702.14</v>
      </c>
      <c r="G1167" s="0" t="str">
        <f aca="false">Chase1168_2025!G1167</f>
        <v>Personal - Subscriptions</v>
      </c>
      <c r="H1167" s="15" t="n">
        <f aca="false">IF($B1167="","",DATE(YEAR($B1167),MONTH($B1167),1))</f>
        <v>45778</v>
      </c>
      <c r="I1167" s="0" t="str">
        <f aca="false">IF($G1167="","Uncategorized — Review",IFERROR(INDEX(Mapping!$B:$B,MATCH($G1167,Mapping!$A:$A,0)),"Uncategorized — Review"))</f>
        <v>Personal - Subscriptions</v>
      </c>
      <c r="J1167" s="0" t="str">
        <f aca="false">IF($G1167="","Uncategorized — Review",IFERROR(INDEX(Mapping!$C:$C,MATCH($G1167,Mapping!$A:$A,0)),"Uncategorized — Review"))</f>
        <v>Personal — Owner</v>
      </c>
    </row>
    <row r="1168" customFormat="false" ht="15" hidden="false" customHeight="false" outlineLevel="0" collapsed="false">
      <c r="A1168" s="0" t="str">
        <f aca="false">Chase1168_2025!A1168</f>
        <v>DEBIT</v>
      </c>
      <c r="B1168" s="14" t="n">
        <f aca="false">Chase1168_2025!B1168</f>
        <v>45791</v>
      </c>
      <c r="C1168" s="0" t="str">
        <f aca="false">Chase1168_2025!C1168</f>
        <v>TRADER JOE S #119 WEST LOS ANGE CA           05/13</v>
      </c>
      <c r="D1168" s="7" t="n">
        <f aca="false">Chase1168_2025!D1168</f>
        <v>-98.58</v>
      </c>
      <c r="E1168" s="0" t="str">
        <f aca="false">Chase1168_2025!E1168</f>
        <v>DEBIT_CARD</v>
      </c>
      <c r="F1168" s="7" t="n">
        <f aca="false">Chase1168_2025!F1168</f>
        <v>13718.14</v>
      </c>
      <c r="G1168" s="0" t="str">
        <f aca="false">Chase1168_2025!G1168</f>
        <v>Personal - Food</v>
      </c>
      <c r="H1168" s="15" t="n">
        <f aca="false">IF($B1168="","",DATE(YEAR($B1168),MONTH($B1168),1))</f>
        <v>45778</v>
      </c>
      <c r="I1168" s="0" t="str">
        <f aca="false">IF($G1168="","Uncategorized — Review",IFERROR(INDEX(Mapping!$B:$B,MATCH($G1168,Mapping!$A:$A,0)),"Uncategorized — Review"))</f>
        <v>Personal - Food &amp; Dining</v>
      </c>
      <c r="J1168" s="0" t="str">
        <f aca="false">IF($G1168="","Uncategorized — Review",IFERROR(INDEX(Mapping!$C:$C,MATCH($G1168,Mapping!$A:$A,0)),"Uncategorized — Review"))</f>
        <v>Personal — Owner</v>
      </c>
    </row>
    <row r="1169" customFormat="false" ht="15" hidden="false" customHeight="false" outlineLevel="0" collapsed="false">
      <c r="A1169" s="0" t="str">
        <f aca="false">Chase1168_2025!A1169</f>
        <v>DEBIT</v>
      </c>
      <c r="B1169" s="14" t="n">
        <f aca="false">Chase1168_2025!B1169</f>
        <v>45790</v>
      </c>
      <c r="C1169" s="0" t="str">
        <f aca="false">Chase1168_2025!C1169</f>
        <v>ORIG CO NAME:VENMO                  ORIG ID:3264681992 DESC DATE:250513 CO ENTRY DESCR:PAYMENT   SEC:WEB    TRACE#:021000028052551 EED:250513   IND ID:1042177203072                IND NAME:JUDD DUNNING                                                                                                 250513PPZJOC TRN: 1338052551TC</v>
      </c>
      <c r="D1169" s="7" t="n">
        <f aca="false">Chase1168_2025!D1169</f>
        <v>-1250</v>
      </c>
      <c r="E1169" s="0" t="str">
        <f aca="false">Chase1168_2025!E1169</f>
        <v>ACH_DEBIT</v>
      </c>
      <c r="F1169" s="7" t="n">
        <f aca="false">Chase1168_2025!F1169</f>
        <v>13816.72</v>
      </c>
      <c r="G1169" s="0" t="str">
        <f aca="false">Chase1168_2025!G1169</f>
        <v>Venmo</v>
      </c>
      <c r="H1169" s="15" t="n">
        <f aca="false">IF($B1169="","",DATE(YEAR($B1169),MONTH($B1169),1))</f>
        <v>45778</v>
      </c>
      <c r="I1169" s="0" t="str">
        <f aca="false">IF($G1169="","Uncategorized — Review",IFERROR(INDEX(Mapping!$B:$B,MATCH($G1169,Mapping!$A:$A,0)),"Uncategorized — Review"))</f>
        <v>Venmo</v>
      </c>
      <c r="J1169" s="0" t="str">
        <f aca="false">IF($G1169="","Uncategorized — Review",IFERROR(INDEX(Mapping!$C:$C,MATCH($G1169,Mapping!$A:$A,0)),"Uncategorized — Review"))</f>
        <v>P2P Payments (Zelle/Venmo/PayPal)</v>
      </c>
    </row>
    <row r="1170" customFormat="false" ht="15" hidden="false" customHeight="false" outlineLevel="0" collapsed="false">
      <c r="A1170" s="0" t="str">
        <f aca="false">Chase1168_2025!A1170</f>
        <v>DEBIT</v>
      </c>
      <c r="B1170" s="14" t="n">
        <f aca="false">Chase1168_2025!B1170</f>
        <v>45790</v>
      </c>
      <c r="C1170" s="0" t="str">
        <f aca="false">Chase1168_2025!C1170</f>
        <v>Online Transfer to CHK ...0709 transaction#: 24752119415 05/13</v>
      </c>
      <c r="D1170" s="7" t="n">
        <f aca="false">Chase1168_2025!D1170</f>
        <v>-1000</v>
      </c>
      <c r="E1170" s="0" t="str">
        <f aca="false">Chase1168_2025!E1170</f>
        <v>ACCT_XFER</v>
      </c>
      <c r="F1170" s="7" t="n">
        <f aca="false">Chase1168_2025!F1170</f>
        <v>15066.72</v>
      </c>
      <c r="G1170" s="0" t="str">
        <f aca="false">Chase1168_2025!G1170</f>
        <v>Transfer to DWG Capital Group_Savings</v>
      </c>
      <c r="H1170" s="15" t="n">
        <f aca="false">IF($B1170="","",DATE(YEAR($B1170),MONTH($B1170),1))</f>
        <v>45778</v>
      </c>
      <c r="I1170" s="0" t="str">
        <f aca="false">IF($G1170="","Uncategorized — Review",IFERROR(INDEX(Mapping!$B:$B,MATCH($G1170,Mapping!$A:$A,0)),"Uncategorized — Review"))</f>
        <v>Transfer to DWG Savings</v>
      </c>
      <c r="J1170" s="0" t="str">
        <f aca="false">IF($G1170="","Uncategorized — Review",IFERROR(INDEX(Mapping!$C:$C,MATCH($G1170,Mapping!$A:$A,0)),"Uncategorized — Review"))</f>
        <v>Intercompany &amp; Savings Transfers</v>
      </c>
    </row>
    <row r="1171" customFormat="false" ht="15" hidden="false" customHeight="false" outlineLevel="0" collapsed="false">
      <c r="A1171" s="0" t="str">
        <f aca="false">Chase1168_2025!A1171</f>
        <v>DEBIT</v>
      </c>
      <c r="B1171" s="14" t="n">
        <f aca="false">Chase1168_2025!B1171</f>
        <v>45790</v>
      </c>
      <c r="C1171" s="0" t="str">
        <f aca="false">Chase1168_2025!C1171</f>
        <v>ORIG CO NAME:ALLSTATE V&amp;P INS       ORIG ID:1360719665 DESC DATE:MAY 25 CO ENTRY DESCR:INS PREM  SEC:PPD    TRACE#:021000022635357 EED:250513   IND ID:                             IND NAME:DUNNING TRN: 1332635357TC</v>
      </c>
      <c r="D1171" s="7" t="n">
        <f aca="false">Chase1168_2025!D1171</f>
        <v>-1533.71</v>
      </c>
      <c r="E1171" s="0" t="str">
        <f aca="false">Chase1168_2025!E1171</f>
        <v>ACH_DEBIT</v>
      </c>
      <c r="F1171" s="7" t="n">
        <f aca="false">Chase1168_2025!F1171</f>
        <v>16066.72</v>
      </c>
      <c r="G1171" s="0" t="str">
        <f aca="false">Chase1168_2025!G1171</f>
        <v>Personal - Car Insurance</v>
      </c>
      <c r="H1171" s="15" t="n">
        <f aca="false">IF($B1171="","",DATE(YEAR($B1171),MONTH($B1171),1))</f>
        <v>45778</v>
      </c>
      <c r="I1171" s="0" t="str">
        <f aca="false">IF($G1171="","Uncategorized — Review",IFERROR(INDEX(Mapping!$B:$B,MATCH($G1171,Mapping!$A:$A,0)),"Uncategorized — Review"))</f>
        <v>Personal - Car &amp; Auto</v>
      </c>
      <c r="J1171" s="0" t="str">
        <f aca="false">IF($G1171="","Uncategorized — Review",IFERROR(INDEX(Mapping!$C:$C,MATCH($G1171,Mapping!$A:$A,0)),"Uncategorized — Review"))</f>
        <v>Personal — Owner</v>
      </c>
    </row>
    <row r="1172" customFormat="false" ht="15" hidden="false" customHeight="false" outlineLevel="0" collapsed="false">
      <c r="A1172" s="0" t="str">
        <f aca="false">Chase1168_2025!A1172</f>
        <v>DEBIT</v>
      </c>
      <c r="B1172" s="14" t="n">
        <f aca="false">Chase1168_2025!B1172</f>
        <v>45790</v>
      </c>
      <c r="C1172" s="0" t="str">
        <f aca="false">Chase1168_2025!C1172</f>
        <v>PAYPAL *UBER 866-576-1039 CA                 05/12</v>
      </c>
      <c r="D1172" s="7" t="n">
        <f aca="false">Chase1168_2025!D1172</f>
        <v>-92.25</v>
      </c>
      <c r="E1172" s="0" t="str">
        <f aca="false">Chase1168_2025!E1172</f>
        <v>DEBIT_CARD</v>
      </c>
      <c r="F1172" s="7" t="n">
        <f aca="false">Chase1168_2025!F1172</f>
        <v>17600.43</v>
      </c>
      <c r="G1172" s="0" t="str">
        <f aca="false">Chase1168_2025!G1172</f>
        <v>Personal - Car</v>
      </c>
      <c r="H1172" s="15" t="n">
        <f aca="false">IF($B1172="","",DATE(YEAR($B1172),MONTH($B1172),1))</f>
        <v>45778</v>
      </c>
      <c r="I1172" s="0" t="str">
        <f aca="false">IF($G1172="","Uncategorized — Review",IFERROR(INDEX(Mapping!$B:$B,MATCH($G1172,Mapping!$A:$A,0)),"Uncategorized — Review"))</f>
        <v>Personal - Car &amp; Auto</v>
      </c>
      <c r="J1172" s="0" t="str">
        <f aca="false">IF($G1172="","Uncategorized — Review",IFERROR(INDEX(Mapping!$C:$C,MATCH($G1172,Mapping!$A:$A,0)),"Uncategorized — Review"))</f>
        <v>Personal — Owner</v>
      </c>
    </row>
    <row r="1173" customFormat="false" ht="15" hidden="false" customHeight="false" outlineLevel="0" collapsed="false">
      <c r="A1173" s="0" t="str">
        <f aca="false">Chase1168_2025!A1173</f>
        <v>DEBIT</v>
      </c>
      <c r="B1173" s="14" t="n">
        <f aca="false">Chase1168_2025!B1173</f>
        <v>45790</v>
      </c>
      <c r="C1173" s="0" t="str">
        <f aca="false">Chase1168_2025!C1173</f>
        <v>PAYPAL *UBER 866-576-1039 CA                 05/13</v>
      </c>
      <c r="D1173" s="7" t="n">
        <f aca="false">Chase1168_2025!D1173</f>
        <v>-12.7</v>
      </c>
      <c r="E1173" s="0" t="str">
        <f aca="false">Chase1168_2025!E1173</f>
        <v>DEBIT_CARD</v>
      </c>
      <c r="F1173" s="7" t="n">
        <f aca="false">Chase1168_2025!F1173</f>
        <v>17692.68</v>
      </c>
      <c r="G1173" s="0" t="str">
        <f aca="false">Chase1168_2025!G1173</f>
        <v>Personal - Car</v>
      </c>
      <c r="H1173" s="15" t="n">
        <f aca="false">IF($B1173="","",DATE(YEAR($B1173),MONTH($B1173),1))</f>
        <v>45778</v>
      </c>
      <c r="I1173" s="0" t="str">
        <f aca="false">IF($G1173="","Uncategorized — Review",IFERROR(INDEX(Mapping!$B:$B,MATCH($G1173,Mapping!$A:$A,0)),"Uncategorized — Review"))</f>
        <v>Personal - Car &amp; Auto</v>
      </c>
      <c r="J1173" s="0" t="str">
        <f aca="false">IF($G1173="","Uncategorized — Review",IFERROR(INDEX(Mapping!$C:$C,MATCH($G1173,Mapping!$A:$A,0)),"Uncategorized — Review"))</f>
        <v>Personal — Owner</v>
      </c>
    </row>
    <row r="1174" customFormat="false" ht="15" hidden="false" customHeight="false" outlineLevel="0" collapsed="false">
      <c r="A1174" s="0" t="str">
        <f aca="false">Chase1168_2025!A1174</f>
        <v>DEBIT</v>
      </c>
      <c r="B1174" s="14" t="n">
        <f aca="false">Chase1168_2025!B1174</f>
        <v>45790</v>
      </c>
      <c r="C1174" s="0" t="str">
        <f aca="false">Chase1168_2025!C1174</f>
        <v>UPWORK * -807558260 866-262-4478 CA          05/12</v>
      </c>
      <c r="D1174" s="7" t="n">
        <f aca="false">Chase1168_2025!D1174</f>
        <v>-43.75</v>
      </c>
      <c r="E1174" s="0" t="str">
        <f aca="false">Chase1168_2025!E1174</f>
        <v>DEBIT_CARD</v>
      </c>
      <c r="F1174" s="7" t="n">
        <f aca="false">Chase1168_2025!F1174</f>
        <v>17705.38</v>
      </c>
      <c r="G1174" s="0" t="str">
        <f aca="false">Chase1168_2025!G1174</f>
        <v>Upwork - Sergei M.</v>
      </c>
      <c r="H1174" s="15" t="n">
        <f aca="false">IF($B1174="","",DATE(YEAR($B1174),MONTH($B1174),1))</f>
        <v>45778</v>
      </c>
      <c r="I1174" s="0" t="str">
        <f aca="false">IF($G1174="","Uncategorized — Review",IFERROR(INDEX(Mapping!$B:$B,MATCH($G1174,Mapping!$A:$A,0)),"Uncategorized — Review"))</f>
        <v>Upwork - Sergei M.</v>
      </c>
      <c r="J1174" s="0" t="str">
        <f aca="false">IF($G1174="","Uncategorized — Review",IFERROR(INDEX(Mapping!$C:$C,MATCH($G1174,Mapping!$A:$A,0)),"Uncategorized — Review"))</f>
        <v>Payroll &amp; Contractors</v>
      </c>
    </row>
    <row r="1175" customFormat="false" ht="15" hidden="false" customHeight="false" outlineLevel="0" collapsed="false">
      <c r="A1175" s="0" t="str">
        <f aca="false">Chase1168_2025!A1175</f>
        <v>DEBIT</v>
      </c>
      <c r="B1175" s="14" t="n">
        <f aca="false">Chase1168_2025!B1175</f>
        <v>45790</v>
      </c>
      <c r="C1175" s="0" t="str">
        <f aca="false">Chase1168_2025!C1175</f>
        <v>PAYPAL *HULU 877-801-5441 CA                 05/12</v>
      </c>
      <c r="D1175" s="7" t="n">
        <f aca="false">Chase1168_2025!D1175</f>
        <v>-18.99</v>
      </c>
      <c r="E1175" s="0" t="str">
        <f aca="false">Chase1168_2025!E1175</f>
        <v>DEBIT_CARD</v>
      </c>
      <c r="F1175" s="7" t="n">
        <f aca="false">Chase1168_2025!F1175</f>
        <v>17749.13</v>
      </c>
      <c r="G1175" s="0" t="str">
        <f aca="false">Chase1168_2025!G1175</f>
        <v>Personal - Subscriptions</v>
      </c>
      <c r="H1175" s="15" t="n">
        <f aca="false">IF($B1175="","",DATE(YEAR($B1175),MONTH($B1175),1))</f>
        <v>45778</v>
      </c>
      <c r="I1175" s="0" t="str">
        <f aca="false">IF($G1175="","Uncategorized — Review",IFERROR(INDEX(Mapping!$B:$B,MATCH($G1175,Mapping!$A:$A,0)),"Uncategorized — Review"))</f>
        <v>Personal - Subscriptions</v>
      </c>
      <c r="J1175" s="0" t="str">
        <f aca="false">IF($G1175="","Uncategorized — Review",IFERROR(INDEX(Mapping!$C:$C,MATCH($G1175,Mapping!$A:$A,0)),"Uncategorized — Review"))</f>
        <v>Personal — Owner</v>
      </c>
    </row>
    <row r="1176" customFormat="false" ht="15" hidden="false" customHeight="false" outlineLevel="0" collapsed="false">
      <c r="A1176" s="0" t="str">
        <f aca="false">Chase1168_2025!A1176</f>
        <v>CREDIT</v>
      </c>
      <c r="B1176" s="14" t="n">
        <f aca="false">Chase1168_2025!B1176</f>
        <v>45790</v>
      </c>
      <c r="C1176" s="0" t="str">
        <f aca="false">Chase1168_2025!C1176</f>
        <v>Online Transfer from CHK ...9335 transaction#: 24752137717</v>
      </c>
      <c r="D1176" s="7" t="n">
        <f aca="false">Chase1168_2025!D1176</f>
        <v>10000</v>
      </c>
      <c r="E1176" s="0" t="str">
        <f aca="false">Chase1168_2025!E1176</f>
        <v>ACCT_XFER</v>
      </c>
      <c r="F1176" s="7" t="n">
        <f aca="false">Chase1168_2025!F1176</f>
        <v>17768.12</v>
      </c>
      <c r="G1176" s="0" t="str">
        <f aca="false">Chase1168_2025!G1176</f>
        <v>Transfer From Poseidon Asset Group</v>
      </c>
      <c r="H1176" s="15" t="n">
        <f aca="false">IF($B1176="","",DATE(YEAR($B1176),MONTH($B1176),1))</f>
        <v>45778</v>
      </c>
      <c r="I1176" s="0" t="str">
        <f aca="false">IF($G1176="","Uncategorized — Review",IFERROR(INDEX(Mapping!$B:$B,MATCH($G1176,Mapping!$A:$A,0)),"Uncategorized — Review"))</f>
        <v>Transfer From Poseidon Asset Group</v>
      </c>
      <c r="J1176" s="0" t="str">
        <f aca="false">IF($G1176="","Uncategorized — Review",IFERROR(INDEX(Mapping!$C:$C,MATCH($G1176,Mapping!$A:$A,0)),"Uncategorized — Review"))</f>
        <v>Poseidon Asset Group</v>
      </c>
    </row>
    <row r="1177" customFormat="false" ht="15" hidden="false" customHeight="false" outlineLevel="0" collapsed="false">
      <c r="A1177" s="0" t="str">
        <f aca="false">Chase1168_2025!A1177</f>
        <v>DEBIT</v>
      </c>
      <c r="B1177" s="14" t="n">
        <f aca="false">Chase1168_2025!B1177</f>
        <v>45789</v>
      </c>
      <c r="C1177" s="0" t="str">
        <f aca="false">Chase1168_2025!C1177</f>
        <v>ORIG CO NAME:VENMO                  ORIG ID:3264681992 DESC DATE:250511 CO ENTRY DESCR:PAYMENT   SEC:WEB    TRACE#:021000027893049 EED:250512   IND ID:1042136993993                IND NAME:JUDD DUNNING                                                                                                 250511PPZ5BL TRN: 1327893049TC</v>
      </c>
      <c r="D1177" s="7" t="n">
        <f aca="false">Chase1168_2025!D1177</f>
        <v>-85</v>
      </c>
      <c r="E1177" s="0" t="str">
        <f aca="false">Chase1168_2025!E1177</f>
        <v>ACH_DEBIT</v>
      </c>
      <c r="F1177" s="7" t="n">
        <f aca="false">Chase1168_2025!F1177</f>
        <v>7768.12</v>
      </c>
      <c r="G1177" s="0" t="str">
        <f aca="false">Chase1168_2025!G1177</f>
        <v>Venmo</v>
      </c>
      <c r="H1177" s="15" t="n">
        <f aca="false">IF($B1177="","",DATE(YEAR($B1177),MONTH($B1177),1))</f>
        <v>45778</v>
      </c>
      <c r="I1177" s="0" t="str">
        <f aca="false">IF($G1177="","Uncategorized — Review",IFERROR(INDEX(Mapping!$B:$B,MATCH($G1177,Mapping!$A:$A,0)),"Uncategorized — Review"))</f>
        <v>Venmo</v>
      </c>
      <c r="J1177" s="0" t="str">
        <f aca="false">IF($G1177="","Uncategorized — Review",IFERROR(INDEX(Mapping!$C:$C,MATCH($G1177,Mapping!$A:$A,0)),"Uncategorized — Review"))</f>
        <v>P2P Payments (Zelle/Venmo/PayPal)</v>
      </c>
    </row>
    <row r="1178" customFormat="false" ht="15" hidden="false" customHeight="false" outlineLevel="0" collapsed="false">
      <c r="A1178" s="0" t="str">
        <f aca="false">Chase1168_2025!A1178</f>
        <v>DEBIT</v>
      </c>
      <c r="B1178" s="14" t="n">
        <f aca="false">Chase1168_2025!B1178</f>
        <v>45789</v>
      </c>
      <c r="C1178" s="0" t="str">
        <f aca="false">Chase1168_2025!C1178</f>
        <v>ORIG CO NAME:GM Financial           ORIG ID:I522190781 DESC DATE:250512 CO ENTRY DESCR:GMF Pymt  SEC:PPD    TRACE#:091000017158772 EED:250512   IND ID:                             IND NAME:ANGELA DUNNING TRN: 1327158772TC</v>
      </c>
      <c r="D1178" s="7" t="n">
        <f aca="false">Chase1168_2025!D1178</f>
        <v>-1249.96</v>
      </c>
      <c r="E1178" s="0" t="str">
        <f aca="false">Chase1168_2025!E1178</f>
        <v>ACH_DEBIT</v>
      </c>
      <c r="F1178" s="7" t="n">
        <f aca="false">Chase1168_2025!F1178</f>
        <v>7853.12</v>
      </c>
      <c r="G1178" s="0" t="str">
        <f aca="false">Chase1168_2025!G1178</f>
        <v>Personal - Car</v>
      </c>
      <c r="H1178" s="15" t="n">
        <f aca="false">IF($B1178="","",DATE(YEAR($B1178),MONTH($B1178),1))</f>
        <v>45778</v>
      </c>
      <c r="I1178" s="0" t="str">
        <f aca="false">IF($G1178="","Uncategorized — Review",IFERROR(INDEX(Mapping!$B:$B,MATCH($G1178,Mapping!$A:$A,0)),"Uncategorized — Review"))</f>
        <v>Personal - Car &amp; Auto</v>
      </c>
      <c r="J1178" s="0" t="str">
        <f aca="false">IF($G1178="","Uncategorized — Review",IFERROR(INDEX(Mapping!$C:$C,MATCH($G1178,Mapping!$A:$A,0)),"Uncategorized — Review"))</f>
        <v>Personal — Owner</v>
      </c>
    </row>
    <row r="1179" customFormat="false" ht="15" hidden="false" customHeight="false" outlineLevel="0" collapsed="false">
      <c r="A1179" s="0" t="str">
        <f aca="false">Chase1168_2025!A1179</f>
        <v>DEBIT</v>
      </c>
      <c r="B1179" s="14" t="n">
        <f aca="false">Chase1168_2025!B1179</f>
        <v>45789</v>
      </c>
      <c r="C1179" s="0" t="str">
        <f aca="false">Chase1168_2025!C1179</f>
        <v>PP*P36B60B17F 203-318-9708 NY                05/12</v>
      </c>
      <c r="D1179" s="7" t="n">
        <f aca="false">Chase1168_2025!D1179</f>
        <v>-11.99</v>
      </c>
      <c r="E1179" s="0" t="str">
        <f aca="false">Chase1168_2025!E1179</f>
        <v>DEBIT_CARD</v>
      </c>
      <c r="F1179" s="7" t="n">
        <f aca="false">Chase1168_2025!F1179</f>
        <v>9103.08</v>
      </c>
      <c r="G1179" s="0" t="str">
        <f aca="false">Chase1168_2025!G1179</f>
        <v>Paypal</v>
      </c>
      <c r="H1179" s="15" t="n">
        <f aca="false">IF($B1179="","",DATE(YEAR($B1179),MONTH($B1179),1))</f>
        <v>45778</v>
      </c>
      <c r="I1179" s="0" t="str">
        <f aca="false">IF($G1179="","Uncategorized — Review",IFERROR(INDEX(Mapping!$B:$B,MATCH($G1179,Mapping!$A:$A,0)),"Uncategorized — Review"))</f>
        <v>PayPal</v>
      </c>
      <c r="J1179" s="0" t="str">
        <f aca="false">IF($G1179="","Uncategorized — Review",IFERROR(INDEX(Mapping!$C:$C,MATCH($G1179,Mapping!$A:$A,0)),"Uncategorized — Review"))</f>
        <v>P2P Payments (Zelle/Venmo/PayPal)</v>
      </c>
    </row>
    <row r="1180" customFormat="false" ht="15" hidden="false" customHeight="false" outlineLevel="0" collapsed="false">
      <c r="A1180" s="0" t="str">
        <f aca="false">Chase1168_2025!A1180</f>
        <v>DEBIT</v>
      </c>
      <c r="B1180" s="14" t="n">
        <f aca="false">Chase1168_2025!B1180</f>
        <v>45789</v>
      </c>
      <c r="C1180" s="0" t="str">
        <f aca="false">Chase1168_2025!C1180</f>
        <v>PAYPAL *CAROLINAACOST 402-935-7733 CA        05/11</v>
      </c>
      <c r="D1180" s="7" t="n">
        <f aca="false">Chase1168_2025!D1180</f>
        <v>-2</v>
      </c>
      <c r="E1180" s="0" t="str">
        <f aca="false">Chase1168_2025!E1180</f>
        <v>DEBIT_CARD</v>
      </c>
      <c r="F1180" s="7" t="n">
        <f aca="false">Chase1168_2025!F1180</f>
        <v>9115.07</v>
      </c>
      <c r="G1180" s="0" t="str">
        <f aca="false">Chase1168_2025!G1180</f>
        <v>Paypal</v>
      </c>
      <c r="H1180" s="15" t="n">
        <f aca="false">IF($B1180="","",DATE(YEAR($B1180),MONTH($B1180),1))</f>
        <v>45778</v>
      </c>
      <c r="I1180" s="0" t="str">
        <f aca="false">IF($G1180="","Uncategorized — Review",IFERROR(INDEX(Mapping!$B:$B,MATCH($G1180,Mapping!$A:$A,0)),"Uncategorized — Review"))</f>
        <v>PayPal</v>
      </c>
      <c r="J1180" s="0" t="str">
        <f aca="false">IF($G1180="","Uncategorized — Review",IFERROR(INDEX(Mapping!$C:$C,MATCH($G1180,Mapping!$A:$A,0)),"Uncategorized — Review"))</f>
        <v>P2P Payments (Zelle/Venmo/PayPal)</v>
      </c>
    </row>
    <row r="1181" customFormat="false" ht="15" hidden="false" customHeight="false" outlineLevel="0" collapsed="false">
      <c r="A1181" s="0" t="str">
        <f aca="false">Chase1168_2025!A1181</f>
        <v>DEBIT</v>
      </c>
      <c r="B1181" s="14" t="n">
        <f aca="false">Chase1168_2025!B1181</f>
        <v>45789</v>
      </c>
      <c r="C1181" s="0" t="str">
        <f aca="false">Chase1168_2025!C1181</f>
        <v>PAYPAL *RUTHALCANCI 402-935-7733 CA          05/11</v>
      </c>
      <c r="D1181" s="7" t="n">
        <f aca="false">Chase1168_2025!D1181</f>
        <v>-200</v>
      </c>
      <c r="E1181" s="0" t="str">
        <f aca="false">Chase1168_2025!E1181</f>
        <v>DEBIT_CARD</v>
      </c>
      <c r="F1181" s="7" t="n">
        <f aca="false">Chase1168_2025!F1181</f>
        <v>9117.07</v>
      </c>
      <c r="G1181" s="0" t="str">
        <f aca="false">Chase1168_2025!G1181</f>
        <v>Ruth Alcancia - Forward Bridge Payment</v>
      </c>
      <c r="H1181" s="15" t="n">
        <f aca="false">IF($B1181="","",DATE(YEAR($B1181),MONTH($B1181),1))</f>
        <v>45778</v>
      </c>
      <c r="I1181" s="0" t="str">
        <f aca="false">IF($G1181="","Uncategorized — Review",IFERROR(INDEX(Mapping!$B:$B,MATCH($G1181,Mapping!$A:$A,0)),"Uncategorized — Review"))</f>
        <v>Ruth Alcancia - Forward Bridge Payment</v>
      </c>
      <c r="J1181" s="0" t="str">
        <f aca="false">IF($G1181="","Uncategorized — Review",IFERROR(INDEX(Mapping!$C:$C,MATCH($G1181,Mapping!$A:$A,0)),"Uncategorized — Review"))</f>
        <v>Payroll &amp; Contractors</v>
      </c>
    </row>
    <row r="1182" customFormat="false" ht="15" hidden="false" customHeight="false" outlineLevel="0" collapsed="false">
      <c r="A1182" s="0" t="str">
        <f aca="false">Chase1168_2025!A1182</f>
        <v>DEBIT</v>
      </c>
      <c r="B1182" s="14" t="n">
        <f aca="false">Chase1168_2025!B1182</f>
        <v>45789</v>
      </c>
      <c r="C1182" s="0" t="str">
        <f aca="false">Chase1168_2025!C1182</f>
        <v>HLU*HULUPLUS hulu.com/bill CA                05/10</v>
      </c>
      <c r="D1182" s="7" t="n">
        <f aca="false">Chase1168_2025!D1182</f>
        <v>-23.98</v>
      </c>
      <c r="E1182" s="0" t="str">
        <f aca="false">Chase1168_2025!E1182</f>
        <v>DEBIT_CARD</v>
      </c>
      <c r="F1182" s="7" t="n">
        <f aca="false">Chase1168_2025!F1182</f>
        <v>9317.07</v>
      </c>
      <c r="G1182" s="0" t="str">
        <f aca="false">Chase1168_2025!G1182</f>
        <v>Personal - Subscriptions</v>
      </c>
      <c r="H1182" s="15" t="n">
        <f aca="false">IF($B1182="","",DATE(YEAR($B1182),MONTH($B1182),1))</f>
        <v>45778</v>
      </c>
      <c r="I1182" s="0" t="str">
        <f aca="false">IF($G1182="","Uncategorized — Review",IFERROR(INDEX(Mapping!$B:$B,MATCH($G1182,Mapping!$A:$A,0)),"Uncategorized — Review"))</f>
        <v>Personal - Subscriptions</v>
      </c>
      <c r="J1182" s="0" t="str">
        <f aca="false">IF($G1182="","Uncategorized — Review",IFERROR(INDEX(Mapping!$C:$C,MATCH($G1182,Mapping!$A:$A,0)),"Uncategorized — Review"))</f>
        <v>Personal — Owner</v>
      </c>
    </row>
    <row r="1183" customFormat="false" ht="15" hidden="false" customHeight="false" outlineLevel="0" collapsed="false">
      <c r="A1183" s="0" t="str">
        <f aca="false">Chase1168_2025!A1183</f>
        <v>DEBIT</v>
      </c>
      <c r="B1183" s="14" t="n">
        <f aca="false">Chase1168_2025!B1183</f>
        <v>45789</v>
      </c>
      <c r="C1183" s="0" t="str">
        <f aca="false">Chase1168_2025!C1183</f>
        <v>PP*APPLE.COM/BILL 800-275-2273 CA            05/10</v>
      </c>
      <c r="D1183" s="7" t="n">
        <f aca="false">Chase1168_2025!D1183</f>
        <v>-17.99</v>
      </c>
      <c r="E1183" s="0" t="str">
        <f aca="false">Chase1168_2025!E1183</f>
        <v>DEBIT_CARD</v>
      </c>
      <c r="F1183" s="7" t="n">
        <f aca="false">Chase1168_2025!F1183</f>
        <v>9341.05</v>
      </c>
      <c r="G1183" s="0" t="str">
        <f aca="false">Chase1168_2025!G1183</f>
        <v>Personal - Subscriptions</v>
      </c>
      <c r="H1183" s="15" t="n">
        <f aca="false">IF($B1183="","",DATE(YEAR($B1183),MONTH($B1183),1))</f>
        <v>45778</v>
      </c>
      <c r="I1183" s="0" t="str">
        <f aca="false">IF($G1183="","Uncategorized — Review",IFERROR(INDEX(Mapping!$B:$B,MATCH($G1183,Mapping!$A:$A,0)),"Uncategorized — Review"))</f>
        <v>Personal - Subscriptions</v>
      </c>
      <c r="J1183" s="0" t="str">
        <f aca="false">IF($G1183="","Uncategorized — Review",IFERROR(INDEX(Mapping!$C:$C,MATCH($G1183,Mapping!$A:$A,0)),"Uncategorized — Review"))</f>
        <v>Personal — Owner</v>
      </c>
    </row>
    <row r="1184" customFormat="false" ht="15" hidden="false" customHeight="false" outlineLevel="0" collapsed="false">
      <c r="A1184" s="0" t="str">
        <f aca="false">Chase1168_2025!A1184</f>
        <v>DEBIT</v>
      </c>
      <c r="B1184" s="14" t="n">
        <f aca="false">Chase1168_2025!B1184</f>
        <v>45789</v>
      </c>
      <c r="C1184" s="0" t="str">
        <f aca="false">Chase1168_2025!C1184</f>
        <v>HLU*HULUPLUS hulu.com/bill CA                05/10</v>
      </c>
      <c r="D1184" s="7" t="n">
        <f aca="false">Chase1168_2025!D1184</f>
        <v>-29.99</v>
      </c>
      <c r="E1184" s="0" t="str">
        <f aca="false">Chase1168_2025!E1184</f>
        <v>DEBIT_CARD</v>
      </c>
      <c r="F1184" s="7" t="n">
        <f aca="false">Chase1168_2025!F1184</f>
        <v>9359.04</v>
      </c>
      <c r="G1184" s="0" t="str">
        <f aca="false">Chase1168_2025!G1184</f>
        <v>Personal - Subscriptions</v>
      </c>
      <c r="H1184" s="15" t="n">
        <f aca="false">IF($B1184="","",DATE(YEAR($B1184),MONTH($B1184),1))</f>
        <v>45778</v>
      </c>
      <c r="I1184" s="0" t="str">
        <f aca="false">IF($G1184="","Uncategorized — Review",IFERROR(INDEX(Mapping!$B:$B,MATCH($G1184,Mapping!$A:$A,0)),"Uncategorized — Review"))</f>
        <v>Personal - Subscriptions</v>
      </c>
      <c r="J1184" s="0" t="str">
        <f aca="false">IF($G1184="","Uncategorized — Review",IFERROR(INDEX(Mapping!$C:$C,MATCH($G1184,Mapping!$A:$A,0)),"Uncategorized — Review"))</f>
        <v>Personal — Owner</v>
      </c>
    </row>
    <row r="1185" customFormat="false" ht="15" hidden="false" customHeight="false" outlineLevel="0" collapsed="false">
      <c r="A1185" s="0" t="str">
        <f aca="false">Chase1168_2025!A1185</f>
        <v>DEBIT</v>
      </c>
      <c r="B1185" s="14" t="n">
        <f aca="false">Chase1168_2025!B1185</f>
        <v>45789</v>
      </c>
      <c r="C1185" s="0" t="str">
        <f aca="false">Chase1168_2025!C1185</f>
        <v>PP*APPLE.COM/BILL 800-275-2273 CA            05/09</v>
      </c>
      <c r="D1185" s="7" t="n">
        <f aca="false">Chase1168_2025!D1185</f>
        <v>-11.99</v>
      </c>
      <c r="E1185" s="0" t="str">
        <f aca="false">Chase1168_2025!E1185</f>
        <v>DEBIT_CARD</v>
      </c>
      <c r="F1185" s="7" t="n">
        <f aca="false">Chase1168_2025!F1185</f>
        <v>9389.03</v>
      </c>
      <c r="G1185" s="0" t="str">
        <f aca="false">Chase1168_2025!G1185</f>
        <v>Personal - Subscriptions</v>
      </c>
      <c r="H1185" s="15" t="n">
        <f aca="false">IF($B1185="","",DATE(YEAR($B1185),MONTH($B1185),1))</f>
        <v>45778</v>
      </c>
      <c r="I1185" s="0" t="str">
        <f aca="false">IF($G1185="","Uncategorized — Review",IFERROR(INDEX(Mapping!$B:$B,MATCH($G1185,Mapping!$A:$A,0)),"Uncategorized — Review"))</f>
        <v>Personal - Subscriptions</v>
      </c>
      <c r="J1185" s="0" t="str">
        <f aca="false">IF($G1185="","Uncategorized — Review",IFERROR(INDEX(Mapping!$C:$C,MATCH($G1185,Mapping!$A:$A,0)),"Uncategorized — Review"))</f>
        <v>Personal — Owner</v>
      </c>
    </row>
    <row r="1186" customFormat="false" ht="15" hidden="false" customHeight="false" outlineLevel="0" collapsed="false">
      <c r="A1186" s="0" t="str">
        <f aca="false">Chase1168_2025!A1186</f>
        <v>DEBIT</v>
      </c>
      <c r="B1186" s="14" t="n">
        <f aca="false">Chase1168_2025!B1186</f>
        <v>45785</v>
      </c>
      <c r="C1186" s="0" t="str">
        <f aca="false">Chase1168_2025!C1186</f>
        <v>ONLINE FX INTERNATIONAL WIRE FEE</v>
      </c>
      <c r="D1186" s="7" t="n">
        <f aca="false">Chase1168_2025!D1186</f>
        <v>-5</v>
      </c>
      <c r="E1186" s="0" t="str">
        <f aca="false">Chase1168_2025!E1186</f>
        <v>FEE_TRANSACTION</v>
      </c>
      <c r="F1186" s="7" t="n">
        <f aca="false">Chase1168_2025!F1186</f>
        <v>9401.02</v>
      </c>
      <c r="G1186" s="0" t="str">
        <f aca="false">Chase1168_2025!G1186</f>
        <v>Andres Alarcon Payroll</v>
      </c>
      <c r="H1186" s="15" t="n">
        <f aca="false">IF($B1186="","",DATE(YEAR($B1186),MONTH($B1186),1))</f>
        <v>45778</v>
      </c>
      <c r="I1186" s="0" t="str">
        <f aca="false">IF($G1186="","Uncategorized — Review",IFERROR(INDEX(Mapping!$B:$B,MATCH($G1186,Mapping!$A:$A,0)),"Uncategorized — Review"))</f>
        <v>Andres Alarcon Payroll</v>
      </c>
      <c r="J1186" s="0" t="str">
        <f aca="false">IF($G1186="","Uncategorized — Review",IFERROR(INDEX(Mapping!$C:$C,MATCH($G1186,Mapping!$A:$A,0)),"Uncategorized — Review"))</f>
        <v>Payroll &amp; Contractors</v>
      </c>
    </row>
    <row r="1187" customFormat="false" ht="15" hidden="false" customHeight="false" outlineLevel="0" collapsed="false">
      <c r="A1187" s="0" t="str">
        <f aca="false">Chase1168_2025!A1187</f>
        <v>DEBIT</v>
      </c>
      <c r="B1187" s="14" t="n">
        <f aca="false">Chase1168_2025!B1187</f>
        <v>45785</v>
      </c>
      <c r="C1187" s="0" t="str">
        <f aca="false">Chase1168_2025!C1187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ENTS/OCMT/COP3100095,75/EXCH/4133.4 610/CNTR/56444872/INT/ANDRES_527 TRN: 9229700128RE 05/08</v>
      </c>
      <c r="D1187" s="7" t="n">
        <f aca="false">Chase1168_2025!D1187</f>
        <v>-750</v>
      </c>
      <c r="E1187" s="0" t="str">
        <f aca="false">Chase1168_2025!E1187</f>
        <v>WIRE_OUTGOING</v>
      </c>
      <c r="F1187" s="7" t="n">
        <f aca="false">Chase1168_2025!F1187</f>
        <v>9406.02</v>
      </c>
      <c r="G1187" s="0" t="str">
        <f aca="false">Chase1168_2025!G1187</f>
        <v>Andres Alarcon Payroll</v>
      </c>
      <c r="H1187" s="15" t="n">
        <f aca="false">IF($B1187="","",DATE(YEAR($B1187),MONTH($B1187),1))</f>
        <v>45778</v>
      </c>
      <c r="I1187" s="0" t="str">
        <f aca="false">IF($G1187="","Uncategorized — Review",IFERROR(INDEX(Mapping!$B:$B,MATCH($G1187,Mapping!$A:$A,0)),"Uncategorized — Review"))</f>
        <v>Andres Alarcon Payroll</v>
      </c>
      <c r="J1187" s="0" t="str">
        <f aca="false">IF($G1187="","Uncategorized — Review",IFERROR(INDEX(Mapping!$C:$C,MATCH($G1187,Mapping!$A:$A,0)),"Uncategorized — Review"))</f>
        <v>Payroll &amp; Contractors</v>
      </c>
    </row>
    <row r="1188" customFormat="false" ht="15" hidden="false" customHeight="false" outlineLevel="0" collapsed="false">
      <c r="A1188" s="0" t="str">
        <f aca="false">Chase1168_2025!A1188</f>
        <v>DEBIT</v>
      </c>
      <c r="B1188" s="14" t="n">
        <f aca="false">Chase1168_2025!B1188</f>
        <v>45785</v>
      </c>
      <c r="C1188" s="0" t="str">
        <f aca="false">Chase1168_2025!C1188</f>
        <v>Online Transfer to CHK ...1927 transaction#: 24689575568 05/08</v>
      </c>
      <c r="D1188" s="7" t="n">
        <f aca="false">Chase1168_2025!D1188</f>
        <v>-500</v>
      </c>
      <c r="E1188" s="0" t="str">
        <f aca="false">Chase1168_2025!E1188</f>
        <v>ACCT_XFER</v>
      </c>
      <c r="F1188" s="7" t="n">
        <f aca="false">Chase1168_2025!F1188</f>
        <v>10156.02</v>
      </c>
      <c r="G1188" s="0" t="str">
        <f aca="false">Chase1168_2025!G1188</f>
        <v>Transfer to Judd Sol Prop</v>
      </c>
      <c r="H1188" s="15" t="n">
        <f aca="false">IF($B1188="","",DATE(YEAR($B1188),MONTH($B1188),1))</f>
        <v>45778</v>
      </c>
      <c r="I1188" s="0" t="str">
        <f aca="false">IF($G1188="","Uncategorized — Review",IFERROR(INDEX(Mapping!$B:$B,MATCH($G1188,Mapping!$A:$A,0)),"Uncategorized — Review"))</f>
        <v>Transfer to Judd Sol Prop</v>
      </c>
      <c r="J1188" s="0" t="str">
        <f aca="false">IF($G1188="","Uncategorized — Review",IFERROR(INDEX(Mapping!$C:$C,MATCH($G1188,Mapping!$A:$A,0)),"Uncategorized — Review"))</f>
        <v>Intercompany &amp; Savings Transfers</v>
      </c>
    </row>
    <row r="1189" customFormat="false" ht="15" hidden="false" customHeight="false" outlineLevel="0" collapsed="false">
      <c r="A1189" s="0" t="str">
        <f aca="false">Chase1168_2025!A1189</f>
        <v>DEBIT</v>
      </c>
      <c r="B1189" s="14" t="n">
        <f aca="false">Chase1168_2025!B1189</f>
        <v>45785</v>
      </c>
      <c r="C1189" s="0" t="str">
        <f aca="false">Chase1168_2025!C1189</f>
        <v>PP*APPLE.COM/BILL 800-275-2273 CA            05/08</v>
      </c>
      <c r="D1189" s="7" t="n">
        <f aca="false">Chase1168_2025!D1189</f>
        <v>-5</v>
      </c>
      <c r="E1189" s="0" t="str">
        <f aca="false">Chase1168_2025!E1189</f>
        <v>DEBIT_CARD</v>
      </c>
      <c r="F1189" s="7" t="n">
        <f aca="false">Chase1168_2025!F1189</f>
        <v>10656.02</v>
      </c>
      <c r="G1189" s="0" t="str">
        <f aca="false">Chase1168_2025!G1189</f>
        <v>Personal - Subscriptions</v>
      </c>
      <c r="H1189" s="15" t="n">
        <f aca="false">IF($B1189="","",DATE(YEAR($B1189),MONTH($B1189),1))</f>
        <v>45778</v>
      </c>
      <c r="I1189" s="0" t="str">
        <f aca="false">IF($G1189="","Uncategorized — Review",IFERROR(INDEX(Mapping!$B:$B,MATCH($G1189,Mapping!$A:$A,0)),"Uncategorized — Review"))</f>
        <v>Personal - Subscriptions</v>
      </c>
      <c r="J1189" s="0" t="str">
        <f aca="false">IF($G1189="","Uncategorized — Review",IFERROR(INDEX(Mapping!$C:$C,MATCH($G1189,Mapping!$A:$A,0)),"Uncategorized — Review"))</f>
        <v>Personal — Owner</v>
      </c>
    </row>
    <row r="1190" customFormat="false" ht="15" hidden="false" customHeight="false" outlineLevel="0" collapsed="false">
      <c r="A1190" s="0" t="str">
        <f aca="false">Chase1168_2025!A1190</f>
        <v>DEBIT</v>
      </c>
      <c r="B1190" s="14" t="n">
        <f aca="false">Chase1168_2025!B1190</f>
        <v>45784</v>
      </c>
      <c r="C1190" s="0" t="str">
        <f aca="false">Chase1168_2025!C1190</f>
        <v>Zelle payment to jeff Fajardo JPM99b7juxxj</v>
      </c>
      <c r="D1190" s="7" t="n">
        <f aca="false">Chase1168_2025!D1190</f>
        <v>-1825</v>
      </c>
      <c r="E1190" s="0" t="str">
        <f aca="false">Chase1168_2025!E1190</f>
        <v>CHASE_TO_PARTNERFI</v>
      </c>
      <c r="F1190" s="7" t="n">
        <f aca="false">Chase1168_2025!F1190</f>
        <v>10661.02</v>
      </c>
      <c r="G1190" s="0" t="str">
        <f aca="false">Chase1168_2025!G1190</f>
        <v>Zelle - Jeff Fajardo</v>
      </c>
      <c r="H1190" s="15" t="n">
        <f aca="false">IF($B1190="","",DATE(YEAR($B1190),MONTH($B1190),1))</f>
        <v>45778</v>
      </c>
      <c r="I1190" s="0" t="str">
        <f aca="false">IF($G1190="","Uncategorized — Review",IFERROR(INDEX(Mapping!$B:$B,MATCH($G1190,Mapping!$A:$A,0)),"Uncategorized — Review"))</f>
        <v>Zelle - Jeff Fajardo</v>
      </c>
      <c r="J1190" s="0" t="str">
        <f aca="false">IF($G1190="","Uncategorized — Review",IFERROR(INDEX(Mapping!$C:$C,MATCH($G1190,Mapping!$A:$A,0)),"Uncategorized — Review"))</f>
        <v>P2P Payments (Zelle/Venmo/PayPal)</v>
      </c>
    </row>
    <row r="1191" customFormat="false" ht="15" hidden="false" customHeight="false" outlineLevel="0" collapsed="false">
      <c r="A1191" s="0" t="str">
        <f aca="false">Chase1168_2025!A1191</f>
        <v>DEBIT</v>
      </c>
      <c r="B1191" s="14" t="n">
        <f aca="false">Chase1168_2025!B1191</f>
        <v>45784</v>
      </c>
      <c r="C1191" s="0" t="str">
        <f aca="false">Chase1168_2025!C1191</f>
        <v>Online Transfer to CHK ...1117 transaction#: 24678761006 05/07</v>
      </c>
      <c r="D1191" s="7" t="n">
        <f aca="false">Chase1168_2025!D1191</f>
        <v>-2000</v>
      </c>
      <c r="E1191" s="0" t="str">
        <f aca="false">Chase1168_2025!E1191</f>
        <v>ACCT_XFER</v>
      </c>
      <c r="F1191" s="7" t="n">
        <f aca="false">Chase1168_2025!F1191</f>
        <v>12486.02</v>
      </c>
      <c r="G1191" s="0" t="str">
        <f aca="false">Chase1168_2025!G1191</f>
        <v>Transfer to Angela Dunning</v>
      </c>
      <c r="H1191" s="15" t="n">
        <f aca="false">IF($B1191="","",DATE(YEAR($B1191),MONTH($B1191),1))</f>
        <v>45778</v>
      </c>
      <c r="I1191" s="0" t="str">
        <f aca="false">IF($G1191="","Uncategorized — Review",IFERROR(INDEX(Mapping!$B:$B,MATCH($G1191,Mapping!$A:$A,0)),"Uncategorized — Review"))</f>
        <v>Transfer to Angela Dunning</v>
      </c>
      <c r="J1191" s="0" t="str">
        <f aca="false">IF($G1191="","Uncategorized — Review",IFERROR(INDEX(Mapping!$C:$C,MATCH($G1191,Mapping!$A:$A,0)),"Uncategorized — Review"))</f>
        <v>Owner / Family Distributions</v>
      </c>
    </row>
    <row r="1192" customFormat="false" ht="15" hidden="false" customHeight="false" outlineLevel="0" collapsed="false">
      <c r="A1192" s="0" t="str">
        <f aca="false">Chase1168_2025!A1192</f>
        <v>DEBIT</v>
      </c>
      <c r="B1192" s="14" t="n">
        <f aca="false">Chase1168_2025!B1192</f>
        <v>45784</v>
      </c>
      <c r="C1192" s="0" t="str">
        <f aca="false">Chase1168_2025!C1192</f>
        <v>Zelle payment to jeff Fajardo JPM99b7juffg</v>
      </c>
      <c r="D1192" s="7" t="n">
        <f aca="false">Chase1168_2025!D1192</f>
        <v>-2000</v>
      </c>
      <c r="E1192" s="0" t="str">
        <f aca="false">Chase1168_2025!E1192</f>
        <v>CHASE_TO_PARTNERFI</v>
      </c>
      <c r="F1192" s="7" t="n">
        <f aca="false">Chase1168_2025!F1192</f>
        <v>14486.02</v>
      </c>
      <c r="G1192" s="0" t="str">
        <f aca="false">Chase1168_2025!G1192</f>
        <v>Zelle - Jeff Fajardo</v>
      </c>
      <c r="H1192" s="15" t="n">
        <f aca="false">IF($B1192="","",DATE(YEAR($B1192),MONTH($B1192),1))</f>
        <v>45778</v>
      </c>
      <c r="I1192" s="0" t="str">
        <f aca="false">IF($G1192="","Uncategorized — Review",IFERROR(INDEX(Mapping!$B:$B,MATCH($G1192,Mapping!$A:$A,0)),"Uncategorized — Review"))</f>
        <v>Zelle - Jeff Fajardo</v>
      </c>
      <c r="J1192" s="0" t="str">
        <f aca="false">IF($G1192="","Uncategorized — Review",IFERROR(INDEX(Mapping!$C:$C,MATCH($G1192,Mapping!$A:$A,0)),"Uncategorized — Review"))</f>
        <v>P2P Payments (Zelle/Venmo/PayPal)</v>
      </c>
    </row>
    <row r="1193" customFormat="false" ht="15" hidden="false" customHeight="false" outlineLevel="0" collapsed="false">
      <c r="A1193" s="0" t="str">
        <f aca="false">Chase1168_2025!A1193</f>
        <v>CREDIT</v>
      </c>
      <c r="B1193" s="14" t="n">
        <f aca="false">Chase1168_2025!B1193</f>
        <v>45784</v>
      </c>
      <c r="C1193" s="0" t="str">
        <f aca="false">Chase1168_2025!C1193</f>
        <v>Online Transfer from CHK ...9335 transaction#: 24678752814</v>
      </c>
      <c r="D1193" s="7" t="n">
        <f aca="false">Chase1168_2025!D1193</f>
        <v>10000</v>
      </c>
      <c r="E1193" s="0" t="str">
        <f aca="false">Chase1168_2025!E1193</f>
        <v>ACCT_XFER</v>
      </c>
      <c r="F1193" s="7" t="n">
        <f aca="false">Chase1168_2025!F1193</f>
        <v>16486.02</v>
      </c>
      <c r="G1193" s="0" t="str">
        <f aca="false">Chase1168_2025!G1193</f>
        <v>Transfer From Poseidon Asset Group</v>
      </c>
      <c r="H1193" s="15" t="n">
        <f aca="false">IF($B1193="","",DATE(YEAR($B1193),MONTH($B1193),1))</f>
        <v>45778</v>
      </c>
      <c r="I1193" s="0" t="str">
        <f aca="false">IF($G1193="","Uncategorized — Review",IFERROR(INDEX(Mapping!$B:$B,MATCH($G1193,Mapping!$A:$A,0)),"Uncategorized — Review"))</f>
        <v>Transfer From Poseidon Asset Group</v>
      </c>
      <c r="J1193" s="0" t="str">
        <f aca="false">IF($G1193="","Uncategorized — Review",IFERROR(INDEX(Mapping!$C:$C,MATCH($G1193,Mapping!$A:$A,0)),"Uncategorized — Review"))</f>
        <v>Poseidon Asset Group</v>
      </c>
    </row>
    <row r="1194" customFormat="false" ht="15" hidden="false" customHeight="false" outlineLevel="0" collapsed="false">
      <c r="A1194" s="0" t="str">
        <f aca="false">Chase1168_2025!A1194</f>
        <v>DEBIT</v>
      </c>
      <c r="B1194" s="14" t="n">
        <f aca="false">Chase1168_2025!B1194</f>
        <v>45783</v>
      </c>
      <c r="C1194" s="0" t="str">
        <f aca="false">Chase1168_2025!C1194</f>
        <v>ORIG CO NAME:VENMO                  ORIG ID:3264681992 DESC DATE:250506 CO ENTRY DESCR:PAYMENT   SEC:WEB    TRACE#:021000027770744 EED:250506   IND ID:1042035672542                IND NAME:JUDD DUNNING                                                                                                 250506PPZ956 TRN: 1267770744TC</v>
      </c>
      <c r="D1194" s="7" t="n">
        <f aca="false">Chase1168_2025!D1194</f>
        <v>-400</v>
      </c>
      <c r="E1194" s="0" t="str">
        <f aca="false">Chase1168_2025!E1194</f>
        <v>ACH_DEBIT</v>
      </c>
      <c r="F1194" s="7" t="n">
        <f aca="false">Chase1168_2025!F1194</f>
        <v>6486.02</v>
      </c>
      <c r="G1194" s="0" t="str">
        <f aca="false">Chase1168_2025!G1194</f>
        <v>Venmo</v>
      </c>
      <c r="H1194" s="15" t="n">
        <f aca="false">IF($B1194="","",DATE(YEAR($B1194),MONTH($B1194),1))</f>
        <v>45778</v>
      </c>
      <c r="I1194" s="0" t="str">
        <f aca="false">IF($G1194="","Uncategorized — Review",IFERROR(INDEX(Mapping!$B:$B,MATCH($G1194,Mapping!$A:$A,0)),"Uncategorized — Review"))</f>
        <v>Venmo</v>
      </c>
      <c r="J1194" s="0" t="str">
        <f aca="false">IF($G1194="","Uncategorized — Review",IFERROR(INDEX(Mapping!$C:$C,MATCH($G1194,Mapping!$A:$A,0)),"Uncategorized — Review"))</f>
        <v>P2P Payments (Zelle/Venmo/PayPal)</v>
      </c>
    </row>
    <row r="1195" customFormat="false" ht="15" hidden="false" customHeight="false" outlineLevel="0" collapsed="false">
      <c r="A1195" s="0" t="str">
        <f aca="false">Chase1168_2025!A1195</f>
        <v>DEBIT</v>
      </c>
      <c r="B1195" s="14" t="n">
        <f aca="false">Chase1168_2025!B1195</f>
        <v>45783</v>
      </c>
      <c r="C1195" s="0" t="str">
        <f aca="false">Chase1168_2025!C1195</f>
        <v>INDEED USI25-02430178 AUSTIN TX      352662  05/06</v>
      </c>
      <c r="D1195" s="7" t="n">
        <f aca="false">Chase1168_2025!D1195</f>
        <v>-233.76</v>
      </c>
      <c r="E1195" s="0" t="str">
        <f aca="false">Chase1168_2025!E1195</f>
        <v>DEBIT_CARD</v>
      </c>
      <c r="F1195" s="7" t="n">
        <f aca="false">Chase1168_2025!F1195</f>
        <v>6886.02</v>
      </c>
      <c r="G1195" s="0" t="str">
        <f aca="false">Chase1168_2025!G1195</f>
        <v>DWG HR</v>
      </c>
      <c r="H1195" s="15" t="n">
        <f aca="false">IF($B1195="","",DATE(YEAR($B1195),MONTH($B1195),1))</f>
        <v>45778</v>
      </c>
      <c r="I1195" s="0" t="str">
        <f aca="false">IF($G1195="","Uncategorized — Review",IFERROR(INDEX(Mapping!$B:$B,MATCH($G1195,Mapping!$A:$A,0)),"Uncategorized — Review"))</f>
        <v>DWG HR</v>
      </c>
      <c r="J1195" s="0" t="str">
        <f aca="false">IF($G1195="","Uncategorized — Review",IFERROR(INDEX(Mapping!$C:$C,MATCH($G1195,Mapping!$A:$A,0)),"Uncategorized — Review"))</f>
        <v>Payroll &amp; Contractors</v>
      </c>
    </row>
    <row r="1196" customFormat="false" ht="15" hidden="false" customHeight="false" outlineLevel="0" collapsed="false">
      <c r="A1196" s="0" t="str">
        <f aca="false">Chase1168_2025!A1196</f>
        <v>DEBIT</v>
      </c>
      <c r="B1196" s="14" t="n">
        <f aca="false">Chase1168_2025!B1196</f>
        <v>45783</v>
      </c>
      <c r="C1196" s="0" t="str">
        <f aca="false">Chase1168_2025!C1196</f>
        <v>UPWORK * -805403240 866-262-4478 CA          05/05</v>
      </c>
      <c r="D1196" s="7" t="n">
        <f aca="false">Chase1168_2025!D1196</f>
        <v>-87.5</v>
      </c>
      <c r="E1196" s="0" t="str">
        <f aca="false">Chase1168_2025!E1196</f>
        <v>DEBIT_CARD</v>
      </c>
      <c r="F1196" s="7" t="n">
        <f aca="false">Chase1168_2025!F1196</f>
        <v>7119.78</v>
      </c>
      <c r="G1196" s="0" t="str">
        <f aca="false">Chase1168_2025!G1196</f>
        <v>Upwork - Sergei M.</v>
      </c>
      <c r="H1196" s="15" t="n">
        <f aca="false">IF($B1196="","",DATE(YEAR($B1196),MONTH($B1196),1))</f>
        <v>45778</v>
      </c>
      <c r="I1196" s="0" t="str">
        <f aca="false">IF($G1196="","Uncategorized — Review",IFERROR(INDEX(Mapping!$B:$B,MATCH($G1196,Mapping!$A:$A,0)),"Uncategorized — Review"))</f>
        <v>Upwork - Sergei M.</v>
      </c>
      <c r="J1196" s="0" t="str">
        <f aca="false">IF($G1196="","Uncategorized — Review",IFERROR(INDEX(Mapping!$C:$C,MATCH($G1196,Mapping!$A:$A,0)),"Uncategorized — Review"))</f>
        <v>Payroll &amp; Contractors</v>
      </c>
    </row>
    <row r="1197" customFormat="false" ht="15" hidden="false" customHeight="false" outlineLevel="0" collapsed="false">
      <c r="A1197" s="0" t="str">
        <f aca="false">Chase1168_2025!A1197</f>
        <v>DEBIT</v>
      </c>
      <c r="B1197" s="14" t="n">
        <f aca="false">Chase1168_2025!B1197</f>
        <v>45782</v>
      </c>
      <c r="C1197" s="0" t="str">
        <f aca="false">Chase1168_2025!C1197</f>
        <v>ORIG CO NAME:VENMO                  ORIG ID:3264681992 DESC DATE:250505 CO ENTRY DESCR:PAYMENT   SEC:WEB    TRACE#:021000025824473 EED:250505   IND ID:1042016297953                IND NAME:JUDD DUNNING                                                                                                 250505PPZZY7 TRN: 1255824473TC</v>
      </c>
      <c r="D1197" s="7" t="n">
        <f aca="false">Chase1168_2025!D1197</f>
        <v>-150</v>
      </c>
      <c r="E1197" s="0" t="str">
        <f aca="false">Chase1168_2025!E1197</f>
        <v>ACH_DEBIT</v>
      </c>
      <c r="F1197" s="7" t="n">
        <f aca="false">Chase1168_2025!F1197</f>
        <v>7207.28</v>
      </c>
      <c r="G1197" s="0" t="str">
        <f aca="false">Chase1168_2025!G1197</f>
        <v>Venmo</v>
      </c>
      <c r="H1197" s="15" t="n">
        <f aca="false">IF($B1197="","",DATE(YEAR($B1197),MONTH($B1197),1))</f>
        <v>45778</v>
      </c>
      <c r="I1197" s="0" t="str">
        <f aca="false">IF($G1197="","Uncategorized — Review",IFERROR(INDEX(Mapping!$B:$B,MATCH($G1197,Mapping!$A:$A,0)),"Uncategorized — Review"))</f>
        <v>Venmo</v>
      </c>
      <c r="J1197" s="0" t="str">
        <f aca="false">IF($G1197="","Uncategorized — Review",IFERROR(INDEX(Mapping!$C:$C,MATCH($G1197,Mapping!$A:$A,0)),"Uncategorized — Review"))</f>
        <v>P2P Payments (Zelle/Venmo/PayPal)</v>
      </c>
    </row>
    <row r="1198" customFormat="false" ht="15" hidden="false" customHeight="false" outlineLevel="0" collapsed="false">
      <c r="A1198" s="0" t="str">
        <f aca="false">Chase1168_2025!A1198</f>
        <v>DEBIT</v>
      </c>
      <c r="B1198" s="14" t="n">
        <f aca="false">Chase1168_2025!B1198</f>
        <v>45782</v>
      </c>
      <c r="C1198" s="0" t="str">
        <f aca="false">Chase1168_2025!C1198</f>
        <v>ORIG CO NAME:VENMO                  ORIG ID:3264681992 DESC DATE:250504 CO ENTRY DESCR:PAYMENT   SEC:WEB    TRACE#:021000026604907 EED:250505   IND ID:1041966056524                IND NAME:JUDD DUNNING                                                                                                 250504PPZRSG TRN: 1256604907TC</v>
      </c>
      <c r="D1198" s="7" t="n">
        <f aca="false">Chase1168_2025!D1198</f>
        <v>-1000</v>
      </c>
      <c r="E1198" s="0" t="str">
        <f aca="false">Chase1168_2025!E1198</f>
        <v>ACH_DEBIT</v>
      </c>
      <c r="F1198" s="7" t="n">
        <f aca="false">Chase1168_2025!F1198</f>
        <v>7357.28</v>
      </c>
      <c r="G1198" s="0" t="str">
        <f aca="false">Chase1168_2025!G1198</f>
        <v>Venmo</v>
      </c>
      <c r="H1198" s="15" t="n">
        <f aca="false">IF($B1198="","",DATE(YEAR($B1198),MONTH($B1198),1))</f>
        <v>45778</v>
      </c>
      <c r="I1198" s="0" t="str">
        <f aca="false">IF($G1198="","Uncategorized — Review",IFERROR(INDEX(Mapping!$B:$B,MATCH($G1198,Mapping!$A:$A,0)),"Uncategorized — Review"))</f>
        <v>Venmo</v>
      </c>
      <c r="J1198" s="0" t="str">
        <f aca="false">IF($G1198="","Uncategorized — Review",IFERROR(INDEX(Mapping!$C:$C,MATCH($G1198,Mapping!$A:$A,0)),"Uncategorized — Review"))</f>
        <v>P2P Payments (Zelle/Venmo/PayPal)</v>
      </c>
    </row>
    <row r="1199" customFormat="false" ht="15" hidden="false" customHeight="false" outlineLevel="0" collapsed="false">
      <c r="A1199" s="0" t="str">
        <f aca="false">Chase1168_2025!A1199</f>
        <v>DEBIT</v>
      </c>
      <c r="B1199" s="14" t="n">
        <f aca="false">Chase1168_2025!B1199</f>
        <v>45782</v>
      </c>
      <c r="C1199" s="0" t="str">
        <f aca="false">Chase1168_2025!C1199</f>
        <v>PP*APPLE.COM/BILL 800-275-2273 CA            05/04</v>
      </c>
      <c r="D1199" s="7" t="n">
        <f aca="false">Chase1168_2025!D1199</f>
        <v>-8.99</v>
      </c>
      <c r="E1199" s="0" t="str">
        <f aca="false">Chase1168_2025!E1199</f>
        <v>DEBIT_CARD</v>
      </c>
      <c r="F1199" s="7" t="n">
        <f aca="false">Chase1168_2025!F1199</f>
        <v>8357.28</v>
      </c>
      <c r="G1199" s="0" t="str">
        <f aca="false">Chase1168_2025!G1199</f>
        <v>Personal - Subscriptions</v>
      </c>
      <c r="H1199" s="15" t="n">
        <f aca="false">IF($B1199="","",DATE(YEAR($B1199),MONTH($B1199),1))</f>
        <v>45778</v>
      </c>
      <c r="I1199" s="0" t="str">
        <f aca="false">IF($G1199="","Uncategorized — Review",IFERROR(INDEX(Mapping!$B:$B,MATCH($G1199,Mapping!$A:$A,0)),"Uncategorized — Review"))</f>
        <v>Personal - Subscriptions</v>
      </c>
      <c r="J1199" s="0" t="str">
        <f aca="false">IF($G1199="","Uncategorized — Review",IFERROR(INDEX(Mapping!$C:$C,MATCH($G1199,Mapping!$A:$A,0)),"Uncategorized — Review"))</f>
        <v>Personal — Owner</v>
      </c>
    </row>
    <row r="1200" customFormat="false" ht="15" hidden="false" customHeight="false" outlineLevel="0" collapsed="false">
      <c r="A1200" s="0" t="str">
        <f aca="false">Chase1168_2025!A1200</f>
        <v>DEBIT</v>
      </c>
      <c r="B1200" s="14" t="n">
        <f aca="false">Chase1168_2025!B1200</f>
        <v>45782</v>
      </c>
      <c r="C1200" s="0" t="str">
        <f aca="false">Chase1168_2025!C1200</f>
        <v>Zelle payment to Jeff D. Farjardo JPM99b769jcy</v>
      </c>
      <c r="D1200" s="7" t="n">
        <f aca="false">Chase1168_2025!D1200</f>
        <v>-5000</v>
      </c>
      <c r="E1200" s="0" t="str">
        <f aca="false">Chase1168_2025!E1200</f>
        <v>CHASE_TO_PARTNERFI</v>
      </c>
      <c r="F1200" s="7" t="n">
        <f aca="false">Chase1168_2025!F1200</f>
        <v>8366.27</v>
      </c>
      <c r="G1200" s="0" t="str">
        <f aca="false">Chase1168_2025!G1200</f>
        <v>Zelle - Jeff Fajardo</v>
      </c>
      <c r="H1200" s="15" t="n">
        <f aca="false">IF($B1200="","",DATE(YEAR($B1200),MONTH($B1200),1))</f>
        <v>45778</v>
      </c>
      <c r="I1200" s="0" t="str">
        <f aca="false">IF($G1200="","Uncategorized — Review",IFERROR(INDEX(Mapping!$B:$B,MATCH($G1200,Mapping!$A:$A,0)),"Uncategorized — Review"))</f>
        <v>Zelle - Jeff Fajardo</v>
      </c>
      <c r="J1200" s="0" t="str">
        <f aca="false">IF($G1200="","Uncategorized — Review",IFERROR(INDEX(Mapping!$C:$C,MATCH($G1200,Mapping!$A:$A,0)),"Uncategorized — Review"))</f>
        <v>P2P Payments (Zelle/Venmo/PayPal)</v>
      </c>
    </row>
    <row r="1201" customFormat="false" ht="15" hidden="false" customHeight="false" outlineLevel="0" collapsed="false">
      <c r="A1201" s="0" t="str">
        <f aca="false">Chase1168_2025!A1201</f>
        <v>DEBIT</v>
      </c>
      <c r="B1201" s="14" t="n">
        <f aca="false">Chase1168_2025!B1201</f>
        <v>45782</v>
      </c>
      <c r="C1201" s="0" t="str">
        <f aca="false">Chase1168_2025!C1201</f>
        <v>Online Transfer to CHK ...0709 transaction#: 24643016680 05/05</v>
      </c>
      <c r="D1201" s="7" t="n">
        <f aca="false">Chase1168_2025!D1201</f>
        <v>-300</v>
      </c>
      <c r="E1201" s="0" t="str">
        <f aca="false">Chase1168_2025!E1201</f>
        <v>ACCT_XFER</v>
      </c>
      <c r="F1201" s="7" t="n">
        <f aca="false">Chase1168_2025!F1201</f>
        <v>13366.27</v>
      </c>
      <c r="G1201" s="0" t="str">
        <f aca="false">Chase1168_2025!G1201</f>
        <v>Transfer to DWG Capital Group_Savings</v>
      </c>
      <c r="H1201" s="15" t="n">
        <f aca="false">IF($B1201="","",DATE(YEAR($B1201),MONTH($B1201),1))</f>
        <v>45778</v>
      </c>
      <c r="I1201" s="0" t="str">
        <f aca="false">IF($G1201="","Uncategorized — Review",IFERROR(INDEX(Mapping!$B:$B,MATCH($G1201,Mapping!$A:$A,0)),"Uncategorized — Review"))</f>
        <v>Transfer to DWG Savings</v>
      </c>
      <c r="J1201" s="0" t="str">
        <f aca="false">IF($G1201="","Uncategorized — Review",IFERROR(INDEX(Mapping!$C:$C,MATCH($G1201,Mapping!$A:$A,0)),"Uncategorized — Review"))</f>
        <v>Intercompany &amp; Savings Transfers</v>
      </c>
    </row>
    <row r="1202" customFormat="false" ht="15" hidden="false" customHeight="false" outlineLevel="0" collapsed="false">
      <c r="A1202" s="0" t="str">
        <f aca="false">Chase1168_2025!A1202</f>
        <v>DEBIT</v>
      </c>
      <c r="B1202" s="14" t="n">
        <f aca="false">Chase1168_2025!B1202</f>
        <v>45782</v>
      </c>
      <c r="C1202" s="0" t="str">
        <f aca="false">Chase1168_2025!C1202</f>
        <v>PAYPAL *SANDYPR COM 402-935-7733 CA          05/03</v>
      </c>
      <c r="D1202" s="7" t="n">
        <f aca="false">Chase1168_2025!D1202</f>
        <v>-300</v>
      </c>
      <c r="E1202" s="0" t="str">
        <f aca="false">Chase1168_2025!E1202</f>
        <v>DEBIT_CARD</v>
      </c>
      <c r="F1202" s="7" t="n">
        <f aca="false">Chase1168_2025!F1202</f>
        <v>13666.27</v>
      </c>
      <c r="G1202" s="0" t="str">
        <f aca="false">Chase1168_2025!G1202</f>
        <v>Sandy PR Payment</v>
      </c>
      <c r="H1202" s="15" t="n">
        <f aca="false">IF($B1202="","",DATE(YEAR($B1202),MONTH($B1202),1))</f>
        <v>45778</v>
      </c>
      <c r="I1202" s="0" t="str">
        <f aca="false">IF($G1202="","Uncategorized — Review",IFERROR(INDEX(Mapping!$B:$B,MATCH($G1202,Mapping!$A:$A,0)),"Uncategorized — Review"))</f>
        <v>Sandy PR Payment</v>
      </c>
      <c r="J1202" s="0" t="str">
        <f aca="false">IF($G1202="","Uncategorized — Review",IFERROR(INDEX(Mapping!$C:$C,MATCH($G1202,Mapping!$A:$A,0)),"Uncategorized — Review"))</f>
        <v>DWG Operating</v>
      </c>
    </row>
    <row r="1203" customFormat="false" ht="15" hidden="false" customHeight="false" outlineLevel="0" collapsed="false">
      <c r="A1203" s="0" t="str">
        <f aca="false">Chase1168_2025!A1203</f>
        <v>DEBIT</v>
      </c>
      <c r="B1203" s="14" t="n">
        <f aca="false">Chase1168_2025!B1203</f>
        <v>45782</v>
      </c>
      <c r="C1203" s="0" t="str">
        <f aca="false">Chase1168_2025!C1203</f>
        <v>PP*APPLE.COM/BILL 800-275-2273 CA            05/03</v>
      </c>
      <c r="D1203" s="7" t="n">
        <f aca="false">Chase1168_2025!D1203</f>
        <v>-29.99</v>
      </c>
      <c r="E1203" s="0" t="str">
        <f aca="false">Chase1168_2025!E1203</f>
        <v>DEBIT_CARD</v>
      </c>
      <c r="F1203" s="7" t="n">
        <f aca="false">Chase1168_2025!F1203</f>
        <v>13966.27</v>
      </c>
      <c r="G1203" s="0" t="str">
        <f aca="false">Chase1168_2025!G1203</f>
        <v>Personal - Subscriptions</v>
      </c>
      <c r="H1203" s="15" t="n">
        <f aca="false">IF($B1203="","",DATE(YEAR($B1203),MONTH($B1203),1))</f>
        <v>45778</v>
      </c>
      <c r="I1203" s="0" t="str">
        <f aca="false">IF($G1203="","Uncategorized — Review",IFERROR(INDEX(Mapping!$B:$B,MATCH($G1203,Mapping!$A:$A,0)),"Uncategorized — Review"))</f>
        <v>Personal - Subscriptions</v>
      </c>
      <c r="J1203" s="0" t="str">
        <f aca="false">IF($G1203="","Uncategorized — Review",IFERROR(INDEX(Mapping!$C:$C,MATCH($G1203,Mapping!$A:$A,0)),"Uncategorized — Review"))</f>
        <v>Personal — Owner</v>
      </c>
    </row>
    <row r="1204" customFormat="false" ht="15" hidden="false" customHeight="false" outlineLevel="0" collapsed="false">
      <c r="A1204" s="0" t="str">
        <f aca="false">Chase1168_2025!A1204</f>
        <v>DEBIT</v>
      </c>
      <c r="B1204" s="14" t="n">
        <f aca="false">Chase1168_2025!B1204</f>
        <v>45782</v>
      </c>
      <c r="C1204" s="0" t="str">
        <f aca="false">Chase1168_2025!C1204</f>
        <v>PAYPAL *PRAGERUNIVE P 833-772-4378 CA        05/03</v>
      </c>
      <c r="D1204" s="7" t="n">
        <f aca="false">Chase1168_2025!D1204</f>
        <v>-10.78</v>
      </c>
      <c r="E1204" s="0" t="str">
        <f aca="false">Chase1168_2025!E1204</f>
        <v>DEBIT_CARD</v>
      </c>
      <c r="F1204" s="7" t="n">
        <f aca="false">Chase1168_2025!F1204</f>
        <v>13996.26</v>
      </c>
      <c r="G1204" s="0" t="str">
        <f aca="false">Chase1168_2025!G1204</f>
        <v>DWGCP Business Development</v>
      </c>
      <c r="H1204" s="15" t="n">
        <f aca="false">IF($B1204="","",DATE(YEAR($B1204),MONTH($B1204),1))</f>
        <v>45778</v>
      </c>
      <c r="I1204" s="0" t="str">
        <f aca="false">IF($G1204="","Uncategorized — Review",IFERROR(INDEX(Mapping!$B:$B,MATCH($G1204,Mapping!$A:$A,0)),"Uncategorized — Review"))</f>
        <v>DWGCP Business Development</v>
      </c>
      <c r="J1204" s="0" t="str">
        <f aca="false">IF($G1204="","Uncategorized — Review",IFERROR(INDEX(Mapping!$C:$C,MATCH($G1204,Mapping!$A:$A,0)),"Uncategorized — Review"))</f>
        <v>DWG Operating</v>
      </c>
    </row>
    <row r="1205" customFormat="false" ht="15" hidden="false" customHeight="false" outlineLevel="0" collapsed="false">
      <c r="A1205" s="0" t="str">
        <f aca="false">Chase1168_2025!A1205</f>
        <v>DEBIT</v>
      </c>
      <c r="B1205" s="14" t="n">
        <f aca="false">Chase1168_2025!B1205</f>
        <v>45782</v>
      </c>
      <c r="C1205" s="0" t="str">
        <f aca="false">Chase1168_2025!C1205</f>
        <v>PP*APPLE.COM/BILL 800-275-2273 CA            05/03</v>
      </c>
      <c r="D1205" s="7" t="n">
        <f aca="false">Chase1168_2025!D1205</f>
        <v>-3.99</v>
      </c>
      <c r="E1205" s="0" t="str">
        <f aca="false">Chase1168_2025!E1205</f>
        <v>DEBIT_CARD</v>
      </c>
      <c r="F1205" s="7" t="n">
        <f aca="false">Chase1168_2025!F1205</f>
        <v>14007.04</v>
      </c>
      <c r="G1205" s="0" t="str">
        <f aca="false">Chase1168_2025!G1205</f>
        <v>Personal - Subscriptions</v>
      </c>
      <c r="H1205" s="15" t="n">
        <f aca="false">IF($B1205="","",DATE(YEAR($B1205),MONTH($B1205),1))</f>
        <v>45778</v>
      </c>
      <c r="I1205" s="0" t="str">
        <f aca="false">IF($G1205="","Uncategorized — Review",IFERROR(INDEX(Mapping!$B:$B,MATCH($G1205,Mapping!$A:$A,0)),"Uncategorized — Review"))</f>
        <v>Personal - Subscriptions</v>
      </c>
      <c r="J1205" s="0" t="str">
        <f aca="false">IF($G1205="","Uncategorized — Review",IFERROR(INDEX(Mapping!$C:$C,MATCH($G1205,Mapping!$A:$A,0)),"Uncategorized — Review"))</f>
        <v>Personal — Owner</v>
      </c>
    </row>
    <row r="1206" customFormat="false" ht="15" hidden="false" customHeight="false" outlineLevel="0" collapsed="false">
      <c r="A1206" s="0" t="str">
        <f aca="false">Chase1168_2025!A1206</f>
        <v>DEBIT</v>
      </c>
      <c r="B1206" s="14" t="n">
        <f aca="false">Chase1168_2025!B1206</f>
        <v>45782</v>
      </c>
      <c r="C1206" s="0" t="str">
        <f aca="false">Chase1168_2025!C1206</f>
        <v>PP*APPLE.COM/BILL 800-275-2273 CA            05/03</v>
      </c>
      <c r="D1206" s="7" t="n">
        <f aca="false">Chase1168_2025!D1206</f>
        <v>-12.99</v>
      </c>
      <c r="E1206" s="0" t="str">
        <f aca="false">Chase1168_2025!E1206</f>
        <v>DEBIT_CARD</v>
      </c>
      <c r="F1206" s="7" t="n">
        <f aca="false">Chase1168_2025!F1206</f>
        <v>14011.03</v>
      </c>
      <c r="G1206" s="0" t="str">
        <f aca="false">Chase1168_2025!G1206</f>
        <v>Personal - Subscriptions</v>
      </c>
      <c r="H1206" s="15" t="n">
        <f aca="false">IF($B1206="","",DATE(YEAR($B1206),MONTH($B1206),1))</f>
        <v>45778</v>
      </c>
      <c r="I1206" s="0" t="str">
        <f aca="false">IF($G1206="","Uncategorized — Review",IFERROR(INDEX(Mapping!$B:$B,MATCH($G1206,Mapping!$A:$A,0)),"Uncategorized — Review"))</f>
        <v>Personal - Subscriptions</v>
      </c>
      <c r="J1206" s="0" t="str">
        <f aca="false">IF($G1206="","Uncategorized — Review",IFERROR(INDEX(Mapping!$C:$C,MATCH($G1206,Mapping!$A:$A,0)),"Uncategorized — Review"))</f>
        <v>Personal — Owner</v>
      </c>
    </row>
    <row r="1207" customFormat="false" ht="15" hidden="false" customHeight="false" outlineLevel="0" collapsed="false">
      <c r="A1207" s="0" t="str">
        <f aca="false">Chase1168_2025!A1207</f>
        <v>DEBIT</v>
      </c>
      <c r="B1207" s="14" t="n">
        <f aca="false">Chase1168_2025!B1207</f>
        <v>45782</v>
      </c>
      <c r="C1207" s="0" t="str">
        <f aca="false">Chase1168_2025!C1207</f>
        <v>PAYPAL *DIRECTV 800-531-5000 TX              05/03</v>
      </c>
      <c r="D1207" s="7" t="n">
        <f aca="false">Chase1168_2025!D1207</f>
        <v>-101.99</v>
      </c>
      <c r="E1207" s="0" t="str">
        <f aca="false">Chase1168_2025!E1207</f>
        <v>DEBIT_CARD</v>
      </c>
      <c r="F1207" s="7" t="n">
        <f aca="false">Chase1168_2025!F1207</f>
        <v>14024.02</v>
      </c>
      <c r="G1207" s="0" t="str">
        <f aca="false">Chase1168_2025!G1207</f>
        <v>Personal - Subscriptions</v>
      </c>
      <c r="H1207" s="15" t="n">
        <f aca="false">IF($B1207="","",DATE(YEAR($B1207),MONTH($B1207),1))</f>
        <v>45778</v>
      </c>
      <c r="I1207" s="0" t="str">
        <f aca="false">IF($G1207="","Uncategorized — Review",IFERROR(INDEX(Mapping!$B:$B,MATCH($G1207,Mapping!$A:$A,0)),"Uncategorized — Review"))</f>
        <v>Personal - Subscriptions</v>
      </c>
      <c r="J1207" s="0" t="str">
        <f aca="false">IF($G1207="","Uncategorized — Review",IFERROR(INDEX(Mapping!$C:$C,MATCH($G1207,Mapping!$A:$A,0)),"Uncategorized — Review"))</f>
        <v>Personal — Owner</v>
      </c>
    </row>
    <row r="1208" customFormat="false" ht="15" hidden="false" customHeight="false" outlineLevel="0" collapsed="false">
      <c r="A1208" s="0" t="str">
        <f aca="false">Chase1168_2025!A1208</f>
        <v>DEBIT</v>
      </c>
      <c r="B1208" s="14" t="n">
        <f aca="false">Chase1168_2025!B1208</f>
        <v>45779</v>
      </c>
      <c r="C1208" s="0" t="str">
        <f aca="false">Chase1168_2025!C1208</f>
        <v>PAYPAL *UBER 866-576-1039 CA                 05/02</v>
      </c>
      <c r="D1208" s="7" t="n">
        <f aca="false">Chase1168_2025!D1208</f>
        <v>-84.69</v>
      </c>
      <c r="E1208" s="0" t="str">
        <f aca="false">Chase1168_2025!E1208</f>
        <v>DEBIT_CARD</v>
      </c>
      <c r="F1208" s="7" t="n">
        <f aca="false">Chase1168_2025!F1208</f>
        <v>14126.01</v>
      </c>
      <c r="G1208" s="0" t="str">
        <f aca="false">Chase1168_2025!G1208</f>
        <v>Personal - Car</v>
      </c>
      <c r="H1208" s="15" t="n">
        <f aca="false">IF($B1208="","",DATE(YEAR($B1208),MONTH($B1208),1))</f>
        <v>45778</v>
      </c>
      <c r="I1208" s="0" t="str">
        <f aca="false">IF($G1208="","Uncategorized — Review",IFERROR(INDEX(Mapping!$B:$B,MATCH($G1208,Mapping!$A:$A,0)),"Uncategorized — Review"))</f>
        <v>Personal - Car &amp; Auto</v>
      </c>
      <c r="J1208" s="0" t="str">
        <f aca="false">IF($G1208="","Uncategorized — Review",IFERROR(INDEX(Mapping!$C:$C,MATCH($G1208,Mapping!$A:$A,0)),"Uncategorized — Review"))</f>
        <v>Personal — Owner</v>
      </c>
    </row>
    <row r="1209" customFormat="false" ht="15" hidden="false" customHeight="false" outlineLevel="0" collapsed="false">
      <c r="A1209" s="0" t="str">
        <f aca="false">Chase1168_2025!A1209</f>
        <v>DEBIT</v>
      </c>
      <c r="B1209" s="14" t="n">
        <f aca="false">Chase1168_2025!B1209</f>
        <v>45779</v>
      </c>
      <c r="C1209" s="0" t="str">
        <f aca="false">Chase1168_2025!C1209</f>
        <v>PAYPAL *UBER 866-576-1039 CA                 05/02</v>
      </c>
      <c r="D1209" s="7" t="n">
        <f aca="false">Chase1168_2025!D1209</f>
        <v>-12.85</v>
      </c>
      <c r="E1209" s="0" t="str">
        <f aca="false">Chase1168_2025!E1209</f>
        <v>DEBIT_CARD</v>
      </c>
      <c r="F1209" s="7" t="n">
        <f aca="false">Chase1168_2025!F1209</f>
        <v>14210.7</v>
      </c>
      <c r="G1209" s="0" t="str">
        <f aca="false">Chase1168_2025!G1209</f>
        <v>Personal - Car</v>
      </c>
      <c r="H1209" s="15" t="n">
        <f aca="false">IF($B1209="","",DATE(YEAR($B1209),MONTH($B1209),1))</f>
        <v>45778</v>
      </c>
      <c r="I1209" s="0" t="str">
        <f aca="false">IF($G1209="","Uncategorized — Review",IFERROR(INDEX(Mapping!$B:$B,MATCH($G1209,Mapping!$A:$A,0)),"Uncategorized — Review"))</f>
        <v>Personal - Car &amp; Auto</v>
      </c>
      <c r="J1209" s="0" t="str">
        <f aca="false">IF($G1209="","Uncategorized — Review",IFERROR(INDEX(Mapping!$C:$C,MATCH($G1209,Mapping!$A:$A,0)),"Uncategorized — Review"))</f>
        <v>Personal — Owner</v>
      </c>
    </row>
    <row r="1210" customFormat="false" ht="15" hidden="false" customHeight="false" outlineLevel="0" collapsed="false">
      <c r="A1210" s="0" t="str">
        <f aca="false">Chase1168_2025!A1210</f>
        <v>DEBIT</v>
      </c>
      <c r="B1210" s="14" t="n">
        <f aca="false">Chase1168_2025!B1210</f>
        <v>45779</v>
      </c>
      <c r="C1210" s="0" t="str">
        <f aca="false">Chase1168_2025!C1210</f>
        <v>TRADER JOE S #119 WEST LOS ANGE CA           05/01</v>
      </c>
      <c r="D1210" s="7" t="n">
        <f aca="false">Chase1168_2025!D1210</f>
        <v>-80.89</v>
      </c>
      <c r="E1210" s="0" t="str">
        <f aca="false">Chase1168_2025!E1210</f>
        <v>DEBIT_CARD</v>
      </c>
      <c r="F1210" s="7" t="n">
        <f aca="false">Chase1168_2025!F1210</f>
        <v>14223.55</v>
      </c>
      <c r="G1210" s="0" t="str">
        <f aca="false">Chase1168_2025!G1210</f>
        <v>Personal - Food</v>
      </c>
      <c r="H1210" s="15" t="n">
        <f aca="false">IF($B1210="","",DATE(YEAR($B1210),MONTH($B1210),1))</f>
        <v>45778</v>
      </c>
      <c r="I1210" s="0" t="str">
        <f aca="false">IF($G1210="","Uncategorized — Review",IFERROR(INDEX(Mapping!$B:$B,MATCH($G1210,Mapping!$A:$A,0)),"Uncategorized — Review"))</f>
        <v>Personal - Food &amp; Dining</v>
      </c>
      <c r="J1210" s="0" t="str">
        <f aca="false">IF($G1210="","Uncategorized — Review",IFERROR(INDEX(Mapping!$C:$C,MATCH($G1210,Mapping!$A:$A,0)),"Uncategorized — Review"))</f>
        <v>Personal — Owner</v>
      </c>
    </row>
    <row r="1211" customFormat="false" ht="15" hidden="false" customHeight="false" outlineLevel="0" collapsed="false">
      <c r="A1211" s="0" t="str">
        <f aca="false">Chase1168_2025!A1211</f>
        <v>DEBIT</v>
      </c>
      <c r="B1211" s="14" t="n">
        <f aca="false">Chase1168_2025!B1211</f>
        <v>45779</v>
      </c>
      <c r="C1211" s="0" t="str">
        <f aca="false">Chase1168_2025!C1211</f>
        <v>PP*APPLE.COM/BILL 800-275-2273 CA            05/02</v>
      </c>
      <c r="D1211" s="7" t="n">
        <f aca="false">Chase1168_2025!D1211</f>
        <v>-15.99</v>
      </c>
      <c r="E1211" s="0" t="str">
        <f aca="false">Chase1168_2025!E1211</f>
        <v>DEBIT_CARD</v>
      </c>
      <c r="F1211" s="7" t="n">
        <f aca="false">Chase1168_2025!F1211</f>
        <v>14304.44</v>
      </c>
      <c r="G1211" s="0" t="str">
        <f aca="false">Chase1168_2025!G1211</f>
        <v>Personal - Subscriptions</v>
      </c>
      <c r="H1211" s="15" t="n">
        <f aca="false">IF($B1211="","",DATE(YEAR($B1211),MONTH($B1211),1))</f>
        <v>45778</v>
      </c>
      <c r="I1211" s="0" t="str">
        <f aca="false">IF($G1211="","Uncategorized — Review",IFERROR(INDEX(Mapping!$B:$B,MATCH($G1211,Mapping!$A:$A,0)),"Uncategorized — Review"))</f>
        <v>Personal - Subscriptions</v>
      </c>
      <c r="J1211" s="0" t="str">
        <f aca="false">IF($G1211="","Uncategorized — Review",IFERROR(INDEX(Mapping!$C:$C,MATCH($G1211,Mapping!$A:$A,0)),"Uncategorized — Review"))</f>
        <v>Personal — Owner</v>
      </c>
    </row>
    <row r="1212" customFormat="false" ht="15" hidden="false" customHeight="false" outlineLevel="0" collapsed="false">
      <c r="A1212" s="0" t="str">
        <f aca="false">Chase1168_2025!A1212</f>
        <v>DEBIT</v>
      </c>
      <c r="B1212" s="14" t="n">
        <f aca="false">Chase1168_2025!B1212</f>
        <v>45779</v>
      </c>
      <c r="C1212" s="0" t="str">
        <f aca="false">Chase1168_2025!C1212</f>
        <v>PAYPAL *GOOGLE LLC GO 650-253-0000 CA        05/01</v>
      </c>
      <c r="D1212" s="7" t="n">
        <f aca="false">Chase1168_2025!D1212</f>
        <v>-14.4</v>
      </c>
      <c r="E1212" s="0" t="str">
        <f aca="false">Chase1168_2025!E1212</f>
        <v>DEBIT_CARD</v>
      </c>
      <c r="F1212" s="7" t="n">
        <f aca="false">Chase1168_2025!F1212</f>
        <v>14320.43</v>
      </c>
      <c r="G1212" s="0" t="str">
        <f aca="false">Chase1168_2025!G1212</f>
        <v>Personal - Subscriptions</v>
      </c>
      <c r="H1212" s="15" t="n">
        <f aca="false">IF($B1212="","",DATE(YEAR($B1212),MONTH($B1212),1))</f>
        <v>45778</v>
      </c>
      <c r="I1212" s="0" t="str">
        <f aca="false">IF($G1212="","Uncategorized — Review",IFERROR(INDEX(Mapping!$B:$B,MATCH($G1212,Mapping!$A:$A,0)),"Uncategorized — Review"))</f>
        <v>Personal - Subscriptions</v>
      </c>
      <c r="J1212" s="0" t="str">
        <f aca="false">IF($G1212="","Uncategorized — Review",IFERROR(INDEX(Mapping!$C:$C,MATCH($G1212,Mapping!$A:$A,0)),"Uncategorized — Review"))</f>
        <v>Personal — Owner</v>
      </c>
    </row>
    <row r="1213" customFormat="false" ht="15" hidden="false" customHeight="false" outlineLevel="0" collapsed="false">
      <c r="A1213" s="0" t="str">
        <f aca="false">Chase1168_2025!A1213</f>
        <v>DEBIT</v>
      </c>
      <c r="B1213" s="14" t="n">
        <f aca="false">Chase1168_2025!B1213</f>
        <v>45779</v>
      </c>
      <c r="C1213" s="0" t="str">
        <f aca="false">Chase1168_2025!C1213</f>
        <v>PAYPAL *HULU 877-801-5441 CA                 05/01</v>
      </c>
      <c r="D1213" s="7" t="n">
        <f aca="false">Chase1168_2025!D1213</f>
        <v>-18.99</v>
      </c>
      <c r="E1213" s="0" t="str">
        <f aca="false">Chase1168_2025!E1213</f>
        <v>DEBIT_CARD</v>
      </c>
      <c r="F1213" s="7" t="n">
        <f aca="false">Chase1168_2025!F1213</f>
        <v>14334.83</v>
      </c>
      <c r="G1213" s="0" t="str">
        <f aca="false">Chase1168_2025!G1213</f>
        <v>Personal - Subscriptions</v>
      </c>
      <c r="H1213" s="15" t="n">
        <f aca="false">IF($B1213="","",DATE(YEAR($B1213),MONTH($B1213),1))</f>
        <v>45778</v>
      </c>
      <c r="I1213" s="0" t="str">
        <f aca="false">IF($G1213="","Uncategorized — Review",IFERROR(INDEX(Mapping!$B:$B,MATCH($G1213,Mapping!$A:$A,0)),"Uncategorized — Review"))</f>
        <v>Personal - Subscriptions</v>
      </c>
      <c r="J1213" s="0" t="str">
        <f aca="false">IF($G1213="","Uncategorized — Review",IFERROR(INDEX(Mapping!$C:$C,MATCH($G1213,Mapping!$A:$A,0)),"Uncategorized — Review"))</f>
        <v>Personal — Owner</v>
      </c>
    </row>
    <row r="1214" customFormat="false" ht="15" hidden="false" customHeight="false" outlineLevel="0" collapsed="false">
      <c r="A1214" s="0" t="str">
        <f aca="false">Chase1168_2025!A1214</f>
        <v>DEBIT</v>
      </c>
      <c r="B1214" s="14" t="n">
        <f aca="false">Chase1168_2025!B1214</f>
        <v>45778</v>
      </c>
      <c r="C1214" s="0" t="str">
        <f aca="false">Chase1168_2025!C1214</f>
        <v>STANDARD ACH PMNTS INITIAL FEE QTY = 5</v>
      </c>
      <c r="D1214" s="7" t="n">
        <f aca="false">Chase1168_2025!D1214</f>
        <v>-12.5</v>
      </c>
      <c r="E1214" s="0" t="str">
        <f aca="false">Chase1168_2025!E1214</f>
        <v>FEE_TRANSACTION</v>
      </c>
      <c r="F1214" s="7" t="n">
        <f aca="false">Chase1168_2025!F1214</f>
        <v>14353.82</v>
      </c>
      <c r="G1214" s="0" t="str">
        <f aca="false">Chase1168_2025!G1214</f>
        <v>Bank Fee</v>
      </c>
      <c r="H1214" s="15" t="n">
        <f aca="false">IF($B1214="","",DATE(YEAR($B1214),MONTH($B1214),1))</f>
        <v>45778</v>
      </c>
      <c r="I1214" s="0" t="str">
        <f aca="false">IF($G1214="","Uncategorized — Review",IFERROR(INDEX(Mapping!$B:$B,MATCH($G1214,Mapping!$A:$A,0)),"Uncategorized — Review"))</f>
        <v>Bank &amp; Wire Fees</v>
      </c>
      <c r="J1214" s="0" t="str">
        <f aca="false">IF($G1214="","Uncategorized — Review",IFERROR(INDEX(Mapping!$C:$C,MATCH($G1214,Mapping!$A:$A,0)),"Uncategorized — Review"))</f>
        <v>DWG Operating</v>
      </c>
    </row>
    <row r="1215" customFormat="false" ht="15" hidden="false" customHeight="false" outlineLevel="0" collapsed="false">
      <c r="A1215" s="0" t="str">
        <f aca="false">Chase1168_2025!A1215</f>
        <v>DEBIT</v>
      </c>
      <c r="B1215" s="14" t="n">
        <f aca="false">Chase1168_2025!B1215</f>
        <v>45778</v>
      </c>
      <c r="C1215" s="0" t="str">
        <f aca="false">Chase1168_2025!C1215</f>
        <v>ORIG CO NAME:VENMO                  ORIG ID:3264681992 DESC DATE:250501 CO ENTRY DESCR:PAYMENT   SEC:WEB    TRACE#:021000022380589 EED:250501   IND ID:1041912505810                IND NAME:JUDD DUNNING                                                                                                 250501PPZC79 TRN: 1212380589TC</v>
      </c>
      <c r="D1215" s="7" t="n">
        <f aca="false">Chase1168_2025!D1215</f>
        <v>-1250</v>
      </c>
      <c r="E1215" s="0" t="str">
        <f aca="false">Chase1168_2025!E1215</f>
        <v>ACH_DEBIT</v>
      </c>
      <c r="F1215" s="7" t="n">
        <f aca="false">Chase1168_2025!F1215</f>
        <v>14366.32</v>
      </c>
      <c r="G1215" s="0" t="str">
        <f aca="false">Chase1168_2025!G1215</f>
        <v>Venmo</v>
      </c>
      <c r="H1215" s="15" t="n">
        <f aca="false">IF($B1215="","",DATE(YEAR($B1215),MONTH($B1215),1))</f>
        <v>45778</v>
      </c>
      <c r="I1215" s="0" t="str">
        <f aca="false">IF($G1215="","Uncategorized — Review",IFERROR(INDEX(Mapping!$B:$B,MATCH($G1215,Mapping!$A:$A,0)),"Uncategorized — Review"))</f>
        <v>Venmo</v>
      </c>
      <c r="J1215" s="0" t="str">
        <f aca="false">IF($G1215="","Uncategorized — Review",IFERROR(INDEX(Mapping!$C:$C,MATCH($G1215,Mapping!$A:$A,0)),"Uncategorized — Review"))</f>
        <v>P2P Payments (Zelle/Venmo/PayPal)</v>
      </c>
    </row>
    <row r="1216" customFormat="false" ht="15" hidden="false" customHeight="false" outlineLevel="0" collapsed="false">
      <c r="A1216" s="0" t="str">
        <f aca="false">Chase1168_2025!A1216</f>
        <v>DEBIT</v>
      </c>
      <c r="B1216" s="14" t="n">
        <f aca="false">Chase1168_2025!B1216</f>
        <v>45778</v>
      </c>
      <c r="C1216" s="0" t="str">
        <f aca="false">Chase1168_2025!C1216</f>
        <v>ORIG CO NAME:GEICO                  ORIG ID:3530075853 DESC DATE:250430 CO ENTRY DESCR:PREM COLL SEC:PPD    TRACE#:021000022241460 EED:250501   IND ID:                             IND NAME:ANGELA TRN: 1212241460TC</v>
      </c>
      <c r="D1216" s="7" t="n">
        <f aca="false">Chase1168_2025!D1216</f>
        <v>-558.58</v>
      </c>
      <c r="E1216" s="0" t="str">
        <f aca="false">Chase1168_2025!E1216</f>
        <v>ACH_DEBIT</v>
      </c>
      <c r="F1216" s="7" t="n">
        <f aca="false">Chase1168_2025!F1216</f>
        <v>15616.32</v>
      </c>
      <c r="G1216" s="0" t="str">
        <f aca="false">Chase1168_2025!G1216</f>
        <v>Personal - Car Insurance</v>
      </c>
      <c r="H1216" s="15" t="n">
        <f aca="false">IF($B1216="","",DATE(YEAR($B1216),MONTH($B1216),1))</f>
        <v>45778</v>
      </c>
      <c r="I1216" s="0" t="str">
        <f aca="false">IF($G1216="","Uncategorized — Review",IFERROR(INDEX(Mapping!$B:$B,MATCH($G1216,Mapping!$A:$A,0)),"Uncategorized — Review"))</f>
        <v>Personal - Car &amp; Auto</v>
      </c>
      <c r="J1216" s="0" t="str">
        <f aca="false">IF($G1216="","Uncategorized — Review",IFERROR(INDEX(Mapping!$C:$C,MATCH($G1216,Mapping!$A:$A,0)),"Uncategorized — Review"))</f>
        <v>Personal — Owner</v>
      </c>
    </row>
    <row r="1217" customFormat="false" ht="15" hidden="false" customHeight="false" outlineLevel="0" collapsed="false">
      <c r="A1217" s="0" t="str">
        <f aca="false">Chase1168_2025!A1217</f>
        <v>DEBIT</v>
      </c>
      <c r="B1217" s="14" t="n">
        <f aca="false">Chase1168_2025!B1217</f>
        <v>45778</v>
      </c>
      <c r="C1217" s="0" t="str">
        <f aca="false">Chase1168_2025!C1217</f>
        <v>ORIG CO NAME:BLUESHIELDCA           ORIG ID:7529219311 DESC DATE:250430 CO ENTRY DESCR:BILL PAY  SEC:CCD    TRACE#:031101114034681 EED:250501   IND ID:15664665981                  IND NAME:ANGELA DUNNING TRN: 1214034681TC</v>
      </c>
      <c r="D1217" s="7" t="n">
        <f aca="false">Chase1168_2025!D1217</f>
        <v>-870.55</v>
      </c>
      <c r="E1217" s="0" t="str">
        <f aca="false">Chase1168_2025!E1217</f>
        <v>ACH_DEBIT</v>
      </c>
      <c r="F1217" s="7" t="n">
        <f aca="false">Chase1168_2025!F1217</f>
        <v>16174.9</v>
      </c>
      <c r="G1217" s="0" t="str">
        <f aca="false">Chase1168_2025!G1217</f>
        <v>Personal - Health Insurance</v>
      </c>
      <c r="H1217" s="15" t="n">
        <f aca="false">IF($B1217="","",DATE(YEAR($B1217),MONTH($B1217),1))</f>
        <v>45778</v>
      </c>
      <c r="I1217" s="0" t="str">
        <f aca="false">IF($G1217="","Uncategorized — Review",IFERROR(INDEX(Mapping!$B:$B,MATCH($G1217,Mapping!$A:$A,0)),"Uncategorized — Review"))</f>
        <v>Personal - Health (incl. Ins.)</v>
      </c>
      <c r="J1217" s="0" t="str">
        <f aca="false">IF($G1217="","Uncategorized — Review",IFERROR(INDEX(Mapping!$C:$C,MATCH($G1217,Mapping!$A:$A,0)),"Uncategorized — Review"))</f>
        <v>Personal — Owner</v>
      </c>
    </row>
    <row r="1218" customFormat="false" ht="15" hidden="false" customHeight="false" outlineLevel="0" collapsed="false">
      <c r="A1218" s="0" t="str">
        <f aca="false">Chase1168_2025!A1218</f>
        <v>DEBIT</v>
      </c>
      <c r="B1218" s="14" t="n">
        <f aca="false">Chase1168_2025!B1218</f>
        <v>45778</v>
      </c>
      <c r="C1218" s="0" t="str">
        <f aca="false">Chase1168_2025!C1218</f>
        <v>PAYPAL *UBER 866-576-1039 CA                 04/30</v>
      </c>
      <c r="D1218" s="7" t="n">
        <f aca="false">Chase1168_2025!D1218</f>
        <v>-71.41</v>
      </c>
      <c r="E1218" s="0" t="str">
        <f aca="false">Chase1168_2025!E1218</f>
        <v>DEBIT_CARD</v>
      </c>
      <c r="F1218" s="7" t="n">
        <f aca="false">Chase1168_2025!F1218</f>
        <v>17045.45</v>
      </c>
      <c r="G1218" s="0" t="str">
        <f aca="false">Chase1168_2025!G1218</f>
        <v>Personal - Car</v>
      </c>
      <c r="H1218" s="15" t="n">
        <f aca="false">IF($B1218="","",DATE(YEAR($B1218),MONTH($B1218),1))</f>
        <v>45778</v>
      </c>
      <c r="I1218" s="0" t="str">
        <f aca="false">IF($G1218="","Uncategorized — Review",IFERROR(INDEX(Mapping!$B:$B,MATCH($G1218,Mapping!$A:$A,0)),"Uncategorized — Review"))</f>
        <v>Personal - Car &amp; Auto</v>
      </c>
      <c r="J1218" s="0" t="str">
        <f aca="false">IF($G1218="","Uncategorized — Review",IFERROR(INDEX(Mapping!$C:$C,MATCH($G1218,Mapping!$A:$A,0)),"Uncategorized — Review"))</f>
        <v>Personal — Owner</v>
      </c>
    </row>
    <row r="1219" customFormat="false" ht="15" hidden="false" customHeight="false" outlineLevel="0" collapsed="false">
      <c r="A1219" s="0" t="str">
        <f aca="false">Chase1168_2025!A1219</f>
        <v>DEBIT</v>
      </c>
      <c r="B1219" s="14" t="n">
        <f aca="false">Chase1168_2025!B1219</f>
        <v>45778</v>
      </c>
      <c r="C1219" s="0" t="str">
        <f aca="false">Chase1168_2025!C1219</f>
        <v>PAYPAL *UBER 866-576-1039 CA                 04/30</v>
      </c>
      <c r="D1219" s="7" t="n">
        <f aca="false">Chase1168_2025!D1219</f>
        <v>-20</v>
      </c>
      <c r="E1219" s="0" t="str">
        <f aca="false">Chase1168_2025!E1219</f>
        <v>DEBIT_CARD</v>
      </c>
      <c r="F1219" s="7" t="n">
        <f aca="false">Chase1168_2025!F1219</f>
        <v>17116.86</v>
      </c>
      <c r="G1219" s="0" t="str">
        <f aca="false">Chase1168_2025!G1219</f>
        <v>Personal - Car</v>
      </c>
      <c r="H1219" s="15" t="n">
        <f aca="false">IF($B1219="","",DATE(YEAR($B1219),MONTH($B1219),1))</f>
        <v>45778</v>
      </c>
      <c r="I1219" s="0" t="str">
        <f aca="false">IF($G1219="","Uncategorized — Review",IFERROR(INDEX(Mapping!$B:$B,MATCH($G1219,Mapping!$A:$A,0)),"Uncategorized — Review"))</f>
        <v>Personal - Car &amp; Auto</v>
      </c>
      <c r="J1219" s="0" t="str">
        <f aca="false">IF($G1219="","Uncategorized — Review",IFERROR(INDEX(Mapping!$C:$C,MATCH($G1219,Mapping!$A:$A,0)),"Uncategorized — Review"))</f>
        <v>Personal — Owner</v>
      </c>
    </row>
    <row r="1220" customFormat="false" ht="15" hidden="false" customHeight="false" outlineLevel="0" collapsed="false">
      <c r="A1220" s="0" t="str">
        <f aca="false">Chase1168_2025!A1220</f>
        <v>DEBIT</v>
      </c>
      <c r="B1220" s="14" t="n">
        <f aca="false">Chase1168_2025!B1220</f>
        <v>45778</v>
      </c>
      <c r="C1220" s="0" t="str">
        <f aca="false">Chase1168_2025!C1220</f>
        <v>PP*APPLE.COM/BILL 800-275-2273 CA            04/30</v>
      </c>
      <c r="D1220" s="7" t="n">
        <f aca="false">Chase1168_2025!D1220</f>
        <v>-18.99</v>
      </c>
      <c r="E1220" s="0" t="str">
        <f aca="false">Chase1168_2025!E1220</f>
        <v>DEBIT_CARD</v>
      </c>
      <c r="F1220" s="7" t="n">
        <f aca="false">Chase1168_2025!F1220</f>
        <v>17136.86</v>
      </c>
      <c r="G1220" s="0" t="str">
        <f aca="false">Chase1168_2025!G1220</f>
        <v>Personal - Subscriptions</v>
      </c>
      <c r="H1220" s="15" t="n">
        <f aca="false">IF($B1220="","",DATE(YEAR($B1220),MONTH($B1220),1))</f>
        <v>45778</v>
      </c>
      <c r="I1220" s="0" t="str">
        <f aca="false">IF($G1220="","Uncategorized — Review",IFERROR(INDEX(Mapping!$B:$B,MATCH($G1220,Mapping!$A:$A,0)),"Uncategorized — Review"))</f>
        <v>Personal - Subscriptions</v>
      </c>
      <c r="J1220" s="0" t="str">
        <f aca="false">IF($G1220="","Uncategorized — Review",IFERROR(INDEX(Mapping!$C:$C,MATCH($G1220,Mapping!$A:$A,0)),"Uncategorized — Review"))</f>
        <v>Personal — Owner</v>
      </c>
    </row>
    <row r="1221" customFormat="false" ht="15" hidden="false" customHeight="false" outlineLevel="0" collapsed="false">
      <c r="A1221" s="0" t="str">
        <f aca="false">Chase1168_2025!A1221</f>
        <v>DEBIT</v>
      </c>
      <c r="B1221" s="14" t="n">
        <f aca="false">Chase1168_2025!B1221</f>
        <v>45777</v>
      </c>
      <c r="C1221" s="0" t="str">
        <f aca="false">Chase1168_2025!C1221</f>
        <v>ORIG CO NAME:SBA EIDL LOAN          ORIG ID:7300000118 DESC DATE:250429 CO ENTRY DESCR:PAYMENT   SEC:CCD    TRACE#:041036044925496 EED:250430   IND ID:0000                         IND NAME:JOHN DUNNING               1871308204                                                                        ACH TRANSACTION TRN: 1204925496TC</v>
      </c>
      <c r="D1221" s="7" t="n">
        <f aca="false">Chase1168_2025!D1221</f>
        <v>-2524</v>
      </c>
      <c r="E1221" s="0" t="str">
        <f aca="false">Chase1168_2025!E1221</f>
        <v>ACH_DEBIT</v>
      </c>
      <c r="F1221" s="7" t="n">
        <f aca="false">Chase1168_2025!F1221</f>
        <v>17155.85</v>
      </c>
      <c r="G1221" s="0" t="str">
        <f aca="false">Chase1168_2025!G1221</f>
        <v>SBA EIDL Loan</v>
      </c>
      <c r="H1221" s="15" t="n">
        <f aca="false">IF($B1221="","",DATE(YEAR($B1221),MONTH($B1221),1))</f>
        <v>45748</v>
      </c>
      <c r="I1221" s="0" t="str">
        <f aca="false">IF($G1221="","Uncategorized — Review",IFERROR(INDEX(Mapping!$B:$B,MATCH($G1221,Mapping!$A:$A,0)),"Uncategorized — Review"))</f>
        <v>SBA EIDL Loan</v>
      </c>
      <c r="J1221" s="0" t="str">
        <f aca="false">IF($G1221="","Uncategorized — Review",IFERROR(INDEX(Mapping!$C:$C,MATCH($G1221,Mapping!$A:$A,0)),"Uncategorized — Review"))</f>
        <v>Credit Card &amp; Loan Payments</v>
      </c>
    </row>
    <row r="1222" customFormat="false" ht="15" hidden="false" customHeight="false" outlineLevel="0" collapsed="false">
      <c r="A1222" s="0" t="str">
        <f aca="false">Chase1168_2025!A1222</f>
        <v>DEBIT</v>
      </c>
      <c r="B1222" s="14" t="n">
        <f aca="false">Chase1168_2025!B1222</f>
        <v>45777</v>
      </c>
      <c r="C1222" s="0" t="str">
        <f aca="false">Chase1168_2025!C1222</f>
        <v>Online Payment 24584052083 To PENTAGON FEDERAL CREDIT UNION 04/30</v>
      </c>
      <c r="D1222" s="7" t="n">
        <f aca="false">Chase1168_2025!D1222</f>
        <v>-7010</v>
      </c>
      <c r="E1222" s="0" t="str">
        <f aca="false">Chase1168_2025!E1222</f>
        <v>BILLPAY</v>
      </c>
      <c r="F1222" s="7" t="n">
        <f aca="false">Chase1168_2025!F1222</f>
        <v>19679.85</v>
      </c>
      <c r="G1222" s="0" t="str">
        <f aca="false">Chase1168_2025!G1222</f>
        <v>Personal - California Mortgage PMT</v>
      </c>
      <c r="H1222" s="15" t="n">
        <f aca="false">IF($B1222="","",DATE(YEAR($B1222),MONTH($B1222),1))</f>
        <v>45748</v>
      </c>
      <c r="I1222" s="0" t="str">
        <f aca="false">IF($G1222="","Uncategorized — Review",IFERROR(INDEX(Mapping!$B:$B,MATCH($G1222,Mapping!$A:$A,0)),"Uncategorized — Review"))</f>
        <v>Personal - California Mortgage PMT</v>
      </c>
      <c r="J1222" s="0" t="str">
        <f aca="false">IF($G1222="","Uncategorized — Review",IFERROR(INDEX(Mapping!$C:$C,MATCH($G1222,Mapping!$A:$A,0)),"Uncategorized — Review"))</f>
        <v>Personal — Owner</v>
      </c>
    </row>
    <row r="1223" customFormat="false" ht="15" hidden="false" customHeight="false" outlineLevel="0" collapsed="false">
      <c r="A1223" s="0" t="str">
        <f aca="false">Chase1168_2025!A1223</f>
        <v>DEBIT</v>
      </c>
      <c r="B1223" s="14" t="n">
        <f aca="false">Chase1168_2025!B1223</f>
        <v>45777</v>
      </c>
      <c r="C1223" s="0" t="str">
        <f aca="false">Chase1168_2025!C1223</f>
        <v>Online Payment 24584043324 To MERCEDES BENZ FINANCIAL 04/30</v>
      </c>
      <c r="D1223" s="7" t="n">
        <f aca="false">Chase1168_2025!D1223</f>
        <v>-412</v>
      </c>
      <c r="E1223" s="0" t="str">
        <f aca="false">Chase1168_2025!E1223</f>
        <v>BILLPAY</v>
      </c>
      <c r="F1223" s="7" t="n">
        <f aca="false">Chase1168_2025!F1223</f>
        <v>26689.85</v>
      </c>
      <c r="G1223" s="0" t="str">
        <f aca="false">Chase1168_2025!G1223</f>
        <v>Personal - Car (Mercedes)</v>
      </c>
      <c r="H1223" s="15" t="n">
        <f aca="false">IF($B1223="","",DATE(YEAR($B1223),MONTH($B1223),1))</f>
        <v>45748</v>
      </c>
      <c r="I1223" s="0" t="str">
        <f aca="false">IF($G1223="","Uncategorized — Review",IFERROR(INDEX(Mapping!$B:$B,MATCH($G1223,Mapping!$A:$A,0)),"Uncategorized — Review"))</f>
        <v>Personal - Car &amp; Auto</v>
      </c>
      <c r="J1223" s="0" t="str">
        <f aca="false">IF($G1223="","Uncategorized — Review",IFERROR(INDEX(Mapping!$C:$C,MATCH($G1223,Mapping!$A:$A,0)),"Uncategorized — Review"))</f>
        <v>Personal — Owner</v>
      </c>
    </row>
    <row r="1224" customFormat="false" ht="15" hidden="false" customHeight="false" outlineLevel="0" collapsed="false">
      <c r="A1224" s="0" t="str">
        <f aca="false">Chase1168_2025!A1224</f>
        <v>DEBIT</v>
      </c>
      <c r="B1224" s="14" t="n">
        <f aca="false">Chase1168_2025!B1224</f>
        <v>45777</v>
      </c>
      <c r="C1224" s="0" t="str">
        <f aca="false">Chase1168_2025!C1224</f>
        <v>Zelle payment to jeff Fajardo JPM99b6lpn8x</v>
      </c>
      <c r="D1224" s="7" t="n">
        <f aca="false">Chase1168_2025!D1224</f>
        <v>-200</v>
      </c>
      <c r="E1224" s="0" t="str">
        <f aca="false">Chase1168_2025!E1224</f>
        <v>CHASE_TO_PARTNERFI</v>
      </c>
      <c r="F1224" s="7" t="n">
        <f aca="false">Chase1168_2025!F1224</f>
        <v>27101.85</v>
      </c>
      <c r="G1224" s="0" t="str">
        <f aca="false">Chase1168_2025!G1224</f>
        <v>Zelle - Jeff Fajardo</v>
      </c>
      <c r="H1224" s="15" t="n">
        <f aca="false">IF($B1224="","",DATE(YEAR($B1224),MONTH($B1224),1))</f>
        <v>45748</v>
      </c>
      <c r="I1224" s="0" t="str">
        <f aca="false">IF($G1224="","Uncategorized — Review",IFERROR(INDEX(Mapping!$B:$B,MATCH($G1224,Mapping!$A:$A,0)),"Uncategorized — Review"))</f>
        <v>Zelle - Jeff Fajardo</v>
      </c>
      <c r="J1224" s="0" t="str">
        <f aca="false">IF($G1224="","Uncategorized — Review",IFERROR(INDEX(Mapping!$C:$C,MATCH($G1224,Mapping!$A:$A,0)),"Uncategorized — Review"))</f>
        <v>P2P Payments (Zelle/Venmo/PayPal)</v>
      </c>
    </row>
    <row r="1225" customFormat="false" ht="15" hidden="false" customHeight="false" outlineLevel="0" collapsed="false">
      <c r="A1225" s="0" t="str">
        <f aca="false">Chase1168_2025!A1225</f>
        <v>DEBIT</v>
      </c>
      <c r="B1225" s="14" t="n">
        <f aca="false">Chase1168_2025!B1225</f>
        <v>45777</v>
      </c>
      <c r="C1225" s="0" t="str">
        <f aca="false">Chase1168_2025!C1225</f>
        <v>STARBUCKS STORE 57520 LOS ANGELES CA         04/29</v>
      </c>
      <c r="D1225" s="7" t="n">
        <f aca="false">Chase1168_2025!D1225</f>
        <v>-34.6</v>
      </c>
      <c r="E1225" s="0" t="str">
        <f aca="false">Chase1168_2025!E1225</f>
        <v>DEBIT_CARD</v>
      </c>
      <c r="F1225" s="7" t="n">
        <f aca="false">Chase1168_2025!F1225</f>
        <v>27301.85</v>
      </c>
      <c r="G1225" s="0" t="str">
        <f aca="false">Chase1168_2025!G1225</f>
        <v>Personal - Food</v>
      </c>
      <c r="H1225" s="15" t="n">
        <f aca="false">IF($B1225="","",DATE(YEAR($B1225),MONTH($B1225),1))</f>
        <v>45748</v>
      </c>
      <c r="I1225" s="0" t="str">
        <f aca="false">IF($G1225="","Uncategorized — Review",IFERROR(INDEX(Mapping!$B:$B,MATCH($G1225,Mapping!$A:$A,0)),"Uncategorized — Review"))</f>
        <v>Personal - Food &amp; Dining</v>
      </c>
      <c r="J1225" s="0" t="str">
        <f aca="false">IF($G1225="","Uncategorized — Review",IFERROR(INDEX(Mapping!$C:$C,MATCH($G1225,Mapping!$A:$A,0)),"Uncategorized — Review"))</f>
        <v>Personal — Owner</v>
      </c>
    </row>
    <row r="1226" customFormat="false" ht="15" hidden="false" customHeight="false" outlineLevel="0" collapsed="false">
      <c r="A1226" s="0" t="str">
        <f aca="false">Chase1168_2025!A1226</f>
        <v>DEBIT</v>
      </c>
      <c r="B1226" s="14" t="n">
        <f aca="false">Chase1168_2025!B1226</f>
        <v>45776</v>
      </c>
      <c r="C1226" s="0" t="str">
        <f aca="false">Chase1168_2025!C1226</f>
        <v>ORIG CO NAME:VENMO                  ORIG ID:3264681992 DESC DATE:250429 CO ENTRY DESCR:PAYMENT   SEC:WEB    TRACE#:021000024716875 EED:250429   IND ID:1041874638921                IND NAME:JUDD DUNNING                                                                                                 250429PPZWE6 TRN: 1194716875TC</v>
      </c>
      <c r="D1226" s="7" t="n">
        <f aca="false">Chase1168_2025!D1226</f>
        <v>-375</v>
      </c>
      <c r="E1226" s="0" t="str">
        <f aca="false">Chase1168_2025!E1226</f>
        <v>ACH_DEBIT</v>
      </c>
      <c r="F1226" s="7" t="n">
        <f aca="false">Chase1168_2025!F1226</f>
        <v>27336.45</v>
      </c>
      <c r="G1226" s="0" t="str">
        <f aca="false">Chase1168_2025!G1226</f>
        <v>Venmo</v>
      </c>
      <c r="H1226" s="15" t="n">
        <f aca="false">IF($B1226="","",DATE(YEAR($B1226),MONTH($B1226),1))</f>
        <v>45748</v>
      </c>
      <c r="I1226" s="0" t="str">
        <f aca="false">IF($G1226="","Uncategorized — Review",IFERROR(INDEX(Mapping!$B:$B,MATCH($G1226,Mapping!$A:$A,0)),"Uncategorized — Review"))</f>
        <v>Venmo</v>
      </c>
      <c r="J1226" s="0" t="str">
        <f aca="false">IF($G1226="","Uncategorized — Review",IFERROR(INDEX(Mapping!$C:$C,MATCH($G1226,Mapping!$A:$A,0)),"Uncategorized — Review"))</f>
        <v>P2P Payments (Zelle/Venmo/PayPal)</v>
      </c>
    </row>
    <row r="1227" customFormat="false" ht="15" hidden="false" customHeight="false" outlineLevel="0" collapsed="false">
      <c r="A1227" s="0" t="str">
        <f aca="false">Chase1168_2025!A1227</f>
        <v>DEBIT</v>
      </c>
      <c r="B1227" s="14" t="n">
        <f aca="false">Chase1168_2025!B1227</f>
        <v>45776</v>
      </c>
      <c r="C1227" s="0" t="str">
        <f aca="false">Chase1168_2025!C1227</f>
        <v>Online Transfer to CHK ...1117 transaction#: 24584054283 04/29</v>
      </c>
      <c r="D1227" s="7" t="n">
        <f aca="false">Chase1168_2025!D1227</f>
        <v>-5000</v>
      </c>
      <c r="E1227" s="0" t="str">
        <f aca="false">Chase1168_2025!E1227</f>
        <v>ACCT_XFER</v>
      </c>
      <c r="F1227" s="7" t="n">
        <f aca="false">Chase1168_2025!F1227</f>
        <v>27711.45</v>
      </c>
      <c r="G1227" s="0" t="str">
        <f aca="false">Chase1168_2025!G1227</f>
        <v>Transfer to Angela Dunning</v>
      </c>
      <c r="H1227" s="15" t="n">
        <f aca="false">IF($B1227="","",DATE(YEAR($B1227),MONTH($B1227),1))</f>
        <v>45748</v>
      </c>
      <c r="I1227" s="0" t="str">
        <f aca="false">IF($G1227="","Uncategorized — Review",IFERROR(INDEX(Mapping!$B:$B,MATCH($G1227,Mapping!$A:$A,0)),"Uncategorized — Review"))</f>
        <v>Transfer to Angela Dunning</v>
      </c>
      <c r="J1227" s="0" t="str">
        <f aca="false">IF($G1227="","Uncategorized — Review",IFERROR(INDEX(Mapping!$C:$C,MATCH($G1227,Mapping!$A:$A,0)),"Uncategorized — Review"))</f>
        <v>Owner / Family Distributions</v>
      </c>
    </row>
    <row r="1228" customFormat="false" ht="15" hidden="false" customHeight="false" outlineLevel="0" collapsed="false">
      <c r="A1228" s="0" t="str">
        <f aca="false">Chase1168_2025!A1228</f>
        <v>DEBIT</v>
      </c>
      <c r="B1228" s="14" t="n">
        <f aca="false">Chase1168_2025!B1228</f>
        <v>45776</v>
      </c>
      <c r="C1228" s="0" t="str">
        <f aca="false">Chase1168_2025!C1228</f>
        <v>Online Transfer to CHK ...6975 transaction#: 24584033135 04/29</v>
      </c>
      <c r="D1228" s="7" t="n">
        <f aca="false">Chase1168_2025!D1228</f>
        <v>-1000</v>
      </c>
      <c r="E1228" s="0" t="str">
        <f aca="false">Chase1168_2025!E1228</f>
        <v>ACCT_XFER</v>
      </c>
      <c r="F1228" s="7" t="n">
        <f aca="false">Chase1168_2025!F1228</f>
        <v>32711.45</v>
      </c>
      <c r="G1228" s="0" t="str">
        <f aca="false">Chase1168_2025!G1228</f>
        <v>Transfer to Ava Perez-Dunning</v>
      </c>
      <c r="H1228" s="15" t="n">
        <f aca="false">IF($B1228="","",DATE(YEAR($B1228),MONTH($B1228),1))</f>
        <v>45748</v>
      </c>
      <c r="I1228" s="0" t="str">
        <f aca="false">IF($G1228="","Uncategorized — Review",IFERROR(INDEX(Mapping!$B:$B,MATCH($G1228,Mapping!$A:$A,0)),"Uncategorized — Review"))</f>
        <v>Transfer to Ava Perez-Dunning</v>
      </c>
      <c r="J1228" s="0" t="str">
        <f aca="false">IF($G1228="","Uncategorized — Review",IFERROR(INDEX(Mapping!$C:$C,MATCH($G1228,Mapping!$A:$A,0)),"Uncategorized — Review"))</f>
        <v>Owner / Family Distributions</v>
      </c>
    </row>
    <row r="1229" customFormat="false" ht="15" hidden="false" customHeight="false" outlineLevel="0" collapsed="false">
      <c r="A1229" s="0" t="str">
        <f aca="false">Chase1168_2025!A1229</f>
        <v>DEBIT</v>
      </c>
      <c r="B1229" s="14" t="n">
        <f aca="false">Chase1168_2025!B1229</f>
        <v>45776</v>
      </c>
      <c r="C1229" s="0" t="str">
        <f aca="false">Chase1168_2025!C1229</f>
        <v>Online Transfer to CHK ...7899 transaction#: 24584006895 04/29</v>
      </c>
      <c r="D1229" s="7" t="n">
        <f aca="false">Chase1168_2025!D1229</f>
        <v>-8000</v>
      </c>
      <c r="E1229" s="0" t="str">
        <f aca="false">Chase1168_2025!E1229</f>
        <v>ACCT_XFER</v>
      </c>
      <c r="F1229" s="7" t="n">
        <f aca="false">Chase1168_2025!F1229</f>
        <v>33711.45</v>
      </c>
      <c r="G1229" s="0" t="str">
        <f aca="false">Chase1168_2025!G1229</f>
        <v>Transfer to TX Personal Joint</v>
      </c>
      <c r="H1229" s="15" t="n">
        <f aca="false">IF($B1229="","",DATE(YEAR($B1229),MONTH($B1229),1))</f>
        <v>45748</v>
      </c>
      <c r="I1229" s="0" t="str">
        <f aca="false">IF($G1229="","Uncategorized — Review",IFERROR(INDEX(Mapping!$B:$B,MATCH($G1229,Mapping!$A:$A,0)),"Uncategorized — Review"))</f>
        <v>Transfer to TX Personal Joint</v>
      </c>
      <c r="J1229" s="0" t="str">
        <f aca="false">IF($G1229="","Uncategorized — Review",IFERROR(INDEX(Mapping!$C:$C,MATCH($G1229,Mapping!$A:$A,0)),"Uncategorized — Review"))</f>
        <v>Owner / Family Distributions</v>
      </c>
    </row>
    <row r="1230" customFormat="false" ht="15" hidden="false" customHeight="false" outlineLevel="0" collapsed="false">
      <c r="A1230" s="0" t="str">
        <f aca="false">Chase1168_2025!A1230</f>
        <v>DEBIT</v>
      </c>
      <c r="B1230" s="14" t="n">
        <f aca="false">Chase1168_2025!B1230</f>
        <v>45776</v>
      </c>
      <c r="C1230" s="0" t="str">
        <f aca="false">Chase1168_2025!C1230</f>
        <v>Online Transfer to CHK ...1117 transaction#: 24583838082 04/29</v>
      </c>
      <c r="D1230" s="7" t="n">
        <f aca="false">Chase1168_2025!D1230</f>
        <v>-2000</v>
      </c>
      <c r="E1230" s="0" t="str">
        <f aca="false">Chase1168_2025!E1230</f>
        <v>ACCT_XFER</v>
      </c>
      <c r="F1230" s="7" t="n">
        <f aca="false">Chase1168_2025!F1230</f>
        <v>41711.45</v>
      </c>
      <c r="G1230" s="0" t="str">
        <f aca="false">Chase1168_2025!G1230</f>
        <v>Transfer to Angela Dunning</v>
      </c>
      <c r="H1230" s="15" t="n">
        <f aca="false">IF($B1230="","",DATE(YEAR($B1230),MONTH($B1230),1))</f>
        <v>45748</v>
      </c>
      <c r="I1230" s="0" t="str">
        <f aca="false">IF($G1230="","Uncategorized — Review",IFERROR(INDEX(Mapping!$B:$B,MATCH($G1230,Mapping!$A:$A,0)),"Uncategorized — Review"))</f>
        <v>Transfer to Angela Dunning</v>
      </c>
      <c r="J1230" s="0" t="str">
        <f aca="false">IF($G1230="","Uncategorized — Review",IFERROR(INDEX(Mapping!$C:$C,MATCH($G1230,Mapping!$A:$A,0)),"Uncategorized — Review"))</f>
        <v>Owner / Family Distributions</v>
      </c>
    </row>
    <row r="1231" customFormat="false" ht="15" hidden="false" customHeight="false" outlineLevel="0" collapsed="false">
      <c r="A1231" s="0" t="str">
        <f aca="false">Chase1168_2025!A1231</f>
        <v>DEBIT</v>
      </c>
      <c r="B1231" s="14" t="n">
        <f aca="false">Chase1168_2025!B1231</f>
        <v>45776</v>
      </c>
      <c r="C1231" s="0" t="str">
        <f aca="false">Chase1168_2025!C1231</f>
        <v>ORIG CO NAME:GEICO                  ORIG ID:3530075853 DESC DATE:250428 CO ENTRY DESCR:PREM COLL SEC:PPD    TRACE#:021000026241568 EED:250429   IND ID:                             IND NAME:ANGELA DUNNING TRN: 1196241568TC</v>
      </c>
      <c r="D1231" s="7" t="n">
        <f aca="false">Chase1168_2025!D1231</f>
        <v>-770.98</v>
      </c>
      <c r="E1231" s="0" t="str">
        <f aca="false">Chase1168_2025!E1231</f>
        <v>ACH_DEBIT</v>
      </c>
      <c r="F1231" s="7" t="n">
        <f aca="false">Chase1168_2025!F1231</f>
        <v>43711.45</v>
      </c>
      <c r="G1231" s="0" t="str">
        <f aca="false">Chase1168_2025!G1231</f>
        <v>Personal - Car Insurance</v>
      </c>
      <c r="H1231" s="15" t="n">
        <f aca="false">IF($B1231="","",DATE(YEAR($B1231),MONTH($B1231),1))</f>
        <v>45748</v>
      </c>
      <c r="I1231" s="0" t="str">
        <f aca="false">IF($G1231="","Uncategorized — Review",IFERROR(INDEX(Mapping!$B:$B,MATCH($G1231,Mapping!$A:$A,0)),"Uncategorized — Review"))</f>
        <v>Personal - Car &amp; Auto</v>
      </c>
      <c r="J1231" s="0" t="str">
        <f aca="false">IF($G1231="","Uncategorized — Review",IFERROR(INDEX(Mapping!$C:$C,MATCH($G1231,Mapping!$A:$A,0)),"Uncategorized — Review"))</f>
        <v>Personal — Owner</v>
      </c>
    </row>
    <row r="1232" customFormat="false" ht="15" hidden="false" customHeight="false" outlineLevel="0" collapsed="false">
      <c r="A1232" s="0" t="str">
        <f aca="false">Chase1168_2025!A1232</f>
        <v>DEBIT</v>
      </c>
      <c r="B1232" s="14" t="n">
        <f aca="false">Chase1168_2025!B1232</f>
        <v>45776</v>
      </c>
      <c r="C1232" s="0" t="str">
        <f aca="false">Chase1168_2025!C1232</f>
        <v>ORIG CO NAME:MBFS.COM               ORIG ID:1850860002 DESC DATE:250429 CO ENTRY DESCR:Auto Pay  SEC:WEB    TRACE#:021000026101570 EED:250429   IND ID:5002505795                   IND NAME:John B. Dunning TRN: 1196101570TC</v>
      </c>
      <c r="D1232" s="7" t="n">
        <f aca="false">Chase1168_2025!D1232</f>
        <v>-1399.46</v>
      </c>
      <c r="E1232" s="0" t="str">
        <f aca="false">Chase1168_2025!E1232</f>
        <v>ACH_DEBIT</v>
      </c>
      <c r="F1232" s="7" t="n">
        <f aca="false">Chase1168_2025!F1232</f>
        <v>44482.43</v>
      </c>
      <c r="G1232" s="0" t="str">
        <f aca="false">Chase1168_2025!G1232</f>
        <v>Personal - Car (Mercedes)</v>
      </c>
      <c r="H1232" s="15" t="n">
        <f aca="false">IF($B1232="","",DATE(YEAR($B1232),MONTH($B1232),1))</f>
        <v>45748</v>
      </c>
      <c r="I1232" s="0" t="str">
        <f aca="false">IF($G1232="","Uncategorized — Review",IFERROR(INDEX(Mapping!$B:$B,MATCH($G1232,Mapping!$A:$A,0)),"Uncategorized — Review"))</f>
        <v>Personal - Car &amp; Auto</v>
      </c>
      <c r="J1232" s="0" t="str">
        <f aca="false">IF($G1232="","Uncategorized — Review",IFERROR(INDEX(Mapping!$C:$C,MATCH($G1232,Mapping!$A:$A,0)),"Uncategorized — Review"))</f>
        <v>Personal — Owner</v>
      </c>
    </row>
    <row r="1233" customFormat="false" ht="15" hidden="false" customHeight="false" outlineLevel="0" collapsed="false">
      <c r="A1233" s="0" t="str">
        <f aca="false">Chase1168_2025!A1233</f>
        <v>DEBIT</v>
      </c>
      <c r="B1233" s="14" t="n">
        <f aca="false">Chase1168_2025!B1233</f>
        <v>45776</v>
      </c>
      <c r="C1233" s="0" t="str">
        <f aca="false">Chase1168_2025!C1233</f>
        <v>PAYPAL *LOSANGELESH 402-935-7733 CA          04/29</v>
      </c>
      <c r="D1233" s="7" t="n">
        <f aca="false">Chase1168_2025!D1233</f>
        <v>-10</v>
      </c>
      <c r="E1233" s="0" t="str">
        <f aca="false">Chase1168_2025!E1233</f>
        <v>DEBIT_CARD</v>
      </c>
      <c r="F1233" s="7" t="n">
        <f aca="false">Chase1168_2025!F1233</f>
        <v>45881.89</v>
      </c>
      <c r="G1233" s="0" t="str">
        <f aca="false">Chase1168_2025!G1233</f>
        <v>Paypal</v>
      </c>
      <c r="H1233" s="15" t="n">
        <f aca="false">IF($B1233="","",DATE(YEAR($B1233),MONTH($B1233),1))</f>
        <v>45748</v>
      </c>
      <c r="I1233" s="0" t="str">
        <f aca="false">IF($G1233="","Uncategorized — Review",IFERROR(INDEX(Mapping!$B:$B,MATCH($G1233,Mapping!$A:$A,0)),"Uncategorized — Review"))</f>
        <v>PayPal</v>
      </c>
      <c r="J1233" s="0" t="str">
        <f aca="false">IF($G1233="","Uncategorized — Review",IFERROR(INDEX(Mapping!$C:$C,MATCH($G1233,Mapping!$A:$A,0)),"Uncategorized — Review"))</f>
        <v>P2P Payments (Zelle/Venmo/PayPal)</v>
      </c>
    </row>
    <row r="1234" customFormat="false" ht="15" hidden="false" customHeight="false" outlineLevel="0" collapsed="false">
      <c r="A1234" s="0" t="str">
        <f aca="false">Chase1168_2025!A1234</f>
        <v>DEBIT</v>
      </c>
      <c r="B1234" s="14" t="n">
        <f aca="false">Chase1168_2025!B1234</f>
        <v>45776</v>
      </c>
      <c r="C1234" s="0" t="str">
        <f aca="false">Chase1168_2025!C1234</f>
        <v>UPWORK * -803230700 866-262-4478 CA          04/28</v>
      </c>
      <c r="D1234" s="7" t="n">
        <f aca="false">Chase1168_2025!D1234</f>
        <v>-105</v>
      </c>
      <c r="E1234" s="0" t="str">
        <f aca="false">Chase1168_2025!E1234</f>
        <v>DEBIT_CARD</v>
      </c>
      <c r="F1234" s="7" t="n">
        <f aca="false">Chase1168_2025!F1234</f>
        <v>45891.89</v>
      </c>
      <c r="G1234" s="0" t="str">
        <f aca="false">Chase1168_2025!G1234</f>
        <v>Upwork - Sergei M.</v>
      </c>
      <c r="H1234" s="15" t="n">
        <f aca="false">IF($B1234="","",DATE(YEAR($B1234),MONTH($B1234),1))</f>
        <v>45748</v>
      </c>
      <c r="I1234" s="0" t="str">
        <f aca="false">IF($G1234="","Uncategorized — Review",IFERROR(INDEX(Mapping!$B:$B,MATCH($G1234,Mapping!$A:$A,0)),"Uncategorized — Review"))</f>
        <v>Upwork - Sergei M.</v>
      </c>
      <c r="J1234" s="0" t="str">
        <f aca="false">IF($G1234="","Uncategorized — Review",IFERROR(INDEX(Mapping!$C:$C,MATCH($G1234,Mapping!$A:$A,0)),"Uncategorized — Review"))</f>
        <v>Payroll &amp; Contractors</v>
      </c>
    </row>
    <row r="1235" customFormat="false" ht="15" hidden="false" customHeight="false" outlineLevel="0" collapsed="false">
      <c r="A1235" s="0" t="str">
        <f aca="false">Chase1168_2025!A1235</f>
        <v>DEBIT</v>
      </c>
      <c r="B1235" s="14" t="n">
        <f aca="false">Chase1168_2025!B1235</f>
        <v>45776</v>
      </c>
      <c r="C1235" s="0" t="str">
        <f aca="false">Chase1168_2025!C1235</f>
        <v>PAYPAL *CAROLINAACOST 402-935-7733 CA        04/28</v>
      </c>
      <c r="D1235" s="7" t="n">
        <f aca="false">Chase1168_2025!D1235</f>
        <v>-2</v>
      </c>
      <c r="E1235" s="0" t="str">
        <f aca="false">Chase1168_2025!E1235</f>
        <v>DEBIT_CARD</v>
      </c>
      <c r="F1235" s="7" t="n">
        <f aca="false">Chase1168_2025!F1235</f>
        <v>45996.89</v>
      </c>
      <c r="G1235" s="0" t="str">
        <f aca="false">Chase1168_2025!G1235</f>
        <v>Paypal</v>
      </c>
      <c r="H1235" s="15" t="n">
        <f aca="false">IF($B1235="","",DATE(YEAR($B1235),MONTH($B1235),1))</f>
        <v>45748</v>
      </c>
      <c r="I1235" s="0" t="str">
        <f aca="false">IF($G1235="","Uncategorized — Review",IFERROR(INDEX(Mapping!$B:$B,MATCH($G1235,Mapping!$A:$A,0)),"Uncategorized — Review"))</f>
        <v>PayPal</v>
      </c>
      <c r="J1235" s="0" t="str">
        <f aca="false">IF($G1235="","Uncategorized — Review",IFERROR(INDEX(Mapping!$C:$C,MATCH($G1235,Mapping!$A:$A,0)),"Uncategorized — Review"))</f>
        <v>P2P Payments (Zelle/Venmo/PayPal)</v>
      </c>
    </row>
    <row r="1236" customFormat="false" ht="15" hidden="false" customHeight="false" outlineLevel="0" collapsed="false">
      <c r="A1236" s="0" t="str">
        <f aca="false">Chase1168_2025!A1236</f>
        <v>CREDIT</v>
      </c>
      <c r="B1236" s="14" t="n">
        <f aca="false">Chase1168_2025!B1236</f>
        <v>45776</v>
      </c>
      <c r="C1236" s="0" t="str">
        <f aca="false">Chase1168_2025!C1236</f>
        <v>Online Transfer from CHK ...9335 transaction#: 24583994944</v>
      </c>
      <c r="D1236" s="7" t="n">
        <f aca="false">Chase1168_2025!D1236</f>
        <v>30000</v>
      </c>
      <c r="E1236" s="0" t="str">
        <f aca="false">Chase1168_2025!E1236</f>
        <v>ACCT_XFER</v>
      </c>
      <c r="F1236" s="7" t="n">
        <f aca="false">Chase1168_2025!F1236</f>
        <v>45998.89</v>
      </c>
      <c r="G1236" s="0" t="str">
        <f aca="false">Chase1168_2025!G1236</f>
        <v>Transfer From Poseidon Asset Group</v>
      </c>
      <c r="H1236" s="15" t="n">
        <f aca="false">IF($B1236="","",DATE(YEAR($B1236),MONTH($B1236),1))</f>
        <v>45748</v>
      </c>
      <c r="I1236" s="0" t="str">
        <f aca="false">IF($G1236="","Uncategorized — Review",IFERROR(INDEX(Mapping!$B:$B,MATCH($G1236,Mapping!$A:$A,0)),"Uncategorized — Review"))</f>
        <v>Transfer From Poseidon Asset Group</v>
      </c>
      <c r="J1236" s="0" t="str">
        <f aca="false">IF($G1236="","Uncategorized — Review",IFERROR(INDEX(Mapping!$C:$C,MATCH($G1236,Mapping!$A:$A,0)),"Uncategorized — Review"))</f>
        <v>Poseidon Asset Group</v>
      </c>
    </row>
    <row r="1237" customFormat="false" ht="15" hidden="false" customHeight="false" outlineLevel="0" collapsed="false">
      <c r="A1237" s="0" t="str">
        <f aca="false">Chase1168_2025!A1237</f>
        <v>DEBIT</v>
      </c>
      <c r="B1237" s="14" t="n">
        <f aca="false">Chase1168_2025!B1237</f>
        <v>45775</v>
      </c>
      <c r="C1237" s="0" t="str">
        <f aca="false">Chase1168_2025!C1237</f>
        <v>ORIG CO NAME:AMERICAN EXPRESS       ORIG ID:2005032111 DESC DATE:250428 CO ENTRY DESCR:ACH PMT   SEC:CCD    TRACE#:021000027961425 EED:250428   IND ID:A6062                        IND NAME:John Dunning                                                                                                 ER AM TRN: 1187961425TC</v>
      </c>
      <c r="D1237" s="7" t="n">
        <f aca="false">Chase1168_2025!D1237</f>
        <v>-33.96</v>
      </c>
      <c r="E1237" s="0" t="str">
        <f aca="false">Chase1168_2025!E1237</f>
        <v>ACH_DEBIT</v>
      </c>
      <c r="F1237" s="7" t="n">
        <f aca="false">Chase1168_2025!F1237</f>
        <v>15998.89</v>
      </c>
      <c r="G1237" s="0" t="str">
        <f aca="false">Chase1168_2025!G1237</f>
        <v>American Express Credit Card PMT</v>
      </c>
      <c r="H1237" s="15" t="n">
        <f aca="false">IF($B1237="","",DATE(YEAR($B1237),MONTH($B1237),1))</f>
        <v>45748</v>
      </c>
      <c r="I1237" s="0" t="str">
        <f aca="false">IF($G1237="","Uncategorized — Review",IFERROR(INDEX(Mapping!$B:$B,MATCH($G1237,Mapping!$A:$A,0)),"Uncategorized — Review"))</f>
        <v>American Express Credit Card PMT</v>
      </c>
      <c r="J1237" s="0" t="str">
        <f aca="false">IF($G1237="","Uncategorized — Review",IFERROR(INDEX(Mapping!$C:$C,MATCH($G1237,Mapping!$A:$A,0)),"Uncategorized — Review"))</f>
        <v>Credit Card &amp; Loan Payments</v>
      </c>
    </row>
    <row r="1238" customFormat="false" ht="15" hidden="false" customHeight="false" outlineLevel="0" collapsed="false">
      <c r="A1238" s="0" t="str">
        <f aca="false">Chase1168_2025!A1238</f>
        <v>DEBIT</v>
      </c>
      <c r="B1238" s="14" t="n">
        <f aca="false">Chase1168_2025!B1238</f>
        <v>45775</v>
      </c>
      <c r="C1238" s="0" t="str">
        <f aca="false">Chase1168_2025!C1238</f>
        <v>ORIG CO NAME:BANNER LIFE            ORIG ID:1521236145 DESC DATE:250427 CO ENTRY DESCR:PREM DEBITSEC:PPD    TRACE#:091000018157762 EED:250428   IND ID:                             IND NAME:ANGELA L DUNNING TRN: 1188157762TC</v>
      </c>
      <c r="D1238" s="7" t="n">
        <f aca="false">Chase1168_2025!D1238</f>
        <v>-12.5</v>
      </c>
      <c r="E1238" s="0" t="str">
        <f aca="false">Chase1168_2025!E1238</f>
        <v>ACH_DEBIT</v>
      </c>
      <c r="F1238" s="7" t="n">
        <f aca="false">Chase1168_2025!F1238</f>
        <v>16032.85</v>
      </c>
      <c r="G1238" s="0" t="str">
        <f aca="false">Chase1168_2025!G1238</f>
        <v>Personal - Life Insurance</v>
      </c>
      <c r="H1238" s="15" t="n">
        <f aca="false">IF($B1238="","",DATE(YEAR($B1238),MONTH($B1238),1))</f>
        <v>45748</v>
      </c>
      <c r="I1238" s="0" t="str">
        <f aca="false">IF($G1238="","Uncategorized — Review",IFERROR(INDEX(Mapping!$B:$B,MATCH($G1238,Mapping!$A:$A,0)),"Uncategorized — Review"))</f>
        <v>Personal - Life Insurance</v>
      </c>
      <c r="J1238" s="0" t="str">
        <f aca="false">IF($G1238="","Uncategorized — Review",IFERROR(INDEX(Mapping!$C:$C,MATCH($G1238,Mapping!$A:$A,0)),"Uncategorized — Review"))</f>
        <v>Personal — Owner</v>
      </c>
    </row>
    <row r="1239" customFormat="false" ht="15" hidden="false" customHeight="false" outlineLevel="0" collapsed="false">
      <c r="A1239" s="0" t="str">
        <f aca="false">Chase1168_2025!A1239</f>
        <v>DEBIT</v>
      </c>
      <c r="B1239" s="14" t="n">
        <f aca="false">Chase1168_2025!B1239</f>
        <v>45775</v>
      </c>
      <c r="C1239" s="0" t="str">
        <f aca="false">Chase1168_2025!C1239</f>
        <v>ORIG CO NAME:VENMO                  ORIG ID:3264681992 DESC DATE:250427 CO ENTRY DESCR:PAYMENT   SEC:WEB    TRACE#:021000028313589 EED:250428   IND ID:1041805835580                IND NAME:JUDD DUNNING                                                                                                 250427PPZEE8 TRN: 1188313589TC</v>
      </c>
      <c r="D1239" s="7" t="n">
        <f aca="false">Chase1168_2025!D1239</f>
        <v>-20</v>
      </c>
      <c r="E1239" s="0" t="str">
        <f aca="false">Chase1168_2025!E1239</f>
        <v>ACH_DEBIT</v>
      </c>
      <c r="F1239" s="7" t="n">
        <f aca="false">Chase1168_2025!F1239</f>
        <v>16045.35</v>
      </c>
      <c r="G1239" s="0" t="str">
        <f aca="false">Chase1168_2025!G1239</f>
        <v>Venmo</v>
      </c>
      <c r="H1239" s="15" t="n">
        <f aca="false">IF($B1239="","",DATE(YEAR($B1239),MONTH($B1239),1))</f>
        <v>45748</v>
      </c>
      <c r="I1239" s="0" t="str">
        <f aca="false">IF($G1239="","Uncategorized — Review",IFERROR(INDEX(Mapping!$B:$B,MATCH($G1239,Mapping!$A:$A,0)),"Uncategorized — Review"))</f>
        <v>Venmo</v>
      </c>
      <c r="J1239" s="0" t="str">
        <f aca="false">IF($G1239="","Uncategorized — Review",IFERROR(INDEX(Mapping!$C:$C,MATCH($G1239,Mapping!$A:$A,0)),"Uncategorized — Review"))</f>
        <v>P2P Payments (Zelle/Venmo/PayPal)</v>
      </c>
    </row>
    <row r="1240" customFormat="false" ht="15" hidden="false" customHeight="false" outlineLevel="0" collapsed="false">
      <c r="A1240" s="0" t="str">
        <f aca="false">Chase1168_2025!A1240</f>
        <v>DEBIT</v>
      </c>
      <c r="B1240" s="14" t="n">
        <f aca="false">Chase1168_2025!B1240</f>
        <v>45775</v>
      </c>
      <c r="C1240" s="0" t="str">
        <f aca="false">Chase1168_2025!C1240</f>
        <v>ORIG CO NAME:VENMO                  ORIG ID:3264681992 DESC DATE:250426 CO ENTRY DESCR:PAYMENT   SEC:WEB    TRACE#:021000027541030 EED:250428   IND ID:1041803920705                IND NAME:JUDD DUNNING                                                                                                 250426PPZCVP TRN: 1187541030TC</v>
      </c>
      <c r="D1240" s="7" t="n">
        <f aca="false">Chase1168_2025!D1240</f>
        <v>-20</v>
      </c>
      <c r="E1240" s="0" t="str">
        <f aca="false">Chase1168_2025!E1240</f>
        <v>ACH_DEBIT</v>
      </c>
      <c r="F1240" s="7" t="n">
        <f aca="false">Chase1168_2025!F1240</f>
        <v>16065.35</v>
      </c>
      <c r="G1240" s="0" t="str">
        <f aca="false">Chase1168_2025!G1240</f>
        <v>Venmo</v>
      </c>
      <c r="H1240" s="15" t="n">
        <f aca="false">IF($B1240="","",DATE(YEAR($B1240),MONTH($B1240),1))</f>
        <v>45748</v>
      </c>
      <c r="I1240" s="0" t="str">
        <f aca="false">IF($G1240="","Uncategorized — Review",IFERROR(INDEX(Mapping!$B:$B,MATCH($G1240,Mapping!$A:$A,0)),"Uncategorized — Review"))</f>
        <v>Venmo</v>
      </c>
      <c r="J1240" s="0" t="str">
        <f aca="false">IF($G1240="","Uncategorized — Review",IFERROR(INDEX(Mapping!$C:$C,MATCH($G1240,Mapping!$A:$A,0)),"Uncategorized — Review"))</f>
        <v>P2P Payments (Zelle/Venmo/PayPal)</v>
      </c>
    </row>
    <row r="1241" customFormat="false" ht="15" hidden="false" customHeight="false" outlineLevel="0" collapsed="false">
      <c r="A1241" s="0" t="str">
        <f aca="false">Chase1168_2025!A1241</f>
        <v>DEBIT</v>
      </c>
      <c r="B1241" s="14" t="n">
        <f aca="false">Chase1168_2025!B1241</f>
        <v>45775</v>
      </c>
      <c r="C1241" s="0" t="str">
        <f aca="false">Chase1168_2025!C1241</f>
        <v>ORIG CO NAME:BANNER LIFE            ORIG ID:1521236145 DESC DATE:250427 CO ENTRY DESCR:PREM DEBITSEC:PPD    TRACE#:091000018157763 EED:250428   IND ID:                             IND NAME:JOHN  DUNNING TRN: 1188157763TC</v>
      </c>
      <c r="D1241" s="7" t="n">
        <f aca="false">Chase1168_2025!D1241</f>
        <v>-22.92</v>
      </c>
      <c r="E1241" s="0" t="str">
        <f aca="false">Chase1168_2025!E1241</f>
        <v>ACH_DEBIT</v>
      </c>
      <c r="F1241" s="7" t="n">
        <f aca="false">Chase1168_2025!F1241</f>
        <v>16085.35</v>
      </c>
      <c r="G1241" s="0" t="str">
        <f aca="false">Chase1168_2025!G1241</f>
        <v>Personal - Life Insurance</v>
      </c>
      <c r="H1241" s="15" t="n">
        <f aca="false">IF($B1241="","",DATE(YEAR($B1241),MONTH($B1241),1))</f>
        <v>45748</v>
      </c>
      <c r="I1241" s="0" t="str">
        <f aca="false">IF($G1241="","Uncategorized — Review",IFERROR(INDEX(Mapping!$B:$B,MATCH($G1241,Mapping!$A:$A,0)),"Uncategorized — Review"))</f>
        <v>Personal - Life Insurance</v>
      </c>
      <c r="J1241" s="0" t="str">
        <f aca="false">IF($G1241="","Uncategorized — Review",IFERROR(INDEX(Mapping!$C:$C,MATCH($G1241,Mapping!$A:$A,0)),"Uncategorized — Review"))</f>
        <v>Personal — Owner</v>
      </c>
    </row>
    <row r="1242" customFormat="false" ht="15" hidden="false" customHeight="false" outlineLevel="0" collapsed="false">
      <c r="A1242" s="0" t="str">
        <f aca="false">Chase1168_2025!A1242</f>
        <v>DEBIT</v>
      </c>
      <c r="B1242" s="14" t="n">
        <f aca="false">Chase1168_2025!B1242</f>
        <v>45775</v>
      </c>
      <c r="C1242" s="0" t="str">
        <f aca="false">Chase1168_2025!C1242</f>
        <v>ORIG CO NAME:INTUIT *               ORIG ID:0000756346 DESC DATE:250427 CO ENTRY DESCR:QBooks OnlSEC:CCD    TRACE#:021000026961362 EED:250428   IND ID:8307246                      IND NAME:DWG CAPITAL GROUP                                                                                            800-446-8848 TRN: 1186961362TC</v>
      </c>
      <c r="D1242" s="7" t="n">
        <f aca="false">Chase1168_2025!D1242</f>
        <v>-104.35</v>
      </c>
      <c r="E1242" s="0" t="str">
        <f aca="false">Chase1168_2025!E1242</f>
        <v>ACH_DEBIT</v>
      </c>
      <c r="F1242" s="7" t="n">
        <f aca="false">Chase1168_2025!F1242</f>
        <v>16108.27</v>
      </c>
      <c r="G1242" s="0" t="str">
        <f aca="false">Chase1168_2025!G1242</f>
        <v>Software/Accounting</v>
      </c>
      <c r="H1242" s="15" t="n">
        <f aca="false">IF($B1242="","",DATE(YEAR($B1242),MONTH($B1242),1))</f>
        <v>45748</v>
      </c>
      <c r="I1242" s="0" t="str">
        <f aca="false">IF($G1242="","Uncategorized — Review",IFERROR(INDEX(Mapping!$B:$B,MATCH($G1242,Mapping!$A:$A,0)),"Uncategorized — Review"))</f>
        <v>Software/Accounting</v>
      </c>
      <c r="J1242" s="0" t="str">
        <f aca="false">IF($G1242="","Uncategorized — Review",IFERROR(INDEX(Mapping!$C:$C,MATCH($G1242,Mapping!$A:$A,0)),"Uncategorized — Review"))</f>
        <v>DWG Operating</v>
      </c>
    </row>
    <row r="1243" customFormat="false" ht="15" hidden="false" customHeight="false" outlineLevel="0" collapsed="false">
      <c r="A1243" s="0" t="str">
        <f aca="false">Chase1168_2025!A1243</f>
        <v>DEBIT</v>
      </c>
      <c r="B1243" s="14" t="n">
        <f aca="false">Chase1168_2025!B1243</f>
        <v>45775</v>
      </c>
      <c r="C1243" s="0" t="str">
        <f aca="false">Chase1168_2025!C1243</f>
        <v>ORIG CO NAME:BCBS HEALTH            ORIG ID:7529139811 DESC DATE:250426 CO ENTRY DESCR:BILL PAY  SEC:CCD    TRACE#:031101117690656 EED:250428   IND ID:14061859381                  IND NAME:JOHN DUNNING TRN: 1187690656TC</v>
      </c>
      <c r="D1243" s="7" t="n">
        <f aca="false">Chase1168_2025!D1243</f>
        <v>-1176.97</v>
      </c>
      <c r="E1243" s="0" t="str">
        <f aca="false">Chase1168_2025!E1243</f>
        <v>ACH_DEBIT</v>
      </c>
      <c r="F1243" s="7" t="n">
        <f aca="false">Chase1168_2025!F1243</f>
        <v>16212.62</v>
      </c>
      <c r="G1243" s="0" t="str">
        <f aca="false">Chase1168_2025!G1243</f>
        <v>Personal - Health Insurance</v>
      </c>
      <c r="H1243" s="15" t="n">
        <f aca="false">IF($B1243="","",DATE(YEAR($B1243),MONTH($B1243),1))</f>
        <v>45748</v>
      </c>
      <c r="I1243" s="0" t="str">
        <f aca="false">IF($G1243="","Uncategorized — Review",IFERROR(INDEX(Mapping!$B:$B,MATCH($G1243,Mapping!$A:$A,0)),"Uncategorized — Review"))</f>
        <v>Personal - Health (incl. Ins.)</v>
      </c>
      <c r="J1243" s="0" t="str">
        <f aca="false">IF($G1243="","Uncategorized — Review",IFERROR(INDEX(Mapping!$C:$C,MATCH($G1243,Mapping!$A:$A,0)),"Uncategorized — Review"))</f>
        <v>Personal — Owner</v>
      </c>
    </row>
    <row r="1244" customFormat="false" ht="15" hidden="false" customHeight="false" outlineLevel="0" collapsed="false">
      <c r="A1244" s="0" t="str">
        <f aca="false">Chase1168_2025!A1244</f>
        <v>DEBIT</v>
      </c>
      <c r="B1244" s="14" t="n">
        <f aca="false">Chase1168_2025!B1244</f>
        <v>45775</v>
      </c>
      <c r="C1244" s="0" t="str">
        <f aca="false">Chase1168_2025!C1244</f>
        <v>PAYPAL *CHURCH ROSE 402-935-7733 CA          04/27</v>
      </c>
      <c r="D1244" s="7" t="n">
        <f aca="false">Chase1168_2025!D1244</f>
        <v>-1</v>
      </c>
      <c r="E1244" s="0" t="str">
        <f aca="false">Chase1168_2025!E1244</f>
        <v>DEBIT_CARD</v>
      </c>
      <c r="F1244" s="7" t="n">
        <f aca="false">Chase1168_2025!F1244</f>
        <v>17389.59</v>
      </c>
      <c r="G1244" s="0" t="str">
        <f aca="false">Chase1168_2025!G1244</f>
        <v>Paypal</v>
      </c>
      <c r="H1244" s="15" t="n">
        <f aca="false">IF($B1244="","",DATE(YEAR($B1244),MONTH($B1244),1))</f>
        <v>45748</v>
      </c>
      <c r="I1244" s="0" t="str">
        <f aca="false">IF($G1244="","Uncategorized — Review",IFERROR(INDEX(Mapping!$B:$B,MATCH($G1244,Mapping!$A:$A,0)),"Uncategorized — Review"))</f>
        <v>PayPal</v>
      </c>
      <c r="J1244" s="0" t="str">
        <f aca="false">IF($G1244="","Uncategorized — Review",IFERROR(INDEX(Mapping!$C:$C,MATCH($G1244,Mapping!$A:$A,0)),"Uncategorized — Review"))</f>
        <v>P2P Payments (Zelle/Venmo/PayPal)</v>
      </c>
    </row>
    <row r="1245" customFormat="false" ht="15" hidden="false" customHeight="false" outlineLevel="0" collapsed="false">
      <c r="A1245" s="0" t="str">
        <f aca="false">Chase1168_2025!A1245</f>
        <v>DEBIT</v>
      </c>
      <c r="B1245" s="14" t="n">
        <f aca="false">Chase1168_2025!B1245</f>
        <v>45775</v>
      </c>
      <c r="C1245" s="0" t="str">
        <f aca="false">Chase1168_2025!C1245</f>
        <v>PAYPAL *46 TECH 402-935-7733 CA              04/27</v>
      </c>
      <c r="D1245" s="7" t="n">
        <f aca="false">Chase1168_2025!D1245</f>
        <v>-200</v>
      </c>
      <c r="E1245" s="0" t="str">
        <f aca="false">Chase1168_2025!E1245</f>
        <v>DEBIT_CARD</v>
      </c>
      <c r="F1245" s="7" t="n">
        <f aca="false">Chase1168_2025!F1245</f>
        <v>17390.59</v>
      </c>
      <c r="G1245" s="0" t="str">
        <f aca="false">Chase1168_2025!G1245</f>
        <v>Paypal</v>
      </c>
      <c r="H1245" s="15" t="n">
        <f aca="false">IF($B1245="","",DATE(YEAR($B1245),MONTH($B1245),1))</f>
        <v>45748</v>
      </c>
      <c r="I1245" s="0" t="str">
        <f aca="false">IF($G1245="","Uncategorized — Review",IFERROR(INDEX(Mapping!$B:$B,MATCH($G1245,Mapping!$A:$A,0)),"Uncategorized — Review"))</f>
        <v>PayPal</v>
      </c>
      <c r="J1245" s="0" t="str">
        <f aca="false">IF($G1245="","Uncategorized — Review",IFERROR(INDEX(Mapping!$C:$C,MATCH($G1245,Mapping!$A:$A,0)),"Uncategorized — Review"))</f>
        <v>P2P Payments (Zelle/Venmo/PayPal)</v>
      </c>
    </row>
    <row r="1246" customFormat="false" ht="15" hidden="false" customHeight="false" outlineLevel="0" collapsed="false">
      <c r="A1246" s="0" t="str">
        <f aca="false">Chase1168_2025!A1246</f>
        <v>DEBIT</v>
      </c>
      <c r="B1246" s="14" t="n">
        <f aca="false">Chase1168_2025!B1246</f>
        <v>45775</v>
      </c>
      <c r="C1246" s="0" t="str">
        <f aca="false">Chase1168_2025!C1246</f>
        <v>PP*APPLE.COM/BILL 800-275-2273 CA            04/27</v>
      </c>
      <c r="D1246" s="7" t="n">
        <f aca="false">Chase1168_2025!D1246</f>
        <v>-16.99</v>
      </c>
      <c r="E1246" s="0" t="str">
        <f aca="false">Chase1168_2025!E1246</f>
        <v>DEBIT_CARD</v>
      </c>
      <c r="F1246" s="7" t="n">
        <f aca="false">Chase1168_2025!F1246</f>
        <v>17590.59</v>
      </c>
      <c r="G1246" s="0" t="str">
        <f aca="false">Chase1168_2025!G1246</f>
        <v>Personal - Subscriptions</v>
      </c>
      <c r="H1246" s="15" t="n">
        <f aca="false">IF($B1246="","",DATE(YEAR($B1246),MONTH($B1246),1))</f>
        <v>45748</v>
      </c>
      <c r="I1246" s="0" t="str">
        <f aca="false">IF($G1246="","Uncategorized — Review",IFERROR(INDEX(Mapping!$B:$B,MATCH($G1246,Mapping!$A:$A,0)),"Uncategorized — Review"))</f>
        <v>Personal - Subscriptions</v>
      </c>
      <c r="J1246" s="0" t="str">
        <f aca="false">IF($G1246="","Uncategorized — Review",IFERROR(INDEX(Mapping!$C:$C,MATCH($G1246,Mapping!$A:$A,0)),"Uncategorized — Review"))</f>
        <v>Personal — Owner</v>
      </c>
    </row>
    <row r="1247" customFormat="false" ht="15" hidden="false" customHeight="false" outlineLevel="0" collapsed="false">
      <c r="A1247" s="0" t="str">
        <f aca="false">Chase1168_2025!A1247</f>
        <v>DEBIT</v>
      </c>
      <c r="B1247" s="14" t="n">
        <f aca="false">Chase1168_2025!B1247</f>
        <v>45775</v>
      </c>
      <c r="C1247" s="0" t="str">
        <f aca="false">Chase1168_2025!C1247</f>
        <v>PP*APPLE.COM/BILL 800-275-2273 CA            04/26</v>
      </c>
      <c r="D1247" s="7" t="n">
        <f aca="false">Chase1168_2025!D1247</f>
        <v>-8.99</v>
      </c>
      <c r="E1247" s="0" t="str">
        <f aca="false">Chase1168_2025!E1247</f>
        <v>DEBIT_CARD</v>
      </c>
      <c r="F1247" s="7" t="n">
        <f aca="false">Chase1168_2025!F1247</f>
        <v>17607.58</v>
      </c>
      <c r="G1247" s="0" t="str">
        <f aca="false">Chase1168_2025!G1247</f>
        <v>Personal - Subscriptions</v>
      </c>
      <c r="H1247" s="15" t="n">
        <f aca="false">IF($B1247="","",DATE(YEAR($B1247),MONTH($B1247),1))</f>
        <v>45748</v>
      </c>
      <c r="I1247" s="0" t="str">
        <f aca="false">IF($G1247="","Uncategorized — Review",IFERROR(INDEX(Mapping!$B:$B,MATCH($G1247,Mapping!$A:$A,0)),"Uncategorized — Review"))</f>
        <v>Personal - Subscriptions</v>
      </c>
      <c r="J1247" s="0" t="str">
        <f aca="false">IF($G1247="","Uncategorized — Review",IFERROR(INDEX(Mapping!$C:$C,MATCH($G1247,Mapping!$A:$A,0)),"Uncategorized — Review"))</f>
        <v>Personal — Owner</v>
      </c>
    </row>
    <row r="1248" customFormat="false" ht="15" hidden="false" customHeight="false" outlineLevel="0" collapsed="false">
      <c r="A1248" s="0" t="str">
        <f aca="false">Chase1168_2025!A1248</f>
        <v>DEBIT</v>
      </c>
      <c r="B1248" s="14" t="n">
        <f aca="false">Chase1168_2025!B1248</f>
        <v>45775</v>
      </c>
      <c r="C1248" s="0" t="str">
        <f aca="false">Chase1168_2025!C1248</f>
        <v>PP*APPLE.COM/BILL 800-275-2273 CA            04/26</v>
      </c>
      <c r="D1248" s="7" t="n">
        <f aca="false">Chase1168_2025!D1248</f>
        <v>-9.99</v>
      </c>
      <c r="E1248" s="0" t="str">
        <f aca="false">Chase1168_2025!E1248</f>
        <v>DEBIT_CARD</v>
      </c>
      <c r="F1248" s="7" t="n">
        <f aca="false">Chase1168_2025!F1248</f>
        <v>17616.57</v>
      </c>
      <c r="G1248" s="0" t="str">
        <f aca="false">Chase1168_2025!G1248</f>
        <v>Personal - Subscriptions</v>
      </c>
      <c r="H1248" s="15" t="n">
        <f aca="false">IF($B1248="","",DATE(YEAR($B1248),MONTH($B1248),1))</f>
        <v>45748</v>
      </c>
      <c r="I1248" s="0" t="str">
        <f aca="false">IF($G1248="","Uncategorized — Review",IFERROR(INDEX(Mapping!$B:$B,MATCH($G1248,Mapping!$A:$A,0)),"Uncategorized — Review"))</f>
        <v>Personal - Subscriptions</v>
      </c>
      <c r="J1248" s="0" t="str">
        <f aca="false">IF($G1248="","Uncategorized — Review",IFERROR(INDEX(Mapping!$C:$C,MATCH($G1248,Mapping!$A:$A,0)),"Uncategorized — Review"))</f>
        <v>Personal — Owner</v>
      </c>
    </row>
    <row r="1249" customFormat="false" ht="15" hidden="false" customHeight="false" outlineLevel="0" collapsed="false">
      <c r="A1249" s="0" t="str">
        <f aca="false">Chase1168_2025!A1249</f>
        <v>DEBIT</v>
      </c>
      <c r="B1249" s="14" t="n">
        <f aca="false">Chase1168_2025!B1249</f>
        <v>45775</v>
      </c>
      <c r="C1249" s="0" t="str">
        <f aca="false">Chase1168_2025!C1249</f>
        <v>Disney Plus 888-9057888 CA                   04/26</v>
      </c>
      <c r="D1249" s="7" t="n">
        <f aca="false">Chase1168_2025!D1249</f>
        <v>-17.27</v>
      </c>
      <c r="E1249" s="0" t="str">
        <f aca="false">Chase1168_2025!E1249</f>
        <v>DEBIT_CARD</v>
      </c>
      <c r="F1249" s="7" t="n">
        <f aca="false">Chase1168_2025!F1249</f>
        <v>17626.56</v>
      </c>
      <c r="G1249" s="0" t="str">
        <f aca="false">Chase1168_2025!G1249</f>
        <v>Personal - Subscriptions</v>
      </c>
      <c r="H1249" s="15" t="n">
        <f aca="false">IF($B1249="","",DATE(YEAR($B1249),MONTH($B1249),1))</f>
        <v>45748</v>
      </c>
      <c r="I1249" s="0" t="str">
        <f aca="false">IF($G1249="","Uncategorized — Review",IFERROR(INDEX(Mapping!$B:$B,MATCH($G1249,Mapping!$A:$A,0)),"Uncategorized — Review"))</f>
        <v>Personal - Subscriptions</v>
      </c>
      <c r="J1249" s="0" t="str">
        <f aca="false">IF($G1249="","Uncategorized — Review",IFERROR(INDEX(Mapping!$C:$C,MATCH($G1249,Mapping!$A:$A,0)),"Uncategorized — Review"))</f>
        <v>Personal — Owner</v>
      </c>
    </row>
    <row r="1250" customFormat="false" ht="15" hidden="false" customHeight="false" outlineLevel="0" collapsed="false">
      <c r="A1250" s="0" t="str">
        <f aca="false">Chase1168_2025!A1250</f>
        <v>DEBIT</v>
      </c>
      <c r="B1250" s="14" t="n">
        <f aca="false">Chase1168_2025!B1250</f>
        <v>45772</v>
      </c>
      <c r="C1250" s="0" t="str">
        <f aca="false">Chase1168_2025!C1250</f>
        <v>ORIG CO NAME:VENMO                  ORIG ID:3264681992 DESC DATE:250425 CO ENTRY DESCR:PAYMENT   SEC:WEB    TRACE#:021000022715279 EED:250425   IND ID:1041790000358                IND NAME:JUDD DUNNING                                                                                                 250425PPZBJU TRN: 1152715279TC</v>
      </c>
      <c r="D1250" s="7" t="n">
        <f aca="false">Chase1168_2025!D1250</f>
        <v>-1000</v>
      </c>
      <c r="E1250" s="0" t="str">
        <f aca="false">Chase1168_2025!E1250</f>
        <v>ACH_DEBIT</v>
      </c>
      <c r="F1250" s="7" t="n">
        <f aca="false">Chase1168_2025!F1250</f>
        <v>17643.83</v>
      </c>
      <c r="G1250" s="0" t="str">
        <f aca="false">Chase1168_2025!G1250</f>
        <v>Venmo</v>
      </c>
      <c r="H1250" s="15" t="n">
        <f aca="false">IF($B1250="","",DATE(YEAR($B1250),MONTH($B1250),1))</f>
        <v>45748</v>
      </c>
      <c r="I1250" s="0" t="str">
        <f aca="false">IF($G1250="","Uncategorized — Review",IFERROR(INDEX(Mapping!$B:$B,MATCH($G1250,Mapping!$A:$A,0)),"Uncategorized — Review"))</f>
        <v>Venmo</v>
      </c>
      <c r="J1250" s="0" t="str">
        <f aca="false">IF($G1250="","Uncategorized — Review",IFERROR(INDEX(Mapping!$C:$C,MATCH($G1250,Mapping!$A:$A,0)),"Uncategorized — Review"))</f>
        <v>P2P Payments (Zelle/Venmo/PayPal)</v>
      </c>
    </row>
    <row r="1251" customFormat="false" ht="15" hidden="false" customHeight="false" outlineLevel="0" collapsed="false">
      <c r="A1251" s="0" t="str">
        <f aca="false">Chase1168_2025!A1251</f>
        <v>DEBIT</v>
      </c>
      <c r="B1251" s="14" t="n">
        <f aca="false">Chase1168_2025!B1251</f>
        <v>45772</v>
      </c>
      <c r="C1251" s="0" t="str">
        <f aca="false">Chase1168_2025!C1251</f>
        <v>PAYPAL *CANVA 416-131-8870 DE                04/25</v>
      </c>
      <c r="D1251" s="7" t="n">
        <f aca="false">Chase1168_2025!D1251</f>
        <v>-12.99</v>
      </c>
      <c r="E1251" s="0" t="str">
        <f aca="false">Chase1168_2025!E1251</f>
        <v>DEBIT_CARD</v>
      </c>
      <c r="F1251" s="7" t="n">
        <f aca="false">Chase1168_2025!F1251</f>
        <v>18643.83</v>
      </c>
      <c r="G1251" s="0" t="str">
        <f aca="false">Chase1168_2025!G1251</f>
        <v>DWG Marketing</v>
      </c>
      <c r="H1251" s="15" t="n">
        <f aca="false">IF($B1251="","",DATE(YEAR($B1251),MONTH($B1251),1))</f>
        <v>45748</v>
      </c>
      <c r="I1251" s="0" t="str">
        <f aca="false">IF($G1251="","Uncategorized — Review",IFERROR(INDEX(Mapping!$B:$B,MATCH($G1251,Mapping!$A:$A,0)),"Uncategorized — Review"))</f>
        <v>DWG Marketing</v>
      </c>
      <c r="J1251" s="0" t="str">
        <f aca="false">IF($G1251="","Uncategorized — Review",IFERROR(INDEX(Mapping!$C:$C,MATCH($G1251,Mapping!$A:$A,0)),"Uncategorized — Review"))</f>
        <v>DWG Operating</v>
      </c>
    </row>
    <row r="1252" customFormat="false" ht="15" hidden="false" customHeight="false" outlineLevel="0" collapsed="false">
      <c r="A1252" s="0" t="str">
        <f aca="false">Chase1168_2025!A1252</f>
        <v>DEBIT</v>
      </c>
      <c r="B1252" s="14" t="n">
        <f aca="false">Chase1168_2025!B1252</f>
        <v>45771</v>
      </c>
      <c r="C1252" s="0" t="str">
        <f aca="false">Chase1168_2025!C1252</f>
        <v>ONLINE FX INTERNATIONAL WIRE FEE</v>
      </c>
      <c r="D1252" s="7" t="n">
        <f aca="false">Chase1168_2025!D1252</f>
        <v>-5</v>
      </c>
      <c r="E1252" s="0" t="str">
        <f aca="false">Chase1168_2025!E1252</f>
        <v>FEE_TRANSACTION</v>
      </c>
      <c r="F1252" s="7" t="n">
        <f aca="false">Chase1168_2025!F1252</f>
        <v>18656.82</v>
      </c>
      <c r="G1252" s="0" t="str">
        <f aca="false">Chase1168_2025!G1252</f>
        <v>Andres Alarcon Payroll</v>
      </c>
      <c r="H1252" s="15" t="n">
        <f aca="false">IF($B1252="","",DATE(YEAR($B1252),MONTH($B1252),1))</f>
        <v>45748</v>
      </c>
      <c r="I1252" s="0" t="str">
        <f aca="false">IF($G1252="","Uncategorized — Review",IFERROR(INDEX(Mapping!$B:$B,MATCH($G1252,Mapping!$A:$A,0)),"Uncategorized — Review"))</f>
        <v>Andres Alarcon Payroll</v>
      </c>
      <c r="J1252" s="0" t="str">
        <f aca="false">IF($G1252="","Uncategorized — Review",IFERROR(INDEX(Mapping!$C:$C,MATCH($G1252,Mapping!$A:$A,0)),"Uncategorized — Review"))</f>
        <v>Payroll &amp; Contractors</v>
      </c>
    </row>
    <row r="1253" customFormat="false" ht="15" hidden="false" customHeight="false" outlineLevel="0" collapsed="false">
      <c r="A1253" s="0" t="str">
        <f aca="false">Chase1168_2025!A1253</f>
        <v>DEBIT</v>
      </c>
      <c r="B1253" s="14" t="n">
        <f aca="false">Chase1168_2025!B1253</f>
        <v>45771</v>
      </c>
      <c r="C1253" s="0" t="str">
        <f aca="false">Chase1168_2025!C1253</f>
        <v>ORIG CO NAME:VENMO                  ORIG ID:3264681992 DESC DATE:250424 CO ENTRY DESCR:PAYMENT   SEC:WEB    TRACE#:021000029815139 EED:250424   IND ID:1041759103003                IND NAME:JUDD DUNNING                                                                                                 250424PPZZ81 TRN: 1149815139TC</v>
      </c>
      <c r="D1253" s="7" t="n">
        <f aca="false">Chase1168_2025!D1253</f>
        <v>-275</v>
      </c>
      <c r="E1253" s="0" t="str">
        <f aca="false">Chase1168_2025!E1253</f>
        <v>ACH_DEBIT</v>
      </c>
      <c r="F1253" s="7" t="n">
        <f aca="false">Chase1168_2025!F1253</f>
        <v>18661.82</v>
      </c>
      <c r="G1253" s="0" t="str">
        <f aca="false">Chase1168_2025!G1253</f>
        <v>Venmo</v>
      </c>
      <c r="H1253" s="15" t="n">
        <f aca="false">IF($B1253="","",DATE(YEAR($B1253),MONTH($B1253),1))</f>
        <v>45748</v>
      </c>
      <c r="I1253" s="0" t="str">
        <f aca="false">IF($G1253="","Uncategorized — Review",IFERROR(INDEX(Mapping!$B:$B,MATCH($G1253,Mapping!$A:$A,0)),"Uncategorized — Review"))</f>
        <v>Venmo</v>
      </c>
      <c r="J1253" s="0" t="str">
        <f aca="false">IF($G1253="","Uncategorized — Review",IFERROR(INDEX(Mapping!$C:$C,MATCH($G1253,Mapping!$A:$A,0)),"Uncategorized — Review"))</f>
        <v>P2P Payments (Zelle/Venmo/PayPal)</v>
      </c>
    </row>
    <row r="1254" customFormat="false" ht="15" hidden="false" customHeight="false" outlineLevel="0" collapsed="false">
      <c r="A1254" s="0" t="str">
        <f aca="false">Chase1168_2025!A1254</f>
        <v>DEBIT</v>
      </c>
      <c r="B1254" s="14" t="n">
        <f aca="false">Chase1168_2025!B1254</f>
        <v>45771</v>
      </c>
      <c r="C1254" s="0" t="str">
        <f aca="false">Chase1168_2025!C1254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ENTS/OCMT/COP3120334,80/EXCH/4160.4 464/CNTR/56840185/INT/ANDRES_527 TRN: 6924400114RE 04/24</v>
      </c>
      <c r="D1254" s="7" t="n">
        <f aca="false">Chase1168_2025!D1254</f>
        <v>-750</v>
      </c>
      <c r="E1254" s="0" t="str">
        <f aca="false">Chase1168_2025!E1254</f>
        <v>WIRE_OUTGOING</v>
      </c>
      <c r="F1254" s="7" t="n">
        <f aca="false">Chase1168_2025!F1254</f>
        <v>18936.82</v>
      </c>
      <c r="G1254" s="0" t="str">
        <f aca="false">Chase1168_2025!G1254</f>
        <v>Andres Alarcon Payroll</v>
      </c>
      <c r="H1254" s="15" t="n">
        <f aca="false">IF($B1254="","",DATE(YEAR($B1254),MONTH($B1254),1))</f>
        <v>45748</v>
      </c>
      <c r="I1254" s="0" t="str">
        <f aca="false">IF($G1254="","Uncategorized — Review",IFERROR(INDEX(Mapping!$B:$B,MATCH($G1254,Mapping!$A:$A,0)),"Uncategorized — Review"))</f>
        <v>Andres Alarcon Payroll</v>
      </c>
      <c r="J1254" s="0" t="str">
        <f aca="false">IF($G1254="","Uncategorized — Review",IFERROR(INDEX(Mapping!$C:$C,MATCH($G1254,Mapping!$A:$A,0)),"Uncategorized — Review"))</f>
        <v>Payroll &amp; Contractors</v>
      </c>
    </row>
    <row r="1255" customFormat="false" ht="15" hidden="false" customHeight="false" outlineLevel="0" collapsed="false">
      <c r="A1255" s="0" t="str">
        <f aca="false">Chase1168_2025!A1255</f>
        <v>DEBIT</v>
      </c>
      <c r="B1255" s="14" t="n">
        <f aca="false">Chase1168_2025!B1255</f>
        <v>45771</v>
      </c>
      <c r="C1255" s="0" t="str">
        <f aca="false">Chase1168_2025!C1255</f>
        <v>PP*APPLE.COM/BILL 800-275-2273 CA            04/23</v>
      </c>
      <c r="D1255" s="7" t="n">
        <f aca="false">Chase1168_2025!D1255</f>
        <v>-9.99</v>
      </c>
      <c r="E1255" s="0" t="str">
        <f aca="false">Chase1168_2025!E1255</f>
        <v>DEBIT_CARD</v>
      </c>
      <c r="F1255" s="7" t="n">
        <f aca="false">Chase1168_2025!F1255</f>
        <v>19686.82</v>
      </c>
      <c r="G1255" s="0" t="str">
        <f aca="false">Chase1168_2025!G1255</f>
        <v>Personal - Subscriptions</v>
      </c>
      <c r="H1255" s="15" t="n">
        <f aca="false">IF($B1255="","",DATE(YEAR($B1255),MONTH($B1255),1))</f>
        <v>45748</v>
      </c>
      <c r="I1255" s="0" t="str">
        <f aca="false">IF($G1255="","Uncategorized — Review",IFERROR(INDEX(Mapping!$B:$B,MATCH($G1255,Mapping!$A:$A,0)),"Uncategorized — Review"))</f>
        <v>Personal - Subscriptions</v>
      </c>
      <c r="J1255" s="0" t="str">
        <f aca="false">IF($G1255="","Uncategorized — Review",IFERROR(INDEX(Mapping!$C:$C,MATCH($G1255,Mapping!$A:$A,0)),"Uncategorized — Review"))</f>
        <v>Personal — Owner</v>
      </c>
    </row>
    <row r="1256" customFormat="false" ht="15" hidden="false" customHeight="false" outlineLevel="0" collapsed="false">
      <c r="A1256" s="0" t="str">
        <f aca="false">Chase1168_2025!A1256</f>
        <v>DEBIT</v>
      </c>
      <c r="B1256" s="14" t="n">
        <f aca="false">Chase1168_2025!B1256</f>
        <v>45771</v>
      </c>
      <c r="C1256" s="0" t="str">
        <f aca="false">Chase1168_2025!C1256</f>
        <v>PP*APPLE.COM/BILL 800-275-2273 CA            04/23</v>
      </c>
      <c r="D1256" s="7" t="n">
        <f aca="false">Chase1168_2025!D1256</f>
        <v>-8.99</v>
      </c>
      <c r="E1256" s="0" t="str">
        <f aca="false">Chase1168_2025!E1256</f>
        <v>DEBIT_CARD</v>
      </c>
      <c r="F1256" s="7" t="n">
        <f aca="false">Chase1168_2025!F1256</f>
        <v>19696.81</v>
      </c>
      <c r="G1256" s="0" t="str">
        <f aca="false">Chase1168_2025!G1256</f>
        <v>Personal - Subscriptions</v>
      </c>
      <c r="H1256" s="15" t="n">
        <f aca="false">IF($B1256="","",DATE(YEAR($B1256),MONTH($B1256),1))</f>
        <v>45748</v>
      </c>
      <c r="I1256" s="0" t="str">
        <f aca="false">IF($G1256="","Uncategorized — Review",IFERROR(INDEX(Mapping!$B:$B,MATCH($G1256,Mapping!$A:$A,0)),"Uncategorized — Review"))</f>
        <v>Personal - Subscriptions</v>
      </c>
      <c r="J1256" s="0" t="str">
        <f aca="false">IF($G1256="","Uncategorized — Review",IFERROR(INDEX(Mapping!$C:$C,MATCH($G1256,Mapping!$A:$A,0)),"Uncategorized — Review"))</f>
        <v>Personal — Owner</v>
      </c>
    </row>
    <row r="1257" customFormat="false" ht="15" hidden="false" customHeight="false" outlineLevel="0" collapsed="false">
      <c r="A1257" s="0" t="str">
        <f aca="false">Chase1168_2025!A1257</f>
        <v>DEBIT</v>
      </c>
      <c r="B1257" s="14" t="n">
        <f aca="false">Chase1168_2025!B1257</f>
        <v>45771</v>
      </c>
      <c r="C1257" s="0" t="str">
        <f aca="false">Chase1168_2025!C1257</f>
        <v>PAYPAL *LINKEDIN 402-935-7733 CA             04/23</v>
      </c>
      <c r="D1257" s="7" t="n">
        <f aca="false">Chase1168_2025!D1257</f>
        <v>-434.49</v>
      </c>
      <c r="E1257" s="0" t="str">
        <f aca="false">Chase1168_2025!E1257</f>
        <v>DEBIT_CARD</v>
      </c>
      <c r="F1257" s="7" t="n">
        <f aca="false">Chase1168_2025!F1257</f>
        <v>19705.8</v>
      </c>
      <c r="G1257" s="0" t="str">
        <f aca="false">Chase1168_2025!G1257</f>
        <v>DWG HR</v>
      </c>
      <c r="H1257" s="15" t="n">
        <f aca="false">IF($B1257="","",DATE(YEAR($B1257),MONTH($B1257),1))</f>
        <v>45748</v>
      </c>
      <c r="I1257" s="0" t="str">
        <f aca="false">IF($G1257="","Uncategorized — Review",IFERROR(INDEX(Mapping!$B:$B,MATCH($G1257,Mapping!$A:$A,0)),"Uncategorized — Review"))</f>
        <v>DWG HR</v>
      </c>
      <c r="J1257" s="0" t="str">
        <f aca="false">IF($G1257="","Uncategorized — Review",IFERROR(INDEX(Mapping!$C:$C,MATCH($G1257,Mapping!$A:$A,0)),"Uncategorized — Review"))</f>
        <v>Payroll &amp; Contractors</v>
      </c>
    </row>
    <row r="1258" customFormat="false" ht="15" hidden="false" customHeight="false" outlineLevel="0" collapsed="false">
      <c r="A1258" s="0" t="str">
        <f aca="false">Chase1168_2025!A1258</f>
        <v>DEBIT</v>
      </c>
      <c r="B1258" s="14" t="n">
        <f aca="false">Chase1168_2025!B1258</f>
        <v>45770</v>
      </c>
      <c r="C1258" s="0" t="str">
        <f aca="false">Chase1168_2025!C1258</f>
        <v>Online Transfer to CHK ...1117 transaction#: 24514397533 04/23</v>
      </c>
      <c r="D1258" s="7" t="n">
        <f aca="false">Chase1168_2025!D1258</f>
        <v>-5000</v>
      </c>
      <c r="E1258" s="0" t="str">
        <f aca="false">Chase1168_2025!E1258</f>
        <v>ACCT_XFER</v>
      </c>
      <c r="F1258" s="7" t="n">
        <f aca="false">Chase1168_2025!F1258</f>
        <v>20140.29</v>
      </c>
      <c r="G1258" s="0" t="str">
        <f aca="false">Chase1168_2025!G1258</f>
        <v>Transfer to Angela Dunning</v>
      </c>
      <c r="H1258" s="15" t="n">
        <f aca="false">IF($B1258="","",DATE(YEAR($B1258),MONTH($B1258),1))</f>
        <v>45748</v>
      </c>
      <c r="I1258" s="0" t="str">
        <f aca="false">IF($G1258="","Uncategorized — Review",IFERROR(INDEX(Mapping!$B:$B,MATCH($G1258,Mapping!$A:$A,0)),"Uncategorized — Review"))</f>
        <v>Transfer to Angela Dunning</v>
      </c>
      <c r="J1258" s="0" t="str">
        <f aca="false">IF($G1258="","Uncategorized — Review",IFERROR(INDEX(Mapping!$C:$C,MATCH($G1258,Mapping!$A:$A,0)),"Uncategorized — Review"))</f>
        <v>Owner / Family Distributions</v>
      </c>
    </row>
    <row r="1259" customFormat="false" ht="15" hidden="false" customHeight="false" outlineLevel="0" collapsed="false">
      <c r="A1259" s="0" t="str">
        <f aca="false">Chase1168_2025!A1259</f>
        <v>DEBIT</v>
      </c>
      <c r="B1259" s="14" t="n">
        <f aca="false">Chase1168_2025!B1259</f>
        <v>45769</v>
      </c>
      <c r="C1259" s="0" t="str">
        <f aca="false">Chase1168_2025!C1259</f>
        <v>SXM*SIRIUSXM.COM/ACCT 888-635-5144 NY        04/22</v>
      </c>
      <c r="D1259" s="7" t="n">
        <f aca="false">Chase1168_2025!D1259</f>
        <v>-11.57</v>
      </c>
      <c r="E1259" s="0" t="str">
        <f aca="false">Chase1168_2025!E1259</f>
        <v>DEBIT_CARD</v>
      </c>
      <c r="F1259" s="7" t="n">
        <f aca="false">Chase1168_2025!F1259</f>
        <v>25140.29</v>
      </c>
      <c r="G1259" s="0" t="str">
        <f aca="false">Chase1168_2025!G1259</f>
        <v>Personal - Subscriptions</v>
      </c>
      <c r="H1259" s="15" t="n">
        <f aca="false">IF($B1259="","",DATE(YEAR($B1259),MONTH($B1259),1))</f>
        <v>45748</v>
      </c>
      <c r="I1259" s="0" t="str">
        <f aca="false">IF($G1259="","Uncategorized — Review",IFERROR(INDEX(Mapping!$B:$B,MATCH($G1259,Mapping!$A:$A,0)),"Uncategorized — Review"))</f>
        <v>Personal - Subscriptions</v>
      </c>
      <c r="J1259" s="0" t="str">
        <f aca="false">IF($G1259="","Uncategorized — Review",IFERROR(INDEX(Mapping!$C:$C,MATCH($G1259,Mapping!$A:$A,0)),"Uncategorized — Review"))</f>
        <v>Personal — Owner</v>
      </c>
    </row>
    <row r="1260" customFormat="false" ht="15" hidden="false" customHeight="false" outlineLevel="0" collapsed="false">
      <c r="A1260" s="0" t="str">
        <f aca="false">Chase1168_2025!A1260</f>
        <v>DEBIT</v>
      </c>
      <c r="B1260" s="14" t="n">
        <f aca="false">Chase1168_2025!B1260</f>
        <v>45769</v>
      </c>
      <c r="C1260" s="0" t="str">
        <f aca="false">Chase1168_2025!C1260</f>
        <v>ORIG CO NAME:PRINCIPAL-CCAPNL       ORIG ID:9INDPNLEFT DESC DATE:041925 CO ENTRY DESCR:PRIN FINANSEC:PPD    TRACE#:091000013752001 EED:250422   IND ID:                             IND NAME:JOHN B DUNNING TRN: 1123752001TC</v>
      </c>
      <c r="D1260" s="7" t="n">
        <f aca="false">Chase1168_2025!D1260</f>
        <v>-331.54</v>
      </c>
      <c r="E1260" s="0" t="str">
        <f aca="false">Chase1168_2025!E1260</f>
        <v>ACH_DEBIT</v>
      </c>
      <c r="F1260" s="7" t="n">
        <f aca="false">Chase1168_2025!F1260</f>
        <v>25151.86</v>
      </c>
      <c r="G1260" s="0" t="str">
        <f aca="false">Chase1168_2025!G1260</f>
        <v>???</v>
      </c>
      <c r="H1260" s="15" t="n">
        <f aca="false">IF($B1260="","",DATE(YEAR($B1260),MONTH($B1260),1))</f>
        <v>45748</v>
      </c>
      <c r="I1260" s="0" t="str">
        <f aca="false">IF($G1260="","Uncategorized — Review",IFERROR(INDEX(Mapping!$B:$B,MATCH($G1260,Mapping!$A:$A,0)),"Uncategorized — Review"))</f>
        <v>???</v>
      </c>
      <c r="J1260" s="0" t="str">
        <f aca="false">IF($G1260="","Uncategorized — Review",IFERROR(INDEX(Mapping!$C:$C,MATCH($G1260,Mapping!$A:$A,0)),"Uncategorized — Review"))</f>
        <v>Uncategorized — Review</v>
      </c>
    </row>
    <row r="1261" customFormat="false" ht="15" hidden="false" customHeight="false" outlineLevel="0" collapsed="false">
      <c r="A1261" s="0" t="str">
        <f aca="false">Chase1168_2025!A1261</f>
        <v>DEBIT</v>
      </c>
      <c r="B1261" s="14" t="n">
        <f aca="false">Chase1168_2025!B1261</f>
        <v>45769</v>
      </c>
      <c r="C1261" s="0" t="str">
        <f aca="false">Chase1168_2025!C1261</f>
        <v>PAYPAL *ANDRES_52763 402-935-7733 CA         04/22</v>
      </c>
      <c r="D1261" s="7" t="n">
        <f aca="false">Chase1168_2025!D1261</f>
        <v>-313.99</v>
      </c>
      <c r="E1261" s="0" t="str">
        <f aca="false">Chase1168_2025!E1261</f>
        <v>DEBIT_CARD</v>
      </c>
      <c r="F1261" s="7" t="n">
        <f aca="false">Chase1168_2025!F1261</f>
        <v>25483.4</v>
      </c>
      <c r="G1261" s="0" t="str">
        <f aca="false">Chase1168_2025!G1261</f>
        <v>Andres Alarcon Payroll</v>
      </c>
      <c r="H1261" s="15" t="n">
        <f aca="false">IF($B1261="","",DATE(YEAR($B1261),MONTH($B1261),1))</f>
        <v>45748</v>
      </c>
      <c r="I1261" s="0" t="str">
        <f aca="false">IF($G1261="","Uncategorized — Review",IFERROR(INDEX(Mapping!$B:$B,MATCH($G1261,Mapping!$A:$A,0)),"Uncategorized — Review"))</f>
        <v>Andres Alarcon Payroll</v>
      </c>
      <c r="J1261" s="0" t="str">
        <f aca="false">IF($G1261="","Uncategorized — Review",IFERROR(INDEX(Mapping!$C:$C,MATCH($G1261,Mapping!$A:$A,0)),"Uncategorized — Review"))</f>
        <v>Payroll &amp; Contractors</v>
      </c>
    </row>
    <row r="1262" customFormat="false" ht="15" hidden="false" customHeight="false" outlineLevel="0" collapsed="false">
      <c r="A1262" s="0" t="str">
        <f aca="false">Chase1168_2025!A1262</f>
        <v>DEBIT</v>
      </c>
      <c r="B1262" s="14" t="n">
        <f aca="false">Chase1168_2025!B1262</f>
        <v>45769</v>
      </c>
      <c r="C1262" s="0" t="str">
        <f aca="false">Chase1168_2025!C1262</f>
        <v>UPWORK * -801096571 866-262-4478 CA          04/21</v>
      </c>
      <c r="D1262" s="7" t="n">
        <f aca="false">Chase1168_2025!D1262</f>
        <v>-26.25</v>
      </c>
      <c r="E1262" s="0" t="str">
        <f aca="false">Chase1168_2025!E1262</f>
        <v>DEBIT_CARD</v>
      </c>
      <c r="F1262" s="7" t="n">
        <f aca="false">Chase1168_2025!F1262</f>
        <v>25797.39</v>
      </c>
      <c r="G1262" s="0" t="str">
        <f aca="false">Chase1168_2025!G1262</f>
        <v>Upwork - Sergei M.</v>
      </c>
      <c r="H1262" s="15" t="n">
        <f aca="false">IF($B1262="","",DATE(YEAR($B1262),MONTH($B1262),1))</f>
        <v>45748</v>
      </c>
      <c r="I1262" s="0" t="str">
        <f aca="false">IF($G1262="","Uncategorized — Review",IFERROR(INDEX(Mapping!$B:$B,MATCH($G1262,Mapping!$A:$A,0)),"Uncategorized — Review"))</f>
        <v>Upwork - Sergei M.</v>
      </c>
      <c r="J1262" s="0" t="str">
        <f aca="false">IF($G1262="","Uncategorized — Review",IFERROR(INDEX(Mapping!$C:$C,MATCH($G1262,Mapping!$A:$A,0)),"Uncategorized — Review"))</f>
        <v>Payroll &amp; Contractors</v>
      </c>
    </row>
    <row r="1263" customFormat="false" ht="15" hidden="false" customHeight="false" outlineLevel="0" collapsed="false">
      <c r="A1263" s="0" t="str">
        <f aca="false">Chase1168_2025!A1263</f>
        <v>DEBIT</v>
      </c>
      <c r="B1263" s="14" t="n">
        <f aca="false">Chase1168_2025!B1263</f>
        <v>45768</v>
      </c>
      <c r="C1263" s="0" t="str">
        <f aca="false">Chase1168_2025!C1263</f>
        <v>ORIG CO NAME:VENMO                  ORIG ID:3264681992 DESC DATE:250421 CO ENTRY DESCR:PAYMENT   SEC:WEB    TRACE#:021000023055594 EED:250421   IND ID:1041699196030                IND NAME:JUDD DUNNING                                                                                                 250421PPZ9ZI TRN: 1113055594TC</v>
      </c>
      <c r="D1263" s="7" t="n">
        <f aca="false">Chase1168_2025!D1263</f>
        <v>-10</v>
      </c>
      <c r="E1263" s="0" t="str">
        <f aca="false">Chase1168_2025!E1263</f>
        <v>ACH_DEBIT</v>
      </c>
      <c r="F1263" s="7" t="n">
        <f aca="false">Chase1168_2025!F1263</f>
        <v>25823.64</v>
      </c>
      <c r="G1263" s="0" t="str">
        <f aca="false">Chase1168_2025!G1263</f>
        <v>Venmo</v>
      </c>
      <c r="H1263" s="15" t="n">
        <f aca="false">IF($B1263="","",DATE(YEAR($B1263),MONTH($B1263),1))</f>
        <v>45748</v>
      </c>
      <c r="I1263" s="0" t="str">
        <f aca="false">IF($G1263="","Uncategorized — Review",IFERROR(INDEX(Mapping!$B:$B,MATCH($G1263,Mapping!$A:$A,0)),"Uncategorized — Review"))</f>
        <v>Venmo</v>
      </c>
      <c r="J1263" s="0" t="str">
        <f aca="false">IF($G1263="","Uncategorized — Review",IFERROR(INDEX(Mapping!$C:$C,MATCH($G1263,Mapping!$A:$A,0)),"Uncategorized — Review"))</f>
        <v>P2P Payments (Zelle/Venmo/PayPal)</v>
      </c>
    </row>
    <row r="1264" customFormat="false" ht="15" hidden="false" customHeight="false" outlineLevel="0" collapsed="false">
      <c r="A1264" s="0" t="str">
        <f aca="false">Chase1168_2025!A1264</f>
        <v>DEBIT</v>
      </c>
      <c r="B1264" s="14" t="n">
        <f aca="false">Chase1168_2025!B1264</f>
        <v>45768</v>
      </c>
      <c r="C1264" s="0" t="str">
        <f aca="false">Chase1168_2025!C1264</f>
        <v>ORIG CO NAME:TXU ENERGY             ORIG ID:1001020329 DESC DATE:       CO ENTRY DESCR:TXUE_ACH  SEC:WEB    TRACE#:021000024778478 EED:250421   IND ID:900062431557                 IND NAME:DWG CAPITAL GROUP          17333702810000000000000000000003556 7653853                                       DIRECT DEBITING TRN: 1114778478TC</v>
      </c>
      <c r="D1264" s="7" t="n">
        <f aca="false">Chase1168_2025!D1264</f>
        <v>-162.57</v>
      </c>
      <c r="E1264" s="0" t="str">
        <f aca="false">Chase1168_2025!E1264</f>
        <v>ACH_DEBIT</v>
      </c>
      <c r="F1264" s="7" t="n">
        <f aca="false">Chase1168_2025!F1264</f>
        <v>25833.64</v>
      </c>
      <c r="G1264" s="0" t="str">
        <f aca="false">Chase1168_2025!G1264</f>
        <v>Texas - House Utilities</v>
      </c>
      <c r="H1264" s="15" t="n">
        <f aca="false">IF($B1264="","",DATE(YEAR($B1264),MONTH($B1264),1))</f>
        <v>45748</v>
      </c>
      <c r="I1264" s="0" t="str">
        <f aca="false">IF($G1264="","Uncategorized — Review",IFERROR(INDEX(Mapping!$B:$B,MATCH($G1264,Mapping!$A:$A,0)),"Uncategorized — Review"))</f>
        <v>Texas - House Utilities</v>
      </c>
      <c r="J1264" s="0" t="str">
        <f aca="false">IF($G1264="","Uncategorized — Review",IFERROR(INDEX(Mapping!$C:$C,MATCH($G1264,Mapping!$A:$A,0)),"Uncategorized — Review"))</f>
        <v>Personal — Owner</v>
      </c>
    </row>
    <row r="1265" customFormat="false" ht="15" hidden="false" customHeight="false" outlineLevel="0" collapsed="false">
      <c r="A1265" s="0" t="str">
        <f aca="false">Chase1168_2025!A1265</f>
        <v>DEBIT</v>
      </c>
      <c r="B1265" s="14" t="n">
        <f aca="false">Chase1168_2025!B1265</f>
        <v>45768</v>
      </c>
      <c r="C1265" s="0" t="str">
        <f aca="false">Chase1168_2025!C1265</f>
        <v>Online Transfer to CHK ...1117 transaction#: 24490845191 04/21</v>
      </c>
      <c r="D1265" s="7" t="n">
        <f aca="false">Chase1168_2025!D1265</f>
        <v>-2000</v>
      </c>
      <c r="E1265" s="0" t="str">
        <f aca="false">Chase1168_2025!E1265</f>
        <v>ACCT_XFER</v>
      </c>
      <c r="F1265" s="7" t="n">
        <f aca="false">Chase1168_2025!F1265</f>
        <v>25996.21</v>
      </c>
      <c r="G1265" s="0" t="str">
        <f aca="false">Chase1168_2025!G1265</f>
        <v>Transfer to Angela Dunning</v>
      </c>
      <c r="H1265" s="15" t="n">
        <f aca="false">IF($B1265="","",DATE(YEAR($B1265),MONTH($B1265),1))</f>
        <v>45748</v>
      </c>
      <c r="I1265" s="0" t="str">
        <f aca="false">IF($G1265="","Uncategorized — Review",IFERROR(INDEX(Mapping!$B:$B,MATCH($G1265,Mapping!$A:$A,0)),"Uncategorized — Review"))</f>
        <v>Transfer to Angela Dunning</v>
      </c>
      <c r="J1265" s="0" t="str">
        <f aca="false">IF($G1265="","Uncategorized — Review",IFERROR(INDEX(Mapping!$C:$C,MATCH($G1265,Mapping!$A:$A,0)),"Uncategorized — Review"))</f>
        <v>Owner / Family Distributions</v>
      </c>
    </row>
    <row r="1266" customFormat="false" ht="15" hidden="false" customHeight="false" outlineLevel="0" collapsed="false">
      <c r="A1266" s="0" t="str">
        <f aca="false">Chase1168_2025!A1266</f>
        <v>DEBIT</v>
      </c>
      <c r="B1266" s="14" t="n">
        <f aca="false">Chase1168_2025!B1266</f>
        <v>45768</v>
      </c>
      <c r="C1266" s="0" t="str">
        <f aca="false">Chase1168_2025!C1266</f>
        <v>PAYPAL *UBER 866-576-1039 CA                 04/20</v>
      </c>
      <c r="D1266" s="7" t="n">
        <f aca="false">Chase1168_2025!D1266</f>
        <v>-23.12</v>
      </c>
      <c r="E1266" s="0" t="str">
        <f aca="false">Chase1168_2025!E1266</f>
        <v>DEBIT_CARD</v>
      </c>
      <c r="F1266" s="7" t="n">
        <f aca="false">Chase1168_2025!F1266</f>
        <v>27996.21</v>
      </c>
      <c r="G1266" s="0" t="str">
        <f aca="false">Chase1168_2025!G1266</f>
        <v>Personal - Car</v>
      </c>
      <c r="H1266" s="15" t="n">
        <f aca="false">IF($B1266="","",DATE(YEAR($B1266),MONTH($B1266),1))</f>
        <v>45748</v>
      </c>
      <c r="I1266" s="0" t="str">
        <f aca="false">IF($G1266="","Uncategorized — Review",IFERROR(INDEX(Mapping!$B:$B,MATCH($G1266,Mapping!$A:$A,0)),"Uncategorized — Review"))</f>
        <v>Personal - Car &amp; Auto</v>
      </c>
      <c r="J1266" s="0" t="str">
        <f aca="false">IF($G1266="","Uncategorized — Review",IFERROR(INDEX(Mapping!$C:$C,MATCH($G1266,Mapping!$A:$A,0)),"Uncategorized — Review"))</f>
        <v>Personal — Owner</v>
      </c>
    </row>
    <row r="1267" customFormat="false" ht="15" hidden="false" customHeight="false" outlineLevel="0" collapsed="false">
      <c r="A1267" s="0" t="str">
        <f aca="false">Chase1168_2025!A1267</f>
        <v>DEBIT</v>
      </c>
      <c r="B1267" s="14" t="n">
        <f aca="false">Chase1168_2025!B1267</f>
        <v>45768</v>
      </c>
      <c r="C1267" s="0" t="str">
        <f aca="false">Chase1168_2025!C1267</f>
        <v>PAYPAL *UBER 866-576-1039 CA                 04/20</v>
      </c>
      <c r="D1267" s="7" t="n">
        <f aca="false">Chase1168_2025!D1267</f>
        <v>-120.15</v>
      </c>
      <c r="E1267" s="0" t="str">
        <f aca="false">Chase1168_2025!E1267</f>
        <v>DEBIT_CARD</v>
      </c>
      <c r="F1267" s="7" t="n">
        <f aca="false">Chase1168_2025!F1267</f>
        <v>28019.33</v>
      </c>
      <c r="G1267" s="0" t="str">
        <f aca="false">Chase1168_2025!G1267</f>
        <v>Personal - Car</v>
      </c>
      <c r="H1267" s="15" t="n">
        <f aca="false">IF($B1267="","",DATE(YEAR($B1267),MONTH($B1267),1))</f>
        <v>45748</v>
      </c>
      <c r="I1267" s="0" t="str">
        <f aca="false">IF($G1267="","Uncategorized — Review",IFERROR(INDEX(Mapping!$B:$B,MATCH($G1267,Mapping!$A:$A,0)),"Uncategorized — Review"))</f>
        <v>Personal - Car &amp; Auto</v>
      </c>
      <c r="J1267" s="0" t="str">
        <f aca="false">IF($G1267="","Uncategorized — Review",IFERROR(INDEX(Mapping!$C:$C,MATCH($G1267,Mapping!$A:$A,0)),"Uncategorized — Review"))</f>
        <v>Personal — Owner</v>
      </c>
    </row>
    <row r="1268" customFormat="false" ht="15" hidden="false" customHeight="false" outlineLevel="0" collapsed="false">
      <c r="A1268" s="0" t="str">
        <f aca="false">Chase1168_2025!A1268</f>
        <v>DEBIT</v>
      </c>
      <c r="B1268" s="14" t="n">
        <f aca="false">Chase1168_2025!B1268</f>
        <v>45768</v>
      </c>
      <c r="C1268" s="0" t="str">
        <f aca="false">Chase1168_2025!C1268</f>
        <v>PP*APPLE.COM/BILL 800-275-2273 CA            04/20</v>
      </c>
      <c r="D1268" s="7" t="n">
        <f aca="false">Chase1168_2025!D1268</f>
        <v>-9.99</v>
      </c>
      <c r="E1268" s="0" t="str">
        <f aca="false">Chase1168_2025!E1268</f>
        <v>DEBIT_CARD</v>
      </c>
      <c r="F1268" s="7" t="n">
        <f aca="false">Chase1168_2025!F1268</f>
        <v>28139.48</v>
      </c>
      <c r="G1268" s="0" t="str">
        <f aca="false">Chase1168_2025!G1268</f>
        <v>Personal - Subscriptions</v>
      </c>
      <c r="H1268" s="15" t="n">
        <f aca="false">IF($B1268="","",DATE(YEAR($B1268),MONTH($B1268),1))</f>
        <v>45748</v>
      </c>
      <c r="I1268" s="0" t="str">
        <f aca="false">IF($G1268="","Uncategorized — Review",IFERROR(INDEX(Mapping!$B:$B,MATCH($G1268,Mapping!$A:$A,0)),"Uncategorized — Review"))</f>
        <v>Personal - Subscriptions</v>
      </c>
      <c r="J1268" s="0" t="str">
        <f aca="false">IF($G1268="","Uncategorized — Review",IFERROR(INDEX(Mapping!$C:$C,MATCH($G1268,Mapping!$A:$A,0)),"Uncategorized — Review"))</f>
        <v>Personal — Owner</v>
      </c>
    </row>
    <row r="1269" customFormat="false" ht="15" hidden="false" customHeight="false" outlineLevel="0" collapsed="false">
      <c r="A1269" s="0" t="str">
        <f aca="false">Chase1168_2025!A1269</f>
        <v>DEBIT</v>
      </c>
      <c r="B1269" s="14" t="n">
        <f aca="false">Chase1168_2025!B1269</f>
        <v>45768</v>
      </c>
      <c r="C1269" s="0" t="str">
        <f aca="false">Chase1168_2025!C1269</f>
        <v>PAYPAL *BEENVERIFIE 786-482-6776 NY          04/21</v>
      </c>
      <c r="D1269" s="7" t="n">
        <f aca="false">Chase1168_2025!D1269</f>
        <v>-26.89</v>
      </c>
      <c r="E1269" s="0" t="str">
        <f aca="false">Chase1168_2025!E1269</f>
        <v>DEBIT_CARD</v>
      </c>
      <c r="F1269" s="7" t="n">
        <f aca="false">Chase1168_2025!F1269</f>
        <v>28149.47</v>
      </c>
      <c r="G1269" s="0" t="str">
        <f aca="false">Chase1168_2025!G1269</f>
        <v>Personal - Subscriptions</v>
      </c>
      <c r="H1269" s="15" t="n">
        <f aca="false">IF($B1269="","",DATE(YEAR($B1269),MONTH($B1269),1))</f>
        <v>45748</v>
      </c>
      <c r="I1269" s="0" t="str">
        <f aca="false">IF($G1269="","Uncategorized — Review",IFERROR(INDEX(Mapping!$B:$B,MATCH($G1269,Mapping!$A:$A,0)),"Uncategorized — Review"))</f>
        <v>Personal - Subscriptions</v>
      </c>
      <c r="J1269" s="0" t="str">
        <f aca="false">IF($G1269="","Uncategorized — Review",IFERROR(INDEX(Mapping!$C:$C,MATCH($G1269,Mapping!$A:$A,0)),"Uncategorized — Review"))</f>
        <v>Personal — Owner</v>
      </c>
    </row>
    <row r="1270" customFormat="false" ht="15" hidden="false" customHeight="false" outlineLevel="0" collapsed="false">
      <c r="A1270" s="0" t="str">
        <f aca="false">Chase1168_2025!A1270</f>
        <v>DEBIT</v>
      </c>
      <c r="B1270" s="14" t="n">
        <f aca="false">Chase1168_2025!B1270</f>
        <v>45768</v>
      </c>
      <c r="C1270" s="0" t="str">
        <f aca="false">Chase1168_2025!C1270</f>
        <v>PP*APPLE.COM/BILL 800-275-2273 CA            04/19</v>
      </c>
      <c r="D1270" s="7" t="n">
        <f aca="false">Chase1168_2025!D1270</f>
        <v>-3.99</v>
      </c>
      <c r="E1270" s="0" t="str">
        <f aca="false">Chase1168_2025!E1270</f>
        <v>DEBIT_CARD</v>
      </c>
      <c r="F1270" s="7" t="n">
        <f aca="false">Chase1168_2025!F1270</f>
        <v>28176.36</v>
      </c>
      <c r="G1270" s="0" t="str">
        <f aca="false">Chase1168_2025!G1270</f>
        <v>Personal - Subscriptions</v>
      </c>
      <c r="H1270" s="15" t="n">
        <f aca="false">IF($B1270="","",DATE(YEAR($B1270),MONTH($B1270),1))</f>
        <v>45748</v>
      </c>
      <c r="I1270" s="0" t="str">
        <f aca="false">IF($G1270="","Uncategorized — Review",IFERROR(INDEX(Mapping!$B:$B,MATCH($G1270,Mapping!$A:$A,0)),"Uncategorized — Review"))</f>
        <v>Personal - Subscriptions</v>
      </c>
      <c r="J1270" s="0" t="str">
        <f aca="false">IF($G1270="","Uncategorized — Review",IFERROR(INDEX(Mapping!$C:$C,MATCH($G1270,Mapping!$A:$A,0)),"Uncategorized — Review"))</f>
        <v>Personal — Owner</v>
      </c>
    </row>
    <row r="1271" customFormat="false" ht="15" hidden="false" customHeight="false" outlineLevel="0" collapsed="false">
      <c r="A1271" s="0" t="str">
        <f aca="false">Chase1168_2025!A1271</f>
        <v>DEBIT</v>
      </c>
      <c r="B1271" s="14" t="n">
        <f aca="false">Chase1168_2025!B1271</f>
        <v>45768</v>
      </c>
      <c r="C1271" s="0" t="str">
        <f aca="false">Chase1168_2025!C1271</f>
        <v>PAYPAL *THEREALDEAL O 212-260-1332 NY        04/20</v>
      </c>
      <c r="D1271" s="7" t="n">
        <f aca="false">Chase1168_2025!D1271</f>
        <v>-15</v>
      </c>
      <c r="E1271" s="0" t="str">
        <f aca="false">Chase1168_2025!E1271</f>
        <v>DEBIT_CARD</v>
      </c>
      <c r="F1271" s="7" t="n">
        <f aca="false">Chase1168_2025!F1271</f>
        <v>28180.35</v>
      </c>
      <c r="G1271" s="0" t="str">
        <f aca="false">Chase1168_2025!G1271</f>
        <v>Personal - Subscriptions</v>
      </c>
      <c r="H1271" s="15" t="n">
        <f aca="false">IF($B1271="","",DATE(YEAR($B1271),MONTH($B1271),1))</f>
        <v>45748</v>
      </c>
      <c r="I1271" s="0" t="str">
        <f aca="false">IF($G1271="","Uncategorized — Review",IFERROR(INDEX(Mapping!$B:$B,MATCH($G1271,Mapping!$A:$A,0)),"Uncategorized — Review"))</f>
        <v>Personal - Subscriptions</v>
      </c>
      <c r="J1271" s="0" t="str">
        <f aca="false">IF($G1271="","Uncategorized — Review",IFERROR(INDEX(Mapping!$C:$C,MATCH($G1271,Mapping!$A:$A,0)),"Uncategorized — Review"))</f>
        <v>Personal — Owner</v>
      </c>
    </row>
    <row r="1272" customFormat="false" ht="15" hidden="false" customHeight="false" outlineLevel="0" collapsed="false">
      <c r="A1272" s="0" t="str">
        <f aca="false">Chase1168_2025!A1272</f>
        <v>DEBIT</v>
      </c>
      <c r="B1272" s="14" t="n">
        <f aca="false">Chase1168_2025!B1272</f>
        <v>45768</v>
      </c>
      <c r="C1272" s="0" t="str">
        <f aca="false">Chase1168_2025!C1272</f>
        <v>PAYPAL *FOXCORP 888-596-3938 CA              04/19</v>
      </c>
      <c r="D1272" s="7" t="n">
        <f aca="false">Chase1168_2025!D1272</f>
        <v>-7.99</v>
      </c>
      <c r="E1272" s="0" t="str">
        <f aca="false">Chase1168_2025!E1272</f>
        <v>DEBIT_CARD</v>
      </c>
      <c r="F1272" s="7" t="n">
        <f aca="false">Chase1168_2025!F1272</f>
        <v>28195.35</v>
      </c>
      <c r="G1272" s="0" t="str">
        <f aca="false">Chase1168_2025!G1272</f>
        <v>Personal - Subscriptions</v>
      </c>
      <c r="H1272" s="15" t="n">
        <f aca="false">IF($B1272="","",DATE(YEAR($B1272),MONTH($B1272),1))</f>
        <v>45748</v>
      </c>
      <c r="I1272" s="0" t="str">
        <f aca="false">IF($G1272="","Uncategorized — Review",IFERROR(INDEX(Mapping!$B:$B,MATCH($G1272,Mapping!$A:$A,0)),"Uncategorized — Review"))</f>
        <v>Personal - Subscriptions</v>
      </c>
      <c r="J1272" s="0" t="str">
        <f aca="false">IF($G1272="","Uncategorized — Review",IFERROR(INDEX(Mapping!$C:$C,MATCH($G1272,Mapping!$A:$A,0)),"Uncategorized — Review"))</f>
        <v>Personal — Owner</v>
      </c>
    </row>
    <row r="1273" customFormat="false" ht="15" hidden="false" customHeight="false" outlineLevel="0" collapsed="false">
      <c r="A1273" s="0" t="str">
        <f aca="false">Chase1168_2025!A1273</f>
        <v>DEBIT</v>
      </c>
      <c r="B1273" s="14" t="n">
        <f aca="false">Chase1168_2025!B1273</f>
        <v>45768</v>
      </c>
      <c r="C1273" s="0" t="str">
        <f aca="false">Chase1168_2025!C1273</f>
        <v>TRADER JOE S #119 WEST LOS ANGE CA           04/18</v>
      </c>
      <c r="D1273" s="7" t="n">
        <f aca="false">Chase1168_2025!D1273</f>
        <v>-22.66</v>
      </c>
      <c r="E1273" s="0" t="str">
        <f aca="false">Chase1168_2025!E1273</f>
        <v>DEBIT_CARD</v>
      </c>
      <c r="F1273" s="7" t="n">
        <f aca="false">Chase1168_2025!F1273</f>
        <v>28203.34</v>
      </c>
      <c r="G1273" s="0" t="str">
        <f aca="false">Chase1168_2025!G1273</f>
        <v>Personal - Food</v>
      </c>
      <c r="H1273" s="15" t="n">
        <f aca="false">IF($B1273="","",DATE(YEAR($B1273),MONTH($B1273),1))</f>
        <v>45748</v>
      </c>
      <c r="I1273" s="0" t="str">
        <f aca="false">IF($G1273="","Uncategorized — Review",IFERROR(INDEX(Mapping!$B:$B,MATCH($G1273,Mapping!$A:$A,0)),"Uncategorized — Review"))</f>
        <v>Personal - Food &amp; Dining</v>
      </c>
      <c r="J1273" s="0" t="str">
        <f aca="false">IF($G1273="","Uncategorized — Review",IFERROR(INDEX(Mapping!$C:$C,MATCH($G1273,Mapping!$A:$A,0)),"Uncategorized — Review"))</f>
        <v>Personal — Owner</v>
      </c>
    </row>
    <row r="1274" customFormat="false" ht="15" hidden="false" customHeight="false" outlineLevel="0" collapsed="false">
      <c r="A1274" s="0" t="str">
        <f aca="false">Chase1168_2025!A1274</f>
        <v>DEBIT</v>
      </c>
      <c r="B1274" s="14" t="n">
        <f aca="false">Chase1168_2025!B1274</f>
        <v>45768</v>
      </c>
      <c r="C1274" s="0" t="str">
        <f aca="false">Chase1168_2025!C1274</f>
        <v>DNH*GODADDY#3715685580 480-5058855 AZ        04/18</v>
      </c>
      <c r="D1274" s="7" t="n">
        <f aca="false">Chase1168_2025!D1274</f>
        <v>-21.98</v>
      </c>
      <c r="E1274" s="0" t="str">
        <f aca="false">Chase1168_2025!E1274</f>
        <v>DEBIT_CARD</v>
      </c>
      <c r="F1274" s="7" t="n">
        <f aca="false">Chase1168_2025!F1274</f>
        <v>28226</v>
      </c>
      <c r="G1274" s="0" t="str">
        <f aca="false">Chase1168_2025!G1274</f>
        <v>Go Daddy</v>
      </c>
      <c r="H1274" s="15" t="n">
        <f aca="false">IF($B1274="","",DATE(YEAR($B1274),MONTH($B1274),1))</f>
        <v>45748</v>
      </c>
      <c r="I1274" s="0" t="str">
        <f aca="false">IF($G1274="","Uncategorized — Review",IFERROR(INDEX(Mapping!$B:$B,MATCH($G1274,Mapping!$A:$A,0)),"Uncategorized — Review"))</f>
        <v>Go Daddy</v>
      </c>
      <c r="J1274" s="0" t="str">
        <f aca="false">IF($G1274="","Uncategorized — Review",IFERROR(INDEX(Mapping!$C:$C,MATCH($G1274,Mapping!$A:$A,0)),"Uncategorized — Review"))</f>
        <v>DWG Operating</v>
      </c>
    </row>
    <row r="1275" customFormat="false" ht="15" hidden="false" customHeight="false" outlineLevel="0" collapsed="false">
      <c r="A1275" s="0" t="str">
        <f aca="false">Chase1168_2025!A1275</f>
        <v>DEBIT</v>
      </c>
      <c r="B1275" s="14" t="n">
        <f aca="false">Chase1168_2025!B1275</f>
        <v>45768</v>
      </c>
      <c r="C1275" s="0" t="str">
        <f aca="false">Chase1168_2025!C1275</f>
        <v>PAYPAL *UBERPAYMENT 35314369001              04/18</v>
      </c>
      <c r="D1275" s="7" t="n">
        <f aca="false">Chase1168_2025!D1275</f>
        <v>-5.94</v>
      </c>
      <c r="E1275" s="0" t="str">
        <f aca="false">Chase1168_2025!E1275</f>
        <v>DEBIT_CARD</v>
      </c>
      <c r="F1275" s="7" t="n">
        <f aca="false">Chase1168_2025!F1275</f>
        <v>28247.98</v>
      </c>
      <c r="G1275" s="0" t="str">
        <f aca="false">Chase1168_2025!G1275</f>
        <v>Personal - Car</v>
      </c>
      <c r="H1275" s="15" t="n">
        <f aca="false">IF($B1275="","",DATE(YEAR($B1275),MONTH($B1275),1))</f>
        <v>45748</v>
      </c>
      <c r="I1275" s="0" t="str">
        <f aca="false">IF($G1275="","Uncategorized — Review",IFERROR(INDEX(Mapping!$B:$B,MATCH($G1275,Mapping!$A:$A,0)),"Uncategorized — Review"))</f>
        <v>Personal - Car &amp; Auto</v>
      </c>
      <c r="J1275" s="0" t="str">
        <f aca="false">IF($G1275="","Uncategorized — Review",IFERROR(INDEX(Mapping!$C:$C,MATCH($G1275,Mapping!$A:$A,0)),"Uncategorized — Review"))</f>
        <v>Personal — Owner</v>
      </c>
    </row>
    <row r="1276" customFormat="false" ht="15" hidden="false" customHeight="false" outlineLevel="0" collapsed="false">
      <c r="A1276" s="0" t="str">
        <f aca="false">Chase1168_2025!A1276</f>
        <v>DEBIT</v>
      </c>
      <c r="B1276" s="14" t="n">
        <f aca="false">Chase1168_2025!B1276</f>
        <v>45768</v>
      </c>
      <c r="C1276" s="0" t="str">
        <f aca="false">Chase1168_2025!C1276</f>
        <v>PAYPAL *UBERPAYMENT 35314369001              04/18</v>
      </c>
      <c r="D1276" s="7" t="n">
        <f aca="false">Chase1168_2025!D1276</f>
        <v>-17.85</v>
      </c>
      <c r="E1276" s="0" t="str">
        <f aca="false">Chase1168_2025!E1276</f>
        <v>DEBIT_CARD</v>
      </c>
      <c r="F1276" s="7" t="n">
        <f aca="false">Chase1168_2025!F1276</f>
        <v>28253.92</v>
      </c>
      <c r="G1276" s="0" t="str">
        <f aca="false">Chase1168_2025!G1276</f>
        <v>Personal - Car</v>
      </c>
      <c r="H1276" s="15" t="n">
        <f aca="false">IF($B1276="","",DATE(YEAR($B1276),MONTH($B1276),1))</f>
        <v>45748</v>
      </c>
      <c r="I1276" s="0" t="str">
        <f aca="false">IF($G1276="","Uncategorized — Review",IFERROR(INDEX(Mapping!$B:$B,MATCH($G1276,Mapping!$A:$A,0)),"Uncategorized — Review"))</f>
        <v>Personal - Car &amp; Auto</v>
      </c>
      <c r="J1276" s="0" t="str">
        <f aca="false">IF($G1276="","Uncategorized — Review",IFERROR(INDEX(Mapping!$C:$C,MATCH($G1276,Mapping!$A:$A,0)),"Uncategorized — Review"))</f>
        <v>Personal — Owner</v>
      </c>
    </row>
    <row r="1277" customFormat="false" ht="15" hidden="false" customHeight="false" outlineLevel="0" collapsed="false">
      <c r="A1277" s="0" t="str">
        <f aca="false">Chase1168_2025!A1277</f>
        <v>DEBIT</v>
      </c>
      <c r="B1277" s="14" t="n">
        <f aca="false">Chase1168_2025!B1277</f>
        <v>45768</v>
      </c>
      <c r="C1277" s="0" t="str">
        <f aca="false">Chase1168_2025!C1277</f>
        <v>PAYPAL *UBERPAYMENT 35314369001              04/18</v>
      </c>
      <c r="D1277" s="7" t="n">
        <f aca="false">Chase1168_2025!D1277</f>
        <v>-14.45</v>
      </c>
      <c r="E1277" s="0" t="str">
        <f aca="false">Chase1168_2025!E1277</f>
        <v>DEBIT_CARD</v>
      </c>
      <c r="F1277" s="7" t="n">
        <f aca="false">Chase1168_2025!F1277</f>
        <v>28277.71</v>
      </c>
      <c r="G1277" s="0" t="str">
        <f aca="false">Chase1168_2025!G1277</f>
        <v>Personal - Car</v>
      </c>
      <c r="H1277" s="15" t="n">
        <f aca="false">IF($B1277="","",DATE(YEAR($B1277),MONTH($B1277),1))</f>
        <v>45748</v>
      </c>
      <c r="I1277" s="0" t="str">
        <f aca="false">IF($G1277="","Uncategorized — Review",IFERROR(INDEX(Mapping!$B:$B,MATCH($G1277,Mapping!$A:$A,0)),"Uncategorized — Review"))</f>
        <v>Personal - Car &amp; Auto</v>
      </c>
      <c r="J1277" s="0" t="str">
        <f aca="false">IF($G1277="","Uncategorized — Review",IFERROR(INDEX(Mapping!$C:$C,MATCH($G1277,Mapping!$A:$A,0)),"Uncategorized — Review"))</f>
        <v>Personal — Owner</v>
      </c>
    </row>
    <row r="1278" customFormat="false" ht="15" hidden="false" customHeight="false" outlineLevel="0" collapsed="false">
      <c r="A1278" s="0" t="str">
        <f aca="false">Chase1168_2025!A1278</f>
        <v>DEBIT</v>
      </c>
      <c r="B1278" s="14" t="n">
        <f aca="false">Chase1168_2025!B1278</f>
        <v>45768</v>
      </c>
      <c r="C1278" s="0" t="str">
        <f aca="false">Chase1168_2025!C1278</f>
        <v>PAYPAL *UBERPAYMENT 35314369001              04/18</v>
      </c>
      <c r="D1278" s="7" t="n">
        <f aca="false">Chase1168_2025!D1278</f>
        <v>-19.13</v>
      </c>
      <c r="E1278" s="0" t="str">
        <f aca="false">Chase1168_2025!E1278</f>
        <v>DEBIT_CARD</v>
      </c>
      <c r="F1278" s="7" t="n">
        <f aca="false">Chase1168_2025!F1278</f>
        <v>28298.1</v>
      </c>
      <c r="G1278" s="0" t="str">
        <f aca="false">Chase1168_2025!G1278</f>
        <v>Personal - Car</v>
      </c>
      <c r="H1278" s="15" t="n">
        <f aca="false">IF($B1278="","",DATE(YEAR($B1278),MONTH($B1278),1))</f>
        <v>45748</v>
      </c>
      <c r="I1278" s="0" t="str">
        <f aca="false">IF($G1278="","Uncategorized — Review",IFERROR(INDEX(Mapping!$B:$B,MATCH($G1278,Mapping!$A:$A,0)),"Uncategorized — Review"))</f>
        <v>Personal - Car &amp; Auto</v>
      </c>
      <c r="J1278" s="0" t="str">
        <f aca="false">IF($G1278="","Uncategorized — Review",IFERROR(INDEX(Mapping!$C:$C,MATCH($G1278,Mapping!$A:$A,0)),"Uncategorized — Review"))</f>
        <v>Personal — Owner</v>
      </c>
    </row>
    <row r="1279" customFormat="false" ht="15" hidden="false" customHeight="false" outlineLevel="0" collapsed="false">
      <c r="A1279" s="0" t="str">
        <f aca="false">Chase1168_2025!A1279</f>
        <v>DEBIT</v>
      </c>
      <c r="B1279" s="14" t="n">
        <f aca="false">Chase1168_2025!B1279</f>
        <v>45768</v>
      </c>
      <c r="C1279" s="0" t="str">
        <f aca="false">Chase1168_2025!C1279</f>
        <v>PAYPAL *UBERPAYMENT 35314369001              04/18</v>
      </c>
      <c r="D1279" s="7" t="n">
        <f aca="false">Chase1168_2025!D1279</f>
        <v>-2.38</v>
      </c>
      <c r="E1279" s="0" t="str">
        <f aca="false">Chase1168_2025!E1279</f>
        <v>DEBIT_CARD</v>
      </c>
      <c r="F1279" s="7" t="n">
        <f aca="false">Chase1168_2025!F1279</f>
        <v>28317.23</v>
      </c>
      <c r="G1279" s="0" t="str">
        <f aca="false">Chase1168_2025!G1279</f>
        <v>Personal - Car</v>
      </c>
      <c r="H1279" s="15" t="n">
        <f aca="false">IF($B1279="","",DATE(YEAR($B1279),MONTH($B1279),1))</f>
        <v>45748</v>
      </c>
      <c r="I1279" s="0" t="str">
        <f aca="false">IF($G1279="","Uncategorized — Review",IFERROR(INDEX(Mapping!$B:$B,MATCH($G1279,Mapping!$A:$A,0)),"Uncategorized — Review"))</f>
        <v>Personal - Car &amp; Auto</v>
      </c>
      <c r="J1279" s="0" t="str">
        <f aca="false">IF($G1279="","Uncategorized — Review",IFERROR(INDEX(Mapping!$C:$C,MATCH($G1279,Mapping!$A:$A,0)),"Uncategorized — Review"))</f>
        <v>Personal — Owner</v>
      </c>
    </row>
    <row r="1280" customFormat="false" ht="15" hidden="false" customHeight="false" outlineLevel="0" collapsed="false">
      <c r="A1280" s="0" t="str">
        <f aca="false">Chase1168_2025!A1280</f>
        <v>DEBIT</v>
      </c>
      <c r="B1280" s="14" t="n">
        <f aca="false">Chase1168_2025!B1280</f>
        <v>45765</v>
      </c>
      <c r="C1280" s="0" t="str">
        <f aca="false">Chase1168_2025!C1280</f>
        <v>ORIG CO NAME:VENMO                  ORIG ID:3264681992 DESC DATE:250418 CO ENTRY DESCR:PAYMENT   SEC:WEB    TRACE#:021000023324262 EED:250418   IND ID:1041630269925                IND NAME:JUDD DUNNING                                                                                                 250418PPZSJ4 TRN: 1083324262TC</v>
      </c>
      <c r="D1280" s="7" t="n">
        <f aca="false">Chase1168_2025!D1280</f>
        <v>-1000</v>
      </c>
      <c r="E1280" s="0" t="str">
        <f aca="false">Chase1168_2025!E1280</f>
        <v>ACH_DEBIT</v>
      </c>
      <c r="F1280" s="7" t="n">
        <f aca="false">Chase1168_2025!F1280</f>
        <v>28319.61</v>
      </c>
      <c r="G1280" s="0" t="str">
        <f aca="false">Chase1168_2025!G1280</f>
        <v>Venmo</v>
      </c>
      <c r="H1280" s="15" t="n">
        <f aca="false">IF($B1280="","",DATE(YEAR($B1280),MONTH($B1280),1))</f>
        <v>45748</v>
      </c>
      <c r="I1280" s="0" t="str">
        <f aca="false">IF($G1280="","Uncategorized — Review",IFERROR(INDEX(Mapping!$B:$B,MATCH($G1280,Mapping!$A:$A,0)),"Uncategorized — Review"))</f>
        <v>Venmo</v>
      </c>
      <c r="J1280" s="0" t="str">
        <f aca="false">IF($G1280="","Uncategorized — Review",IFERROR(INDEX(Mapping!$C:$C,MATCH($G1280,Mapping!$A:$A,0)),"Uncategorized — Review"))</f>
        <v>P2P Payments (Zelle/Venmo/PayPal)</v>
      </c>
    </row>
    <row r="1281" customFormat="false" ht="15" hidden="false" customHeight="false" outlineLevel="0" collapsed="false">
      <c r="A1281" s="0" t="str">
        <f aca="false">Chase1168_2025!A1281</f>
        <v>DEBIT</v>
      </c>
      <c r="B1281" s="14" t="n">
        <f aca="false">Chase1168_2025!B1281</f>
        <v>45765</v>
      </c>
      <c r="C1281" s="0" t="str">
        <f aca="false">Chase1168_2025!C1281</f>
        <v>PP*APPLE.COM/BILL 800-275-2273 CA            04/17</v>
      </c>
      <c r="D1281" s="7" t="n">
        <f aca="false">Chase1168_2025!D1281</f>
        <v>-9.99</v>
      </c>
      <c r="E1281" s="0" t="str">
        <f aca="false">Chase1168_2025!E1281</f>
        <v>DEBIT_CARD</v>
      </c>
      <c r="F1281" s="7" t="n">
        <f aca="false">Chase1168_2025!F1281</f>
        <v>29319.61</v>
      </c>
      <c r="G1281" s="0" t="str">
        <f aca="false">Chase1168_2025!G1281</f>
        <v>Personal - Subscriptions</v>
      </c>
      <c r="H1281" s="15" t="n">
        <f aca="false">IF($B1281="","",DATE(YEAR($B1281),MONTH($B1281),1))</f>
        <v>45748</v>
      </c>
      <c r="I1281" s="0" t="str">
        <f aca="false">IF($G1281="","Uncategorized — Review",IFERROR(INDEX(Mapping!$B:$B,MATCH($G1281,Mapping!$A:$A,0)),"Uncategorized — Review"))</f>
        <v>Personal - Subscriptions</v>
      </c>
      <c r="J1281" s="0" t="str">
        <f aca="false">IF($G1281="","Uncategorized — Review",IFERROR(INDEX(Mapping!$C:$C,MATCH($G1281,Mapping!$A:$A,0)),"Uncategorized — Review"))</f>
        <v>Personal — Owner</v>
      </c>
    </row>
    <row r="1282" customFormat="false" ht="15" hidden="false" customHeight="false" outlineLevel="0" collapsed="false">
      <c r="A1282" s="0" t="str">
        <f aca="false">Chase1168_2025!A1282</f>
        <v>DEBIT</v>
      </c>
      <c r="B1282" s="14" t="n">
        <f aca="false">Chase1168_2025!B1282</f>
        <v>45765</v>
      </c>
      <c r="C1282" s="0" t="str">
        <f aca="false">Chase1168_2025!C1282</f>
        <v>PAYPAL *UBERPAYMENT 35314369001              04/16</v>
      </c>
      <c r="D1282" s="7" t="n">
        <f aca="false">Chase1168_2025!D1282</f>
        <v>-14.61</v>
      </c>
      <c r="E1282" s="0" t="str">
        <f aca="false">Chase1168_2025!E1282</f>
        <v>DEBIT_CARD</v>
      </c>
      <c r="F1282" s="7" t="n">
        <f aca="false">Chase1168_2025!F1282</f>
        <v>29329.6</v>
      </c>
      <c r="G1282" s="0" t="str">
        <f aca="false">Chase1168_2025!G1282</f>
        <v>Personal - Car</v>
      </c>
      <c r="H1282" s="15" t="n">
        <f aca="false">IF($B1282="","",DATE(YEAR($B1282),MONTH($B1282),1))</f>
        <v>45748</v>
      </c>
      <c r="I1282" s="0" t="str">
        <f aca="false">IF($G1282="","Uncategorized — Review",IFERROR(INDEX(Mapping!$B:$B,MATCH($G1282,Mapping!$A:$A,0)),"Uncategorized — Review"))</f>
        <v>Personal - Car &amp; Auto</v>
      </c>
      <c r="J1282" s="0" t="str">
        <f aca="false">IF($G1282="","Uncategorized — Review",IFERROR(INDEX(Mapping!$C:$C,MATCH($G1282,Mapping!$A:$A,0)),"Uncategorized — Review"))</f>
        <v>Personal — Owner</v>
      </c>
    </row>
    <row r="1283" customFormat="false" ht="15" hidden="false" customHeight="false" outlineLevel="0" collapsed="false">
      <c r="A1283" s="0" t="str">
        <f aca="false">Chase1168_2025!A1283</f>
        <v>DEBIT</v>
      </c>
      <c r="B1283" s="14" t="n">
        <f aca="false">Chase1168_2025!B1283</f>
        <v>45765</v>
      </c>
      <c r="C1283" s="0" t="str">
        <f aca="false">Chase1168_2025!C1283</f>
        <v>PAYPAL *UBERPAYMENT 35314369001              04/16</v>
      </c>
      <c r="D1283" s="7" t="n">
        <f aca="false">Chase1168_2025!D1283</f>
        <v>-2.38</v>
      </c>
      <c r="E1283" s="0" t="str">
        <f aca="false">Chase1168_2025!E1283</f>
        <v>DEBIT_CARD</v>
      </c>
      <c r="F1283" s="7" t="n">
        <f aca="false">Chase1168_2025!F1283</f>
        <v>29344.21</v>
      </c>
      <c r="G1283" s="0" t="str">
        <f aca="false">Chase1168_2025!G1283</f>
        <v>Personal - Car</v>
      </c>
      <c r="H1283" s="15" t="n">
        <f aca="false">IF($B1283="","",DATE(YEAR($B1283),MONTH($B1283),1))</f>
        <v>45748</v>
      </c>
      <c r="I1283" s="0" t="str">
        <f aca="false">IF($G1283="","Uncategorized — Review",IFERROR(INDEX(Mapping!$B:$B,MATCH($G1283,Mapping!$A:$A,0)),"Uncategorized — Review"))</f>
        <v>Personal - Car &amp; Auto</v>
      </c>
      <c r="J1283" s="0" t="str">
        <f aca="false">IF($G1283="","Uncategorized — Review",IFERROR(INDEX(Mapping!$C:$C,MATCH($G1283,Mapping!$A:$A,0)),"Uncategorized — Review"))</f>
        <v>Personal — Owner</v>
      </c>
    </row>
    <row r="1284" customFormat="false" ht="15" hidden="false" customHeight="false" outlineLevel="0" collapsed="false">
      <c r="A1284" s="0" t="str">
        <f aca="false">Chase1168_2025!A1284</f>
        <v>DEBIT</v>
      </c>
      <c r="B1284" s="14" t="n">
        <f aca="false">Chase1168_2025!B1284</f>
        <v>45764</v>
      </c>
      <c r="C1284" s="0" t="str">
        <f aca="false">Chase1168_2025!C1284</f>
        <v>PP*APPLE.COM/BILL 800-275-2273 CA            04/16</v>
      </c>
      <c r="D1284" s="7" t="n">
        <f aca="false">Chase1168_2025!D1284</f>
        <v>-11</v>
      </c>
      <c r="E1284" s="0" t="str">
        <f aca="false">Chase1168_2025!E1284</f>
        <v>DEBIT_CARD</v>
      </c>
      <c r="F1284" s="7" t="n">
        <f aca="false">Chase1168_2025!F1284</f>
        <v>29346.59</v>
      </c>
      <c r="G1284" s="0" t="str">
        <f aca="false">Chase1168_2025!G1284</f>
        <v>Personal - Subscriptions</v>
      </c>
      <c r="H1284" s="15" t="n">
        <f aca="false">IF($B1284="","",DATE(YEAR($B1284),MONTH($B1284),1))</f>
        <v>45748</v>
      </c>
      <c r="I1284" s="0" t="str">
        <f aca="false">IF($G1284="","Uncategorized — Review",IFERROR(INDEX(Mapping!$B:$B,MATCH($G1284,Mapping!$A:$A,0)),"Uncategorized — Review"))</f>
        <v>Personal - Subscriptions</v>
      </c>
      <c r="J1284" s="0" t="str">
        <f aca="false">IF($G1284="","Uncategorized — Review",IFERROR(INDEX(Mapping!$C:$C,MATCH($G1284,Mapping!$A:$A,0)),"Uncategorized — Review"))</f>
        <v>Personal — Owner</v>
      </c>
    </row>
    <row r="1285" customFormat="false" ht="15" hidden="false" customHeight="false" outlineLevel="0" collapsed="false">
      <c r="A1285" s="0" t="str">
        <f aca="false">Chase1168_2025!A1285</f>
        <v>DEBIT</v>
      </c>
      <c r="B1285" s="14" t="n">
        <f aca="false">Chase1168_2025!B1285</f>
        <v>45764</v>
      </c>
      <c r="C1285" s="0" t="str">
        <f aca="false">Chase1168_2025!C1285</f>
        <v>PAYPAL *UBERPAYMENT 35314369001              04/15</v>
      </c>
      <c r="D1285" s="7" t="n">
        <f aca="false">Chase1168_2025!D1285</f>
        <v>-32.47</v>
      </c>
      <c r="E1285" s="0" t="str">
        <f aca="false">Chase1168_2025!E1285</f>
        <v>DEBIT_CARD</v>
      </c>
      <c r="F1285" s="7" t="n">
        <f aca="false">Chase1168_2025!F1285</f>
        <v>29357.59</v>
      </c>
      <c r="G1285" s="0" t="str">
        <f aca="false">Chase1168_2025!G1285</f>
        <v>Personal - Car</v>
      </c>
      <c r="H1285" s="15" t="n">
        <f aca="false">IF($B1285="","",DATE(YEAR($B1285),MONTH($B1285),1))</f>
        <v>45748</v>
      </c>
      <c r="I1285" s="0" t="str">
        <f aca="false">IF($G1285="","Uncategorized — Review",IFERROR(INDEX(Mapping!$B:$B,MATCH($G1285,Mapping!$A:$A,0)),"Uncategorized — Review"))</f>
        <v>Personal - Car &amp; Auto</v>
      </c>
      <c r="J1285" s="0" t="str">
        <f aca="false">IF($G1285="","Uncategorized — Review",IFERROR(INDEX(Mapping!$C:$C,MATCH($G1285,Mapping!$A:$A,0)),"Uncategorized — Review"))</f>
        <v>Personal — Owner</v>
      </c>
    </row>
    <row r="1286" customFormat="false" ht="15" hidden="false" customHeight="false" outlineLevel="0" collapsed="false">
      <c r="A1286" s="0" t="str">
        <f aca="false">Chase1168_2025!A1286</f>
        <v>DEBIT</v>
      </c>
      <c r="B1286" s="14" t="n">
        <f aca="false">Chase1168_2025!B1286</f>
        <v>45764</v>
      </c>
      <c r="C1286" s="0" t="str">
        <f aca="false">Chase1168_2025!C1286</f>
        <v>PAYPAL *LINKEDIN 402-935-7733 CA             04/17</v>
      </c>
      <c r="D1286" s="7" t="n">
        <f aca="false">Chase1168_2025!D1286</f>
        <v>-69.99</v>
      </c>
      <c r="E1286" s="0" t="str">
        <f aca="false">Chase1168_2025!E1286</f>
        <v>DEBIT_CARD</v>
      </c>
      <c r="F1286" s="7" t="n">
        <f aca="false">Chase1168_2025!F1286</f>
        <v>29390.06</v>
      </c>
      <c r="G1286" s="0" t="str">
        <f aca="false">Chase1168_2025!G1286</f>
        <v>DWG HR</v>
      </c>
      <c r="H1286" s="15" t="n">
        <f aca="false">IF($B1286="","",DATE(YEAR($B1286),MONTH($B1286),1))</f>
        <v>45748</v>
      </c>
      <c r="I1286" s="0" t="str">
        <f aca="false">IF($G1286="","Uncategorized — Review",IFERROR(INDEX(Mapping!$B:$B,MATCH($G1286,Mapping!$A:$A,0)),"Uncategorized — Review"))</f>
        <v>DWG HR</v>
      </c>
      <c r="J1286" s="0" t="str">
        <f aca="false">IF($G1286="","Uncategorized — Review",IFERROR(INDEX(Mapping!$C:$C,MATCH($G1286,Mapping!$A:$A,0)),"Uncategorized — Review"))</f>
        <v>Payroll &amp; Contractors</v>
      </c>
    </row>
    <row r="1287" customFormat="false" ht="15" hidden="false" customHeight="false" outlineLevel="0" collapsed="false">
      <c r="A1287" s="0" t="str">
        <f aca="false">Chase1168_2025!A1287</f>
        <v>DEBIT</v>
      </c>
      <c r="B1287" s="14" t="n">
        <f aca="false">Chase1168_2025!B1287</f>
        <v>45763</v>
      </c>
      <c r="C1287" s="0" t="str">
        <f aca="false">Chase1168_2025!C1287</f>
        <v>ORIG CO NAME:LEASEDIRECT            ORIG ID:138190450  DESC DATE:250415 CO ENTRY DESCR:12243_1   SEC:CCD    TRACE#:043000090339777 EED:250416   IND ID:1556926                      IND NAME:DWG CAPITAL GROUP          INV# 589693737 DUE 04/15/25 REC# 20 02820                                         12244 TRN: 1060339777TC</v>
      </c>
      <c r="D1287" s="7" t="n">
        <f aca="false">Chase1168_2025!D1287</f>
        <v>-103.81</v>
      </c>
      <c r="E1287" s="0" t="str">
        <f aca="false">Chase1168_2025!E1287</f>
        <v>ACH_DEBIT</v>
      </c>
      <c r="F1287" s="7" t="n">
        <f aca="false">Chase1168_2025!F1287</f>
        <v>29460.05</v>
      </c>
      <c r="G1287" s="0" t="str">
        <f aca="false">Chase1168_2025!G1287</f>
        <v>DWG - TBD</v>
      </c>
      <c r="H1287" s="15" t="n">
        <f aca="false">IF($B1287="","",DATE(YEAR($B1287),MONTH($B1287),1))</f>
        <v>45748</v>
      </c>
      <c r="I1287" s="0" t="str">
        <f aca="false">IF($G1287="","Uncategorized — Review",IFERROR(INDEX(Mapping!$B:$B,MATCH($G1287,Mapping!$A:$A,0)),"Uncategorized — Review"))</f>
        <v>DWG - TBD</v>
      </c>
      <c r="J1287" s="0" t="str">
        <f aca="false">IF($G1287="","Uncategorized — Review",IFERROR(INDEX(Mapping!$C:$C,MATCH($G1287,Mapping!$A:$A,0)),"Uncategorized — Review"))</f>
        <v>Uncategorized — Review</v>
      </c>
    </row>
    <row r="1288" customFormat="false" ht="15" hidden="false" customHeight="false" outlineLevel="0" collapsed="false">
      <c r="A1288" s="0" t="str">
        <f aca="false">Chase1168_2025!A1288</f>
        <v>DEBIT</v>
      </c>
      <c r="B1288" s="14" t="n">
        <f aca="false">Chase1168_2025!B1288</f>
        <v>45763</v>
      </c>
      <c r="C1288" s="0" t="str">
        <f aca="false">Chase1168_2025!C1288</f>
        <v>PP*APPLE.COM/BILL 800-275-2273 CA            04/16</v>
      </c>
      <c r="D1288" s="7" t="n">
        <f aca="false">Chase1168_2025!D1288</f>
        <v>-5.99</v>
      </c>
      <c r="E1288" s="0" t="str">
        <f aca="false">Chase1168_2025!E1288</f>
        <v>DEBIT_CARD</v>
      </c>
      <c r="F1288" s="7" t="n">
        <f aca="false">Chase1168_2025!F1288</f>
        <v>29563.86</v>
      </c>
      <c r="G1288" s="0" t="str">
        <f aca="false">Chase1168_2025!G1288</f>
        <v>Personal - Subscriptions</v>
      </c>
      <c r="H1288" s="15" t="n">
        <f aca="false">IF($B1288="","",DATE(YEAR($B1288),MONTH($B1288),1))</f>
        <v>45748</v>
      </c>
      <c r="I1288" s="0" t="str">
        <f aca="false">IF($G1288="","Uncategorized — Review",IFERROR(INDEX(Mapping!$B:$B,MATCH($G1288,Mapping!$A:$A,0)),"Uncategorized — Review"))</f>
        <v>Personal - Subscriptions</v>
      </c>
      <c r="J1288" s="0" t="str">
        <f aca="false">IF($G1288="","Uncategorized — Review",IFERROR(INDEX(Mapping!$C:$C,MATCH($G1288,Mapping!$A:$A,0)),"Uncategorized — Review"))</f>
        <v>Personal — Owner</v>
      </c>
    </row>
    <row r="1289" customFormat="false" ht="15" hidden="false" customHeight="false" outlineLevel="0" collapsed="false">
      <c r="A1289" s="0" t="str">
        <f aca="false">Chase1168_2025!A1289</f>
        <v>DEBIT</v>
      </c>
      <c r="B1289" s="14" t="n">
        <f aca="false">Chase1168_2025!B1289</f>
        <v>45763</v>
      </c>
      <c r="C1289" s="0" t="str">
        <f aca="false">Chase1168_2025!C1289</f>
        <v>TRADER JOE S #119 WEST LOS ANGE CA           04/15</v>
      </c>
      <c r="D1289" s="7" t="n">
        <f aca="false">Chase1168_2025!D1289</f>
        <v>-38.31</v>
      </c>
      <c r="E1289" s="0" t="str">
        <f aca="false">Chase1168_2025!E1289</f>
        <v>DEBIT_CARD</v>
      </c>
      <c r="F1289" s="7" t="n">
        <f aca="false">Chase1168_2025!F1289</f>
        <v>29569.85</v>
      </c>
      <c r="G1289" s="0" t="str">
        <f aca="false">Chase1168_2025!G1289</f>
        <v>Personal - Food</v>
      </c>
      <c r="H1289" s="15" t="n">
        <f aca="false">IF($B1289="","",DATE(YEAR($B1289),MONTH($B1289),1))</f>
        <v>45748</v>
      </c>
      <c r="I1289" s="0" t="str">
        <f aca="false">IF($G1289="","Uncategorized — Review",IFERROR(INDEX(Mapping!$B:$B,MATCH($G1289,Mapping!$A:$A,0)),"Uncategorized — Review"))</f>
        <v>Personal - Food &amp; Dining</v>
      </c>
      <c r="J1289" s="0" t="str">
        <f aca="false">IF($G1289="","Uncategorized — Review",IFERROR(INDEX(Mapping!$C:$C,MATCH($G1289,Mapping!$A:$A,0)),"Uncategorized — Review"))</f>
        <v>Personal — Owner</v>
      </c>
    </row>
    <row r="1290" customFormat="false" ht="15" hidden="false" customHeight="false" outlineLevel="0" collapsed="false">
      <c r="A1290" s="0" t="str">
        <f aca="false">Chase1168_2025!A1290</f>
        <v>DEBIT</v>
      </c>
      <c r="B1290" s="14" t="n">
        <f aca="false">Chase1168_2025!B1290</f>
        <v>45763</v>
      </c>
      <c r="C1290" s="0" t="str">
        <f aca="false">Chase1168_2025!C1290</f>
        <v>PAYPAL *EPOCH TIMES T 833-699-1888 NY        04/15</v>
      </c>
      <c r="D1290" s="7" t="n">
        <f aca="false">Chase1168_2025!D1290</f>
        <v>-16</v>
      </c>
      <c r="E1290" s="0" t="str">
        <f aca="false">Chase1168_2025!E1290</f>
        <v>DEBIT_CARD</v>
      </c>
      <c r="F1290" s="7" t="n">
        <f aca="false">Chase1168_2025!F1290</f>
        <v>29608.16</v>
      </c>
      <c r="G1290" s="0" t="str">
        <f aca="false">Chase1168_2025!G1290</f>
        <v>Personal - Subscriptions</v>
      </c>
      <c r="H1290" s="15" t="n">
        <f aca="false">IF($B1290="","",DATE(YEAR($B1290),MONTH($B1290),1))</f>
        <v>45748</v>
      </c>
      <c r="I1290" s="0" t="str">
        <f aca="false">IF($G1290="","Uncategorized — Review",IFERROR(INDEX(Mapping!$B:$B,MATCH($G1290,Mapping!$A:$A,0)),"Uncategorized — Review"))</f>
        <v>Personal - Subscriptions</v>
      </c>
      <c r="J1290" s="0" t="str">
        <f aca="false">IF($G1290="","Uncategorized — Review",IFERROR(INDEX(Mapping!$C:$C,MATCH($G1290,Mapping!$A:$A,0)),"Uncategorized — Review"))</f>
        <v>Personal — Owner</v>
      </c>
    </row>
    <row r="1291" customFormat="false" ht="15" hidden="false" customHeight="false" outlineLevel="0" collapsed="false">
      <c r="A1291" s="0" t="str">
        <f aca="false">Chase1168_2025!A1291</f>
        <v>DEBIT</v>
      </c>
      <c r="B1291" s="14" t="n">
        <f aca="false">Chase1168_2025!B1291</f>
        <v>45762</v>
      </c>
      <c r="C1291" s="0" t="str">
        <f aca="false">Chase1168_2025!C1291</f>
        <v>RESTORE.COM RESTORE.COM TX                   04/15</v>
      </c>
      <c r="D1291" s="7" t="n">
        <f aca="false">Chase1168_2025!D1291</f>
        <v>-199</v>
      </c>
      <c r="E1291" s="0" t="str">
        <f aca="false">Chase1168_2025!E1291</f>
        <v>DEBIT_CARD</v>
      </c>
      <c r="F1291" s="7" t="n">
        <f aca="false">Chase1168_2025!F1291</f>
        <v>29624.16</v>
      </c>
      <c r="G1291" s="0" t="str">
        <f aca="false">Chase1168_2025!G1291</f>
        <v>Personal - Health</v>
      </c>
      <c r="H1291" s="15" t="n">
        <f aca="false">IF($B1291="","",DATE(YEAR($B1291),MONTH($B1291),1))</f>
        <v>45748</v>
      </c>
      <c r="I1291" s="0" t="str">
        <f aca="false">IF($G1291="","Uncategorized — Review",IFERROR(INDEX(Mapping!$B:$B,MATCH($G1291,Mapping!$A:$A,0)),"Uncategorized — Review"))</f>
        <v>Personal - Health (incl. Ins.)</v>
      </c>
      <c r="J1291" s="0" t="str">
        <f aca="false">IF($G1291="","Uncategorized — Review",IFERROR(INDEX(Mapping!$C:$C,MATCH($G1291,Mapping!$A:$A,0)),"Uncategorized — Review"))</f>
        <v>Personal — Owner</v>
      </c>
    </row>
    <row r="1292" customFormat="false" ht="15" hidden="false" customHeight="false" outlineLevel="0" collapsed="false">
      <c r="A1292" s="0" t="str">
        <f aca="false">Chase1168_2025!A1292</f>
        <v>DEBIT</v>
      </c>
      <c r="B1292" s="14" t="n">
        <f aca="false">Chase1168_2025!B1292</f>
        <v>45762</v>
      </c>
      <c r="C1292" s="0" t="str">
        <f aca="false">Chase1168_2025!C1292</f>
        <v>PP*APPLE.COM/BILL 800-275-2273 CA            04/15</v>
      </c>
      <c r="D1292" s="7" t="n">
        <f aca="false">Chase1168_2025!D1292</f>
        <v>-8.99</v>
      </c>
      <c r="E1292" s="0" t="str">
        <f aca="false">Chase1168_2025!E1292</f>
        <v>DEBIT_CARD</v>
      </c>
      <c r="F1292" s="7" t="n">
        <f aca="false">Chase1168_2025!F1292</f>
        <v>29823.16</v>
      </c>
      <c r="G1292" s="0" t="str">
        <f aca="false">Chase1168_2025!G1292</f>
        <v>Personal - Subscriptions</v>
      </c>
      <c r="H1292" s="15" t="n">
        <f aca="false">IF($B1292="","",DATE(YEAR($B1292),MONTH($B1292),1))</f>
        <v>45748</v>
      </c>
      <c r="I1292" s="0" t="str">
        <f aca="false">IF($G1292="","Uncategorized — Review",IFERROR(INDEX(Mapping!$B:$B,MATCH($G1292,Mapping!$A:$A,0)),"Uncategorized — Review"))</f>
        <v>Personal - Subscriptions</v>
      </c>
      <c r="J1292" s="0" t="str">
        <f aca="false">IF($G1292="","Uncategorized — Review",IFERROR(INDEX(Mapping!$C:$C,MATCH($G1292,Mapping!$A:$A,0)),"Uncategorized — Review"))</f>
        <v>Personal — Owner</v>
      </c>
    </row>
    <row r="1293" customFormat="false" ht="15" hidden="false" customHeight="false" outlineLevel="0" collapsed="false">
      <c r="A1293" s="0" t="str">
        <f aca="false">Chase1168_2025!A1293</f>
        <v>DEBIT</v>
      </c>
      <c r="B1293" s="14" t="n">
        <f aca="false">Chase1168_2025!B1293</f>
        <v>45762</v>
      </c>
      <c r="C1293" s="0" t="str">
        <f aca="false">Chase1168_2025!C1293</f>
        <v>PP*GOOGLE GOOGLE ONE 855-836-3987 CA         04/15</v>
      </c>
      <c r="D1293" s="7" t="n">
        <f aca="false">Chase1168_2025!D1293</f>
        <v>-1.99</v>
      </c>
      <c r="E1293" s="0" t="str">
        <f aca="false">Chase1168_2025!E1293</f>
        <v>DEBIT_CARD</v>
      </c>
      <c r="F1293" s="7" t="n">
        <f aca="false">Chase1168_2025!F1293</f>
        <v>29832.15</v>
      </c>
      <c r="G1293" s="0" t="str">
        <f aca="false">Chase1168_2025!G1293</f>
        <v>Personal - Subscriptions</v>
      </c>
      <c r="H1293" s="15" t="n">
        <f aca="false">IF($B1293="","",DATE(YEAR($B1293),MONTH($B1293),1))</f>
        <v>45748</v>
      </c>
      <c r="I1293" s="0" t="str">
        <f aca="false">IF($G1293="","Uncategorized — Review",IFERROR(INDEX(Mapping!$B:$B,MATCH($G1293,Mapping!$A:$A,0)),"Uncategorized — Review"))</f>
        <v>Personal - Subscriptions</v>
      </c>
      <c r="J1293" s="0" t="str">
        <f aca="false">IF($G1293="","Uncategorized — Review",IFERROR(INDEX(Mapping!$C:$C,MATCH($G1293,Mapping!$A:$A,0)),"Uncategorized — Review"))</f>
        <v>Personal — Owner</v>
      </c>
    </row>
    <row r="1294" customFormat="false" ht="15" hidden="false" customHeight="false" outlineLevel="0" collapsed="false">
      <c r="A1294" s="0" t="str">
        <f aca="false">Chase1168_2025!A1294</f>
        <v>DEBIT</v>
      </c>
      <c r="B1294" s="14" t="n">
        <f aca="false">Chase1168_2025!B1294</f>
        <v>45762</v>
      </c>
      <c r="C1294" s="0" t="str">
        <f aca="false">Chase1168_2025!C1294</f>
        <v>UPWORK * -799000117 866-262-4478 CA          04/14</v>
      </c>
      <c r="D1294" s="7" t="n">
        <f aca="false">Chase1168_2025!D1294</f>
        <v>-140</v>
      </c>
      <c r="E1294" s="0" t="str">
        <f aca="false">Chase1168_2025!E1294</f>
        <v>DEBIT_CARD</v>
      </c>
      <c r="F1294" s="7" t="n">
        <f aca="false">Chase1168_2025!F1294</f>
        <v>29834.14</v>
      </c>
      <c r="G1294" s="0" t="str">
        <f aca="false">Chase1168_2025!G1294</f>
        <v>Upwork - Sergei M.</v>
      </c>
      <c r="H1294" s="15" t="n">
        <f aca="false">IF($B1294="","",DATE(YEAR($B1294),MONTH($B1294),1))</f>
        <v>45748</v>
      </c>
      <c r="I1294" s="0" t="str">
        <f aca="false">IF($G1294="","Uncategorized — Review",IFERROR(INDEX(Mapping!$B:$B,MATCH($G1294,Mapping!$A:$A,0)),"Uncategorized — Review"))</f>
        <v>Upwork - Sergei M.</v>
      </c>
      <c r="J1294" s="0" t="str">
        <f aca="false">IF($G1294="","Uncategorized — Review",IFERROR(INDEX(Mapping!$C:$C,MATCH($G1294,Mapping!$A:$A,0)),"Uncategorized — Review"))</f>
        <v>Payroll &amp; Contractors</v>
      </c>
    </row>
    <row r="1295" customFormat="false" ht="15" hidden="false" customHeight="false" outlineLevel="0" collapsed="false">
      <c r="A1295" s="0" t="str">
        <f aca="false">Chase1168_2025!A1295</f>
        <v>DEBIT</v>
      </c>
      <c r="B1295" s="14" t="n">
        <f aca="false">Chase1168_2025!B1295</f>
        <v>45762</v>
      </c>
      <c r="C1295" s="0" t="str">
        <f aca="false">Chase1168_2025!C1295</f>
        <v>PP*APPLE.COM/BILL 800-275-2273 CA            04/14</v>
      </c>
      <c r="D1295" s="7" t="n">
        <f aca="false">Chase1168_2025!D1295</f>
        <v>-10.99</v>
      </c>
      <c r="E1295" s="0" t="str">
        <f aca="false">Chase1168_2025!E1295</f>
        <v>DEBIT_CARD</v>
      </c>
      <c r="F1295" s="7" t="n">
        <f aca="false">Chase1168_2025!F1295</f>
        <v>29974.14</v>
      </c>
      <c r="G1295" s="0" t="str">
        <f aca="false">Chase1168_2025!G1295</f>
        <v>Personal - Subscriptions</v>
      </c>
      <c r="H1295" s="15" t="n">
        <f aca="false">IF($B1295="","",DATE(YEAR($B1295),MONTH($B1295),1))</f>
        <v>45748</v>
      </c>
      <c r="I1295" s="0" t="str">
        <f aca="false">IF($G1295="","Uncategorized — Review",IFERROR(INDEX(Mapping!$B:$B,MATCH($G1295,Mapping!$A:$A,0)),"Uncategorized — Review"))</f>
        <v>Personal - Subscriptions</v>
      </c>
      <c r="J1295" s="0" t="str">
        <f aca="false">IF($G1295="","Uncategorized — Review",IFERROR(INDEX(Mapping!$C:$C,MATCH($G1295,Mapping!$A:$A,0)),"Uncategorized — Review"))</f>
        <v>Personal — Owner</v>
      </c>
    </row>
    <row r="1296" customFormat="false" ht="15" hidden="false" customHeight="false" outlineLevel="0" collapsed="false">
      <c r="A1296" s="0" t="str">
        <f aca="false">Chase1168_2025!A1296</f>
        <v>DEBIT</v>
      </c>
      <c r="B1296" s="14" t="n">
        <f aca="false">Chase1168_2025!B1296</f>
        <v>45761</v>
      </c>
      <c r="C1296" s="0" t="str">
        <f aca="false">Chase1168_2025!C1296</f>
        <v>ORIG CO NAME:VENMO                  ORIG ID:3264681992 DESC DATE:250413 CO ENTRY DESCR:PAYMENT   SEC:WEB    TRACE#:021000023368893 EED:250414   IND ID:1041515392991                IND NAME:JUDD DUNNING                                                                                                 250413PPZPU3 TRN: 1043368893TC</v>
      </c>
      <c r="D1296" s="7" t="n">
        <f aca="false">Chase1168_2025!D1296</f>
        <v>-150</v>
      </c>
      <c r="E1296" s="0" t="str">
        <f aca="false">Chase1168_2025!E1296</f>
        <v>ACH_DEBIT</v>
      </c>
      <c r="F1296" s="7" t="n">
        <f aca="false">Chase1168_2025!F1296</f>
        <v>29985.13</v>
      </c>
      <c r="G1296" s="0" t="str">
        <f aca="false">Chase1168_2025!G1296</f>
        <v>Venmo</v>
      </c>
      <c r="H1296" s="15" t="n">
        <f aca="false">IF($B1296="","",DATE(YEAR($B1296),MONTH($B1296),1))</f>
        <v>45748</v>
      </c>
      <c r="I1296" s="0" t="str">
        <f aca="false">IF($G1296="","Uncategorized — Review",IFERROR(INDEX(Mapping!$B:$B,MATCH($G1296,Mapping!$A:$A,0)),"Uncategorized — Review"))</f>
        <v>Venmo</v>
      </c>
      <c r="J1296" s="0" t="str">
        <f aca="false">IF($G1296="","Uncategorized — Review",IFERROR(INDEX(Mapping!$C:$C,MATCH($G1296,Mapping!$A:$A,0)),"Uncategorized — Review"))</f>
        <v>P2P Payments (Zelle/Venmo/PayPal)</v>
      </c>
    </row>
    <row r="1297" customFormat="false" ht="15" hidden="false" customHeight="false" outlineLevel="0" collapsed="false">
      <c r="A1297" s="0" t="str">
        <f aca="false">Chase1168_2025!A1297</f>
        <v>DEBIT</v>
      </c>
      <c r="B1297" s="14" t="n">
        <f aca="false">Chase1168_2025!B1297</f>
        <v>45761</v>
      </c>
      <c r="C1297" s="0" t="str">
        <f aca="false">Chase1168_2025!C1297</f>
        <v>PP*APPLE.COM/BILL 800-275-2273 CA            04/12</v>
      </c>
      <c r="D1297" s="7" t="n">
        <f aca="false">Chase1168_2025!D1297</f>
        <v>-17.99</v>
      </c>
      <c r="E1297" s="0" t="str">
        <f aca="false">Chase1168_2025!E1297</f>
        <v>DEBIT_CARD</v>
      </c>
      <c r="F1297" s="7" t="n">
        <f aca="false">Chase1168_2025!F1297</f>
        <v>30135.13</v>
      </c>
      <c r="G1297" s="0" t="str">
        <f aca="false">Chase1168_2025!G1297</f>
        <v>Personal - Subscriptions</v>
      </c>
      <c r="H1297" s="15" t="n">
        <f aca="false">IF($B1297="","",DATE(YEAR($B1297),MONTH($B1297),1))</f>
        <v>45748</v>
      </c>
      <c r="I1297" s="0" t="str">
        <f aca="false">IF($G1297="","Uncategorized — Review",IFERROR(INDEX(Mapping!$B:$B,MATCH($G1297,Mapping!$A:$A,0)),"Uncategorized — Review"))</f>
        <v>Personal - Subscriptions</v>
      </c>
      <c r="J1297" s="0" t="str">
        <f aca="false">IF($G1297="","Uncategorized — Review",IFERROR(INDEX(Mapping!$C:$C,MATCH($G1297,Mapping!$A:$A,0)),"Uncategorized — Review"))</f>
        <v>Personal — Owner</v>
      </c>
    </row>
    <row r="1298" customFormat="false" ht="15" hidden="false" customHeight="false" outlineLevel="0" collapsed="false">
      <c r="A1298" s="0" t="str">
        <f aca="false">Chase1168_2025!A1298</f>
        <v>DEBIT</v>
      </c>
      <c r="B1298" s="14" t="n">
        <f aca="false">Chase1168_2025!B1298</f>
        <v>45761</v>
      </c>
      <c r="C1298" s="0" t="str">
        <f aca="false">Chase1168_2025!C1298</f>
        <v>PAYPAL *HULU 877-801-5441 CA                 04/12</v>
      </c>
      <c r="D1298" s="7" t="n">
        <f aca="false">Chase1168_2025!D1298</f>
        <v>-18.99</v>
      </c>
      <c r="E1298" s="0" t="str">
        <f aca="false">Chase1168_2025!E1298</f>
        <v>DEBIT_CARD</v>
      </c>
      <c r="F1298" s="7" t="n">
        <f aca="false">Chase1168_2025!F1298</f>
        <v>30153.12</v>
      </c>
      <c r="G1298" s="0" t="str">
        <f aca="false">Chase1168_2025!G1298</f>
        <v>Personal - Subscriptions</v>
      </c>
      <c r="H1298" s="15" t="n">
        <f aca="false">IF($B1298="","",DATE(YEAR($B1298),MONTH($B1298),1))</f>
        <v>45748</v>
      </c>
      <c r="I1298" s="0" t="str">
        <f aca="false">IF($G1298="","Uncategorized — Review",IFERROR(INDEX(Mapping!$B:$B,MATCH($G1298,Mapping!$A:$A,0)),"Uncategorized — Review"))</f>
        <v>Personal - Subscriptions</v>
      </c>
      <c r="J1298" s="0" t="str">
        <f aca="false">IF($G1298="","Uncategorized — Review",IFERROR(INDEX(Mapping!$C:$C,MATCH($G1298,Mapping!$A:$A,0)),"Uncategorized — Review"))</f>
        <v>Personal — Owner</v>
      </c>
    </row>
    <row r="1299" customFormat="false" ht="15" hidden="false" customHeight="false" outlineLevel="0" collapsed="false">
      <c r="A1299" s="0" t="str">
        <f aca="false">Chase1168_2025!A1299</f>
        <v>DEBIT</v>
      </c>
      <c r="B1299" s="14" t="n">
        <f aca="false">Chase1168_2025!B1299</f>
        <v>45761</v>
      </c>
      <c r="C1299" s="0" t="str">
        <f aca="false">Chase1168_2025!C1299</f>
        <v>PP*P35C83A43C 203-318-9708 NY                04/12</v>
      </c>
      <c r="D1299" s="7" t="n">
        <f aca="false">Chase1168_2025!D1299</f>
        <v>-11.99</v>
      </c>
      <c r="E1299" s="0" t="str">
        <f aca="false">Chase1168_2025!E1299</f>
        <v>DEBIT_CARD</v>
      </c>
      <c r="F1299" s="7" t="n">
        <f aca="false">Chase1168_2025!F1299</f>
        <v>30172.11</v>
      </c>
      <c r="G1299" s="0" t="str">
        <f aca="false">Chase1168_2025!G1299</f>
        <v>Paypal</v>
      </c>
      <c r="H1299" s="15" t="n">
        <f aca="false">IF($B1299="","",DATE(YEAR($B1299),MONTH($B1299),1))</f>
        <v>45748</v>
      </c>
      <c r="I1299" s="0" t="str">
        <f aca="false">IF($G1299="","Uncategorized — Review",IFERROR(INDEX(Mapping!$B:$B,MATCH($G1299,Mapping!$A:$A,0)),"Uncategorized — Review"))</f>
        <v>PayPal</v>
      </c>
      <c r="J1299" s="0" t="str">
        <f aca="false">IF($G1299="","Uncategorized — Review",IFERROR(INDEX(Mapping!$C:$C,MATCH($G1299,Mapping!$A:$A,0)),"Uncategorized — Review"))</f>
        <v>P2P Payments (Zelle/Venmo/PayPal)</v>
      </c>
    </row>
    <row r="1300" customFormat="false" ht="15" hidden="false" customHeight="false" outlineLevel="0" collapsed="false">
      <c r="A1300" s="0" t="str">
        <f aca="false">Chase1168_2025!A1300</f>
        <v>DEBIT</v>
      </c>
      <c r="B1300" s="14" t="n">
        <f aca="false">Chase1168_2025!B1300</f>
        <v>45761</v>
      </c>
      <c r="C1300" s="0" t="str">
        <f aca="false">Chase1168_2025!C1300</f>
        <v>PAYPAL *UBERPAYMENT 35314369001              04/10</v>
      </c>
      <c r="D1300" s="7" t="n">
        <f aca="false">Chase1168_2025!D1300</f>
        <v>-1.16</v>
      </c>
      <c r="E1300" s="0" t="str">
        <f aca="false">Chase1168_2025!E1300</f>
        <v>DEBIT_CARD</v>
      </c>
      <c r="F1300" s="7" t="n">
        <f aca="false">Chase1168_2025!F1300</f>
        <v>30184.1</v>
      </c>
      <c r="G1300" s="0" t="str">
        <f aca="false">Chase1168_2025!G1300</f>
        <v>Personal - Car</v>
      </c>
      <c r="H1300" s="15" t="n">
        <f aca="false">IF($B1300="","",DATE(YEAR($B1300),MONTH($B1300),1))</f>
        <v>45748</v>
      </c>
      <c r="I1300" s="0" t="str">
        <f aca="false">IF($G1300="","Uncategorized — Review",IFERROR(INDEX(Mapping!$B:$B,MATCH($G1300,Mapping!$A:$A,0)),"Uncategorized — Review"))</f>
        <v>Personal - Car &amp; Auto</v>
      </c>
      <c r="J1300" s="0" t="str">
        <f aca="false">IF($G1300="","Uncategorized — Review",IFERROR(INDEX(Mapping!$C:$C,MATCH($G1300,Mapping!$A:$A,0)),"Uncategorized — Review"))</f>
        <v>Personal — Owner</v>
      </c>
    </row>
    <row r="1301" customFormat="false" ht="15" hidden="false" customHeight="false" outlineLevel="0" collapsed="false">
      <c r="A1301" s="0" t="str">
        <f aca="false">Chase1168_2025!A1301</f>
        <v>DEBIT</v>
      </c>
      <c r="B1301" s="14" t="n">
        <f aca="false">Chase1168_2025!B1301</f>
        <v>45758</v>
      </c>
      <c r="C1301" s="0" t="str">
        <f aca="false">Chase1168_2025!C1301</f>
        <v>ORIG CO NAME:BANNER LIFE            ORIG ID:1521236145 DESC DATE:250410 CO ENTRY DESCR:PREM DEBITSEC:PPD    TRACE#:091000011634032 EED:250411   IND ID:                             IND NAME:ANGELA L DUNNING TRN: 1011634032TC</v>
      </c>
      <c r="D1301" s="7" t="n">
        <f aca="false">Chase1168_2025!D1301</f>
        <v>-171.21</v>
      </c>
      <c r="E1301" s="0" t="str">
        <f aca="false">Chase1168_2025!E1301</f>
        <v>ACH_DEBIT</v>
      </c>
      <c r="F1301" s="7" t="n">
        <f aca="false">Chase1168_2025!F1301</f>
        <v>30185.26</v>
      </c>
      <c r="G1301" s="0" t="str">
        <f aca="false">Chase1168_2025!G1301</f>
        <v>Personal - Life Insurance</v>
      </c>
      <c r="H1301" s="15" t="n">
        <f aca="false">IF($B1301="","",DATE(YEAR($B1301),MONTH($B1301),1))</f>
        <v>45748</v>
      </c>
      <c r="I1301" s="0" t="str">
        <f aca="false">IF($G1301="","Uncategorized — Review",IFERROR(INDEX(Mapping!$B:$B,MATCH($G1301,Mapping!$A:$A,0)),"Uncategorized — Review"))</f>
        <v>Personal - Life Insurance</v>
      </c>
      <c r="J1301" s="0" t="str">
        <f aca="false">IF($G1301="","Uncategorized — Review",IFERROR(INDEX(Mapping!$C:$C,MATCH($G1301,Mapping!$A:$A,0)),"Uncategorized — Review"))</f>
        <v>Personal — Owner</v>
      </c>
    </row>
    <row r="1302" customFormat="false" ht="15" hidden="false" customHeight="false" outlineLevel="0" collapsed="false">
      <c r="A1302" s="0" t="str">
        <f aca="false">Chase1168_2025!A1302</f>
        <v>DEBIT</v>
      </c>
      <c r="B1302" s="14" t="n">
        <f aca="false">Chase1168_2025!B1302</f>
        <v>45758</v>
      </c>
      <c r="C1302" s="0" t="str">
        <f aca="false">Chase1168_2025!C1302</f>
        <v>ORIG CO NAME:GM Financial           ORIG ID:I522190781 DESC DATE:250411 CO ENTRY DESCR:GMF Pymt  SEC:PPD    TRACE#:091000011684640 EED:250411   IND ID:                             IND NAME:ANGELA DUNNING TRN: 1011684640TC</v>
      </c>
      <c r="D1302" s="7" t="n">
        <f aca="false">Chase1168_2025!D1302</f>
        <v>-1249.96</v>
      </c>
      <c r="E1302" s="0" t="str">
        <f aca="false">Chase1168_2025!E1302</f>
        <v>ACH_DEBIT</v>
      </c>
      <c r="F1302" s="7" t="n">
        <f aca="false">Chase1168_2025!F1302</f>
        <v>30356.47</v>
      </c>
      <c r="G1302" s="0" t="str">
        <f aca="false">Chase1168_2025!G1302</f>
        <v>Personal - Car</v>
      </c>
      <c r="H1302" s="15" t="n">
        <f aca="false">IF($B1302="","",DATE(YEAR($B1302),MONTH($B1302),1))</f>
        <v>45748</v>
      </c>
      <c r="I1302" s="0" t="str">
        <f aca="false">IF($G1302="","Uncategorized — Review",IFERROR(INDEX(Mapping!$B:$B,MATCH($G1302,Mapping!$A:$A,0)),"Uncategorized — Review"))</f>
        <v>Personal - Car &amp; Auto</v>
      </c>
      <c r="J1302" s="0" t="str">
        <f aca="false">IF($G1302="","Uncategorized — Review",IFERROR(INDEX(Mapping!$C:$C,MATCH($G1302,Mapping!$A:$A,0)),"Uncategorized — Review"))</f>
        <v>Personal — Owner</v>
      </c>
    </row>
    <row r="1303" customFormat="false" ht="15" hidden="false" customHeight="false" outlineLevel="0" collapsed="false">
      <c r="A1303" s="0" t="str">
        <f aca="false">Chase1168_2025!A1303</f>
        <v>DEBIT</v>
      </c>
      <c r="B1303" s="14" t="n">
        <f aca="false">Chase1168_2025!B1303</f>
        <v>45758</v>
      </c>
      <c r="C1303" s="0" t="str">
        <f aca="false">Chase1168_2025!C1303</f>
        <v>ORIG CO NAME:ALLSTATE V&amp;P INS       ORIG ID:1360719665 DESC DATE:APR 25 CO ENTRY DESCR:INS PREM  SEC:PPD    TRACE#:021000022805121 EED:250411   IND ID:                             IND NAME:DUNNING TRN: 1012805121TC</v>
      </c>
      <c r="D1303" s="7" t="n">
        <f aca="false">Chase1168_2025!D1303</f>
        <v>-1533.74</v>
      </c>
      <c r="E1303" s="0" t="str">
        <f aca="false">Chase1168_2025!E1303</f>
        <v>ACH_DEBIT</v>
      </c>
      <c r="F1303" s="7" t="n">
        <f aca="false">Chase1168_2025!F1303</f>
        <v>31606.43</v>
      </c>
      <c r="G1303" s="0" t="str">
        <f aca="false">Chase1168_2025!G1303</f>
        <v>Personal - Car Insurance</v>
      </c>
      <c r="H1303" s="15" t="n">
        <f aca="false">IF($B1303="","",DATE(YEAR($B1303),MONTH($B1303),1))</f>
        <v>45748</v>
      </c>
      <c r="I1303" s="0" t="str">
        <f aca="false">IF($G1303="","Uncategorized — Review",IFERROR(INDEX(Mapping!$B:$B,MATCH($G1303,Mapping!$A:$A,0)),"Uncategorized — Review"))</f>
        <v>Personal - Car &amp; Auto</v>
      </c>
      <c r="J1303" s="0" t="str">
        <f aca="false">IF($G1303="","Uncategorized — Review",IFERROR(INDEX(Mapping!$C:$C,MATCH($G1303,Mapping!$A:$A,0)),"Uncategorized — Review"))</f>
        <v>Personal — Owner</v>
      </c>
    </row>
    <row r="1304" customFormat="false" ht="15" hidden="false" customHeight="false" outlineLevel="0" collapsed="false">
      <c r="A1304" s="0" t="str">
        <f aca="false">Chase1168_2025!A1304</f>
        <v>DEBIT</v>
      </c>
      <c r="B1304" s="14" t="n">
        <f aca="false">Chase1168_2025!B1304</f>
        <v>45757</v>
      </c>
      <c r="C1304" s="0" t="str">
        <f aca="false">Chase1168_2025!C1304</f>
        <v>ONLINE FX INTERNATIONAL WIRE FEE</v>
      </c>
      <c r="D1304" s="7" t="n">
        <f aca="false">Chase1168_2025!D1304</f>
        <v>-5</v>
      </c>
      <c r="E1304" s="0" t="str">
        <f aca="false">Chase1168_2025!E1304</f>
        <v>FEE_TRANSACTION</v>
      </c>
      <c r="F1304" s="7" t="n">
        <f aca="false">Chase1168_2025!F1304</f>
        <v>33140.17</v>
      </c>
      <c r="G1304" s="0" t="str">
        <f aca="false">Chase1168_2025!G1304</f>
        <v>Andres Alarcon Payroll</v>
      </c>
      <c r="H1304" s="15" t="n">
        <f aca="false">IF($B1304="","",DATE(YEAR($B1304),MONTH($B1304),1))</f>
        <v>45748</v>
      </c>
      <c r="I1304" s="0" t="str">
        <f aca="false">IF($G1304="","Uncategorized — Review",IFERROR(INDEX(Mapping!$B:$B,MATCH($G1304,Mapping!$A:$A,0)),"Uncategorized — Review"))</f>
        <v>Andres Alarcon Payroll</v>
      </c>
      <c r="J1304" s="0" t="str">
        <f aca="false">IF($G1304="","Uncategorized — Review",IFERROR(INDEX(Mapping!$C:$C,MATCH($G1304,Mapping!$A:$A,0)),"Uncategorized — Review"))</f>
        <v>Payroll &amp; Contractors</v>
      </c>
    </row>
    <row r="1305" customFormat="false" ht="15" hidden="false" customHeight="false" outlineLevel="0" collapsed="false">
      <c r="A1305" s="0" t="str">
        <f aca="false">Chase1168_2025!A1305</f>
        <v>DEBIT</v>
      </c>
      <c r="B1305" s="14" t="n">
        <f aca="false">Chase1168_2025!B1305</f>
        <v>45757</v>
      </c>
      <c r="C1305" s="0" t="str">
        <f aca="false">Chase1168_2025!C1305</f>
        <v>ORIG CO NAME:AMERICAN EXPRESS       ORIG ID:2005032111 DESC DATE:250410 CO ENTRY DESCR:ACH PMT   SEC:TEL    TRACE#:021000022367244 EED:250410   IND ID:R3222                        IND NAME:John Dunning                                                                                                 ER AM TRN: 1002367244TC</v>
      </c>
      <c r="D1305" s="7" t="n">
        <f aca="false">Chase1168_2025!D1305</f>
        <v>-884.7</v>
      </c>
      <c r="E1305" s="0" t="str">
        <f aca="false">Chase1168_2025!E1305</f>
        <v>ACH_DEBIT</v>
      </c>
      <c r="F1305" s="7" t="n">
        <f aca="false">Chase1168_2025!F1305</f>
        <v>33145.17</v>
      </c>
      <c r="G1305" s="0" t="str">
        <f aca="false">Chase1168_2025!G1305</f>
        <v>American Express Credit Card PMT</v>
      </c>
      <c r="H1305" s="15" t="n">
        <f aca="false">IF($B1305="","",DATE(YEAR($B1305),MONTH($B1305),1))</f>
        <v>45748</v>
      </c>
      <c r="I1305" s="0" t="str">
        <f aca="false">IF($G1305="","Uncategorized — Review",IFERROR(INDEX(Mapping!$B:$B,MATCH($G1305,Mapping!$A:$A,0)),"Uncategorized — Review"))</f>
        <v>American Express Credit Card PMT</v>
      </c>
      <c r="J1305" s="0" t="str">
        <f aca="false">IF($G1305="","Uncategorized — Review",IFERROR(INDEX(Mapping!$C:$C,MATCH($G1305,Mapping!$A:$A,0)),"Uncategorized — Review"))</f>
        <v>Credit Card &amp; Loan Payments</v>
      </c>
    </row>
    <row r="1306" customFormat="false" ht="15" hidden="false" customHeight="false" outlineLevel="0" collapsed="false">
      <c r="A1306" s="0" t="str">
        <f aca="false">Chase1168_2025!A1306</f>
        <v>DEBIT</v>
      </c>
      <c r="B1306" s="14" t="n">
        <f aca="false">Chase1168_2025!B1306</f>
        <v>45757</v>
      </c>
      <c r="C1306" s="0" t="str">
        <f aca="false">Chase1168_2025!C1306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ENTS/OCMT/COP3122597,33/EXCH/4163.4 631/CNTR/61810155/INT/ANDRES_527 TRN: 8584600100RE 04/10</v>
      </c>
      <c r="D1306" s="7" t="n">
        <f aca="false">Chase1168_2025!D1306</f>
        <v>-750</v>
      </c>
      <c r="E1306" s="0" t="str">
        <f aca="false">Chase1168_2025!E1306</f>
        <v>WIRE_OUTGOING</v>
      </c>
      <c r="F1306" s="7" t="n">
        <f aca="false">Chase1168_2025!F1306</f>
        <v>34029.87</v>
      </c>
      <c r="G1306" s="0" t="str">
        <f aca="false">Chase1168_2025!G1306</f>
        <v>Andres Alarcon Payroll</v>
      </c>
      <c r="H1306" s="15" t="n">
        <f aca="false">IF($B1306="","",DATE(YEAR($B1306),MONTH($B1306),1))</f>
        <v>45748</v>
      </c>
      <c r="I1306" s="0" t="str">
        <f aca="false">IF($G1306="","Uncategorized — Review",IFERROR(INDEX(Mapping!$B:$B,MATCH($G1306,Mapping!$A:$A,0)),"Uncategorized — Review"))</f>
        <v>Andres Alarcon Payroll</v>
      </c>
      <c r="J1306" s="0" t="str">
        <f aca="false">IF($G1306="","Uncategorized — Review",IFERROR(INDEX(Mapping!$C:$C,MATCH($G1306,Mapping!$A:$A,0)),"Uncategorized — Review"))</f>
        <v>Payroll &amp; Contractors</v>
      </c>
    </row>
    <row r="1307" customFormat="false" ht="15" hidden="false" customHeight="false" outlineLevel="0" collapsed="false">
      <c r="A1307" s="0" t="str">
        <f aca="false">Chase1168_2025!A1307</f>
        <v>DEBIT</v>
      </c>
      <c r="B1307" s="14" t="n">
        <f aca="false">Chase1168_2025!B1307</f>
        <v>45757</v>
      </c>
      <c r="C1307" s="0" t="str">
        <f aca="false">Chase1168_2025!C1307</f>
        <v>HLU*HULUPLUS hulu.com/bill CA                04/10</v>
      </c>
      <c r="D1307" s="7" t="n">
        <f aca="false">Chase1168_2025!D1307</f>
        <v>-53.97</v>
      </c>
      <c r="E1307" s="0" t="str">
        <f aca="false">Chase1168_2025!E1307</f>
        <v>DEBIT_CARD</v>
      </c>
      <c r="F1307" s="7" t="n">
        <f aca="false">Chase1168_2025!F1307</f>
        <v>34779.87</v>
      </c>
      <c r="G1307" s="0" t="str">
        <f aca="false">Chase1168_2025!G1307</f>
        <v>Personal - Subscriptions</v>
      </c>
      <c r="H1307" s="15" t="n">
        <f aca="false">IF($B1307="","",DATE(YEAR($B1307),MONTH($B1307),1))</f>
        <v>45748</v>
      </c>
      <c r="I1307" s="0" t="str">
        <f aca="false">IF($G1307="","Uncategorized — Review",IFERROR(INDEX(Mapping!$B:$B,MATCH($G1307,Mapping!$A:$A,0)),"Uncategorized — Review"))</f>
        <v>Personal - Subscriptions</v>
      </c>
      <c r="J1307" s="0" t="str">
        <f aca="false">IF($G1307="","Uncategorized — Review",IFERROR(INDEX(Mapping!$C:$C,MATCH($G1307,Mapping!$A:$A,0)),"Uncategorized — Review"))</f>
        <v>Personal — Owner</v>
      </c>
    </row>
    <row r="1308" customFormat="false" ht="15" hidden="false" customHeight="false" outlineLevel="0" collapsed="false">
      <c r="A1308" s="0" t="str">
        <f aca="false">Chase1168_2025!A1308</f>
        <v>DEBIT</v>
      </c>
      <c r="B1308" s="14" t="n">
        <f aca="false">Chase1168_2025!B1308</f>
        <v>45757</v>
      </c>
      <c r="C1308" s="0" t="str">
        <f aca="false">Chase1168_2025!C1308</f>
        <v>TRADER JOE S #119 WEST LOS ANGE CA           04/09</v>
      </c>
      <c r="D1308" s="7" t="n">
        <f aca="false">Chase1168_2025!D1308</f>
        <v>-49.48</v>
      </c>
      <c r="E1308" s="0" t="str">
        <f aca="false">Chase1168_2025!E1308</f>
        <v>DEBIT_CARD</v>
      </c>
      <c r="F1308" s="7" t="n">
        <f aca="false">Chase1168_2025!F1308</f>
        <v>34833.84</v>
      </c>
      <c r="G1308" s="0" t="str">
        <f aca="false">Chase1168_2025!G1308</f>
        <v>Personal - Food</v>
      </c>
      <c r="H1308" s="15" t="n">
        <f aca="false">IF($B1308="","",DATE(YEAR($B1308),MONTH($B1308),1))</f>
        <v>45748</v>
      </c>
      <c r="I1308" s="0" t="str">
        <f aca="false">IF($G1308="","Uncategorized — Review",IFERROR(INDEX(Mapping!$B:$B,MATCH($G1308,Mapping!$A:$A,0)),"Uncategorized — Review"))</f>
        <v>Personal - Food &amp; Dining</v>
      </c>
      <c r="J1308" s="0" t="str">
        <f aca="false">IF($G1308="","Uncategorized — Review",IFERROR(INDEX(Mapping!$C:$C,MATCH($G1308,Mapping!$A:$A,0)),"Uncategorized — Review"))</f>
        <v>Personal — Owner</v>
      </c>
    </row>
    <row r="1309" customFormat="false" ht="15" hidden="false" customHeight="false" outlineLevel="0" collapsed="false">
      <c r="A1309" s="0" t="str">
        <f aca="false">Chase1168_2025!A1309</f>
        <v>DEBIT</v>
      </c>
      <c r="B1309" s="14" t="n">
        <f aca="false">Chase1168_2025!B1309</f>
        <v>45757</v>
      </c>
      <c r="C1309" s="0" t="str">
        <f aca="false">Chase1168_2025!C1309</f>
        <v>PP*APPLE.COM/BILL 800-275-2273 CA            04/09</v>
      </c>
      <c r="D1309" s="7" t="n">
        <f aca="false">Chase1168_2025!D1309</f>
        <v>-11.99</v>
      </c>
      <c r="E1309" s="0" t="str">
        <f aca="false">Chase1168_2025!E1309</f>
        <v>DEBIT_CARD</v>
      </c>
      <c r="F1309" s="7" t="n">
        <f aca="false">Chase1168_2025!F1309</f>
        <v>34883.32</v>
      </c>
      <c r="G1309" s="0" t="str">
        <f aca="false">Chase1168_2025!G1309</f>
        <v>Personal - Subscriptions</v>
      </c>
      <c r="H1309" s="15" t="n">
        <f aca="false">IF($B1309="","",DATE(YEAR($B1309),MONTH($B1309),1))</f>
        <v>45748</v>
      </c>
      <c r="I1309" s="0" t="str">
        <f aca="false">IF($G1309="","Uncategorized — Review",IFERROR(INDEX(Mapping!$B:$B,MATCH($G1309,Mapping!$A:$A,0)),"Uncategorized — Review"))</f>
        <v>Personal - Subscriptions</v>
      </c>
      <c r="J1309" s="0" t="str">
        <f aca="false">IF($G1309="","Uncategorized — Review",IFERROR(INDEX(Mapping!$C:$C,MATCH($G1309,Mapping!$A:$A,0)),"Uncategorized — Review"))</f>
        <v>Personal — Owner</v>
      </c>
    </row>
    <row r="1310" customFormat="false" ht="15" hidden="false" customHeight="false" outlineLevel="0" collapsed="false">
      <c r="A1310" s="0" t="str">
        <f aca="false">Chase1168_2025!A1310</f>
        <v>DEBIT</v>
      </c>
      <c r="B1310" s="14" t="n">
        <f aca="false">Chase1168_2025!B1310</f>
        <v>45757</v>
      </c>
      <c r="C1310" s="0" t="str">
        <f aca="false">Chase1168_2025!C1310</f>
        <v>PAYPAL *LINKEDIN 402-935-7733 CA             04/10</v>
      </c>
      <c r="D1310" s="7" t="n">
        <f aca="false">Chase1168_2025!D1310</f>
        <v>-505.51</v>
      </c>
      <c r="E1310" s="0" t="str">
        <f aca="false">Chase1168_2025!E1310</f>
        <v>DEBIT_CARD</v>
      </c>
      <c r="F1310" s="7" t="n">
        <f aca="false">Chase1168_2025!F1310</f>
        <v>34895.31</v>
      </c>
      <c r="G1310" s="0" t="str">
        <f aca="false">Chase1168_2025!G1310</f>
        <v>DWG HR</v>
      </c>
      <c r="H1310" s="15" t="n">
        <f aca="false">IF($B1310="","",DATE(YEAR($B1310),MONTH($B1310),1))</f>
        <v>45748</v>
      </c>
      <c r="I1310" s="0" t="str">
        <f aca="false">IF($G1310="","Uncategorized — Review",IFERROR(INDEX(Mapping!$B:$B,MATCH($G1310,Mapping!$A:$A,0)),"Uncategorized — Review"))</f>
        <v>DWG HR</v>
      </c>
      <c r="J1310" s="0" t="str">
        <f aca="false">IF($G1310="","Uncategorized — Review",IFERROR(INDEX(Mapping!$C:$C,MATCH($G1310,Mapping!$A:$A,0)),"Uncategorized — Review"))</f>
        <v>Payroll &amp; Contractors</v>
      </c>
    </row>
    <row r="1311" customFormat="false" ht="15" hidden="false" customHeight="false" outlineLevel="0" collapsed="false">
      <c r="A1311" s="0" t="str">
        <f aca="false">Chase1168_2025!A1311</f>
        <v>DEBIT</v>
      </c>
      <c r="B1311" s="14" t="n">
        <f aca="false">Chase1168_2025!B1311</f>
        <v>45755</v>
      </c>
      <c r="C1311" s="0" t="str">
        <f aca="false">Chase1168_2025!C1311</f>
        <v>PAYPAL *RUTHALCANCI 402-935-7733 CA          04/08</v>
      </c>
      <c r="D1311" s="7" t="n">
        <f aca="false">Chase1168_2025!D1311</f>
        <v>-300</v>
      </c>
      <c r="E1311" s="0" t="str">
        <f aca="false">Chase1168_2025!E1311</f>
        <v>DEBIT_CARD</v>
      </c>
      <c r="F1311" s="7" t="n">
        <f aca="false">Chase1168_2025!F1311</f>
        <v>35400.82</v>
      </c>
      <c r="G1311" s="0" t="str">
        <f aca="false">Chase1168_2025!G1311</f>
        <v>Ruth Alcancia - Forward Bridge Payment</v>
      </c>
      <c r="H1311" s="15" t="n">
        <f aca="false">IF($B1311="","",DATE(YEAR($B1311),MONTH($B1311),1))</f>
        <v>45748</v>
      </c>
      <c r="I1311" s="0" t="str">
        <f aca="false">IF($G1311="","Uncategorized — Review",IFERROR(INDEX(Mapping!$B:$B,MATCH($G1311,Mapping!$A:$A,0)),"Uncategorized — Review"))</f>
        <v>Ruth Alcancia - Forward Bridge Payment</v>
      </c>
      <c r="J1311" s="0" t="str">
        <f aca="false">IF($G1311="","Uncategorized — Review",IFERROR(INDEX(Mapping!$C:$C,MATCH($G1311,Mapping!$A:$A,0)),"Uncategorized — Review"))</f>
        <v>Payroll &amp; Contractors</v>
      </c>
    </row>
    <row r="1312" customFormat="false" ht="15" hidden="false" customHeight="false" outlineLevel="0" collapsed="false">
      <c r="A1312" s="0" t="str">
        <f aca="false">Chase1168_2025!A1312</f>
        <v>DEBIT</v>
      </c>
      <c r="B1312" s="14" t="n">
        <f aca="false">Chase1168_2025!B1312</f>
        <v>45755</v>
      </c>
      <c r="C1312" s="0" t="str">
        <f aca="false">Chase1168_2025!C1312</f>
        <v>PP*APPLE.COM/BILL 800-275-2273 CA            04/08</v>
      </c>
      <c r="D1312" s="7" t="n">
        <f aca="false">Chase1168_2025!D1312</f>
        <v>-8.99</v>
      </c>
      <c r="E1312" s="0" t="str">
        <f aca="false">Chase1168_2025!E1312</f>
        <v>DEBIT_CARD</v>
      </c>
      <c r="F1312" s="7" t="n">
        <f aca="false">Chase1168_2025!F1312</f>
        <v>35700.82</v>
      </c>
      <c r="G1312" s="0" t="str">
        <f aca="false">Chase1168_2025!G1312</f>
        <v>Personal - Subscriptions</v>
      </c>
      <c r="H1312" s="15" t="n">
        <f aca="false">IF($B1312="","",DATE(YEAR($B1312),MONTH($B1312),1))</f>
        <v>45748</v>
      </c>
      <c r="I1312" s="0" t="str">
        <f aca="false">IF($G1312="","Uncategorized — Review",IFERROR(INDEX(Mapping!$B:$B,MATCH($G1312,Mapping!$A:$A,0)),"Uncategorized — Review"))</f>
        <v>Personal - Subscriptions</v>
      </c>
      <c r="J1312" s="0" t="str">
        <f aca="false">IF($G1312="","Uncategorized — Review",IFERROR(INDEX(Mapping!$C:$C,MATCH($G1312,Mapping!$A:$A,0)),"Uncategorized — Review"))</f>
        <v>Personal — Owner</v>
      </c>
    </row>
    <row r="1313" customFormat="false" ht="15" hidden="false" customHeight="false" outlineLevel="0" collapsed="false">
      <c r="A1313" s="0" t="str">
        <f aca="false">Chase1168_2025!A1313</f>
        <v>DEBIT</v>
      </c>
      <c r="B1313" s="14" t="n">
        <f aca="false">Chase1168_2025!B1313</f>
        <v>45755</v>
      </c>
      <c r="C1313" s="0" t="str">
        <f aca="false">Chase1168_2025!C1313</f>
        <v>PAYPAL *UBERPAYMENT 35314369001              04/07</v>
      </c>
      <c r="D1313" s="7" t="n">
        <f aca="false">Chase1168_2025!D1313</f>
        <v>-51.09</v>
      </c>
      <c r="E1313" s="0" t="str">
        <f aca="false">Chase1168_2025!E1313</f>
        <v>DEBIT_CARD</v>
      </c>
      <c r="F1313" s="7" t="n">
        <f aca="false">Chase1168_2025!F1313</f>
        <v>35709.81</v>
      </c>
      <c r="G1313" s="0" t="str">
        <f aca="false">Chase1168_2025!G1313</f>
        <v>Personal - Car</v>
      </c>
      <c r="H1313" s="15" t="n">
        <f aca="false">IF($B1313="","",DATE(YEAR($B1313),MONTH($B1313),1))</f>
        <v>45748</v>
      </c>
      <c r="I1313" s="0" t="str">
        <f aca="false">IF($G1313="","Uncategorized — Review",IFERROR(INDEX(Mapping!$B:$B,MATCH($G1313,Mapping!$A:$A,0)),"Uncategorized — Review"))</f>
        <v>Personal - Car &amp; Auto</v>
      </c>
      <c r="J1313" s="0" t="str">
        <f aca="false">IF($G1313="","Uncategorized — Review",IFERROR(INDEX(Mapping!$C:$C,MATCH($G1313,Mapping!$A:$A,0)),"Uncategorized — Review"))</f>
        <v>Personal — Owner</v>
      </c>
    </row>
    <row r="1314" customFormat="false" ht="15" hidden="false" customHeight="false" outlineLevel="0" collapsed="false">
      <c r="A1314" s="0" t="str">
        <f aca="false">Chase1168_2025!A1314</f>
        <v>DEBIT</v>
      </c>
      <c r="B1314" s="14" t="n">
        <f aca="false">Chase1168_2025!B1314</f>
        <v>45755</v>
      </c>
      <c r="C1314" s="0" t="str">
        <f aca="false">Chase1168_2025!C1314</f>
        <v>PAYPAL *UBERPAYMENT 35314369001              04/07</v>
      </c>
      <c r="D1314" s="7" t="n">
        <f aca="false">Chase1168_2025!D1314</f>
        <v>-17.36</v>
      </c>
      <c r="E1314" s="0" t="str">
        <f aca="false">Chase1168_2025!E1314</f>
        <v>DEBIT_CARD</v>
      </c>
      <c r="F1314" s="7" t="n">
        <f aca="false">Chase1168_2025!F1314</f>
        <v>35760.9</v>
      </c>
      <c r="G1314" s="0" t="str">
        <f aca="false">Chase1168_2025!G1314</f>
        <v>Personal - Car</v>
      </c>
      <c r="H1314" s="15" t="n">
        <f aca="false">IF($B1314="","",DATE(YEAR($B1314),MONTH($B1314),1))</f>
        <v>45748</v>
      </c>
      <c r="I1314" s="0" t="str">
        <f aca="false">IF($G1314="","Uncategorized — Review",IFERROR(INDEX(Mapping!$B:$B,MATCH($G1314,Mapping!$A:$A,0)),"Uncategorized — Review"))</f>
        <v>Personal - Car &amp; Auto</v>
      </c>
      <c r="J1314" s="0" t="str">
        <f aca="false">IF($G1314="","Uncategorized — Review",IFERROR(INDEX(Mapping!$C:$C,MATCH($G1314,Mapping!$A:$A,0)),"Uncategorized — Review"))</f>
        <v>Personal — Owner</v>
      </c>
    </row>
    <row r="1315" customFormat="false" ht="15" hidden="false" customHeight="false" outlineLevel="0" collapsed="false">
      <c r="A1315" s="0" t="str">
        <f aca="false">Chase1168_2025!A1315</f>
        <v>DEBIT</v>
      </c>
      <c r="B1315" s="14" t="n">
        <f aca="false">Chase1168_2025!B1315</f>
        <v>45755</v>
      </c>
      <c r="C1315" s="0" t="str">
        <f aca="false">Chase1168_2025!C1315</f>
        <v>PAYPAL *UBERPAYMENT 35314369001              04/07</v>
      </c>
      <c r="D1315" s="7" t="n">
        <f aca="false">Chase1168_2025!D1315</f>
        <v>-2.31</v>
      </c>
      <c r="E1315" s="0" t="str">
        <f aca="false">Chase1168_2025!E1315</f>
        <v>DEBIT_CARD</v>
      </c>
      <c r="F1315" s="7" t="n">
        <f aca="false">Chase1168_2025!F1315</f>
        <v>35778.26</v>
      </c>
      <c r="G1315" s="0" t="str">
        <f aca="false">Chase1168_2025!G1315</f>
        <v>Personal - Car</v>
      </c>
      <c r="H1315" s="15" t="n">
        <f aca="false">IF($B1315="","",DATE(YEAR($B1315),MONTH($B1315),1))</f>
        <v>45748</v>
      </c>
      <c r="I1315" s="0" t="str">
        <f aca="false">IF($G1315="","Uncategorized — Review",IFERROR(INDEX(Mapping!$B:$B,MATCH($G1315,Mapping!$A:$A,0)),"Uncategorized — Review"))</f>
        <v>Personal - Car &amp; Auto</v>
      </c>
      <c r="J1315" s="0" t="str">
        <f aca="false">IF($G1315="","Uncategorized — Review",IFERROR(INDEX(Mapping!$C:$C,MATCH($G1315,Mapping!$A:$A,0)),"Uncategorized — Review"))</f>
        <v>Personal — Owner</v>
      </c>
    </row>
    <row r="1316" customFormat="false" ht="15" hidden="false" customHeight="false" outlineLevel="0" collapsed="false">
      <c r="A1316" s="0" t="str">
        <f aca="false">Chase1168_2025!A1316</f>
        <v>DEBIT</v>
      </c>
      <c r="B1316" s="14" t="n">
        <f aca="false">Chase1168_2025!B1316</f>
        <v>45754</v>
      </c>
      <c r="C1316" s="0" t="str">
        <f aca="false">Chase1168_2025!C1316</f>
        <v>PAYPAL *UBERPAYMENT 35314369001              04/06</v>
      </c>
      <c r="D1316" s="7" t="n">
        <f aca="false">Chase1168_2025!D1316</f>
        <v>-12.5</v>
      </c>
      <c r="E1316" s="0" t="str">
        <f aca="false">Chase1168_2025!E1316</f>
        <v>DEBIT_CARD</v>
      </c>
      <c r="F1316" s="7" t="n">
        <f aca="false">Chase1168_2025!F1316</f>
        <v>35780.57</v>
      </c>
      <c r="G1316" s="0" t="str">
        <f aca="false">Chase1168_2025!G1316</f>
        <v>Personal - Car</v>
      </c>
      <c r="H1316" s="15" t="n">
        <f aca="false">IF($B1316="","",DATE(YEAR($B1316),MONTH($B1316),1))</f>
        <v>45748</v>
      </c>
      <c r="I1316" s="0" t="str">
        <f aca="false">IF($G1316="","Uncategorized — Review",IFERROR(INDEX(Mapping!$B:$B,MATCH($G1316,Mapping!$A:$A,0)),"Uncategorized — Review"))</f>
        <v>Personal - Car &amp; Auto</v>
      </c>
      <c r="J1316" s="0" t="str">
        <f aca="false">IF($G1316="","Uncategorized — Review",IFERROR(INDEX(Mapping!$C:$C,MATCH($G1316,Mapping!$A:$A,0)),"Uncategorized — Review"))</f>
        <v>Personal — Owner</v>
      </c>
    </row>
    <row r="1317" customFormat="false" ht="15" hidden="false" customHeight="false" outlineLevel="0" collapsed="false">
      <c r="A1317" s="0" t="str">
        <f aca="false">Chase1168_2025!A1317</f>
        <v>DEBIT</v>
      </c>
      <c r="B1317" s="14" t="n">
        <f aca="false">Chase1168_2025!B1317</f>
        <v>45754</v>
      </c>
      <c r="C1317" s="0" t="str">
        <f aca="false">Chase1168_2025!C1317</f>
        <v>PP*APPLE.COM/BILL 800-275-2273 CA            04/05</v>
      </c>
      <c r="D1317" s="7" t="n">
        <f aca="false">Chase1168_2025!D1317</f>
        <v>-5</v>
      </c>
      <c r="E1317" s="0" t="str">
        <f aca="false">Chase1168_2025!E1317</f>
        <v>DEBIT_CARD</v>
      </c>
      <c r="F1317" s="7" t="n">
        <f aca="false">Chase1168_2025!F1317</f>
        <v>35793.07</v>
      </c>
      <c r="G1317" s="0" t="str">
        <f aca="false">Chase1168_2025!G1317</f>
        <v>Personal - Subscriptions</v>
      </c>
      <c r="H1317" s="15" t="n">
        <f aca="false">IF($B1317="","",DATE(YEAR($B1317),MONTH($B1317),1))</f>
        <v>45748</v>
      </c>
      <c r="I1317" s="0" t="str">
        <f aca="false">IF($G1317="","Uncategorized — Review",IFERROR(INDEX(Mapping!$B:$B,MATCH($G1317,Mapping!$A:$A,0)),"Uncategorized — Review"))</f>
        <v>Personal - Subscriptions</v>
      </c>
      <c r="J1317" s="0" t="str">
        <f aca="false">IF($G1317="","Uncategorized — Review",IFERROR(INDEX(Mapping!$C:$C,MATCH($G1317,Mapping!$A:$A,0)),"Uncategorized — Review"))</f>
        <v>Personal — Owner</v>
      </c>
    </row>
    <row r="1318" customFormat="false" ht="15" hidden="false" customHeight="false" outlineLevel="0" collapsed="false">
      <c r="A1318" s="0" t="str">
        <f aca="false">Chase1168_2025!A1318</f>
        <v>DEBIT</v>
      </c>
      <c r="B1318" s="14" t="n">
        <f aca="false">Chase1168_2025!B1318</f>
        <v>45754</v>
      </c>
      <c r="C1318" s="0" t="str">
        <f aca="false">Chase1168_2025!C1318</f>
        <v>PAYPAL *UBERPAYMENT 35314369001              04/04</v>
      </c>
      <c r="D1318" s="7" t="n">
        <f aca="false">Chase1168_2025!D1318</f>
        <v>-5.79</v>
      </c>
      <c r="E1318" s="0" t="str">
        <f aca="false">Chase1168_2025!E1318</f>
        <v>DEBIT_CARD</v>
      </c>
      <c r="F1318" s="7" t="n">
        <f aca="false">Chase1168_2025!F1318</f>
        <v>35798.07</v>
      </c>
      <c r="G1318" s="0" t="str">
        <f aca="false">Chase1168_2025!G1318</f>
        <v>Personal - Car</v>
      </c>
      <c r="H1318" s="15" t="n">
        <f aca="false">IF($B1318="","",DATE(YEAR($B1318),MONTH($B1318),1))</f>
        <v>45748</v>
      </c>
      <c r="I1318" s="0" t="str">
        <f aca="false">IF($G1318="","Uncategorized — Review",IFERROR(INDEX(Mapping!$B:$B,MATCH($G1318,Mapping!$A:$A,0)),"Uncategorized — Review"))</f>
        <v>Personal - Car &amp; Auto</v>
      </c>
      <c r="J1318" s="0" t="str">
        <f aca="false">IF($G1318="","Uncategorized — Review",IFERROR(INDEX(Mapping!$C:$C,MATCH($G1318,Mapping!$A:$A,0)),"Uncategorized — Review"))</f>
        <v>Personal — Owner</v>
      </c>
    </row>
    <row r="1319" customFormat="false" ht="15" hidden="false" customHeight="false" outlineLevel="0" collapsed="false">
      <c r="A1319" s="0" t="str">
        <f aca="false">Chase1168_2025!A1319</f>
        <v>DEBIT</v>
      </c>
      <c r="B1319" s="14" t="n">
        <f aca="false">Chase1168_2025!B1319</f>
        <v>45754</v>
      </c>
      <c r="C1319" s="0" t="str">
        <f aca="false">Chase1168_2025!C1319</f>
        <v>PAYPAL *UBERPAYMENT 35314369001              04/04</v>
      </c>
      <c r="D1319" s="7" t="n">
        <f aca="false">Chase1168_2025!D1319</f>
        <v>-30.51</v>
      </c>
      <c r="E1319" s="0" t="str">
        <f aca="false">Chase1168_2025!E1319</f>
        <v>DEBIT_CARD</v>
      </c>
      <c r="F1319" s="7" t="n">
        <f aca="false">Chase1168_2025!F1319</f>
        <v>35803.86</v>
      </c>
      <c r="G1319" s="0" t="str">
        <f aca="false">Chase1168_2025!G1319</f>
        <v>Personal - Car</v>
      </c>
      <c r="H1319" s="15" t="n">
        <f aca="false">IF($B1319="","",DATE(YEAR($B1319),MONTH($B1319),1))</f>
        <v>45748</v>
      </c>
      <c r="I1319" s="0" t="str">
        <f aca="false">IF($G1319="","Uncategorized — Review",IFERROR(INDEX(Mapping!$B:$B,MATCH($G1319,Mapping!$A:$A,0)),"Uncategorized — Review"))</f>
        <v>Personal - Car &amp; Auto</v>
      </c>
      <c r="J1319" s="0" t="str">
        <f aca="false">IF($G1319="","Uncategorized — Review",IFERROR(INDEX(Mapping!$C:$C,MATCH($G1319,Mapping!$A:$A,0)),"Uncategorized — Review"))</f>
        <v>Personal — Owner</v>
      </c>
    </row>
    <row r="1320" customFormat="false" ht="15" hidden="false" customHeight="false" outlineLevel="0" collapsed="false">
      <c r="A1320" s="0" t="str">
        <f aca="false">Chase1168_2025!A1320</f>
        <v>DEBIT</v>
      </c>
      <c r="B1320" s="14" t="n">
        <f aca="false">Chase1168_2025!B1320</f>
        <v>45754</v>
      </c>
      <c r="C1320" s="0" t="str">
        <f aca="false">Chase1168_2025!C1320</f>
        <v>PAYPAL *UBERPAYMENT 35314369001              04/03</v>
      </c>
      <c r="D1320" s="7" t="n">
        <f aca="false">Chase1168_2025!D1320</f>
        <v>-5.69</v>
      </c>
      <c r="E1320" s="0" t="str">
        <f aca="false">Chase1168_2025!E1320</f>
        <v>DEBIT_CARD</v>
      </c>
      <c r="F1320" s="7" t="n">
        <f aca="false">Chase1168_2025!F1320</f>
        <v>35834.37</v>
      </c>
      <c r="G1320" s="0" t="str">
        <f aca="false">Chase1168_2025!G1320</f>
        <v>Personal - Car</v>
      </c>
      <c r="H1320" s="15" t="n">
        <f aca="false">IF($B1320="","",DATE(YEAR($B1320),MONTH($B1320),1))</f>
        <v>45748</v>
      </c>
      <c r="I1320" s="0" t="str">
        <f aca="false">IF($G1320="","Uncategorized — Review",IFERROR(INDEX(Mapping!$B:$B,MATCH($G1320,Mapping!$A:$A,0)),"Uncategorized — Review"))</f>
        <v>Personal - Car &amp; Auto</v>
      </c>
      <c r="J1320" s="0" t="str">
        <f aca="false">IF($G1320="","Uncategorized — Review",IFERROR(INDEX(Mapping!$C:$C,MATCH($G1320,Mapping!$A:$A,0)),"Uncategorized — Review"))</f>
        <v>Personal — Owner</v>
      </c>
    </row>
    <row r="1321" customFormat="false" ht="15" hidden="false" customHeight="false" outlineLevel="0" collapsed="false">
      <c r="A1321" s="0" t="str">
        <f aca="false">Chase1168_2025!A1321</f>
        <v>DEBIT</v>
      </c>
      <c r="B1321" s="14" t="n">
        <f aca="false">Chase1168_2025!B1321</f>
        <v>45754</v>
      </c>
      <c r="C1321" s="0" t="str">
        <f aca="false">Chase1168_2025!C1321</f>
        <v>PAYPAL *UBERPAYMENT 35314369001              04/03</v>
      </c>
      <c r="D1321" s="7" t="n">
        <f aca="false">Chase1168_2025!D1321</f>
        <v>-15.61</v>
      </c>
      <c r="E1321" s="0" t="str">
        <f aca="false">Chase1168_2025!E1321</f>
        <v>DEBIT_CARD</v>
      </c>
      <c r="F1321" s="7" t="n">
        <f aca="false">Chase1168_2025!F1321</f>
        <v>35840.06</v>
      </c>
      <c r="G1321" s="0" t="str">
        <f aca="false">Chase1168_2025!G1321</f>
        <v>Personal - Car</v>
      </c>
      <c r="H1321" s="15" t="n">
        <f aca="false">IF($B1321="","",DATE(YEAR($B1321),MONTH($B1321),1))</f>
        <v>45748</v>
      </c>
      <c r="I1321" s="0" t="str">
        <f aca="false">IF($G1321="","Uncategorized — Review",IFERROR(INDEX(Mapping!$B:$B,MATCH($G1321,Mapping!$A:$A,0)),"Uncategorized — Review"))</f>
        <v>Personal - Car &amp; Auto</v>
      </c>
      <c r="J1321" s="0" t="str">
        <f aca="false">IF($G1321="","Uncategorized — Review",IFERROR(INDEX(Mapping!$C:$C,MATCH($G1321,Mapping!$A:$A,0)),"Uncategorized — Review"))</f>
        <v>Personal — Owner</v>
      </c>
    </row>
    <row r="1322" customFormat="false" ht="15" hidden="false" customHeight="false" outlineLevel="0" collapsed="false">
      <c r="A1322" s="0" t="str">
        <f aca="false">Chase1168_2025!A1322</f>
        <v>DEBIT</v>
      </c>
      <c r="B1322" s="14" t="n">
        <f aca="false">Chase1168_2025!B1322</f>
        <v>45751</v>
      </c>
      <c r="C1322" s="0" t="str">
        <f aca="false">Chase1168_2025!C1322</f>
        <v>PP*APPLE.COM/BILL 800-275-2273 CA            04/04</v>
      </c>
      <c r="D1322" s="7" t="n">
        <f aca="false">Chase1168_2025!D1322</f>
        <v>-29.99</v>
      </c>
      <c r="E1322" s="0" t="str">
        <f aca="false">Chase1168_2025!E1322</f>
        <v>DEBIT_CARD</v>
      </c>
      <c r="F1322" s="7" t="n">
        <f aca="false">Chase1168_2025!F1322</f>
        <v>35855.67</v>
      </c>
      <c r="G1322" s="0" t="str">
        <f aca="false">Chase1168_2025!G1322</f>
        <v>Personal - Subscriptions</v>
      </c>
      <c r="H1322" s="15" t="n">
        <f aca="false">IF($B1322="","",DATE(YEAR($B1322),MONTH($B1322),1))</f>
        <v>45748</v>
      </c>
      <c r="I1322" s="0" t="str">
        <f aca="false">IF($G1322="","Uncategorized — Review",IFERROR(INDEX(Mapping!$B:$B,MATCH($G1322,Mapping!$A:$A,0)),"Uncategorized — Review"))</f>
        <v>Personal - Subscriptions</v>
      </c>
      <c r="J1322" s="0" t="str">
        <f aca="false">IF($G1322="","Uncategorized — Review",IFERROR(INDEX(Mapping!$C:$C,MATCH($G1322,Mapping!$A:$A,0)),"Uncategorized — Review"))</f>
        <v>Personal — Owner</v>
      </c>
    </row>
    <row r="1323" customFormat="false" ht="15" hidden="false" customHeight="false" outlineLevel="0" collapsed="false">
      <c r="A1323" s="0" t="str">
        <f aca="false">Chase1168_2025!A1323</f>
        <v>DEBIT</v>
      </c>
      <c r="B1323" s="14" t="n">
        <f aca="false">Chase1168_2025!B1323</f>
        <v>45751</v>
      </c>
      <c r="C1323" s="0" t="str">
        <f aca="false">Chase1168_2025!C1323</f>
        <v>TRADER JOE S #119 WEST LOS ANGE CA           04/03</v>
      </c>
      <c r="D1323" s="7" t="n">
        <f aca="false">Chase1168_2025!D1323</f>
        <v>-99.81</v>
      </c>
      <c r="E1323" s="0" t="str">
        <f aca="false">Chase1168_2025!E1323</f>
        <v>DEBIT_CARD</v>
      </c>
      <c r="F1323" s="7" t="n">
        <f aca="false">Chase1168_2025!F1323</f>
        <v>35885.66</v>
      </c>
      <c r="G1323" s="0" t="str">
        <f aca="false">Chase1168_2025!G1323</f>
        <v>Personal - Food</v>
      </c>
      <c r="H1323" s="15" t="n">
        <f aca="false">IF($B1323="","",DATE(YEAR($B1323),MONTH($B1323),1))</f>
        <v>45748</v>
      </c>
      <c r="I1323" s="0" t="str">
        <f aca="false">IF($G1323="","Uncategorized — Review",IFERROR(INDEX(Mapping!$B:$B,MATCH($G1323,Mapping!$A:$A,0)),"Uncategorized — Review"))</f>
        <v>Personal - Food &amp; Dining</v>
      </c>
      <c r="J1323" s="0" t="str">
        <f aca="false">IF($G1323="","Uncategorized — Review",IFERROR(INDEX(Mapping!$C:$C,MATCH($G1323,Mapping!$A:$A,0)),"Uncategorized — Review"))</f>
        <v>Personal — Owner</v>
      </c>
    </row>
    <row r="1324" customFormat="false" ht="15" hidden="false" customHeight="false" outlineLevel="0" collapsed="false">
      <c r="A1324" s="0" t="str">
        <f aca="false">Chase1168_2025!A1324</f>
        <v>DEBIT</v>
      </c>
      <c r="B1324" s="14" t="n">
        <f aca="false">Chase1168_2025!B1324</f>
        <v>45751</v>
      </c>
      <c r="C1324" s="0" t="str">
        <f aca="false">Chase1168_2025!C1324</f>
        <v>PAYPAL *SANDYPR COM 402-935-7733 CA          04/03</v>
      </c>
      <c r="D1324" s="7" t="n">
        <f aca="false">Chase1168_2025!D1324</f>
        <v>-300</v>
      </c>
      <c r="E1324" s="0" t="str">
        <f aca="false">Chase1168_2025!E1324</f>
        <v>DEBIT_CARD</v>
      </c>
      <c r="F1324" s="7" t="n">
        <f aca="false">Chase1168_2025!F1324</f>
        <v>35985.47</v>
      </c>
      <c r="G1324" s="0" t="str">
        <f aca="false">Chase1168_2025!G1324</f>
        <v>Sandy PR Payment</v>
      </c>
      <c r="H1324" s="15" t="n">
        <f aca="false">IF($B1324="","",DATE(YEAR($B1324),MONTH($B1324),1))</f>
        <v>45748</v>
      </c>
      <c r="I1324" s="0" t="str">
        <f aca="false">IF($G1324="","Uncategorized — Review",IFERROR(INDEX(Mapping!$B:$B,MATCH($G1324,Mapping!$A:$A,0)),"Uncategorized — Review"))</f>
        <v>Sandy PR Payment</v>
      </c>
      <c r="J1324" s="0" t="str">
        <f aca="false">IF($G1324="","Uncategorized — Review",IFERROR(INDEX(Mapping!$C:$C,MATCH($G1324,Mapping!$A:$A,0)),"Uncategorized — Review"))</f>
        <v>DWG Operating</v>
      </c>
    </row>
    <row r="1325" customFormat="false" ht="15" hidden="false" customHeight="false" outlineLevel="0" collapsed="false">
      <c r="A1325" s="0" t="str">
        <f aca="false">Chase1168_2025!A1325</f>
        <v>DEBIT</v>
      </c>
      <c r="B1325" s="14" t="n">
        <f aca="false">Chase1168_2025!B1325</f>
        <v>45751</v>
      </c>
      <c r="C1325" s="0" t="str">
        <f aca="false">Chase1168_2025!C1325</f>
        <v>PAYPAL *PRAGERUNIVE P 833-772-4378 CA        04/03</v>
      </c>
      <c r="D1325" s="7" t="n">
        <f aca="false">Chase1168_2025!D1325</f>
        <v>-10.78</v>
      </c>
      <c r="E1325" s="0" t="str">
        <f aca="false">Chase1168_2025!E1325</f>
        <v>DEBIT_CARD</v>
      </c>
      <c r="F1325" s="7" t="n">
        <f aca="false">Chase1168_2025!F1325</f>
        <v>36285.47</v>
      </c>
      <c r="G1325" s="0" t="str">
        <f aca="false">Chase1168_2025!G1325</f>
        <v>DWGCP Business Development</v>
      </c>
      <c r="H1325" s="15" t="n">
        <f aca="false">IF($B1325="","",DATE(YEAR($B1325),MONTH($B1325),1))</f>
        <v>45748</v>
      </c>
      <c r="I1325" s="0" t="str">
        <f aca="false">IF($G1325="","Uncategorized — Review",IFERROR(INDEX(Mapping!$B:$B,MATCH($G1325,Mapping!$A:$A,0)),"Uncategorized — Review"))</f>
        <v>DWGCP Business Development</v>
      </c>
      <c r="J1325" s="0" t="str">
        <f aca="false">IF($G1325="","Uncategorized — Review",IFERROR(INDEX(Mapping!$C:$C,MATCH($G1325,Mapping!$A:$A,0)),"Uncategorized — Review"))</f>
        <v>DWG Operating</v>
      </c>
    </row>
    <row r="1326" customFormat="false" ht="15" hidden="false" customHeight="false" outlineLevel="0" collapsed="false">
      <c r="A1326" s="0" t="str">
        <f aca="false">Chase1168_2025!A1326</f>
        <v>DEBIT</v>
      </c>
      <c r="B1326" s="14" t="n">
        <f aca="false">Chase1168_2025!B1326</f>
        <v>45751</v>
      </c>
      <c r="C1326" s="0" t="str">
        <f aca="false">Chase1168_2025!C1326</f>
        <v>PAMPAS GRILL - CULVER CULVER CITY CA         04/02</v>
      </c>
      <c r="D1326" s="7" t="n">
        <f aca="false">Chase1168_2025!D1326</f>
        <v>-36.82</v>
      </c>
      <c r="E1326" s="0" t="str">
        <f aca="false">Chase1168_2025!E1326</f>
        <v>DEBIT_CARD</v>
      </c>
      <c r="F1326" s="7" t="n">
        <f aca="false">Chase1168_2025!F1326</f>
        <v>36296.25</v>
      </c>
      <c r="G1326" s="0" t="str">
        <f aca="false">Chase1168_2025!G1326</f>
        <v>Personal - Food</v>
      </c>
      <c r="H1326" s="15" t="n">
        <f aca="false">IF($B1326="","",DATE(YEAR($B1326),MONTH($B1326),1))</f>
        <v>45748</v>
      </c>
      <c r="I1326" s="0" t="str">
        <f aca="false">IF($G1326="","Uncategorized — Review",IFERROR(INDEX(Mapping!$B:$B,MATCH($G1326,Mapping!$A:$A,0)),"Uncategorized — Review"))</f>
        <v>Personal - Food &amp; Dining</v>
      </c>
      <c r="J1326" s="0" t="str">
        <f aca="false">IF($G1326="","Uncategorized — Review",IFERROR(INDEX(Mapping!$C:$C,MATCH($G1326,Mapping!$A:$A,0)),"Uncategorized — Review"))</f>
        <v>Personal — Owner</v>
      </c>
    </row>
    <row r="1327" customFormat="false" ht="15" hidden="false" customHeight="false" outlineLevel="0" collapsed="false">
      <c r="A1327" s="0" t="str">
        <f aca="false">Chase1168_2025!A1327</f>
        <v>DEBIT</v>
      </c>
      <c r="B1327" s="14" t="n">
        <f aca="false">Chase1168_2025!B1327</f>
        <v>45750</v>
      </c>
      <c r="C1327" s="0" t="str">
        <f aca="false">Chase1168_2025!C1327</f>
        <v>PP*APPLE.COM/BILL 800-275-2273 CA            04/03</v>
      </c>
      <c r="D1327" s="7" t="n">
        <f aca="false">Chase1168_2025!D1327</f>
        <v>-3.99</v>
      </c>
      <c r="E1327" s="0" t="str">
        <f aca="false">Chase1168_2025!E1327</f>
        <v>DEBIT_CARD</v>
      </c>
      <c r="F1327" s="7" t="n">
        <f aca="false">Chase1168_2025!F1327</f>
        <v>36333.07</v>
      </c>
      <c r="G1327" s="0" t="str">
        <f aca="false">Chase1168_2025!G1327</f>
        <v>Personal - Subscriptions</v>
      </c>
      <c r="H1327" s="15" t="n">
        <f aca="false">IF($B1327="","",DATE(YEAR($B1327),MONTH($B1327),1))</f>
        <v>45748</v>
      </c>
      <c r="I1327" s="0" t="str">
        <f aca="false">IF($G1327="","Uncategorized — Review",IFERROR(INDEX(Mapping!$B:$B,MATCH($G1327,Mapping!$A:$A,0)),"Uncategorized — Review"))</f>
        <v>Personal - Subscriptions</v>
      </c>
      <c r="J1327" s="0" t="str">
        <f aca="false">IF($G1327="","Uncategorized — Review",IFERROR(INDEX(Mapping!$C:$C,MATCH($G1327,Mapping!$A:$A,0)),"Uncategorized — Review"))</f>
        <v>Personal — Owner</v>
      </c>
    </row>
    <row r="1328" customFormat="false" ht="15" hidden="false" customHeight="false" outlineLevel="0" collapsed="false">
      <c r="A1328" s="0" t="str">
        <f aca="false">Chase1168_2025!A1328</f>
        <v>DEBIT</v>
      </c>
      <c r="B1328" s="14" t="n">
        <f aca="false">Chase1168_2025!B1328</f>
        <v>45750</v>
      </c>
      <c r="C1328" s="0" t="str">
        <f aca="false">Chase1168_2025!C1328</f>
        <v>PP*APPLE.COM/BILL 800-275-2273 CA            04/03</v>
      </c>
      <c r="D1328" s="7" t="n">
        <f aca="false">Chase1168_2025!D1328</f>
        <v>-12.99</v>
      </c>
      <c r="E1328" s="0" t="str">
        <f aca="false">Chase1168_2025!E1328</f>
        <v>DEBIT_CARD</v>
      </c>
      <c r="F1328" s="7" t="n">
        <f aca="false">Chase1168_2025!F1328</f>
        <v>36337.06</v>
      </c>
      <c r="G1328" s="0" t="str">
        <f aca="false">Chase1168_2025!G1328</f>
        <v>Personal - Subscriptions</v>
      </c>
      <c r="H1328" s="15" t="n">
        <f aca="false">IF($B1328="","",DATE(YEAR($B1328),MONTH($B1328),1))</f>
        <v>45748</v>
      </c>
      <c r="I1328" s="0" t="str">
        <f aca="false">IF($G1328="","Uncategorized — Review",IFERROR(INDEX(Mapping!$B:$B,MATCH($G1328,Mapping!$A:$A,0)),"Uncategorized — Review"))</f>
        <v>Personal - Subscriptions</v>
      </c>
      <c r="J1328" s="0" t="str">
        <f aca="false">IF($G1328="","Uncategorized — Review",IFERROR(INDEX(Mapping!$C:$C,MATCH($G1328,Mapping!$A:$A,0)),"Uncategorized — Review"))</f>
        <v>Personal — Owner</v>
      </c>
    </row>
    <row r="1329" customFormat="false" ht="15" hidden="false" customHeight="false" outlineLevel="0" collapsed="false">
      <c r="A1329" s="0" t="str">
        <f aca="false">Chase1168_2025!A1329</f>
        <v>DEBIT</v>
      </c>
      <c r="B1329" s="14" t="n">
        <f aca="false">Chase1168_2025!B1329</f>
        <v>45750</v>
      </c>
      <c r="C1329" s="0" t="str">
        <f aca="false">Chase1168_2025!C1329</f>
        <v>PAYPAL *DIRECTV 800-531-5000 TX              04/02</v>
      </c>
      <c r="D1329" s="7" t="n">
        <f aca="false">Chase1168_2025!D1329</f>
        <v>-101.99</v>
      </c>
      <c r="E1329" s="0" t="str">
        <f aca="false">Chase1168_2025!E1329</f>
        <v>DEBIT_CARD</v>
      </c>
      <c r="F1329" s="7" t="n">
        <f aca="false">Chase1168_2025!F1329</f>
        <v>36350.05</v>
      </c>
      <c r="G1329" s="0" t="str">
        <f aca="false">Chase1168_2025!G1329</f>
        <v>Personal - Subscriptions</v>
      </c>
      <c r="H1329" s="15" t="n">
        <f aca="false">IF($B1329="","",DATE(YEAR($B1329),MONTH($B1329),1))</f>
        <v>45748</v>
      </c>
      <c r="I1329" s="0" t="str">
        <f aca="false">IF($G1329="","Uncategorized — Review",IFERROR(INDEX(Mapping!$B:$B,MATCH($G1329,Mapping!$A:$A,0)),"Uncategorized — Review"))</f>
        <v>Personal - Subscriptions</v>
      </c>
      <c r="J1329" s="0" t="str">
        <f aca="false">IF($G1329="","Uncategorized — Review",IFERROR(INDEX(Mapping!$C:$C,MATCH($G1329,Mapping!$A:$A,0)),"Uncategorized — Review"))</f>
        <v>Personal — Owner</v>
      </c>
    </row>
    <row r="1330" customFormat="false" ht="15" hidden="false" customHeight="false" outlineLevel="0" collapsed="false">
      <c r="A1330" s="0" t="str">
        <f aca="false">Chase1168_2025!A1330</f>
        <v>DEBIT</v>
      </c>
      <c r="B1330" s="14" t="n">
        <f aca="false">Chase1168_2025!B1330</f>
        <v>45750</v>
      </c>
      <c r="C1330" s="0" t="str">
        <f aca="false">Chase1168_2025!C1330</f>
        <v>PAYPAL *SALSIBOYSURFS 402-935-7733 CA        04/03</v>
      </c>
      <c r="D1330" s="7" t="n">
        <f aca="false">Chase1168_2025!D1330</f>
        <v>-200</v>
      </c>
      <c r="E1330" s="0" t="str">
        <f aca="false">Chase1168_2025!E1330</f>
        <v>DEBIT_CARD</v>
      </c>
      <c r="F1330" s="7" t="n">
        <f aca="false">Chase1168_2025!F1330</f>
        <v>36452.04</v>
      </c>
      <c r="G1330" s="0" t="str">
        <f aca="false">Chase1168_2025!G1330</f>
        <v>Personal - Entertainment</v>
      </c>
      <c r="H1330" s="15" t="n">
        <f aca="false">IF($B1330="","",DATE(YEAR($B1330),MONTH($B1330),1))</f>
        <v>45748</v>
      </c>
      <c r="I1330" s="0" t="str">
        <f aca="false">IF($G1330="","Uncategorized — Review",IFERROR(INDEX(Mapping!$B:$B,MATCH($G1330,Mapping!$A:$A,0)),"Uncategorized — Review"))</f>
        <v>Personal - Entertainment</v>
      </c>
      <c r="J1330" s="0" t="str">
        <f aca="false">IF($G1330="","Uncategorized — Review",IFERROR(INDEX(Mapping!$C:$C,MATCH($G1330,Mapping!$A:$A,0)),"Uncategorized — Review"))</f>
        <v>Personal — Owner</v>
      </c>
    </row>
    <row r="1331" customFormat="false" ht="15" hidden="false" customHeight="false" outlineLevel="0" collapsed="false">
      <c r="A1331" s="0" t="str">
        <f aca="false">Chase1168_2025!A1331</f>
        <v>DEBIT</v>
      </c>
      <c r="B1331" s="14" t="n">
        <f aca="false">Chase1168_2025!B1331</f>
        <v>45749</v>
      </c>
      <c r="C1331" s="0" t="str">
        <f aca="false">Chase1168_2025!C1331</f>
        <v>ONLINE DOMESTIC WIRE FEE</v>
      </c>
      <c r="D1331" s="7" t="n">
        <f aca="false">Chase1168_2025!D1331</f>
        <v>-25</v>
      </c>
      <c r="E1331" s="0" t="str">
        <f aca="false">Chase1168_2025!E1331</f>
        <v>FEE_TRANSACTION</v>
      </c>
      <c r="F1331" s="7" t="n">
        <f aca="false">Chase1168_2025!F1331</f>
        <v>36652.04</v>
      </c>
      <c r="G1331" s="0" t="str">
        <f aca="false">Chase1168_2025!G1331</f>
        <v>Wire Fee</v>
      </c>
      <c r="H1331" s="15" t="n">
        <f aca="false">IF($B1331="","",DATE(YEAR($B1331),MONTH($B1331),1))</f>
        <v>45748</v>
      </c>
      <c r="I1331" s="0" t="str">
        <f aca="false">IF($G1331="","Uncategorized — Review",IFERROR(INDEX(Mapping!$B:$B,MATCH($G1331,Mapping!$A:$A,0)),"Uncategorized — Review"))</f>
        <v>Wire Fee</v>
      </c>
      <c r="J1331" s="0" t="str">
        <f aca="false">IF($G1331="","Uncategorized — Review",IFERROR(INDEX(Mapping!$C:$C,MATCH($G1331,Mapping!$A:$A,0)),"Uncategorized — Review"))</f>
        <v>DWG Operating</v>
      </c>
    </row>
    <row r="1332" customFormat="false" ht="15" hidden="false" customHeight="false" outlineLevel="0" collapsed="false">
      <c r="A1332" s="0" t="str">
        <f aca="false">Chase1168_2025!A1332</f>
        <v>DEBIT</v>
      </c>
      <c r="B1332" s="14" t="n">
        <f aca="false">Chase1168_2025!B1332</f>
        <v>45749</v>
      </c>
      <c r="C1332" s="0" t="str">
        <f aca="false">Chase1168_2025!C1332</f>
        <v>ONLINE DOMESTIC WIRE TRANSFER A/C: MAX E RODRIGUEZ JR OR SEABY D COTO DE CAZA CA 92679-5115 US REF: DWG/ACC/4290705355 MAX RODRIGUEZ 19 CENTAURUS WAY TRABUCO CANYON CA 92 579 US TRN: 3472385092ES 04/02</v>
      </c>
      <c r="D1332" s="7" t="n">
        <f aca="false">Chase1168_2025!D1332</f>
        <v>-5000</v>
      </c>
      <c r="E1332" s="0" t="str">
        <f aca="false">Chase1168_2025!E1332</f>
        <v>WIRE_OUTGOING</v>
      </c>
      <c r="F1332" s="7" t="n">
        <f aca="false">Chase1168_2025!F1332</f>
        <v>36677.04</v>
      </c>
      <c r="G1332" s="0" t="str">
        <f aca="false">Chase1168_2025!G1332</f>
        <v>Max Rodriguez - Payroll</v>
      </c>
      <c r="H1332" s="15" t="n">
        <f aca="false">IF($B1332="","",DATE(YEAR($B1332),MONTH($B1332),1))</f>
        <v>45748</v>
      </c>
      <c r="I1332" s="0" t="str">
        <f aca="false">IF($G1332="","Uncategorized — Review",IFERROR(INDEX(Mapping!$B:$B,MATCH($G1332,Mapping!$A:$A,0)),"Uncategorized — Review"))</f>
        <v>Max Rodriguez - Payroll</v>
      </c>
      <c r="J1332" s="0" t="str">
        <f aca="false">IF($G1332="","Uncategorized — Review",IFERROR(INDEX(Mapping!$C:$C,MATCH($G1332,Mapping!$A:$A,0)),"Uncategorized — Review"))</f>
        <v>Payroll &amp; Contractors</v>
      </c>
    </row>
    <row r="1333" customFormat="false" ht="15" hidden="false" customHeight="false" outlineLevel="0" collapsed="false">
      <c r="A1333" s="0" t="str">
        <f aca="false">Chase1168_2025!A1333</f>
        <v>DEBIT</v>
      </c>
      <c r="B1333" s="14" t="n">
        <f aca="false">Chase1168_2025!B1333</f>
        <v>45749</v>
      </c>
      <c r="C1333" s="0" t="str">
        <f aca="false">Chase1168_2025!C1333</f>
        <v>ORIG CO NAME:BLUESHIELDCA           ORIG ID:7529219311 DESC DATE:250401 CO ENTRY DESCR:BILL PAY  SEC:CCD    TRACE#:031101115823693 EED:250402   IND ID:15656849351                  IND NAME:ANGELA DUNNING TRN: 0925823693TC</v>
      </c>
      <c r="D1333" s="7" t="n">
        <f aca="false">Chase1168_2025!D1333</f>
        <v>-870.55</v>
      </c>
      <c r="E1333" s="0" t="str">
        <f aca="false">Chase1168_2025!E1333</f>
        <v>ACH_DEBIT</v>
      </c>
      <c r="F1333" s="7" t="n">
        <f aca="false">Chase1168_2025!F1333</f>
        <v>41677.04</v>
      </c>
      <c r="G1333" s="0" t="str">
        <f aca="false">Chase1168_2025!G1333</f>
        <v>Personal - Health Insurance</v>
      </c>
      <c r="H1333" s="15" t="n">
        <f aca="false">IF($B1333="","",DATE(YEAR($B1333),MONTH($B1333),1))</f>
        <v>45748</v>
      </c>
      <c r="I1333" s="0" t="str">
        <f aca="false">IF($G1333="","Uncategorized — Review",IFERROR(INDEX(Mapping!$B:$B,MATCH($G1333,Mapping!$A:$A,0)),"Uncategorized — Review"))</f>
        <v>Personal - Health (incl. Ins.)</v>
      </c>
      <c r="J1333" s="0" t="str">
        <f aca="false">IF($G1333="","Uncategorized — Review",IFERROR(INDEX(Mapping!$C:$C,MATCH($G1333,Mapping!$A:$A,0)),"Uncategorized — Review"))</f>
        <v>Personal — Owner</v>
      </c>
    </row>
    <row r="1334" customFormat="false" ht="15" hidden="false" customHeight="false" outlineLevel="0" collapsed="false">
      <c r="A1334" s="0" t="str">
        <f aca="false">Chase1168_2025!A1334</f>
        <v>DEBIT</v>
      </c>
      <c r="B1334" s="14" t="n">
        <f aca="false">Chase1168_2025!B1334</f>
        <v>45749</v>
      </c>
      <c r="C1334" s="0" t="str">
        <f aca="false">Chase1168_2025!C1334</f>
        <v>PP*APPLE.COM/BILL 800-275-2273 CA            04/02</v>
      </c>
      <c r="D1334" s="7" t="n">
        <f aca="false">Chase1168_2025!D1334</f>
        <v>-15.99</v>
      </c>
      <c r="E1334" s="0" t="str">
        <f aca="false">Chase1168_2025!E1334</f>
        <v>DEBIT_CARD</v>
      </c>
      <c r="F1334" s="7" t="n">
        <f aca="false">Chase1168_2025!F1334</f>
        <v>42547.59</v>
      </c>
      <c r="G1334" s="0" t="str">
        <f aca="false">Chase1168_2025!G1334</f>
        <v>Personal - Subscriptions</v>
      </c>
      <c r="H1334" s="15" t="n">
        <f aca="false">IF($B1334="","",DATE(YEAR($B1334),MONTH($B1334),1))</f>
        <v>45748</v>
      </c>
      <c r="I1334" s="0" t="str">
        <f aca="false">IF($G1334="","Uncategorized — Review",IFERROR(INDEX(Mapping!$B:$B,MATCH($G1334,Mapping!$A:$A,0)),"Uncategorized — Review"))</f>
        <v>Personal - Subscriptions</v>
      </c>
      <c r="J1334" s="0" t="str">
        <f aca="false">IF($G1334="","Uncategorized — Review",IFERROR(INDEX(Mapping!$C:$C,MATCH($G1334,Mapping!$A:$A,0)),"Uncategorized — Review"))</f>
        <v>Personal — Owner</v>
      </c>
    </row>
    <row r="1335" customFormat="false" ht="15" hidden="false" customHeight="false" outlineLevel="0" collapsed="false">
      <c r="A1335" s="0" t="str">
        <f aca="false">Chase1168_2025!A1335</f>
        <v>DEBIT</v>
      </c>
      <c r="B1335" s="14" t="n">
        <f aca="false">Chase1168_2025!B1335</f>
        <v>45749</v>
      </c>
      <c r="C1335" s="0" t="str">
        <f aca="false">Chase1168_2025!C1335</f>
        <v>WHOLEFDS WLA 10045 LOS ANGELES CA            04/01</v>
      </c>
      <c r="D1335" s="7" t="n">
        <f aca="false">Chase1168_2025!D1335</f>
        <v>-32.64</v>
      </c>
      <c r="E1335" s="0" t="str">
        <f aca="false">Chase1168_2025!E1335</f>
        <v>DEBIT_CARD</v>
      </c>
      <c r="F1335" s="7" t="n">
        <f aca="false">Chase1168_2025!F1335</f>
        <v>42563.58</v>
      </c>
      <c r="G1335" s="0" t="str">
        <f aca="false">Chase1168_2025!G1335</f>
        <v>Personal - Food</v>
      </c>
      <c r="H1335" s="15" t="n">
        <f aca="false">IF($B1335="","",DATE(YEAR($B1335),MONTH($B1335),1))</f>
        <v>45748</v>
      </c>
      <c r="I1335" s="0" t="str">
        <f aca="false">IF($G1335="","Uncategorized — Review",IFERROR(INDEX(Mapping!$B:$B,MATCH($G1335,Mapping!$A:$A,0)),"Uncategorized — Review"))</f>
        <v>Personal - Food &amp; Dining</v>
      </c>
      <c r="J1335" s="0" t="str">
        <f aca="false">IF($G1335="","Uncategorized — Review",IFERROR(INDEX(Mapping!$C:$C,MATCH($G1335,Mapping!$A:$A,0)),"Uncategorized — Review"))</f>
        <v>Personal — Owner</v>
      </c>
    </row>
    <row r="1336" customFormat="false" ht="15" hidden="false" customHeight="false" outlineLevel="0" collapsed="false">
      <c r="A1336" s="0" t="str">
        <f aca="false">Chase1168_2025!A1336</f>
        <v>DEBIT</v>
      </c>
      <c r="B1336" s="14" t="n">
        <f aca="false">Chase1168_2025!B1336</f>
        <v>45749</v>
      </c>
      <c r="C1336" s="0" t="str">
        <f aca="false">Chase1168_2025!C1336</f>
        <v>PAYPAL *GOOGLE LLC GO 650-253-0000 CA        04/01</v>
      </c>
      <c r="D1336" s="7" t="n">
        <f aca="false">Chase1168_2025!D1336</f>
        <v>-14.4</v>
      </c>
      <c r="E1336" s="0" t="str">
        <f aca="false">Chase1168_2025!E1336</f>
        <v>DEBIT_CARD</v>
      </c>
      <c r="F1336" s="7" t="n">
        <f aca="false">Chase1168_2025!F1336</f>
        <v>42596.22</v>
      </c>
      <c r="G1336" s="0" t="str">
        <f aca="false">Chase1168_2025!G1336</f>
        <v>Personal - Subscriptions</v>
      </c>
      <c r="H1336" s="15" t="n">
        <f aca="false">IF($B1336="","",DATE(YEAR($B1336),MONTH($B1336),1))</f>
        <v>45748</v>
      </c>
      <c r="I1336" s="0" t="str">
        <f aca="false">IF($G1336="","Uncategorized — Review",IFERROR(INDEX(Mapping!$B:$B,MATCH($G1336,Mapping!$A:$A,0)),"Uncategorized — Review"))</f>
        <v>Personal - Subscriptions</v>
      </c>
      <c r="J1336" s="0" t="str">
        <f aca="false">IF($G1336="","Uncategorized — Review",IFERROR(INDEX(Mapping!$C:$C,MATCH($G1336,Mapping!$A:$A,0)),"Uncategorized — Review"))</f>
        <v>Personal — Owner</v>
      </c>
    </row>
    <row r="1337" customFormat="false" ht="15" hidden="false" customHeight="false" outlineLevel="0" collapsed="false">
      <c r="A1337" s="0" t="str">
        <f aca="false">Chase1168_2025!A1337</f>
        <v>DEBIT</v>
      </c>
      <c r="B1337" s="14" t="n">
        <f aca="false">Chase1168_2025!B1337</f>
        <v>45749</v>
      </c>
      <c r="C1337" s="0" t="str">
        <f aca="false">Chase1168_2025!C1337</f>
        <v>PAYPAL *UBER 866-576-1039 CA                 04/01</v>
      </c>
      <c r="D1337" s="7" t="n">
        <f aca="false">Chase1168_2025!D1337</f>
        <v>-10.74</v>
      </c>
      <c r="E1337" s="0" t="str">
        <f aca="false">Chase1168_2025!E1337</f>
        <v>DEBIT_CARD</v>
      </c>
      <c r="F1337" s="7" t="n">
        <f aca="false">Chase1168_2025!F1337</f>
        <v>42610.62</v>
      </c>
      <c r="G1337" s="0" t="str">
        <f aca="false">Chase1168_2025!G1337</f>
        <v>Personal - Car</v>
      </c>
      <c r="H1337" s="15" t="n">
        <f aca="false">IF($B1337="","",DATE(YEAR($B1337),MONTH($B1337),1))</f>
        <v>45748</v>
      </c>
      <c r="I1337" s="0" t="str">
        <f aca="false">IF($G1337="","Uncategorized — Review",IFERROR(INDEX(Mapping!$B:$B,MATCH($G1337,Mapping!$A:$A,0)),"Uncategorized — Review"))</f>
        <v>Personal - Car &amp; Auto</v>
      </c>
      <c r="J1337" s="0" t="str">
        <f aca="false">IF($G1337="","Uncategorized — Review",IFERROR(INDEX(Mapping!$C:$C,MATCH($G1337,Mapping!$A:$A,0)),"Uncategorized — Review"))</f>
        <v>Personal — Owner</v>
      </c>
    </row>
    <row r="1338" customFormat="false" ht="15" hidden="false" customHeight="false" outlineLevel="0" collapsed="false">
      <c r="A1338" s="0" t="str">
        <f aca="false">Chase1168_2025!A1338</f>
        <v>DEBIT</v>
      </c>
      <c r="B1338" s="14" t="n">
        <f aca="false">Chase1168_2025!B1338</f>
        <v>45749</v>
      </c>
      <c r="C1338" s="0" t="str">
        <f aca="false">Chase1168_2025!C1338</f>
        <v>PAYPAL *HULU 877-801-5441 CA                 04/01</v>
      </c>
      <c r="D1338" s="7" t="n">
        <f aca="false">Chase1168_2025!D1338</f>
        <v>-18.99</v>
      </c>
      <c r="E1338" s="0" t="str">
        <f aca="false">Chase1168_2025!E1338</f>
        <v>DEBIT_CARD</v>
      </c>
      <c r="F1338" s="7" t="n">
        <f aca="false">Chase1168_2025!F1338</f>
        <v>42621.36</v>
      </c>
      <c r="G1338" s="0" t="str">
        <f aca="false">Chase1168_2025!G1338</f>
        <v>Personal - Subscriptions</v>
      </c>
      <c r="H1338" s="15" t="n">
        <f aca="false">IF($B1338="","",DATE(YEAR($B1338),MONTH($B1338),1))</f>
        <v>45748</v>
      </c>
      <c r="I1338" s="0" t="str">
        <f aca="false">IF($G1338="","Uncategorized — Review",IFERROR(INDEX(Mapping!$B:$B,MATCH($G1338,Mapping!$A:$A,0)),"Uncategorized — Review"))</f>
        <v>Personal - Subscriptions</v>
      </c>
      <c r="J1338" s="0" t="str">
        <f aca="false">IF($G1338="","Uncategorized — Review",IFERROR(INDEX(Mapping!$C:$C,MATCH($G1338,Mapping!$A:$A,0)),"Uncategorized — Review"))</f>
        <v>Personal — Owner</v>
      </c>
    </row>
    <row r="1339" customFormat="false" ht="15" hidden="false" customHeight="false" outlineLevel="0" collapsed="false">
      <c r="A1339" s="0" t="str">
        <f aca="false">Chase1168_2025!A1339</f>
        <v>DEBIT</v>
      </c>
      <c r="B1339" s="14" t="n">
        <f aca="false">Chase1168_2025!B1339</f>
        <v>45748</v>
      </c>
      <c r="C1339" s="0" t="str">
        <f aca="false">Chase1168_2025!C1339</f>
        <v>RTP/Same Day - Low Value</v>
      </c>
      <c r="D1339" s="7" t="n">
        <f aca="false">Chase1168_2025!D1339</f>
        <v>-30</v>
      </c>
      <c r="E1339" s="0" t="str">
        <f aca="false">Chase1168_2025!E1339</f>
        <v>FEE_TRANSACTION</v>
      </c>
      <c r="F1339" s="7" t="n">
        <f aca="false">Chase1168_2025!F1339</f>
        <v>42640.35</v>
      </c>
      <c r="G1339" s="0" t="str">
        <f aca="false">Chase1168_2025!G1339</f>
        <v>Bank Fee</v>
      </c>
      <c r="H1339" s="15" t="n">
        <f aca="false">IF($B1339="","",DATE(YEAR($B1339),MONTH($B1339),1))</f>
        <v>45748</v>
      </c>
      <c r="I1339" s="0" t="str">
        <f aca="false">IF($G1339="","Uncategorized — Review",IFERROR(INDEX(Mapping!$B:$B,MATCH($G1339,Mapping!$A:$A,0)),"Uncategorized — Review"))</f>
        <v>Bank &amp; Wire Fees</v>
      </c>
      <c r="J1339" s="0" t="str">
        <f aca="false">IF($G1339="","Uncategorized — Review",IFERROR(INDEX(Mapping!$C:$C,MATCH($G1339,Mapping!$A:$A,0)),"Uncategorized — Review"))</f>
        <v>DWG Operating</v>
      </c>
    </row>
    <row r="1340" customFormat="false" ht="15" hidden="false" customHeight="false" outlineLevel="0" collapsed="false">
      <c r="A1340" s="0" t="str">
        <f aca="false">Chase1168_2025!A1340</f>
        <v>DEBIT</v>
      </c>
      <c r="B1340" s="14" t="n">
        <f aca="false">Chase1168_2025!B1340</f>
        <v>45748</v>
      </c>
      <c r="C1340" s="0" t="str">
        <f aca="false">Chase1168_2025!C1340</f>
        <v>STANDARD ACH PMNTS INITIAL FEE QTY = 5</v>
      </c>
      <c r="D1340" s="7" t="n">
        <f aca="false">Chase1168_2025!D1340</f>
        <v>-12.5</v>
      </c>
      <c r="E1340" s="0" t="str">
        <f aca="false">Chase1168_2025!E1340</f>
        <v>FEE_TRANSACTION</v>
      </c>
      <c r="F1340" s="7" t="n">
        <f aca="false">Chase1168_2025!F1340</f>
        <v>42670.35</v>
      </c>
      <c r="G1340" s="0" t="str">
        <f aca="false">Chase1168_2025!G1340</f>
        <v>Bank Fee</v>
      </c>
      <c r="H1340" s="15" t="n">
        <f aca="false">IF($B1340="","",DATE(YEAR($B1340),MONTH($B1340),1))</f>
        <v>45748</v>
      </c>
      <c r="I1340" s="0" t="str">
        <f aca="false">IF($G1340="","Uncategorized — Review",IFERROR(INDEX(Mapping!$B:$B,MATCH($G1340,Mapping!$A:$A,0)),"Uncategorized — Review"))</f>
        <v>Bank &amp; Wire Fees</v>
      </c>
      <c r="J1340" s="0" t="str">
        <f aca="false">IF($G1340="","Uncategorized — Review",IFERROR(INDEX(Mapping!$C:$C,MATCH($G1340,Mapping!$A:$A,0)),"Uncategorized — Review"))</f>
        <v>DWG Operating</v>
      </c>
    </row>
    <row r="1341" customFormat="false" ht="15" hidden="false" customHeight="false" outlineLevel="0" collapsed="false">
      <c r="A1341" s="0" t="str">
        <f aca="false">Chase1168_2025!A1341</f>
        <v>DEBIT</v>
      </c>
      <c r="B1341" s="14" t="n">
        <f aca="false">Chase1168_2025!B1341</f>
        <v>45748</v>
      </c>
      <c r="C1341" s="0" t="str">
        <f aca="false">Chase1168_2025!C1341</f>
        <v>RTP/Same Day - High Value</v>
      </c>
      <c r="D1341" s="7" t="n">
        <f aca="false">Chase1168_2025!D1341</f>
        <v>-25</v>
      </c>
      <c r="E1341" s="0" t="str">
        <f aca="false">Chase1168_2025!E1341</f>
        <v>FEE_TRANSACTION</v>
      </c>
      <c r="F1341" s="7" t="n">
        <f aca="false">Chase1168_2025!F1341</f>
        <v>42682.85</v>
      </c>
      <c r="G1341" s="0" t="str">
        <f aca="false">Chase1168_2025!G1341</f>
        <v>Bank Fee</v>
      </c>
      <c r="H1341" s="15" t="n">
        <f aca="false">IF($B1341="","",DATE(YEAR($B1341),MONTH($B1341),1))</f>
        <v>45748</v>
      </c>
      <c r="I1341" s="0" t="str">
        <f aca="false">IF($G1341="","Uncategorized — Review",IFERROR(INDEX(Mapping!$B:$B,MATCH($G1341,Mapping!$A:$A,0)),"Uncategorized — Review"))</f>
        <v>Bank &amp; Wire Fees</v>
      </c>
      <c r="J1341" s="0" t="str">
        <f aca="false">IF($G1341="","Uncategorized — Review",IFERROR(INDEX(Mapping!$C:$C,MATCH($G1341,Mapping!$A:$A,0)),"Uncategorized — Review"))</f>
        <v>DWG Operating</v>
      </c>
    </row>
    <row r="1342" customFormat="false" ht="15" hidden="false" customHeight="false" outlineLevel="0" collapsed="false">
      <c r="A1342" s="0" t="str">
        <f aca="false">Chase1168_2025!A1342</f>
        <v>DEBIT</v>
      </c>
      <c r="B1342" s="14" t="n">
        <f aca="false">Chase1168_2025!B1342</f>
        <v>45748</v>
      </c>
      <c r="C1342" s="0" t="str">
        <f aca="false">Chase1168_2025!C1342</f>
        <v>PAYPAL *UBER 866-576-1039 CA                 04/01</v>
      </c>
      <c r="D1342" s="7" t="n">
        <f aca="false">Chase1168_2025!D1342</f>
        <v>-71.58</v>
      </c>
      <c r="E1342" s="0" t="str">
        <f aca="false">Chase1168_2025!E1342</f>
        <v>DEBIT_CARD</v>
      </c>
      <c r="F1342" s="7" t="n">
        <f aca="false">Chase1168_2025!F1342</f>
        <v>42707.85</v>
      </c>
      <c r="G1342" s="0" t="str">
        <f aca="false">Chase1168_2025!G1342</f>
        <v>Personal - Car</v>
      </c>
      <c r="H1342" s="15" t="n">
        <f aca="false">IF($B1342="","",DATE(YEAR($B1342),MONTH($B1342),1))</f>
        <v>45748</v>
      </c>
      <c r="I1342" s="0" t="str">
        <f aca="false">IF($G1342="","Uncategorized — Review",IFERROR(INDEX(Mapping!$B:$B,MATCH($G1342,Mapping!$A:$A,0)),"Uncategorized — Review"))</f>
        <v>Personal - Car &amp; Auto</v>
      </c>
      <c r="J1342" s="0" t="str">
        <f aca="false">IF($G1342="","Uncategorized — Review",IFERROR(INDEX(Mapping!$C:$C,MATCH($G1342,Mapping!$A:$A,0)),"Uncategorized — Review"))</f>
        <v>Personal — Owner</v>
      </c>
    </row>
    <row r="1343" customFormat="false" ht="15" hidden="false" customHeight="false" outlineLevel="0" collapsed="false">
      <c r="A1343" s="0" t="str">
        <f aca="false">Chase1168_2025!A1343</f>
        <v>DEBIT</v>
      </c>
      <c r="B1343" s="14" t="n">
        <f aca="false">Chase1168_2025!B1343</f>
        <v>45748</v>
      </c>
      <c r="C1343" s="0" t="str">
        <f aca="false">Chase1168_2025!C1343</f>
        <v>PAYPAL *BABBEL BABBEL. 35314369001           03/29</v>
      </c>
      <c r="D1343" s="7" t="n">
        <f aca="false">Chase1168_2025!D1343</f>
        <v>-27.16</v>
      </c>
      <c r="E1343" s="0" t="str">
        <f aca="false">Chase1168_2025!E1343</f>
        <v>DEBIT_CARD</v>
      </c>
      <c r="F1343" s="7" t="n">
        <f aca="false">Chase1168_2025!F1343</f>
        <v>42779.43</v>
      </c>
      <c r="G1343" s="0" t="str">
        <f aca="false">Chase1168_2025!G1343</f>
        <v>Paypal</v>
      </c>
      <c r="H1343" s="15" t="n">
        <f aca="false">IF($B1343="","",DATE(YEAR($B1343),MONTH($B1343),1))</f>
        <v>45748</v>
      </c>
      <c r="I1343" s="0" t="str">
        <f aca="false">IF($G1343="","Uncategorized — Review",IFERROR(INDEX(Mapping!$B:$B,MATCH($G1343,Mapping!$A:$A,0)),"Uncategorized — Review"))</f>
        <v>PayPal</v>
      </c>
      <c r="J1343" s="0" t="str">
        <f aca="false">IF($G1343="","Uncategorized — Review",IFERROR(INDEX(Mapping!$C:$C,MATCH($G1343,Mapping!$A:$A,0)),"Uncategorized — Review"))</f>
        <v>P2P Payments (Zelle/Venmo/PayPal)</v>
      </c>
    </row>
    <row r="1344" customFormat="false" ht="15" hidden="false" customHeight="false" outlineLevel="0" collapsed="false">
      <c r="A1344" s="0" t="str">
        <f aca="false">Chase1168_2025!A1344</f>
        <v>DEBIT</v>
      </c>
      <c r="B1344" s="14" t="n">
        <f aca="false">Chase1168_2025!B1344</f>
        <v>45747</v>
      </c>
      <c r="C1344" s="0" t="str">
        <f aca="false">Chase1168_2025!C1344</f>
        <v>ONLINE DOMESTIC WIRE FEE</v>
      </c>
      <c r="D1344" s="7" t="n">
        <f aca="false">Chase1168_2025!D1344</f>
        <v>-25</v>
      </c>
      <c r="E1344" s="0" t="str">
        <f aca="false">Chase1168_2025!E1344</f>
        <v>FEE_TRANSACTION</v>
      </c>
      <c r="F1344" s="7" t="n">
        <f aca="false">Chase1168_2025!F1344</f>
        <v>42806.59</v>
      </c>
      <c r="G1344" s="0" t="str">
        <f aca="false">Chase1168_2025!G1344</f>
        <v>Wire Fee</v>
      </c>
      <c r="H1344" s="15" t="n">
        <f aca="false">IF($B1344="","",DATE(YEAR($B1344),MONTH($B1344),1))</f>
        <v>45717</v>
      </c>
      <c r="I1344" s="0" t="str">
        <f aca="false">IF($G1344="","Uncategorized — Review",IFERROR(INDEX(Mapping!$B:$B,MATCH($G1344,Mapping!$A:$A,0)),"Uncategorized — Review"))</f>
        <v>Wire Fee</v>
      </c>
      <c r="J1344" s="0" t="str">
        <f aca="false">IF($G1344="","Uncategorized — Review",IFERROR(INDEX(Mapping!$C:$C,MATCH($G1344,Mapping!$A:$A,0)),"Uncategorized — Review"))</f>
        <v>DWG Operating</v>
      </c>
    </row>
    <row r="1345" customFormat="false" ht="15" hidden="false" customHeight="false" outlineLevel="0" collapsed="false">
      <c r="A1345" s="0" t="str">
        <f aca="false">Chase1168_2025!A1345</f>
        <v>DEBIT</v>
      </c>
      <c r="B1345" s="14" t="n">
        <f aca="false">Chase1168_2025!B1345</f>
        <v>45747</v>
      </c>
      <c r="C1345" s="0" t="str">
        <f aca="false">Chase1168_2025!C1345</f>
        <v>ONLINE DOMESTIC WIRE TRANSFER VIA: BK AMER NYC/026009593 A/C: CHICAGO TITLE INSURANCE COMPANY BREA CA 92505 US REF: FBSC2405308-BP IMAD: 0331MMQFMP2M077151 TRN: 3881615090ES 03/31</v>
      </c>
      <c r="D1345" s="7" t="n">
        <f aca="false">Chase1168_2025!D1345</f>
        <v>-15000</v>
      </c>
      <c r="E1345" s="0" t="str">
        <f aca="false">Chase1168_2025!E1345</f>
        <v>WIRE_OUTGOING</v>
      </c>
      <c r="F1345" s="7" t="n">
        <f aca="false">Chase1168_2025!F1345</f>
        <v>42831.59</v>
      </c>
      <c r="G1345" s="0" t="str">
        <f aca="false">Chase1168_2025!G1345</f>
        <v>Deal Specific: TBD</v>
      </c>
      <c r="H1345" s="15" t="n">
        <f aca="false">IF($B1345="","",DATE(YEAR($B1345),MONTH($B1345),1))</f>
        <v>45717</v>
      </c>
      <c r="I1345" s="0" t="str">
        <f aca="false">IF($G1345="","Uncategorized — Review",IFERROR(INDEX(Mapping!$B:$B,MATCH($G1345,Mapping!$A:$A,0)),"Uncategorized — Review"))</f>
        <v>Deal Specific: TBD</v>
      </c>
      <c r="J1345" s="0" t="str">
        <f aca="false">IF($G1345="","Uncategorized — Review",IFERROR(INDEX(Mapping!$C:$C,MATCH($G1345,Mapping!$A:$A,0)),"Uncategorized — Review"))</f>
        <v>Deal-Specific</v>
      </c>
    </row>
    <row r="1346" customFormat="false" ht="15" hidden="false" customHeight="false" outlineLevel="0" collapsed="false">
      <c r="A1346" s="0" t="str">
        <f aca="false">Chase1168_2025!A1346</f>
        <v>DEBIT</v>
      </c>
      <c r="B1346" s="14" t="n">
        <f aca="false">Chase1168_2025!B1346</f>
        <v>45747</v>
      </c>
      <c r="C1346" s="0" t="str">
        <f aca="false">Chase1168_2025!C1346</f>
        <v>Zelle payment to nate JPM99b368z4g</v>
      </c>
      <c r="D1346" s="7" t="n">
        <f aca="false">Chase1168_2025!D1346</f>
        <v>-1000</v>
      </c>
      <c r="E1346" s="0" t="str">
        <f aca="false">Chase1168_2025!E1346</f>
        <v>CHASE_TO_PARTNERFI</v>
      </c>
      <c r="F1346" s="7" t="n">
        <f aca="false">Chase1168_2025!F1346</f>
        <v>57831.59</v>
      </c>
      <c r="G1346" s="0" t="str">
        <f aca="false">Chase1168_2025!G1346</f>
        <v>Zelle - TBD</v>
      </c>
      <c r="H1346" s="15" t="n">
        <f aca="false">IF($B1346="","",DATE(YEAR($B1346),MONTH($B1346),1))</f>
        <v>45717</v>
      </c>
      <c r="I1346" s="0" t="str">
        <f aca="false">IF($G1346="","Uncategorized — Review",IFERROR(INDEX(Mapping!$B:$B,MATCH($G1346,Mapping!$A:$A,0)),"Uncategorized — Review"))</f>
        <v>Zelle - TBD</v>
      </c>
      <c r="J1346" s="0" t="str">
        <f aca="false">IF($G1346="","Uncategorized — Review",IFERROR(INDEX(Mapping!$C:$C,MATCH($G1346,Mapping!$A:$A,0)),"Uncategorized — Review"))</f>
        <v>Uncategorized — Review</v>
      </c>
    </row>
    <row r="1347" customFormat="false" ht="15" hidden="false" customHeight="false" outlineLevel="0" collapsed="false">
      <c r="A1347" s="0" t="str">
        <f aca="false">Chase1168_2025!A1347</f>
        <v>DEBIT</v>
      </c>
      <c r="B1347" s="14" t="n">
        <f aca="false">Chase1168_2025!B1347</f>
        <v>45747</v>
      </c>
      <c r="C1347" s="0" t="str">
        <f aca="false">Chase1168_2025!C1347</f>
        <v>ORIG CO NAME:BANNER LIFE            ORIG ID:1521236145 DESC DATE:250328 CO ENTRY DESCR:PREM DEBITSEC:PPD    TRACE#:091000018695375 EED:250331   IND ID:                             IND NAME:ANGELA L DUNNING TRN: 0908695375TC</v>
      </c>
      <c r="D1347" s="7" t="n">
        <f aca="false">Chase1168_2025!D1347</f>
        <v>-12.5</v>
      </c>
      <c r="E1347" s="0" t="str">
        <f aca="false">Chase1168_2025!E1347</f>
        <v>ACH_DEBIT</v>
      </c>
      <c r="F1347" s="7" t="n">
        <f aca="false">Chase1168_2025!F1347</f>
        <v>58831.59</v>
      </c>
      <c r="G1347" s="0" t="str">
        <f aca="false">Chase1168_2025!G1347</f>
        <v>Personal - Life Insurance</v>
      </c>
      <c r="H1347" s="15" t="n">
        <f aca="false">IF($B1347="","",DATE(YEAR($B1347),MONTH($B1347),1))</f>
        <v>45717</v>
      </c>
      <c r="I1347" s="0" t="str">
        <f aca="false">IF($G1347="","Uncategorized — Review",IFERROR(INDEX(Mapping!$B:$B,MATCH($G1347,Mapping!$A:$A,0)),"Uncategorized — Review"))</f>
        <v>Personal - Life Insurance</v>
      </c>
      <c r="J1347" s="0" t="str">
        <f aca="false">IF($G1347="","Uncategorized — Review",IFERROR(INDEX(Mapping!$C:$C,MATCH($G1347,Mapping!$A:$A,0)),"Uncategorized — Review"))</f>
        <v>Personal — Owner</v>
      </c>
    </row>
    <row r="1348" customFormat="false" ht="15" hidden="false" customHeight="false" outlineLevel="0" collapsed="false">
      <c r="A1348" s="0" t="str">
        <f aca="false">Chase1168_2025!A1348</f>
        <v>DEBIT</v>
      </c>
      <c r="B1348" s="14" t="n">
        <f aca="false">Chase1168_2025!B1348</f>
        <v>45747</v>
      </c>
      <c r="C1348" s="0" t="str">
        <f aca="false">Chase1168_2025!C1348</f>
        <v>ORIG CO NAME:BANNER LIFE            ORIG ID:1521236145 DESC DATE:250328 CO ENTRY DESCR:PREM DEBITSEC:PPD    TRACE#:091000018695376 EED:250331   IND ID:                             IND NAME:JOHN  DUNNING TRN: 0908695376TC</v>
      </c>
      <c r="D1348" s="7" t="n">
        <f aca="false">Chase1168_2025!D1348</f>
        <v>-22.92</v>
      </c>
      <c r="E1348" s="0" t="str">
        <f aca="false">Chase1168_2025!E1348</f>
        <v>ACH_DEBIT</v>
      </c>
      <c r="F1348" s="7" t="n">
        <f aca="false">Chase1168_2025!F1348</f>
        <v>58844.09</v>
      </c>
      <c r="G1348" s="0" t="str">
        <f aca="false">Chase1168_2025!G1348</f>
        <v>Personal - Life Insurance</v>
      </c>
      <c r="H1348" s="15" t="n">
        <f aca="false">IF($B1348="","",DATE(YEAR($B1348),MONTH($B1348),1))</f>
        <v>45717</v>
      </c>
      <c r="I1348" s="0" t="str">
        <f aca="false">IF($G1348="","Uncategorized — Review",IFERROR(INDEX(Mapping!$B:$B,MATCH($G1348,Mapping!$A:$A,0)),"Uncategorized — Review"))</f>
        <v>Personal - Life Insurance</v>
      </c>
      <c r="J1348" s="0" t="str">
        <f aca="false">IF($G1348="","Uncategorized — Review",IFERROR(INDEX(Mapping!$C:$C,MATCH($G1348,Mapping!$A:$A,0)),"Uncategorized — Review"))</f>
        <v>Personal — Owner</v>
      </c>
    </row>
    <row r="1349" customFormat="false" ht="15" hidden="false" customHeight="false" outlineLevel="0" collapsed="false">
      <c r="A1349" s="0" t="str">
        <f aca="false">Chase1168_2025!A1349</f>
        <v>DEBIT</v>
      </c>
      <c r="B1349" s="14" t="n">
        <f aca="false">Chase1168_2025!B1349</f>
        <v>45747</v>
      </c>
      <c r="C1349" s="0" t="str">
        <f aca="false">Chase1168_2025!C1349</f>
        <v>ORIG CO NAME:VENMO                  ORIG ID:3264681992 DESC DATE:250329 CO ENTRY DESCR:PAYMENT   SEC:WEB    TRACE#:021000029440899 EED:250331   IND ID:1041195937160                IND NAME:JUDD DUNNING                                                                                                 250329PPZZ77 TRN: 0909440899TC</v>
      </c>
      <c r="D1349" s="7" t="n">
        <f aca="false">Chase1168_2025!D1349</f>
        <v>-130</v>
      </c>
      <c r="E1349" s="0" t="str">
        <f aca="false">Chase1168_2025!E1349</f>
        <v>ACH_DEBIT</v>
      </c>
      <c r="F1349" s="7" t="n">
        <f aca="false">Chase1168_2025!F1349</f>
        <v>58867.01</v>
      </c>
      <c r="G1349" s="0" t="str">
        <f aca="false">Chase1168_2025!G1349</f>
        <v>Venmo</v>
      </c>
      <c r="H1349" s="15" t="n">
        <f aca="false">IF($B1349="","",DATE(YEAR($B1349),MONTH($B1349),1))</f>
        <v>45717</v>
      </c>
      <c r="I1349" s="0" t="str">
        <f aca="false">IF($G1349="","Uncategorized — Review",IFERROR(INDEX(Mapping!$B:$B,MATCH($G1349,Mapping!$A:$A,0)),"Uncategorized — Review"))</f>
        <v>Venmo</v>
      </c>
      <c r="J1349" s="0" t="str">
        <f aca="false">IF($G1349="","Uncategorized — Review",IFERROR(INDEX(Mapping!$C:$C,MATCH($G1349,Mapping!$A:$A,0)),"Uncategorized — Review"))</f>
        <v>P2P Payments (Zelle/Venmo/PayPal)</v>
      </c>
    </row>
    <row r="1350" customFormat="false" ht="15" hidden="false" customHeight="false" outlineLevel="0" collapsed="false">
      <c r="A1350" s="0" t="str">
        <f aca="false">Chase1168_2025!A1350</f>
        <v>DEBIT</v>
      </c>
      <c r="B1350" s="14" t="n">
        <f aca="false">Chase1168_2025!B1350</f>
        <v>45747</v>
      </c>
      <c r="C1350" s="0" t="str">
        <f aca="false">Chase1168_2025!C1350</f>
        <v>ORIG CO NAME:GEICO                  ORIG ID:3530075853 DESC DATE:250330 CO ENTRY DESCR:PREM COLL SEC:PPD    TRACE#:021000029770769 EED:250331   IND ID:                             IND NAME:ANGELA TRN: 0909770769TC</v>
      </c>
      <c r="D1350" s="7" t="n">
        <f aca="false">Chase1168_2025!D1350</f>
        <v>-558.58</v>
      </c>
      <c r="E1350" s="0" t="str">
        <f aca="false">Chase1168_2025!E1350</f>
        <v>ACH_DEBIT</v>
      </c>
      <c r="F1350" s="7" t="n">
        <f aca="false">Chase1168_2025!F1350</f>
        <v>58997.01</v>
      </c>
      <c r="G1350" s="0" t="str">
        <f aca="false">Chase1168_2025!G1350</f>
        <v>Personal - Car Insurance</v>
      </c>
      <c r="H1350" s="15" t="n">
        <f aca="false">IF($B1350="","",DATE(YEAR($B1350),MONTH($B1350),1))</f>
        <v>45717</v>
      </c>
      <c r="I1350" s="0" t="str">
        <f aca="false">IF($G1350="","Uncategorized — Review",IFERROR(INDEX(Mapping!$B:$B,MATCH($G1350,Mapping!$A:$A,0)),"Uncategorized — Review"))</f>
        <v>Personal - Car &amp; Auto</v>
      </c>
      <c r="J1350" s="0" t="str">
        <f aca="false">IF($G1350="","Uncategorized — Review",IFERROR(INDEX(Mapping!$C:$C,MATCH($G1350,Mapping!$A:$A,0)),"Uncategorized — Review"))</f>
        <v>Personal — Owner</v>
      </c>
    </row>
    <row r="1351" customFormat="false" ht="15" hidden="false" customHeight="false" outlineLevel="0" collapsed="false">
      <c r="A1351" s="0" t="str">
        <f aca="false">Chase1168_2025!A1351</f>
        <v>DEBIT</v>
      </c>
      <c r="B1351" s="14" t="n">
        <f aca="false">Chase1168_2025!B1351</f>
        <v>45747</v>
      </c>
      <c r="C1351" s="0" t="str">
        <f aca="false">Chase1168_2025!C1351</f>
        <v>Online Transfer to CHK ...1117 transaction#: 24237495017 03/31</v>
      </c>
      <c r="D1351" s="7" t="n">
        <f aca="false">Chase1168_2025!D1351</f>
        <v>-10000</v>
      </c>
      <c r="E1351" s="0" t="str">
        <f aca="false">Chase1168_2025!E1351</f>
        <v>ACCT_XFER</v>
      </c>
      <c r="F1351" s="7" t="n">
        <f aca="false">Chase1168_2025!F1351</f>
        <v>59555.59</v>
      </c>
      <c r="G1351" s="0" t="str">
        <f aca="false">Chase1168_2025!G1351</f>
        <v>Transfer to Angela Dunning</v>
      </c>
      <c r="H1351" s="15" t="n">
        <f aca="false">IF($B1351="","",DATE(YEAR($B1351),MONTH($B1351),1))</f>
        <v>45717</v>
      </c>
      <c r="I1351" s="0" t="str">
        <f aca="false">IF($G1351="","Uncategorized — Review",IFERROR(INDEX(Mapping!$B:$B,MATCH($G1351,Mapping!$A:$A,0)),"Uncategorized — Review"))</f>
        <v>Transfer to Angela Dunning</v>
      </c>
      <c r="J1351" s="0" t="str">
        <f aca="false">IF($G1351="","Uncategorized — Review",IFERROR(INDEX(Mapping!$C:$C,MATCH($G1351,Mapping!$A:$A,0)),"Uncategorized — Review"))</f>
        <v>Owner / Family Distributions</v>
      </c>
    </row>
    <row r="1352" customFormat="false" ht="15" hidden="false" customHeight="false" outlineLevel="0" collapsed="false">
      <c r="A1352" s="0" t="str">
        <f aca="false">Chase1168_2025!A1352</f>
        <v>DEBIT</v>
      </c>
      <c r="B1352" s="14" t="n">
        <f aca="false">Chase1168_2025!B1352</f>
        <v>45747</v>
      </c>
      <c r="C1352" s="0" t="str">
        <f aca="false">Chase1168_2025!C1352</f>
        <v>PP*APPLE.COM/BILL 800-275-2273 CA            03/30</v>
      </c>
      <c r="D1352" s="7" t="n">
        <f aca="false">Chase1168_2025!D1352</f>
        <v>-8.99</v>
      </c>
      <c r="E1352" s="0" t="str">
        <f aca="false">Chase1168_2025!E1352</f>
        <v>DEBIT_CARD</v>
      </c>
      <c r="F1352" s="7" t="n">
        <f aca="false">Chase1168_2025!F1352</f>
        <v>69555.59</v>
      </c>
      <c r="G1352" s="0" t="str">
        <f aca="false">Chase1168_2025!G1352</f>
        <v>Personal - Subscriptions</v>
      </c>
      <c r="H1352" s="15" t="n">
        <f aca="false">IF($B1352="","",DATE(YEAR($B1352),MONTH($B1352),1))</f>
        <v>45717</v>
      </c>
      <c r="I1352" s="0" t="str">
        <f aca="false">IF($G1352="","Uncategorized — Review",IFERROR(INDEX(Mapping!$B:$B,MATCH($G1352,Mapping!$A:$A,0)),"Uncategorized — Review"))</f>
        <v>Personal - Subscriptions</v>
      </c>
      <c r="J1352" s="0" t="str">
        <f aca="false">IF($G1352="","Uncategorized — Review",IFERROR(INDEX(Mapping!$C:$C,MATCH($G1352,Mapping!$A:$A,0)),"Uncategorized — Review"))</f>
        <v>Personal — Owner</v>
      </c>
    </row>
    <row r="1353" customFormat="false" ht="15" hidden="false" customHeight="false" outlineLevel="0" collapsed="false">
      <c r="A1353" s="0" t="str">
        <f aca="false">Chase1168_2025!A1353</f>
        <v>DEBIT</v>
      </c>
      <c r="B1353" s="14" t="n">
        <f aca="false">Chase1168_2025!B1353</f>
        <v>45747</v>
      </c>
      <c r="C1353" s="0" t="str">
        <f aca="false">Chase1168_2025!C1353</f>
        <v>RESTORE.COM RESTORE.COM TX                   03/29</v>
      </c>
      <c r="D1353" s="7" t="n">
        <f aca="false">Chase1168_2025!D1353</f>
        <v>-179</v>
      </c>
      <c r="E1353" s="0" t="str">
        <f aca="false">Chase1168_2025!E1353</f>
        <v>DEBIT_CARD</v>
      </c>
      <c r="F1353" s="7" t="n">
        <f aca="false">Chase1168_2025!F1353</f>
        <v>69564.58</v>
      </c>
      <c r="G1353" s="0" t="str">
        <f aca="false">Chase1168_2025!G1353</f>
        <v>Personal - Health</v>
      </c>
      <c r="H1353" s="15" t="n">
        <f aca="false">IF($B1353="","",DATE(YEAR($B1353),MONTH($B1353),1))</f>
        <v>45717</v>
      </c>
      <c r="I1353" s="0" t="str">
        <f aca="false">IF($G1353="","Uncategorized — Review",IFERROR(INDEX(Mapping!$B:$B,MATCH($G1353,Mapping!$A:$A,0)),"Uncategorized — Review"))</f>
        <v>Personal - Health (incl. Ins.)</v>
      </c>
      <c r="J1353" s="0" t="str">
        <f aca="false">IF($G1353="","Uncategorized — Review",IFERROR(INDEX(Mapping!$C:$C,MATCH($G1353,Mapping!$A:$A,0)),"Uncategorized — Review"))</f>
        <v>Personal — Owner</v>
      </c>
    </row>
    <row r="1354" customFormat="false" ht="15" hidden="false" customHeight="false" outlineLevel="0" collapsed="false">
      <c r="A1354" s="0" t="str">
        <f aca="false">Chase1168_2025!A1354</f>
        <v>DEBIT</v>
      </c>
      <c r="B1354" s="14" t="n">
        <f aca="false">Chase1168_2025!B1354</f>
        <v>45747</v>
      </c>
      <c r="C1354" s="0" t="str">
        <f aca="false">Chase1168_2025!C1354</f>
        <v>PP*APPLE.COM/BILL 800-275-2273 CA            03/29</v>
      </c>
      <c r="D1354" s="7" t="n">
        <f aca="false">Chase1168_2025!D1354</f>
        <v>-18.99</v>
      </c>
      <c r="E1354" s="0" t="str">
        <f aca="false">Chase1168_2025!E1354</f>
        <v>DEBIT_CARD</v>
      </c>
      <c r="F1354" s="7" t="n">
        <f aca="false">Chase1168_2025!F1354</f>
        <v>69743.58</v>
      </c>
      <c r="G1354" s="0" t="str">
        <f aca="false">Chase1168_2025!G1354</f>
        <v>Personal - Subscriptions</v>
      </c>
      <c r="H1354" s="15" t="n">
        <f aca="false">IF($B1354="","",DATE(YEAR($B1354),MONTH($B1354),1))</f>
        <v>45717</v>
      </c>
      <c r="I1354" s="0" t="str">
        <f aca="false">IF($G1354="","Uncategorized — Review",IFERROR(INDEX(Mapping!$B:$B,MATCH($G1354,Mapping!$A:$A,0)),"Uncategorized — Review"))</f>
        <v>Personal - Subscriptions</v>
      </c>
      <c r="J1354" s="0" t="str">
        <f aca="false">IF($G1354="","Uncategorized — Review",IFERROR(INDEX(Mapping!$C:$C,MATCH($G1354,Mapping!$A:$A,0)),"Uncategorized — Review"))</f>
        <v>Personal — Owner</v>
      </c>
    </row>
    <row r="1355" customFormat="false" ht="15" hidden="false" customHeight="false" outlineLevel="0" collapsed="false">
      <c r="A1355" s="0" t="str">
        <f aca="false">Chase1168_2025!A1355</f>
        <v>DEBIT</v>
      </c>
      <c r="B1355" s="14" t="n">
        <f aca="false">Chase1168_2025!B1355</f>
        <v>45747</v>
      </c>
      <c r="C1355" s="0" t="str">
        <f aca="false">Chase1168_2025!C1355</f>
        <v>ORIG CO NAME:GEICO                  ORIG ID:3530075853 DESC DATE:250328 CO ENTRY DESCR:PREM COLL SEC:PPD    TRACE#:021000025091978 EED:250331   IND ID:                             IND NAME:ANGELA DUNNING TRN: 0905091978TC</v>
      </c>
      <c r="D1355" s="7" t="n">
        <f aca="false">Chase1168_2025!D1355</f>
        <v>-972.38</v>
      </c>
      <c r="E1355" s="0" t="str">
        <f aca="false">Chase1168_2025!E1355</f>
        <v>ACH_DEBIT</v>
      </c>
      <c r="F1355" s="7" t="n">
        <f aca="false">Chase1168_2025!F1355</f>
        <v>69762.57</v>
      </c>
      <c r="G1355" s="0" t="str">
        <f aca="false">Chase1168_2025!G1355</f>
        <v>Personal - Car Insurance</v>
      </c>
      <c r="H1355" s="15" t="n">
        <f aca="false">IF($B1355="","",DATE(YEAR($B1355),MONTH($B1355),1))</f>
        <v>45717</v>
      </c>
      <c r="I1355" s="0" t="str">
        <f aca="false">IF($G1355="","Uncategorized — Review",IFERROR(INDEX(Mapping!$B:$B,MATCH($G1355,Mapping!$A:$A,0)),"Uncategorized — Review"))</f>
        <v>Personal - Car &amp; Auto</v>
      </c>
      <c r="J1355" s="0" t="str">
        <f aca="false">IF($G1355="","Uncategorized — Review",IFERROR(INDEX(Mapping!$C:$C,MATCH($G1355,Mapping!$A:$A,0)),"Uncategorized — Review"))</f>
        <v>Personal — Owner</v>
      </c>
    </row>
    <row r="1356" customFormat="false" ht="15" hidden="false" customHeight="false" outlineLevel="0" collapsed="false">
      <c r="A1356" s="0" t="str">
        <f aca="false">Chase1168_2025!A1356</f>
        <v>DEBIT</v>
      </c>
      <c r="B1356" s="14" t="n">
        <f aca="false">Chase1168_2025!B1356</f>
        <v>45747</v>
      </c>
      <c r="C1356" s="0" t="str">
        <f aca="false">Chase1168_2025!C1356</f>
        <v>ORIG CO NAME:MBFS.COM               ORIG ID:1850860002 DESC DATE:250331 CO ENTRY DESCR:Auto Pay  SEC:WEB    TRACE#:021000026811914 EED:250331   IND ID:5002505795                   IND NAME:John B. Dunning TRN: 0906811914TC</v>
      </c>
      <c r="D1356" s="7" t="n">
        <f aca="false">Chase1168_2025!D1356</f>
        <v>-1399.46</v>
      </c>
      <c r="E1356" s="0" t="str">
        <f aca="false">Chase1168_2025!E1356</f>
        <v>ACH_DEBIT</v>
      </c>
      <c r="F1356" s="7" t="n">
        <f aca="false">Chase1168_2025!F1356</f>
        <v>70734.95</v>
      </c>
      <c r="G1356" s="0" t="str">
        <f aca="false">Chase1168_2025!G1356</f>
        <v>Personal - Car (Mercedes)</v>
      </c>
      <c r="H1356" s="15" t="n">
        <f aca="false">IF($B1356="","",DATE(YEAR($B1356),MONTH($B1356),1))</f>
        <v>45717</v>
      </c>
      <c r="I1356" s="0" t="str">
        <f aca="false">IF($G1356="","Uncategorized — Review",IFERROR(INDEX(Mapping!$B:$B,MATCH($G1356,Mapping!$A:$A,0)),"Uncategorized — Review"))</f>
        <v>Personal - Car &amp; Auto</v>
      </c>
      <c r="J1356" s="0" t="str">
        <f aca="false">IF($G1356="","Uncategorized — Review",IFERROR(INDEX(Mapping!$C:$C,MATCH($G1356,Mapping!$A:$A,0)),"Uncategorized — Review"))</f>
        <v>Personal — Owner</v>
      </c>
    </row>
    <row r="1357" customFormat="false" ht="15" hidden="false" customHeight="false" outlineLevel="0" collapsed="false">
      <c r="A1357" s="0" t="str">
        <f aca="false">Chase1168_2025!A1357</f>
        <v>DEBIT</v>
      </c>
      <c r="B1357" s="14" t="n">
        <f aca="false">Chase1168_2025!B1357</f>
        <v>45747</v>
      </c>
      <c r="C1357" s="0" t="str">
        <f aca="false">Chase1168_2025!C1357</f>
        <v>ORIG CO NAME:SBA EIDL LOAN          ORIG ID:7300000118 DESC DATE:250328 CO ENTRY DESCR:PAYMENT   SEC:CCD    TRACE#:041036044211664 EED:250331   IND ID:0000                         IND NAME:JOHN DUNNING               1871308204                                                                        ACH TRANSACTION TRN: 0904211664TC</v>
      </c>
      <c r="D1357" s="7" t="n">
        <f aca="false">Chase1168_2025!D1357</f>
        <v>-2524</v>
      </c>
      <c r="E1357" s="0" t="str">
        <f aca="false">Chase1168_2025!E1357</f>
        <v>ACH_DEBIT</v>
      </c>
      <c r="F1357" s="7" t="n">
        <f aca="false">Chase1168_2025!F1357</f>
        <v>72134.41</v>
      </c>
      <c r="G1357" s="0" t="str">
        <f aca="false">Chase1168_2025!G1357</f>
        <v>SBA EIDL Loan</v>
      </c>
      <c r="H1357" s="15" t="n">
        <f aca="false">IF($B1357="","",DATE(YEAR($B1357),MONTH($B1357),1))</f>
        <v>45717</v>
      </c>
      <c r="I1357" s="0" t="str">
        <f aca="false">IF($G1357="","Uncategorized — Review",IFERROR(INDEX(Mapping!$B:$B,MATCH($G1357,Mapping!$A:$A,0)),"Uncategorized — Review"))</f>
        <v>SBA EIDL Loan</v>
      </c>
      <c r="J1357" s="0" t="str">
        <f aca="false">IF($G1357="","Uncategorized — Review",IFERROR(INDEX(Mapping!$C:$C,MATCH($G1357,Mapping!$A:$A,0)),"Uncategorized — Review"))</f>
        <v>Credit Card &amp; Loan Payments</v>
      </c>
    </row>
    <row r="1358" customFormat="false" ht="15" hidden="false" customHeight="false" outlineLevel="0" collapsed="false">
      <c r="A1358" s="0" t="str">
        <f aca="false">Chase1168_2025!A1358</f>
        <v>DEBIT</v>
      </c>
      <c r="B1358" s="14" t="n">
        <f aca="false">Chase1168_2025!B1358</f>
        <v>45747</v>
      </c>
      <c r="C1358" s="0" t="str">
        <f aca="false">Chase1168_2025!C1358</f>
        <v>Online Payment 24217278494 To PENTAGON FEDERAL CREDIT UNION 03/31</v>
      </c>
      <c r="D1358" s="7" t="n">
        <f aca="false">Chase1168_2025!D1358</f>
        <v>-7010</v>
      </c>
      <c r="E1358" s="0" t="str">
        <f aca="false">Chase1168_2025!E1358</f>
        <v>BILLPAY</v>
      </c>
      <c r="F1358" s="7" t="n">
        <f aca="false">Chase1168_2025!F1358</f>
        <v>74658.41</v>
      </c>
      <c r="G1358" s="0" t="str">
        <f aca="false">Chase1168_2025!G1358</f>
        <v>Personal - California Mortgage PMT</v>
      </c>
      <c r="H1358" s="15" t="n">
        <f aca="false">IF($B1358="","",DATE(YEAR($B1358),MONTH($B1358),1))</f>
        <v>45717</v>
      </c>
      <c r="I1358" s="0" t="str">
        <f aca="false">IF($G1358="","Uncategorized — Review",IFERROR(INDEX(Mapping!$B:$B,MATCH($G1358,Mapping!$A:$A,0)),"Uncategorized — Review"))</f>
        <v>Personal - California Mortgage PMT</v>
      </c>
      <c r="J1358" s="0" t="str">
        <f aca="false">IF($G1358="","Uncategorized — Review",IFERROR(INDEX(Mapping!$C:$C,MATCH($G1358,Mapping!$A:$A,0)),"Uncategorized — Review"))</f>
        <v>Personal — Owner</v>
      </c>
    </row>
    <row r="1359" customFormat="false" ht="15" hidden="false" customHeight="false" outlineLevel="0" collapsed="false">
      <c r="A1359" s="0" t="str">
        <f aca="false">Chase1168_2025!A1359</f>
        <v>DEBIT</v>
      </c>
      <c r="B1359" s="14" t="n">
        <f aca="false">Chase1168_2025!B1359</f>
        <v>45747</v>
      </c>
      <c r="C1359" s="0" t="str">
        <f aca="false">Chase1168_2025!C1359</f>
        <v>Online Payment 24217253904 To MERCEDES BENZ FINANCIAL 03/31</v>
      </c>
      <c r="D1359" s="7" t="n">
        <f aca="false">Chase1168_2025!D1359</f>
        <v>-409.45</v>
      </c>
      <c r="E1359" s="0" t="str">
        <f aca="false">Chase1168_2025!E1359</f>
        <v>BILLPAY</v>
      </c>
      <c r="F1359" s="7" t="n">
        <f aca="false">Chase1168_2025!F1359</f>
        <v>81668.41</v>
      </c>
      <c r="G1359" s="0" t="str">
        <f aca="false">Chase1168_2025!G1359</f>
        <v>Personal - Car (Mercedes)</v>
      </c>
      <c r="H1359" s="15" t="n">
        <f aca="false">IF($B1359="","",DATE(YEAR($B1359),MONTH($B1359),1))</f>
        <v>45717</v>
      </c>
      <c r="I1359" s="0" t="str">
        <f aca="false">IF($G1359="","Uncategorized — Review",IFERROR(INDEX(Mapping!$B:$B,MATCH($G1359,Mapping!$A:$A,0)),"Uncategorized — Review"))</f>
        <v>Personal - Car &amp; Auto</v>
      </c>
      <c r="J1359" s="0" t="str">
        <f aca="false">IF($G1359="","Uncategorized — Review",IFERROR(INDEX(Mapping!$C:$C,MATCH($G1359,Mapping!$A:$A,0)),"Uncategorized — Review"))</f>
        <v>Personal — Owner</v>
      </c>
    </row>
    <row r="1360" customFormat="false" ht="15" hidden="false" customHeight="false" outlineLevel="0" collapsed="false">
      <c r="A1360" s="0" t="str">
        <f aca="false">Chase1168_2025!A1360</f>
        <v>DEBIT</v>
      </c>
      <c r="B1360" s="14" t="n">
        <f aca="false">Chase1168_2025!B1360</f>
        <v>45747</v>
      </c>
      <c r="C1360" s="0" t="str">
        <f aca="false">Chase1168_2025!C1360</f>
        <v>PAYPAL *GRUBHUBFOOD L 877-585-7878 IL        03/30</v>
      </c>
      <c r="D1360" s="7" t="n">
        <f aca="false">Chase1168_2025!D1360</f>
        <v>-100.67</v>
      </c>
      <c r="E1360" s="0" t="str">
        <f aca="false">Chase1168_2025!E1360</f>
        <v>DEBIT_CARD</v>
      </c>
      <c r="F1360" s="7" t="n">
        <f aca="false">Chase1168_2025!F1360</f>
        <v>82077.86</v>
      </c>
      <c r="G1360" s="0" t="str">
        <f aca="false">Chase1168_2025!G1360</f>
        <v>Personal - Food</v>
      </c>
      <c r="H1360" s="15" t="n">
        <f aca="false">IF($B1360="","",DATE(YEAR($B1360),MONTH($B1360),1))</f>
        <v>45717</v>
      </c>
      <c r="I1360" s="0" t="str">
        <f aca="false">IF($G1360="","Uncategorized — Review",IFERROR(INDEX(Mapping!$B:$B,MATCH($G1360,Mapping!$A:$A,0)),"Uncategorized — Review"))</f>
        <v>Personal - Food &amp; Dining</v>
      </c>
      <c r="J1360" s="0" t="str">
        <f aca="false">IF($G1360="","Uncategorized — Review",IFERROR(INDEX(Mapping!$C:$C,MATCH($G1360,Mapping!$A:$A,0)),"Uncategorized — Review"))</f>
        <v>Personal — Owner</v>
      </c>
    </row>
    <row r="1361" customFormat="false" ht="15" hidden="false" customHeight="false" outlineLevel="0" collapsed="false">
      <c r="A1361" s="0" t="str">
        <f aca="false">Chase1168_2025!A1361</f>
        <v>DEBIT</v>
      </c>
      <c r="B1361" s="14" t="n">
        <f aca="false">Chase1168_2025!B1361</f>
        <v>45747</v>
      </c>
      <c r="C1361" s="0" t="str">
        <f aca="false">Chase1168_2025!C1361</f>
        <v>PAYPAL *UBER 866-576-1039 CA                 03/29</v>
      </c>
      <c r="D1361" s="7" t="n">
        <f aca="false">Chase1168_2025!D1361</f>
        <v>-17.57</v>
      </c>
      <c r="E1361" s="0" t="str">
        <f aca="false">Chase1168_2025!E1361</f>
        <v>DEBIT_CARD</v>
      </c>
      <c r="F1361" s="7" t="n">
        <f aca="false">Chase1168_2025!F1361</f>
        <v>82178.53</v>
      </c>
      <c r="G1361" s="0" t="str">
        <f aca="false">Chase1168_2025!G1361</f>
        <v>Personal - Car</v>
      </c>
      <c r="H1361" s="15" t="n">
        <f aca="false">IF($B1361="","",DATE(YEAR($B1361),MONTH($B1361),1))</f>
        <v>45717</v>
      </c>
      <c r="I1361" s="0" t="str">
        <f aca="false">IF($G1361="","Uncategorized — Review",IFERROR(INDEX(Mapping!$B:$B,MATCH($G1361,Mapping!$A:$A,0)),"Uncategorized — Review"))</f>
        <v>Personal - Car &amp; Auto</v>
      </c>
      <c r="J1361" s="0" t="str">
        <f aca="false">IF($G1361="","Uncategorized — Review",IFERROR(INDEX(Mapping!$C:$C,MATCH($G1361,Mapping!$A:$A,0)),"Uncategorized — Review"))</f>
        <v>Personal — Owner</v>
      </c>
    </row>
    <row r="1362" customFormat="false" ht="15" hidden="false" customHeight="false" outlineLevel="0" collapsed="false">
      <c r="A1362" s="0" t="str">
        <f aca="false">Chase1168_2025!A1362</f>
        <v>DEBIT</v>
      </c>
      <c r="B1362" s="14" t="n">
        <f aca="false">Chase1168_2025!B1362</f>
        <v>45747</v>
      </c>
      <c r="C1362" s="0" t="str">
        <f aca="false">Chase1168_2025!C1362</f>
        <v>Zelle payment to Murugu Navaneetha JPM99b2wrrb2</v>
      </c>
      <c r="D1362" s="7" t="n">
        <f aca="false">Chase1168_2025!D1362</f>
        <v>-1500</v>
      </c>
      <c r="E1362" s="0" t="str">
        <f aca="false">Chase1168_2025!E1362</f>
        <v>CHASE_TO_PARTNERFI</v>
      </c>
      <c r="F1362" s="7" t="n">
        <f aca="false">Chase1168_2025!F1362</f>
        <v>82196.1</v>
      </c>
      <c r="G1362" s="0" t="str">
        <f aca="false">Chase1168_2025!G1362</f>
        <v>Zelle - DWG Investor ***</v>
      </c>
      <c r="H1362" s="15" t="n">
        <f aca="false">IF($B1362="","",DATE(YEAR($B1362),MONTH($B1362),1))</f>
        <v>45717</v>
      </c>
      <c r="I1362" s="0" t="str">
        <f aca="false">IF($G1362="","Uncategorized — Review",IFERROR(INDEX(Mapping!$B:$B,MATCH($G1362,Mapping!$A:$A,0)),"Uncategorized — Review"))</f>
        <v>Zelle - DWG Investor ***</v>
      </c>
      <c r="J1362" s="0" t="str">
        <f aca="false">IF($G1362="","Uncategorized — Review",IFERROR(INDEX(Mapping!$C:$C,MATCH($G1362,Mapping!$A:$A,0)),"Uncategorized — Review"))</f>
        <v>P2P Payments (Zelle/Venmo/PayPal)</v>
      </c>
    </row>
    <row r="1363" customFormat="false" ht="15" hidden="false" customHeight="false" outlineLevel="0" collapsed="false">
      <c r="A1363" s="0" t="str">
        <f aca="false">Chase1168_2025!A1363</f>
        <v>CREDIT</v>
      </c>
      <c r="B1363" s="14" t="n">
        <f aca="false">Chase1168_2025!B1363</f>
        <v>45747</v>
      </c>
      <c r="C1363" s="0" t="str">
        <f aca="false">Chase1168_2025!C1363</f>
        <v>Online Transfer from CHK ...9335 transaction#: 24244376834</v>
      </c>
      <c r="D1363" s="7" t="n">
        <f aca="false">Chase1168_2025!D1363</f>
        <v>15000</v>
      </c>
      <c r="E1363" s="0" t="str">
        <f aca="false">Chase1168_2025!E1363</f>
        <v>ACCT_XFER</v>
      </c>
      <c r="F1363" s="7" t="n">
        <f aca="false">Chase1168_2025!F1363</f>
        <v>83696.1</v>
      </c>
      <c r="G1363" s="0" t="str">
        <f aca="false">Chase1168_2025!G1363</f>
        <v>Transfer From Poseidon Asset Group</v>
      </c>
      <c r="H1363" s="15" t="n">
        <f aca="false">IF($B1363="","",DATE(YEAR($B1363),MONTH($B1363),1))</f>
        <v>45717</v>
      </c>
      <c r="I1363" s="0" t="str">
        <f aca="false">IF($G1363="","Uncategorized — Review",IFERROR(INDEX(Mapping!$B:$B,MATCH($G1363,Mapping!$A:$A,0)),"Uncategorized — Review"))</f>
        <v>Transfer From Poseidon Asset Group</v>
      </c>
      <c r="J1363" s="0" t="str">
        <f aca="false">IF($G1363="","Uncategorized — Review",IFERROR(INDEX(Mapping!$C:$C,MATCH($G1363,Mapping!$A:$A,0)),"Uncategorized — Review"))</f>
        <v>Poseidon Asset Group</v>
      </c>
    </row>
    <row r="1364" customFormat="false" ht="15" hidden="false" customHeight="false" outlineLevel="0" collapsed="false">
      <c r="A1364" s="0" t="str">
        <f aca="false">Chase1168_2025!A1364</f>
        <v>CREDIT</v>
      </c>
      <c r="B1364" s="14" t="n">
        <f aca="false">Chase1168_2025!B1364</f>
        <v>45747</v>
      </c>
      <c r="C1364" s="0" t="str">
        <f aca="false">Chase1168_2025!C1364</f>
        <v>Online Transfer from CHK ...9335 transaction#: 24237494598</v>
      </c>
      <c r="D1364" s="7" t="n">
        <f aca="false">Chase1168_2025!D1364</f>
        <v>20000</v>
      </c>
      <c r="E1364" s="0" t="str">
        <f aca="false">Chase1168_2025!E1364</f>
        <v>ACCT_XFER</v>
      </c>
      <c r="F1364" s="7" t="n">
        <f aca="false">Chase1168_2025!F1364</f>
        <v>68696.1</v>
      </c>
      <c r="G1364" s="0" t="str">
        <f aca="false">Chase1168_2025!G1364</f>
        <v>Transfer From Poseidon Asset Group</v>
      </c>
      <c r="H1364" s="15" t="n">
        <f aca="false">IF($B1364="","",DATE(YEAR($B1364),MONTH($B1364),1))</f>
        <v>45717</v>
      </c>
      <c r="I1364" s="0" t="str">
        <f aca="false">IF($G1364="","Uncategorized — Review",IFERROR(INDEX(Mapping!$B:$B,MATCH($G1364,Mapping!$A:$A,0)),"Uncategorized — Review"))</f>
        <v>Transfer From Poseidon Asset Group</v>
      </c>
      <c r="J1364" s="0" t="str">
        <f aca="false">IF($G1364="","Uncategorized — Review",IFERROR(INDEX(Mapping!$C:$C,MATCH($G1364,Mapping!$A:$A,0)),"Uncategorized — Review"))</f>
        <v>Poseidon Asset Group</v>
      </c>
    </row>
    <row r="1365" customFormat="false" ht="15" hidden="false" customHeight="false" outlineLevel="0" collapsed="false">
      <c r="A1365" s="0" t="str">
        <f aca="false">Chase1168_2025!A1365</f>
        <v>DEBIT</v>
      </c>
      <c r="B1365" s="14" t="n">
        <f aca="false">Chase1168_2025!B1365</f>
        <v>45744</v>
      </c>
      <c r="C1365" s="0" t="str">
        <f aca="false">Chase1168_2025!C1365</f>
        <v>Online Transfer to CHK ...1117 transaction#: 24215711884 03/28</v>
      </c>
      <c r="D1365" s="7" t="n">
        <f aca="false">Chase1168_2025!D1365</f>
        <v>-5000</v>
      </c>
      <c r="E1365" s="0" t="str">
        <f aca="false">Chase1168_2025!E1365</f>
        <v>ACCT_XFER</v>
      </c>
      <c r="F1365" s="7" t="n">
        <f aca="false">Chase1168_2025!F1365</f>
        <v>48696.1</v>
      </c>
      <c r="G1365" s="0" t="str">
        <f aca="false">Chase1168_2025!G1365</f>
        <v>Transfer to Angela Dunning</v>
      </c>
      <c r="H1365" s="15" t="n">
        <f aca="false">IF($B1365="","",DATE(YEAR($B1365),MONTH($B1365),1))</f>
        <v>45717</v>
      </c>
      <c r="I1365" s="0" t="str">
        <f aca="false">IF($G1365="","Uncategorized — Review",IFERROR(INDEX(Mapping!$B:$B,MATCH($G1365,Mapping!$A:$A,0)),"Uncategorized — Review"))</f>
        <v>Transfer to Angela Dunning</v>
      </c>
      <c r="J1365" s="0" t="str">
        <f aca="false">IF($G1365="","Uncategorized — Review",IFERROR(INDEX(Mapping!$C:$C,MATCH($G1365,Mapping!$A:$A,0)),"Uncategorized — Review"))</f>
        <v>Owner / Family Distributions</v>
      </c>
    </row>
    <row r="1366" customFormat="false" ht="15" hidden="false" customHeight="false" outlineLevel="0" collapsed="false">
      <c r="A1366" s="0" t="str">
        <f aca="false">Chase1168_2025!A1366</f>
        <v>DEBIT</v>
      </c>
      <c r="B1366" s="14" t="n">
        <f aca="false">Chase1168_2025!B1366</f>
        <v>45744</v>
      </c>
      <c r="C1366" s="0" t="str">
        <f aca="false">Chase1168_2025!C1366</f>
        <v>Online Transfer to CHK ...7899 transaction#: 24215703354 03/28</v>
      </c>
      <c r="D1366" s="7" t="n">
        <f aca="false">Chase1168_2025!D1366</f>
        <v>-8000</v>
      </c>
      <c r="E1366" s="0" t="str">
        <f aca="false">Chase1168_2025!E1366</f>
        <v>ACCT_XFER</v>
      </c>
      <c r="F1366" s="7" t="n">
        <f aca="false">Chase1168_2025!F1366</f>
        <v>53696.1</v>
      </c>
      <c r="G1366" s="0" t="str">
        <f aca="false">Chase1168_2025!G1366</f>
        <v>Transfer to TX Personal Joint</v>
      </c>
      <c r="H1366" s="15" t="n">
        <f aca="false">IF($B1366="","",DATE(YEAR($B1366),MONTH($B1366),1))</f>
        <v>45717</v>
      </c>
      <c r="I1366" s="0" t="str">
        <f aca="false">IF($G1366="","Uncategorized — Review",IFERROR(INDEX(Mapping!$B:$B,MATCH($G1366,Mapping!$A:$A,0)),"Uncategorized — Review"))</f>
        <v>Transfer to TX Personal Joint</v>
      </c>
      <c r="J1366" s="0" t="str">
        <f aca="false">IF($G1366="","Uncategorized — Review",IFERROR(INDEX(Mapping!$C:$C,MATCH($G1366,Mapping!$A:$A,0)),"Uncategorized — Review"))</f>
        <v>Owner / Family Distributions</v>
      </c>
    </row>
    <row r="1367" customFormat="false" ht="15" hidden="false" customHeight="false" outlineLevel="0" collapsed="false">
      <c r="A1367" s="0" t="str">
        <f aca="false">Chase1168_2025!A1367</f>
        <v>DEBIT</v>
      </c>
      <c r="B1367" s="14" t="n">
        <f aca="false">Chase1168_2025!B1367</f>
        <v>45744</v>
      </c>
      <c r="C1367" s="0" t="str">
        <f aca="false">Chase1168_2025!C1367</f>
        <v>Online Transfer to CHK ...6975 transaction#: 24215664774 03/28</v>
      </c>
      <c r="D1367" s="7" t="n">
        <f aca="false">Chase1168_2025!D1367</f>
        <v>-1000</v>
      </c>
      <c r="E1367" s="0" t="str">
        <f aca="false">Chase1168_2025!E1367</f>
        <v>ACCT_XFER</v>
      </c>
      <c r="F1367" s="7" t="n">
        <f aca="false">Chase1168_2025!F1367</f>
        <v>61696.1</v>
      </c>
      <c r="G1367" s="0" t="str">
        <f aca="false">Chase1168_2025!G1367</f>
        <v>Transfer to Ava Perez-Dunning</v>
      </c>
      <c r="H1367" s="15" t="n">
        <f aca="false">IF($B1367="","",DATE(YEAR($B1367),MONTH($B1367),1))</f>
        <v>45717</v>
      </c>
      <c r="I1367" s="0" t="str">
        <f aca="false">IF($G1367="","Uncategorized — Review",IFERROR(INDEX(Mapping!$B:$B,MATCH($G1367,Mapping!$A:$A,0)),"Uncategorized — Review"))</f>
        <v>Transfer to Ava Perez-Dunning</v>
      </c>
      <c r="J1367" s="0" t="str">
        <f aca="false">IF($G1367="","Uncategorized — Review",IFERROR(INDEX(Mapping!$C:$C,MATCH($G1367,Mapping!$A:$A,0)),"Uncategorized — Review"))</f>
        <v>Owner / Family Distributions</v>
      </c>
    </row>
    <row r="1368" customFormat="false" ht="15" hidden="false" customHeight="false" outlineLevel="0" collapsed="false">
      <c r="A1368" s="0" t="str">
        <f aca="false">Chase1168_2025!A1368</f>
        <v>DEBIT</v>
      </c>
      <c r="B1368" s="14" t="n">
        <f aca="false">Chase1168_2025!B1368</f>
        <v>45744</v>
      </c>
      <c r="C1368" s="0" t="str">
        <f aca="false">Chase1168_2025!C1368</f>
        <v>Online Transfer to CHK ...1117 transaction#: 24215632050 03/28</v>
      </c>
      <c r="D1368" s="7" t="n">
        <f aca="false">Chase1168_2025!D1368</f>
        <v>-3000</v>
      </c>
      <c r="E1368" s="0" t="str">
        <f aca="false">Chase1168_2025!E1368</f>
        <v>ACCT_XFER</v>
      </c>
      <c r="F1368" s="7" t="n">
        <f aca="false">Chase1168_2025!F1368</f>
        <v>62696.1</v>
      </c>
      <c r="G1368" s="0" t="str">
        <f aca="false">Chase1168_2025!G1368</f>
        <v>Transfer to Angela Dunning</v>
      </c>
      <c r="H1368" s="15" t="n">
        <f aca="false">IF($B1368="","",DATE(YEAR($B1368),MONTH($B1368),1))</f>
        <v>45717</v>
      </c>
      <c r="I1368" s="0" t="str">
        <f aca="false">IF($G1368="","Uncategorized — Review",IFERROR(INDEX(Mapping!$B:$B,MATCH($G1368,Mapping!$A:$A,0)),"Uncategorized — Review"))</f>
        <v>Transfer to Angela Dunning</v>
      </c>
      <c r="J1368" s="0" t="str">
        <f aca="false">IF($G1368="","Uncategorized — Review",IFERROR(INDEX(Mapping!$C:$C,MATCH($G1368,Mapping!$A:$A,0)),"Uncategorized — Review"))</f>
        <v>Owner / Family Distributions</v>
      </c>
    </row>
    <row r="1369" customFormat="false" ht="15" hidden="false" customHeight="false" outlineLevel="0" collapsed="false">
      <c r="A1369" s="0" t="str">
        <f aca="false">Chase1168_2025!A1369</f>
        <v>CREDIT</v>
      </c>
      <c r="B1369" s="14" t="n">
        <f aca="false">Chase1168_2025!B1369</f>
        <v>45744</v>
      </c>
      <c r="C1369" s="0" t="str">
        <f aca="false">Chase1168_2025!C1369</f>
        <v>Online Transfer 24214578147 from Butler Weldment ####8349 transaction #: 24214578147 03/28</v>
      </c>
      <c r="D1369" s="7" t="n">
        <f aca="false">Chase1168_2025!D1369</f>
        <v>1500</v>
      </c>
      <c r="E1369" s="0" t="str">
        <f aca="false">Chase1168_2025!E1369</f>
        <v>ACCT_XFER</v>
      </c>
      <c r="F1369" s="7" t="n">
        <f aca="false">Chase1168_2025!F1369</f>
        <v>65696.1</v>
      </c>
      <c r="G1369" s="0" t="str">
        <f aca="false">Chase1168_2025!G1369</f>
        <v>Transfer From Butler Weldments</v>
      </c>
      <c r="H1369" s="15" t="n">
        <f aca="false">IF($B1369="","",DATE(YEAR($B1369),MONTH($B1369),1))</f>
        <v>45717</v>
      </c>
      <c r="I1369" s="0" t="str">
        <f aca="false">IF($G1369="","Uncategorized — Review",IFERROR(INDEX(Mapping!$B:$B,MATCH($G1369,Mapping!$A:$A,0)),"Uncategorized — Review"))</f>
        <v>Transfer From Butler Weldments</v>
      </c>
      <c r="J1369" s="0" t="str">
        <f aca="false">IF($G1369="","Uncategorized — Review",IFERROR(INDEX(Mapping!$C:$C,MATCH($G1369,Mapping!$A:$A,0)),"Uncategorized — Review"))</f>
        <v>Intercompany &amp; Savings Transfers</v>
      </c>
    </row>
    <row r="1370" customFormat="false" ht="15" hidden="false" customHeight="false" outlineLevel="0" collapsed="false">
      <c r="A1370" s="0" t="str">
        <f aca="false">Chase1168_2025!A1370</f>
        <v>CREDIT</v>
      </c>
      <c r="B1370" s="14" t="n">
        <f aca="false">Chase1168_2025!B1370</f>
        <v>45744</v>
      </c>
      <c r="C1370" s="0" t="str">
        <f aca="false">Chase1168_2025!C1370</f>
        <v>Online Transfer from CHK ...9335 transaction#: 24215691297</v>
      </c>
      <c r="D1370" s="7" t="n">
        <f aca="false">Chase1168_2025!D1370</f>
        <v>30000</v>
      </c>
      <c r="E1370" s="0" t="str">
        <f aca="false">Chase1168_2025!E1370</f>
        <v>ACCT_XFER</v>
      </c>
      <c r="F1370" s="7" t="n">
        <f aca="false">Chase1168_2025!F1370</f>
        <v>64196.1</v>
      </c>
      <c r="G1370" s="0" t="str">
        <f aca="false">Chase1168_2025!G1370</f>
        <v>Transfer From Poseidon Asset Group</v>
      </c>
      <c r="H1370" s="15" t="n">
        <f aca="false">IF($B1370="","",DATE(YEAR($B1370),MONTH($B1370),1))</f>
        <v>45717</v>
      </c>
      <c r="I1370" s="0" t="str">
        <f aca="false">IF($G1370="","Uncategorized — Review",IFERROR(INDEX(Mapping!$B:$B,MATCH($G1370,Mapping!$A:$A,0)),"Uncategorized — Review"))</f>
        <v>Transfer From Poseidon Asset Group</v>
      </c>
      <c r="J1370" s="0" t="str">
        <f aca="false">IF($G1370="","Uncategorized — Review",IFERROR(INDEX(Mapping!$C:$C,MATCH($G1370,Mapping!$A:$A,0)),"Uncategorized — Review"))</f>
        <v>Poseidon Asset Group</v>
      </c>
    </row>
    <row r="1371" customFormat="false" ht="15" hidden="false" customHeight="false" outlineLevel="0" collapsed="false">
      <c r="A1371" s="0" t="str">
        <f aca="false">Chase1168_2025!A1371</f>
        <v>DEBIT</v>
      </c>
      <c r="B1371" s="14" t="n">
        <f aca="false">Chase1168_2025!B1371</f>
        <v>45743</v>
      </c>
      <c r="C1371" s="0" t="str">
        <f aca="false">Chase1168_2025!C1371</f>
        <v>ONLINE FX INTERNATIONAL WIRE FEE</v>
      </c>
      <c r="D1371" s="7" t="n">
        <f aca="false">Chase1168_2025!D1371</f>
        <v>-5</v>
      </c>
      <c r="E1371" s="0" t="str">
        <f aca="false">Chase1168_2025!E1371</f>
        <v>FEE_TRANSACTION</v>
      </c>
      <c r="F1371" s="7" t="n">
        <f aca="false">Chase1168_2025!F1371</f>
        <v>34196.1</v>
      </c>
      <c r="G1371" s="0" t="str">
        <f aca="false">Chase1168_2025!G1371</f>
        <v>Andres Alarcon Payroll</v>
      </c>
      <c r="H1371" s="15" t="n">
        <f aca="false">IF($B1371="","",DATE(YEAR($B1371),MONTH($B1371),1))</f>
        <v>45717</v>
      </c>
      <c r="I1371" s="0" t="str">
        <f aca="false">IF($G1371="","Uncategorized — Review",IFERROR(INDEX(Mapping!$B:$B,MATCH($G1371,Mapping!$A:$A,0)),"Uncategorized — Review"))</f>
        <v>Andres Alarcon Payroll</v>
      </c>
      <c r="J1371" s="0" t="str">
        <f aca="false">IF($G1371="","Uncategorized — Review",IFERROR(INDEX(Mapping!$C:$C,MATCH($G1371,Mapping!$A:$A,0)),"Uncategorized — Review"))</f>
        <v>Payroll &amp; Contractors</v>
      </c>
    </row>
    <row r="1372" customFormat="false" ht="15" hidden="false" customHeight="false" outlineLevel="0" collapsed="false">
      <c r="A1372" s="0" t="str">
        <f aca="false">Chase1168_2025!A1372</f>
        <v>DEBIT</v>
      </c>
      <c r="B1372" s="14" t="n">
        <f aca="false">Chase1168_2025!B1372</f>
        <v>45743</v>
      </c>
      <c r="C1372" s="0" t="str">
        <f aca="false">Chase1168_2025!C1372</f>
        <v>ORIG CO NAME:INTUIT *               ORIG ID:0000756346 DESC DATE:250327 CO ENTRY DESCR:QBooks OnlSEC:CCD    TRACE#:021000021352409 EED:250327   IND ID:7162101                      IND NAME:DWG CAPITAL GROUP                                                                                            800-446-8848 TRN: 0861352409TC</v>
      </c>
      <c r="D1372" s="7" t="n">
        <f aca="false">Chase1168_2025!D1372</f>
        <v>-104.35</v>
      </c>
      <c r="E1372" s="0" t="str">
        <f aca="false">Chase1168_2025!E1372</f>
        <v>ACH_DEBIT</v>
      </c>
      <c r="F1372" s="7" t="n">
        <f aca="false">Chase1168_2025!F1372</f>
        <v>34201.1</v>
      </c>
      <c r="G1372" s="0" t="str">
        <f aca="false">Chase1168_2025!G1372</f>
        <v>Software/Accounting</v>
      </c>
      <c r="H1372" s="15" t="n">
        <f aca="false">IF($B1372="","",DATE(YEAR($B1372),MONTH($B1372),1))</f>
        <v>45717</v>
      </c>
      <c r="I1372" s="0" t="str">
        <f aca="false">IF($G1372="","Uncategorized — Review",IFERROR(INDEX(Mapping!$B:$B,MATCH($G1372,Mapping!$A:$A,0)),"Uncategorized — Review"))</f>
        <v>Software/Accounting</v>
      </c>
      <c r="J1372" s="0" t="str">
        <f aca="false">IF($G1372="","Uncategorized — Review",IFERROR(INDEX(Mapping!$C:$C,MATCH($G1372,Mapping!$A:$A,0)),"Uncategorized — Review"))</f>
        <v>DWG Operating</v>
      </c>
    </row>
    <row r="1373" customFormat="false" ht="15" hidden="false" customHeight="false" outlineLevel="0" collapsed="false">
      <c r="A1373" s="0" t="str">
        <f aca="false">Chase1168_2025!A1373</f>
        <v>DEBIT</v>
      </c>
      <c r="B1373" s="14" t="n">
        <f aca="false">Chase1168_2025!B1373</f>
        <v>45743</v>
      </c>
      <c r="C1373" s="0" t="str">
        <f aca="false">Chase1168_2025!C1373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ENTS/OCMT/COP2991931,05/EXCH/3989.2 414/CNTR/59597642/INT/ANDRES_527 TRN: 5709200086RE 03/27</v>
      </c>
      <c r="D1373" s="7" t="n">
        <f aca="false">Chase1168_2025!D1373</f>
        <v>-750</v>
      </c>
      <c r="E1373" s="0" t="str">
        <f aca="false">Chase1168_2025!E1373</f>
        <v>WIRE_OUTGOING</v>
      </c>
      <c r="F1373" s="7" t="n">
        <f aca="false">Chase1168_2025!F1373</f>
        <v>34305.45</v>
      </c>
      <c r="G1373" s="0" t="str">
        <f aca="false">Chase1168_2025!G1373</f>
        <v>Andres Alarcon Payroll</v>
      </c>
      <c r="H1373" s="15" t="n">
        <f aca="false">IF($B1373="","",DATE(YEAR($B1373),MONTH($B1373),1))</f>
        <v>45717</v>
      </c>
      <c r="I1373" s="0" t="str">
        <f aca="false">IF($G1373="","Uncategorized — Review",IFERROR(INDEX(Mapping!$B:$B,MATCH($G1373,Mapping!$A:$A,0)),"Uncategorized — Review"))</f>
        <v>Andres Alarcon Payroll</v>
      </c>
      <c r="J1373" s="0" t="str">
        <f aca="false">IF($G1373="","Uncategorized — Review",IFERROR(INDEX(Mapping!$C:$C,MATCH($G1373,Mapping!$A:$A,0)),"Uncategorized — Review"))</f>
        <v>Payroll &amp; Contractors</v>
      </c>
    </row>
    <row r="1374" customFormat="false" ht="15" hidden="false" customHeight="false" outlineLevel="0" collapsed="false">
      <c r="A1374" s="0" t="str">
        <f aca="false">Chase1168_2025!A1374</f>
        <v>DEBIT</v>
      </c>
      <c r="B1374" s="14" t="n">
        <f aca="false">Chase1168_2025!B1374</f>
        <v>45743</v>
      </c>
      <c r="C1374" s="0" t="str">
        <f aca="false">Chase1168_2025!C1374</f>
        <v>PAYPAL *UBER 866-576-1039 CA                 03/27</v>
      </c>
      <c r="D1374" s="7" t="n">
        <f aca="false">Chase1168_2025!D1374</f>
        <v>-117.15</v>
      </c>
      <c r="E1374" s="0" t="str">
        <f aca="false">Chase1168_2025!E1374</f>
        <v>DEBIT_CARD</v>
      </c>
      <c r="F1374" s="7" t="n">
        <f aca="false">Chase1168_2025!F1374</f>
        <v>35055.45</v>
      </c>
      <c r="G1374" s="0" t="str">
        <f aca="false">Chase1168_2025!G1374</f>
        <v>Personal - Car</v>
      </c>
      <c r="H1374" s="15" t="n">
        <f aca="false">IF($B1374="","",DATE(YEAR($B1374),MONTH($B1374),1))</f>
        <v>45717</v>
      </c>
      <c r="I1374" s="0" t="str">
        <f aca="false">IF($G1374="","Uncategorized — Review",IFERROR(INDEX(Mapping!$B:$B,MATCH($G1374,Mapping!$A:$A,0)),"Uncategorized — Review"))</f>
        <v>Personal - Car &amp; Auto</v>
      </c>
      <c r="J1374" s="0" t="str">
        <f aca="false">IF($G1374="","Uncategorized — Review",IFERROR(INDEX(Mapping!$C:$C,MATCH($G1374,Mapping!$A:$A,0)),"Uncategorized — Review"))</f>
        <v>Personal — Owner</v>
      </c>
    </row>
    <row r="1375" customFormat="false" ht="15" hidden="false" customHeight="false" outlineLevel="0" collapsed="false">
      <c r="A1375" s="0" t="str">
        <f aca="false">Chase1168_2025!A1375</f>
        <v>DEBIT</v>
      </c>
      <c r="B1375" s="14" t="n">
        <f aca="false">Chase1168_2025!B1375</f>
        <v>45743</v>
      </c>
      <c r="C1375" s="0" t="str">
        <f aca="false">Chase1168_2025!C1375</f>
        <v>PAYPAL *UBER 866-576-1039 CA                 03/27</v>
      </c>
      <c r="D1375" s="7" t="n">
        <f aca="false">Chase1168_2025!D1375</f>
        <v>-5.37</v>
      </c>
      <c r="E1375" s="0" t="str">
        <f aca="false">Chase1168_2025!E1375</f>
        <v>DEBIT_CARD</v>
      </c>
      <c r="F1375" s="7" t="n">
        <f aca="false">Chase1168_2025!F1375</f>
        <v>35172.6</v>
      </c>
      <c r="G1375" s="0" t="str">
        <f aca="false">Chase1168_2025!G1375</f>
        <v>Personal - Car</v>
      </c>
      <c r="H1375" s="15" t="n">
        <f aca="false">IF($B1375="","",DATE(YEAR($B1375),MONTH($B1375),1))</f>
        <v>45717</v>
      </c>
      <c r="I1375" s="0" t="str">
        <f aca="false">IF($G1375="","Uncategorized — Review",IFERROR(INDEX(Mapping!$B:$B,MATCH($G1375,Mapping!$A:$A,0)),"Uncategorized — Review"))</f>
        <v>Personal - Car &amp; Auto</v>
      </c>
      <c r="J1375" s="0" t="str">
        <f aca="false">IF($G1375="","Uncategorized — Review",IFERROR(INDEX(Mapping!$C:$C,MATCH($G1375,Mapping!$A:$A,0)),"Uncategorized — Review"))</f>
        <v>Personal — Owner</v>
      </c>
    </row>
    <row r="1376" customFormat="false" ht="15" hidden="false" customHeight="false" outlineLevel="0" collapsed="false">
      <c r="A1376" s="0" t="str">
        <f aca="false">Chase1168_2025!A1376</f>
        <v>DEBIT</v>
      </c>
      <c r="B1376" s="14" t="n">
        <f aca="false">Chase1168_2025!B1376</f>
        <v>45743</v>
      </c>
      <c r="C1376" s="0" t="str">
        <f aca="false">Chase1168_2025!C1376</f>
        <v>PP*APPLE.COM/BILL 800-275-2273 CA            03/27</v>
      </c>
      <c r="D1376" s="7" t="n">
        <f aca="false">Chase1168_2025!D1376</f>
        <v>-16.99</v>
      </c>
      <c r="E1376" s="0" t="str">
        <f aca="false">Chase1168_2025!E1376</f>
        <v>DEBIT_CARD</v>
      </c>
      <c r="F1376" s="7" t="n">
        <f aca="false">Chase1168_2025!F1376</f>
        <v>35177.97</v>
      </c>
      <c r="G1376" s="0" t="str">
        <f aca="false">Chase1168_2025!G1376</f>
        <v>Personal - Subscriptions</v>
      </c>
      <c r="H1376" s="15" t="n">
        <f aca="false">IF($B1376="","",DATE(YEAR($B1376),MONTH($B1376),1))</f>
        <v>45717</v>
      </c>
      <c r="I1376" s="0" t="str">
        <f aca="false">IF($G1376="","Uncategorized — Review",IFERROR(INDEX(Mapping!$B:$B,MATCH($G1376,Mapping!$A:$A,0)),"Uncategorized — Review"))</f>
        <v>Personal - Subscriptions</v>
      </c>
      <c r="J1376" s="0" t="str">
        <f aca="false">IF($G1376="","Uncategorized — Review",IFERROR(INDEX(Mapping!$C:$C,MATCH($G1376,Mapping!$A:$A,0)),"Uncategorized — Review"))</f>
        <v>Personal — Owner</v>
      </c>
    </row>
    <row r="1377" customFormat="false" ht="15" hidden="false" customHeight="false" outlineLevel="0" collapsed="false">
      <c r="A1377" s="0" t="str">
        <f aca="false">Chase1168_2025!A1377</f>
        <v>DEBIT</v>
      </c>
      <c r="B1377" s="14" t="n">
        <f aca="false">Chase1168_2025!B1377</f>
        <v>45743</v>
      </c>
      <c r="C1377" s="0" t="str">
        <f aca="false">Chase1168_2025!C1377</f>
        <v>PP*APPLE.COM/BILL 800-275-2273 CA            03/27</v>
      </c>
      <c r="D1377" s="7" t="n">
        <f aca="false">Chase1168_2025!D1377</f>
        <v>-9.99</v>
      </c>
      <c r="E1377" s="0" t="str">
        <f aca="false">Chase1168_2025!E1377</f>
        <v>DEBIT_CARD</v>
      </c>
      <c r="F1377" s="7" t="n">
        <f aca="false">Chase1168_2025!F1377</f>
        <v>35194.96</v>
      </c>
      <c r="G1377" s="0" t="str">
        <f aca="false">Chase1168_2025!G1377</f>
        <v>Personal - Subscriptions</v>
      </c>
      <c r="H1377" s="15" t="n">
        <f aca="false">IF($B1377="","",DATE(YEAR($B1377),MONTH($B1377),1))</f>
        <v>45717</v>
      </c>
      <c r="I1377" s="0" t="str">
        <f aca="false">IF($G1377="","Uncategorized — Review",IFERROR(INDEX(Mapping!$B:$B,MATCH($G1377,Mapping!$A:$A,0)),"Uncategorized — Review"))</f>
        <v>Personal - Subscriptions</v>
      </c>
      <c r="J1377" s="0" t="str">
        <f aca="false">IF($G1377="","Uncategorized — Review",IFERROR(INDEX(Mapping!$C:$C,MATCH($G1377,Mapping!$A:$A,0)),"Uncategorized — Review"))</f>
        <v>Personal — Owner</v>
      </c>
    </row>
    <row r="1378" customFormat="false" ht="15" hidden="false" customHeight="false" outlineLevel="0" collapsed="false">
      <c r="A1378" s="0" t="str">
        <f aca="false">Chase1168_2025!A1378</f>
        <v>DEBIT</v>
      </c>
      <c r="B1378" s="14" t="n">
        <f aca="false">Chase1168_2025!B1378</f>
        <v>45742</v>
      </c>
      <c r="C1378" s="0" t="str">
        <f aca="false">Chase1168_2025!C1378</f>
        <v>Disney Plus 888-9057888 CA                   03/26</v>
      </c>
      <c r="D1378" s="7" t="n">
        <f aca="false">Chase1168_2025!D1378</f>
        <v>-17.27</v>
      </c>
      <c r="E1378" s="0" t="str">
        <f aca="false">Chase1168_2025!E1378</f>
        <v>DEBIT_CARD</v>
      </c>
      <c r="F1378" s="7" t="n">
        <f aca="false">Chase1168_2025!F1378</f>
        <v>35204.95</v>
      </c>
      <c r="G1378" s="0" t="str">
        <f aca="false">Chase1168_2025!G1378</f>
        <v>Personal - Subscriptions</v>
      </c>
      <c r="H1378" s="15" t="n">
        <f aca="false">IF($B1378="","",DATE(YEAR($B1378),MONTH($B1378),1))</f>
        <v>45717</v>
      </c>
      <c r="I1378" s="0" t="str">
        <f aca="false">IF($G1378="","Uncategorized — Review",IFERROR(INDEX(Mapping!$B:$B,MATCH($G1378,Mapping!$A:$A,0)),"Uncategorized — Review"))</f>
        <v>Personal - Subscriptions</v>
      </c>
      <c r="J1378" s="0" t="str">
        <f aca="false">IF($G1378="","Uncategorized — Review",IFERROR(INDEX(Mapping!$C:$C,MATCH($G1378,Mapping!$A:$A,0)),"Uncategorized — Review"))</f>
        <v>Personal — Owner</v>
      </c>
    </row>
    <row r="1379" customFormat="false" ht="15" hidden="false" customHeight="false" outlineLevel="0" collapsed="false">
      <c r="A1379" s="0" t="str">
        <f aca="false">Chase1168_2025!A1379</f>
        <v>DEBIT</v>
      </c>
      <c r="B1379" s="14" t="n">
        <f aca="false">Chase1168_2025!B1379</f>
        <v>45742</v>
      </c>
      <c r="C1379" s="0" t="str">
        <f aca="false">Chase1168_2025!C1379</f>
        <v>PP*APPLE.COM/BILL 800-275-2273 CA            03/26</v>
      </c>
      <c r="D1379" s="7" t="n">
        <f aca="false">Chase1168_2025!D1379</f>
        <v>-8.99</v>
      </c>
      <c r="E1379" s="0" t="str">
        <f aca="false">Chase1168_2025!E1379</f>
        <v>DEBIT_CARD</v>
      </c>
      <c r="F1379" s="7" t="n">
        <f aca="false">Chase1168_2025!F1379</f>
        <v>35222.22</v>
      </c>
      <c r="G1379" s="0" t="str">
        <f aca="false">Chase1168_2025!G1379</f>
        <v>Personal - Subscriptions</v>
      </c>
      <c r="H1379" s="15" t="n">
        <f aca="false">IF($B1379="","",DATE(YEAR($B1379),MONTH($B1379),1))</f>
        <v>45717</v>
      </c>
      <c r="I1379" s="0" t="str">
        <f aca="false">IF($G1379="","Uncategorized — Review",IFERROR(INDEX(Mapping!$B:$B,MATCH($G1379,Mapping!$A:$A,0)),"Uncategorized — Review"))</f>
        <v>Personal - Subscriptions</v>
      </c>
      <c r="J1379" s="0" t="str">
        <f aca="false">IF($G1379="","Uncategorized — Review",IFERROR(INDEX(Mapping!$C:$C,MATCH($G1379,Mapping!$A:$A,0)),"Uncategorized — Review"))</f>
        <v>Personal — Owner</v>
      </c>
    </row>
    <row r="1380" customFormat="false" ht="15" hidden="false" customHeight="false" outlineLevel="0" collapsed="false">
      <c r="A1380" s="0" t="str">
        <f aca="false">Chase1168_2025!A1380</f>
        <v>DEBIT</v>
      </c>
      <c r="B1380" s="14" t="n">
        <f aca="false">Chase1168_2025!B1380</f>
        <v>45741</v>
      </c>
      <c r="C1380" s="0" t="str">
        <f aca="false">Chase1168_2025!C1380</f>
        <v>Zelle payment to Alis Chiranian JPM99b2jll4r</v>
      </c>
      <c r="D1380" s="7" t="n">
        <f aca="false">Chase1168_2025!D1380</f>
        <v>-200</v>
      </c>
      <c r="E1380" s="0" t="str">
        <f aca="false">Chase1168_2025!E1380</f>
        <v>CHASE_TO_PARTNERFI</v>
      </c>
      <c r="F1380" s="7" t="n">
        <f aca="false">Chase1168_2025!F1380</f>
        <v>35231.21</v>
      </c>
      <c r="G1380" s="0" t="str">
        <f aca="false">Chase1168_2025!G1380</f>
        <v>Zelle - TBD</v>
      </c>
      <c r="H1380" s="15" t="n">
        <f aca="false">IF($B1380="","",DATE(YEAR($B1380),MONTH($B1380),1))</f>
        <v>45717</v>
      </c>
      <c r="I1380" s="0" t="str">
        <f aca="false">IF($G1380="","Uncategorized — Review",IFERROR(INDEX(Mapping!$B:$B,MATCH($G1380,Mapping!$A:$A,0)),"Uncategorized — Review"))</f>
        <v>Zelle - TBD</v>
      </c>
      <c r="J1380" s="0" t="str">
        <f aca="false">IF($G1380="","Uncategorized — Review",IFERROR(INDEX(Mapping!$C:$C,MATCH($G1380,Mapping!$A:$A,0)),"Uncategorized — Review"))</f>
        <v>Uncategorized — Review</v>
      </c>
    </row>
    <row r="1381" customFormat="false" ht="15" hidden="false" customHeight="false" outlineLevel="0" collapsed="false">
      <c r="A1381" s="0" t="str">
        <f aca="false">Chase1168_2025!A1381</f>
        <v>DEBIT</v>
      </c>
      <c r="B1381" s="14" t="n">
        <f aca="false">Chase1168_2025!B1381</f>
        <v>45741</v>
      </c>
      <c r="C1381" s="0" t="str">
        <f aca="false">Chase1168_2025!C1381</f>
        <v>WITHDRAWAL 03/25</v>
      </c>
      <c r="D1381" s="7" t="n">
        <f aca="false">Chase1168_2025!D1381</f>
        <v>-977.6</v>
      </c>
      <c r="E1381" s="0" t="str">
        <f aca="false">Chase1168_2025!E1381</f>
        <v>MISC_DEBIT</v>
      </c>
      <c r="F1381" s="7" t="n">
        <f aca="false">Chase1168_2025!F1381</f>
        <v>35431.21</v>
      </c>
      <c r="G1381" s="0" t="str">
        <f aca="false">Chase1168_2025!G1381</f>
        <v>Withdrawal - TBD</v>
      </c>
      <c r="H1381" s="15" t="n">
        <f aca="false">IF($B1381="","",DATE(YEAR($B1381),MONTH($B1381),1))</f>
        <v>45717</v>
      </c>
      <c r="I1381" s="0" t="str">
        <f aca="false">IF($G1381="","Uncategorized — Review",IFERROR(INDEX(Mapping!$B:$B,MATCH($G1381,Mapping!$A:$A,0)),"Uncategorized — Review"))</f>
        <v>Withdrawal - TBD</v>
      </c>
      <c r="J1381" s="0" t="str">
        <f aca="false">IF($G1381="","Uncategorized — Review",IFERROR(INDEX(Mapping!$C:$C,MATCH($G1381,Mapping!$A:$A,0)),"Uncategorized — Review"))</f>
        <v>Uncategorized — Review</v>
      </c>
    </row>
    <row r="1382" customFormat="false" ht="15" hidden="false" customHeight="false" outlineLevel="0" collapsed="false">
      <c r="A1382" s="0" t="str">
        <f aca="false">Chase1168_2025!A1382</f>
        <v>DEBIT</v>
      </c>
      <c r="B1382" s="14" t="n">
        <f aca="false">Chase1168_2025!B1382</f>
        <v>45741</v>
      </c>
      <c r="C1382" s="0" t="str">
        <f aca="false">Chase1168_2025!C1382</f>
        <v>PAYPAL *MEG 402-935-7733 CA                  03/25</v>
      </c>
      <c r="D1382" s="7" t="n">
        <f aca="false">Chase1168_2025!D1382</f>
        <v>-51.75</v>
      </c>
      <c r="E1382" s="0" t="str">
        <f aca="false">Chase1168_2025!E1382</f>
        <v>DEBIT_CARD</v>
      </c>
      <c r="F1382" s="7" t="n">
        <f aca="false">Chase1168_2025!F1382</f>
        <v>36408.81</v>
      </c>
      <c r="G1382" s="0" t="str">
        <f aca="false">Chase1168_2025!G1382</f>
        <v>Zelle - Meg Maran</v>
      </c>
      <c r="H1382" s="15" t="n">
        <f aca="false">IF($B1382="","",DATE(YEAR($B1382),MONTH($B1382),1))</f>
        <v>45717</v>
      </c>
      <c r="I1382" s="0" t="str">
        <f aca="false">IF($G1382="","Uncategorized — Review",IFERROR(INDEX(Mapping!$B:$B,MATCH($G1382,Mapping!$A:$A,0)),"Uncategorized — Review"))</f>
        <v>Zelle - Meg Maran</v>
      </c>
      <c r="J1382" s="0" t="str">
        <f aca="false">IF($G1382="","Uncategorized — Review",IFERROR(INDEX(Mapping!$C:$C,MATCH($G1382,Mapping!$A:$A,0)),"Uncategorized — Review"))</f>
        <v>P2P Payments (Zelle/Venmo/PayPal)</v>
      </c>
    </row>
    <row r="1383" customFormat="false" ht="15" hidden="false" customHeight="false" outlineLevel="0" collapsed="false">
      <c r="A1383" s="0" t="str">
        <f aca="false">Chase1168_2025!A1383</f>
        <v>DEBIT</v>
      </c>
      <c r="B1383" s="14" t="n">
        <f aca="false">Chase1168_2025!B1383</f>
        <v>45741</v>
      </c>
      <c r="C1383" s="0" t="str">
        <f aca="false">Chase1168_2025!C1383</f>
        <v>PAYPAL *FACE AID 402-935-7733 CA             03/25</v>
      </c>
      <c r="D1383" s="7" t="n">
        <f aca="false">Chase1168_2025!D1383</f>
        <v>-200</v>
      </c>
      <c r="E1383" s="0" t="str">
        <f aca="false">Chase1168_2025!E1383</f>
        <v>DEBIT_CARD</v>
      </c>
      <c r="F1383" s="7" t="n">
        <f aca="false">Chase1168_2025!F1383</f>
        <v>36460.56</v>
      </c>
      <c r="G1383" s="0" t="str">
        <f aca="false">Chase1168_2025!G1383</f>
        <v>Paypal - TBD</v>
      </c>
      <c r="H1383" s="15" t="n">
        <f aca="false">IF($B1383="","",DATE(YEAR($B1383),MONTH($B1383),1))</f>
        <v>45717</v>
      </c>
      <c r="I1383" s="0" t="str">
        <f aca="false">IF($G1383="","Uncategorized — Review",IFERROR(INDEX(Mapping!$B:$B,MATCH($G1383,Mapping!$A:$A,0)),"Uncategorized — Review"))</f>
        <v>Paypal - TBD</v>
      </c>
      <c r="J1383" s="0" t="str">
        <f aca="false">IF($G1383="","Uncategorized — Review",IFERROR(INDEX(Mapping!$C:$C,MATCH($G1383,Mapping!$A:$A,0)),"Uncategorized — Review"))</f>
        <v>Uncategorized — Review</v>
      </c>
    </row>
    <row r="1384" customFormat="false" ht="15" hidden="false" customHeight="false" outlineLevel="0" collapsed="false">
      <c r="A1384" s="0" t="str">
        <f aca="false">Chase1168_2025!A1384</f>
        <v>DEBIT</v>
      </c>
      <c r="B1384" s="14" t="n">
        <f aca="false">Chase1168_2025!B1384</f>
        <v>45741</v>
      </c>
      <c r="C1384" s="0" t="str">
        <f aca="false">Chase1168_2025!C1384</f>
        <v>PAYPAL *CANVA 416-131-8870 DE                03/25</v>
      </c>
      <c r="D1384" s="7" t="n">
        <f aca="false">Chase1168_2025!D1384</f>
        <v>-12.99</v>
      </c>
      <c r="E1384" s="0" t="str">
        <f aca="false">Chase1168_2025!E1384</f>
        <v>DEBIT_CARD</v>
      </c>
      <c r="F1384" s="7" t="n">
        <f aca="false">Chase1168_2025!F1384</f>
        <v>36660.56</v>
      </c>
      <c r="G1384" s="0" t="str">
        <f aca="false">Chase1168_2025!G1384</f>
        <v>DWG Marketing</v>
      </c>
      <c r="H1384" s="15" t="n">
        <f aca="false">IF($B1384="","",DATE(YEAR($B1384),MONTH($B1384),1))</f>
        <v>45717</v>
      </c>
      <c r="I1384" s="0" t="str">
        <f aca="false">IF($G1384="","Uncategorized — Review",IFERROR(INDEX(Mapping!$B:$B,MATCH($G1384,Mapping!$A:$A,0)),"Uncategorized — Review"))</f>
        <v>DWG Marketing</v>
      </c>
      <c r="J1384" s="0" t="str">
        <f aca="false">IF($G1384="","Uncategorized — Review",IFERROR(INDEX(Mapping!$C:$C,MATCH($G1384,Mapping!$A:$A,0)),"Uncategorized — Review"))</f>
        <v>DWG Operating</v>
      </c>
    </row>
    <row r="1385" customFormat="false" ht="15" hidden="false" customHeight="false" outlineLevel="0" collapsed="false">
      <c r="A1385" s="0" t="str">
        <f aca="false">Chase1168_2025!A1385</f>
        <v>DEBIT</v>
      </c>
      <c r="B1385" s="14" t="n">
        <f aca="false">Chase1168_2025!B1385</f>
        <v>45741</v>
      </c>
      <c r="C1385" s="0" t="str">
        <f aca="false">Chase1168_2025!C1385</f>
        <v>Upwork -792428005REF 650-8534100 CA          03/24</v>
      </c>
      <c r="D1385" s="7" t="n">
        <f aca="false">Chase1168_2025!D1385</f>
        <v>-70</v>
      </c>
      <c r="E1385" s="0" t="str">
        <f aca="false">Chase1168_2025!E1385</f>
        <v>DEBIT_CARD</v>
      </c>
      <c r="F1385" s="7" t="n">
        <f aca="false">Chase1168_2025!F1385</f>
        <v>36673.55</v>
      </c>
      <c r="G1385" s="0" t="str">
        <f aca="false">Chase1168_2025!G1385</f>
        <v>Upwork - Sergei M.</v>
      </c>
      <c r="H1385" s="15" t="n">
        <f aca="false">IF($B1385="","",DATE(YEAR($B1385),MONTH($B1385),1))</f>
        <v>45717</v>
      </c>
      <c r="I1385" s="0" t="str">
        <f aca="false">IF($G1385="","Uncategorized — Review",IFERROR(INDEX(Mapping!$B:$B,MATCH($G1385,Mapping!$A:$A,0)),"Uncategorized — Review"))</f>
        <v>Upwork - Sergei M.</v>
      </c>
      <c r="J1385" s="0" t="str">
        <f aca="false">IF($G1385="","Uncategorized — Review",IFERROR(INDEX(Mapping!$C:$C,MATCH($G1385,Mapping!$A:$A,0)),"Uncategorized — Review"))</f>
        <v>Payroll &amp; Contractors</v>
      </c>
    </row>
    <row r="1386" customFormat="false" ht="15" hidden="false" customHeight="false" outlineLevel="0" collapsed="false">
      <c r="A1386" s="0" t="str">
        <f aca="false">Chase1168_2025!A1386</f>
        <v>DEBIT</v>
      </c>
      <c r="B1386" s="14" t="n">
        <f aca="false">Chase1168_2025!B1386</f>
        <v>45740</v>
      </c>
      <c r="C1386" s="0" t="str">
        <f aca="false">Chase1168_2025!C1386</f>
        <v>Online Transfer to CHK ...1117 transaction#: 24164561463 03/24</v>
      </c>
      <c r="D1386" s="7" t="n">
        <f aca="false">Chase1168_2025!D1386</f>
        <v>-2000</v>
      </c>
      <c r="E1386" s="0" t="str">
        <f aca="false">Chase1168_2025!E1386</f>
        <v>ACCT_XFER</v>
      </c>
      <c r="F1386" s="7" t="n">
        <f aca="false">Chase1168_2025!F1386</f>
        <v>36743.55</v>
      </c>
      <c r="G1386" s="0" t="str">
        <f aca="false">Chase1168_2025!G1386</f>
        <v>Transfer to Angela Dunning</v>
      </c>
      <c r="H1386" s="15" t="n">
        <f aca="false">IF($B1386="","",DATE(YEAR($B1386),MONTH($B1386),1))</f>
        <v>45717</v>
      </c>
      <c r="I1386" s="0" t="str">
        <f aca="false">IF($G1386="","Uncategorized — Review",IFERROR(INDEX(Mapping!$B:$B,MATCH($G1386,Mapping!$A:$A,0)),"Uncategorized — Review"))</f>
        <v>Transfer to Angela Dunning</v>
      </c>
      <c r="J1386" s="0" t="str">
        <f aca="false">IF($G1386="","Uncategorized — Review",IFERROR(INDEX(Mapping!$C:$C,MATCH($G1386,Mapping!$A:$A,0)),"Uncategorized — Review"))</f>
        <v>Owner / Family Distributions</v>
      </c>
    </row>
    <row r="1387" customFormat="false" ht="15" hidden="false" customHeight="false" outlineLevel="0" collapsed="false">
      <c r="A1387" s="0" t="str">
        <f aca="false">Chase1168_2025!A1387</f>
        <v>DEBIT</v>
      </c>
      <c r="B1387" s="14" t="n">
        <f aca="false">Chase1168_2025!B1387</f>
        <v>45740</v>
      </c>
      <c r="C1387" s="0" t="str">
        <f aca="false">Chase1168_2025!C1387</f>
        <v>Zelle payment to Aaron Frankel JPM99b2e2c7z</v>
      </c>
      <c r="D1387" s="7" t="n">
        <f aca="false">Chase1168_2025!D1387</f>
        <v>-300</v>
      </c>
      <c r="E1387" s="0" t="str">
        <f aca="false">Chase1168_2025!E1387</f>
        <v>CHASE_TO_PARTNERFI</v>
      </c>
      <c r="F1387" s="7" t="n">
        <f aca="false">Chase1168_2025!F1387</f>
        <v>38743.55</v>
      </c>
      <c r="G1387" s="0" t="str">
        <f aca="false">Chase1168_2025!G1387</f>
        <v>Zelle - Aaron Frankel</v>
      </c>
      <c r="H1387" s="15" t="n">
        <f aca="false">IF($B1387="","",DATE(YEAR($B1387),MONTH($B1387),1))</f>
        <v>45717</v>
      </c>
      <c r="I1387" s="0" t="str">
        <f aca="false">IF($G1387="","Uncategorized — Review",IFERROR(INDEX(Mapping!$B:$B,MATCH($G1387,Mapping!$A:$A,0)),"Uncategorized — Review"))</f>
        <v>Zelle - Aaron Frankel</v>
      </c>
      <c r="J1387" s="0" t="str">
        <f aca="false">IF($G1387="","Uncategorized — Review",IFERROR(INDEX(Mapping!$C:$C,MATCH($G1387,Mapping!$A:$A,0)),"Uncategorized — Review"))</f>
        <v>P2P Payments (Zelle/Venmo/PayPal)</v>
      </c>
    </row>
    <row r="1388" customFormat="false" ht="15" hidden="false" customHeight="false" outlineLevel="0" collapsed="false">
      <c r="A1388" s="0" t="str">
        <f aca="false">Chase1168_2025!A1388</f>
        <v>DEBIT</v>
      </c>
      <c r="B1388" s="14" t="n">
        <f aca="false">Chase1168_2025!B1388</f>
        <v>45740</v>
      </c>
      <c r="C1388" s="0" t="str">
        <f aca="false">Chase1168_2025!C1388</f>
        <v>ORIG CO NAME:VENMO                  ORIG ID:3264681992 DESC DATE:250323 CO ENTRY DESCR:PAYMENT   SEC:WEB    TRACE#:021000029109253 EED:250324   IND ID:1041060778883                IND NAME:JUDD DUNNING                                                                                                 250323PPZOZS TRN: 0839109253TC</v>
      </c>
      <c r="D1388" s="7" t="n">
        <f aca="false">Chase1168_2025!D1388</f>
        <v>-100</v>
      </c>
      <c r="E1388" s="0" t="str">
        <f aca="false">Chase1168_2025!E1388</f>
        <v>ACH_DEBIT</v>
      </c>
      <c r="F1388" s="7" t="n">
        <f aca="false">Chase1168_2025!F1388</f>
        <v>39043.55</v>
      </c>
      <c r="G1388" s="0" t="str">
        <f aca="false">Chase1168_2025!G1388</f>
        <v>Venmo</v>
      </c>
      <c r="H1388" s="15" t="n">
        <f aca="false">IF($B1388="","",DATE(YEAR($B1388),MONTH($B1388),1))</f>
        <v>45717</v>
      </c>
      <c r="I1388" s="0" t="str">
        <f aca="false">IF($G1388="","Uncategorized — Review",IFERROR(INDEX(Mapping!$B:$B,MATCH($G1388,Mapping!$A:$A,0)),"Uncategorized — Review"))</f>
        <v>Venmo</v>
      </c>
      <c r="J1388" s="0" t="str">
        <f aca="false">IF($G1388="","Uncategorized — Review",IFERROR(INDEX(Mapping!$C:$C,MATCH($G1388,Mapping!$A:$A,0)),"Uncategorized — Review"))</f>
        <v>P2P Payments (Zelle/Venmo/PayPal)</v>
      </c>
    </row>
    <row r="1389" customFormat="false" ht="15" hidden="false" customHeight="false" outlineLevel="0" collapsed="false">
      <c r="A1389" s="0" t="str">
        <f aca="false">Chase1168_2025!A1389</f>
        <v>DEBIT</v>
      </c>
      <c r="B1389" s="14" t="n">
        <f aca="false">Chase1168_2025!B1389</f>
        <v>45740</v>
      </c>
      <c r="C1389" s="0" t="str">
        <f aca="false">Chase1168_2025!C1389</f>
        <v>ORIG CO NAME:VENMO                  ORIG ID:3264681992 DESC DATE:250323 CO ENTRY DESCR:PAYMENT   SEC:WEB    TRACE#:021000029109319 EED:250324   IND ID:1041060777677                IND NAME:JUDD DUNNING                                                                                                 250323PPZOZS TRN: 0839109319TC</v>
      </c>
      <c r="D1389" s="7" t="n">
        <f aca="false">Chase1168_2025!D1389</f>
        <v>-120</v>
      </c>
      <c r="E1389" s="0" t="str">
        <f aca="false">Chase1168_2025!E1389</f>
        <v>ACH_DEBIT</v>
      </c>
      <c r="F1389" s="7" t="n">
        <f aca="false">Chase1168_2025!F1389</f>
        <v>39143.55</v>
      </c>
      <c r="G1389" s="0" t="str">
        <f aca="false">Chase1168_2025!G1389</f>
        <v>Venmo</v>
      </c>
      <c r="H1389" s="15" t="n">
        <f aca="false">IF($B1389="","",DATE(YEAR($B1389),MONTH($B1389),1))</f>
        <v>45717</v>
      </c>
      <c r="I1389" s="0" t="str">
        <f aca="false">IF($G1389="","Uncategorized — Review",IFERROR(INDEX(Mapping!$B:$B,MATCH($G1389,Mapping!$A:$A,0)),"Uncategorized — Review"))</f>
        <v>Venmo</v>
      </c>
      <c r="J1389" s="0" t="str">
        <f aca="false">IF($G1389="","Uncategorized — Review",IFERROR(INDEX(Mapping!$C:$C,MATCH($G1389,Mapping!$A:$A,0)),"Uncategorized — Review"))</f>
        <v>P2P Payments (Zelle/Venmo/PayPal)</v>
      </c>
    </row>
    <row r="1390" customFormat="false" ht="15" hidden="false" customHeight="false" outlineLevel="0" collapsed="false">
      <c r="A1390" s="0" t="str">
        <f aca="false">Chase1168_2025!A1390</f>
        <v>DEBIT</v>
      </c>
      <c r="B1390" s="14" t="n">
        <f aca="false">Chase1168_2025!B1390</f>
        <v>45740</v>
      </c>
      <c r="C1390" s="0" t="str">
        <f aca="false">Chase1168_2025!C1390</f>
        <v>Zelle payment to jeff Fajardo JPM99b2cllqe</v>
      </c>
      <c r="D1390" s="7" t="n">
        <f aca="false">Chase1168_2025!D1390</f>
        <v>-1000</v>
      </c>
      <c r="E1390" s="0" t="str">
        <f aca="false">Chase1168_2025!E1390</f>
        <v>CHASE_TO_PARTNERFI</v>
      </c>
      <c r="F1390" s="7" t="n">
        <f aca="false">Chase1168_2025!F1390</f>
        <v>39263.55</v>
      </c>
      <c r="G1390" s="0" t="str">
        <f aca="false">Chase1168_2025!G1390</f>
        <v>Zelle - Jeff Fajardo</v>
      </c>
      <c r="H1390" s="15" t="n">
        <f aca="false">IF($B1390="","",DATE(YEAR($B1390),MONTH($B1390),1))</f>
        <v>45717</v>
      </c>
      <c r="I1390" s="0" t="str">
        <f aca="false">IF($G1390="","Uncategorized — Review",IFERROR(INDEX(Mapping!$B:$B,MATCH($G1390,Mapping!$A:$A,0)),"Uncategorized — Review"))</f>
        <v>Zelle - Jeff Fajardo</v>
      </c>
      <c r="J1390" s="0" t="str">
        <f aca="false">IF($G1390="","Uncategorized — Review",IFERROR(INDEX(Mapping!$C:$C,MATCH($G1390,Mapping!$A:$A,0)),"Uncategorized — Review"))</f>
        <v>P2P Payments (Zelle/Venmo/PayPal)</v>
      </c>
    </row>
    <row r="1391" customFormat="false" ht="15" hidden="false" customHeight="false" outlineLevel="0" collapsed="false">
      <c r="A1391" s="0" t="str">
        <f aca="false">Chase1168_2025!A1391</f>
        <v>DEBIT</v>
      </c>
      <c r="B1391" s="14" t="n">
        <f aca="false">Chase1168_2025!B1391</f>
        <v>45740</v>
      </c>
      <c r="C1391" s="0" t="str">
        <f aca="false">Chase1168_2025!C1391</f>
        <v>PP*APPLE.COM/BILL 800-275-2273 CA            03/23</v>
      </c>
      <c r="D1391" s="7" t="n">
        <f aca="false">Chase1168_2025!D1391</f>
        <v>-9.99</v>
      </c>
      <c r="E1391" s="0" t="str">
        <f aca="false">Chase1168_2025!E1391</f>
        <v>DEBIT_CARD</v>
      </c>
      <c r="F1391" s="7" t="n">
        <f aca="false">Chase1168_2025!F1391</f>
        <v>40263.55</v>
      </c>
      <c r="G1391" s="0" t="str">
        <f aca="false">Chase1168_2025!G1391</f>
        <v>Personal - Subscriptions</v>
      </c>
      <c r="H1391" s="15" t="n">
        <f aca="false">IF($B1391="","",DATE(YEAR($B1391),MONTH($B1391),1))</f>
        <v>45717</v>
      </c>
      <c r="I1391" s="0" t="str">
        <f aca="false">IF($G1391="","Uncategorized — Review",IFERROR(INDEX(Mapping!$B:$B,MATCH($G1391,Mapping!$A:$A,0)),"Uncategorized — Review"))</f>
        <v>Personal - Subscriptions</v>
      </c>
      <c r="J1391" s="0" t="str">
        <f aca="false">IF($G1391="","Uncategorized — Review",IFERROR(INDEX(Mapping!$C:$C,MATCH($G1391,Mapping!$A:$A,0)),"Uncategorized — Review"))</f>
        <v>Personal — Owner</v>
      </c>
    </row>
    <row r="1392" customFormat="false" ht="15" hidden="false" customHeight="false" outlineLevel="0" collapsed="false">
      <c r="A1392" s="0" t="str">
        <f aca="false">Chase1168_2025!A1392</f>
        <v>DEBIT</v>
      </c>
      <c r="B1392" s="14" t="n">
        <f aca="false">Chase1168_2025!B1392</f>
        <v>45740</v>
      </c>
      <c r="C1392" s="0" t="str">
        <f aca="false">Chase1168_2025!C1392</f>
        <v>Online Transfer to CHK ...1117 transaction#: 24151012416 03/24</v>
      </c>
      <c r="D1392" s="7" t="n">
        <f aca="false">Chase1168_2025!D1392</f>
        <v>-2000</v>
      </c>
      <c r="E1392" s="0" t="str">
        <f aca="false">Chase1168_2025!E1392</f>
        <v>ACCT_XFER</v>
      </c>
      <c r="F1392" s="7" t="n">
        <f aca="false">Chase1168_2025!F1392</f>
        <v>40273.54</v>
      </c>
      <c r="G1392" s="0" t="str">
        <f aca="false">Chase1168_2025!G1392</f>
        <v>Transfer to Angela Dunning</v>
      </c>
      <c r="H1392" s="15" t="n">
        <f aca="false">IF($B1392="","",DATE(YEAR($B1392),MONTH($B1392),1))</f>
        <v>45717</v>
      </c>
      <c r="I1392" s="0" t="str">
        <f aca="false">IF($G1392="","Uncategorized — Review",IFERROR(INDEX(Mapping!$B:$B,MATCH($G1392,Mapping!$A:$A,0)),"Uncategorized — Review"))</f>
        <v>Transfer to Angela Dunning</v>
      </c>
      <c r="J1392" s="0" t="str">
        <f aca="false">IF($G1392="","Uncategorized — Review",IFERROR(INDEX(Mapping!$C:$C,MATCH($G1392,Mapping!$A:$A,0)),"Uncategorized — Review"))</f>
        <v>Owner / Family Distributions</v>
      </c>
    </row>
    <row r="1393" customFormat="false" ht="15" hidden="false" customHeight="false" outlineLevel="0" collapsed="false">
      <c r="A1393" s="0" t="str">
        <f aca="false">Chase1168_2025!A1393</f>
        <v>DEBIT</v>
      </c>
      <c r="B1393" s="14" t="n">
        <f aca="false">Chase1168_2025!B1393</f>
        <v>45740</v>
      </c>
      <c r="C1393" s="0" t="str">
        <f aca="false">Chase1168_2025!C1393</f>
        <v>Zelle payment to jeff seider JPM99b294xmn</v>
      </c>
      <c r="D1393" s="7" t="n">
        <f aca="false">Chase1168_2025!D1393</f>
        <v>-75</v>
      </c>
      <c r="E1393" s="0" t="str">
        <f aca="false">Chase1168_2025!E1393</f>
        <v>CHASE_TO_PARTNERFI</v>
      </c>
      <c r="F1393" s="7" t="n">
        <f aca="false">Chase1168_2025!F1393</f>
        <v>42273.54</v>
      </c>
      <c r="G1393" s="0" t="str">
        <f aca="false">Chase1168_2025!G1393</f>
        <v>Zelle - Jeff Seider</v>
      </c>
      <c r="H1393" s="15" t="n">
        <f aca="false">IF($B1393="","",DATE(YEAR($B1393),MONTH($B1393),1))</f>
        <v>45717</v>
      </c>
      <c r="I1393" s="0" t="str">
        <f aca="false">IF($G1393="","Uncategorized — Review",IFERROR(INDEX(Mapping!$B:$B,MATCH($G1393,Mapping!$A:$A,0)),"Uncategorized — Review"))</f>
        <v>Zelle - Jeff Seider</v>
      </c>
      <c r="J1393" s="0" t="str">
        <f aca="false">IF($G1393="","Uncategorized — Review",IFERROR(INDEX(Mapping!$C:$C,MATCH($G1393,Mapping!$A:$A,0)),"Uncategorized — Review"))</f>
        <v>P2P Payments (Zelle/Venmo/PayPal)</v>
      </c>
    </row>
    <row r="1394" customFormat="false" ht="15" hidden="false" customHeight="false" outlineLevel="0" collapsed="false">
      <c r="A1394" s="0" t="str">
        <f aca="false">Chase1168_2025!A1394</f>
        <v>DEBIT</v>
      </c>
      <c r="B1394" s="14" t="n">
        <f aca="false">Chase1168_2025!B1394</f>
        <v>45740</v>
      </c>
      <c r="C1394" s="0" t="str">
        <f aca="false">Chase1168_2025!C1394</f>
        <v>Zelle payment to jeff seider JPM99b292ka9</v>
      </c>
      <c r="D1394" s="7" t="n">
        <f aca="false">Chase1168_2025!D1394</f>
        <v>-1000</v>
      </c>
      <c r="E1394" s="0" t="str">
        <f aca="false">Chase1168_2025!E1394</f>
        <v>CHASE_TO_PARTNERFI</v>
      </c>
      <c r="F1394" s="7" t="n">
        <f aca="false">Chase1168_2025!F1394</f>
        <v>42348.54</v>
      </c>
      <c r="G1394" s="0" t="str">
        <f aca="false">Chase1168_2025!G1394</f>
        <v>Zelle - Jeff Seider</v>
      </c>
      <c r="H1394" s="15" t="n">
        <f aca="false">IF($B1394="","",DATE(YEAR($B1394),MONTH($B1394),1))</f>
        <v>45717</v>
      </c>
      <c r="I1394" s="0" t="str">
        <f aca="false">IF($G1394="","Uncategorized — Review",IFERROR(INDEX(Mapping!$B:$B,MATCH($G1394,Mapping!$A:$A,0)),"Uncategorized — Review"))</f>
        <v>Zelle - Jeff Seider</v>
      </c>
      <c r="J1394" s="0" t="str">
        <f aca="false">IF($G1394="","Uncategorized — Review",IFERROR(INDEX(Mapping!$C:$C,MATCH($G1394,Mapping!$A:$A,0)),"Uncategorized — Review"))</f>
        <v>P2P Payments (Zelle/Venmo/PayPal)</v>
      </c>
    </row>
    <row r="1395" customFormat="false" ht="15" hidden="false" customHeight="false" outlineLevel="0" collapsed="false">
      <c r="A1395" s="0" t="str">
        <f aca="false">Chase1168_2025!A1395</f>
        <v>DEBIT</v>
      </c>
      <c r="B1395" s="14" t="n">
        <f aca="false">Chase1168_2025!B1395</f>
        <v>45740</v>
      </c>
      <c r="C1395" s="0" t="str">
        <f aca="false">Chase1168_2025!C1395</f>
        <v>PAYPAL *FACE AID 402-935-7733 CA             03/23</v>
      </c>
      <c r="D1395" s="7" t="n">
        <f aca="false">Chase1168_2025!D1395</f>
        <v>-200</v>
      </c>
      <c r="E1395" s="0" t="str">
        <f aca="false">Chase1168_2025!E1395</f>
        <v>DEBIT_CARD</v>
      </c>
      <c r="F1395" s="7" t="n">
        <f aca="false">Chase1168_2025!F1395</f>
        <v>43348.54</v>
      </c>
      <c r="G1395" s="0" t="str">
        <f aca="false">Chase1168_2025!G1395</f>
        <v>Paypal - TBD</v>
      </c>
      <c r="H1395" s="15" t="n">
        <f aca="false">IF($B1395="","",DATE(YEAR($B1395),MONTH($B1395),1))</f>
        <v>45717</v>
      </c>
      <c r="I1395" s="0" t="str">
        <f aca="false">IF($G1395="","Uncategorized — Review",IFERROR(INDEX(Mapping!$B:$B,MATCH($G1395,Mapping!$A:$A,0)),"Uncategorized — Review"))</f>
        <v>Paypal - TBD</v>
      </c>
      <c r="J1395" s="0" t="str">
        <f aca="false">IF($G1395="","Uncategorized — Review",IFERROR(INDEX(Mapping!$C:$C,MATCH($G1395,Mapping!$A:$A,0)),"Uncategorized — Review"))</f>
        <v>Uncategorized — Review</v>
      </c>
    </row>
    <row r="1396" customFormat="false" ht="15" hidden="false" customHeight="false" outlineLevel="0" collapsed="false">
      <c r="A1396" s="0" t="str">
        <f aca="false">Chase1168_2025!A1396</f>
        <v>DEBIT</v>
      </c>
      <c r="B1396" s="14" t="n">
        <f aca="false">Chase1168_2025!B1396</f>
        <v>45740</v>
      </c>
      <c r="C1396" s="0" t="str">
        <f aca="false">Chase1168_2025!C1396</f>
        <v>SXM*SIRIUSXM.COM/ACCT 888-635-5144 NY        03/22</v>
      </c>
      <c r="D1396" s="7" t="n">
        <f aca="false">Chase1168_2025!D1396</f>
        <v>-11.57</v>
      </c>
      <c r="E1396" s="0" t="str">
        <f aca="false">Chase1168_2025!E1396</f>
        <v>DEBIT_CARD</v>
      </c>
      <c r="F1396" s="7" t="n">
        <f aca="false">Chase1168_2025!F1396</f>
        <v>43548.54</v>
      </c>
      <c r="G1396" s="0" t="str">
        <f aca="false">Chase1168_2025!G1396</f>
        <v>Personal - Subscriptions</v>
      </c>
      <c r="H1396" s="15" t="n">
        <f aca="false">IF($B1396="","",DATE(YEAR($B1396),MONTH($B1396),1))</f>
        <v>45717</v>
      </c>
      <c r="I1396" s="0" t="str">
        <f aca="false">IF($G1396="","Uncategorized — Review",IFERROR(INDEX(Mapping!$B:$B,MATCH($G1396,Mapping!$A:$A,0)),"Uncategorized — Review"))</f>
        <v>Personal - Subscriptions</v>
      </c>
      <c r="J1396" s="0" t="str">
        <f aca="false">IF($G1396="","Uncategorized — Review",IFERROR(INDEX(Mapping!$C:$C,MATCH($G1396,Mapping!$A:$A,0)),"Uncategorized — Review"))</f>
        <v>Personal — Owner</v>
      </c>
    </row>
    <row r="1397" customFormat="false" ht="15" hidden="false" customHeight="false" outlineLevel="0" collapsed="false">
      <c r="A1397" s="0" t="str">
        <f aca="false">Chase1168_2025!A1397</f>
        <v>DEBIT</v>
      </c>
      <c r="B1397" s="14" t="n">
        <f aca="false">Chase1168_2025!B1397</f>
        <v>45740</v>
      </c>
      <c r="C1397" s="0" t="str">
        <f aca="false">Chase1168_2025!C1397</f>
        <v>PAYPAL *LINKEDIN 402-935-7733 CA             03/23</v>
      </c>
      <c r="D1397" s="7" t="n">
        <f aca="false">Chase1168_2025!D1397</f>
        <v>-500</v>
      </c>
      <c r="E1397" s="0" t="str">
        <f aca="false">Chase1168_2025!E1397</f>
        <v>DEBIT_CARD</v>
      </c>
      <c r="F1397" s="7" t="n">
        <f aca="false">Chase1168_2025!F1397</f>
        <v>43560.11</v>
      </c>
      <c r="G1397" s="0" t="str">
        <f aca="false">Chase1168_2025!G1397</f>
        <v>DWG HR</v>
      </c>
      <c r="H1397" s="15" t="n">
        <f aca="false">IF($B1397="","",DATE(YEAR($B1397),MONTH($B1397),1))</f>
        <v>45717</v>
      </c>
      <c r="I1397" s="0" t="str">
        <f aca="false">IF($G1397="","Uncategorized — Review",IFERROR(INDEX(Mapping!$B:$B,MATCH($G1397,Mapping!$A:$A,0)),"Uncategorized — Review"))</f>
        <v>DWG HR</v>
      </c>
      <c r="J1397" s="0" t="str">
        <f aca="false">IF($G1397="","Uncategorized — Review",IFERROR(INDEX(Mapping!$C:$C,MATCH($G1397,Mapping!$A:$A,0)),"Uncategorized — Review"))</f>
        <v>Payroll &amp; Contractors</v>
      </c>
    </row>
    <row r="1398" customFormat="false" ht="15" hidden="false" customHeight="false" outlineLevel="0" collapsed="false">
      <c r="A1398" s="0" t="str">
        <f aca="false">Chase1168_2025!A1398</f>
        <v>DEBIT</v>
      </c>
      <c r="B1398" s="14" t="n">
        <f aca="false">Chase1168_2025!B1398</f>
        <v>45740</v>
      </c>
      <c r="C1398" s="0" t="str">
        <f aca="false">Chase1168_2025!C1398</f>
        <v>PAYPAL *FACE AID 402-935-7733 CA             03/22</v>
      </c>
      <c r="D1398" s="7" t="n">
        <f aca="false">Chase1168_2025!D1398</f>
        <v>-120</v>
      </c>
      <c r="E1398" s="0" t="str">
        <f aca="false">Chase1168_2025!E1398</f>
        <v>DEBIT_CARD</v>
      </c>
      <c r="F1398" s="7" t="n">
        <f aca="false">Chase1168_2025!F1398</f>
        <v>44060.11</v>
      </c>
      <c r="G1398" s="0" t="str">
        <f aca="false">Chase1168_2025!G1398</f>
        <v>Paypal - TBD</v>
      </c>
      <c r="H1398" s="15" t="n">
        <f aca="false">IF($B1398="","",DATE(YEAR($B1398),MONTH($B1398),1))</f>
        <v>45717</v>
      </c>
      <c r="I1398" s="0" t="str">
        <f aca="false">IF($G1398="","Uncategorized — Review",IFERROR(INDEX(Mapping!$B:$B,MATCH($G1398,Mapping!$A:$A,0)),"Uncategorized — Review"))</f>
        <v>Paypal - TBD</v>
      </c>
      <c r="J1398" s="0" t="str">
        <f aca="false">IF($G1398="","Uncategorized — Review",IFERROR(INDEX(Mapping!$C:$C,MATCH($G1398,Mapping!$A:$A,0)),"Uncategorized — Review"))</f>
        <v>Uncategorized — Review</v>
      </c>
    </row>
    <row r="1399" customFormat="false" ht="15" hidden="false" customHeight="false" outlineLevel="0" collapsed="false">
      <c r="A1399" s="0" t="str">
        <f aca="false">Chase1168_2025!A1399</f>
        <v>DEBIT</v>
      </c>
      <c r="B1399" s="14" t="n">
        <f aca="false">Chase1168_2025!B1399</f>
        <v>45737</v>
      </c>
      <c r="C1399" s="0" t="str">
        <f aca="false">Chase1168_2025!C1399</f>
        <v>Online Transfer to CHK ...0709 transaction#: 24136947102 03/21</v>
      </c>
      <c r="D1399" s="7" t="n">
        <f aca="false">Chase1168_2025!D1399</f>
        <v>-1000</v>
      </c>
      <c r="E1399" s="0" t="str">
        <f aca="false">Chase1168_2025!E1399</f>
        <v>ACCT_XFER</v>
      </c>
      <c r="F1399" s="7" t="n">
        <f aca="false">Chase1168_2025!F1399</f>
        <v>44180.11</v>
      </c>
      <c r="G1399" s="0" t="str">
        <f aca="false">Chase1168_2025!G1399</f>
        <v>Transfer to DWG Capital Group_Savings</v>
      </c>
      <c r="H1399" s="15" t="n">
        <f aca="false">IF($B1399="","",DATE(YEAR($B1399),MONTH($B1399),1))</f>
        <v>45717</v>
      </c>
      <c r="I1399" s="0" t="str">
        <f aca="false">IF($G1399="","Uncategorized — Review",IFERROR(INDEX(Mapping!$B:$B,MATCH($G1399,Mapping!$A:$A,0)),"Uncategorized — Review"))</f>
        <v>Transfer to DWG Savings</v>
      </c>
      <c r="J1399" s="0" t="str">
        <f aca="false">IF($G1399="","Uncategorized — Review",IFERROR(INDEX(Mapping!$C:$C,MATCH($G1399,Mapping!$A:$A,0)),"Uncategorized — Review"))</f>
        <v>Intercompany &amp; Savings Transfers</v>
      </c>
    </row>
    <row r="1400" customFormat="false" ht="15" hidden="false" customHeight="false" outlineLevel="0" collapsed="false">
      <c r="A1400" s="0" t="str">
        <f aca="false">Chase1168_2025!A1400</f>
        <v>DEBIT</v>
      </c>
      <c r="B1400" s="14" t="n">
        <f aca="false">Chase1168_2025!B1400</f>
        <v>45737</v>
      </c>
      <c r="C1400" s="0" t="str">
        <f aca="false">Chase1168_2025!C1400</f>
        <v>Online Transfer to CHK ...1117 transaction#: 24136911754 03/21</v>
      </c>
      <c r="D1400" s="7" t="n">
        <f aca="false">Chase1168_2025!D1400</f>
        <v>-3000</v>
      </c>
      <c r="E1400" s="0" t="str">
        <f aca="false">Chase1168_2025!E1400</f>
        <v>ACCT_XFER</v>
      </c>
      <c r="F1400" s="7" t="n">
        <f aca="false">Chase1168_2025!F1400</f>
        <v>45180.11</v>
      </c>
      <c r="G1400" s="0" t="str">
        <f aca="false">Chase1168_2025!G1400</f>
        <v>Transfer to Angela Dunning</v>
      </c>
      <c r="H1400" s="15" t="n">
        <f aca="false">IF($B1400="","",DATE(YEAR($B1400),MONTH($B1400),1))</f>
        <v>45717</v>
      </c>
      <c r="I1400" s="0" t="str">
        <f aca="false">IF($G1400="","Uncategorized — Review",IFERROR(INDEX(Mapping!$B:$B,MATCH($G1400,Mapping!$A:$A,0)),"Uncategorized — Review"))</f>
        <v>Transfer to Angela Dunning</v>
      </c>
      <c r="J1400" s="0" t="str">
        <f aca="false">IF($G1400="","Uncategorized — Review",IFERROR(INDEX(Mapping!$C:$C,MATCH($G1400,Mapping!$A:$A,0)),"Uncategorized — Review"))</f>
        <v>Owner / Family Distributions</v>
      </c>
    </row>
    <row r="1401" customFormat="false" ht="15" hidden="false" customHeight="false" outlineLevel="0" collapsed="false">
      <c r="A1401" s="0" t="str">
        <f aca="false">Chase1168_2025!A1401</f>
        <v>DEBIT</v>
      </c>
      <c r="B1401" s="14" t="n">
        <f aca="false">Chase1168_2025!B1401</f>
        <v>45737</v>
      </c>
      <c r="C1401" s="0" t="str">
        <f aca="false">Chase1168_2025!C1401</f>
        <v>ORIG CO NAME:PRINCIPAL-CCAPNL       ORIG ID:9INDPNLEFT DESC DATE:031925 CO ENTRY DESCR:PRIN FINANSEC:PPD    TRACE#:091000016150281 EED:250321   IND ID:                             IND NAME:JOHN B DUNNING TRN: 0806150281TC</v>
      </c>
      <c r="D1401" s="7" t="n">
        <f aca="false">Chase1168_2025!D1401</f>
        <v>-331.54</v>
      </c>
      <c r="E1401" s="0" t="str">
        <f aca="false">Chase1168_2025!E1401</f>
        <v>ACH_DEBIT</v>
      </c>
      <c r="F1401" s="7" t="n">
        <f aca="false">Chase1168_2025!F1401</f>
        <v>48180.11</v>
      </c>
      <c r="G1401" s="0" t="str">
        <f aca="false">Chase1168_2025!G1401</f>
        <v>???</v>
      </c>
      <c r="H1401" s="15" t="n">
        <f aca="false">IF($B1401="","",DATE(YEAR($B1401),MONTH($B1401),1))</f>
        <v>45717</v>
      </c>
      <c r="I1401" s="0" t="str">
        <f aca="false">IF($G1401="","Uncategorized — Review",IFERROR(INDEX(Mapping!$B:$B,MATCH($G1401,Mapping!$A:$A,0)),"Uncategorized — Review"))</f>
        <v>???</v>
      </c>
      <c r="J1401" s="0" t="str">
        <f aca="false">IF($G1401="","Uncategorized — Review",IFERROR(INDEX(Mapping!$C:$C,MATCH($G1401,Mapping!$A:$A,0)),"Uncategorized — Review"))</f>
        <v>Uncategorized — Review</v>
      </c>
    </row>
    <row r="1402" customFormat="false" ht="15" hidden="false" customHeight="false" outlineLevel="0" collapsed="false">
      <c r="A1402" s="0" t="str">
        <f aca="false">Chase1168_2025!A1402</f>
        <v>DEBIT</v>
      </c>
      <c r="B1402" s="14" t="n">
        <f aca="false">Chase1168_2025!B1402</f>
        <v>45737</v>
      </c>
      <c r="C1402" s="0" t="str">
        <f aca="false">Chase1168_2025!C1402</f>
        <v>ORIG CO NAME:BCBS HEALTH            ORIG ID:7529139811 DESC DATE:250320 CO ENTRY DESCR:BILL PAY  SEC:CCD    TRACE#:031101113460443 EED:250321   IND ID:20842377311                  IND NAME:JOHN DUUNNING TRN: 0803460443TC</v>
      </c>
      <c r="D1402" s="7" t="n">
        <f aca="false">Chase1168_2025!D1402</f>
        <v>-2353.94</v>
      </c>
      <c r="E1402" s="0" t="str">
        <f aca="false">Chase1168_2025!E1402</f>
        <v>ACH_DEBIT</v>
      </c>
      <c r="F1402" s="7" t="n">
        <f aca="false">Chase1168_2025!F1402</f>
        <v>48511.65</v>
      </c>
      <c r="G1402" s="0" t="str">
        <f aca="false">Chase1168_2025!G1402</f>
        <v>Personal - Car Insurance</v>
      </c>
      <c r="H1402" s="15" t="n">
        <f aca="false">IF($B1402="","",DATE(YEAR($B1402),MONTH($B1402),1))</f>
        <v>45717</v>
      </c>
      <c r="I1402" s="0" t="str">
        <f aca="false">IF($G1402="","Uncategorized — Review",IFERROR(INDEX(Mapping!$B:$B,MATCH($G1402,Mapping!$A:$A,0)),"Uncategorized — Review"))</f>
        <v>Personal - Car &amp; Auto</v>
      </c>
      <c r="J1402" s="0" t="str">
        <f aca="false">IF($G1402="","Uncategorized — Review",IFERROR(INDEX(Mapping!$C:$C,MATCH($G1402,Mapping!$A:$A,0)),"Uncategorized — Review"))</f>
        <v>Personal — Owner</v>
      </c>
    </row>
    <row r="1403" customFormat="false" ht="15" hidden="false" customHeight="false" outlineLevel="0" collapsed="false">
      <c r="A1403" s="0" t="str">
        <f aca="false">Chase1168_2025!A1403</f>
        <v>DEBIT</v>
      </c>
      <c r="B1403" s="14" t="n">
        <f aca="false">Chase1168_2025!B1403</f>
        <v>45737</v>
      </c>
      <c r="C1403" s="0" t="str">
        <f aca="false">Chase1168_2025!C1403</f>
        <v>PP*APPLE.COM/BILL 800-275-2273 CA            03/20</v>
      </c>
      <c r="D1403" s="7" t="n">
        <f aca="false">Chase1168_2025!D1403</f>
        <v>-3.99</v>
      </c>
      <c r="E1403" s="0" t="str">
        <f aca="false">Chase1168_2025!E1403</f>
        <v>DEBIT_CARD</v>
      </c>
      <c r="F1403" s="7" t="n">
        <f aca="false">Chase1168_2025!F1403</f>
        <v>50865.59</v>
      </c>
      <c r="G1403" s="0" t="str">
        <f aca="false">Chase1168_2025!G1403</f>
        <v>Personal - Subscriptions</v>
      </c>
      <c r="H1403" s="15" t="n">
        <f aca="false">IF($B1403="","",DATE(YEAR($B1403),MONTH($B1403),1))</f>
        <v>45717</v>
      </c>
      <c r="I1403" s="0" t="str">
        <f aca="false">IF($G1403="","Uncategorized — Review",IFERROR(INDEX(Mapping!$B:$B,MATCH($G1403,Mapping!$A:$A,0)),"Uncategorized — Review"))</f>
        <v>Personal - Subscriptions</v>
      </c>
      <c r="J1403" s="0" t="str">
        <f aca="false">IF($G1403="","Uncategorized — Review",IFERROR(INDEX(Mapping!$C:$C,MATCH($G1403,Mapping!$A:$A,0)),"Uncategorized — Review"))</f>
        <v>Personal — Owner</v>
      </c>
    </row>
    <row r="1404" customFormat="false" ht="15" hidden="false" customHeight="false" outlineLevel="0" collapsed="false">
      <c r="A1404" s="0" t="str">
        <f aca="false">Chase1168_2025!A1404</f>
        <v>DEBIT</v>
      </c>
      <c r="B1404" s="14" t="n">
        <f aca="false">Chase1168_2025!B1404</f>
        <v>45737</v>
      </c>
      <c r="C1404" s="0" t="str">
        <f aca="false">Chase1168_2025!C1404</f>
        <v>PAYPAL *BEENVERIFIE 786-482-6776 NY          03/21</v>
      </c>
      <c r="D1404" s="7" t="n">
        <f aca="false">Chase1168_2025!D1404</f>
        <v>-26.89</v>
      </c>
      <c r="E1404" s="0" t="str">
        <f aca="false">Chase1168_2025!E1404</f>
        <v>DEBIT_CARD</v>
      </c>
      <c r="F1404" s="7" t="n">
        <f aca="false">Chase1168_2025!F1404</f>
        <v>50869.58</v>
      </c>
      <c r="G1404" s="0" t="str">
        <f aca="false">Chase1168_2025!G1404</f>
        <v>Personal - Subscriptions</v>
      </c>
      <c r="H1404" s="15" t="n">
        <f aca="false">IF($B1404="","",DATE(YEAR($B1404),MONTH($B1404),1))</f>
        <v>45717</v>
      </c>
      <c r="I1404" s="0" t="str">
        <f aca="false">IF($G1404="","Uncategorized — Review",IFERROR(INDEX(Mapping!$B:$B,MATCH($G1404,Mapping!$A:$A,0)),"Uncategorized — Review"))</f>
        <v>Personal - Subscriptions</v>
      </c>
      <c r="J1404" s="0" t="str">
        <f aca="false">IF($G1404="","Uncategorized — Review",IFERROR(INDEX(Mapping!$C:$C,MATCH($G1404,Mapping!$A:$A,0)),"Uncategorized — Review"))</f>
        <v>Personal — Owner</v>
      </c>
    </row>
    <row r="1405" customFormat="false" ht="15" hidden="false" customHeight="false" outlineLevel="0" collapsed="false">
      <c r="A1405" s="0" t="str">
        <f aca="false">Chase1168_2025!A1405</f>
        <v>DEBIT</v>
      </c>
      <c r="B1405" s="14" t="n">
        <f aca="false">Chase1168_2025!B1405</f>
        <v>45736</v>
      </c>
      <c r="C1405" s="0" t="str">
        <f aca="false">Chase1168_2025!C1405</f>
        <v>Online Transfer to CHK ...1117 transaction#: 24115020521 03/20</v>
      </c>
      <c r="D1405" s="7" t="n">
        <f aca="false">Chase1168_2025!D1405</f>
        <v>-5000</v>
      </c>
      <c r="E1405" s="0" t="str">
        <f aca="false">Chase1168_2025!E1405</f>
        <v>ACCT_XFER</v>
      </c>
      <c r="F1405" s="7" t="n">
        <f aca="false">Chase1168_2025!F1405</f>
        <v>50896.47</v>
      </c>
      <c r="G1405" s="0" t="str">
        <f aca="false">Chase1168_2025!G1405</f>
        <v>Transfer to Angela Dunning</v>
      </c>
      <c r="H1405" s="15" t="n">
        <f aca="false">IF($B1405="","",DATE(YEAR($B1405),MONTH($B1405),1))</f>
        <v>45717</v>
      </c>
      <c r="I1405" s="0" t="str">
        <f aca="false">IF($G1405="","Uncategorized — Review",IFERROR(INDEX(Mapping!$B:$B,MATCH($G1405,Mapping!$A:$A,0)),"Uncategorized — Review"))</f>
        <v>Transfer to Angela Dunning</v>
      </c>
      <c r="J1405" s="0" t="str">
        <f aca="false">IF($G1405="","Uncategorized — Review",IFERROR(INDEX(Mapping!$C:$C,MATCH($G1405,Mapping!$A:$A,0)),"Uncategorized — Review"))</f>
        <v>Owner / Family Distributions</v>
      </c>
    </row>
    <row r="1406" customFormat="false" ht="15" hidden="false" customHeight="false" outlineLevel="0" collapsed="false">
      <c r="A1406" s="0" t="str">
        <f aca="false">Chase1168_2025!A1406</f>
        <v>DEBIT</v>
      </c>
      <c r="B1406" s="14" t="n">
        <f aca="false">Chase1168_2025!B1406</f>
        <v>45736</v>
      </c>
      <c r="C1406" s="0" t="str">
        <f aca="false">Chase1168_2025!C1406</f>
        <v>PP*APPLE.COM/BILL 800-275-2273 CA            03/20</v>
      </c>
      <c r="D1406" s="7" t="n">
        <f aca="false">Chase1168_2025!D1406</f>
        <v>-9.99</v>
      </c>
      <c r="E1406" s="0" t="str">
        <f aca="false">Chase1168_2025!E1406</f>
        <v>DEBIT_CARD</v>
      </c>
      <c r="F1406" s="7" t="n">
        <f aca="false">Chase1168_2025!F1406</f>
        <v>55896.47</v>
      </c>
      <c r="G1406" s="0" t="str">
        <f aca="false">Chase1168_2025!G1406</f>
        <v>Personal - Subscriptions</v>
      </c>
      <c r="H1406" s="15" t="n">
        <f aca="false">IF($B1406="","",DATE(YEAR($B1406),MONTH($B1406),1))</f>
        <v>45717</v>
      </c>
      <c r="I1406" s="0" t="str">
        <f aca="false">IF($G1406="","Uncategorized — Review",IFERROR(INDEX(Mapping!$B:$B,MATCH($G1406,Mapping!$A:$A,0)),"Uncategorized — Review"))</f>
        <v>Personal - Subscriptions</v>
      </c>
      <c r="J1406" s="0" t="str">
        <f aca="false">IF($G1406="","Uncategorized — Review",IFERROR(INDEX(Mapping!$C:$C,MATCH($G1406,Mapping!$A:$A,0)),"Uncategorized — Review"))</f>
        <v>Personal — Owner</v>
      </c>
    </row>
    <row r="1407" customFormat="false" ht="15" hidden="false" customHeight="false" outlineLevel="0" collapsed="false">
      <c r="A1407" s="0" t="str">
        <f aca="false">Chase1168_2025!A1407</f>
        <v>DEBIT</v>
      </c>
      <c r="B1407" s="14" t="n">
        <f aca="false">Chase1168_2025!B1407</f>
        <v>45736</v>
      </c>
      <c r="C1407" s="0" t="str">
        <f aca="false">Chase1168_2025!C1407</f>
        <v>PAYPAL *THEREALDEAL O 212-260-1332 NY        03/20</v>
      </c>
      <c r="D1407" s="7" t="n">
        <f aca="false">Chase1168_2025!D1407</f>
        <v>-15</v>
      </c>
      <c r="E1407" s="0" t="str">
        <f aca="false">Chase1168_2025!E1407</f>
        <v>DEBIT_CARD</v>
      </c>
      <c r="F1407" s="7" t="n">
        <f aca="false">Chase1168_2025!F1407</f>
        <v>55906.46</v>
      </c>
      <c r="G1407" s="0" t="str">
        <f aca="false">Chase1168_2025!G1407</f>
        <v>Personal - Subscriptions</v>
      </c>
      <c r="H1407" s="15" t="n">
        <f aca="false">IF($B1407="","",DATE(YEAR($B1407),MONTH($B1407),1))</f>
        <v>45717</v>
      </c>
      <c r="I1407" s="0" t="str">
        <f aca="false">IF($G1407="","Uncategorized — Review",IFERROR(INDEX(Mapping!$B:$B,MATCH($G1407,Mapping!$A:$A,0)),"Uncategorized — Review"))</f>
        <v>Personal - Subscriptions</v>
      </c>
      <c r="J1407" s="0" t="str">
        <f aca="false">IF($G1407="","Uncategorized — Review",IFERROR(INDEX(Mapping!$C:$C,MATCH($G1407,Mapping!$A:$A,0)),"Uncategorized — Review"))</f>
        <v>Personal — Owner</v>
      </c>
    </row>
    <row r="1408" customFormat="false" ht="15" hidden="false" customHeight="false" outlineLevel="0" collapsed="false">
      <c r="A1408" s="0" t="str">
        <f aca="false">Chase1168_2025!A1408</f>
        <v>DEBIT</v>
      </c>
      <c r="B1408" s="14" t="n">
        <f aca="false">Chase1168_2025!B1408</f>
        <v>45735</v>
      </c>
      <c r="C1408" s="0" t="str">
        <f aca="false">Chase1168_2025!C1408</f>
        <v>DOMESTIC INCOMING WIRE FEE</v>
      </c>
      <c r="D1408" s="7" t="n">
        <f aca="false">Chase1168_2025!D1408</f>
        <v>-15</v>
      </c>
      <c r="E1408" s="0" t="str">
        <f aca="false">Chase1168_2025!E1408</f>
        <v>FEE_TRANSACTION</v>
      </c>
      <c r="F1408" s="7" t="n">
        <f aca="false">Chase1168_2025!F1408</f>
        <v>55921.46</v>
      </c>
      <c r="G1408" s="0" t="str">
        <f aca="false">Chase1168_2025!G1408</f>
        <v>Wire Fee</v>
      </c>
      <c r="H1408" s="15" t="n">
        <f aca="false">IF($B1408="","",DATE(YEAR($B1408),MONTH($B1408),1))</f>
        <v>45717</v>
      </c>
      <c r="I1408" s="0" t="str">
        <f aca="false">IF($G1408="","Uncategorized — Review",IFERROR(INDEX(Mapping!$B:$B,MATCH($G1408,Mapping!$A:$A,0)),"Uncategorized — Review"))</f>
        <v>Wire Fee</v>
      </c>
      <c r="J1408" s="0" t="str">
        <f aca="false">IF($G1408="","Uncategorized — Review",IFERROR(INDEX(Mapping!$C:$C,MATCH($G1408,Mapping!$A:$A,0)),"Uncategorized — Review"))</f>
        <v>DWG Operating</v>
      </c>
    </row>
    <row r="1409" customFormat="false" ht="15" hidden="false" customHeight="false" outlineLevel="0" collapsed="false">
      <c r="A1409" s="0" t="str">
        <f aca="false">Chase1168_2025!A1409</f>
        <v>DEBIT</v>
      </c>
      <c r="B1409" s="14" t="n">
        <f aca="false">Chase1168_2025!B1409</f>
        <v>45735</v>
      </c>
      <c r="C1409" s="0" t="str">
        <f aca="false">Chase1168_2025!C1409</f>
        <v>PAYPAL *FOXCORP 888-596-3938 CA              03/19</v>
      </c>
      <c r="D1409" s="7" t="n">
        <f aca="false">Chase1168_2025!D1409</f>
        <v>-7.99</v>
      </c>
      <c r="E1409" s="0" t="str">
        <f aca="false">Chase1168_2025!E1409</f>
        <v>DEBIT_CARD</v>
      </c>
      <c r="F1409" s="7" t="n">
        <f aca="false">Chase1168_2025!F1409</f>
        <v>55936.46</v>
      </c>
      <c r="G1409" s="0" t="str">
        <f aca="false">Chase1168_2025!G1409</f>
        <v>Personal - Subscriptions</v>
      </c>
      <c r="H1409" s="15" t="n">
        <f aca="false">IF($B1409="","",DATE(YEAR($B1409),MONTH($B1409),1))</f>
        <v>45717</v>
      </c>
      <c r="I1409" s="0" t="str">
        <f aca="false">IF($G1409="","Uncategorized — Review",IFERROR(INDEX(Mapping!$B:$B,MATCH($G1409,Mapping!$A:$A,0)),"Uncategorized — Review"))</f>
        <v>Personal - Subscriptions</v>
      </c>
      <c r="J1409" s="0" t="str">
        <f aca="false">IF($G1409="","Uncategorized — Review",IFERROR(INDEX(Mapping!$C:$C,MATCH($G1409,Mapping!$A:$A,0)),"Uncategorized — Review"))</f>
        <v>Personal — Owner</v>
      </c>
    </row>
    <row r="1410" customFormat="false" ht="15" hidden="false" customHeight="false" outlineLevel="0" collapsed="false">
      <c r="A1410" s="0" t="str">
        <f aca="false">Chase1168_2025!A1410</f>
        <v>DEBIT</v>
      </c>
      <c r="B1410" s="14" t="n">
        <f aca="false">Chase1168_2025!B1410</f>
        <v>45735</v>
      </c>
      <c r="C1410" s="0" t="str">
        <f aca="false">Chase1168_2025!C1410</f>
        <v>PAYPAL *FACE AID 402-935-7733 CA             03/19</v>
      </c>
      <c r="D1410" s="7" t="n">
        <f aca="false">Chase1168_2025!D1410</f>
        <v>-1000</v>
      </c>
      <c r="E1410" s="0" t="str">
        <f aca="false">Chase1168_2025!E1410</f>
        <v>DEBIT_CARD</v>
      </c>
      <c r="F1410" s="7" t="n">
        <f aca="false">Chase1168_2025!F1410</f>
        <v>55944.45</v>
      </c>
      <c r="G1410" s="0" t="str">
        <f aca="false">Chase1168_2025!G1410</f>
        <v>Paypal - TBD</v>
      </c>
      <c r="H1410" s="15" t="n">
        <f aca="false">IF($B1410="","",DATE(YEAR($B1410),MONTH($B1410),1))</f>
        <v>45717</v>
      </c>
      <c r="I1410" s="0" t="str">
        <f aca="false">IF($G1410="","Uncategorized — Review",IFERROR(INDEX(Mapping!$B:$B,MATCH($G1410,Mapping!$A:$A,0)),"Uncategorized — Review"))</f>
        <v>Paypal - TBD</v>
      </c>
      <c r="J1410" s="0" t="str">
        <f aca="false">IF($G1410="","Uncategorized — Review",IFERROR(INDEX(Mapping!$C:$C,MATCH($G1410,Mapping!$A:$A,0)),"Uncategorized — Review"))</f>
        <v>Uncategorized — Review</v>
      </c>
    </row>
    <row r="1411" customFormat="false" ht="15" hidden="false" customHeight="false" outlineLevel="0" collapsed="false">
      <c r="A1411" s="0" t="str">
        <f aca="false">Chase1168_2025!A1411</f>
        <v>DEBIT</v>
      </c>
      <c r="B1411" s="14" t="n">
        <f aca="false">Chase1168_2025!B1411</f>
        <v>45735</v>
      </c>
      <c r="C1411" s="0" t="str">
        <f aca="false">Chase1168_2025!C1411</f>
        <v>PAYPAL *EPOCH TIMES T 833-699-1888 NY        03/18</v>
      </c>
      <c r="D1411" s="7" t="n">
        <f aca="false">Chase1168_2025!D1411</f>
        <v>-16</v>
      </c>
      <c r="E1411" s="0" t="str">
        <f aca="false">Chase1168_2025!E1411</f>
        <v>DEBIT_CARD</v>
      </c>
      <c r="F1411" s="7" t="n">
        <f aca="false">Chase1168_2025!F1411</f>
        <v>56944.45</v>
      </c>
      <c r="G1411" s="0" t="str">
        <f aca="false">Chase1168_2025!G1411</f>
        <v>Personal - Subscriptions</v>
      </c>
      <c r="H1411" s="15" t="n">
        <f aca="false">IF($B1411="","",DATE(YEAR($B1411),MONTH($B1411),1))</f>
        <v>45717</v>
      </c>
      <c r="I1411" s="0" t="str">
        <f aca="false">IF($G1411="","Uncategorized — Review",IFERROR(INDEX(Mapping!$B:$B,MATCH($G1411,Mapping!$A:$A,0)),"Uncategorized — Review"))</f>
        <v>Personal - Subscriptions</v>
      </c>
      <c r="J1411" s="0" t="str">
        <f aca="false">IF($G1411="","Uncategorized — Review",IFERROR(INDEX(Mapping!$C:$C,MATCH($G1411,Mapping!$A:$A,0)),"Uncategorized — Review"))</f>
        <v>Personal — Owner</v>
      </c>
    </row>
    <row r="1412" customFormat="false" ht="15" hidden="false" customHeight="false" outlineLevel="0" collapsed="false">
      <c r="A1412" s="0" t="str">
        <f aca="false">Chase1168_2025!A1412</f>
        <v>DEBIT</v>
      </c>
      <c r="B1412" s="14" t="n">
        <f aca="false">Chase1168_2025!B1412</f>
        <v>45735</v>
      </c>
      <c r="C1412" s="0" t="str">
        <f aca="false">Chase1168_2025!C1412</f>
        <v>PAYPAL *GRUBHUBFOOD L 877-585-7878 IL        03/19</v>
      </c>
      <c r="D1412" s="7" t="n">
        <f aca="false">Chase1168_2025!D1412</f>
        <v>-90.56</v>
      </c>
      <c r="E1412" s="0" t="str">
        <f aca="false">Chase1168_2025!E1412</f>
        <v>DEBIT_CARD</v>
      </c>
      <c r="F1412" s="7" t="n">
        <f aca="false">Chase1168_2025!F1412</f>
        <v>56960.45</v>
      </c>
      <c r="G1412" s="0" t="str">
        <f aca="false">Chase1168_2025!G1412</f>
        <v>Personal - Food</v>
      </c>
      <c r="H1412" s="15" t="n">
        <f aca="false">IF($B1412="","",DATE(YEAR($B1412),MONTH($B1412),1))</f>
        <v>45717</v>
      </c>
      <c r="I1412" s="0" t="str">
        <f aca="false">IF($G1412="","Uncategorized — Review",IFERROR(INDEX(Mapping!$B:$B,MATCH($G1412,Mapping!$A:$A,0)),"Uncategorized — Review"))</f>
        <v>Personal - Food &amp; Dining</v>
      </c>
      <c r="J1412" s="0" t="str">
        <f aca="false">IF($G1412="","Uncategorized — Review",IFERROR(INDEX(Mapping!$C:$C,MATCH($G1412,Mapping!$A:$A,0)),"Uncategorized — Review"))</f>
        <v>Personal — Owner</v>
      </c>
    </row>
    <row r="1413" customFormat="false" ht="15" hidden="false" customHeight="false" outlineLevel="0" collapsed="false">
      <c r="A1413" s="0" t="str">
        <f aca="false">Chase1168_2025!A1413</f>
        <v>CREDIT</v>
      </c>
      <c r="B1413" s="14" t="n">
        <f aca="false">Chase1168_2025!B1413</f>
        <v>45735</v>
      </c>
      <c r="C1413" s="0" t="str">
        <f aca="false">Chase1168_2025!C1413</f>
        <v>FEDWIRE CREDIT VIA: WORTHINGTON BANK/111924622 B/O: RATTIKIN TITLE COMPANY FORT WORTH TX 76116 REF: CHASE NYC/CTR/BNF=DWG CAPITAL GROUP LOS ANGELES CA 90066-3638 US/AC-00 0000002836 RFB=25-0127 OBI=COMMISSI ONS, 315 YORK AVE WEATHERFO RD, TX 76087 817-332-1171 25-0127 IMAD: 0319GMQFMP01030982 TRN: 1113891078FF</v>
      </c>
      <c r="D1413" s="7" t="n">
        <f aca="false">Chase1168_2025!D1413</f>
        <v>40350</v>
      </c>
      <c r="E1413" s="0" t="str">
        <f aca="false">Chase1168_2025!E1413</f>
        <v>WIRE_INCOMING</v>
      </c>
      <c r="F1413" s="7" t="n">
        <f aca="false">Chase1168_2025!F1413</f>
        <v>57051.01</v>
      </c>
      <c r="G1413" s="0" t="str">
        <f aca="false">Chase1168_2025!G1413</f>
        <v>Incoming Commission: 315 York</v>
      </c>
      <c r="H1413" s="15" t="n">
        <f aca="false">IF($B1413="","",DATE(YEAR($B1413),MONTH($B1413),1))</f>
        <v>45717</v>
      </c>
      <c r="I1413" s="0" t="str">
        <f aca="false">IF($G1413="","Uncategorized — Review",IFERROR(INDEX(Mapping!$B:$B,MATCH($G1413,Mapping!$A:$A,0)),"Uncategorized — Review"))</f>
        <v>Incoming Commission: 315 York</v>
      </c>
      <c r="J1413" s="0" t="str">
        <f aca="false">IF($G1413="","Uncategorized — Review",IFERROR(INDEX(Mapping!$C:$C,MATCH($G1413,Mapping!$A:$A,0)),"Uncategorized — Review"))</f>
        <v>Commissions — Incoming</v>
      </c>
    </row>
    <row r="1414" customFormat="false" ht="15" hidden="false" customHeight="false" outlineLevel="0" collapsed="false">
      <c r="A1414" s="0" t="str">
        <f aca="false">Chase1168_2025!A1414</f>
        <v>DEBIT</v>
      </c>
      <c r="B1414" s="14" t="n">
        <f aca="false">Chase1168_2025!B1414</f>
        <v>45734</v>
      </c>
      <c r="C1414" s="0" t="str">
        <f aca="false">Chase1168_2025!C1414</f>
        <v>Online Payment 24099720805 To LOS ANGELES MUNICIPAL SERVICE 03/18</v>
      </c>
      <c r="D1414" s="7" t="n">
        <f aca="false">Chase1168_2025!D1414</f>
        <v>-1798.56</v>
      </c>
      <c r="E1414" s="0" t="str">
        <f aca="false">Chase1168_2025!E1414</f>
        <v>BILLPAY</v>
      </c>
      <c r="F1414" s="7" t="n">
        <f aca="false">Chase1168_2025!F1414</f>
        <v>16701.01</v>
      </c>
      <c r="G1414" s="16" t="n">
        <f aca="false">Chase1168_2025!G1414</f>
        <v>0</v>
      </c>
      <c r="H1414" s="15" t="n">
        <f aca="false">IF($B1414="","",DATE(YEAR($B1414),MONTH($B1414),1))</f>
        <v>45717</v>
      </c>
      <c r="I1414" s="0" t="str">
        <f aca="false">IF($G1414="","Uncategorized — Review",IFERROR(INDEX(Mapping!$B:$B,MATCH($G1414,Mapping!$A:$A,0)),"Uncategorized — Review"))</f>
        <v>Uncategorized — Review</v>
      </c>
      <c r="J1414" s="0" t="str">
        <f aca="false">IF($G1414="","Uncategorized — Review",IFERROR(INDEX(Mapping!$C:$C,MATCH($G1414,Mapping!$A:$A,0)),"Uncategorized — Review"))</f>
        <v>Uncategorized — Review</v>
      </c>
    </row>
    <row r="1415" customFormat="false" ht="15" hidden="false" customHeight="false" outlineLevel="0" collapsed="false">
      <c r="A1415" s="0" t="str">
        <f aca="false">Chase1168_2025!A1415</f>
        <v>DEBIT</v>
      </c>
      <c r="B1415" s="14" t="n">
        <f aca="false">Chase1168_2025!B1415</f>
        <v>45734</v>
      </c>
      <c r="C1415" s="0" t="str">
        <f aca="false">Chase1168_2025!C1415</f>
        <v>Online Payment 24099702638 To MERCEDES BENZ FINANCIAL 03/18</v>
      </c>
      <c r="D1415" s="7" t="n">
        <f aca="false">Chase1168_2025!D1415</f>
        <v>-409.45</v>
      </c>
      <c r="E1415" s="0" t="str">
        <f aca="false">Chase1168_2025!E1415</f>
        <v>BILLPAY</v>
      </c>
      <c r="F1415" s="7" t="n">
        <f aca="false">Chase1168_2025!F1415</f>
        <v>18499.57</v>
      </c>
      <c r="G1415" s="0" t="str">
        <f aca="false">Chase1168_2025!G1415</f>
        <v>Personal - Car (Mercedes)</v>
      </c>
      <c r="H1415" s="15" t="n">
        <f aca="false">IF($B1415="","",DATE(YEAR($B1415),MONTH($B1415),1))</f>
        <v>45717</v>
      </c>
      <c r="I1415" s="0" t="str">
        <f aca="false">IF($G1415="","Uncategorized — Review",IFERROR(INDEX(Mapping!$B:$B,MATCH($G1415,Mapping!$A:$A,0)),"Uncategorized — Review"))</f>
        <v>Personal - Car &amp; Auto</v>
      </c>
      <c r="J1415" s="0" t="str">
        <f aca="false">IF($G1415="","Uncategorized — Review",IFERROR(INDEX(Mapping!$C:$C,MATCH($G1415,Mapping!$A:$A,0)),"Uncategorized — Review"))</f>
        <v>Personal — Owner</v>
      </c>
    </row>
    <row r="1416" customFormat="false" ht="15" hidden="false" customHeight="false" outlineLevel="0" collapsed="false">
      <c r="A1416" s="0" t="str">
        <f aca="false">Chase1168_2025!A1416</f>
        <v>DEBIT</v>
      </c>
      <c r="B1416" s="14" t="n">
        <f aca="false">Chase1168_2025!B1416</f>
        <v>45734</v>
      </c>
      <c r="C1416" s="0" t="str">
        <f aca="false">Chase1168_2025!C1416</f>
        <v>Online Payment 24099604002 To SOUTHERN CALIFORNIA GAS CO 03/18</v>
      </c>
      <c r="D1416" s="7" t="n">
        <f aca="false">Chase1168_2025!D1416</f>
        <v>-300</v>
      </c>
      <c r="E1416" s="0" t="str">
        <f aca="false">Chase1168_2025!E1416</f>
        <v>BILLPAY</v>
      </c>
      <c r="F1416" s="7" t="n">
        <f aca="false">Chase1168_2025!F1416</f>
        <v>18909.02</v>
      </c>
      <c r="G1416" s="16" t="n">
        <f aca="false">Chase1168_2025!G1416</f>
        <v>0</v>
      </c>
      <c r="H1416" s="15" t="n">
        <f aca="false">IF($B1416="","",DATE(YEAR($B1416),MONTH($B1416),1))</f>
        <v>45717</v>
      </c>
      <c r="I1416" s="0" t="str">
        <f aca="false">IF($G1416="","Uncategorized — Review",IFERROR(INDEX(Mapping!$B:$B,MATCH($G1416,Mapping!$A:$A,0)),"Uncategorized — Review"))</f>
        <v>Uncategorized — Review</v>
      </c>
      <c r="J1416" s="0" t="str">
        <f aca="false">IF($G1416="","Uncategorized — Review",IFERROR(INDEX(Mapping!$C:$C,MATCH($G1416,Mapping!$A:$A,0)),"Uncategorized — Review"))</f>
        <v>Uncategorized — Review</v>
      </c>
    </row>
    <row r="1417" customFormat="false" ht="15" hidden="false" customHeight="false" outlineLevel="0" collapsed="false">
      <c r="A1417" s="0" t="str">
        <f aca="false">Chase1168_2025!A1417</f>
        <v>DEBIT</v>
      </c>
      <c r="B1417" s="14" t="n">
        <f aca="false">Chase1168_2025!B1417</f>
        <v>45734</v>
      </c>
      <c r="C1417" s="0" t="str">
        <f aca="false">Chase1168_2025!C1417</f>
        <v>Zelle payment to jeff Fajardo JPM99b1rxaka</v>
      </c>
      <c r="D1417" s="7" t="n">
        <f aca="false">Chase1168_2025!D1417</f>
        <v>-300</v>
      </c>
      <c r="E1417" s="0" t="str">
        <f aca="false">Chase1168_2025!E1417</f>
        <v>CHASE_TO_PARTNERFI</v>
      </c>
      <c r="F1417" s="7" t="n">
        <f aca="false">Chase1168_2025!F1417</f>
        <v>19209.02</v>
      </c>
      <c r="G1417" s="0" t="str">
        <f aca="false">Chase1168_2025!G1417</f>
        <v>Zelle - Jeff Fajardo</v>
      </c>
      <c r="H1417" s="15" t="n">
        <f aca="false">IF($B1417="","",DATE(YEAR($B1417),MONTH($B1417),1))</f>
        <v>45717</v>
      </c>
      <c r="I1417" s="0" t="str">
        <f aca="false">IF($G1417="","Uncategorized — Review",IFERROR(INDEX(Mapping!$B:$B,MATCH($G1417,Mapping!$A:$A,0)),"Uncategorized — Review"))</f>
        <v>Zelle - Jeff Fajardo</v>
      </c>
      <c r="J1417" s="0" t="str">
        <f aca="false">IF($G1417="","Uncategorized — Review",IFERROR(INDEX(Mapping!$C:$C,MATCH($G1417,Mapping!$A:$A,0)),"Uncategorized — Review"))</f>
        <v>P2P Payments (Zelle/Venmo/PayPal)</v>
      </c>
    </row>
    <row r="1418" customFormat="false" ht="15" hidden="false" customHeight="false" outlineLevel="0" collapsed="false">
      <c r="A1418" s="0" t="str">
        <f aca="false">Chase1168_2025!A1418</f>
        <v>DEBIT</v>
      </c>
      <c r="B1418" s="14" t="n">
        <f aca="false">Chase1168_2025!B1418</f>
        <v>45734</v>
      </c>
      <c r="C1418" s="0" t="str">
        <f aca="false">Chase1168_2025!C1418</f>
        <v>ORIG CO NAME:LEASEDIRECT            ORIG ID:138190450  DESC DATE:250317 CO ENTRY DESCR:11783_1   SEC:CCD    TRACE#:043000093815408 EED:250318   IND ID:1556926                      IND NAME:DWG CAPITAL GROUP          INV# 589413700 DUE 03/15/25 REC# 18 94667                                         11784 TRN: 0773815408TC</v>
      </c>
      <c r="D1418" s="7" t="n">
        <f aca="false">Chase1168_2025!D1418</f>
        <v>-103.81</v>
      </c>
      <c r="E1418" s="0" t="str">
        <f aca="false">Chase1168_2025!E1418</f>
        <v>ACH_DEBIT</v>
      </c>
      <c r="F1418" s="7" t="n">
        <f aca="false">Chase1168_2025!F1418</f>
        <v>19509.02</v>
      </c>
      <c r="G1418" s="0" t="str">
        <f aca="false">Chase1168_2025!G1418</f>
        <v>DWG - TBD</v>
      </c>
      <c r="H1418" s="15" t="n">
        <f aca="false">IF($B1418="","",DATE(YEAR($B1418),MONTH($B1418),1))</f>
        <v>45717</v>
      </c>
      <c r="I1418" s="0" t="str">
        <f aca="false">IF($G1418="","Uncategorized — Review",IFERROR(INDEX(Mapping!$B:$B,MATCH($G1418,Mapping!$A:$A,0)),"Uncategorized — Review"))</f>
        <v>DWG - TBD</v>
      </c>
      <c r="J1418" s="0" t="str">
        <f aca="false">IF($G1418="","Uncategorized — Review",IFERROR(INDEX(Mapping!$C:$C,MATCH($G1418,Mapping!$A:$A,0)),"Uncategorized — Review"))</f>
        <v>Uncategorized — Review</v>
      </c>
    </row>
    <row r="1419" customFormat="false" ht="15" hidden="false" customHeight="false" outlineLevel="0" collapsed="false">
      <c r="A1419" s="0" t="str">
        <f aca="false">Chase1168_2025!A1419</f>
        <v>DEBIT</v>
      </c>
      <c r="B1419" s="14" t="n">
        <f aca="false">Chase1168_2025!B1419</f>
        <v>45734</v>
      </c>
      <c r="C1419" s="0" t="str">
        <f aca="false">Chase1168_2025!C1419</f>
        <v>Upwork -790216789REF 650-8534100 CA          03/17</v>
      </c>
      <c r="D1419" s="7" t="n">
        <f aca="false">Chase1168_2025!D1419</f>
        <v>-1260</v>
      </c>
      <c r="E1419" s="0" t="str">
        <f aca="false">Chase1168_2025!E1419</f>
        <v>DEBIT_CARD</v>
      </c>
      <c r="F1419" s="7" t="n">
        <f aca="false">Chase1168_2025!F1419</f>
        <v>19612.83</v>
      </c>
      <c r="G1419" s="0" t="str">
        <f aca="false">Chase1168_2025!G1419</f>
        <v>Upwork - Sergei M.</v>
      </c>
      <c r="H1419" s="15" t="n">
        <f aca="false">IF($B1419="","",DATE(YEAR($B1419),MONTH($B1419),1))</f>
        <v>45717</v>
      </c>
      <c r="I1419" s="0" t="str">
        <f aca="false">IF($G1419="","Uncategorized — Review",IFERROR(INDEX(Mapping!$B:$B,MATCH($G1419,Mapping!$A:$A,0)),"Uncategorized — Review"))</f>
        <v>Upwork - Sergei M.</v>
      </c>
      <c r="J1419" s="0" t="str">
        <f aca="false">IF($G1419="","Uncategorized — Review",IFERROR(INDEX(Mapping!$C:$C,MATCH($G1419,Mapping!$A:$A,0)),"Uncategorized — Review"))</f>
        <v>Payroll &amp; Contractors</v>
      </c>
    </row>
    <row r="1420" customFormat="false" ht="15" hidden="false" customHeight="false" outlineLevel="0" collapsed="false">
      <c r="A1420" s="0" t="str">
        <f aca="false">Chase1168_2025!A1420</f>
        <v>DEBIT</v>
      </c>
      <c r="B1420" s="14" t="n">
        <f aca="false">Chase1168_2025!B1420</f>
        <v>45734</v>
      </c>
      <c r="C1420" s="0" t="str">
        <f aca="false">Chase1168_2025!C1420</f>
        <v>PP*APPLE.COM/BILL 800-275-2273 CA            03/17</v>
      </c>
      <c r="D1420" s="7" t="n">
        <f aca="false">Chase1168_2025!D1420</f>
        <v>-9.99</v>
      </c>
      <c r="E1420" s="0" t="str">
        <f aca="false">Chase1168_2025!E1420</f>
        <v>DEBIT_CARD</v>
      </c>
      <c r="F1420" s="7" t="n">
        <f aca="false">Chase1168_2025!F1420</f>
        <v>20872.83</v>
      </c>
      <c r="G1420" s="0" t="str">
        <f aca="false">Chase1168_2025!G1420</f>
        <v>Personal - Subscriptions</v>
      </c>
      <c r="H1420" s="15" t="n">
        <f aca="false">IF($B1420="","",DATE(YEAR($B1420),MONTH($B1420),1))</f>
        <v>45717</v>
      </c>
      <c r="I1420" s="0" t="str">
        <f aca="false">IF($G1420="","Uncategorized — Review",IFERROR(INDEX(Mapping!$B:$B,MATCH($G1420,Mapping!$A:$A,0)),"Uncategorized — Review"))</f>
        <v>Personal - Subscriptions</v>
      </c>
      <c r="J1420" s="0" t="str">
        <f aca="false">IF($G1420="","Uncategorized — Review",IFERROR(INDEX(Mapping!$C:$C,MATCH($G1420,Mapping!$A:$A,0)),"Uncategorized — Review"))</f>
        <v>Personal — Owner</v>
      </c>
    </row>
    <row r="1421" customFormat="false" ht="15" hidden="false" customHeight="false" outlineLevel="0" collapsed="false">
      <c r="A1421" s="0" t="str">
        <f aca="false">Chase1168_2025!A1421</f>
        <v>DEBIT</v>
      </c>
      <c r="B1421" s="14" t="n">
        <f aca="false">Chase1168_2025!B1421</f>
        <v>45733</v>
      </c>
      <c r="C1421" s="0" t="str">
        <f aca="false">Chase1168_2025!C1421</f>
        <v>ORIG CO NAME:VENMO                  ORIG ID:3264681992 DESC DATE:250315 CO ENTRY DESCR:PAYMENT   SEC:WEB    TRACE#:091000014647380 EED:250317   IND ID:1040910151880                IND NAME:JUDD DUNNING TRN: 0764647380TC</v>
      </c>
      <c r="D1421" s="7" t="n">
        <f aca="false">Chase1168_2025!D1421</f>
        <v>-300</v>
      </c>
      <c r="E1421" s="0" t="str">
        <f aca="false">Chase1168_2025!E1421</f>
        <v>ACH_DEBIT</v>
      </c>
      <c r="F1421" s="7" t="n">
        <f aca="false">Chase1168_2025!F1421</f>
        <v>20882.82</v>
      </c>
      <c r="G1421" s="0" t="str">
        <f aca="false">Chase1168_2025!G1421</f>
        <v>Venmo</v>
      </c>
      <c r="H1421" s="15" t="n">
        <f aca="false">IF($B1421="","",DATE(YEAR($B1421),MONTH($B1421),1))</f>
        <v>45717</v>
      </c>
      <c r="I1421" s="0" t="str">
        <f aca="false">IF($G1421="","Uncategorized — Review",IFERROR(INDEX(Mapping!$B:$B,MATCH($G1421,Mapping!$A:$A,0)),"Uncategorized — Review"))</f>
        <v>Venmo</v>
      </c>
      <c r="J1421" s="0" t="str">
        <f aca="false">IF($G1421="","Uncategorized — Review",IFERROR(INDEX(Mapping!$C:$C,MATCH($G1421,Mapping!$A:$A,0)),"Uncategorized — Review"))</f>
        <v>P2P Payments (Zelle/Venmo/PayPal)</v>
      </c>
    </row>
    <row r="1422" customFormat="false" ht="15" hidden="false" customHeight="false" outlineLevel="0" collapsed="false">
      <c r="A1422" s="0" t="str">
        <f aca="false">Chase1168_2025!A1422</f>
        <v>DEBIT</v>
      </c>
      <c r="B1422" s="14" t="n">
        <f aca="false">Chase1168_2025!B1422</f>
        <v>45733</v>
      </c>
      <c r="C1422" s="0" t="str">
        <f aca="false">Chase1168_2025!C1422</f>
        <v>Online Transfer to CHK ...1117 transaction#: 24082324824 03/17</v>
      </c>
      <c r="D1422" s="7" t="n">
        <f aca="false">Chase1168_2025!D1422</f>
        <v>-2000</v>
      </c>
      <c r="E1422" s="0" t="str">
        <f aca="false">Chase1168_2025!E1422</f>
        <v>ACCT_XFER</v>
      </c>
      <c r="F1422" s="7" t="n">
        <f aca="false">Chase1168_2025!F1422</f>
        <v>21182.82</v>
      </c>
      <c r="G1422" s="0" t="str">
        <f aca="false">Chase1168_2025!G1422</f>
        <v>Transfer to Angela Dunning</v>
      </c>
      <c r="H1422" s="15" t="n">
        <f aca="false">IF($B1422="","",DATE(YEAR($B1422),MONTH($B1422),1))</f>
        <v>45717</v>
      </c>
      <c r="I1422" s="0" t="str">
        <f aca="false">IF($G1422="","Uncategorized — Review",IFERROR(INDEX(Mapping!$B:$B,MATCH($G1422,Mapping!$A:$A,0)),"Uncategorized — Review"))</f>
        <v>Transfer to Angela Dunning</v>
      </c>
      <c r="J1422" s="0" t="str">
        <f aca="false">IF($G1422="","Uncategorized — Review",IFERROR(INDEX(Mapping!$C:$C,MATCH($G1422,Mapping!$A:$A,0)),"Uncategorized — Review"))</f>
        <v>Owner / Family Distributions</v>
      </c>
    </row>
    <row r="1423" customFormat="false" ht="15" hidden="false" customHeight="false" outlineLevel="0" collapsed="false">
      <c r="A1423" s="0" t="str">
        <f aca="false">Chase1168_2025!A1423</f>
        <v>DEBIT</v>
      </c>
      <c r="B1423" s="14" t="n">
        <f aca="false">Chase1168_2025!B1423</f>
        <v>45733</v>
      </c>
      <c r="C1423" s="0" t="str">
        <f aca="false">Chase1168_2025!C1423</f>
        <v>PP*APPLE.COM/BILL 800-275-2273 CA            03/17</v>
      </c>
      <c r="D1423" s="7" t="n">
        <f aca="false">Chase1168_2025!D1423</f>
        <v>-8.99</v>
      </c>
      <c r="E1423" s="0" t="str">
        <f aca="false">Chase1168_2025!E1423</f>
        <v>DEBIT_CARD</v>
      </c>
      <c r="F1423" s="7" t="n">
        <f aca="false">Chase1168_2025!F1423</f>
        <v>23182.82</v>
      </c>
      <c r="G1423" s="0" t="str">
        <f aca="false">Chase1168_2025!G1423</f>
        <v>Personal - Subscriptions</v>
      </c>
      <c r="H1423" s="15" t="n">
        <f aca="false">IF($B1423="","",DATE(YEAR($B1423),MONTH($B1423),1))</f>
        <v>45717</v>
      </c>
      <c r="I1423" s="0" t="str">
        <f aca="false">IF($G1423="","Uncategorized — Review",IFERROR(INDEX(Mapping!$B:$B,MATCH($G1423,Mapping!$A:$A,0)),"Uncategorized — Review"))</f>
        <v>Personal - Subscriptions</v>
      </c>
      <c r="J1423" s="0" t="str">
        <f aca="false">IF($G1423="","Uncategorized — Review",IFERROR(INDEX(Mapping!$C:$C,MATCH($G1423,Mapping!$A:$A,0)),"Uncategorized — Review"))</f>
        <v>Personal — Owner</v>
      </c>
    </row>
    <row r="1424" customFormat="false" ht="15" hidden="false" customHeight="false" outlineLevel="0" collapsed="false">
      <c r="A1424" s="0" t="str">
        <f aca="false">Chase1168_2025!A1424</f>
        <v>DEBIT</v>
      </c>
      <c r="B1424" s="14" t="n">
        <f aca="false">Chase1168_2025!B1424</f>
        <v>45733</v>
      </c>
      <c r="C1424" s="0" t="str">
        <f aca="false">Chase1168_2025!C1424</f>
        <v>PAYPAL *UBER 866-576-1039 CA                 03/15</v>
      </c>
      <c r="D1424" s="7" t="n">
        <f aca="false">Chase1168_2025!D1424</f>
        <v>-35.8</v>
      </c>
      <c r="E1424" s="0" t="str">
        <f aca="false">Chase1168_2025!E1424</f>
        <v>DEBIT_CARD</v>
      </c>
      <c r="F1424" s="7" t="n">
        <f aca="false">Chase1168_2025!F1424</f>
        <v>23191.81</v>
      </c>
      <c r="G1424" s="0" t="str">
        <f aca="false">Chase1168_2025!G1424</f>
        <v>Personal - Car</v>
      </c>
      <c r="H1424" s="15" t="n">
        <f aca="false">IF($B1424="","",DATE(YEAR($B1424),MONTH($B1424),1))</f>
        <v>45717</v>
      </c>
      <c r="I1424" s="0" t="str">
        <f aca="false">IF($G1424="","Uncategorized — Review",IFERROR(INDEX(Mapping!$B:$B,MATCH($G1424,Mapping!$A:$A,0)),"Uncategorized — Review"))</f>
        <v>Personal - Car &amp; Auto</v>
      </c>
      <c r="J1424" s="0" t="str">
        <f aca="false">IF($G1424="","Uncategorized — Review",IFERROR(INDEX(Mapping!$C:$C,MATCH($G1424,Mapping!$A:$A,0)),"Uncategorized — Review"))</f>
        <v>Personal — Owner</v>
      </c>
    </row>
    <row r="1425" customFormat="false" ht="15" hidden="false" customHeight="false" outlineLevel="0" collapsed="false">
      <c r="A1425" s="0" t="str">
        <f aca="false">Chase1168_2025!A1425</f>
        <v>DEBIT</v>
      </c>
      <c r="B1425" s="14" t="n">
        <f aca="false">Chase1168_2025!B1425</f>
        <v>45733</v>
      </c>
      <c r="C1425" s="0" t="str">
        <f aca="false">Chase1168_2025!C1425</f>
        <v>PAYPAL *UBER 866-576-1039 CA                 03/15</v>
      </c>
      <c r="D1425" s="7" t="n">
        <f aca="false">Chase1168_2025!D1425</f>
        <v>-4.49</v>
      </c>
      <c r="E1425" s="0" t="str">
        <f aca="false">Chase1168_2025!E1425</f>
        <v>DEBIT_CARD</v>
      </c>
      <c r="F1425" s="7" t="n">
        <f aca="false">Chase1168_2025!F1425</f>
        <v>23227.61</v>
      </c>
      <c r="G1425" s="0" t="str">
        <f aca="false">Chase1168_2025!G1425</f>
        <v>Personal - Car</v>
      </c>
      <c r="H1425" s="15" t="n">
        <f aca="false">IF($B1425="","",DATE(YEAR($B1425),MONTH($B1425),1))</f>
        <v>45717</v>
      </c>
      <c r="I1425" s="0" t="str">
        <f aca="false">IF($G1425="","Uncategorized — Review",IFERROR(INDEX(Mapping!$B:$B,MATCH($G1425,Mapping!$A:$A,0)),"Uncategorized — Review"))</f>
        <v>Personal - Car &amp; Auto</v>
      </c>
      <c r="J1425" s="0" t="str">
        <f aca="false">IF($G1425="","Uncategorized — Review",IFERROR(INDEX(Mapping!$C:$C,MATCH($G1425,Mapping!$A:$A,0)),"Uncategorized — Review"))</f>
        <v>Personal — Owner</v>
      </c>
    </row>
    <row r="1426" customFormat="false" ht="15" hidden="false" customHeight="false" outlineLevel="0" collapsed="false">
      <c r="A1426" s="0" t="str">
        <f aca="false">Chase1168_2025!A1426</f>
        <v>DEBIT</v>
      </c>
      <c r="B1426" s="14" t="n">
        <f aca="false">Chase1168_2025!B1426</f>
        <v>45733</v>
      </c>
      <c r="C1426" s="0" t="str">
        <f aca="false">Chase1168_2025!C1426</f>
        <v>PAYPAL *LINKEDIN 402-935-7733 CA             03/17</v>
      </c>
      <c r="D1426" s="7" t="n">
        <f aca="false">Chase1168_2025!D1426</f>
        <v>-69.99</v>
      </c>
      <c r="E1426" s="0" t="str">
        <f aca="false">Chase1168_2025!E1426</f>
        <v>DEBIT_CARD</v>
      </c>
      <c r="F1426" s="7" t="n">
        <f aca="false">Chase1168_2025!F1426</f>
        <v>23232.1</v>
      </c>
      <c r="G1426" s="0" t="str">
        <f aca="false">Chase1168_2025!G1426</f>
        <v>DWG HR</v>
      </c>
      <c r="H1426" s="15" t="n">
        <f aca="false">IF($B1426="","",DATE(YEAR($B1426),MONTH($B1426),1))</f>
        <v>45717</v>
      </c>
      <c r="I1426" s="0" t="str">
        <f aca="false">IF($G1426="","Uncategorized — Review",IFERROR(INDEX(Mapping!$B:$B,MATCH($G1426,Mapping!$A:$A,0)),"Uncategorized — Review"))</f>
        <v>DWG HR</v>
      </c>
      <c r="J1426" s="0" t="str">
        <f aca="false">IF($G1426="","Uncategorized — Review",IFERROR(INDEX(Mapping!$C:$C,MATCH($G1426,Mapping!$A:$A,0)),"Uncategorized — Review"))</f>
        <v>Payroll &amp; Contractors</v>
      </c>
    </row>
    <row r="1427" customFormat="false" ht="15" hidden="false" customHeight="false" outlineLevel="0" collapsed="false">
      <c r="A1427" s="0" t="str">
        <f aca="false">Chase1168_2025!A1427</f>
        <v>DEBIT</v>
      </c>
      <c r="B1427" s="14" t="n">
        <f aca="false">Chase1168_2025!B1427</f>
        <v>45733</v>
      </c>
      <c r="C1427" s="0" t="str">
        <f aca="false">Chase1168_2025!C1427</f>
        <v>PAYPAL *RUTHALCANCI 402-935-7733 CA          03/15</v>
      </c>
      <c r="D1427" s="7" t="n">
        <f aca="false">Chase1168_2025!D1427</f>
        <v>-200</v>
      </c>
      <c r="E1427" s="0" t="str">
        <f aca="false">Chase1168_2025!E1427</f>
        <v>DEBIT_CARD</v>
      </c>
      <c r="F1427" s="7" t="n">
        <f aca="false">Chase1168_2025!F1427</f>
        <v>23302.09</v>
      </c>
      <c r="G1427" s="0" t="str">
        <f aca="false">Chase1168_2025!G1427</f>
        <v>Ruth Alcancia - Forward Bridge Payment</v>
      </c>
      <c r="H1427" s="15" t="n">
        <f aca="false">IF($B1427="","",DATE(YEAR($B1427),MONTH($B1427),1))</f>
        <v>45717</v>
      </c>
      <c r="I1427" s="0" t="str">
        <f aca="false">IF($G1427="","Uncategorized — Review",IFERROR(INDEX(Mapping!$B:$B,MATCH($G1427,Mapping!$A:$A,0)),"Uncategorized — Review"))</f>
        <v>Ruth Alcancia - Forward Bridge Payment</v>
      </c>
      <c r="J1427" s="0" t="str">
        <f aca="false">IF($G1427="","Uncategorized — Review",IFERROR(INDEX(Mapping!$C:$C,MATCH($G1427,Mapping!$A:$A,0)),"Uncategorized — Review"))</f>
        <v>Payroll &amp; Contractors</v>
      </c>
    </row>
    <row r="1428" customFormat="false" ht="15" hidden="false" customHeight="false" outlineLevel="0" collapsed="false">
      <c r="A1428" s="0" t="str">
        <f aca="false">Chase1168_2025!A1428</f>
        <v>DEBIT</v>
      </c>
      <c r="B1428" s="14" t="n">
        <f aca="false">Chase1168_2025!B1428</f>
        <v>45733</v>
      </c>
      <c r="C1428" s="0" t="str">
        <f aca="false">Chase1168_2025!C1428</f>
        <v>PP*APPLE.COM/BILL 800-275-2273 CA            03/15</v>
      </c>
      <c r="D1428" s="7" t="n">
        <f aca="false">Chase1168_2025!D1428</f>
        <v>-5.99</v>
      </c>
      <c r="E1428" s="0" t="str">
        <f aca="false">Chase1168_2025!E1428</f>
        <v>DEBIT_CARD</v>
      </c>
      <c r="F1428" s="7" t="n">
        <f aca="false">Chase1168_2025!F1428</f>
        <v>23502.09</v>
      </c>
      <c r="G1428" s="0" t="str">
        <f aca="false">Chase1168_2025!G1428</f>
        <v>Personal - Subscriptions</v>
      </c>
      <c r="H1428" s="15" t="n">
        <f aca="false">IF($B1428="","",DATE(YEAR($B1428),MONTH($B1428),1))</f>
        <v>45717</v>
      </c>
      <c r="I1428" s="0" t="str">
        <f aca="false">IF($G1428="","Uncategorized — Review",IFERROR(INDEX(Mapping!$B:$B,MATCH($G1428,Mapping!$A:$A,0)),"Uncategorized — Review"))</f>
        <v>Personal - Subscriptions</v>
      </c>
      <c r="J1428" s="0" t="str">
        <f aca="false">IF($G1428="","Uncategorized — Review",IFERROR(INDEX(Mapping!$C:$C,MATCH($G1428,Mapping!$A:$A,0)),"Uncategorized — Review"))</f>
        <v>Personal — Owner</v>
      </c>
    </row>
    <row r="1429" customFormat="false" ht="15" hidden="false" customHeight="false" outlineLevel="0" collapsed="false">
      <c r="A1429" s="0" t="str">
        <f aca="false">Chase1168_2025!A1429</f>
        <v>DEBIT</v>
      </c>
      <c r="B1429" s="14" t="n">
        <f aca="false">Chase1168_2025!B1429</f>
        <v>45733</v>
      </c>
      <c r="C1429" s="0" t="str">
        <f aca="false">Chase1168_2025!C1429</f>
        <v>RESTORE.COM RESTORE.COM TX                   03/15</v>
      </c>
      <c r="D1429" s="7" t="n">
        <f aca="false">Chase1168_2025!D1429</f>
        <v>-199</v>
      </c>
      <c r="E1429" s="0" t="str">
        <f aca="false">Chase1168_2025!E1429</f>
        <v>DEBIT_CARD</v>
      </c>
      <c r="F1429" s="7" t="n">
        <f aca="false">Chase1168_2025!F1429</f>
        <v>23508.08</v>
      </c>
      <c r="G1429" s="0" t="str">
        <f aca="false">Chase1168_2025!G1429</f>
        <v>Personal - Health</v>
      </c>
      <c r="H1429" s="15" t="n">
        <f aca="false">IF($B1429="","",DATE(YEAR($B1429),MONTH($B1429),1))</f>
        <v>45717</v>
      </c>
      <c r="I1429" s="0" t="str">
        <f aca="false">IF($G1429="","Uncategorized — Review",IFERROR(INDEX(Mapping!$B:$B,MATCH($G1429,Mapping!$A:$A,0)),"Uncategorized — Review"))</f>
        <v>Personal - Health (incl. Ins.)</v>
      </c>
      <c r="J1429" s="0" t="str">
        <f aca="false">IF($G1429="","Uncategorized — Review",IFERROR(INDEX(Mapping!$C:$C,MATCH($G1429,Mapping!$A:$A,0)),"Uncategorized — Review"))</f>
        <v>Personal — Owner</v>
      </c>
    </row>
    <row r="1430" customFormat="false" ht="15" hidden="false" customHeight="false" outlineLevel="0" collapsed="false">
      <c r="A1430" s="0" t="str">
        <f aca="false">Chase1168_2025!A1430</f>
        <v>DEBIT</v>
      </c>
      <c r="B1430" s="14" t="n">
        <f aca="false">Chase1168_2025!B1430</f>
        <v>45733</v>
      </c>
      <c r="C1430" s="0" t="str">
        <f aca="false">Chase1168_2025!C1430</f>
        <v>PP*GOOGLE GOOGLE ONE 855-836-3987 CA         03/15</v>
      </c>
      <c r="D1430" s="7" t="n">
        <f aca="false">Chase1168_2025!D1430</f>
        <v>-1.99</v>
      </c>
      <c r="E1430" s="0" t="str">
        <f aca="false">Chase1168_2025!E1430</f>
        <v>DEBIT_CARD</v>
      </c>
      <c r="F1430" s="7" t="n">
        <f aca="false">Chase1168_2025!F1430</f>
        <v>23707.08</v>
      </c>
      <c r="G1430" s="0" t="str">
        <f aca="false">Chase1168_2025!G1430</f>
        <v>Personal - Subscriptions</v>
      </c>
      <c r="H1430" s="15" t="n">
        <f aca="false">IF($B1430="","",DATE(YEAR($B1430),MONTH($B1430),1))</f>
        <v>45717</v>
      </c>
      <c r="I1430" s="0" t="str">
        <f aca="false">IF($G1430="","Uncategorized — Review",IFERROR(INDEX(Mapping!$B:$B,MATCH($G1430,Mapping!$A:$A,0)),"Uncategorized — Review"))</f>
        <v>Personal - Subscriptions</v>
      </c>
      <c r="J1430" s="0" t="str">
        <f aca="false">IF($G1430="","Uncategorized — Review",IFERROR(INDEX(Mapping!$C:$C,MATCH($G1430,Mapping!$A:$A,0)),"Uncategorized — Review"))</f>
        <v>Personal — Owner</v>
      </c>
    </row>
    <row r="1431" customFormat="false" ht="15" hidden="false" customHeight="false" outlineLevel="0" collapsed="false">
      <c r="A1431" s="0" t="str">
        <f aca="false">Chase1168_2025!A1431</f>
        <v>DEBIT</v>
      </c>
      <c r="B1431" s="14" t="n">
        <f aca="false">Chase1168_2025!B1431</f>
        <v>45733</v>
      </c>
      <c r="C1431" s="0" t="str">
        <f aca="false">Chase1168_2025!C1431</f>
        <v>PP*APPLE.COM/BILL 800-275-2273 CA            03/14</v>
      </c>
      <c r="D1431" s="7" t="n">
        <f aca="false">Chase1168_2025!D1431</f>
        <v>-30</v>
      </c>
      <c r="E1431" s="0" t="str">
        <f aca="false">Chase1168_2025!E1431</f>
        <v>DEBIT_CARD</v>
      </c>
      <c r="F1431" s="7" t="n">
        <f aca="false">Chase1168_2025!F1431</f>
        <v>23709.07</v>
      </c>
      <c r="G1431" s="0" t="str">
        <f aca="false">Chase1168_2025!G1431</f>
        <v>Personal - Subscriptions</v>
      </c>
      <c r="H1431" s="15" t="n">
        <f aca="false">IF($B1431="","",DATE(YEAR($B1431),MONTH($B1431),1))</f>
        <v>45717</v>
      </c>
      <c r="I1431" s="0" t="str">
        <f aca="false">IF($G1431="","Uncategorized — Review",IFERROR(INDEX(Mapping!$B:$B,MATCH($G1431,Mapping!$A:$A,0)),"Uncategorized — Review"))</f>
        <v>Personal - Subscriptions</v>
      </c>
      <c r="J1431" s="0" t="str">
        <f aca="false">IF($G1431="","Uncategorized — Review",IFERROR(INDEX(Mapping!$C:$C,MATCH($G1431,Mapping!$A:$A,0)),"Uncategorized — Review"))</f>
        <v>Personal — Owner</v>
      </c>
    </row>
    <row r="1432" customFormat="false" ht="15" hidden="false" customHeight="false" outlineLevel="0" collapsed="false">
      <c r="A1432" s="0" t="str">
        <f aca="false">Chase1168_2025!A1432</f>
        <v>DEBIT</v>
      </c>
      <c r="B1432" s="14" t="n">
        <f aca="false">Chase1168_2025!B1432</f>
        <v>45733</v>
      </c>
      <c r="C1432" s="0" t="str">
        <f aca="false">Chase1168_2025!C1432</f>
        <v>PP*APPLE.COM/BILL 800-275-2273 CA            03/14</v>
      </c>
      <c r="D1432" s="7" t="n">
        <f aca="false">Chase1168_2025!D1432</f>
        <v>-10.99</v>
      </c>
      <c r="E1432" s="0" t="str">
        <f aca="false">Chase1168_2025!E1432</f>
        <v>DEBIT_CARD</v>
      </c>
      <c r="F1432" s="7" t="n">
        <f aca="false">Chase1168_2025!F1432</f>
        <v>23739.07</v>
      </c>
      <c r="G1432" s="0" t="str">
        <f aca="false">Chase1168_2025!G1432</f>
        <v>Personal - Subscriptions</v>
      </c>
      <c r="H1432" s="15" t="n">
        <f aca="false">IF($B1432="","",DATE(YEAR($B1432),MONTH($B1432),1))</f>
        <v>45717</v>
      </c>
      <c r="I1432" s="0" t="str">
        <f aca="false">IF($G1432="","Uncategorized — Review",IFERROR(INDEX(Mapping!$B:$B,MATCH($G1432,Mapping!$A:$A,0)),"Uncategorized — Review"))</f>
        <v>Personal - Subscriptions</v>
      </c>
      <c r="J1432" s="0" t="str">
        <f aca="false">IF($G1432="","Uncategorized — Review",IFERROR(INDEX(Mapping!$C:$C,MATCH($G1432,Mapping!$A:$A,0)),"Uncategorized — Review"))</f>
        <v>Personal — Owner</v>
      </c>
    </row>
    <row r="1433" customFormat="false" ht="15" hidden="false" customHeight="false" outlineLevel="0" collapsed="false">
      <c r="A1433" s="0" t="str">
        <f aca="false">Chase1168_2025!A1433</f>
        <v>DEBIT</v>
      </c>
      <c r="B1433" s="14" t="n">
        <f aca="false">Chase1168_2025!B1433</f>
        <v>45733</v>
      </c>
      <c r="C1433" s="0" t="str">
        <f aca="false">Chase1168_2025!C1433</f>
        <v>PAYPAL *EDBONE3000 402-935-7733 CA           03/15</v>
      </c>
      <c r="D1433" s="7" t="n">
        <f aca="false">Chase1168_2025!D1433</f>
        <v>-571.96</v>
      </c>
      <c r="E1433" s="0" t="str">
        <f aca="false">Chase1168_2025!E1433</f>
        <v>DEBIT_CARD</v>
      </c>
      <c r="F1433" s="7" t="n">
        <f aca="false">Chase1168_2025!F1433</f>
        <v>23750.06</v>
      </c>
      <c r="G1433" s="0" t="str">
        <f aca="false">Chase1168_2025!G1433</f>
        <v>Paypal - TBD</v>
      </c>
      <c r="H1433" s="15" t="n">
        <f aca="false">IF($B1433="","",DATE(YEAR($B1433),MONTH($B1433),1))</f>
        <v>45717</v>
      </c>
      <c r="I1433" s="0" t="str">
        <f aca="false">IF($G1433="","Uncategorized — Review",IFERROR(INDEX(Mapping!$B:$B,MATCH($G1433,Mapping!$A:$A,0)),"Uncategorized — Review"))</f>
        <v>Paypal - TBD</v>
      </c>
      <c r="J1433" s="0" t="str">
        <f aca="false">IF($G1433="","Uncategorized — Review",IFERROR(INDEX(Mapping!$C:$C,MATCH($G1433,Mapping!$A:$A,0)),"Uncategorized — Review"))</f>
        <v>Uncategorized — Review</v>
      </c>
    </row>
    <row r="1434" customFormat="false" ht="15" hidden="false" customHeight="false" outlineLevel="0" collapsed="false">
      <c r="A1434" s="0" t="str">
        <f aca="false">Chase1168_2025!A1434</f>
        <v>DEBIT</v>
      </c>
      <c r="B1434" s="14" t="n">
        <f aca="false">Chase1168_2025!B1434</f>
        <v>45733</v>
      </c>
      <c r="C1434" s="0" t="str">
        <f aca="false">Chase1168_2025!C1434</f>
        <v>PAYPAL *AVAST 541-554-6727 AZ                03/15</v>
      </c>
      <c r="D1434" s="7" t="n">
        <f aca="false">Chase1168_2025!D1434</f>
        <v>-65.99</v>
      </c>
      <c r="E1434" s="0" t="str">
        <f aca="false">Chase1168_2025!E1434</f>
        <v>DEBIT_CARD</v>
      </c>
      <c r="F1434" s="7" t="n">
        <f aca="false">Chase1168_2025!F1434</f>
        <v>24322.02</v>
      </c>
      <c r="G1434" s="0" t="str">
        <f aca="false">Chase1168_2025!G1434</f>
        <v>Paypal - TBD</v>
      </c>
      <c r="H1434" s="15" t="n">
        <f aca="false">IF($B1434="","",DATE(YEAR($B1434),MONTH($B1434),1))</f>
        <v>45717</v>
      </c>
      <c r="I1434" s="0" t="str">
        <f aca="false">IF($G1434="","Uncategorized — Review",IFERROR(INDEX(Mapping!$B:$B,MATCH($G1434,Mapping!$A:$A,0)),"Uncategorized — Review"))</f>
        <v>Paypal - TBD</v>
      </c>
      <c r="J1434" s="0" t="str">
        <f aca="false">IF($G1434="","Uncategorized — Review",IFERROR(INDEX(Mapping!$C:$C,MATCH($G1434,Mapping!$A:$A,0)),"Uncategorized — Review"))</f>
        <v>Uncategorized — Review</v>
      </c>
    </row>
    <row r="1435" customFormat="false" ht="15" hidden="false" customHeight="false" outlineLevel="0" collapsed="false">
      <c r="A1435" s="0" t="str">
        <f aca="false">Chase1168_2025!A1435</f>
        <v>DEBIT</v>
      </c>
      <c r="B1435" s="14" t="n">
        <f aca="false">Chase1168_2025!B1435</f>
        <v>45730</v>
      </c>
      <c r="C1435" s="0" t="str">
        <f aca="false">Chase1168_2025!C1435</f>
        <v>Zelle payment to jeff Fajardo JPM99b1cflzx</v>
      </c>
      <c r="D1435" s="7" t="n">
        <f aca="false">Chase1168_2025!D1435</f>
        <v>-500</v>
      </c>
      <c r="E1435" s="0" t="str">
        <f aca="false">Chase1168_2025!E1435</f>
        <v>CHASE_TO_PARTNERFI</v>
      </c>
      <c r="F1435" s="7" t="n">
        <f aca="false">Chase1168_2025!F1435</f>
        <v>24388.01</v>
      </c>
      <c r="G1435" s="0" t="str">
        <f aca="false">Chase1168_2025!G1435</f>
        <v>Zelle - Jeff Fajardo</v>
      </c>
      <c r="H1435" s="15" t="n">
        <f aca="false">IF($B1435="","",DATE(YEAR($B1435),MONTH($B1435),1))</f>
        <v>45717</v>
      </c>
      <c r="I1435" s="0" t="str">
        <f aca="false">IF($G1435="","Uncategorized — Review",IFERROR(INDEX(Mapping!$B:$B,MATCH($G1435,Mapping!$A:$A,0)),"Uncategorized — Review"))</f>
        <v>Zelle - Jeff Fajardo</v>
      </c>
      <c r="J1435" s="0" t="str">
        <f aca="false">IF($G1435="","Uncategorized — Review",IFERROR(INDEX(Mapping!$C:$C,MATCH($G1435,Mapping!$A:$A,0)),"Uncategorized — Review"))</f>
        <v>P2P Payments (Zelle/Venmo/PayPal)</v>
      </c>
    </row>
    <row r="1436" customFormat="false" ht="15" hidden="false" customHeight="false" outlineLevel="0" collapsed="false">
      <c r="A1436" s="0" t="str">
        <f aca="false">Chase1168_2025!A1436</f>
        <v>DEBIT</v>
      </c>
      <c r="B1436" s="14" t="n">
        <f aca="false">Chase1168_2025!B1436</f>
        <v>45730</v>
      </c>
      <c r="C1436" s="0" t="str">
        <f aca="false">Chase1168_2025!C1436</f>
        <v>Online Transfer to CHK ...1117 transaction#: 24055096297 03/14</v>
      </c>
      <c r="D1436" s="7" t="n">
        <f aca="false">Chase1168_2025!D1436</f>
        <v>-2000</v>
      </c>
      <c r="E1436" s="0" t="str">
        <f aca="false">Chase1168_2025!E1436</f>
        <v>ACCT_XFER</v>
      </c>
      <c r="F1436" s="7" t="n">
        <f aca="false">Chase1168_2025!F1436</f>
        <v>24888.01</v>
      </c>
      <c r="G1436" s="0" t="str">
        <f aca="false">Chase1168_2025!G1436</f>
        <v>Transfer to Angela Dunning</v>
      </c>
      <c r="H1436" s="15" t="n">
        <f aca="false">IF($B1436="","",DATE(YEAR($B1436),MONTH($B1436),1))</f>
        <v>45717</v>
      </c>
      <c r="I1436" s="0" t="str">
        <f aca="false">IF($G1436="","Uncategorized — Review",IFERROR(INDEX(Mapping!$B:$B,MATCH($G1436,Mapping!$A:$A,0)),"Uncategorized — Review"))</f>
        <v>Transfer to Angela Dunning</v>
      </c>
      <c r="J1436" s="0" t="str">
        <f aca="false">IF($G1436="","Uncategorized — Review",IFERROR(INDEX(Mapping!$C:$C,MATCH($G1436,Mapping!$A:$A,0)),"Uncategorized — Review"))</f>
        <v>Owner / Family Distributions</v>
      </c>
    </row>
    <row r="1437" customFormat="false" ht="15" hidden="false" customHeight="false" outlineLevel="0" collapsed="false">
      <c r="A1437" s="0" t="str">
        <f aca="false">Chase1168_2025!A1437</f>
        <v>DEBIT</v>
      </c>
      <c r="B1437" s="14" t="n">
        <f aca="false">Chase1168_2025!B1437</f>
        <v>45730</v>
      </c>
      <c r="C1437" s="0" t="str">
        <f aca="false">Chase1168_2025!C1437</f>
        <v>ORIG CO NAME:VENMO                  ORIG ID:3264681992 DESC DATE:250313 CO ENTRY DESCR:PAYMENT   SEC:WEB    TRACE#:091000016985298 EED:250314   IND ID:1040870361167                IND NAME:JUDD DUNNING TRN: 0736985298TC</v>
      </c>
      <c r="D1437" s="7" t="n">
        <f aca="false">Chase1168_2025!D1437</f>
        <v>-140</v>
      </c>
      <c r="E1437" s="0" t="str">
        <f aca="false">Chase1168_2025!E1437</f>
        <v>ACH_DEBIT</v>
      </c>
      <c r="F1437" s="7" t="n">
        <f aca="false">Chase1168_2025!F1437</f>
        <v>26888.01</v>
      </c>
      <c r="G1437" s="0" t="str">
        <f aca="false">Chase1168_2025!G1437</f>
        <v>Venmo</v>
      </c>
      <c r="H1437" s="15" t="n">
        <f aca="false">IF($B1437="","",DATE(YEAR($B1437),MONTH($B1437),1))</f>
        <v>45717</v>
      </c>
      <c r="I1437" s="0" t="str">
        <f aca="false">IF($G1437="","Uncategorized — Review",IFERROR(INDEX(Mapping!$B:$B,MATCH($G1437,Mapping!$A:$A,0)),"Uncategorized — Review"))</f>
        <v>Venmo</v>
      </c>
      <c r="J1437" s="0" t="str">
        <f aca="false">IF($G1437="","Uncategorized — Review",IFERROR(INDEX(Mapping!$C:$C,MATCH($G1437,Mapping!$A:$A,0)),"Uncategorized — Review"))</f>
        <v>P2P Payments (Zelle/Venmo/PayPal)</v>
      </c>
    </row>
    <row r="1438" customFormat="false" ht="15" hidden="false" customHeight="false" outlineLevel="0" collapsed="false">
      <c r="A1438" s="0" t="str">
        <f aca="false">Chase1168_2025!A1438</f>
        <v>DEBIT</v>
      </c>
      <c r="B1438" s="14" t="n">
        <f aca="false">Chase1168_2025!B1438</f>
        <v>45729</v>
      </c>
      <c r="C1438" s="0" t="str">
        <f aca="false">Chase1168_2025!C1438</f>
        <v>ONLINE FX INTERNATIONAL WIRE FEE</v>
      </c>
      <c r="D1438" s="7" t="n">
        <f aca="false">Chase1168_2025!D1438</f>
        <v>-5</v>
      </c>
      <c r="E1438" s="0" t="str">
        <f aca="false">Chase1168_2025!E1438</f>
        <v>FEE_TRANSACTION</v>
      </c>
      <c r="F1438" s="7" t="n">
        <f aca="false">Chase1168_2025!F1438</f>
        <v>27028.01</v>
      </c>
      <c r="G1438" s="0" t="str">
        <f aca="false">Chase1168_2025!G1438</f>
        <v>Andres Alarcon Payroll</v>
      </c>
      <c r="H1438" s="15" t="n">
        <f aca="false">IF($B1438="","",DATE(YEAR($B1438),MONTH($B1438),1))</f>
        <v>45717</v>
      </c>
      <c r="I1438" s="0" t="str">
        <f aca="false">IF($G1438="","Uncategorized — Review",IFERROR(INDEX(Mapping!$B:$B,MATCH($G1438,Mapping!$A:$A,0)),"Uncategorized — Review"))</f>
        <v>Andres Alarcon Payroll</v>
      </c>
      <c r="J1438" s="0" t="str">
        <f aca="false">IF($G1438="","Uncategorized — Review",IFERROR(INDEX(Mapping!$C:$C,MATCH($G1438,Mapping!$A:$A,0)),"Uncategorized — Review"))</f>
        <v>Payroll &amp; Contractors</v>
      </c>
    </row>
    <row r="1439" customFormat="false" ht="15" hidden="false" customHeight="false" outlineLevel="0" collapsed="false">
      <c r="A1439" s="0" t="str">
        <f aca="false">Chase1168_2025!A1439</f>
        <v>DEBIT</v>
      </c>
      <c r="B1439" s="14" t="n">
        <f aca="false">Chase1168_2025!B1439</f>
        <v>45729</v>
      </c>
      <c r="C1439" s="0" t="str">
        <f aca="false">Chase1168_2025!C1439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ENTS/OCMT/COP2975227,65/EXCH/3966.9 702/CNTR/91966058/INT/ANDRES_527 TRN: 3780200072RE 03/13</v>
      </c>
      <c r="D1439" s="7" t="n">
        <f aca="false">Chase1168_2025!D1439</f>
        <v>-750</v>
      </c>
      <c r="E1439" s="0" t="str">
        <f aca="false">Chase1168_2025!E1439</f>
        <v>WIRE_OUTGOING</v>
      </c>
      <c r="F1439" s="7" t="n">
        <f aca="false">Chase1168_2025!F1439</f>
        <v>27033.01</v>
      </c>
      <c r="G1439" s="0" t="str">
        <f aca="false">Chase1168_2025!G1439</f>
        <v>Andres Alarcon Payroll</v>
      </c>
      <c r="H1439" s="15" t="n">
        <f aca="false">IF($B1439="","",DATE(YEAR($B1439),MONTH($B1439),1))</f>
        <v>45717</v>
      </c>
      <c r="I1439" s="0" t="str">
        <f aca="false">IF($G1439="","Uncategorized — Review",IFERROR(INDEX(Mapping!$B:$B,MATCH($G1439,Mapping!$A:$A,0)),"Uncategorized — Review"))</f>
        <v>Andres Alarcon Payroll</v>
      </c>
      <c r="J1439" s="0" t="str">
        <f aca="false">IF($G1439="","Uncategorized — Review",IFERROR(INDEX(Mapping!$C:$C,MATCH($G1439,Mapping!$A:$A,0)),"Uncategorized — Review"))</f>
        <v>Payroll &amp; Contractors</v>
      </c>
    </row>
    <row r="1440" customFormat="false" ht="15" hidden="false" customHeight="false" outlineLevel="0" collapsed="false">
      <c r="A1440" s="0" t="str">
        <f aca="false">Chase1168_2025!A1440</f>
        <v>DEBIT</v>
      </c>
      <c r="B1440" s="14" t="n">
        <f aca="false">Chase1168_2025!B1440</f>
        <v>45729</v>
      </c>
      <c r="C1440" s="0" t="str">
        <f aca="false">Chase1168_2025!C1440</f>
        <v>ORIG CO NAME:VENMO                  ORIG ID:3264681992 DESC DATE:250312 CO ENTRY DESCR:PAYMENT   SEC:WEB    TRACE#:091000012276784 EED:250313   IND ID:1040846820035                IND NAME:JUDD DUNNING TRN: 0722276784TC</v>
      </c>
      <c r="D1440" s="7" t="n">
        <f aca="false">Chase1168_2025!D1440</f>
        <v>-125</v>
      </c>
      <c r="E1440" s="0" t="str">
        <f aca="false">Chase1168_2025!E1440</f>
        <v>ACH_DEBIT</v>
      </c>
      <c r="F1440" s="7" t="n">
        <f aca="false">Chase1168_2025!F1440</f>
        <v>27783.01</v>
      </c>
      <c r="G1440" s="0" t="str">
        <f aca="false">Chase1168_2025!G1440</f>
        <v>Venmo</v>
      </c>
      <c r="H1440" s="15" t="n">
        <f aca="false">IF($B1440="","",DATE(YEAR($B1440),MONTH($B1440),1))</f>
        <v>45717</v>
      </c>
      <c r="I1440" s="0" t="str">
        <f aca="false">IF($G1440="","Uncategorized — Review",IFERROR(INDEX(Mapping!$B:$B,MATCH($G1440,Mapping!$A:$A,0)),"Uncategorized — Review"))</f>
        <v>Venmo</v>
      </c>
      <c r="J1440" s="0" t="str">
        <f aca="false">IF($G1440="","Uncategorized — Review",IFERROR(INDEX(Mapping!$C:$C,MATCH($G1440,Mapping!$A:$A,0)),"Uncategorized — Review"))</f>
        <v>P2P Payments (Zelle/Venmo/PayPal)</v>
      </c>
    </row>
    <row r="1441" customFormat="false" ht="15" hidden="false" customHeight="false" outlineLevel="0" collapsed="false">
      <c r="A1441" s="0" t="str">
        <f aca="false">Chase1168_2025!A1441</f>
        <v>DEBIT</v>
      </c>
      <c r="B1441" s="14" t="n">
        <f aca="false">Chase1168_2025!B1441</f>
        <v>45729</v>
      </c>
      <c r="C1441" s="0" t="str">
        <f aca="false">Chase1168_2025!C1441</f>
        <v>PAYPAL *HULU 877-801-5441 CA                 03/12</v>
      </c>
      <c r="D1441" s="7" t="n">
        <f aca="false">Chase1168_2025!D1441</f>
        <v>-18.99</v>
      </c>
      <c r="E1441" s="0" t="str">
        <f aca="false">Chase1168_2025!E1441</f>
        <v>DEBIT_CARD</v>
      </c>
      <c r="F1441" s="7" t="n">
        <f aca="false">Chase1168_2025!F1441</f>
        <v>27908.01</v>
      </c>
      <c r="G1441" s="0" t="str">
        <f aca="false">Chase1168_2025!G1441</f>
        <v>Personal - Subscriptions</v>
      </c>
      <c r="H1441" s="15" t="n">
        <f aca="false">IF($B1441="","",DATE(YEAR($B1441),MONTH($B1441),1))</f>
        <v>45717</v>
      </c>
      <c r="I1441" s="0" t="str">
        <f aca="false">IF($G1441="","Uncategorized — Review",IFERROR(INDEX(Mapping!$B:$B,MATCH($G1441,Mapping!$A:$A,0)),"Uncategorized — Review"))</f>
        <v>Personal - Subscriptions</v>
      </c>
      <c r="J1441" s="0" t="str">
        <f aca="false">IF($G1441="","Uncategorized — Review",IFERROR(INDEX(Mapping!$C:$C,MATCH($G1441,Mapping!$A:$A,0)),"Uncategorized — Review"))</f>
        <v>Personal — Owner</v>
      </c>
    </row>
    <row r="1442" customFormat="false" ht="15" hidden="false" customHeight="false" outlineLevel="0" collapsed="false">
      <c r="A1442" s="0" t="str">
        <f aca="false">Chase1168_2025!A1442</f>
        <v>DEBIT</v>
      </c>
      <c r="B1442" s="14" t="n">
        <f aca="false">Chase1168_2025!B1442</f>
        <v>45728</v>
      </c>
      <c r="C1442" s="0" t="str">
        <f aca="false">Chase1168_2025!C1442</f>
        <v>PP*SPOTIFYUSAI 203-318-9708 NY               03/12</v>
      </c>
      <c r="D1442" s="7" t="n">
        <f aca="false">Chase1168_2025!D1442</f>
        <v>-11.99</v>
      </c>
      <c r="E1442" s="0" t="str">
        <f aca="false">Chase1168_2025!E1442</f>
        <v>DEBIT_CARD</v>
      </c>
      <c r="F1442" s="7" t="n">
        <f aca="false">Chase1168_2025!F1442</f>
        <v>27927</v>
      </c>
      <c r="G1442" s="0" t="str">
        <f aca="false">Chase1168_2025!G1442</f>
        <v>Personal - Subscriptions</v>
      </c>
      <c r="H1442" s="15" t="n">
        <f aca="false">IF($B1442="","",DATE(YEAR($B1442),MONTH($B1442),1))</f>
        <v>45717</v>
      </c>
      <c r="I1442" s="0" t="str">
        <f aca="false">IF($G1442="","Uncategorized — Review",IFERROR(INDEX(Mapping!$B:$B,MATCH($G1442,Mapping!$A:$A,0)),"Uncategorized — Review"))</f>
        <v>Personal - Subscriptions</v>
      </c>
      <c r="J1442" s="0" t="str">
        <f aca="false">IF($G1442="","Uncategorized — Review",IFERROR(INDEX(Mapping!$C:$C,MATCH($G1442,Mapping!$A:$A,0)),"Uncategorized — Review"))</f>
        <v>Personal — Owner</v>
      </c>
    </row>
    <row r="1443" customFormat="false" ht="15" hidden="false" customHeight="false" outlineLevel="0" collapsed="false">
      <c r="A1443" s="0" t="str">
        <f aca="false">Chase1168_2025!A1443</f>
        <v>CREDIT</v>
      </c>
      <c r="B1443" s="14" t="n">
        <f aca="false">Chase1168_2025!B1443</f>
        <v>45728</v>
      </c>
      <c r="C1443" s="0" t="str">
        <f aca="false">Chase1168_2025!C1443</f>
        <v>Online Transfer from CHK ...9335 transaction#: 24030865047</v>
      </c>
      <c r="D1443" s="7" t="n">
        <f aca="false">Chase1168_2025!D1443</f>
        <v>20000</v>
      </c>
      <c r="E1443" s="0" t="str">
        <f aca="false">Chase1168_2025!E1443</f>
        <v>ACCT_XFER</v>
      </c>
      <c r="F1443" s="7" t="n">
        <f aca="false">Chase1168_2025!F1443</f>
        <v>27938.99</v>
      </c>
      <c r="G1443" s="0" t="str">
        <f aca="false">Chase1168_2025!G1443</f>
        <v>Transfer From Poseidon Asset Group</v>
      </c>
      <c r="H1443" s="15" t="n">
        <f aca="false">IF($B1443="","",DATE(YEAR($B1443),MONTH($B1443),1))</f>
        <v>45717</v>
      </c>
      <c r="I1443" s="0" t="str">
        <f aca="false">IF($G1443="","Uncategorized — Review",IFERROR(INDEX(Mapping!$B:$B,MATCH($G1443,Mapping!$A:$A,0)),"Uncategorized — Review"))</f>
        <v>Transfer From Poseidon Asset Group</v>
      </c>
      <c r="J1443" s="0" t="str">
        <f aca="false">IF($G1443="","Uncategorized — Review",IFERROR(INDEX(Mapping!$C:$C,MATCH($G1443,Mapping!$A:$A,0)),"Uncategorized — Review"))</f>
        <v>Poseidon Asset Group</v>
      </c>
    </row>
    <row r="1444" customFormat="false" ht="15" hidden="false" customHeight="false" outlineLevel="0" collapsed="false">
      <c r="A1444" s="0" t="str">
        <f aca="false">Chase1168_2025!A1444</f>
        <v>DEBIT</v>
      </c>
      <c r="B1444" s="14" t="n">
        <f aca="false">Chase1168_2025!B1444</f>
        <v>45727</v>
      </c>
      <c r="C1444" s="0" t="str">
        <f aca="false">Chase1168_2025!C1444</f>
        <v>ORIG CO NAME:GM Financial           ORIG ID:I522190781 DESC DATE:250311 CO ENTRY DESCR:GMF Pymt  SEC:PPD    TRACE#:091000019302593 EED:250311   IND ID:                             IND NAME:ANGELA DUNNING TRN: 0709302593TC</v>
      </c>
      <c r="D1444" s="7" t="n">
        <f aca="false">Chase1168_2025!D1444</f>
        <v>-1249.96</v>
      </c>
      <c r="E1444" s="0" t="str">
        <f aca="false">Chase1168_2025!E1444</f>
        <v>ACH_DEBIT</v>
      </c>
      <c r="F1444" s="7" t="n">
        <f aca="false">Chase1168_2025!F1444</f>
        <v>7938.99</v>
      </c>
      <c r="G1444" s="0" t="str">
        <f aca="false">Chase1168_2025!G1444</f>
        <v>Personal - Car</v>
      </c>
      <c r="H1444" s="15" t="n">
        <f aca="false">IF($B1444="","",DATE(YEAR($B1444),MONTH($B1444),1))</f>
        <v>45717</v>
      </c>
      <c r="I1444" s="0" t="str">
        <f aca="false">IF($G1444="","Uncategorized — Review",IFERROR(INDEX(Mapping!$B:$B,MATCH($G1444,Mapping!$A:$A,0)),"Uncategorized — Review"))</f>
        <v>Personal - Car &amp; Auto</v>
      </c>
      <c r="J1444" s="0" t="str">
        <f aca="false">IF($G1444="","Uncategorized — Review",IFERROR(INDEX(Mapping!$C:$C,MATCH($G1444,Mapping!$A:$A,0)),"Uncategorized — Review"))</f>
        <v>Personal — Owner</v>
      </c>
    </row>
    <row r="1445" customFormat="false" ht="15" hidden="false" customHeight="false" outlineLevel="0" collapsed="false">
      <c r="A1445" s="0" t="str">
        <f aca="false">Chase1168_2025!A1445</f>
        <v>DEBIT</v>
      </c>
      <c r="B1445" s="14" t="n">
        <f aca="false">Chase1168_2025!B1445</f>
        <v>45727</v>
      </c>
      <c r="C1445" s="0" t="str">
        <f aca="false">Chase1168_2025!C1445</f>
        <v>Online Transfer to CHK ...1117 transaction#: 24013494894 03/11</v>
      </c>
      <c r="D1445" s="7" t="n">
        <f aca="false">Chase1168_2025!D1445</f>
        <v>-2000</v>
      </c>
      <c r="E1445" s="0" t="str">
        <f aca="false">Chase1168_2025!E1445</f>
        <v>ACCT_XFER</v>
      </c>
      <c r="F1445" s="7" t="n">
        <f aca="false">Chase1168_2025!F1445</f>
        <v>9188.95</v>
      </c>
      <c r="G1445" s="0" t="str">
        <f aca="false">Chase1168_2025!G1445</f>
        <v>Transfer to Angela Dunning</v>
      </c>
      <c r="H1445" s="15" t="n">
        <f aca="false">IF($B1445="","",DATE(YEAR($B1445),MONTH($B1445),1))</f>
        <v>45717</v>
      </c>
      <c r="I1445" s="0" t="str">
        <f aca="false">IF($G1445="","Uncategorized — Review",IFERROR(INDEX(Mapping!$B:$B,MATCH($G1445,Mapping!$A:$A,0)),"Uncategorized — Review"))</f>
        <v>Transfer to Angela Dunning</v>
      </c>
      <c r="J1445" s="0" t="str">
        <f aca="false">IF($G1445="","Uncategorized — Review",IFERROR(INDEX(Mapping!$C:$C,MATCH($G1445,Mapping!$A:$A,0)),"Uncategorized — Review"))</f>
        <v>Owner / Family Distributions</v>
      </c>
    </row>
    <row r="1446" customFormat="false" ht="15" hidden="false" customHeight="false" outlineLevel="0" collapsed="false">
      <c r="A1446" s="0" t="str">
        <f aca="false">Chase1168_2025!A1446</f>
        <v>DEBIT</v>
      </c>
      <c r="B1446" s="14" t="n">
        <f aca="false">Chase1168_2025!B1446</f>
        <v>45727</v>
      </c>
      <c r="C1446" s="0" t="str">
        <f aca="false">Chase1168_2025!C1446</f>
        <v>UPWORK * -788016903 866-262-4478 CA          03/10</v>
      </c>
      <c r="D1446" s="7" t="n">
        <f aca="false">Chase1168_2025!D1446</f>
        <v>-1496.25</v>
      </c>
      <c r="E1446" s="0" t="str">
        <f aca="false">Chase1168_2025!E1446</f>
        <v>DEBIT_CARD</v>
      </c>
      <c r="F1446" s="7" t="n">
        <f aca="false">Chase1168_2025!F1446</f>
        <v>11188.95</v>
      </c>
      <c r="G1446" s="0" t="str">
        <f aca="false">Chase1168_2025!G1446</f>
        <v>Upwork - Sergei M.</v>
      </c>
      <c r="H1446" s="15" t="n">
        <f aca="false">IF($B1446="","",DATE(YEAR($B1446),MONTH($B1446),1))</f>
        <v>45717</v>
      </c>
      <c r="I1446" s="0" t="str">
        <f aca="false">IF($G1446="","Uncategorized — Review",IFERROR(INDEX(Mapping!$B:$B,MATCH($G1446,Mapping!$A:$A,0)),"Uncategorized — Review"))</f>
        <v>Upwork - Sergei M.</v>
      </c>
      <c r="J1446" s="0" t="str">
        <f aca="false">IF($G1446="","Uncategorized — Review",IFERROR(INDEX(Mapping!$C:$C,MATCH($G1446,Mapping!$A:$A,0)),"Uncategorized — Review"))</f>
        <v>Payroll &amp; Contractors</v>
      </c>
    </row>
    <row r="1447" customFormat="false" ht="15" hidden="false" customHeight="false" outlineLevel="0" collapsed="false">
      <c r="A1447" s="0" t="str">
        <f aca="false">Chase1168_2025!A1447</f>
        <v>DEBIT</v>
      </c>
      <c r="B1447" s="14" t="n">
        <f aca="false">Chase1168_2025!B1447</f>
        <v>45727</v>
      </c>
      <c r="C1447" s="0" t="str">
        <f aca="false">Chase1168_2025!C1447</f>
        <v>PP*APPLE.COM/BILL 800-275-2273 CA            03/10</v>
      </c>
      <c r="D1447" s="7" t="n">
        <f aca="false">Chase1168_2025!D1447</f>
        <v>-17.99</v>
      </c>
      <c r="E1447" s="0" t="str">
        <f aca="false">Chase1168_2025!E1447</f>
        <v>DEBIT_CARD</v>
      </c>
      <c r="F1447" s="7" t="n">
        <f aca="false">Chase1168_2025!F1447</f>
        <v>12685.2</v>
      </c>
      <c r="G1447" s="0" t="str">
        <f aca="false">Chase1168_2025!G1447</f>
        <v>Personal - Subscriptions</v>
      </c>
      <c r="H1447" s="15" t="n">
        <f aca="false">IF($B1447="","",DATE(YEAR($B1447),MONTH($B1447),1))</f>
        <v>45717</v>
      </c>
      <c r="I1447" s="0" t="str">
        <f aca="false">IF($G1447="","Uncategorized — Review",IFERROR(INDEX(Mapping!$B:$B,MATCH($G1447,Mapping!$A:$A,0)),"Uncategorized — Review"))</f>
        <v>Personal - Subscriptions</v>
      </c>
      <c r="J1447" s="0" t="str">
        <f aca="false">IF($G1447="","Uncategorized — Review",IFERROR(INDEX(Mapping!$C:$C,MATCH($G1447,Mapping!$A:$A,0)),"Uncategorized — Review"))</f>
        <v>Personal — Owner</v>
      </c>
    </row>
    <row r="1448" customFormat="false" ht="15" hidden="false" customHeight="false" outlineLevel="0" collapsed="false">
      <c r="A1448" s="0" t="str">
        <f aca="false">Chase1168_2025!A1448</f>
        <v>DEBIT</v>
      </c>
      <c r="B1448" s="14" t="n">
        <f aca="false">Chase1168_2025!B1448</f>
        <v>45726</v>
      </c>
      <c r="C1448" s="0" t="str">
        <f aca="false">Chase1168_2025!C1448</f>
        <v>Online Transfer to CHK ...6975 transaction#: 24012816426 03/10</v>
      </c>
      <c r="D1448" s="7" t="n">
        <f aca="false">Chase1168_2025!D1448</f>
        <v>-500</v>
      </c>
      <c r="E1448" s="0" t="str">
        <f aca="false">Chase1168_2025!E1448</f>
        <v>ACCT_XFER</v>
      </c>
      <c r="F1448" s="7" t="n">
        <f aca="false">Chase1168_2025!F1448</f>
        <v>12703.19</v>
      </c>
      <c r="G1448" s="0" t="str">
        <f aca="false">Chase1168_2025!G1448</f>
        <v>Transfer to Ava Perez-Dunning</v>
      </c>
      <c r="H1448" s="15" t="n">
        <f aca="false">IF($B1448="","",DATE(YEAR($B1448),MONTH($B1448),1))</f>
        <v>45717</v>
      </c>
      <c r="I1448" s="0" t="str">
        <f aca="false">IF($G1448="","Uncategorized — Review",IFERROR(INDEX(Mapping!$B:$B,MATCH($G1448,Mapping!$A:$A,0)),"Uncategorized — Review"))</f>
        <v>Transfer to Ava Perez-Dunning</v>
      </c>
      <c r="J1448" s="0" t="str">
        <f aca="false">IF($G1448="","Uncategorized — Review",IFERROR(INDEX(Mapping!$C:$C,MATCH($G1448,Mapping!$A:$A,0)),"Uncategorized — Review"))</f>
        <v>Owner / Family Distributions</v>
      </c>
    </row>
    <row r="1449" customFormat="false" ht="15" hidden="false" customHeight="false" outlineLevel="0" collapsed="false">
      <c r="A1449" s="0" t="str">
        <f aca="false">Chase1168_2025!A1449</f>
        <v>DEBIT</v>
      </c>
      <c r="B1449" s="14" t="n">
        <f aca="false">Chase1168_2025!B1449</f>
        <v>45726</v>
      </c>
      <c r="C1449" s="0" t="str">
        <f aca="false">Chase1168_2025!C1449</f>
        <v>KOHAN &amp; KOHAN ENTERPRI SEAL BEACH CA 037200  03/10</v>
      </c>
      <c r="D1449" s="7" t="n">
        <f aca="false">Chase1168_2025!D1449</f>
        <v>-62.69</v>
      </c>
      <c r="E1449" s="0" t="str">
        <f aca="false">Chase1168_2025!E1449</f>
        <v>DEBIT_CARD</v>
      </c>
      <c r="F1449" s="7" t="n">
        <f aca="false">Chase1168_2025!F1449</f>
        <v>13203.19</v>
      </c>
      <c r="G1449" s="0" t="str">
        <f aca="false">Chase1168_2025!G1449</f>
        <v>Personal - Car</v>
      </c>
      <c r="H1449" s="15" t="n">
        <f aca="false">IF($B1449="","",DATE(YEAR($B1449),MONTH($B1449),1))</f>
        <v>45717</v>
      </c>
      <c r="I1449" s="0" t="str">
        <f aca="false">IF($G1449="","Uncategorized — Review",IFERROR(INDEX(Mapping!$B:$B,MATCH($G1449,Mapping!$A:$A,0)),"Uncategorized — Review"))</f>
        <v>Personal - Car &amp; Auto</v>
      </c>
      <c r="J1449" s="0" t="str">
        <f aca="false">IF($G1449="","Uncategorized — Review",IFERROR(INDEX(Mapping!$C:$C,MATCH($G1449,Mapping!$A:$A,0)),"Uncategorized — Review"))</f>
        <v>Personal — Owner</v>
      </c>
    </row>
    <row r="1450" customFormat="false" ht="15" hidden="false" customHeight="false" outlineLevel="0" collapsed="false">
      <c r="A1450" s="0" t="str">
        <f aca="false">Chase1168_2025!A1450</f>
        <v>DEBIT</v>
      </c>
      <c r="B1450" s="14" t="n">
        <f aca="false">Chase1168_2025!B1450</f>
        <v>45726</v>
      </c>
      <c r="C1450" s="0" t="str">
        <f aca="false">Chase1168_2025!C1450</f>
        <v>KOHAN &amp; KOHAN ENTERPRI SEAL BEACH CA 050764  03/10</v>
      </c>
      <c r="D1450" s="7" t="n">
        <f aca="false">Chase1168_2025!D1450</f>
        <v>-3.54</v>
      </c>
      <c r="E1450" s="0" t="str">
        <f aca="false">Chase1168_2025!E1450</f>
        <v>DEBIT_CARD</v>
      </c>
      <c r="F1450" s="7" t="n">
        <f aca="false">Chase1168_2025!F1450</f>
        <v>13265.88</v>
      </c>
      <c r="G1450" s="0" t="str">
        <f aca="false">Chase1168_2025!G1450</f>
        <v>Personal - Car</v>
      </c>
      <c r="H1450" s="15" t="n">
        <f aca="false">IF($B1450="","",DATE(YEAR($B1450),MONTH($B1450),1))</f>
        <v>45717</v>
      </c>
      <c r="I1450" s="0" t="str">
        <f aca="false">IF($G1450="","Uncategorized — Review",IFERROR(INDEX(Mapping!$B:$B,MATCH($G1450,Mapping!$A:$A,0)),"Uncategorized — Review"))</f>
        <v>Personal - Car &amp; Auto</v>
      </c>
      <c r="J1450" s="0" t="str">
        <f aca="false">IF($G1450="","Uncategorized — Review",IFERROR(INDEX(Mapping!$C:$C,MATCH($G1450,Mapping!$A:$A,0)),"Uncategorized — Review"))</f>
        <v>Personal — Owner</v>
      </c>
    </row>
    <row r="1451" customFormat="false" ht="15" hidden="false" customHeight="false" outlineLevel="0" collapsed="false">
      <c r="A1451" s="0" t="str">
        <f aca="false">Chase1168_2025!A1451</f>
        <v>DEBIT</v>
      </c>
      <c r="B1451" s="14" t="n">
        <f aca="false">Chase1168_2025!B1451</f>
        <v>45726</v>
      </c>
      <c r="C1451" s="0" t="str">
        <f aca="false">Chase1168_2025!C1451</f>
        <v>Online Transfer to CHK ...1117 transaction#: 24006838713 03/10</v>
      </c>
      <c r="D1451" s="7" t="n">
        <f aca="false">Chase1168_2025!D1451</f>
        <v>-2000</v>
      </c>
      <c r="E1451" s="0" t="str">
        <f aca="false">Chase1168_2025!E1451</f>
        <v>ACCT_XFER</v>
      </c>
      <c r="F1451" s="7" t="n">
        <f aca="false">Chase1168_2025!F1451</f>
        <v>13269.42</v>
      </c>
      <c r="G1451" s="0" t="str">
        <f aca="false">Chase1168_2025!G1451</f>
        <v>Transfer to Angela Dunning</v>
      </c>
      <c r="H1451" s="15" t="n">
        <f aca="false">IF($B1451="","",DATE(YEAR($B1451),MONTH($B1451),1))</f>
        <v>45717</v>
      </c>
      <c r="I1451" s="0" t="str">
        <f aca="false">IF($G1451="","Uncategorized — Review",IFERROR(INDEX(Mapping!$B:$B,MATCH($G1451,Mapping!$A:$A,0)),"Uncategorized — Review"))</f>
        <v>Transfer to Angela Dunning</v>
      </c>
      <c r="J1451" s="0" t="str">
        <f aca="false">IF($G1451="","Uncategorized — Review",IFERROR(INDEX(Mapping!$C:$C,MATCH($G1451,Mapping!$A:$A,0)),"Uncategorized — Review"))</f>
        <v>Owner / Family Distributions</v>
      </c>
    </row>
    <row r="1452" customFormat="false" ht="15" hidden="false" customHeight="false" outlineLevel="0" collapsed="false">
      <c r="A1452" s="0" t="str">
        <f aca="false">Chase1168_2025!A1452</f>
        <v>DEBIT</v>
      </c>
      <c r="B1452" s="14" t="n">
        <f aca="false">Chase1168_2025!B1452</f>
        <v>45726</v>
      </c>
      <c r="C1452" s="0" t="str">
        <f aca="false">Chase1168_2025!C1452</f>
        <v>HLU*HULUPLUS hulu.com/bill CA                03/10</v>
      </c>
      <c r="D1452" s="7" t="n">
        <f aca="false">Chase1168_2025!D1452</f>
        <v>-53.97</v>
      </c>
      <c r="E1452" s="0" t="str">
        <f aca="false">Chase1168_2025!E1452</f>
        <v>DEBIT_CARD</v>
      </c>
      <c r="F1452" s="7" t="n">
        <f aca="false">Chase1168_2025!F1452</f>
        <v>15269.42</v>
      </c>
      <c r="G1452" s="0" t="str">
        <f aca="false">Chase1168_2025!G1452</f>
        <v>Personal - Subscriptions</v>
      </c>
      <c r="H1452" s="15" t="n">
        <f aca="false">IF($B1452="","",DATE(YEAR($B1452),MONTH($B1452),1))</f>
        <v>45717</v>
      </c>
      <c r="I1452" s="0" t="str">
        <f aca="false">IF($G1452="","Uncategorized — Review",IFERROR(INDEX(Mapping!$B:$B,MATCH($G1452,Mapping!$A:$A,0)),"Uncategorized — Review"))</f>
        <v>Personal - Subscriptions</v>
      </c>
      <c r="J1452" s="0" t="str">
        <f aca="false">IF($G1452="","Uncategorized — Review",IFERROR(INDEX(Mapping!$C:$C,MATCH($G1452,Mapping!$A:$A,0)),"Uncategorized — Review"))</f>
        <v>Personal — Owner</v>
      </c>
    </row>
    <row r="1453" customFormat="false" ht="15" hidden="false" customHeight="false" outlineLevel="0" collapsed="false">
      <c r="A1453" s="0" t="str">
        <f aca="false">Chase1168_2025!A1453</f>
        <v>DEBIT</v>
      </c>
      <c r="B1453" s="14" t="n">
        <f aca="false">Chase1168_2025!B1453</f>
        <v>45726</v>
      </c>
      <c r="C1453" s="0" t="str">
        <f aca="false">Chase1168_2025!C1453</f>
        <v>ORIG CO NAME:VENMO                  ORIG ID:3264681992 DESC DATE:250309 CO ENTRY DESCR:PAYMENT   SEC:WEB    TRACE#:091000014613719 EED:250310   IND ID:1040769949814                IND NAME:JUDD DUNNING TRN: 0694613719TC</v>
      </c>
      <c r="D1453" s="7" t="n">
        <f aca="false">Chase1168_2025!D1453</f>
        <v>-38.25</v>
      </c>
      <c r="E1453" s="0" t="str">
        <f aca="false">Chase1168_2025!E1453</f>
        <v>ACH_DEBIT</v>
      </c>
      <c r="F1453" s="7" t="n">
        <f aca="false">Chase1168_2025!F1453</f>
        <v>15323.39</v>
      </c>
      <c r="G1453" s="0" t="str">
        <f aca="false">Chase1168_2025!G1453</f>
        <v>Venmo</v>
      </c>
      <c r="H1453" s="15" t="n">
        <f aca="false">IF($B1453="","",DATE(YEAR($B1453),MONTH($B1453),1))</f>
        <v>45717</v>
      </c>
      <c r="I1453" s="0" t="str">
        <f aca="false">IF($G1453="","Uncategorized — Review",IFERROR(INDEX(Mapping!$B:$B,MATCH($G1453,Mapping!$A:$A,0)),"Uncategorized — Review"))</f>
        <v>Venmo</v>
      </c>
      <c r="J1453" s="0" t="str">
        <f aca="false">IF($G1453="","Uncategorized — Review",IFERROR(INDEX(Mapping!$C:$C,MATCH($G1453,Mapping!$A:$A,0)),"Uncategorized — Review"))</f>
        <v>P2P Payments (Zelle/Venmo/PayPal)</v>
      </c>
    </row>
    <row r="1454" customFormat="false" ht="15" hidden="false" customHeight="false" outlineLevel="0" collapsed="false">
      <c r="A1454" s="0" t="str">
        <f aca="false">Chase1168_2025!A1454</f>
        <v>DEBIT</v>
      </c>
      <c r="B1454" s="14" t="n">
        <f aca="false">Chase1168_2025!B1454</f>
        <v>45726</v>
      </c>
      <c r="C1454" s="0" t="str">
        <f aca="false">Chase1168_2025!C1454</f>
        <v>ORIG CO NAME:VENMO                  ORIG ID:3264681992 DESC DATE:250307 CO ENTRY DESCR:PAYMENT   SEC:WEB    TRACE#:091000014937688 EED:250310   IND ID:1040742281324                IND NAME:JUDD DUNNING TRN: 0694937688TC</v>
      </c>
      <c r="D1454" s="7" t="n">
        <f aca="false">Chase1168_2025!D1454</f>
        <v>-150</v>
      </c>
      <c r="E1454" s="0" t="str">
        <f aca="false">Chase1168_2025!E1454</f>
        <v>ACH_DEBIT</v>
      </c>
      <c r="F1454" s="7" t="n">
        <f aca="false">Chase1168_2025!F1454</f>
        <v>15361.64</v>
      </c>
      <c r="G1454" s="0" t="str">
        <f aca="false">Chase1168_2025!G1454</f>
        <v>Venmo</v>
      </c>
      <c r="H1454" s="15" t="n">
        <f aca="false">IF($B1454="","",DATE(YEAR($B1454),MONTH($B1454),1))</f>
        <v>45717</v>
      </c>
      <c r="I1454" s="0" t="str">
        <f aca="false">IF($G1454="","Uncategorized — Review",IFERROR(INDEX(Mapping!$B:$B,MATCH($G1454,Mapping!$A:$A,0)),"Uncategorized — Review"))</f>
        <v>Venmo</v>
      </c>
      <c r="J1454" s="0" t="str">
        <f aca="false">IF($G1454="","Uncategorized — Review",IFERROR(INDEX(Mapping!$C:$C,MATCH($G1454,Mapping!$A:$A,0)),"Uncategorized — Review"))</f>
        <v>P2P Payments (Zelle/Venmo/PayPal)</v>
      </c>
    </row>
    <row r="1455" customFormat="false" ht="15" hidden="false" customHeight="false" outlineLevel="0" collapsed="false">
      <c r="A1455" s="0" t="str">
        <f aca="false">Chase1168_2025!A1455</f>
        <v>DEBIT</v>
      </c>
      <c r="B1455" s="14" t="n">
        <f aca="false">Chase1168_2025!B1455</f>
        <v>45726</v>
      </c>
      <c r="C1455" s="0" t="str">
        <f aca="false">Chase1168_2025!C1455</f>
        <v>Zelle payment to estela martinez JPM99b0vbxgj</v>
      </c>
      <c r="D1455" s="7" t="n">
        <f aca="false">Chase1168_2025!D1455</f>
        <v>-800</v>
      </c>
      <c r="E1455" s="0" t="str">
        <f aca="false">Chase1168_2025!E1455</f>
        <v>CHASE_TO_PARTNERFI</v>
      </c>
      <c r="F1455" s="7" t="n">
        <f aca="false">Chase1168_2025!F1455</f>
        <v>15511.64</v>
      </c>
      <c r="G1455" s="0" t="str">
        <f aca="false">Chase1168_2025!G1455</f>
        <v>Zelle - Estella M.</v>
      </c>
      <c r="H1455" s="15" t="n">
        <f aca="false">IF($B1455="","",DATE(YEAR($B1455),MONTH($B1455),1))</f>
        <v>45717</v>
      </c>
      <c r="I1455" s="0" t="str">
        <f aca="false">IF($G1455="","Uncategorized — Review",IFERROR(INDEX(Mapping!$B:$B,MATCH($G1455,Mapping!$A:$A,0)),"Uncategorized — Review"))</f>
        <v>Zelle - Estella M.</v>
      </c>
      <c r="J1455" s="0" t="str">
        <f aca="false">IF($G1455="","Uncategorized — Review",IFERROR(INDEX(Mapping!$C:$C,MATCH($G1455,Mapping!$A:$A,0)),"Uncategorized — Review"))</f>
        <v>P2P Payments (Zelle/Venmo/PayPal)</v>
      </c>
    </row>
    <row r="1456" customFormat="false" ht="15" hidden="false" customHeight="false" outlineLevel="0" collapsed="false">
      <c r="A1456" s="0" t="str">
        <f aca="false">Chase1168_2025!A1456</f>
        <v>DEBIT</v>
      </c>
      <c r="B1456" s="14" t="n">
        <f aca="false">Chase1168_2025!B1456</f>
        <v>45726</v>
      </c>
      <c r="C1456" s="0" t="str">
        <f aca="false">Chase1168_2025!C1456</f>
        <v>Zelle payment to jeff seider JPM99b0v2t0t</v>
      </c>
      <c r="D1456" s="7" t="n">
        <f aca="false">Chase1168_2025!D1456</f>
        <v>-100</v>
      </c>
      <c r="E1456" s="0" t="str">
        <f aca="false">Chase1168_2025!E1456</f>
        <v>CHASE_TO_PARTNERFI</v>
      </c>
      <c r="F1456" s="7" t="n">
        <f aca="false">Chase1168_2025!F1456</f>
        <v>16311.64</v>
      </c>
      <c r="G1456" s="0" t="str">
        <f aca="false">Chase1168_2025!G1456</f>
        <v>Zelle - Jeff Seider</v>
      </c>
      <c r="H1456" s="15" t="n">
        <f aca="false">IF($B1456="","",DATE(YEAR($B1456),MONTH($B1456),1))</f>
        <v>45717</v>
      </c>
      <c r="I1456" s="0" t="str">
        <f aca="false">IF($G1456="","Uncategorized — Review",IFERROR(INDEX(Mapping!$B:$B,MATCH($G1456,Mapping!$A:$A,0)),"Uncategorized — Review"))</f>
        <v>Zelle - Jeff Seider</v>
      </c>
      <c r="J1456" s="0" t="str">
        <f aca="false">IF($G1456="","Uncategorized — Review",IFERROR(INDEX(Mapping!$C:$C,MATCH($G1456,Mapping!$A:$A,0)),"Uncategorized — Review"))</f>
        <v>P2P Payments (Zelle/Venmo/PayPal)</v>
      </c>
    </row>
    <row r="1457" customFormat="false" ht="15" hidden="false" customHeight="false" outlineLevel="0" collapsed="false">
      <c r="A1457" s="0" t="str">
        <f aca="false">Chase1168_2025!A1457</f>
        <v>DEBIT</v>
      </c>
      <c r="B1457" s="14" t="n">
        <f aca="false">Chase1168_2025!B1457</f>
        <v>45726</v>
      </c>
      <c r="C1457" s="0" t="str">
        <f aca="false">Chase1168_2025!C1457</f>
        <v>WHOLEFDS LAG 104 283 LAGUNA BEACH CA 422034  03/09</v>
      </c>
      <c r="D1457" s="7" t="n">
        <f aca="false">Chase1168_2025!D1457</f>
        <v>-31.48</v>
      </c>
      <c r="E1457" s="0" t="str">
        <f aca="false">Chase1168_2025!E1457</f>
        <v>DEBIT_CARD</v>
      </c>
      <c r="F1457" s="7" t="n">
        <f aca="false">Chase1168_2025!F1457</f>
        <v>16411.64</v>
      </c>
      <c r="G1457" s="0" t="str">
        <f aca="false">Chase1168_2025!G1457</f>
        <v>Personal - Food</v>
      </c>
      <c r="H1457" s="15" t="n">
        <f aca="false">IF($B1457="","",DATE(YEAR($B1457),MONTH($B1457),1))</f>
        <v>45717</v>
      </c>
      <c r="I1457" s="0" t="str">
        <f aca="false">IF($G1457="","Uncategorized — Review",IFERROR(INDEX(Mapping!$B:$B,MATCH($G1457,Mapping!$A:$A,0)),"Uncategorized — Review"))</f>
        <v>Personal - Food &amp; Dining</v>
      </c>
      <c r="J1457" s="0" t="str">
        <f aca="false">IF($G1457="","Uncategorized — Review",IFERROR(INDEX(Mapping!$C:$C,MATCH($G1457,Mapping!$A:$A,0)),"Uncategorized — Review"))</f>
        <v>Personal — Owner</v>
      </c>
    </row>
    <row r="1458" customFormat="false" ht="15" hidden="false" customHeight="false" outlineLevel="0" collapsed="false">
      <c r="A1458" s="0" t="str">
        <f aca="false">Chase1168_2025!A1458</f>
        <v>DEBIT</v>
      </c>
      <c r="B1458" s="14" t="n">
        <f aca="false">Chase1168_2025!B1458</f>
        <v>45726</v>
      </c>
      <c r="C1458" s="0" t="str">
        <f aca="false">Chase1168_2025!C1458</f>
        <v>Zelle payment to Aldolfo Varela JPM99b0txsyv</v>
      </c>
      <c r="D1458" s="7" t="n">
        <f aca="false">Chase1168_2025!D1458</f>
        <v>-500</v>
      </c>
      <c r="E1458" s="0" t="str">
        <f aca="false">Chase1168_2025!E1458</f>
        <v>CHASE_TO_PARTNERFI</v>
      </c>
      <c r="F1458" s="7" t="n">
        <f aca="false">Chase1168_2025!F1458</f>
        <v>16443.12</v>
      </c>
      <c r="G1458" s="0" t="str">
        <f aca="false">Chase1168_2025!G1458</f>
        <v>Zelle - Adolfo V. </v>
      </c>
      <c r="H1458" s="15" t="n">
        <f aca="false">IF($B1458="","",DATE(YEAR($B1458),MONTH($B1458),1))</f>
        <v>45717</v>
      </c>
      <c r="I1458" s="0" t="str">
        <f aca="false">IF($G1458="","Uncategorized — Review",IFERROR(INDEX(Mapping!$B:$B,MATCH($G1458,Mapping!$A:$A,0)),"Uncategorized — Review"))</f>
        <v>Uncategorized — Review</v>
      </c>
      <c r="J1458" s="0" t="str">
        <f aca="false">IF($G1458="","Uncategorized — Review",IFERROR(INDEX(Mapping!$C:$C,MATCH($G1458,Mapping!$A:$A,0)),"Uncategorized — Review"))</f>
        <v>Uncategorized — Review</v>
      </c>
    </row>
    <row r="1459" customFormat="false" ht="15" hidden="false" customHeight="false" outlineLevel="0" collapsed="false">
      <c r="A1459" s="0" t="str">
        <f aca="false">Chase1168_2025!A1459</f>
        <v>DEBIT</v>
      </c>
      <c r="B1459" s="14" t="n">
        <f aca="false">Chase1168_2025!B1459</f>
        <v>45726</v>
      </c>
      <c r="C1459" s="0" t="str">
        <f aca="false">Chase1168_2025!C1459</f>
        <v>MODERN NAILS STUDIO LAGUNA BEACH CA          03/09</v>
      </c>
      <c r="D1459" s="7" t="n">
        <f aca="false">Chase1168_2025!D1459</f>
        <v>-231</v>
      </c>
      <c r="E1459" s="0" t="str">
        <f aca="false">Chase1168_2025!E1459</f>
        <v>DEBIT_CARD</v>
      </c>
      <c r="F1459" s="7" t="n">
        <f aca="false">Chase1168_2025!F1459</f>
        <v>16943.12</v>
      </c>
      <c r="G1459" s="0" t="str">
        <f aca="false">Chase1168_2025!G1459</f>
        <v>Personal - Health</v>
      </c>
      <c r="H1459" s="15" t="n">
        <f aca="false">IF($B1459="","",DATE(YEAR($B1459),MONTH($B1459),1))</f>
        <v>45717</v>
      </c>
      <c r="I1459" s="0" t="str">
        <f aca="false">IF($G1459="","Uncategorized — Review",IFERROR(INDEX(Mapping!$B:$B,MATCH($G1459,Mapping!$A:$A,0)),"Uncategorized — Review"))</f>
        <v>Personal - Health (incl. Ins.)</v>
      </c>
      <c r="J1459" s="0" t="str">
        <f aca="false">IF($G1459="","Uncategorized — Review",IFERROR(INDEX(Mapping!$C:$C,MATCH($G1459,Mapping!$A:$A,0)),"Uncategorized — Review"))</f>
        <v>Personal — Owner</v>
      </c>
    </row>
    <row r="1460" customFormat="false" ht="15" hidden="false" customHeight="false" outlineLevel="0" collapsed="false">
      <c r="A1460" s="0" t="str">
        <f aca="false">Chase1168_2025!A1460</f>
        <v>DEBIT</v>
      </c>
      <c r="B1460" s="14" t="n">
        <f aca="false">Chase1168_2025!B1460</f>
        <v>45726</v>
      </c>
      <c r="C1460" s="0" t="str">
        <f aca="false">Chase1168_2025!C1460</f>
        <v>SAPPHIRE LAGUNA BEACH CA                     03/09</v>
      </c>
      <c r="D1460" s="7" t="n">
        <f aca="false">Chase1168_2025!D1460</f>
        <v>-53.99</v>
      </c>
      <c r="E1460" s="0" t="str">
        <f aca="false">Chase1168_2025!E1460</f>
        <v>DEBIT_CARD</v>
      </c>
      <c r="F1460" s="7" t="n">
        <f aca="false">Chase1168_2025!F1460</f>
        <v>17174.12</v>
      </c>
      <c r="G1460" s="0" t="str">
        <f aca="false">Chase1168_2025!G1460</f>
        <v>Personal - Food</v>
      </c>
      <c r="H1460" s="15" t="n">
        <f aca="false">IF($B1460="","",DATE(YEAR($B1460),MONTH($B1460),1))</f>
        <v>45717</v>
      </c>
      <c r="I1460" s="0" t="str">
        <f aca="false">IF($G1460="","Uncategorized — Review",IFERROR(INDEX(Mapping!$B:$B,MATCH($G1460,Mapping!$A:$A,0)),"Uncategorized — Review"))</f>
        <v>Personal - Food &amp; Dining</v>
      </c>
      <c r="J1460" s="0" t="str">
        <f aca="false">IF($G1460="","Uncategorized — Review",IFERROR(INDEX(Mapping!$C:$C,MATCH($G1460,Mapping!$A:$A,0)),"Uncategorized — Review"))</f>
        <v>Personal — Owner</v>
      </c>
    </row>
    <row r="1461" customFormat="false" ht="15" hidden="false" customHeight="false" outlineLevel="0" collapsed="false">
      <c r="A1461" s="0" t="str">
        <f aca="false">Chase1168_2025!A1461</f>
        <v>DEBIT</v>
      </c>
      <c r="B1461" s="14" t="n">
        <f aca="false">Chase1168_2025!B1461</f>
        <v>45726</v>
      </c>
      <c r="C1461" s="0" t="str">
        <f aca="false">Chase1168_2025!C1461</f>
        <v>CITY OF LAGUNA BEACH LAGUNA BEACH CA         03/09</v>
      </c>
      <c r="D1461" s="7" t="n">
        <f aca="false">Chase1168_2025!D1461</f>
        <v>-4.75</v>
      </c>
      <c r="E1461" s="0" t="str">
        <f aca="false">Chase1168_2025!E1461</f>
        <v>DEBIT_CARD</v>
      </c>
      <c r="F1461" s="7" t="n">
        <f aca="false">Chase1168_2025!F1461</f>
        <v>17228.11</v>
      </c>
      <c r="G1461" s="0" t="str">
        <f aca="false">Chase1168_2025!G1461</f>
        <v>Personal - Car</v>
      </c>
      <c r="H1461" s="15" t="n">
        <f aca="false">IF($B1461="","",DATE(YEAR($B1461),MONTH($B1461),1))</f>
        <v>45717</v>
      </c>
      <c r="I1461" s="0" t="str">
        <f aca="false">IF($G1461="","Uncategorized — Review",IFERROR(INDEX(Mapping!$B:$B,MATCH($G1461,Mapping!$A:$A,0)),"Uncategorized — Review"))</f>
        <v>Personal - Car &amp; Auto</v>
      </c>
      <c r="J1461" s="0" t="str">
        <f aca="false">IF($G1461="","Uncategorized — Review",IFERROR(INDEX(Mapping!$C:$C,MATCH($G1461,Mapping!$A:$A,0)),"Uncategorized — Review"))</f>
        <v>Personal — Owner</v>
      </c>
    </row>
    <row r="1462" customFormat="false" ht="15" hidden="false" customHeight="false" outlineLevel="0" collapsed="false">
      <c r="A1462" s="0" t="str">
        <f aca="false">Chase1168_2025!A1462</f>
        <v>DEBIT</v>
      </c>
      <c r="B1462" s="14" t="n">
        <f aca="false">Chase1168_2025!B1462</f>
        <v>45726</v>
      </c>
      <c r="C1462" s="0" t="str">
        <f aca="false">Chase1168_2025!C1462</f>
        <v>LS THALIA SURF 194-94973292 CA               03/09</v>
      </c>
      <c r="D1462" s="7" t="n">
        <f aca="false">Chase1168_2025!D1462</f>
        <v>-36.64</v>
      </c>
      <c r="E1462" s="0" t="str">
        <f aca="false">Chase1168_2025!E1462</f>
        <v>DEBIT_CARD</v>
      </c>
      <c r="F1462" s="7" t="n">
        <f aca="false">Chase1168_2025!F1462</f>
        <v>17232.86</v>
      </c>
      <c r="G1462" s="0" t="str">
        <f aca="false">Chase1168_2025!G1462</f>
        <v>Personal - Food</v>
      </c>
      <c r="H1462" s="15" t="n">
        <f aca="false">IF($B1462="","",DATE(YEAR($B1462),MONTH($B1462),1))</f>
        <v>45717</v>
      </c>
      <c r="I1462" s="0" t="str">
        <f aca="false">IF($G1462="","Uncategorized — Review",IFERROR(INDEX(Mapping!$B:$B,MATCH($G1462,Mapping!$A:$A,0)),"Uncategorized — Review"))</f>
        <v>Personal - Food &amp; Dining</v>
      </c>
      <c r="J1462" s="0" t="str">
        <f aca="false">IF($G1462="","Uncategorized — Review",IFERROR(INDEX(Mapping!$C:$C,MATCH($G1462,Mapping!$A:$A,0)),"Uncategorized — Review"))</f>
        <v>Personal — Owner</v>
      </c>
    </row>
    <row r="1463" customFormat="false" ht="15" hidden="false" customHeight="false" outlineLevel="0" collapsed="false">
      <c r="A1463" s="0" t="str">
        <f aca="false">Chase1168_2025!A1463</f>
        <v>DEBIT</v>
      </c>
      <c r="B1463" s="14" t="n">
        <f aca="false">Chase1168_2025!B1463</f>
        <v>45726</v>
      </c>
      <c r="C1463" s="0" t="str">
        <f aca="false">Chase1168_2025!C1463</f>
        <v>CITY OF LAGUNA BEACH LAGUNA BEACH CA         03/09</v>
      </c>
      <c r="D1463" s="7" t="n">
        <f aca="false">Chase1168_2025!D1463</f>
        <v>-1</v>
      </c>
      <c r="E1463" s="0" t="str">
        <f aca="false">Chase1168_2025!E1463</f>
        <v>DEBIT_CARD</v>
      </c>
      <c r="F1463" s="7" t="n">
        <f aca="false">Chase1168_2025!F1463</f>
        <v>17269.5</v>
      </c>
      <c r="G1463" s="0" t="str">
        <f aca="false">Chase1168_2025!G1463</f>
        <v>Personal - Car</v>
      </c>
      <c r="H1463" s="15" t="n">
        <f aca="false">IF($B1463="","",DATE(YEAR($B1463),MONTH($B1463),1))</f>
        <v>45717</v>
      </c>
      <c r="I1463" s="0" t="str">
        <f aca="false">IF($G1463="","Uncategorized — Review",IFERROR(INDEX(Mapping!$B:$B,MATCH($G1463,Mapping!$A:$A,0)),"Uncategorized — Review"))</f>
        <v>Personal - Car &amp; Auto</v>
      </c>
      <c r="J1463" s="0" t="str">
        <f aca="false">IF($G1463="","Uncategorized — Review",IFERROR(INDEX(Mapping!$C:$C,MATCH($G1463,Mapping!$A:$A,0)),"Uncategorized — Review"))</f>
        <v>Personal — Owner</v>
      </c>
    </row>
    <row r="1464" customFormat="false" ht="15" hidden="false" customHeight="false" outlineLevel="0" collapsed="false">
      <c r="A1464" s="0" t="str">
        <f aca="false">Chase1168_2025!A1464</f>
        <v>DEBIT</v>
      </c>
      <c r="B1464" s="14" t="n">
        <f aca="false">Chase1168_2025!B1464</f>
        <v>45726</v>
      </c>
      <c r="C1464" s="0" t="str">
        <f aca="false">Chase1168_2025!C1464</f>
        <v>CITY OF LAGUNA BEACH LAGUNA BEACH CA         03/09</v>
      </c>
      <c r="D1464" s="7" t="n">
        <f aca="false">Chase1168_2025!D1464</f>
        <v>-0.5</v>
      </c>
      <c r="E1464" s="0" t="str">
        <f aca="false">Chase1168_2025!E1464</f>
        <v>DEBIT_CARD</v>
      </c>
      <c r="F1464" s="7" t="n">
        <f aca="false">Chase1168_2025!F1464</f>
        <v>17270.5</v>
      </c>
      <c r="G1464" s="0" t="str">
        <f aca="false">Chase1168_2025!G1464</f>
        <v>Personal - Car</v>
      </c>
      <c r="H1464" s="15" t="n">
        <f aca="false">IF($B1464="","",DATE(YEAR($B1464),MONTH($B1464),1))</f>
        <v>45717</v>
      </c>
      <c r="I1464" s="0" t="str">
        <f aca="false">IF($G1464="","Uncategorized — Review",IFERROR(INDEX(Mapping!$B:$B,MATCH($G1464,Mapping!$A:$A,0)),"Uncategorized — Review"))</f>
        <v>Personal - Car &amp; Auto</v>
      </c>
      <c r="J1464" s="0" t="str">
        <f aca="false">IF($G1464="","Uncategorized — Review",IFERROR(INDEX(Mapping!$C:$C,MATCH($G1464,Mapping!$A:$A,0)),"Uncategorized — Review"))</f>
        <v>Personal — Owner</v>
      </c>
    </row>
    <row r="1465" customFormat="false" ht="15" hidden="false" customHeight="false" outlineLevel="0" collapsed="false">
      <c r="A1465" s="0" t="str">
        <f aca="false">Chase1168_2025!A1465</f>
        <v>DEBIT</v>
      </c>
      <c r="B1465" s="14" t="n">
        <f aca="false">Chase1168_2025!B1465</f>
        <v>45726</v>
      </c>
      <c r="C1465" s="0" t="str">
        <f aca="false">Chase1168_2025!C1465</f>
        <v>CITY OF LAGUNA BEACH LAGUNA BEACH CA         03/09</v>
      </c>
      <c r="D1465" s="7" t="n">
        <f aca="false">Chase1168_2025!D1465</f>
        <v>-1.25</v>
      </c>
      <c r="E1465" s="0" t="str">
        <f aca="false">Chase1168_2025!E1465</f>
        <v>DEBIT_CARD</v>
      </c>
      <c r="F1465" s="7" t="n">
        <f aca="false">Chase1168_2025!F1465</f>
        <v>17271</v>
      </c>
      <c r="G1465" s="0" t="str">
        <f aca="false">Chase1168_2025!G1465</f>
        <v>Personal - Car</v>
      </c>
      <c r="H1465" s="15" t="n">
        <f aca="false">IF($B1465="","",DATE(YEAR($B1465),MONTH($B1465),1))</f>
        <v>45717</v>
      </c>
      <c r="I1465" s="0" t="str">
        <f aca="false">IF($G1465="","Uncategorized — Review",IFERROR(INDEX(Mapping!$B:$B,MATCH($G1465,Mapping!$A:$A,0)),"Uncategorized — Review"))</f>
        <v>Personal - Car &amp; Auto</v>
      </c>
      <c r="J1465" s="0" t="str">
        <f aca="false">IF($G1465="","Uncategorized — Review",IFERROR(INDEX(Mapping!$C:$C,MATCH($G1465,Mapping!$A:$A,0)),"Uncategorized — Review"))</f>
        <v>Personal — Owner</v>
      </c>
    </row>
    <row r="1466" customFormat="false" ht="15" hidden="false" customHeight="false" outlineLevel="0" collapsed="false">
      <c r="A1466" s="0" t="str">
        <f aca="false">Chase1168_2025!A1466</f>
        <v>DEBIT</v>
      </c>
      <c r="B1466" s="14" t="n">
        <f aca="false">Chase1168_2025!B1466</f>
        <v>45726</v>
      </c>
      <c r="C1466" s="0" t="str">
        <f aca="false">Chase1168_2025!C1466</f>
        <v>TST*PENGUIN MALT NEW Laguna Beach CA         03/09</v>
      </c>
      <c r="D1466" s="7" t="n">
        <f aca="false">Chase1168_2025!D1466</f>
        <v>-5.74</v>
      </c>
      <c r="E1466" s="0" t="str">
        <f aca="false">Chase1168_2025!E1466</f>
        <v>DEBIT_CARD</v>
      </c>
      <c r="F1466" s="7" t="n">
        <f aca="false">Chase1168_2025!F1466</f>
        <v>17272.25</v>
      </c>
      <c r="G1466" s="0" t="str">
        <f aca="false">Chase1168_2025!G1466</f>
        <v>Personal - Food</v>
      </c>
      <c r="H1466" s="15" t="n">
        <f aca="false">IF($B1466="","",DATE(YEAR($B1466),MONTH($B1466),1))</f>
        <v>45717</v>
      </c>
      <c r="I1466" s="0" t="str">
        <f aca="false">IF($G1466="","Uncategorized — Review",IFERROR(INDEX(Mapping!$B:$B,MATCH($G1466,Mapping!$A:$A,0)),"Uncategorized — Review"))</f>
        <v>Personal - Food &amp; Dining</v>
      </c>
      <c r="J1466" s="0" t="str">
        <f aca="false">IF($G1466="","Uncategorized — Review",IFERROR(INDEX(Mapping!$C:$C,MATCH($G1466,Mapping!$A:$A,0)),"Uncategorized — Review"))</f>
        <v>Personal — Owner</v>
      </c>
    </row>
    <row r="1467" customFormat="false" ht="15" hidden="false" customHeight="false" outlineLevel="0" collapsed="false">
      <c r="A1467" s="0" t="str">
        <f aca="false">Chase1168_2025!A1467</f>
        <v>DEBIT</v>
      </c>
      <c r="B1467" s="14" t="n">
        <f aca="false">Chase1168_2025!B1467</f>
        <v>45726</v>
      </c>
      <c r="C1467" s="0" t="str">
        <f aca="false">Chase1168_2025!C1467</f>
        <v>PP*APPLE.COM/BILL 800-275-2273 CA            03/10</v>
      </c>
      <c r="D1467" s="7" t="n">
        <f aca="false">Chase1168_2025!D1467</f>
        <v>-8.99</v>
      </c>
      <c r="E1467" s="0" t="str">
        <f aca="false">Chase1168_2025!E1467</f>
        <v>DEBIT_CARD</v>
      </c>
      <c r="F1467" s="7" t="n">
        <f aca="false">Chase1168_2025!F1467</f>
        <v>17277.99</v>
      </c>
      <c r="G1467" s="0" t="str">
        <f aca="false">Chase1168_2025!G1467</f>
        <v>Personal - Subscriptions</v>
      </c>
      <c r="H1467" s="15" t="n">
        <f aca="false">IF($B1467="","",DATE(YEAR($B1467),MONTH($B1467),1))</f>
        <v>45717</v>
      </c>
      <c r="I1467" s="0" t="str">
        <f aca="false">IF($G1467="","Uncategorized — Review",IFERROR(INDEX(Mapping!$B:$B,MATCH($G1467,Mapping!$A:$A,0)),"Uncategorized — Review"))</f>
        <v>Personal - Subscriptions</v>
      </c>
      <c r="J1467" s="0" t="str">
        <f aca="false">IF($G1467="","Uncategorized — Review",IFERROR(INDEX(Mapping!$C:$C,MATCH($G1467,Mapping!$A:$A,0)),"Uncategorized — Review"))</f>
        <v>Personal — Owner</v>
      </c>
    </row>
    <row r="1468" customFormat="false" ht="15" hidden="false" customHeight="false" outlineLevel="0" collapsed="false">
      <c r="A1468" s="0" t="str">
        <f aca="false">Chase1168_2025!A1468</f>
        <v>DEBIT</v>
      </c>
      <c r="B1468" s="14" t="n">
        <f aca="false">Chase1168_2025!B1468</f>
        <v>45726</v>
      </c>
      <c r="C1468" s="0" t="str">
        <f aca="false">Chase1168_2025!C1468</f>
        <v>PP*APPLE.COM/BILL 800-275-2273 CA            03/08</v>
      </c>
      <c r="D1468" s="7" t="n">
        <f aca="false">Chase1168_2025!D1468</f>
        <v>-11.99</v>
      </c>
      <c r="E1468" s="0" t="str">
        <f aca="false">Chase1168_2025!E1468</f>
        <v>DEBIT_CARD</v>
      </c>
      <c r="F1468" s="7" t="n">
        <f aca="false">Chase1168_2025!F1468</f>
        <v>17286.98</v>
      </c>
      <c r="G1468" s="0" t="str">
        <f aca="false">Chase1168_2025!G1468</f>
        <v>Personal - Subscriptions</v>
      </c>
      <c r="H1468" s="15" t="n">
        <f aca="false">IF($B1468="","",DATE(YEAR($B1468),MONTH($B1468),1))</f>
        <v>45717</v>
      </c>
      <c r="I1468" s="0" t="str">
        <f aca="false">IF($G1468="","Uncategorized — Review",IFERROR(INDEX(Mapping!$B:$B,MATCH($G1468,Mapping!$A:$A,0)),"Uncategorized — Review"))</f>
        <v>Personal - Subscriptions</v>
      </c>
      <c r="J1468" s="0" t="str">
        <f aca="false">IF($G1468="","Uncategorized — Review",IFERROR(INDEX(Mapping!$C:$C,MATCH($G1468,Mapping!$A:$A,0)),"Uncategorized — Review"))</f>
        <v>Personal — Owner</v>
      </c>
    </row>
    <row r="1469" customFormat="false" ht="15" hidden="false" customHeight="false" outlineLevel="0" collapsed="false">
      <c r="A1469" s="0" t="str">
        <f aca="false">Chase1168_2025!A1469</f>
        <v>DEBIT</v>
      </c>
      <c r="B1469" s="14" t="n">
        <f aca="false">Chase1168_2025!B1469</f>
        <v>45726</v>
      </c>
      <c r="C1469" s="0" t="str">
        <f aca="false">Chase1168_2025!C1469</f>
        <v>ORIG CO NAME:ALLSTATE INS CO        ORIG ID:1360719665 DESC DATE:MAR005 CO ENTRY DESCR:PREMIUM   SEC:WEB    TRACE#:021000023410192 EED:250310   IND ID:436544881                    IND NAME:ANGELA DUNNING                                                                                               MBLINDPAY1010 Q010 TRN: 0693410192TC</v>
      </c>
      <c r="D1469" s="7" t="n">
        <f aca="false">Chase1168_2025!D1469</f>
        <v>-1355</v>
      </c>
      <c r="E1469" s="0" t="str">
        <f aca="false">Chase1168_2025!E1469</f>
        <v>ACH_DEBIT</v>
      </c>
      <c r="F1469" s="7" t="n">
        <f aca="false">Chase1168_2025!F1469</f>
        <v>17298.97</v>
      </c>
      <c r="G1469" s="0" t="str">
        <f aca="false">Chase1168_2025!G1469</f>
        <v>Personal - Insurance</v>
      </c>
      <c r="H1469" s="15" t="n">
        <f aca="false">IF($B1469="","",DATE(YEAR($B1469),MONTH($B1469),1))</f>
        <v>45717</v>
      </c>
      <c r="I1469" s="0" t="str">
        <f aca="false">IF($G1469="","Uncategorized — Review",IFERROR(INDEX(Mapping!$B:$B,MATCH($G1469,Mapping!$A:$A,0)),"Uncategorized — Review"))</f>
        <v>Personal - Insurance</v>
      </c>
      <c r="J1469" s="0" t="str">
        <f aca="false">IF($G1469="","Uncategorized — Review",IFERROR(INDEX(Mapping!$C:$C,MATCH($G1469,Mapping!$A:$A,0)),"Uncategorized — Review"))</f>
        <v>Personal — Owner</v>
      </c>
    </row>
    <row r="1470" customFormat="false" ht="15" hidden="false" customHeight="false" outlineLevel="0" collapsed="false">
      <c r="A1470" s="0" t="str">
        <f aca="false">Chase1168_2025!A1470</f>
        <v>DEBIT</v>
      </c>
      <c r="B1470" s="14" t="n">
        <f aca="false">Chase1168_2025!B1470</f>
        <v>45726</v>
      </c>
      <c r="C1470" s="0" t="str">
        <f aca="false">Chase1168_2025!C1470</f>
        <v>HOLLYWOOD PALLADIUM LOS ANGELES CA           03/07</v>
      </c>
      <c r="D1470" s="7" t="n">
        <f aca="false">Chase1168_2025!D1470</f>
        <v>-33.59</v>
      </c>
      <c r="E1470" s="0" t="str">
        <f aca="false">Chase1168_2025!E1470</f>
        <v>DEBIT_CARD</v>
      </c>
      <c r="F1470" s="7" t="n">
        <f aca="false">Chase1168_2025!F1470</f>
        <v>18653.97</v>
      </c>
      <c r="G1470" s="0" t="str">
        <f aca="false">Chase1168_2025!G1470</f>
        <v>Personal - Entertainment</v>
      </c>
      <c r="H1470" s="15" t="n">
        <f aca="false">IF($B1470="","",DATE(YEAR($B1470),MONTH($B1470),1))</f>
        <v>45717</v>
      </c>
      <c r="I1470" s="0" t="str">
        <f aca="false">IF($G1470="","Uncategorized — Review",IFERROR(INDEX(Mapping!$B:$B,MATCH($G1470,Mapping!$A:$A,0)),"Uncategorized — Review"))</f>
        <v>Personal - Entertainment</v>
      </c>
      <c r="J1470" s="0" t="str">
        <f aca="false">IF($G1470="","Uncategorized — Review",IFERROR(INDEX(Mapping!$C:$C,MATCH($G1470,Mapping!$A:$A,0)),"Uncategorized — Review"))</f>
        <v>Personal — Owner</v>
      </c>
    </row>
    <row r="1471" customFormat="false" ht="15" hidden="false" customHeight="false" outlineLevel="0" collapsed="false">
      <c r="A1471" s="0" t="str">
        <f aca="false">Chase1168_2025!A1471</f>
        <v>DEBIT</v>
      </c>
      <c r="B1471" s="14" t="n">
        <f aca="false">Chase1168_2025!B1471</f>
        <v>45726</v>
      </c>
      <c r="C1471" s="0" t="str">
        <f aca="false">Chase1168_2025!C1471</f>
        <v>LAZ PKG M17815CLOVERFL LOS ANGELES CA        03/07</v>
      </c>
      <c r="D1471" s="7" t="n">
        <f aca="false">Chase1168_2025!D1471</f>
        <v>-40</v>
      </c>
      <c r="E1471" s="0" t="str">
        <f aca="false">Chase1168_2025!E1471</f>
        <v>DEBIT_CARD</v>
      </c>
      <c r="F1471" s="7" t="n">
        <f aca="false">Chase1168_2025!F1471</f>
        <v>18687.56</v>
      </c>
      <c r="G1471" s="0" t="str">
        <f aca="false">Chase1168_2025!G1471</f>
        <v>Personal - Car</v>
      </c>
      <c r="H1471" s="15" t="n">
        <f aca="false">IF($B1471="","",DATE(YEAR($B1471),MONTH($B1471),1))</f>
        <v>45717</v>
      </c>
      <c r="I1471" s="0" t="str">
        <f aca="false">IF($G1471="","Uncategorized — Review",IFERROR(INDEX(Mapping!$B:$B,MATCH($G1471,Mapping!$A:$A,0)),"Uncategorized — Review"))</f>
        <v>Personal - Car &amp; Auto</v>
      </c>
      <c r="J1471" s="0" t="str">
        <f aca="false">IF($G1471="","Uncategorized — Review",IFERROR(INDEX(Mapping!$C:$C,MATCH($G1471,Mapping!$A:$A,0)),"Uncategorized — Review"))</f>
        <v>Personal — Owner</v>
      </c>
    </row>
    <row r="1472" customFormat="false" ht="15" hidden="false" customHeight="false" outlineLevel="0" collapsed="false">
      <c r="A1472" s="0" t="str">
        <f aca="false">Chase1168_2025!A1472</f>
        <v>DEBIT</v>
      </c>
      <c r="B1472" s="14" t="n">
        <f aca="false">Chase1168_2025!B1472</f>
        <v>45726</v>
      </c>
      <c r="C1472" s="0" t="str">
        <f aca="false">Chase1168_2025!C1472</f>
        <v>VENICE LIQUOR LOS ANGELES CA                 03/07</v>
      </c>
      <c r="D1472" s="7" t="n">
        <f aca="false">Chase1168_2025!D1472</f>
        <v>-34.34</v>
      </c>
      <c r="E1472" s="0" t="str">
        <f aca="false">Chase1168_2025!E1472</f>
        <v>DEBIT_CARD</v>
      </c>
      <c r="F1472" s="7" t="n">
        <f aca="false">Chase1168_2025!F1472</f>
        <v>18727.56</v>
      </c>
      <c r="G1472" s="0" t="str">
        <f aca="false">Chase1168_2025!G1472</f>
        <v>Personal - Food</v>
      </c>
      <c r="H1472" s="15" t="n">
        <f aca="false">IF($B1472="","",DATE(YEAR($B1472),MONTH($B1472),1))</f>
        <v>45717</v>
      </c>
      <c r="I1472" s="0" t="str">
        <f aca="false">IF($G1472="","Uncategorized — Review",IFERROR(INDEX(Mapping!$B:$B,MATCH($G1472,Mapping!$A:$A,0)),"Uncategorized — Review"))</f>
        <v>Personal - Food &amp; Dining</v>
      </c>
      <c r="J1472" s="0" t="str">
        <f aca="false">IF($G1472="","Uncategorized — Review",IFERROR(INDEX(Mapping!$C:$C,MATCH($G1472,Mapping!$A:$A,0)),"Uncategorized — Review"))</f>
        <v>Personal — Owner</v>
      </c>
    </row>
    <row r="1473" customFormat="false" ht="15" hidden="false" customHeight="false" outlineLevel="0" collapsed="false">
      <c r="A1473" s="0" t="str">
        <f aca="false">Chase1168_2025!A1473</f>
        <v>DEBIT</v>
      </c>
      <c r="B1473" s="14" t="n">
        <f aca="false">Chase1168_2025!B1473</f>
        <v>45726</v>
      </c>
      <c r="C1473" s="0" t="str">
        <f aca="false">Chase1168_2025!C1473</f>
        <v>PP*APPLE.COM/BILL 800-275-2273 CA            03/08</v>
      </c>
      <c r="D1473" s="7" t="n">
        <f aca="false">Chase1168_2025!D1473</f>
        <v>-5</v>
      </c>
      <c r="E1473" s="0" t="str">
        <f aca="false">Chase1168_2025!E1473</f>
        <v>DEBIT_CARD</v>
      </c>
      <c r="F1473" s="7" t="n">
        <f aca="false">Chase1168_2025!F1473</f>
        <v>18761.9</v>
      </c>
      <c r="G1473" s="0" t="str">
        <f aca="false">Chase1168_2025!G1473</f>
        <v>Personal - Subscriptions</v>
      </c>
      <c r="H1473" s="15" t="n">
        <f aca="false">IF($B1473="","",DATE(YEAR($B1473),MONTH($B1473),1))</f>
        <v>45717</v>
      </c>
      <c r="I1473" s="0" t="str">
        <f aca="false">IF($G1473="","Uncategorized — Review",IFERROR(INDEX(Mapping!$B:$B,MATCH($G1473,Mapping!$A:$A,0)),"Uncategorized — Review"))</f>
        <v>Personal - Subscriptions</v>
      </c>
      <c r="J1473" s="0" t="str">
        <f aca="false">IF($G1473="","Uncategorized — Review",IFERROR(INDEX(Mapping!$C:$C,MATCH($G1473,Mapping!$A:$A,0)),"Uncategorized — Review"))</f>
        <v>Personal — Owner</v>
      </c>
    </row>
    <row r="1474" customFormat="false" ht="15" hidden="false" customHeight="false" outlineLevel="0" collapsed="false">
      <c r="A1474" s="0" t="str">
        <f aca="false">Chase1168_2025!A1474</f>
        <v>DEBIT</v>
      </c>
      <c r="B1474" s="14" t="n">
        <f aca="false">Chase1168_2025!B1474</f>
        <v>45723</v>
      </c>
      <c r="C1474" s="0" t="str">
        <f aca="false">Chase1168_2025!C1474</f>
        <v>LADOT METER PARKING LOS ANGELES CA           03/06</v>
      </c>
      <c r="D1474" s="7" t="n">
        <f aca="false">Chase1168_2025!D1474</f>
        <v>-2</v>
      </c>
      <c r="E1474" s="0" t="str">
        <f aca="false">Chase1168_2025!E1474</f>
        <v>DEBIT_CARD</v>
      </c>
      <c r="F1474" s="7" t="n">
        <f aca="false">Chase1168_2025!F1474</f>
        <v>18766.9</v>
      </c>
      <c r="G1474" s="0" t="str">
        <f aca="false">Chase1168_2025!G1474</f>
        <v>Personal - Car</v>
      </c>
      <c r="H1474" s="15" t="n">
        <f aca="false">IF($B1474="","",DATE(YEAR($B1474),MONTH($B1474),1))</f>
        <v>45717</v>
      </c>
      <c r="I1474" s="0" t="str">
        <f aca="false">IF($G1474="","Uncategorized — Review",IFERROR(INDEX(Mapping!$B:$B,MATCH($G1474,Mapping!$A:$A,0)),"Uncategorized — Review"))</f>
        <v>Personal - Car &amp; Auto</v>
      </c>
      <c r="J1474" s="0" t="str">
        <f aca="false">IF($G1474="","Uncategorized — Review",IFERROR(INDEX(Mapping!$C:$C,MATCH($G1474,Mapping!$A:$A,0)),"Uncategorized — Review"))</f>
        <v>Personal — Owner</v>
      </c>
    </row>
    <row r="1475" customFormat="false" ht="15" hidden="false" customHeight="false" outlineLevel="0" collapsed="false">
      <c r="A1475" s="0" t="str">
        <f aca="false">Chase1168_2025!A1475</f>
        <v>DEBIT</v>
      </c>
      <c r="B1475" s="14" t="n">
        <f aca="false">Chase1168_2025!B1475</f>
        <v>45723</v>
      </c>
      <c r="C1475" s="0" t="str">
        <f aca="false">Chase1168_2025!C1475</f>
        <v>TST* CAFE GRATITUDE - V VENICE CA            03/07</v>
      </c>
      <c r="D1475" s="7" t="n">
        <f aca="false">Chase1168_2025!D1475</f>
        <v>-98.43</v>
      </c>
      <c r="E1475" s="0" t="str">
        <f aca="false">Chase1168_2025!E1475</f>
        <v>DEBIT_CARD</v>
      </c>
      <c r="F1475" s="7" t="n">
        <f aca="false">Chase1168_2025!F1475</f>
        <v>18768.9</v>
      </c>
      <c r="G1475" s="0" t="str">
        <f aca="false">Chase1168_2025!G1475</f>
        <v>Personal - Food</v>
      </c>
      <c r="H1475" s="15" t="n">
        <f aca="false">IF($B1475="","",DATE(YEAR($B1475),MONTH($B1475),1))</f>
        <v>45717</v>
      </c>
      <c r="I1475" s="0" t="str">
        <f aca="false">IF($G1475="","Uncategorized — Review",IFERROR(INDEX(Mapping!$B:$B,MATCH($G1475,Mapping!$A:$A,0)),"Uncategorized — Review"))</f>
        <v>Personal - Food &amp; Dining</v>
      </c>
      <c r="J1475" s="0" t="str">
        <f aca="false">IF($G1475="","Uncategorized — Review",IFERROR(INDEX(Mapping!$C:$C,MATCH($G1475,Mapping!$A:$A,0)),"Uncategorized — Review"))</f>
        <v>Personal — Owner</v>
      </c>
    </row>
    <row r="1476" customFormat="false" ht="15" hidden="false" customHeight="false" outlineLevel="0" collapsed="false">
      <c r="A1476" s="0" t="str">
        <f aca="false">Chase1168_2025!A1476</f>
        <v>DEBIT</v>
      </c>
      <c r="B1476" s="14" t="n">
        <f aca="false">Chase1168_2025!B1476</f>
        <v>45723</v>
      </c>
      <c r="C1476" s="0" t="str">
        <f aca="false">Chase1168_2025!C1476</f>
        <v>PAYPAL *LINKEDIN 402-935-7733 CA             03/07</v>
      </c>
      <c r="D1476" s="7" t="n">
        <f aca="false">Chase1168_2025!D1476</f>
        <v>-500.01</v>
      </c>
      <c r="E1476" s="0" t="str">
        <f aca="false">Chase1168_2025!E1476</f>
        <v>DEBIT_CARD</v>
      </c>
      <c r="F1476" s="7" t="n">
        <f aca="false">Chase1168_2025!F1476</f>
        <v>18867.33</v>
      </c>
      <c r="G1476" s="0" t="str">
        <f aca="false">Chase1168_2025!G1476</f>
        <v>DWG HR</v>
      </c>
      <c r="H1476" s="15" t="n">
        <f aca="false">IF($B1476="","",DATE(YEAR($B1476),MONTH($B1476),1))</f>
        <v>45717</v>
      </c>
      <c r="I1476" s="0" t="str">
        <f aca="false">IF($G1476="","Uncategorized — Review",IFERROR(INDEX(Mapping!$B:$B,MATCH($G1476,Mapping!$A:$A,0)),"Uncategorized — Review"))</f>
        <v>DWG HR</v>
      </c>
      <c r="J1476" s="0" t="str">
        <f aca="false">IF($G1476="","Uncategorized — Review",IFERROR(INDEX(Mapping!$C:$C,MATCH($G1476,Mapping!$A:$A,0)),"Uncategorized — Review"))</f>
        <v>Payroll &amp; Contractors</v>
      </c>
    </row>
    <row r="1477" customFormat="false" ht="15" hidden="false" customHeight="false" outlineLevel="0" collapsed="false">
      <c r="A1477" s="0" t="str">
        <f aca="false">Chase1168_2025!A1477</f>
        <v>DEBIT</v>
      </c>
      <c r="B1477" s="14" t="n">
        <f aca="false">Chase1168_2025!B1477</f>
        <v>45722</v>
      </c>
      <c r="C1477" s="0" t="str">
        <f aca="false">Chase1168_2025!C1477</f>
        <v>Online Transfer to CHK ...1117 transaction#: 23962544128 03/06</v>
      </c>
      <c r="D1477" s="7" t="n">
        <f aca="false">Chase1168_2025!D1477</f>
        <v>-5000</v>
      </c>
      <c r="E1477" s="0" t="str">
        <f aca="false">Chase1168_2025!E1477</f>
        <v>ACCT_XFER</v>
      </c>
      <c r="F1477" s="7" t="n">
        <f aca="false">Chase1168_2025!F1477</f>
        <v>19367.34</v>
      </c>
      <c r="G1477" s="0" t="str">
        <f aca="false">Chase1168_2025!G1477</f>
        <v>Transfer to Angela Dunning</v>
      </c>
      <c r="H1477" s="15" t="n">
        <f aca="false">IF($B1477="","",DATE(YEAR($B1477),MONTH($B1477),1))</f>
        <v>45717</v>
      </c>
      <c r="I1477" s="0" t="str">
        <f aca="false">IF($G1477="","Uncategorized — Review",IFERROR(INDEX(Mapping!$B:$B,MATCH($G1477,Mapping!$A:$A,0)),"Uncategorized — Review"))</f>
        <v>Transfer to Angela Dunning</v>
      </c>
      <c r="J1477" s="0" t="str">
        <f aca="false">IF($G1477="","Uncategorized — Review",IFERROR(INDEX(Mapping!$C:$C,MATCH($G1477,Mapping!$A:$A,0)),"Uncategorized — Review"))</f>
        <v>Owner / Family Distributions</v>
      </c>
    </row>
    <row r="1478" customFormat="false" ht="15" hidden="false" customHeight="false" outlineLevel="0" collapsed="false">
      <c r="A1478" s="0" t="str">
        <f aca="false">Chase1168_2025!A1478</f>
        <v>DEBIT</v>
      </c>
      <c r="B1478" s="14" t="n">
        <f aca="false">Chase1168_2025!B1478</f>
        <v>45722</v>
      </c>
      <c r="C1478" s="0" t="str">
        <f aca="false">Chase1168_2025!C1478</f>
        <v>ORIG CO NAME:VENMO                  ORIG ID:3264681992 DESC DATE:250305 CO ENTRY DESCR:PAYMENT   SEC:WEB    TRACE#:091000014808689 EED:250306   IND ID:1040703267123                IND NAME:JUDD DUNNING TRN: 0654808689TC</v>
      </c>
      <c r="D1478" s="7" t="n">
        <f aca="false">Chase1168_2025!D1478</f>
        <v>-120</v>
      </c>
      <c r="E1478" s="0" t="str">
        <f aca="false">Chase1168_2025!E1478</f>
        <v>ACH_DEBIT</v>
      </c>
      <c r="F1478" s="7" t="n">
        <f aca="false">Chase1168_2025!F1478</f>
        <v>24367.34</v>
      </c>
      <c r="G1478" s="0" t="str">
        <f aca="false">Chase1168_2025!G1478</f>
        <v>Venmo</v>
      </c>
      <c r="H1478" s="15" t="n">
        <f aca="false">IF($B1478="","",DATE(YEAR($B1478),MONTH($B1478),1))</f>
        <v>45717</v>
      </c>
      <c r="I1478" s="0" t="str">
        <f aca="false">IF($G1478="","Uncategorized — Review",IFERROR(INDEX(Mapping!$B:$B,MATCH($G1478,Mapping!$A:$A,0)),"Uncategorized — Review"))</f>
        <v>Venmo</v>
      </c>
      <c r="J1478" s="0" t="str">
        <f aca="false">IF($G1478="","Uncategorized — Review",IFERROR(INDEX(Mapping!$C:$C,MATCH($G1478,Mapping!$A:$A,0)),"Uncategorized — Review"))</f>
        <v>P2P Payments (Zelle/Venmo/PayPal)</v>
      </c>
    </row>
    <row r="1479" customFormat="false" ht="15" hidden="false" customHeight="false" outlineLevel="0" collapsed="false">
      <c r="A1479" s="0" t="str">
        <f aca="false">Chase1168_2025!A1479</f>
        <v>DEBIT</v>
      </c>
      <c r="B1479" s="14" t="n">
        <f aca="false">Chase1168_2025!B1479</f>
        <v>45722</v>
      </c>
      <c r="C1479" s="0" t="str">
        <f aca="false">Chase1168_2025!C1479</f>
        <v>EVERLANE* R455631617 185-87358007 CA         03/06</v>
      </c>
      <c r="D1479" s="7" t="n">
        <f aca="false">Chase1168_2025!D1479</f>
        <v>-343.92</v>
      </c>
      <c r="E1479" s="0" t="str">
        <f aca="false">Chase1168_2025!E1479</f>
        <v>DEBIT_CARD</v>
      </c>
      <c r="F1479" s="7" t="n">
        <f aca="false">Chase1168_2025!F1479</f>
        <v>24487.34</v>
      </c>
      <c r="G1479" s="0" t="str">
        <f aca="false">Chase1168_2025!G1479</f>
        <v>Personal - Clothing</v>
      </c>
      <c r="H1479" s="15" t="n">
        <f aca="false">IF($B1479="","",DATE(YEAR($B1479),MONTH($B1479),1))</f>
        <v>45717</v>
      </c>
      <c r="I1479" s="0" t="str">
        <f aca="false">IF($G1479="","Uncategorized — Review",IFERROR(INDEX(Mapping!$B:$B,MATCH($G1479,Mapping!$A:$A,0)),"Uncategorized — Review"))</f>
        <v>Personal - Clothing</v>
      </c>
      <c r="J1479" s="0" t="str">
        <f aca="false">IF($G1479="","Uncategorized — Review",IFERROR(INDEX(Mapping!$C:$C,MATCH($G1479,Mapping!$A:$A,0)),"Uncategorized — Review"))</f>
        <v>Personal — Owner</v>
      </c>
    </row>
    <row r="1480" customFormat="false" ht="15" hidden="false" customHeight="false" outlineLevel="0" collapsed="false">
      <c r="A1480" s="0" t="str">
        <f aca="false">Chase1168_2025!A1480</f>
        <v>CREDIT</v>
      </c>
      <c r="B1480" s="14" t="n">
        <f aca="false">Chase1168_2025!B1480</f>
        <v>45722</v>
      </c>
      <c r="C1480" s="0" t="str">
        <f aca="false">Chase1168_2025!C1480</f>
        <v>Online Transfer from CHK ...9335 transaction#: 23962559557</v>
      </c>
      <c r="D1480" s="7" t="n">
        <f aca="false">Chase1168_2025!D1480</f>
        <v>20000</v>
      </c>
      <c r="E1480" s="0" t="str">
        <f aca="false">Chase1168_2025!E1480</f>
        <v>ACCT_XFER</v>
      </c>
      <c r="F1480" s="7" t="n">
        <f aca="false">Chase1168_2025!F1480</f>
        <v>24831.26</v>
      </c>
      <c r="G1480" s="0" t="str">
        <f aca="false">Chase1168_2025!G1480</f>
        <v>Transfer From Poseidon Asset Group</v>
      </c>
      <c r="H1480" s="15" t="n">
        <f aca="false">IF($B1480="","",DATE(YEAR($B1480),MONTH($B1480),1))</f>
        <v>45717</v>
      </c>
      <c r="I1480" s="0" t="str">
        <f aca="false">IF($G1480="","Uncategorized — Review",IFERROR(INDEX(Mapping!$B:$B,MATCH($G1480,Mapping!$A:$A,0)),"Uncategorized — Review"))</f>
        <v>Transfer From Poseidon Asset Group</v>
      </c>
      <c r="J1480" s="0" t="str">
        <f aca="false">IF($G1480="","Uncategorized — Review",IFERROR(INDEX(Mapping!$C:$C,MATCH($G1480,Mapping!$A:$A,0)),"Uncategorized — Review"))</f>
        <v>Poseidon Asset Group</v>
      </c>
    </row>
    <row r="1481" customFormat="false" ht="15" hidden="false" customHeight="false" outlineLevel="0" collapsed="false">
      <c r="A1481" s="0" t="str">
        <f aca="false">Chase1168_2025!A1481</f>
        <v>DEBIT</v>
      </c>
      <c r="B1481" s="14" t="n">
        <f aca="false">Chase1168_2025!B1481</f>
        <v>45721</v>
      </c>
      <c r="C1481" s="0" t="str">
        <f aca="false">Chase1168_2025!C1481</f>
        <v>Basic Online Payroll Payment 11164332803 to ###########4123</v>
      </c>
      <c r="D1481" s="7" t="n">
        <f aca="false">Chase1168_2025!D1481</f>
        <v>-63</v>
      </c>
      <c r="E1481" s="0" t="str">
        <f aca="false">Chase1168_2025!E1481</f>
        <v>BASIC_PAYROLL</v>
      </c>
      <c r="F1481" s="7" t="n">
        <f aca="false">Chase1168_2025!F1481</f>
        <v>4831.26</v>
      </c>
      <c r="G1481" s="16" t="n">
        <f aca="false">Chase1168_2025!G1481</f>
        <v>0</v>
      </c>
      <c r="H1481" s="15" t="n">
        <f aca="false">IF($B1481="","",DATE(YEAR($B1481),MONTH($B1481),1))</f>
        <v>45717</v>
      </c>
      <c r="I1481" s="0" t="str">
        <f aca="false">IF($G1481="","Uncategorized — Review",IFERROR(INDEX(Mapping!$B:$B,MATCH($G1481,Mapping!$A:$A,0)),"Uncategorized — Review"))</f>
        <v>Uncategorized — Review</v>
      </c>
      <c r="J1481" s="0" t="str">
        <f aca="false">IF($G1481="","Uncategorized — Review",IFERROR(INDEX(Mapping!$C:$C,MATCH($G1481,Mapping!$A:$A,0)),"Uncategorized — Review"))</f>
        <v>Uncategorized — Review</v>
      </c>
    </row>
    <row r="1482" customFormat="false" ht="15" hidden="false" customHeight="false" outlineLevel="0" collapsed="false">
      <c r="A1482" s="0" t="str">
        <f aca="false">Chase1168_2025!A1482</f>
        <v>DEBIT</v>
      </c>
      <c r="B1482" s="14" t="n">
        <f aca="false">Chase1168_2025!B1482</f>
        <v>45720</v>
      </c>
      <c r="C1482" s="0" t="str">
        <f aca="false">Chase1168_2025!C1482</f>
        <v>ORIG CO NAME:VENMO                  ORIG ID:3264681992 DESC DATE:250303 CO ENTRY DESCR:PAYMENT   SEC:WEB    TRACE#:091000012769161 EED:250304   IND ID:1040660013264                IND NAME:JUDD DUNNING TRN: 0632769161TC</v>
      </c>
      <c r="D1482" s="7" t="n">
        <f aca="false">Chase1168_2025!D1482</f>
        <v>-500</v>
      </c>
      <c r="E1482" s="0" t="str">
        <f aca="false">Chase1168_2025!E1482</f>
        <v>ACH_DEBIT</v>
      </c>
      <c r="F1482" s="7" t="n">
        <f aca="false">Chase1168_2025!F1482</f>
        <v>4894.26</v>
      </c>
      <c r="G1482" s="0" t="str">
        <f aca="false">Chase1168_2025!G1482</f>
        <v>Venmo</v>
      </c>
      <c r="H1482" s="15" t="n">
        <f aca="false">IF($B1482="","",DATE(YEAR($B1482),MONTH($B1482),1))</f>
        <v>45717</v>
      </c>
      <c r="I1482" s="0" t="str">
        <f aca="false">IF($G1482="","Uncategorized — Review",IFERROR(INDEX(Mapping!$B:$B,MATCH($G1482,Mapping!$A:$A,0)),"Uncategorized — Review"))</f>
        <v>Venmo</v>
      </c>
      <c r="J1482" s="0" t="str">
        <f aca="false">IF($G1482="","Uncategorized — Review",IFERROR(INDEX(Mapping!$C:$C,MATCH($G1482,Mapping!$A:$A,0)),"Uncategorized — Review"))</f>
        <v>P2P Payments (Zelle/Venmo/PayPal)</v>
      </c>
    </row>
    <row r="1483" customFormat="false" ht="15" hidden="false" customHeight="false" outlineLevel="0" collapsed="false">
      <c r="A1483" s="0" t="str">
        <f aca="false">Chase1168_2025!A1483</f>
        <v>DEBIT</v>
      </c>
      <c r="B1483" s="14" t="n">
        <f aca="false">Chase1168_2025!B1483</f>
        <v>45720</v>
      </c>
      <c r="C1483" s="0" t="str">
        <f aca="false">Chase1168_2025!C1483</f>
        <v>Zelle payment to Aaron Frankel JPM99b073qsz</v>
      </c>
      <c r="D1483" s="7" t="n">
        <f aca="false">Chase1168_2025!D1483</f>
        <v>-500</v>
      </c>
      <c r="E1483" s="0" t="str">
        <f aca="false">Chase1168_2025!E1483</f>
        <v>CHASE_TO_PARTNERFI</v>
      </c>
      <c r="F1483" s="7" t="n">
        <f aca="false">Chase1168_2025!F1483</f>
        <v>5394.26</v>
      </c>
      <c r="G1483" s="0" t="str">
        <f aca="false">Chase1168_2025!G1483</f>
        <v>Zelle - Aaron Frankel</v>
      </c>
      <c r="H1483" s="15" t="n">
        <f aca="false">IF($B1483="","",DATE(YEAR($B1483),MONTH($B1483),1))</f>
        <v>45717</v>
      </c>
      <c r="I1483" s="0" t="str">
        <f aca="false">IF($G1483="","Uncategorized — Review",IFERROR(INDEX(Mapping!$B:$B,MATCH($G1483,Mapping!$A:$A,0)),"Uncategorized — Review"))</f>
        <v>Zelle - Aaron Frankel</v>
      </c>
      <c r="J1483" s="0" t="str">
        <f aca="false">IF($G1483="","Uncategorized — Review",IFERROR(INDEX(Mapping!$C:$C,MATCH($G1483,Mapping!$A:$A,0)),"Uncategorized — Review"))</f>
        <v>P2P Payments (Zelle/Venmo/PayPal)</v>
      </c>
    </row>
    <row r="1484" customFormat="false" ht="15" hidden="false" customHeight="false" outlineLevel="0" collapsed="false">
      <c r="A1484" s="0" t="str">
        <f aca="false">Chase1168_2025!A1484</f>
        <v>DEBIT</v>
      </c>
      <c r="B1484" s="14" t="n">
        <f aca="false">Chase1168_2025!B1484</f>
        <v>45720</v>
      </c>
      <c r="C1484" s="0" t="str">
        <f aca="false">Chase1168_2025!C1484</f>
        <v>Zelle payment to Nate JPM99b073do7</v>
      </c>
      <c r="D1484" s="7" t="n">
        <f aca="false">Chase1168_2025!D1484</f>
        <v>-1000</v>
      </c>
      <c r="E1484" s="0" t="str">
        <f aca="false">Chase1168_2025!E1484</f>
        <v>CHASE_TO_PARTNERFI</v>
      </c>
      <c r="F1484" s="7" t="n">
        <f aca="false">Chase1168_2025!F1484</f>
        <v>5894.26</v>
      </c>
      <c r="G1484" s="0" t="str">
        <f aca="false">Chase1168_2025!G1484</f>
        <v>Zelle - TBD</v>
      </c>
      <c r="H1484" s="15" t="n">
        <f aca="false">IF($B1484="","",DATE(YEAR($B1484),MONTH($B1484),1))</f>
        <v>45717</v>
      </c>
      <c r="I1484" s="0" t="str">
        <f aca="false">IF($G1484="","Uncategorized — Review",IFERROR(INDEX(Mapping!$B:$B,MATCH($G1484,Mapping!$A:$A,0)),"Uncategorized — Review"))</f>
        <v>Zelle - TBD</v>
      </c>
      <c r="J1484" s="0" t="str">
        <f aca="false">IF($G1484="","Uncategorized — Review",IFERROR(INDEX(Mapping!$C:$C,MATCH($G1484,Mapping!$A:$A,0)),"Uncategorized — Review"))</f>
        <v>Uncategorized — Review</v>
      </c>
    </row>
    <row r="1485" customFormat="false" ht="15" hidden="false" customHeight="false" outlineLevel="0" collapsed="false">
      <c r="A1485" s="0" t="str">
        <f aca="false">Chase1168_2025!A1485</f>
        <v>DEBIT</v>
      </c>
      <c r="B1485" s="14" t="n">
        <f aca="false">Chase1168_2025!B1485</f>
        <v>45720</v>
      </c>
      <c r="C1485" s="0" t="str">
        <f aca="false">Chase1168_2025!C1485</f>
        <v>TST*THE BUTCHERS DAUGHT Venice CA            03/03</v>
      </c>
      <c r="D1485" s="7" t="n">
        <f aca="false">Chase1168_2025!D1485</f>
        <v>-192.51</v>
      </c>
      <c r="E1485" s="0" t="str">
        <f aca="false">Chase1168_2025!E1485</f>
        <v>DEBIT_CARD</v>
      </c>
      <c r="F1485" s="7" t="n">
        <f aca="false">Chase1168_2025!F1485</f>
        <v>6894.26</v>
      </c>
      <c r="G1485" s="0" t="str">
        <f aca="false">Chase1168_2025!G1485</f>
        <v>Personal - Food</v>
      </c>
      <c r="H1485" s="15" t="n">
        <f aca="false">IF($B1485="","",DATE(YEAR($B1485),MONTH($B1485),1))</f>
        <v>45717</v>
      </c>
      <c r="I1485" s="0" t="str">
        <f aca="false">IF($G1485="","Uncategorized — Review",IFERROR(INDEX(Mapping!$B:$B,MATCH($G1485,Mapping!$A:$A,0)),"Uncategorized — Review"))</f>
        <v>Personal - Food &amp; Dining</v>
      </c>
      <c r="J1485" s="0" t="str">
        <f aca="false">IF($G1485="","Uncategorized — Review",IFERROR(INDEX(Mapping!$C:$C,MATCH($G1485,Mapping!$A:$A,0)),"Uncategorized — Review"))</f>
        <v>Personal — Owner</v>
      </c>
    </row>
    <row r="1486" customFormat="false" ht="15" hidden="false" customHeight="false" outlineLevel="0" collapsed="false">
      <c r="A1486" s="0" t="str">
        <f aca="false">Chase1168_2025!A1486</f>
        <v>DEBIT</v>
      </c>
      <c r="B1486" s="14" t="n">
        <f aca="false">Chase1168_2025!B1486</f>
        <v>45720</v>
      </c>
      <c r="C1486" s="0" t="str">
        <f aca="false">Chase1168_2025!C1486</f>
        <v>AA WIFI 1-888-649-6711 Fort Worth TX         03/04</v>
      </c>
      <c r="D1486" s="7" t="n">
        <f aca="false">Chase1168_2025!D1486</f>
        <v>-12</v>
      </c>
      <c r="E1486" s="0" t="str">
        <f aca="false">Chase1168_2025!E1486</f>
        <v>DEBIT_CARD</v>
      </c>
      <c r="F1486" s="7" t="n">
        <f aca="false">Chase1168_2025!F1486</f>
        <v>7086.77</v>
      </c>
      <c r="G1486" s="0" t="str">
        <f aca="false">Chase1168_2025!G1486</f>
        <v>Travel</v>
      </c>
      <c r="H1486" s="15" t="n">
        <f aca="false">IF($B1486="","",DATE(YEAR($B1486),MONTH($B1486),1))</f>
        <v>45717</v>
      </c>
      <c r="I1486" s="0" t="str">
        <f aca="false">IF($G1486="","Uncategorized — Review",IFERROR(INDEX(Mapping!$B:$B,MATCH($G1486,Mapping!$A:$A,0)),"Uncategorized — Review"))</f>
        <v>Travel</v>
      </c>
      <c r="J1486" s="0" t="str">
        <f aca="false">IF($G1486="","Uncategorized — Review",IFERROR(INDEX(Mapping!$C:$C,MATCH($G1486,Mapping!$A:$A,0)),"Uncategorized — Review"))</f>
        <v>Business Travel</v>
      </c>
    </row>
    <row r="1487" customFormat="false" ht="15" hidden="false" customHeight="false" outlineLevel="0" collapsed="false">
      <c r="A1487" s="0" t="str">
        <f aca="false">Chase1168_2025!A1487</f>
        <v>DEBIT</v>
      </c>
      <c r="B1487" s="14" t="n">
        <f aca="false">Chase1168_2025!B1487</f>
        <v>45720</v>
      </c>
      <c r="C1487" s="0" t="str">
        <f aca="false">Chase1168_2025!C1487</f>
        <v>PP*APPLE.COM/BILL 800-275-2273 CA            03/04</v>
      </c>
      <c r="D1487" s="7" t="n">
        <f aca="false">Chase1168_2025!D1487</f>
        <v>-29.99</v>
      </c>
      <c r="E1487" s="0" t="str">
        <f aca="false">Chase1168_2025!E1487</f>
        <v>DEBIT_CARD</v>
      </c>
      <c r="F1487" s="7" t="n">
        <f aca="false">Chase1168_2025!F1487</f>
        <v>7098.77</v>
      </c>
      <c r="G1487" s="0" t="str">
        <f aca="false">Chase1168_2025!G1487</f>
        <v>Personal - Subscriptions</v>
      </c>
      <c r="H1487" s="15" t="n">
        <f aca="false">IF($B1487="","",DATE(YEAR($B1487),MONTH($B1487),1))</f>
        <v>45717</v>
      </c>
      <c r="I1487" s="0" t="str">
        <f aca="false">IF($G1487="","Uncategorized — Review",IFERROR(INDEX(Mapping!$B:$B,MATCH($G1487,Mapping!$A:$A,0)),"Uncategorized — Review"))</f>
        <v>Personal - Subscriptions</v>
      </c>
      <c r="J1487" s="0" t="str">
        <f aca="false">IF($G1487="","Uncategorized — Review",IFERROR(INDEX(Mapping!$C:$C,MATCH($G1487,Mapping!$A:$A,0)),"Uncategorized — Review"))</f>
        <v>Personal — Owner</v>
      </c>
    </row>
    <row r="1488" customFormat="false" ht="15" hidden="false" customHeight="false" outlineLevel="0" collapsed="false">
      <c r="A1488" s="0" t="str">
        <f aca="false">Chase1168_2025!A1488</f>
        <v>DEBIT</v>
      </c>
      <c r="B1488" s="14" t="n">
        <f aca="false">Chase1168_2025!B1488</f>
        <v>45720</v>
      </c>
      <c r="C1488" s="0" t="str">
        <f aca="false">Chase1168_2025!C1488</f>
        <v>PAYPAL *SANDYPR COM 402-935-7733 CA          03/03</v>
      </c>
      <c r="D1488" s="7" t="n">
        <f aca="false">Chase1168_2025!D1488</f>
        <v>-300</v>
      </c>
      <c r="E1488" s="0" t="str">
        <f aca="false">Chase1168_2025!E1488</f>
        <v>DEBIT_CARD</v>
      </c>
      <c r="F1488" s="7" t="n">
        <f aca="false">Chase1168_2025!F1488</f>
        <v>7128.76</v>
      </c>
      <c r="G1488" s="0" t="str">
        <f aca="false">Chase1168_2025!G1488</f>
        <v>Sandy PR Payment</v>
      </c>
      <c r="H1488" s="15" t="n">
        <f aca="false">IF($B1488="","",DATE(YEAR($B1488),MONTH($B1488),1))</f>
        <v>45717</v>
      </c>
      <c r="I1488" s="0" t="str">
        <f aca="false">IF($G1488="","Uncategorized — Review",IFERROR(INDEX(Mapping!$B:$B,MATCH($G1488,Mapping!$A:$A,0)),"Uncategorized — Review"))</f>
        <v>Sandy PR Payment</v>
      </c>
      <c r="J1488" s="0" t="str">
        <f aca="false">IF($G1488="","Uncategorized — Review",IFERROR(INDEX(Mapping!$C:$C,MATCH($G1488,Mapping!$A:$A,0)),"Uncategorized — Review"))</f>
        <v>DWG Operating</v>
      </c>
    </row>
    <row r="1489" customFormat="false" ht="15" hidden="false" customHeight="false" outlineLevel="0" collapsed="false">
      <c r="A1489" s="0" t="str">
        <f aca="false">Chase1168_2025!A1489</f>
        <v>DEBIT</v>
      </c>
      <c r="B1489" s="14" t="n">
        <f aca="false">Chase1168_2025!B1489</f>
        <v>45720</v>
      </c>
      <c r="C1489" s="0" t="str">
        <f aca="false">Chase1168_2025!C1489</f>
        <v>PAYPAL *PRAGERUNIVE P 833-772-4378 CA        03/03</v>
      </c>
      <c r="D1489" s="7" t="n">
        <f aca="false">Chase1168_2025!D1489</f>
        <v>-10.78</v>
      </c>
      <c r="E1489" s="0" t="str">
        <f aca="false">Chase1168_2025!E1489</f>
        <v>DEBIT_CARD</v>
      </c>
      <c r="F1489" s="7" t="n">
        <f aca="false">Chase1168_2025!F1489</f>
        <v>7428.76</v>
      </c>
      <c r="G1489" s="0" t="str">
        <f aca="false">Chase1168_2025!G1489</f>
        <v>DWGCP Business Development</v>
      </c>
      <c r="H1489" s="15" t="n">
        <f aca="false">IF($B1489="","",DATE(YEAR($B1489),MONTH($B1489),1))</f>
        <v>45717</v>
      </c>
      <c r="I1489" s="0" t="str">
        <f aca="false">IF($G1489="","Uncategorized — Review",IFERROR(INDEX(Mapping!$B:$B,MATCH($G1489,Mapping!$A:$A,0)),"Uncategorized — Review"))</f>
        <v>DWGCP Business Development</v>
      </c>
      <c r="J1489" s="0" t="str">
        <f aca="false">IF($G1489="","Uncategorized — Review",IFERROR(INDEX(Mapping!$C:$C,MATCH($G1489,Mapping!$A:$A,0)),"Uncategorized — Review"))</f>
        <v>DWG Operating</v>
      </c>
    </row>
    <row r="1490" customFormat="false" ht="15" hidden="false" customHeight="false" outlineLevel="0" collapsed="false">
      <c r="A1490" s="0" t="str">
        <f aca="false">Chase1168_2025!A1490</f>
        <v>DEBIT</v>
      </c>
      <c r="B1490" s="14" t="n">
        <f aca="false">Chase1168_2025!B1490</f>
        <v>45719</v>
      </c>
      <c r="C1490" s="0" t="str">
        <f aca="false">Chase1168_2025!C1490</f>
        <v>STANDARD ACH PMNTS INITIAL FEE QTY = 7</v>
      </c>
      <c r="D1490" s="7" t="n">
        <f aca="false">Chase1168_2025!D1490</f>
        <v>-17.5</v>
      </c>
      <c r="E1490" s="0" t="str">
        <f aca="false">Chase1168_2025!E1490</f>
        <v>FEE_TRANSACTION</v>
      </c>
      <c r="F1490" s="7" t="n">
        <f aca="false">Chase1168_2025!F1490</f>
        <v>7439.54</v>
      </c>
      <c r="G1490" s="0" t="str">
        <f aca="false">Chase1168_2025!G1490</f>
        <v>Bank Fees</v>
      </c>
      <c r="H1490" s="15" t="n">
        <f aca="false">IF($B1490="","",DATE(YEAR($B1490),MONTH($B1490),1))</f>
        <v>45717</v>
      </c>
      <c r="I1490" s="0" t="str">
        <f aca="false">IF($G1490="","Uncategorized — Review",IFERROR(INDEX(Mapping!$B:$B,MATCH($G1490,Mapping!$A:$A,0)),"Uncategorized — Review"))</f>
        <v>Bank Fees</v>
      </c>
      <c r="J1490" s="0" t="str">
        <f aca="false">IF($G1490="","Uncategorized — Review",IFERROR(INDEX(Mapping!$C:$C,MATCH($G1490,Mapping!$A:$A,0)),"Uncategorized — Review"))</f>
        <v>DWG Operating</v>
      </c>
    </row>
    <row r="1491" customFormat="false" ht="15" hidden="false" customHeight="false" outlineLevel="0" collapsed="false">
      <c r="A1491" s="0" t="str">
        <f aca="false">Chase1168_2025!A1491</f>
        <v>DEBIT</v>
      </c>
      <c r="B1491" s="14" t="n">
        <f aca="false">Chase1168_2025!B1491</f>
        <v>45719</v>
      </c>
      <c r="C1491" s="0" t="str">
        <f aca="false">Chase1168_2025!C1491</f>
        <v>ORIG CO NAME:BLUESHIELDCA           ORIG ID:7529219311 DESC DATE:250228 CO ENTRY DESCR:BILL PAY  SEC:CCD    TRACE#:031101117496778 EED:250303   IND ID:15649262731                  IND NAME:ANGELA DUNNING TRN: 0627496778TC</v>
      </c>
      <c r="D1491" s="7" t="n">
        <f aca="false">Chase1168_2025!D1491</f>
        <v>-86.47</v>
      </c>
      <c r="E1491" s="0" t="str">
        <f aca="false">Chase1168_2025!E1491</f>
        <v>ACH_DEBIT</v>
      </c>
      <c r="F1491" s="7" t="n">
        <f aca="false">Chase1168_2025!F1491</f>
        <v>7457.04</v>
      </c>
      <c r="G1491" s="0" t="str">
        <f aca="false">Chase1168_2025!G1491</f>
        <v>Personal - Health Insurance</v>
      </c>
      <c r="H1491" s="15" t="n">
        <f aca="false">IF($B1491="","",DATE(YEAR($B1491),MONTH($B1491),1))</f>
        <v>45717</v>
      </c>
      <c r="I1491" s="0" t="str">
        <f aca="false">IF($G1491="","Uncategorized — Review",IFERROR(INDEX(Mapping!$B:$B,MATCH($G1491,Mapping!$A:$A,0)),"Uncategorized — Review"))</f>
        <v>Personal - Health (incl. Ins.)</v>
      </c>
      <c r="J1491" s="0" t="str">
        <f aca="false">IF($G1491="","Uncategorized — Review",IFERROR(INDEX(Mapping!$C:$C,MATCH($G1491,Mapping!$A:$A,0)),"Uncategorized — Review"))</f>
        <v>Personal — Owner</v>
      </c>
    </row>
    <row r="1492" customFormat="false" ht="15" hidden="false" customHeight="false" outlineLevel="0" collapsed="false">
      <c r="A1492" s="0" t="str">
        <f aca="false">Chase1168_2025!A1492</f>
        <v>DEBIT</v>
      </c>
      <c r="B1492" s="14" t="n">
        <f aca="false">Chase1168_2025!B1492</f>
        <v>45719</v>
      </c>
      <c r="C1492" s="0" t="str">
        <f aca="false">Chase1168_2025!C1492</f>
        <v>PP*APPLE.COM/BILL 800-275-2273 CA            03/03</v>
      </c>
      <c r="D1492" s="7" t="n">
        <f aca="false">Chase1168_2025!D1492</f>
        <v>-3.99</v>
      </c>
      <c r="E1492" s="0" t="str">
        <f aca="false">Chase1168_2025!E1492</f>
        <v>DEBIT_CARD</v>
      </c>
      <c r="F1492" s="7" t="n">
        <f aca="false">Chase1168_2025!F1492</f>
        <v>7543.51</v>
      </c>
      <c r="G1492" s="0" t="str">
        <f aca="false">Chase1168_2025!G1492</f>
        <v>Personal - Subscriptions</v>
      </c>
      <c r="H1492" s="15" t="n">
        <f aca="false">IF($B1492="","",DATE(YEAR($B1492),MONTH($B1492),1))</f>
        <v>45717</v>
      </c>
      <c r="I1492" s="0" t="str">
        <f aca="false">IF($G1492="","Uncategorized — Review",IFERROR(INDEX(Mapping!$B:$B,MATCH($G1492,Mapping!$A:$A,0)),"Uncategorized — Review"))</f>
        <v>Personal - Subscriptions</v>
      </c>
      <c r="J1492" s="0" t="str">
        <f aca="false">IF($G1492="","Uncategorized — Review",IFERROR(INDEX(Mapping!$C:$C,MATCH($G1492,Mapping!$A:$A,0)),"Uncategorized — Review"))</f>
        <v>Personal — Owner</v>
      </c>
    </row>
    <row r="1493" customFormat="false" ht="15" hidden="false" customHeight="false" outlineLevel="0" collapsed="false">
      <c r="A1493" s="0" t="str">
        <f aca="false">Chase1168_2025!A1493</f>
        <v>DEBIT</v>
      </c>
      <c r="B1493" s="14" t="n">
        <f aca="false">Chase1168_2025!B1493</f>
        <v>45719</v>
      </c>
      <c r="C1493" s="0" t="str">
        <f aca="false">Chase1168_2025!C1493</f>
        <v>PP*APPLE.COM/BILL 800-275-2273 CA            03/03</v>
      </c>
      <c r="D1493" s="7" t="n">
        <f aca="false">Chase1168_2025!D1493</f>
        <v>-12.99</v>
      </c>
      <c r="E1493" s="0" t="str">
        <f aca="false">Chase1168_2025!E1493</f>
        <v>DEBIT_CARD</v>
      </c>
      <c r="F1493" s="7" t="n">
        <f aca="false">Chase1168_2025!F1493</f>
        <v>7547.5</v>
      </c>
      <c r="G1493" s="0" t="str">
        <f aca="false">Chase1168_2025!G1493</f>
        <v>Personal - Subscriptions</v>
      </c>
      <c r="H1493" s="15" t="n">
        <f aca="false">IF($B1493="","",DATE(YEAR($B1493),MONTH($B1493),1))</f>
        <v>45717</v>
      </c>
      <c r="I1493" s="0" t="str">
        <f aca="false">IF($G1493="","Uncategorized — Review",IFERROR(INDEX(Mapping!$B:$B,MATCH($G1493,Mapping!$A:$A,0)),"Uncategorized — Review"))</f>
        <v>Personal - Subscriptions</v>
      </c>
      <c r="J1493" s="0" t="str">
        <f aca="false">IF($G1493="","Uncategorized — Review",IFERROR(INDEX(Mapping!$C:$C,MATCH($G1493,Mapping!$A:$A,0)),"Uncategorized — Review"))</f>
        <v>Personal — Owner</v>
      </c>
    </row>
    <row r="1494" customFormat="false" ht="15" hidden="false" customHeight="false" outlineLevel="0" collapsed="false">
      <c r="A1494" s="0" t="str">
        <f aca="false">Chase1168_2025!A1494</f>
        <v>DEBIT</v>
      </c>
      <c r="B1494" s="14" t="n">
        <f aca="false">Chase1168_2025!B1494</f>
        <v>45719</v>
      </c>
      <c r="C1494" s="0" t="str">
        <f aca="false">Chase1168_2025!C1494</f>
        <v>CURB PHOENIX TAXI QUEENS NY                  03/02</v>
      </c>
      <c r="D1494" s="7" t="n">
        <f aca="false">Chase1168_2025!D1494</f>
        <v>-47.65</v>
      </c>
      <c r="E1494" s="0" t="str">
        <f aca="false">Chase1168_2025!E1494</f>
        <v>DEBIT_CARD</v>
      </c>
      <c r="F1494" s="7" t="n">
        <f aca="false">Chase1168_2025!F1494</f>
        <v>7560.49</v>
      </c>
      <c r="G1494" s="0" t="str">
        <f aca="false">Chase1168_2025!G1494</f>
        <v>Personal - Car</v>
      </c>
      <c r="H1494" s="15" t="n">
        <f aca="false">IF($B1494="","",DATE(YEAR($B1494),MONTH($B1494),1))</f>
        <v>45717</v>
      </c>
      <c r="I1494" s="0" t="str">
        <f aca="false">IF($G1494="","Uncategorized — Review",IFERROR(INDEX(Mapping!$B:$B,MATCH($G1494,Mapping!$A:$A,0)),"Uncategorized — Review"))</f>
        <v>Personal - Car &amp; Auto</v>
      </c>
      <c r="J1494" s="0" t="str">
        <f aca="false">IF($G1494="","Uncategorized — Review",IFERROR(INDEX(Mapping!$C:$C,MATCH($G1494,Mapping!$A:$A,0)),"Uncategorized — Review"))</f>
        <v>Personal — Owner</v>
      </c>
    </row>
    <row r="1495" customFormat="false" ht="15" hidden="false" customHeight="false" outlineLevel="0" collapsed="false">
      <c r="A1495" s="0" t="str">
        <f aca="false">Chase1168_2025!A1495</f>
        <v>DEBIT</v>
      </c>
      <c r="B1495" s="14" t="n">
        <f aca="false">Chase1168_2025!B1495</f>
        <v>45719</v>
      </c>
      <c r="C1495" s="0" t="str">
        <f aca="false">Chase1168_2025!C1495</f>
        <v>AA WIFI 1-888-649-6711 Fort Worth TX         03/02</v>
      </c>
      <c r="D1495" s="7" t="n">
        <f aca="false">Chase1168_2025!D1495</f>
        <v>-12</v>
      </c>
      <c r="E1495" s="0" t="str">
        <f aca="false">Chase1168_2025!E1495</f>
        <v>DEBIT_CARD</v>
      </c>
      <c r="F1495" s="7" t="n">
        <f aca="false">Chase1168_2025!F1495</f>
        <v>7608.14</v>
      </c>
      <c r="G1495" s="0" t="str">
        <f aca="false">Chase1168_2025!G1495</f>
        <v>Travel</v>
      </c>
      <c r="H1495" s="15" t="n">
        <f aca="false">IF($B1495="","",DATE(YEAR($B1495),MONTH($B1495),1))</f>
        <v>45717</v>
      </c>
      <c r="I1495" s="0" t="str">
        <f aca="false">IF($G1495="","Uncategorized — Review",IFERROR(INDEX(Mapping!$B:$B,MATCH($G1495,Mapping!$A:$A,0)),"Uncategorized — Review"))</f>
        <v>Travel</v>
      </c>
      <c r="J1495" s="0" t="str">
        <f aca="false">IF($G1495="","Uncategorized — Review",IFERROR(INDEX(Mapping!$C:$C,MATCH($G1495,Mapping!$A:$A,0)),"Uncategorized — Review"))</f>
        <v>Business Travel</v>
      </c>
    </row>
    <row r="1496" customFormat="false" ht="15" hidden="false" customHeight="false" outlineLevel="0" collapsed="false">
      <c r="A1496" s="0" t="str">
        <f aca="false">Chase1168_2025!A1496</f>
        <v>DEBIT</v>
      </c>
      <c r="B1496" s="14" t="n">
        <f aca="false">Chase1168_2025!B1496</f>
        <v>45719</v>
      </c>
      <c r="C1496" s="0" t="str">
        <f aca="false">Chase1168_2025!C1496</f>
        <v>PAYPAL *UBER 866-576-1039 CA                 03/02</v>
      </c>
      <c r="D1496" s="7" t="n">
        <f aca="false">Chase1168_2025!D1496</f>
        <v>-29.91</v>
      </c>
      <c r="E1496" s="0" t="str">
        <f aca="false">Chase1168_2025!E1496</f>
        <v>DEBIT_CARD</v>
      </c>
      <c r="F1496" s="7" t="n">
        <f aca="false">Chase1168_2025!F1496</f>
        <v>7620.14</v>
      </c>
      <c r="G1496" s="0" t="str">
        <f aca="false">Chase1168_2025!G1496</f>
        <v>Personal - Car</v>
      </c>
      <c r="H1496" s="15" t="n">
        <f aca="false">IF($B1496="","",DATE(YEAR($B1496),MONTH($B1496),1))</f>
        <v>45717</v>
      </c>
      <c r="I1496" s="0" t="str">
        <f aca="false">IF($G1496="","Uncategorized — Review",IFERROR(INDEX(Mapping!$B:$B,MATCH($G1496,Mapping!$A:$A,0)),"Uncategorized — Review"))</f>
        <v>Personal - Car &amp; Auto</v>
      </c>
      <c r="J1496" s="0" t="str">
        <f aca="false">IF($G1496="","Uncategorized — Review",IFERROR(INDEX(Mapping!$C:$C,MATCH($G1496,Mapping!$A:$A,0)),"Uncategorized — Review"))</f>
        <v>Personal — Owner</v>
      </c>
    </row>
    <row r="1497" customFormat="false" ht="15" hidden="false" customHeight="false" outlineLevel="0" collapsed="false">
      <c r="A1497" s="0" t="str">
        <f aca="false">Chase1168_2025!A1497</f>
        <v>DEBIT</v>
      </c>
      <c r="B1497" s="14" t="n">
        <f aca="false">Chase1168_2025!B1497</f>
        <v>45719</v>
      </c>
      <c r="C1497" s="0" t="str">
        <f aca="false">Chase1168_2025!C1497</f>
        <v>PAYPAL *UBER 866-576-1039 CA                 03/03</v>
      </c>
      <c r="D1497" s="7" t="n">
        <f aca="false">Chase1168_2025!D1497</f>
        <v>-17.07</v>
      </c>
      <c r="E1497" s="0" t="str">
        <f aca="false">Chase1168_2025!E1497</f>
        <v>DEBIT_CARD</v>
      </c>
      <c r="F1497" s="7" t="n">
        <f aca="false">Chase1168_2025!F1497</f>
        <v>7650.05</v>
      </c>
      <c r="G1497" s="0" t="str">
        <f aca="false">Chase1168_2025!G1497</f>
        <v>Personal - Car</v>
      </c>
      <c r="H1497" s="15" t="n">
        <f aca="false">IF($B1497="","",DATE(YEAR($B1497),MONTH($B1497),1))</f>
        <v>45717</v>
      </c>
      <c r="I1497" s="0" t="str">
        <f aca="false">IF($G1497="","Uncategorized — Review",IFERROR(INDEX(Mapping!$B:$B,MATCH($G1497,Mapping!$A:$A,0)),"Uncategorized — Review"))</f>
        <v>Personal - Car &amp; Auto</v>
      </c>
      <c r="J1497" s="0" t="str">
        <f aca="false">IF($G1497="","Uncategorized — Review",IFERROR(INDEX(Mapping!$C:$C,MATCH($G1497,Mapping!$A:$A,0)),"Uncategorized — Review"))</f>
        <v>Personal — Owner</v>
      </c>
    </row>
    <row r="1498" customFormat="false" ht="15" hidden="false" customHeight="false" outlineLevel="0" collapsed="false">
      <c r="A1498" s="0" t="str">
        <f aca="false">Chase1168_2025!A1498</f>
        <v>DEBIT</v>
      </c>
      <c r="B1498" s="14" t="n">
        <f aca="false">Chase1168_2025!B1498</f>
        <v>45719</v>
      </c>
      <c r="C1498" s="0" t="str">
        <f aca="false">Chase1168_2025!C1498</f>
        <v>Zelle payment to Jeff D. Farjardo JPM99b00h1sx</v>
      </c>
      <c r="D1498" s="7" t="n">
        <f aca="false">Chase1168_2025!D1498</f>
        <v>-500</v>
      </c>
      <c r="E1498" s="0" t="str">
        <f aca="false">Chase1168_2025!E1498</f>
        <v>CHASE_TO_PARTNERFI</v>
      </c>
      <c r="F1498" s="7" t="n">
        <f aca="false">Chase1168_2025!F1498</f>
        <v>7667.12</v>
      </c>
      <c r="G1498" s="0" t="str">
        <f aca="false">Chase1168_2025!G1498</f>
        <v>Zelle - Jeff Fajardo</v>
      </c>
      <c r="H1498" s="15" t="n">
        <f aca="false">IF($B1498="","",DATE(YEAR($B1498),MONTH($B1498),1))</f>
        <v>45717</v>
      </c>
      <c r="I1498" s="0" t="str">
        <f aca="false">IF($G1498="","Uncategorized — Review",IFERROR(INDEX(Mapping!$B:$B,MATCH($G1498,Mapping!$A:$A,0)),"Uncategorized — Review"))</f>
        <v>Zelle - Jeff Fajardo</v>
      </c>
      <c r="J1498" s="0" t="str">
        <f aca="false">IF($G1498="","Uncategorized — Review",IFERROR(INDEX(Mapping!$C:$C,MATCH($G1498,Mapping!$A:$A,0)),"Uncategorized — Review"))</f>
        <v>P2P Payments (Zelle/Venmo/PayPal)</v>
      </c>
    </row>
    <row r="1499" customFormat="false" ht="15" hidden="false" customHeight="false" outlineLevel="0" collapsed="false">
      <c r="A1499" s="0" t="str">
        <f aca="false">Chase1168_2025!A1499</f>
        <v>DEBIT</v>
      </c>
      <c r="B1499" s="14" t="n">
        <f aca="false">Chase1168_2025!B1499</f>
        <v>45719</v>
      </c>
      <c r="C1499" s="0" t="str">
        <f aca="false">Chase1168_2025!C1499</f>
        <v>PAYPAL *DIRECTV 800-531-5000 TX              03/02</v>
      </c>
      <c r="D1499" s="7" t="n">
        <f aca="false">Chase1168_2025!D1499</f>
        <v>-101.99</v>
      </c>
      <c r="E1499" s="0" t="str">
        <f aca="false">Chase1168_2025!E1499</f>
        <v>DEBIT_CARD</v>
      </c>
      <c r="F1499" s="7" t="n">
        <f aca="false">Chase1168_2025!F1499</f>
        <v>8167.12</v>
      </c>
      <c r="G1499" s="0" t="str">
        <f aca="false">Chase1168_2025!G1499</f>
        <v>Personal - Subscriptions</v>
      </c>
      <c r="H1499" s="15" t="n">
        <f aca="false">IF($B1499="","",DATE(YEAR($B1499),MONTH($B1499),1))</f>
        <v>45717</v>
      </c>
      <c r="I1499" s="0" t="str">
        <f aca="false">IF($G1499="","Uncategorized — Review",IFERROR(INDEX(Mapping!$B:$B,MATCH($G1499,Mapping!$A:$A,0)),"Uncategorized — Review"))</f>
        <v>Personal - Subscriptions</v>
      </c>
      <c r="J1499" s="0" t="str">
        <f aca="false">IF($G1499="","Uncategorized — Review",IFERROR(INDEX(Mapping!$C:$C,MATCH($G1499,Mapping!$A:$A,0)),"Uncategorized — Review"))</f>
        <v>Personal — Owner</v>
      </c>
    </row>
    <row r="1500" customFormat="false" ht="15" hidden="false" customHeight="false" outlineLevel="0" collapsed="false">
      <c r="A1500" s="0" t="str">
        <f aca="false">Chase1168_2025!A1500</f>
        <v>DEBIT</v>
      </c>
      <c r="B1500" s="14" t="n">
        <f aca="false">Chase1168_2025!B1500</f>
        <v>45719</v>
      </c>
      <c r="C1500" s="0" t="str">
        <f aca="false">Chase1168_2025!C1500</f>
        <v>PP*APPLE.COM/BILL 800-275-2273 CA            03/02</v>
      </c>
      <c r="D1500" s="7" t="n">
        <f aca="false">Chase1168_2025!D1500</f>
        <v>-8.99</v>
      </c>
      <c r="E1500" s="0" t="str">
        <f aca="false">Chase1168_2025!E1500</f>
        <v>DEBIT_CARD</v>
      </c>
      <c r="F1500" s="7" t="n">
        <f aca="false">Chase1168_2025!F1500</f>
        <v>8269.11</v>
      </c>
      <c r="G1500" s="0" t="str">
        <f aca="false">Chase1168_2025!G1500</f>
        <v>Personal - Subscriptions</v>
      </c>
      <c r="H1500" s="15" t="n">
        <f aca="false">IF($B1500="","",DATE(YEAR($B1500),MONTH($B1500),1))</f>
        <v>45717</v>
      </c>
      <c r="I1500" s="0" t="str">
        <f aca="false">IF($G1500="","Uncategorized — Review",IFERROR(INDEX(Mapping!$B:$B,MATCH($G1500,Mapping!$A:$A,0)),"Uncategorized — Review"))</f>
        <v>Personal - Subscriptions</v>
      </c>
      <c r="J1500" s="0" t="str">
        <f aca="false">IF($G1500="","Uncategorized — Review",IFERROR(INDEX(Mapping!$C:$C,MATCH($G1500,Mapping!$A:$A,0)),"Uncategorized — Review"))</f>
        <v>Personal — Owner</v>
      </c>
    </row>
    <row r="1501" customFormat="false" ht="15" hidden="false" customHeight="false" outlineLevel="0" collapsed="false">
      <c r="A1501" s="0" t="str">
        <f aca="false">Chase1168_2025!A1501</f>
        <v>DEBIT</v>
      </c>
      <c r="B1501" s="14" t="n">
        <f aca="false">Chase1168_2025!B1501</f>
        <v>45719</v>
      </c>
      <c r="C1501" s="0" t="str">
        <f aca="false">Chase1168_2025!C1501</f>
        <v>FOLLOW YOUR HEART MARK CANOGA PARK CA131399  03/01</v>
      </c>
      <c r="D1501" s="7" t="n">
        <f aca="false">Chase1168_2025!D1501</f>
        <v>-623.04</v>
      </c>
      <c r="E1501" s="0" t="str">
        <f aca="false">Chase1168_2025!E1501</f>
        <v>DEBIT_CARD</v>
      </c>
      <c r="F1501" s="7" t="n">
        <f aca="false">Chase1168_2025!F1501</f>
        <v>8278.1</v>
      </c>
      <c r="G1501" s="0" t="str">
        <f aca="false">Chase1168_2025!G1501</f>
        <v>Personal - Food</v>
      </c>
      <c r="H1501" s="15" t="n">
        <f aca="false">IF($B1501="","",DATE(YEAR($B1501),MONTH($B1501),1))</f>
        <v>45717</v>
      </c>
      <c r="I1501" s="0" t="str">
        <f aca="false">IF($G1501="","Uncategorized — Review",IFERROR(INDEX(Mapping!$B:$B,MATCH($G1501,Mapping!$A:$A,0)),"Uncategorized — Review"))</f>
        <v>Personal - Food &amp; Dining</v>
      </c>
      <c r="J1501" s="0" t="str">
        <f aca="false">IF($G1501="","Uncategorized — Review",IFERROR(INDEX(Mapping!$C:$C,MATCH($G1501,Mapping!$A:$A,0)),"Uncategorized — Review"))</f>
        <v>Personal — Owner</v>
      </c>
    </row>
    <row r="1502" customFormat="false" ht="15" hidden="false" customHeight="false" outlineLevel="0" collapsed="false">
      <c r="A1502" s="0" t="str">
        <f aca="false">Chase1168_2025!A1502</f>
        <v>DEBIT</v>
      </c>
      <c r="B1502" s="14" t="n">
        <f aca="false">Chase1168_2025!B1502</f>
        <v>45719</v>
      </c>
      <c r="C1502" s="0" t="str">
        <f aca="false">Chase1168_2025!C1502</f>
        <v>PAYPAL *HULU 877-801-5441 CA                 03/02</v>
      </c>
      <c r="D1502" s="7" t="n">
        <f aca="false">Chase1168_2025!D1502</f>
        <v>-18.99</v>
      </c>
      <c r="E1502" s="0" t="str">
        <f aca="false">Chase1168_2025!E1502</f>
        <v>DEBIT_CARD</v>
      </c>
      <c r="F1502" s="7" t="n">
        <f aca="false">Chase1168_2025!F1502</f>
        <v>8901.14</v>
      </c>
      <c r="G1502" s="0" t="str">
        <f aca="false">Chase1168_2025!G1502</f>
        <v>Personal - Subscriptions</v>
      </c>
      <c r="H1502" s="15" t="n">
        <f aca="false">IF($B1502="","",DATE(YEAR($B1502),MONTH($B1502),1))</f>
        <v>45717</v>
      </c>
      <c r="I1502" s="0" t="str">
        <f aca="false">IF($G1502="","Uncategorized — Review",IFERROR(INDEX(Mapping!$B:$B,MATCH($G1502,Mapping!$A:$A,0)),"Uncategorized — Review"))</f>
        <v>Personal - Subscriptions</v>
      </c>
      <c r="J1502" s="0" t="str">
        <f aca="false">IF($G1502="","Uncategorized — Review",IFERROR(INDEX(Mapping!$C:$C,MATCH($G1502,Mapping!$A:$A,0)),"Uncategorized — Review"))</f>
        <v>Personal — Owner</v>
      </c>
    </row>
    <row r="1503" customFormat="false" ht="15" hidden="false" customHeight="false" outlineLevel="0" collapsed="false">
      <c r="A1503" s="0" t="str">
        <f aca="false">Chase1168_2025!A1503</f>
        <v>DEBIT</v>
      </c>
      <c r="B1503" s="14" t="n">
        <f aca="false">Chase1168_2025!B1503</f>
        <v>45719</v>
      </c>
      <c r="C1503" s="0" t="str">
        <f aca="false">Chase1168_2025!C1503</f>
        <v>UP2 HOLDINGS, L WOODLAND HILL CA     238874  03/01</v>
      </c>
      <c r="D1503" s="7" t="n">
        <f aca="false">Chase1168_2025!D1503</f>
        <v>-13.37</v>
      </c>
      <c r="E1503" s="0" t="str">
        <f aca="false">Chase1168_2025!E1503</f>
        <v>DEBIT_CARD</v>
      </c>
      <c r="F1503" s="7" t="n">
        <f aca="false">Chase1168_2025!F1503</f>
        <v>8920.13</v>
      </c>
      <c r="G1503" s="0" t="str">
        <f aca="false">Chase1168_2025!G1503</f>
        <v>Personal - Car</v>
      </c>
      <c r="H1503" s="15" t="n">
        <f aca="false">IF($B1503="","",DATE(YEAR($B1503),MONTH($B1503),1))</f>
        <v>45717</v>
      </c>
      <c r="I1503" s="0" t="str">
        <f aca="false">IF($G1503="","Uncategorized — Review",IFERROR(INDEX(Mapping!$B:$B,MATCH($G1503,Mapping!$A:$A,0)),"Uncategorized — Review"))</f>
        <v>Personal - Car &amp; Auto</v>
      </c>
      <c r="J1503" s="0" t="str">
        <f aca="false">IF($G1503="","Uncategorized — Review",IFERROR(INDEX(Mapping!$C:$C,MATCH($G1503,Mapping!$A:$A,0)),"Uncategorized — Review"))</f>
        <v>Personal — Owner</v>
      </c>
    </row>
    <row r="1504" customFormat="false" ht="15" hidden="false" customHeight="false" outlineLevel="0" collapsed="false">
      <c r="A1504" s="0" t="str">
        <f aca="false">Chase1168_2025!A1504</f>
        <v>DEBIT</v>
      </c>
      <c r="B1504" s="14" t="n">
        <f aca="false">Chase1168_2025!B1504</f>
        <v>45719</v>
      </c>
      <c r="C1504" s="0" t="str">
        <f aca="false">Chase1168_2025!C1504</f>
        <v>PAYPAL *GOOGLE LLC GO 650-253-0000 CA        03/01</v>
      </c>
      <c r="D1504" s="7" t="n">
        <f aca="false">Chase1168_2025!D1504</f>
        <v>-14.4</v>
      </c>
      <c r="E1504" s="0" t="str">
        <f aca="false">Chase1168_2025!E1504</f>
        <v>DEBIT_CARD</v>
      </c>
      <c r="F1504" s="7" t="n">
        <f aca="false">Chase1168_2025!F1504</f>
        <v>8933.5</v>
      </c>
      <c r="G1504" s="0" t="str">
        <f aca="false">Chase1168_2025!G1504</f>
        <v>Personal - Subscriptions</v>
      </c>
      <c r="H1504" s="15" t="n">
        <f aca="false">IF($B1504="","",DATE(YEAR($B1504),MONTH($B1504),1))</f>
        <v>45717</v>
      </c>
      <c r="I1504" s="0" t="str">
        <f aca="false">IF($G1504="","Uncategorized — Review",IFERROR(INDEX(Mapping!$B:$B,MATCH($G1504,Mapping!$A:$A,0)),"Uncategorized — Review"))</f>
        <v>Personal - Subscriptions</v>
      </c>
      <c r="J1504" s="0" t="str">
        <f aca="false">IF($G1504="","Uncategorized — Review",IFERROR(INDEX(Mapping!$C:$C,MATCH($G1504,Mapping!$A:$A,0)),"Uncategorized — Review"))</f>
        <v>Personal — Owner</v>
      </c>
    </row>
    <row r="1505" customFormat="false" ht="15" hidden="false" customHeight="false" outlineLevel="0" collapsed="false">
      <c r="A1505" s="0" t="str">
        <f aca="false">Chase1168_2025!A1505</f>
        <v>DEBIT</v>
      </c>
      <c r="B1505" s="14" t="n">
        <f aca="false">Chase1168_2025!B1505</f>
        <v>45719</v>
      </c>
      <c r="C1505" s="0" t="str">
        <f aca="false">Chase1168_2025!C1505</f>
        <v>PP*APPLE.COM/BILL 800-275-2273 CA            03/01</v>
      </c>
      <c r="D1505" s="7" t="n">
        <f aca="false">Chase1168_2025!D1505</f>
        <v>-15.99</v>
      </c>
      <c r="E1505" s="0" t="str">
        <f aca="false">Chase1168_2025!E1505</f>
        <v>DEBIT_CARD</v>
      </c>
      <c r="F1505" s="7" t="n">
        <f aca="false">Chase1168_2025!F1505</f>
        <v>8947.9</v>
      </c>
      <c r="G1505" s="0" t="str">
        <f aca="false">Chase1168_2025!G1505</f>
        <v>Personal - Subscriptions</v>
      </c>
      <c r="H1505" s="15" t="n">
        <f aca="false">IF($B1505="","",DATE(YEAR($B1505),MONTH($B1505),1))</f>
        <v>45717</v>
      </c>
      <c r="I1505" s="0" t="str">
        <f aca="false">IF($G1505="","Uncategorized — Review",IFERROR(INDEX(Mapping!$B:$B,MATCH($G1505,Mapping!$A:$A,0)),"Uncategorized — Review"))</f>
        <v>Personal - Subscriptions</v>
      </c>
      <c r="J1505" s="0" t="str">
        <f aca="false">IF($G1505="","Uncategorized — Review",IFERROR(INDEX(Mapping!$C:$C,MATCH($G1505,Mapping!$A:$A,0)),"Uncategorized — Review"))</f>
        <v>Personal — Owner</v>
      </c>
    </row>
    <row r="1506" customFormat="false" ht="15" hidden="false" customHeight="false" outlineLevel="0" collapsed="false">
      <c r="A1506" s="0" t="str">
        <f aca="false">Chase1168_2025!A1506</f>
        <v>DEBIT</v>
      </c>
      <c r="B1506" s="14" t="n">
        <f aca="false">Chase1168_2025!B1506</f>
        <v>45719</v>
      </c>
      <c r="C1506" s="0" t="str">
        <f aca="false">Chase1168_2025!C1506</f>
        <v>ORIG CO NAME:GEICO                  ORIG ID:3530075853 DESC DATE:250228 CO ENTRY DESCR:PREM COLL SEC:PPD    TRACE#:021000022330817 EED:250303   IND ID:                             IND NAME:ANGELA TRN: 0622330817TC</v>
      </c>
      <c r="D1506" s="7" t="n">
        <f aca="false">Chase1168_2025!D1506</f>
        <v>-568.31</v>
      </c>
      <c r="E1506" s="0" t="str">
        <f aca="false">Chase1168_2025!E1506</f>
        <v>ACH_DEBIT</v>
      </c>
      <c r="F1506" s="7" t="n">
        <f aca="false">Chase1168_2025!F1506</f>
        <v>8963.89</v>
      </c>
      <c r="G1506" s="0" t="str">
        <f aca="false">Chase1168_2025!G1506</f>
        <v>Personal - Car Insurance</v>
      </c>
      <c r="H1506" s="15" t="n">
        <f aca="false">IF($B1506="","",DATE(YEAR($B1506),MONTH($B1506),1))</f>
        <v>45717</v>
      </c>
      <c r="I1506" s="0" t="str">
        <f aca="false">IF($G1506="","Uncategorized — Review",IFERROR(INDEX(Mapping!$B:$B,MATCH($G1506,Mapping!$A:$A,0)),"Uncategorized — Review"))</f>
        <v>Personal - Car &amp; Auto</v>
      </c>
      <c r="J1506" s="0" t="str">
        <f aca="false">IF($G1506="","Uncategorized — Review",IFERROR(INDEX(Mapping!$C:$C,MATCH($G1506,Mapping!$A:$A,0)),"Uncategorized — Review"))</f>
        <v>Personal — Owner</v>
      </c>
    </row>
    <row r="1507" customFormat="false" ht="15" hidden="false" customHeight="false" outlineLevel="0" collapsed="false">
      <c r="A1507" s="0" t="str">
        <f aca="false">Chase1168_2025!A1507</f>
        <v>DEBIT</v>
      </c>
      <c r="B1507" s="14" t="n">
        <f aca="false">Chase1168_2025!B1507</f>
        <v>45719</v>
      </c>
      <c r="C1507" s="0" t="str">
        <f aca="false">Chase1168_2025!C1507</f>
        <v>ORIG CO NAME:GEICO                  ORIG ID:3530075853 DESC DATE:250228 CO ENTRY DESCR:PREM COLL SEC:PPD    TRACE#:021000022327319 EED:250303   IND ID:                             IND NAME:ANGELA DUNNING TRN: 0622327319TC</v>
      </c>
      <c r="D1507" s="7" t="n">
        <f aca="false">Chase1168_2025!D1507</f>
        <v>-586.8</v>
      </c>
      <c r="E1507" s="0" t="str">
        <f aca="false">Chase1168_2025!E1507</f>
        <v>ACH_DEBIT</v>
      </c>
      <c r="F1507" s="7" t="n">
        <f aca="false">Chase1168_2025!F1507</f>
        <v>9532.2</v>
      </c>
      <c r="G1507" s="0" t="str">
        <f aca="false">Chase1168_2025!G1507</f>
        <v>Personal - Car Insurance</v>
      </c>
      <c r="H1507" s="15" t="n">
        <f aca="false">IF($B1507="","",DATE(YEAR($B1507),MONTH($B1507),1))</f>
        <v>45717</v>
      </c>
      <c r="I1507" s="0" t="str">
        <f aca="false">IF($G1507="","Uncategorized — Review",IFERROR(INDEX(Mapping!$B:$B,MATCH($G1507,Mapping!$A:$A,0)),"Uncategorized — Review"))</f>
        <v>Personal - Car &amp; Auto</v>
      </c>
      <c r="J1507" s="0" t="str">
        <f aca="false">IF($G1507="","Uncategorized — Review",IFERROR(INDEX(Mapping!$C:$C,MATCH($G1507,Mapping!$A:$A,0)),"Uncategorized — Review"))</f>
        <v>Personal — Owner</v>
      </c>
    </row>
    <row r="1508" customFormat="false" ht="15" hidden="false" customHeight="false" outlineLevel="0" collapsed="false">
      <c r="A1508" s="0" t="str">
        <f aca="false">Chase1168_2025!A1508</f>
        <v>DEBIT</v>
      </c>
      <c r="B1508" s="14" t="n">
        <f aca="false">Chase1168_2025!B1508</f>
        <v>45719</v>
      </c>
      <c r="C1508" s="0" t="str">
        <f aca="false">Chase1168_2025!C1508</f>
        <v>Online Transfer to CHK ...6975 transaction#: 23895689641 03/03</v>
      </c>
      <c r="D1508" s="7" t="n">
        <f aca="false">Chase1168_2025!D1508</f>
        <v>-1000</v>
      </c>
      <c r="E1508" s="0" t="str">
        <f aca="false">Chase1168_2025!E1508</f>
        <v>ACCT_XFER</v>
      </c>
      <c r="F1508" s="7" t="n">
        <f aca="false">Chase1168_2025!F1508</f>
        <v>10119</v>
      </c>
      <c r="G1508" s="0" t="str">
        <f aca="false">Chase1168_2025!G1508</f>
        <v>Transfer to Ava Perez-Dunning</v>
      </c>
      <c r="H1508" s="15" t="n">
        <f aca="false">IF($B1508="","",DATE(YEAR($B1508),MONTH($B1508),1))</f>
        <v>45717</v>
      </c>
      <c r="I1508" s="0" t="str">
        <f aca="false">IF($G1508="","Uncategorized — Review",IFERROR(INDEX(Mapping!$B:$B,MATCH($G1508,Mapping!$A:$A,0)),"Uncategorized — Review"))</f>
        <v>Transfer to Ava Perez-Dunning</v>
      </c>
      <c r="J1508" s="0" t="str">
        <f aca="false">IF($G1508="","Uncategorized — Review",IFERROR(INDEX(Mapping!$C:$C,MATCH($G1508,Mapping!$A:$A,0)),"Uncategorized — Review"))</f>
        <v>Owner / Family Distributions</v>
      </c>
    </row>
    <row r="1509" customFormat="false" ht="15" hidden="false" customHeight="false" outlineLevel="0" collapsed="false">
      <c r="A1509" s="0" t="str">
        <f aca="false">Chase1168_2025!A1509</f>
        <v>DEBIT</v>
      </c>
      <c r="B1509" s="14" t="n">
        <f aca="false">Chase1168_2025!B1509</f>
        <v>45719</v>
      </c>
      <c r="C1509" s="0" t="str">
        <f aca="false">Chase1168_2025!C1509</f>
        <v>Zelle payment to Jeffrey Seider JPM99azskt5d</v>
      </c>
      <c r="D1509" s="7" t="n">
        <f aca="false">Chase1168_2025!D1509</f>
        <v>-100</v>
      </c>
      <c r="E1509" s="0" t="str">
        <f aca="false">Chase1168_2025!E1509</f>
        <v>CHASE_TO_PARTNERFI</v>
      </c>
      <c r="F1509" s="7" t="n">
        <f aca="false">Chase1168_2025!F1509</f>
        <v>11119</v>
      </c>
      <c r="G1509" s="0" t="str">
        <f aca="false">Chase1168_2025!G1509</f>
        <v>Zelle - Jeff Seider</v>
      </c>
      <c r="H1509" s="15" t="n">
        <f aca="false">IF($B1509="","",DATE(YEAR($B1509),MONTH($B1509),1))</f>
        <v>45717</v>
      </c>
      <c r="I1509" s="0" t="str">
        <f aca="false">IF($G1509="","Uncategorized — Review",IFERROR(INDEX(Mapping!$B:$B,MATCH($G1509,Mapping!$A:$A,0)),"Uncategorized — Review"))</f>
        <v>Zelle - Jeff Seider</v>
      </c>
      <c r="J1509" s="0" t="str">
        <f aca="false">IF($G1509="","Uncategorized — Review",IFERROR(INDEX(Mapping!$C:$C,MATCH($G1509,Mapping!$A:$A,0)),"Uncategorized — Review"))</f>
        <v>P2P Payments (Zelle/Venmo/PayPal)</v>
      </c>
    </row>
    <row r="1510" customFormat="false" ht="15" hidden="false" customHeight="false" outlineLevel="0" collapsed="false">
      <c r="A1510" s="0" t="str">
        <f aca="false">Chase1168_2025!A1510</f>
        <v>DEBIT</v>
      </c>
      <c r="B1510" s="14" t="n">
        <f aca="false">Chase1168_2025!B1510</f>
        <v>45719</v>
      </c>
      <c r="C1510" s="0" t="str">
        <f aca="false">Chase1168_2025!C1510</f>
        <v>DEPT. BEACHES &amp; HARB MARINA DEL RE CA        02/28</v>
      </c>
      <c r="D1510" s="7" t="n">
        <f aca="false">Chase1168_2025!D1510</f>
        <v>-6</v>
      </c>
      <c r="E1510" s="0" t="str">
        <f aca="false">Chase1168_2025!E1510</f>
        <v>DEBIT_CARD</v>
      </c>
      <c r="F1510" s="7" t="n">
        <f aca="false">Chase1168_2025!F1510</f>
        <v>11219</v>
      </c>
      <c r="G1510" s="0" t="str">
        <f aca="false">Chase1168_2025!G1510</f>
        <v>Personal - Food</v>
      </c>
      <c r="H1510" s="15" t="n">
        <f aca="false">IF($B1510="","",DATE(YEAR($B1510),MONTH($B1510),1))</f>
        <v>45717</v>
      </c>
      <c r="I1510" s="0" t="str">
        <f aca="false">IF($G1510="","Uncategorized — Review",IFERROR(INDEX(Mapping!$B:$B,MATCH($G1510,Mapping!$A:$A,0)),"Uncategorized — Review"))</f>
        <v>Personal - Food &amp; Dining</v>
      </c>
      <c r="J1510" s="0" t="str">
        <f aca="false">IF($G1510="","Uncategorized — Review",IFERROR(INDEX(Mapping!$C:$C,MATCH($G1510,Mapping!$A:$A,0)),"Uncategorized — Review"))</f>
        <v>Personal — Owner</v>
      </c>
    </row>
    <row r="1511" customFormat="false" ht="15" hidden="false" customHeight="false" outlineLevel="0" collapsed="false">
      <c r="A1511" s="0" t="str">
        <f aca="false">Chase1168_2025!A1511</f>
        <v>DEBIT</v>
      </c>
      <c r="B1511" s="14" t="n">
        <f aca="false">Chase1168_2025!B1511</f>
        <v>45719</v>
      </c>
      <c r="C1511" s="0" t="str">
        <f aca="false">Chase1168_2025!C1511</f>
        <v>TST*BLUEYS KITCHEN MAR Los Angeles CA        02/28</v>
      </c>
      <c r="D1511" s="7" t="n">
        <f aca="false">Chase1168_2025!D1511</f>
        <v>-46.31</v>
      </c>
      <c r="E1511" s="0" t="str">
        <f aca="false">Chase1168_2025!E1511</f>
        <v>DEBIT_CARD</v>
      </c>
      <c r="F1511" s="7" t="n">
        <f aca="false">Chase1168_2025!F1511</f>
        <v>11225</v>
      </c>
      <c r="G1511" s="0" t="str">
        <f aca="false">Chase1168_2025!G1511</f>
        <v>Personal - Food</v>
      </c>
      <c r="H1511" s="15" t="n">
        <f aca="false">IF($B1511="","",DATE(YEAR($B1511),MONTH($B1511),1))</f>
        <v>45717</v>
      </c>
      <c r="I1511" s="0" t="str">
        <f aca="false">IF($G1511="","Uncategorized — Review",IFERROR(INDEX(Mapping!$B:$B,MATCH($G1511,Mapping!$A:$A,0)),"Uncategorized — Review"))</f>
        <v>Personal - Food &amp; Dining</v>
      </c>
      <c r="J1511" s="0" t="str">
        <f aca="false">IF($G1511="","Uncategorized — Review",IFERROR(INDEX(Mapping!$C:$C,MATCH($G1511,Mapping!$A:$A,0)),"Uncategorized — Review"))</f>
        <v>Personal — Owner</v>
      </c>
    </row>
    <row r="1512" customFormat="false" ht="15" hidden="false" customHeight="false" outlineLevel="0" collapsed="false">
      <c r="A1512" s="0" t="str">
        <f aca="false">Chase1168_2025!A1512</f>
        <v>DEBIT</v>
      </c>
      <c r="B1512" s="14" t="n">
        <f aca="false">Chase1168_2025!B1512</f>
        <v>45719</v>
      </c>
      <c r="C1512" s="0" t="str">
        <f aca="false">Chase1168_2025!C1512</f>
        <v>SQ *ALANA'S COFFEE ROA Los Angeles CA        02/28</v>
      </c>
      <c r="D1512" s="7" t="n">
        <f aca="false">Chase1168_2025!D1512</f>
        <v>-15.9</v>
      </c>
      <c r="E1512" s="0" t="str">
        <f aca="false">Chase1168_2025!E1512</f>
        <v>DEBIT_CARD</v>
      </c>
      <c r="F1512" s="7" t="n">
        <f aca="false">Chase1168_2025!F1512</f>
        <v>11271.31</v>
      </c>
      <c r="G1512" s="0" t="str">
        <f aca="false">Chase1168_2025!G1512</f>
        <v>Personal - Food</v>
      </c>
      <c r="H1512" s="15" t="n">
        <f aca="false">IF($B1512="","",DATE(YEAR($B1512),MONTH($B1512),1))</f>
        <v>45717</v>
      </c>
      <c r="I1512" s="0" t="str">
        <f aca="false">IF($G1512="","Uncategorized — Review",IFERROR(INDEX(Mapping!$B:$B,MATCH($G1512,Mapping!$A:$A,0)),"Uncategorized — Review"))</f>
        <v>Personal - Food &amp; Dining</v>
      </c>
      <c r="J1512" s="0" t="str">
        <f aca="false">IF($G1512="","Uncategorized — Review",IFERROR(INDEX(Mapping!$C:$C,MATCH($G1512,Mapping!$A:$A,0)),"Uncategorized — Review"))</f>
        <v>Personal — Owner</v>
      </c>
    </row>
    <row r="1513" customFormat="false" ht="15" hidden="false" customHeight="false" outlineLevel="0" collapsed="false">
      <c r="A1513" s="0" t="str">
        <f aca="false">Chase1168_2025!A1513</f>
        <v>DEBIT</v>
      </c>
      <c r="B1513" s="14" t="n">
        <f aca="false">Chase1168_2025!B1513</f>
        <v>45719</v>
      </c>
      <c r="C1513" s="0" t="str">
        <f aca="false">Chase1168_2025!C1513</f>
        <v>PP*APPLE.COM/BILL 800-275-2273 CA            02/28</v>
      </c>
      <c r="D1513" s="7" t="n">
        <f aca="false">Chase1168_2025!D1513</f>
        <v>-18.99</v>
      </c>
      <c r="E1513" s="0" t="str">
        <f aca="false">Chase1168_2025!E1513</f>
        <v>DEBIT_CARD</v>
      </c>
      <c r="F1513" s="7" t="n">
        <f aca="false">Chase1168_2025!F1513</f>
        <v>11287.21</v>
      </c>
      <c r="G1513" s="0" t="str">
        <f aca="false">Chase1168_2025!G1513</f>
        <v>Personal - Subscriptions</v>
      </c>
      <c r="H1513" s="15" t="n">
        <f aca="false">IF($B1513="","",DATE(YEAR($B1513),MONTH($B1513),1))</f>
        <v>45717</v>
      </c>
      <c r="I1513" s="0" t="str">
        <f aca="false">IF($G1513="","Uncategorized — Review",IFERROR(INDEX(Mapping!$B:$B,MATCH($G1513,Mapping!$A:$A,0)),"Uncategorized — Review"))</f>
        <v>Personal - Subscriptions</v>
      </c>
      <c r="J1513" s="0" t="str">
        <f aca="false">IF($G1513="","Uncategorized — Review",IFERROR(INDEX(Mapping!$C:$C,MATCH($G1513,Mapping!$A:$A,0)),"Uncategorized — Review"))</f>
        <v>Personal — Owner</v>
      </c>
    </row>
    <row r="1514" customFormat="false" ht="15" hidden="false" customHeight="false" outlineLevel="0" collapsed="false">
      <c r="A1514" s="0" t="str">
        <f aca="false">Chase1168_2025!A1514</f>
        <v>DEBIT</v>
      </c>
      <c r="B1514" s="14" t="n">
        <f aca="false">Chase1168_2025!B1514</f>
        <v>45716</v>
      </c>
      <c r="C1514" s="0" t="str">
        <f aca="false">Chase1168_2025!C1514</f>
        <v>ORIG CO NAME:TXU ENERGY             ORIG ID:1001020329 DESC DATE:       CO ENTRY DESCR:TXUE_ACH  SEC:WEB    TRACE#:021000021568565 EED:250228   IND ID:900062431557                 IND NAME:DWG CAPITAL GROUP          17333702810000000000000000000003566 6735473                                       DIRECT DEBITING TRN: 0591568565TC</v>
      </c>
      <c r="D1514" s="7" t="n">
        <f aca="false">Chase1168_2025!D1514</f>
        <v>-613.85</v>
      </c>
      <c r="E1514" s="0" t="str">
        <f aca="false">Chase1168_2025!E1514</f>
        <v>ACH_DEBIT</v>
      </c>
      <c r="F1514" s="7" t="n">
        <f aca="false">Chase1168_2025!F1514</f>
        <v>11306.2</v>
      </c>
      <c r="G1514" s="0" t="str">
        <f aca="false">Chase1168_2025!G1514</f>
        <v>Texas - House Utilities</v>
      </c>
      <c r="H1514" s="15" t="n">
        <f aca="false">IF($B1514="","",DATE(YEAR($B1514),MONTH($B1514),1))</f>
        <v>45689</v>
      </c>
      <c r="I1514" s="0" t="str">
        <f aca="false">IF($G1514="","Uncategorized — Review",IFERROR(INDEX(Mapping!$B:$B,MATCH($G1514,Mapping!$A:$A,0)),"Uncategorized — Review"))</f>
        <v>Texas - House Utilities</v>
      </c>
      <c r="J1514" s="0" t="str">
        <f aca="false">IF($G1514="","Uncategorized — Review",IFERROR(INDEX(Mapping!$C:$C,MATCH($G1514,Mapping!$A:$A,0)),"Uncategorized — Review"))</f>
        <v>Personal — Owner</v>
      </c>
    </row>
    <row r="1515" customFormat="false" ht="15" hidden="false" customHeight="false" outlineLevel="0" collapsed="false">
      <c r="A1515" s="0" t="str">
        <f aca="false">Chase1168_2025!A1515</f>
        <v>DEBIT</v>
      </c>
      <c r="B1515" s="14" t="n">
        <f aca="false">Chase1168_2025!B1515</f>
        <v>45716</v>
      </c>
      <c r="C1515" s="0" t="str">
        <f aca="false">Chase1168_2025!C1515</f>
        <v>ORIG CO NAME:BANNER LIFE            ORIG ID:1521236145 DESC DATE:250227 CO ENTRY DESCR:PREM DEBITSEC:PPD    TRACE#:091000012986616 EED:250228   IND ID:                             IND NAME:ANGELA L DUNNING TRN: 0592986616TC</v>
      </c>
      <c r="D1515" s="7" t="n">
        <f aca="false">Chase1168_2025!D1515</f>
        <v>-12.5</v>
      </c>
      <c r="E1515" s="0" t="str">
        <f aca="false">Chase1168_2025!E1515</f>
        <v>ACH_DEBIT</v>
      </c>
      <c r="F1515" s="7" t="n">
        <f aca="false">Chase1168_2025!F1515</f>
        <v>11920.05</v>
      </c>
      <c r="G1515" s="0" t="str">
        <f aca="false">Chase1168_2025!G1515</f>
        <v>Personal - Life Insurance</v>
      </c>
      <c r="H1515" s="15" t="n">
        <f aca="false">IF($B1515="","",DATE(YEAR($B1515),MONTH($B1515),1))</f>
        <v>45689</v>
      </c>
      <c r="I1515" s="0" t="str">
        <f aca="false">IF($G1515="","Uncategorized — Review",IFERROR(INDEX(Mapping!$B:$B,MATCH($G1515,Mapping!$A:$A,0)),"Uncategorized — Review"))</f>
        <v>Personal - Life Insurance</v>
      </c>
      <c r="J1515" s="0" t="str">
        <f aca="false">IF($G1515="","Uncategorized — Review",IFERROR(INDEX(Mapping!$C:$C,MATCH($G1515,Mapping!$A:$A,0)),"Uncategorized — Review"))</f>
        <v>Personal — Owner</v>
      </c>
    </row>
    <row r="1516" customFormat="false" ht="15" hidden="false" customHeight="false" outlineLevel="0" collapsed="false">
      <c r="A1516" s="0" t="str">
        <f aca="false">Chase1168_2025!A1516</f>
        <v>DEBIT</v>
      </c>
      <c r="B1516" s="14" t="n">
        <f aca="false">Chase1168_2025!B1516</f>
        <v>45716</v>
      </c>
      <c r="C1516" s="0" t="str">
        <f aca="false">Chase1168_2025!C1516</f>
        <v>ORIG CO NAME:BANNER LIFE            ORIG ID:1521236145 DESC DATE:250227 CO ENTRY DESCR:PREM DEBITSEC:PPD    TRACE#:091000012986617 EED:250228   IND ID:                             IND NAME:JOHN  DUNNING TRN: 0592986617TC</v>
      </c>
      <c r="D1516" s="7" t="n">
        <f aca="false">Chase1168_2025!D1516</f>
        <v>-22.92</v>
      </c>
      <c r="E1516" s="0" t="str">
        <f aca="false">Chase1168_2025!E1516</f>
        <v>ACH_DEBIT</v>
      </c>
      <c r="F1516" s="7" t="n">
        <f aca="false">Chase1168_2025!F1516</f>
        <v>11932.55</v>
      </c>
      <c r="G1516" s="0" t="str">
        <f aca="false">Chase1168_2025!G1516</f>
        <v>Personal - Life Insurance</v>
      </c>
      <c r="H1516" s="15" t="n">
        <f aca="false">IF($B1516="","",DATE(YEAR($B1516),MONTH($B1516),1))</f>
        <v>45689</v>
      </c>
      <c r="I1516" s="0" t="str">
        <f aca="false">IF($G1516="","Uncategorized — Review",IFERROR(INDEX(Mapping!$B:$B,MATCH($G1516,Mapping!$A:$A,0)),"Uncategorized — Review"))</f>
        <v>Personal - Life Insurance</v>
      </c>
      <c r="J1516" s="0" t="str">
        <f aca="false">IF($G1516="","Uncategorized — Review",IFERROR(INDEX(Mapping!$C:$C,MATCH($G1516,Mapping!$A:$A,0)),"Uncategorized — Review"))</f>
        <v>Personal — Owner</v>
      </c>
    </row>
    <row r="1517" customFormat="false" ht="15" hidden="false" customHeight="false" outlineLevel="0" collapsed="false">
      <c r="A1517" s="0" t="str">
        <f aca="false">Chase1168_2025!A1517</f>
        <v>DEBIT</v>
      </c>
      <c r="B1517" s="14" t="n">
        <f aca="false">Chase1168_2025!B1517</f>
        <v>45716</v>
      </c>
      <c r="C1517" s="0" t="str">
        <f aca="false">Chase1168_2025!C1517</f>
        <v>ORIG CO NAME:MBFS.COM               ORIG ID:1850860002 DESC DATE:250228 CO ENTRY DESCR:Auto Pay  SEC:WEB    TRACE#:021000022308216 EED:250228   IND ID:5002505795                   IND NAME:John B. Dunning TRN: 0592308216TC</v>
      </c>
      <c r="D1517" s="7" t="n">
        <f aca="false">Chase1168_2025!D1517</f>
        <v>-1399.46</v>
      </c>
      <c r="E1517" s="0" t="str">
        <f aca="false">Chase1168_2025!E1517</f>
        <v>ACH_DEBIT</v>
      </c>
      <c r="F1517" s="7" t="n">
        <f aca="false">Chase1168_2025!F1517</f>
        <v>11955.47</v>
      </c>
      <c r="G1517" s="0" t="str">
        <f aca="false">Chase1168_2025!G1517</f>
        <v>Personal - Car (Mercedes)</v>
      </c>
      <c r="H1517" s="15" t="n">
        <f aca="false">IF($B1517="","",DATE(YEAR($B1517),MONTH($B1517),1))</f>
        <v>45689</v>
      </c>
      <c r="I1517" s="0" t="str">
        <f aca="false">IF($G1517="","Uncategorized — Review",IFERROR(INDEX(Mapping!$B:$B,MATCH($G1517,Mapping!$A:$A,0)),"Uncategorized — Review"))</f>
        <v>Personal - Car &amp; Auto</v>
      </c>
      <c r="J1517" s="0" t="str">
        <f aca="false">IF($G1517="","Uncategorized — Review",IFERROR(INDEX(Mapping!$C:$C,MATCH($G1517,Mapping!$A:$A,0)),"Uncategorized — Review"))</f>
        <v>Personal — Owner</v>
      </c>
    </row>
    <row r="1518" customFormat="false" ht="15" hidden="false" customHeight="false" outlineLevel="0" collapsed="false">
      <c r="A1518" s="0" t="str">
        <f aca="false">Chase1168_2025!A1518</f>
        <v>DEBIT</v>
      </c>
      <c r="B1518" s="14" t="n">
        <f aca="false">Chase1168_2025!B1518</f>
        <v>45716</v>
      </c>
      <c r="C1518" s="0" t="str">
        <f aca="false">Chase1168_2025!C1518</f>
        <v>ORIG CO NAME:SBA EIDL LOAN          ORIG ID:7300000118 DESC DATE:250227 CO ENTRY DESCR:PAYMENT   SEC:CCD    TRACE#:041036044151550 EED:250228   IND ID:0000                         IND NAME:JOHN DUNNING               1871308204                                                                        ACH TRANSACTION TRN: 0594151550TC</v>
      </c>
      <c r="D1518" s="7" t="n">
        <f aca="false">Chase1168_2025!D1518</f>
        <v>-2524</v>
      </c>
      <c r="E1518" s="0" t="str">
        <f aca="false">Chase1168_2025!E1518</f>
        <v>ACH_DEBIT</v>
      </c>
      <c r="F1518" s="7" t="n">
        <f aca="false">Chase1168_2025!F1518</f>
        <v>13354.93</v>
      </c>
      <c r="G1518" s="0" t="str">
        <f aca="false">Chase1168_2025!G1518</f>
        <v>SBA EIDL Loan</v>
      </c>
      <c r="H1518" s="15" t="n">
        <f aca="false">IF($B1518="","",DATE(YEAR($B1518),MONTH($B1518),1))</f>
        <v>45689</v>
      </c>
      <c r="I1518" s="0" t="str">
        <f aca="false">IF($G1518="","Uncategorized — Review",IFERROR(INDEX(Mapping!$B:$B,MATCH($G1518,Mapping!$A:$A,0)),"Uncategorized — Review"))</f>
        <v>SBA EIDL Loan</v>
      </c>
      <c r="J1518" s="0" t="str">
        <f aca="false">IF($G1518="","Uncategorized — Review",IFERROR(INDEX(Mapping!$C:$C,MATCH($G1518,Mapping!$A:$A,0)),"Uncategorized — Review"))</f>
        <v>Credit Card &amp; Loan Payments</v>
      </c>
    </row>
    <row r="1519" customFormat="false" ht="15" hidden="false" customHeight="false" outlineLevel="0" collapsed="false">
      <c r="A1519" s="0" t="str">
        <f aca="false">Chase1168_2025!A1519</f>
        <v>DEBIT</v>
      </c>
      <c r="B1519" s="14" t="n">
        <f aca="false">Chase1168_2025!B1519</f>
        <v>45716</v>
      </c>
      <c r="C1519" s="0" t="str">
        <f aca="false">Chase1168_2025!C1519</f>
        <v>TST*BLUEYS KITCHEN MAR Los Angeles CA        02/27</v>
      </c>
      <c r="D1519" s="7" t="n">
        <f aca="false">Chase1168_2025!D1519</f>
        <v>-81.98</v>
      </c>
      <c r="E1519" s="0" t="str">
        <f aca="false">Chase1168_2025!E1519</f>
        <v>DEBIT_CARD</v>
      </c>
      <c r="F1519" s="7" t="n">
        <f aca="false">Chase1168_2025!F1519</f>
        <v>15878.93</v>
      </c>
      <c r="G1519" s="0" t="str">
        <f aca="false">Chase1168_2025!G1519</f>
        <v>Personal - Food</v>
      </c>
      <c r="H1519" s="15" t="n">
        <f aca="false">IF($B1519="","",DATE(YEAR($B1519),MONTH($B1519),1))</f>
        <v>45689</v>
      </c>
      <c r="I1519" s="0" t="str">
        <f aca="false">IF($G1519="","Uncategorized — Review",IFERROR(INDEX(Mapping!$B:$B,MATCH($G1519,Mapping!$A:$A,0)),"Uncategorized — Review"))</f>
        <v>Personal - Food &amp; Dining</v>
      </c>
      <c r="J1519" s="0" t="str">
        <f aca="false">IF($G1519="","Uncategorized — Review",IFERROR(INDEX(Mapping!$C:$C,MATCH($G1519,Mapping!$A:$A,0)),"Uncategorized — Review"))</f>
        <v>Personal — Owner</v>
      </c>
    </row>
    <row r="1520" customFormat="false" ht="15" hidden="false" customHeight="false" outlineLevel="0" collapsed="false">
      <c r="A1520" s="0" t="str">
        <f aca="false">Chase1168_2025!A1520</f>
        <v>DEBIT</v>
      </c>
      <c r="B1520" s="14" t="n">
        <f aca="false">Chase1168_2025!B1520</f>
        <v>45715</v>
      </c>
      <c r="C1520" s="0" t="str">
        <f aca="false">Chase1168_2025!C1520</f>
        <v>ONLINE FX INTERNATIONAL WIRE FEE</v>
      </c>
      <c r="D1520" s="7" t="n">
        <f aca="false">Chase1168_2025!D1520</f>
        <v>-5</v>
      </c>
      <c r="E1520" s="0" t="str">
        <f aca="false">Chase1168_2025!E1520</f>
        <v>FEE_TRANSACTION</v>
      </c>
      <c r="F1520" s="7" t="n">
        <f aca="false">Chase1168_2025!F1520</f>
        <v>15960.91</v>
      </c>
      <c r="G1520" s="0" t="str">
        <f aca="false">Chase1168_2025!G1520</f>
        <v>Andres Alarcon Payroll</v>
      </c>
      <c r="H1520" s="15" t="n">
        <f aca="false">IF($B1520="","",DATE(YEAR($B1520),MONTH($B1520),1))</f>
        <v>45689</v>
      </c>
      <c r="I1520" s="0" t="str">
        <f aca="false">IF($G1520="","Uncategorized — Review",IFERROR(INDEX(Mapping!$B:$B,MATCH($G1520,Mapping!$A:$A,0)),"Uncategorized — Review"))</f>
        <v>Andres Alarcon Payroll</v>
      </c>
      <c r="J1520" s="0" t="str">
        <f aca="false">IF($G1520="","Uncategorized — Review",IFERROR(INDEX(Mapping!$C:$C,MATCH($G1520,Mapping!$A:$A,0)),"Uncategorized — Review"))</f>
        <v>Payroll &amp; Contractors</v>
      </c>
    </row>
    <row r="1521" customFormat="false" ht="15" hidden="false" customHeight="false" outlineLevel="0" collapsed="false">
      <c r="A1521" s="0" t="str">
        <f aca="false">Chase1168_2025!A1521</f>
        <v>DEBIT</v>
      </c>
      <c r="B1521" s="14" t="n">
        <f aca="false">Chase1168_2025!B1521</f>
        <v>45715</v>
      </c>
      <c r="C1521" s="0" t="str">
        <f aca="false">Chase1168_2025!C1521</f>
        <v>Online Payment 23870558982 To PENTAGON FEDERAL CREDIT UNION 02/27</v>
      </c>
      <c r="D1521" s="7" t="n">
        <f aca="false">Chase1168_2025!D1521</f>
        <v>-7010</v>
      </c>
      <c r="E1521" s="0" t="str">
        <f aca="false">Chase1168_2025!E1521</f>
        <v>BILLPAY</v>
      </c>
      <c r="F1521" s="7" t="n">
        <f aca="false">Chase1168_2025!F1521</f>
        <v>15965.91</v>
      </c>
      <c r="G1521" s="0" t="str">
        <f aca="false">Chase1168_2025!G1521</f>
        <v>Personal - California Mortgage PMT</v>
      </c>
      <c r="H1521" s="15" t="n">
        <f aca="false">IF($B1521="","",DATE(YEAR($B1521),MONTH($B1521),1))</f>
        <v>45689</v>
      </c>
      <c r="I1521" s="0" t="str">
        <f aca="false">IF($G1521="","Uncategorized — Review",IFERROR(INDEX(Mapping!$B:$B,MATCH($G1521,Mapping!$A:$A,0)),"Uncategorized — Review"))</f>
        <v>Personal - California Mortgage PMT</v>
      </c>
      <c r="J1521" s="0" t="str">
        <f aca="false">IF($G1521="","Uncategorized — Review",IFERROR(INDEX(Mapping!$C:$C,MATCH($G1521,Mapping!$A:$A,0)),"Uncategorized — Review"))</f>
        <v>Personal — Owner</v>
      </c>
    </row>
    <row r="1522" customFormat="false" ht="15" hidden="false" customHeight="false" outlineLevel="0" collapsed="false">
      <c r="A1522" s="0" t="str">
        <f aca="false">Chase1168_2025!A1522</f>
        <v>DEBIT</v>
      </c>
      <c r="B1522" s="14" t="n">
        <f aca="false">Chase1168_2025!B1522</f>
        <v>45715</v>
      </c>
      <c r="C1522" s="0" t="str">
        <f aca="false">Chase1168_2025!C1522</f>
        <v>Online Transfer to CHK ...7899 transaction#: 23870520063 02/27</v>
      </c>
      <c r="D1522" s="7" t="n">
        <f aca="false">Chase1168_2025!D1522</f>
        <v>-6000</v>
      </c>
      <c r="E1522" s="0" t="str">
        <f aca="false">Chase1168_2025!E1522</f>
        <v>ACCT_XFER</v>
      </c>
      <c r="F1522" s="7" t="n">
        <f aca="false">Chase1168_2025!F1522</f>
        <v>22975.91</v>
      </c>
      <c r="G1522" s="0" t="str">
        <f aca="false">Chase1168_2025!G1522</f>
        <v>Transfer to TX Personal Joint</v>
      </c>
      <c r="H1522" s="15" t="n">
        <f aca="false">IF($B1522="","",DATE(YEAR($B1522),MONTH($B1522),1))</f>
        <v>45689</v>
      </c>
      <c r="I1522" s="0" t="str">
        <f aca="false">IF($G1522="","Uncategorized — Review",IFERROR(INDEX(Mapping!$B:$B,MATCH($G1522,Mapping!$A:$A,0)),"Uncategorized — Review"))</f>
        <v>Transfer to TX Personal Joint</v>
      </c>
      <c r="J1522" s="0" t="str">
        <f aca="false">IF($G1522="","Uncategorized — Review",IFERROR(INDEX(Mapping!$C:$C,MATCH($G1522,Mapping!$A:$A,0)),"Uncategorized — Review"))</f>
        <v>Owner / Family Distributions</v>
      </c>
    </row>
    <row r="1523" customFormat="false" ht="15" hidden="false" customHeight="false" outlineLevel="0" collapsed="false">
      <c r="A1523" s="0" t="str">
        <f aca="false">Chase1168_2025!A1523</f>
        <v>DEBIT</v>
      </c>
      <c r="B1523" s="14" t="n">
        <f aca="false">Chase1168_2025!B1523</f>
        <v>45715</v>
      </c>
      <c r="C1523" s="0" t="str">
        <f aca="false">Chase1168_2025!C1523</f>
        <v>Online Transfer to CHK ...1117 transaction#: 23870517982 02/27</v>
      </c>
      <c r="D1523" s="7" t="n">
        <f aca="false">Chase1168_2025!D1523</f>
        <v>-5000</v>
      </c>
      <c r="E1523" s="0" t="str">
        <f aca="false">Chase1168_2025!E1523</f>
        <v>ACCT_XFER</v>
      </c>
      <c r="F1523" s="7" t="n">
        <f aca="false">Chase1168_2025!F1523</f>
        <v>28975.91</v>
      </c>
      <c r="G1523" s="0" t="str">
        <f aca="false">Chase1168_2025!G1523</f>
        <v>Transfer to Angela Dunning</v>
      </c>
      <c r="H1523" s="15" t="n">
        <f aca="false">IF($B1523="","",DATE(YEAR($B1523),MONTH($B1523),1))</f>
        <v>45689</v>
      </c>
      <c r="I1523" s="0" t="str">
        <f aca="false">IF($G1523="","Uncategorized — Review",IFERROR(INDEX(Mapping!$B:$B,MATCH($G1523,Mapping!$A:$A,0)),"Uncategorized — Review"))</f>
        <v>Transfer to Angela Dunning</v>
      </c>
      <c r="J1523" s="0" t="str">
        <f aca="false">IF($G1523="","Uncategorized — Review",IFERROR(INDEX(Mapping!$C:$C,MATCH($G1523,Mapping!$A:$A,0)),"Uncategorized — Review"))</f>
        <v>Owner / Family Distributions</v>
      </c>
    </row>
    <row r="1524" customFormat="false" ht="15" hidden="false" customHeight="false" outlineLevel="0" collapsed="false">
      <c r="A1524" s="0" t="str">
        <f aca="false">Chase1168_2025!A1524</f>
        <v>DEBIT</v>
      </c>
      <c r="B1524" s="14" t="n">
        <f aca="false">Chase1168_2025!B1524</f>
        <v>45715</v>
      </c>
      <c r="C1524" s="0" t="str">
        <f aca="false">Chase1168_2025!C1524</f>
        <v>ORIG CO NAME:INTUIT *               ORIG ID:0000756346 DESC DATE:250227 CO ENTRY DESCR:QBooks OnlSEC:CCD    TRACE#:021000022634516 EED:250227   IND ID:6696801                      IND NAME:DWG CAPITAL GROUP                                                                                            800-446-8848 TRN: 0582634516TC</v>
      </c>
      <c r="D1524" s="7" t="n">
        <f aca="false">Chase1168_2025!D1524</f>
        <v>-157.05</v>
      </c>
      <c r="E1524" s="0" t="str">
        <f aca="false">Chase1168_2025!E1524</f>
        <v>ACH_DEBIT</v>
      </c>
      <c r="F1524" s="7" t="n">
        <f aca="false">Chase1168_2025!F1524</f>
        <v>33975.91</v>
      </c>
      <c r="G1524" s="0" t="str">
        <f aca="false">Chase1168_2025!G1524</f>
        <v>Software/Accounting</v>
      </c>
      <c r="H1524" s="15" t="n">
        <f aca="false">IF($B1524="","",DATE(YEAR($B1524),MONTH($B1524),1))</f>
        <v>45689</v>
      </c>
      <c r="I1524" s="0" t="str">
        <f aca="false">IF($G1524="","Uncategorized — Review",IFERROR(INDEX(Mapping!$B:$B,MATCH($G1524,Mapping!$A:$A,0)),"Uncategorized — Review"))</f>
        <v>Software/Accounting</v>
      </c>
      <c r="J1524" s="0" t="str">
        <f aca="false">IF($G1524="","Uncategorized — Review",IFERROR(INDEX(Mapping!$C:$C,MATCH($G1524,Mapping!$A:$A,0)),"Uncategorized — Review"))</f>
        <v>DWG Operating</v>
      </c>
    </row>
    <row r="1525" customFormat="false" ht="15" hidden="false" customHeight="false" outlineLevel="0" collapsed="false">
      <c r="A1525" s="0" t="str">
        <f aca="false">Chase1168_2025!A1525</f>
        <v>DEBIT</v>
      </c>
      <c r="B1525" s="14" t="n">
        <f aca="false">Chase1168_2025!B1525</f>
        <v>45715</v>
      </c>
      <c r="C1525" s="0" t="str">
        <f aca="false">Chase1168_2025!C1525</f>
        <v>Basic Online Payroll Payment 11161705288 to ###########4123</v>
      </c>
      <c r="D1525" s="7" t="n">
        <f aca="false">Chase1168_2025!D1525</f>
        <v>-1000</v>
      </c>
      <c r="E1525" s="0" t="str">
        <f aca="false">Chase1168_2025!E1525</f>
        <v>BASIC_PAYROLL</v>
      </c>
      <c r="F1525" s="7" t="n">
        <f aca="false">Chase1168_2025!F1525</f>
        <v>34132.96</v>
      </c>
      <c r="G1525" s="0" t="str">
        <f aca="false">Chase1168_2025!G1525</f>
        <v>Zelle - TBD</v>
      </c>
      <c r="H1525" s="15" t="n">
        <f aca="false">IF($B1525="","",DATE(YEAR($B1525),MONTH($B1525),1))</f>
        <v>45689</v>
      </c>
      <c r="I1525" s="0" t="str">
        <f aca="false">IF($G1525="","Uncategorized — Review",IFERROR(INDEX(Mapping!$B:$B,MATCH($G1525,Mapping!$A:$A,0)),"Uncategorized — Review"))</f>
        <v>Zelle - TBD</v>
      </c>
      <c r="J1525" s="0" t="str">
        <f aca="false">IF($G1525="","Uncategorized — Review",IFERROR(INDEX(Mapping!$C:$C,MATCH($G1525,Mapping!$A:$A,0)),"Uncategorized — Review"))</f>
        <v>Uncategorized — Review</v>
      </c>
    </row>
    <row r="1526" customFormat="false" ht="15" hidden="false" customHeight="false" outlineLevel="0" collapsed="false">
      <c r="A1526" s="0" t="str">
        <f aca="false">Chase1168_2025!A1526</f>
        <v>DEBIT</v>
      </c>
      <c r="B1526" s="14" t="n">
        <f aca="false">Chase1168_2025!B1526</f>
        <v>45715</v>
      </c>
      <c r="C1526" s="0" t="str">
        <f aca="false">Chase1168_2025!C1526</f>
        <v>ORIG CO NAME:VENMO                  ORIG ID:3264681992 DESC DATE:250226 CO ENTRY DESCR:PAYMENT   SEC:WEB    TRACE#:091000013063092 EED:250227   IND ID:1040531102351                IND NAME:JUDD DUNNING TRN: 0583063092TC</v>
      </c>
      <c r="D1526" s="7" t="n">
        <f aca="false">Chase1168_2025!D1526</f>
        <v>-130</v>
      </c>
      <c r="E1526" s="0" t="str">
        <f aca="false">Chase1168_2025!E1526</f>
        <v>ACH_DEBIT</v>
      </c>
      <c r="F1526" s="7" t="n">
        <f aca="false">Chase1168_2025!F1526</f>
        <v>35132.96</v>
      </c>
      <c r="G1526" s="0" t="str">
        <f aca="false">Chase1168_2025!G1526</f>
        <v>Venmo</v>
      </c>
      <c r="H1526" s="15" t="n">
        <f aca="false">IF($B1526="","",DATE(YEAR($B1526),MONTH($B1526),1))</f>
        <v>45689</v>
      </c>
      <c r="I1526" s="0" t="str">
        <f aca="false">IF($G1526="","Uncategorized — Review",IFERROR(INDEX(Mapping!$B:$B,MATCH($G1526,Mapping!$A:$A,0)),"Uncategorized — Review"))</f>
        <v>Venmo</v>
      </c>
      <c r="J1526" s="0" t="str">
        <f aca="false">IF($G1526="","Uncategorized — Review",IFERROR(INDEX(Mapping!$C:$C,MATCH($G1526,Mapping!$A:$A,0)),"Uncategorized — Review"))</f>
        <v>P2P Payments (Zelle/Venmo/PayPal)</v>
      </c>
    </row>
    <row r="1527" customFormat="false" ht="15" hidden="false" customHeight="false" outlineLevel="0" collapsed="false">
      <c r="A1527" s="0" t="str">
        <f aca="false">Chase1168_2025!A1527</f>
        <v>DEBIT</v>
      </c>
      <c r="B1527" s="14" t="n">
        <f aca="false">Chase1168_2025!B1527</f>
        <v>45715</v>
      </c>
      <c r="C1527" s="0" t="str">
        <f aca="false">Chase1168_2025!C1527</f>
        <v>ORIG CO NAME:VENMO                  ORIG ID:3264681992 DESC DATE:250226 CO ENTRY DESCR:PAYMENT   SEC:WEB    TRACE#:091000012591203 EED:250227   IND ID:1040531568804                IND NAME:JUDD DUNNING TRN: 0582591203TC</v>
      </c>
      <c r="D1527" s="7" t="n">
        <f aca="false">Chase1168_2025!D1527</f>
        <v>-150</v>
      </c>
      <c r="E1527" s="0" t="str">
        <f aca="false">Chase1168_2025!E1527</f>
        <v>ACH_DEBIT</v>
      </c>
      <c r="F1527" s="7" t="n">
        <f aca="false">Chase1168_2025!F1527</f>
        <v>35262.96</v>
      </c>
      <c r="G1527" s="0" t="str">
        <f aca="false">Chase1168_2025!G1527</f>
        <v>Venmo</v>
      </c>
      <c r="H1527" s="15" t="n">
        <f aca="false">IF($B1527="","",DATE(YEAR($B1527),MONTH($B1527),1))</f>
        <v>45689</v>
      </c>
      <c r="I1527" s="0" t="str">
        <f aca="false">IF($G1527="","Uncategorized — Review",IFERROR(INDEX(Mapping!$B:$B,MATCH($G1527,Mapping!$A:$A,0)),"Uncategorized — Review"))</f>
        <v>Venmo</v>
      </c>
      <c r="J1527" s="0" t="str">
        <f aca="false">IF($G1527="","Uncategorized — Review",IFERROR(INDEX(Mapping!$C:$C,MATCH($G1527,Mapping!$A:$A,0)),"Uncategorized — Review"))</f>
        <v>P2P Payments (Zelle/Venmo/PayPal)</v>
      </c>
    </row>
    <row r="1528" customFormat="false" ht="15" hidden="false" customHeight="false" outlineLevel="0" collapsed="false">
      <c r="A1528" s="0" t="str">
        <f aca="false">Chase1168_2025!A1528</f>
        <v>DEBIT</v>
      </c>
      <c r="B1528" s="14" t="n">
        <f aca="false">Chase1168_2025!B1528</f>
        <v>45715</v>
      </c>
      <c r="C1528" s="0" t="str">
        <f aca="false">Chase1168_2025!C1528</f>
        <v>ORIG CO NAME:VENMO                  ORIG ID:3264681992 DESC DATE:250226 CO ENTRY DESCR:PAYMENT   SEC:WEB    TRACE#:091000013059291 EED:250227   IND ID:1040516939412                IND NAME:JUDD DUNNING TRN: 0583059291TC</v>
      </c>
      <c r="D1528" s="7" t="n">
        <f aca="false">Chase1168_2025!D1528</f>
        <v>-300</v>
      </c>
      <c r="E1528" s="0" t="str">
        <f aca="false">Chase1168_2025!E1528</f>
        <v>ACH_DEBIT</v>
      </c>
      <c r="F1528" s="7" t="n">
        <f aca="false">Chase1168_2025!F1528</f>
        <v>35412.96</v>
      </c>
      <c r="G1528" s="0" t="str">
        <f aca="false">Chase1168_2025!G1528</f>
        <v>Venmo</v>
      </c>
      <c r="H1528" s="15" t="n">
        <f aca="false">IF($B1528="","",DATE(YEAR($B1528),MONTH($B1528),1))</f>
        <v>45689</v>
      </c>
      <c r="I1528" s="0" t="str">
        <f aca="false">IF($G1528="","Uncategorized — Review",IFERROR(INDEX(Mapping!$B:$B,MATCH($G1528,Mapping!$A:$A,0)),"Uncategorized — Review"))</f>
        <v>Venmo</v>
      </c>
      <c r="J1528" s="0" t="str">
        <f aca="false">IF($G1528="","Uncategorized — Review",IFERROR(INDEX(Mapping!$C:$C,MATCH($G1528,Mapping!$A:$A,0)),"Uncategorized — Review"))</f>
        <v>P2P Payments (Zelle/Venmo/PayPal)</v>
      </c>
    </row>
    <row r="1529" customFormat="false" ht="15" hidden="false" customHeight="false" outlineLevel="0" collapsed="false">
      <c r="A1529" s="0" t="str">
        <f aca="false">Chase1168_2025!A1529</f>
        <v>DEBIT</v>
      </c>
      <c r="B1529" s="14" t="n">
        <f aca="false">Chase1168_2025!B1529</f>
        <v>45715</v>
      </c>
      <c r="C1529" s="0" t="str">
        <f aca="false">Chase1168_2025!C1529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ENTS/OCMT/COP2973314,33/EXCH/3964.4 191/CNTR/58355552/INT/ANDRES_527 TRN: 8642400058RE 02/27</v>
      </c>
      <c r="D1529" s="7" t="n">
        <f aca="false">Chase1168_2025!D1529</f>
        <v>-750</v>
      </c>
      <c r="E1529" s="0" t="str">
        <f aca="false">Chase1168_2025!E1529</f>
        <v>WIRE_OUTGOING</v>
      </c>
      <c r="F1529" s="7" t="n">
        <f aca="false">Chase1168_2025!F1529</f>
        <v>35712.96</v>
      </c>
      <c r="G1529" s="0" t="str">
        <f aca="false">Chase1168_2025!G1529</f>
        <v>Andres Alarcon Payroll</v>
      </c>
      <c r="H1529" s="15" t="n">
        <f aca="false">IF($B1529="","",DATE(YEAR($B1529),MONTH($B1529),1))</f>
        <v>45689</v>
      </c>
      <c r="I1529" s="0" t="str">
        <f aca="false">IF($G1529="","Uncategorized — Review",IFERROR(INDEX(Mapping!$B:$B,MATCH($G1529,Mapping!$A:$A,0)),"Uncategorized — Review"))</f>
        <v>Andres Alarcon Payroll</v>
      </c>
      <c r="J1529" s="0" t="str">
        <f aca="false">IF($G1529="","Uncategorized — Review",IFERROR(INDEX(Mapping!$C:$C,MATCH($G1529,Mapping!$A:$A,0)),"Uncategorized — Review"))</f>
        <v>Payroll &amp; Contractors</v>
      </c>
    </row>
    <row r="1530" customFormat="false" ht="15" hidden="false" customHeight="false" outlineLevel="0" collapsed="false">
      <c r="A1530" s="0" t="str">
        <f aca="false">Chase1168_2025!A1530</f>
        <v>DEBIT</v>
      </c>
      <c r="B1530" s="14" t="n">
        <f aca="false">Chase1168_2025!B1530</f>
        <v>45715</v>
      </c>
      <c r="C1530" s="0" t="str">
        <f aca="false">Chase1168_2025!C1530</f>
        <v>Zelle payment to Jeffrey Seider JPM99azhcwq2</v>
      </c>
      <c r="D1530" s="7" t="n">
        <f aca="false">Chase1168_2025!D1530</f>
        <v>-400</v>
      </c>
      <c r="E1530" s="0" t="str">
        <f aca="false">Chase1168_2025!E1530</f>
        <v>CHASE_TO_PARTNERFI</v>
      </c>
      <c r="F1530" s="7" t="n">
        <f aca="false">Chase1168_2025!F1530</f>
        <v>36462.96</v>
      </c>
      <c r="G1530" s="0" t="str">
        <f aca="false">Chase1168_2025!G1530</f>
        <v>Zelle - Jeff Seider</v>
      </c>
      <c r="H1530" s="15" t="n">
        <f aca="false">IF($B1530="","",DATE(YEAR($B1530),MONTH($B1530),1))</f>
        <v>45689</v>
      </c>
      <c r="I1530" s="0" t="str">
        <f aca="false">IF($G1530="","Uncategorized — Review",IFERROR(INDEX(Mapping!$B:$B,MATCH($G1530,Mapping!$A:$A,0)),"Uncategorized — Review"))</f>
        <v>Zelle - Jeff Seider</v>
      </c>
      <c r="J1530" s="0" t="str">
        <f aca="false">IF($G1530="","Uncategorized — Review",IFERROR(INDEX(Mapping!$C:$C,MATCH($G1530,Mapping!$A:$A,0)),"Uncategorized — Review"))</f>
        <v>P2P Payments (Zelle/Venmo/PayPal)</v>
      </c>
    </row>
    <row r="1531" customFormat="false" ht="15" hidden="false" customHeight="false" outlineLevel="0" collapsed="false">
      <c r="A1531" s="0" t="str">
        <f aca="false">Chase1168_2025!A1531</f>
        <v>DEBIT</v>
      </c>
      <c r="B1531" s="14" t="n">
        <f aca="false">Chase1168_2025!B1531</f>
        <v>45715</v>
      </c>
      <c r="C1531" s="0" t="str">
        <f aca="false">Chase1168_2025!C1531</f>
        <v>TST*BLUEYS KITCHEN MAR Los Angeles CA        02/26</v>
      </c>
      <c r="D1531" s="7" t="n">
        <f aca="false">Chase1168_2025!D1531</f>
        <v>-14.25</v>
      </c>
      <c r="E1531" s="0" t="str">
        <f aca="false">Chase1168_2025!E1531</f>
        <v>DEBIT_CARD</v>
      </c>
      <c r="F1531" s="7" t="n">
        <f aca="false">Chase1168_2025!F1531</f>
        <v>36862.96</v>
      </c>
      <c r="G1531" s="0" t="str">
        <f aca="false">Chase1168_2025!G1531</f>
        <v>Personal - Food</v>
      </c>
      <c r="H1531" s="15" t="n">
        <f aca="false">IF($B1531="","",DATE(YEAR($B1531),MONTH($B1531),1))</f>
        <v>45689</v>
      </c>
      <c r="I1531" s="0" t="str">
        <f aca="false">IF($G1531="","Uncategorized — Review",IFERROR(INDEX(Mapping!$B:$B,MATCH($G1531,Mapping!$A:$A,0)),"Uncategorized — Review"))</f>
        <v>Personal - Food &amp; Dining</v>
      </c>
      <c r="J1531" s="0" t="str">
        <f aca="false">IF($G1531="","Uncategorized — Review",IFERROR(INDEX(Mapping!$C:$C,MATCH($G1531,Mapping!$A:$A,0)),"Uncategorized — Review"))</f>
        <v>Personal — Owner</v>
      </c>
    </row>
    <row r="1532" customFormat="false" ht="15" hidden="false" customHeight="false" outlineLevel="0" collapsed="false">
      <c r="A1532" s="0" t="str">
        <f aca="false">Chase1168_2025!A1532</f>
        <v>DEBIT</v>
      </c>
      <c r="B1532" s="14" t="n">
        <f aca="false">Chase1168_2025!B1532</f>
        <v>45715</v>
      </c>
      <c r="C1532" s="0" t="str">
        <f aca="false">Chase1168_2025!C1532</f>
        <v>PP*APPLE.COM/BILL 800-275-2273 CA            02/27</v>
      </c>
      <c r="D1532" s="7" t="n">
        <f aca="false">Chase1168_2025!D1532</f>
        <v>-16.99</v>
      </c>
      <c r="E1532" s="0" t="str">
        <f aca="false">Chase1168_2025!E1532</f>
        <v>DEBIT_CARD</v>
      </c>
      <c r="F1532" s="7" t="n">
        <f aca="false">Chase1168_2025!F1532</f>
        <v>36877.21</v>
      </c>
      <c r="G1532" s="0" t="str">
        <f aca="false">Chase1168_2025!G1532</f>
        <v>Personal - Subscriptions</v>
      </c>
      <c r="H1532" s="15" t="n">
        <f aca="false">IF($B1532="","",DATE(YEAR($B1532),MONTH($B1532),1))</f>
        <v>45689</v>
      </c>
      <c r="I1532" s="0" t="str">
        <f aca="false">IF($G1532="","Uncategorized — Review",IFERROR(INDEX(Mapping!$B:$B,MATCH($G1532,Mapping!$A:$A,0)),"Uncategorized — Review"))</f>
        <v>Personal - Subscriptions</v>
      </c>
      <c r="J1532" s="0" t="str">
        <f aca="false">IF($G1532="","Uncategorized — Review",IFERROR(INDEX(Mapping!$C:$C,MATCH($G1532,Mapping!$A:$A,0)),"Uncategorized — Review"))</f>
        <v>Personal — Owner</v>
      </c>
    </row>
    <row r="1533" customFormat="false" ht="15" hidden="false" customHeight="false" outlineLevel="0" collapsed="false">
      <c r="A1533" s="0" t="str">
        <f aca="false">Chase1168_2025!A1533</f>
        <v>DEBIT</v>
      </c>
      <c r="B1533" s="14" t="n">
        <f aca="false">Chase1168_2025!B1533</f>
        <v>45715</v>
      </c>
      <c r="C1533" s="0" t="str">
        <f aca="false">Chase1168_2025!C1533</f>
        <v>SQ *ALANA'S COFFEE ROA Los Angeles CA        02/26</v>
      </c>
      <c r="D1533" s="7" t="n">
        <f aca="false">Chase1168_2025!D1533</f>
        <v>-17.4</v>
      </c>
      <c r="E1533" s="0" t="str">
        <f aca="false">Chase1168_2025!E1533</f>
        <v>DEBIT_CARD</v>
      </c>
      <c r="F1533" s="7" t="n">
        <f aca="false">Chase1168_2025!F1533</f>
        <v>36894.2</v>
      </c>
      <c r="G1533" s="0" t="str">
        <f aca="false">Chase1168_2025!G1533</f>
        <v>Personal - Food</v>
      </c>
      <c r="H1533" s="15" t="n">
        <f aca="false">IF($B1533="","",DATE(YEAR($B1533),MONTH($B1533),1))</f>
        <v>45689</v>
      </c>
      <c r="I1533" s="0" t="str">
        <f aca="false">IF($G1533="","Uncategorized — Review",IFERROR(INDEX(Mapping!$B:$B,MATCH($G1533,Mapping!$A:$A,0)),"Uncategorized — Review"))</f>
        <v>Personal - Food &amp; Dining</v>
      </c>
      <c r="J1533" s="0" t="str">
        <f aca="false">IF($G1533="","Uncategorized — Review",IFERROR(INDEX(Mapping!$C:$C,MATCH($G1533,Mapping!$A:$A,0)),"Uncategorized — Review"))</f>
        <v>Personal — Owner</v>
      </c>
    </row>
    <row r="1534" customFormat="false" ht="15" hidden="false" customHeight="false" outlineLevel="0" collapsed="false">
      <c r="A1534" s="0" t="str">
        <f aca="false">Chase1168_2025!A1534</f>
        <v>DEBIT</v>
      </c>
      <c r="B1534" s="14" t="n">
        <f aca="false">Chase1168_2025!B1534</f>
        <v>45715</v>
      </c>
      <c r="C1534" s="0" t="str">
        <f aca="false">Chase1168_2025!C1534</f>
        <v>PP*APPLE.COM/BILL 800-275-2273 CA            02/26</v>
      </c>
      <c r="D1534" s="7" t="n">
        <f aca="false">Chase1168_2025!D1534</f>
        <v>-9.99</v>
      </c>
      <c r="E1534" s="0" t="str">
        <f aca="false">Chase1168_2025!E1534</f>
        <v>DEBIT_CARD</v>
      </c>
      <c r="F1534" s="7" t="n">
        <f aca="false">Chase1168_2025!F1534</f>
        <v>36911.6</v>
      </c>
      <c r="G1534" s="0" t="str">
        <f aca="false">Chase1168_2025!G1534</f>
        <v>Personal - Subscriptions</v>
      </c>
      <c r="H1534" s="15" t="n">
        <f aca="false">IF($B1534="","",DATE(YEAR($B1534),MONTH($B1534),1))</f>
        <v>45689</v>
      </c>
      <c r="I1534" s="0" t="str">
        <f aca="false">IF($G1534="","Uncategorized — Review",IFERROR(INDEX(Mapping!$B:$B,MATCH($G1534,Mapping!$A:$A,0)),"Uncategorized — Review"))</f>
        <v>Personal - Subscriptions</v>
      </c>
      <c r="J1534" s="0" t="str">
        <f aca="false">IF($G1534="","Uncategorized — Review",IFERROR(INDEX(Mapping!$C:$C,MATCH($G1534,Mapping!$A:$A,0)),"Uncategorized — Review"))</f>
        <v>Personal — Owner</v>
      </c>
    </row>
    <row r="1535" customFormat="false" ht="15" hidden="false" customHeight="false" outlineLevel="0" collapsed="false">
      <c r="A1535" s="0" t="str">
        <f aca="false">Chase1168_2025!A1535</f>
        <v>DEBIT</v>
      </c>
      <c r="B1535" s="14" t="n">
        <f aca="false">Chase1168_2025!B1535</f>
        <v>45715</v>
      </c>
      <c r="C1535" s="0" t="str">
        <f aca="false">Chase1168_2025!C1535</f>
        <v>HAIRZOO - SANTA MONIC SANTA MONICA CA        02/25</v>
      </c>
      <c r="D1535" s="7" t="n">
        <f aca="false">Chase1168_2025!D1535</f>
        <v>-65</v>
      </c>
      <c r="E1535" s="0" t="str">
        <f aca="false">Chase1168_2025!E1535</f>
        <v>DEBIT_CARD</v>
      </c>
      <c r="F1535" s="7" t="n">
        <f aca="false">Chase1168_2025!F1535</f>
        <v>36921.59</v>
      </c>
      <c r="G1535" s="0" t="str">
        <f aca="false">Chase1168_2025!G1535</f>
        <v>Personal - Health</v>
      </c>
      <c r="H1535" s="15" t="n">
        <f aca="false">IF($B1535="","",DATE(YEAR($B1535),MONTH($B1535),1))</f>
        <v>45689</v>
      </c>
      <c r="I1535" s="0" t="str">
        <f aca="false">IF($G1535="","Uncategorized — Review",IFERROR(INDEX(Mapping!$B:$B,MATCH($G1535,Mapping!$A:$A,0)),"Uncategorized — Review"))</f>
        <v>Personal - Health (incl. Ins.)</v>
      </c>
      <c r="J1535" s="0" t="str">
        <f aca="false">IF($G1535="","Uncategorized — Review",IFERROR(INDEX(Mapping!$C:$C,MATCH($G1535,Mapping!$A:$A,0)),"Uncategorized — Review"))</f>
        <v>Personal — Owner</v>
      </c>
    </row>
    <row r="1536" customFormat="false" ht="15" hidden="false" customHeight="false" outlineLevel="0" collapsed="false">
      <c r="A1536" s="0" t="str">
        <f aca="false">Chase1168_2025!A1536</f>
        <v>CREDIT</v>
      </c>
      <c r="B1536" s="14" t="n">
        <f aca="false">Chase1168_2025!B1536</f>
        <v>45715</v>
      </c>
      <c r="C1536" s="0" t="str">
        <f aca="false">Chase1168_2025!C1536</f>
        <v>Online Transfer from CHK ...9335 transaction#: 23870501813</v>
      </c>
      <c r="D1536" s="7" t="n">
        <f aca="false">Chase1168_2025!D1536</f>
        <v>20000</v>
      </c>
      <c r="E1536" s="0" t="str">
        <f aca="false">Chase1168_2025!E1536</f>
        <v>ACCT_XFER</v>
      </c>
      <c r="F1536" s="7" t="n">
        <f aca="false">Chase1168_2025!F1536</f>
        <v>36986.59</v>
      </c>
      <c r="G1536" s="0" t="str">
        <f aca="false">Chase1168_2025!G1536</f>
        <v>Transfer From Poseidon Asset Group</v>
      </c>
      <c r="H1536" s="15" t="n">
        <f aca="false">IF($B1536="","",DATE(YEAR($B1536),MONTH($B1536),1))</f>
        <v>45689</v>
      </c>
      <c r="I1536" s="0" t="str">
        <f aca="false">IF($G1536="","Uncategorized — Review",IFERROR(INDEX(Mapping!$B:$B,MATCH($G1536,Mapping!$A:$A,0)),"Uncategorized — Review"))</f>
        <v>Transfer From Poseidon Asset Group</v>
      </c>
      <c r="J1536" s="0" t="str">
        <f aca="false">IF($G1536="","Uncategorized — Review",IFERROR(INDEX(Mapping!$C:$C,MATCH($G1536,Mapping!$A:$A,0)),"Uncategorized — Review"))</f>
        <v>Poseidon Asset Group</v>
      </c>
    </row>
    <row r="1537" customFormat="false" ht="15" hidden="false" customHeight="false" outlineLevel="0" collapsed="false">
      <c r="A1537" s="0" t="str">
        <f aca="false">Chase1168_2025!A1537</f>
        <v>DEBIT</v>
      </c>
      <c r="B1537" s="14" t="n">
        <f aca="false">Chase1168_2025!B1537</f>
        <v>45714</v>
      </c>
      <c r="C1537" s="0" t="str">
        <f aca="false">Chase1168_2025!C1537</f>
        <v>ORIG CO NAME:VENMO                  ORIG ID:3264681992 DESC DATE:250225 CO ENTRY DESCR:PAYMENT   SEC:WEB    TRACE#:091000016140402 EED:250226   IND ID:1040514945221                IND NAME:JUDD DUNNING TRN: 0576140402TC</v>
      </c>
      <c r="D1537" s="7" t="n">
        <f aca="false">Chase1168_2025!D1537</f>
        <v>-120</v>
      </c>
      <c r="E1537" s="0" t="str">
        <f aca="false">Chase1168_2025!E1537</f>
        <v>ACH_DEBIT</v>
      </c>
      <c r="F1537" s="7" t="n">
        <f aca="false">Chase1168_2025!F1537</f>
        <v>16986.59</v>
      </c>
      <c r="G1537" s="0" t="str">
        <f aca="false">Chase1168_2025!G1537</f>
        <v>Venmo</v>
      </c>
      <c r="H1537" s="15" t="n">
        <f aca="false">IF($B1537="","",DATE(YEAR($B1537),MONTH($B1537),1))</f>
        <v>45689</v>
      </c>
      <c r="I1537" s="0" t="str">
        <f aca="false">IF($G1537="","Uncategorized — Review",IFERROR(INDEX(Mapping!$B:$B,MATCH($G1537,Mapping!$A:$A,0)),"Uncategorized — Review"))</f>
        <v>Venmo</v>
      </c>
      <c r="J1537" s="0" t="str">
        <f aca="false">IF($G1537="","Uncategorized — Review",IFERROR(INDEX(Mapping!$C:$C,MATCH($G1537,Mapping!$A:$A,0)),"Uncategorized — Review"))</f>
        <v>P2P Payments (Zelle/Venmo/PayPal)</v>
      </c>
    </row>
    <row r="1538" customFormat="false" ht="15" hidden="false" customHeight="false" outlineLevel="0" collapsed="false">
      <c r="A1538" s="0" t="str">
        <f aca="false">Chase1168_2025!A1538</f>
        <v>DEBIT</v>
      </c>
      <c r="B1538" s="14" t="n">
        <f aca="false">Chase1168_2025!B1538</f>
        <v>45714</v>
      </c>
      <c r="C1538" s="0" t="str">
        <f aca="false">Chase1168_2025!C1538</f>
        <v>Disney Plus 888-9057888 CA                   02/26</v>
      </c>
      <c r="D1538" s="7" t="n">
        <f aca="false">Chase1168_2025!D1538</f>
        <v>-17.27</v>
      </c>
      <c r="E1538" s="0" t="str">
        <f aca="false">Chase1168_2025!E1538</f>
        <v>DEBIT_CARD</v>
      </c>
      <c r="F1538" s="7" t="n">
        <f aca="false">Chase1168_2025!F1538</f>
        <v>17106.59</v>
      </c>
      <c r="G1538" s="0" t="str">
        <f aca="false">Chase1168_2025!G1538</f>
        <v>Personal - Subscriptions</v>
      </c>
      <c r="H1538" s="15" t="n">
        <f aca="false">IF($B1538="","",DATE(YEAR($B1538),MONTH($B1538),1))</f>
        <v>45689</v>
      </c>
      <c r="I1538" s="0" t="str">
        <f aca="false">IF($G1538="","Uncategorized — Review",IFERROR(INDEX(Mapping!$B:$B,MATCH($G1538,Mapping!$A:$A,0)),"Uncategorized — Review"))</f>
        <v>Personal - Subscriptions</v>
      </c>
      <c r="J1538" s="0" t="str">
        <f aca="false">IF($G1538="","Uncategorized — Review",IFERROR(INDEX(Mapping!$C:$C,MATCH($G1538,Mapping!$A:$A,0)),"Uncategorized — Review"))</f>
        <v>Personal — Owner</v>
      </c>
    </row>
    <row r="1539" customFormat="false" ht="15" hidden="false" customHeight="false" outlineLevel="0" collapsed="false">
      <c r="A1539" s="0" t="str">
        <f aca="false">Chase1168_2025!A1539</f>
        <v>DEBIT</v>
      </c>
      <c r="B1539" s="14" t="n">
        <f aca="false">Chase1168_2025!B1539</f>
        <v>45714</v>
      </c>
      <c r="C1539" s="0" t="str">
        <f aca="false">Chase1168_2025!C1539</f>
        <v>THAI DISHES WILSHIRE SANTA MONICA CA         02/25</v>
      </c>
      <c r="D1539" s="7" t="n">
        <f aca="false">Chase1168_2025!D1539</f>
        <v>-24.85</v>
      </c>
      <c r="E1539" s="0" t="str">
        <f aca="false">Chase1168_2025!E1539</f>
        <v>DEBIT_CARD</v>
      </c>
      <c r="F1539" s="7" t="n">
        <f aca="false">Chase1168_2025!F1539</f>
        <v>17123.86</v>
      </c>
      <c r="G1539" s="0" t="str">
        <f aca="false">Chase1168_2025!G1539</f>
        <v>Personal - Food</v>
      </c>
      <c r="H1539" s="15" t="n">
        <f aca="false">IF($B1539="","",DATE(YEAR($B1539),MONTH($B1539),1))</f>
        <v>45689</v>
      </c>
      <c r="I1539" s="0" t="str">
        <f aca="false">IF($G1539="","Uncategorized — Review",IFERROR(INDEX(Mapping!$B:$B,MATCH($G1539,Mapping!$A:$A,0)),"Uncategorized — Review"))</f>
        <v>Personal - Food &amp; Dining</v>
      </c>
      <c r="J1539" s="0" t="str">
        <f aca="false">IF($G1539="","Uncategorized — Review",IFERROR(INDEX(Mapping!$C:$C,MATCH($G1539,Mapping!$A:$A,0)),"Uncategorized — Review"))</f>
        <v>Personal — Owner</v>
      </c>
    </row>
    <row r="1540" customFormat="false" ht="15" hidden="false" customHeight="false" outlineLevel="0" collapsed="false">
      <c r="A1540" s="0" t="str">
        <f aca="false">Chase1168_2025!A1540</f>
        <v>DEBIT</v>
      </c>
      <c r="B1540" s="14" t="n">
        <f aca="false">Chase1168_2025!B1540</f>
        <v>45714</v>
      </c>
      <c r="C1540" s="0" t="str">
        <f aca="false">Chase1168_2025!C1540</f>
        <v>CITY OF SANTA MONICA SANTA MONICA CA         02/25</v>
      </c>
      <c r="D1540" s="7" t="n">
        <f aca="false">Chase1168_2025!D1540</f>
        <v>-2.5</v>
      </c>
      <c r="E1540" s="0" t="str">
        <f aca="false">Chase1168_2025!E1540</f>
        <v>DEBIT_CARD</v>
      </c>
      <c r="F1540" s="7" t="n">
        <f aca="false">Chase1168_2025!F1540</f>
        <v>17148.71</v>
      </c>
      <c r="G1540" s="0" t="str">
        <f aca="false">Chase1168_2025!G1540</f>
        <v>Personal - Car</v>
      </c>
      <c r="H1540" s="15" t="n">
        <f aca="false">IF($B1540="","",DATE(YEAR($B1540),MONTH($B1540),1))</f>
        <v>45689</v>
      </c>
      <c r="I1540" s="0" t="str">
        <f aca="false">IF($G1540="","Uncategorized — Review",IFERROR(INDEX(Mapping!$B:$B,MATCH($G1540,Mapping!$A:$A,0)),"Uncategorized — Review"))</f>
        <v>Personal - Car &amp; Auto</v>
      </c>
      <c r="J1540" s="0" t="str">
        <f aca="false">IF($G1540="","Uncategorized — Review",IFERROR(INDEX(Mapping!$C:$C,MATCH($G1540,Mapping!$A:$A,0)),"Uncategorized — Review"))</f>
        <v>Personal — Owner</v>
      </c>
    </row>
    <row r="1541" customFormat="false" ht="15" hidden="false" customHeight="false" outlineLevel="0" collapsed="false">
      <c r="A1541" s="0" t="str">
        <f aca="false">Chase1168_2025!A1541</f>
        <v>DEBIT</v>
      </c>
      <c r="B1541" s="14" t="n">
        <f aca="false">Chase1168_2025!B1541</f>
        <v>45714</v>
      </c>
      <c r="C1541" s="0" t="str">
        <f aca="false">Chase1168_2025!C1541</f>
        <v>PP*APPLE.COM/BILL 800-275-2273 CA            02/26</v>
      </c>
      <c r="D1541" s="7" t="n">
        <f aca="false">Chase1168_2025!D1541</f>
        <v>-29.99</v>
      </c>
      <c r="E1541" s="0" t="str">
        <f aca="false">Chase1168_2025!E1541</f>
        <v>DEBIT_CARD</v>
      </c>
      <c r="F1541" s="7" t="n">
        <f aca="false">Chase1168_2025!F1541</f>
        <v>17151.21</v>
      </c>
      <c r="G1541" s="0" t="str">
        <f aca="false">Chase1168_2025!G1541</f>
        <v>Personal - Subscriptions</v>
      </c>
      <c r="H1541" s="15" t="n">
        <f aca="false">IF($B1541="","",DATE(YEAR($B1541),MONTH($B1541),1))</f>
        <v>45689</v>
      </c>
      <c r="I1541" s="0" t="str">
        <f aca="false">IF($G1541="","Uncategorized — Review",IFERROR(INDEX(Mapping!$B:$B,MATCH($G1541,Mapping!$A:$A,0)),"Uncategorized — Review"))</f>
        <v>Personal - Subscriptions</v>
      </c>
      <c r="J1541" s="0" t="str">
        <f aca="false">IF($G1541="","Uncategorized — Review",IFERROR(INDEX(Mapping!$C:$C,MATCH($G1541,Mapping!$A:$A,0)),"Uncategorized — Review"))</f>
        <v>Personal — Owner</v>
      </c>
    </row>
    <row r="1542" customFormat="false" ht="15" hidden="false" customHeight="false" outlineLevel="0" collapsed="false">
      <c r="A1542" s="0" t="str">
        <f aca="false">Chase1168_2025!A1542</f>
        <v>DEBIT</v>
      </c>
      <c r="B1542" s="14" t="n">
        <f aca="false">Chase1168_2025!B1542</f>
        <v>45714</v>
      </c>
      <c r="C1542" s="0" t="str">
        <f aca="false">Chase1168_2025!C1542</f>
        <v>HAPPY RELAX FOOT MASSA LOS ANGELES CA        02/24</v>
      </c>
      <c r="D1542" s="7" t="n">
        <f aca="false">Chase1168_2025!D1542</f>
        <v>-62</v>
      </c>
      <c r="E1542" s="0" t="str">
        <f aca="false">Chase1168_2025!E1542</f>
        <v>DEBIT_CARD</v>
      </c>
      <c r="F1542" s="7" t="n">
        <f aca="false">Chase1168_2025!F1542</f>
        <v>17181.2</v>
      </c>
      <c r="G1542" s="0" t="str">
        <f aca="false">Chase1168_2025!G1542</f>
        <v>Personal - Health</v>
      </c>
      <c r="H1542" s="15" t="n">
        <f aca="false">IF($B1542="","",DATE(YEAR($B1542),MONTH($B1542),1))</f>
        <v>45689</v>
      </c>
      <c r="I1542" s="0" t="str">
        <f aca="false">IF($G1542="","Uncategorized — Review",IFERROR(INDEX(Mapping!$B:$B,MATCH($G1542,Mapping!$A:$A,0)),"Uncategorized — Review"))</f>
        <v>Personal - Health (incl. Ins.)</v>
      </c>
      <c r="J1542" s="0" t="str">
        <f aca="false">IF($G1542="","Uncategorized — Review",IFERROR(INDEX(Mapping!$C:$C,MATCH($G1542,Mapping!$A:$A,0)),"Uncategorized — Review"))</f>
        <v>Personal — Owner</v>
      </c>
    </row>
    <row r="1543" customFormat="false" ht="15" hidden="false" customHeight="false" outlineLevel="0" collapsed="false">
      <c r="A1543" s="0" t="str">
        <f aca="false">Chase1168_2025!A1543</f>
        <v>DEBIT</v>
      </c>
      <c r="B1543" s="14" t="n">
        <f aca="false">Chase1168_2025!B1543</f>
        <v>45714</v>
      </c>
      <c r="C1543" s="0" t="str">
        <f aca="false">Chase1168_2025!C1543</f>
        <v>CITY OF SANTA MONICA SANTA MONICA CA         02/24</v>
      </c>
      <c r="D1543" s="7" t="n">
        <f aca="false">Chase1168_2025!D1543</f>
        <v>-2.5</v>
      </c>
      <c r="E1543" s="0" t="str">
        <f aca="false">Chase1168_2025!E1543</f>
        <v>DEBIT_CARD</v>
      </c>
      <c r="F1543" s="7" t="n">
        <f aca="false">Chase1168_2025!F1543</f>
        <v>17243.2</v>
      </c>
      <c r="G1543" s="0" t="str">
        <f aca="false">Chase1168_2025!G1543</f>
        <v>Personal - Car</v>
      </c>
      <c r="H1543" s="15" t="n">
        <f aca="false">IF($B1543="","",DATE(YEAR($B1543),MONTH($B1543),1))</f>
        <v>45689</v>
      </c>
      <c r="I1543" s="0" t="str">
        <f aca="false">IF($G1543="","Uncategorized — Review",IFERROR(INDEX(Mapping!$B:$B,MATCH($G1543,Mapping!$A:$A,0)),"Uncategorized — Review"))</f>
        <v>Personal - Car &amp; Auto</v>
      </c>
      <c r="J1543" s="0" t="str">
        <f aca="false">IF($G1543="","Uncategorized — Review",IFERROR(INDEX(Mapping!$C:$C,MATCH($G1543,Mapping!$A:$A,0)),"Uncategorized — Review"))</f>
        <v>Personal — Owner</v>
      </c>
    </row>
    <row r="1544" customFormat="false" ht="15" hidden="false" customHeight="false" outlineLevel="0" collapsed="false">
      <c r="A1544" s="0" t="str">
        <f aca="false">Chase1168_2025!A1544</f>
        <v>DEBIT</v>
      </c>
      <c r="B1544" s="14" t="n">
        <f aca="false">Chase1168_2025!B1544</f>
        <v>45713</v>
      </c>
      <c r="C1544" s="0" t="str">
        <f aca="false">Chase1168_2025!C1544</f>
        <v>Online Transfer to CHK ...1117 transaction#: 23844823362 02/25</v>
      </c>
      <c r="D1544" s="7" t="n">
        <f aca="false">Chase1168_2025!D1544</f>
        <v>-4000</v>
      </c>
      <c r="E1544" s="0" t="str">
        <f aca="false">Chase1168_2025!E1544</f>
        <v>ACCT_XFER</v>
      </c>
      <c r="F1544" s="7" t="n">
        <f aca="false">Chase1168_2025!F1544</f>
        <v>17245.7</v>
      </c>
      <c r="G1544" s="0" t="str">
        <f aca="false">Chase1168_2025!G1544</f>
        <v>Transfer to Angela Dunning</v>
      </c>
      <c r="H1544" s="15" t="n">
        <f aca="false">IF($B1544="","",DATE(YEAR($B1544),MONTH($B1544),1))</f>
        <v>45689</v>
      </c>
      <c r="I1544" s="0" t="str">
        <f aca="false">IF($G1544="","Uncategorized — Review",IFERROR(INDEX(Mapping!$B:$B,MATCH($G1544,Mapping!$A:$A,0)),"Uncategorized — Review"))</f>
        <v>Transfer to Angela Dunning</v>
      </c>
      <c r="J1544" s="0" t="str">
        <f aca="false">IF($G1544="","Uncategorized — Review",IFERROR(INDEX(Mapping!$C:$C,MATCH($G1544,Mapping!$A:$A,0)),"Uncategorized — Review"))</f>
        <v>Owner / Family Distributions</v>
      </c>
    </row>
    <row r="1545" customFormat="false" ht="15" hidden="false" customHeight="false" outlineLevel="0" collapsed="false">
      <c r="A1545" s="0" t="str">
        <f aca="false">Chase1168_2025!A1545</f>
        <v>DEBIT</v>
      </c>
      <c r="B1545" s="14" t="n">
        <f aca="false">Chase1168_2025!B1545</f>
        <v>45713</v>
      </c>
      <c r="C1545" s="0" t="str">
        <f aca="false">Chase1168_2025!C1545</f>
        <v>Zelle payment to Jeffrey Seider JPM99azb452x</v>
      </c>
      <c r="D1545" s="7" t="n">
        <f aca="false">Chase1168_2025!D1545</f>
        <v>-200</v>
      </c>
      <c r="E1545" s="0" t="str">
        <f aca="false">Chase1168_2025!E1545</f>
        <v>CHASE_TO_PARTNERFI</v>
      </c>
      <c r="F1545" s="7" t="n">
        <f aca="false">Chase1168_2025!F1545</f>
        <v>21245.7</v>
      </c>
      <c r="G1545" s="0" t="str">
        <f aca="false">Chase1168_2025!G1545</f>
        <v>Zelle - Jeff Seider</v>
      </c>
      <c r="H1545" s="15" t="n">
        <f aca="false">IF($B1545="","",DATE(YEAR($B1545),MONTH($B1545),1))</f>
        <v>45689</v>
      </c>
      <c r="I1545" s="0" t="str">
        <f aca="false">IF($G1545="","Uncategorized — Review",IFERROR(INDEX(Mapping!$B:$B,MATCH($G1545,Mapping!$A:$A,0)),"Uncategorized — Review"))</f>
        <v>Zelle - Jeff Seider</v>
      </c>
      <c r="J1545" s="0" t="str">
        <f aca="false">IF($G1545="","Uncategorized — Review",IFERROR(INDEX(Mapping!$C:$C,MATCH($G1545,Mapping!$A:$A,0)),"Uncategorized — Review"))</f>
        <v>P2P Payments (Zelle/Venmo/PayPal)</v>
      </c>
    </row>
    <row r="1546" customFormat="false" ht="15" hidden="false" customHeight="false" outlineLevel="0" collapsed="false">
      <c r="A1546" s="0" t="str">
        <f aca="false">Chase1168_2025!A1546</f>
        <v>DEBIT</v>
      </c>
      <c r="B1546" s="14" t="n">
        <f aca="false">Chase1168_2025!B1546</f>
        <v>45713</v>
      </c>
      <c r="C1546" s="0" t="str">
        <f aca="false">Chase1168_2025!C1546</f>
        <v>Zelle payment to Jeffrey Seider JPM99azb36h1</v>
      </c>
      <c r="D1546" s="7" t="n">
        <f aca="false">Chase1168_2025!D1546</f>
        <v>-200</v>
      </c>
      <c r="E1546" s="0" t="str">
        <f aca="false">Chase1168_2025!E1546</f>
        <v>CHASE_TO_PARTNERFI</v>
      </c>
      <c r="F1546" s="7" t="n">
        <f aca="false">Chase1168_2025!F1546</f>
        <v>21445.7</v>
      </c>
      <c r="G1546" s="0" t="str">
        <f aca="false">Chase1168_2025!G1546</f>
        <v>Zelle - Jeff Seider</v>
      </c>
      <c r="H1546" s="15" t="n">
        <f aca="false">IF($B1546="","",DATE(YEAR($B1546),MONTH($B1546),1))</f>
        <v>45689</v>
      </c>
      <c r="I1546" s="0" t="str">
        <f aca="false">IF($G1546="","Uncategorized — Review",IFERROR(INDEX(Mapping!$B:$B,MATCH($G1546,Mapping!$A:$A,0)),"Uncategorized — Review"))</f>
        <v>Zelle - Jeff Seider</v>
      </c>
      <c r="J1546" s="0" t="str">
        <f aca="false">IF($G1546="","Uncategorized — Review",IFERROR(INDEX(Mapping!$C:$C,MATCH($G1546,Mapping!$A:$A,0)),"Uncategorized — Review"))</f>
        <v>P2P Payments (Zelle/Venmo/PayPal)</v>
      </c>
    </row>
    <row r="1547" customFormat="false" ht="15" hidden="false" customHeight="false" outlineLevel="0" collapsed="false">
      <c r="A1547" s="0" t="str">
        <f aca="false">Chase1168_2025!A1547</f>
        <v>DEBIT</v>
      </c>
      <c r="B1547" s="14" t="n">
        <f aca="false">Chase1168_2025!B1547</f>
        <v>45713</v>
      </c>
      <c r="C1547" s="0" t="str">
        <f aca="false">Chase1168_2025!C1547</f>
        <v>ORIG CO NAME:VENMO                  ORIG ID:3264681992 DESC DATE:250224 CO ENTRY DESCR:PAYMENT   SEC:WEB    TRACE#:091000010708519 EED:250225   IND ID:1040490789318                IND NAME:JUDD DUNNING TRN: 0560708519TC</v>
      </c>
      <c r="D1547" s="7" t="n">
        <f aca="false">Chase1168_2025!D1547</f>
        <v>-5</v>
      </c>
      <c r="E1547" s="0" t="str">
        <f aca="false">Chase1168_2025!E1547</f>
        <v>ACH_DEBIT</v>
      </c>
      <c r="F1547" s="7" t="n">
        <f aca="false">Chase1168_2025!F1547</f>
        <v>21645.7</v>
      </c>
      <c r="G1547" s="0" t="str">
        <f aca="false">Chase1168_2025!G1547</f>
        <v>Venmo</v>
      </c>
      <c r="H1547" s="15" t="n">
        <f aca="false">IF($B1547="","",DATE(YEAR($B1547),MONTH($B1547),1))</f>
        <v>45689</v>
      </c>
      <c r="I1547" s="0" t="str">
        <f aca="false">IF($G1547="","Uncategorized — Review",IFERROR(INDEX(Mapping!$B:$B,MATCH($G1547,Mapping!$A:$A,0)),"Uncategorized — Review"))</f>
        <v>Venmo</v>
      </c>
      <c r="J1547" s="0" t="str">
        <f aca="false">IF($G1547="","Uncategorized — Review",IFERROR(INDEX(Mapping!$C:$C,MATCH($G1547,Mapping!$A:$A,0)),"Uncategorized — Review"))</f>
        <v>P2P Payments (Zelle/Venmo/PayPal)</v>
      </c>
    </row>
    <row r="1548" customFormat="false" ht="15" hidden="false" customHeight="false" outlineLevel="0" collapsed="false">
      <c r="A1548" s="0" t="str">
        <f aca="false">Chase1168_2025!A1548</f>
        <v>DEBIT</v>
      </c>
      <c r="B1548" s="14" t="n">
        <f aca="false">Chase1168_2025!B1548</f>
        <v>45713</v>
      </c>
      <c r="C1548" s="0" t="str">
        <f aca="false">Chase1168_2025!C1548</f>
        <v>ORIG CO NAME:VENMO                  ORIG ID:3264681992 DESC DATE:250224 CO ENTRY DESCR:PAYMENT   SEC:WEB    TRACE#:091000010708659 EED:250225   IND ID:1040490800996                IND NAME:JUDD DUNNING TRN: 0560708659TC</v>
      </c>
      <c r="D1548" s="7" t="n">
        <f aca="false">Chase1168_2025!D1548</f>
        <v>-40</v>
      </c>
      <c r="E1548" s="0" t="str">
        <f aca="false">Chase1168_2025!E1548</f>
        <v>ACH_DEBIT</v>
      </c>
      <c r="F1548" s="7" t="n">
        <f aca="false">Chase1168_2025!F1548</f>
        <v>21650.7</v>
      </c>
      <c r="G1548" s="0" t="str">
        <f aca="false">Chase1168_2025!G1548</f>
        <v>Venmo</v>
      </c>
      <c r="H1548" s="15" t="n">
        <f aca="false">IF($B1548="","",DATE(YEAR($B1548),MONTH($B1548),1))</f>
        <v>45689</v>
      </c>
      <c r="I1548" s="0" t="str">
        <f aca="false">IF($G1548="","Uncategorized — Review",IFERROR(INDEX(Mapping!$B:$B,MATCH($G1548,Mapping!$A:$A,0)),"Uncategorized — Review"))</f>
        <v>Venmo</v>
      </c>
      <c r="J1548" s="0" t="str">
        <f aca="false">IF($G1548="","Uncategorized — Review",IFERROR(INDEX(Mapping!$C:$C,MATCH($G1548,Mapping!$A:$A,0)),"Uncategorized — Review"))</f>
        <v>P2P Payments (Zelle/Venmo/PayPal)</v>
      </c>
    </row>
    <row r="1549" customFormat="false" ht="15" hidden="false" customHeight="false" outlineLevel="0" collapsed="false">
      <c r="A1549" s="0" t="str">
        <f aca="false">Chase1168_2025!A1549</f>
        <v>DEBIT</v>
      </c>
      <c r="B1549" s="14" t="n">
        <f aca="false">Chase1168_2025!B1549</f>
        <v>45713</v>
      </c>
      <c r="C1549" s="0" t="str">
        <f aca="false">Chase1168_2025!C1549</f>
        <v>KAIF LA 818-4069500 CA                       02/24</v>
      </c>
      <c r="D1549" s="7" t="n">
        <f aca="false">Chase1168_2025!D1549</f>
        <v>-139.75</v>
      </c>
      <c r="E1549" s="0" t="str">
        <f aca="false">Chase1168_2025!E1549</f>
        <v>DEBIT_CARD</v>
      </c>
      <c r="F1549" s="7" t="n">
        <f aca="false">Chase1168_2025!F1549</f>
        <v>21690.7</v>
      </c>
      <c r="G1549" s="0" t="str">
        <f aca="false">Chase1168_2025!G1549</f>
        <v>Personal - Entertainment</v>
      </c>
      <c r="H1549" s="15" t="n">
        <f aca="false">IF($B1549="","",DATE(YEAR($B1549),MONTH($B1549),1))</f>
        <v>45689</v>
      </c>
      <c r="I1549" s="0" t="str">
        <f aca="false">IF($G1549="","Uncategorized — Review",IFERROR(INDEX(Mapping!$B:$B,MATCH($G1549,Mapping!$A:$A,0)),"Uncategorized — Review"))</f>
        <v>Personal - Entertainment</v>
      </c>
      <c r="J1549" s="0" t="str">
        <f aca="false">IF($G1549="","Uncategorized — Review",IFERROR(INDEX(Mapping!$C:$C,MATCH($G1549,Mapping!$A:$A,0)),"Uncategorized — Review"))</f>
        <v>Personal — Owner</v>
      </c>
    </row>
    <row r="1550" customFormat="false" ht="15" hidden="false" customHeight="false" outlineLevel="0" collapsed="false">
      <c r="A1550" s="0" t="str">
        <f aca="false">Chase1168_2025!A1550</f>
        <v>DEBIT</v>
      </c>
      <c r="B1550" s="14" t="n">
        <f aca="false">Chase1168_2025!B1550</f>
        <v>45713</v>
      </c>
      <c r="C1550" s="0" t="str">
        <f aca="false">Chase1168_2025!C1550</f>
        <v>TST* LAUGH FACTORY - H LOS ANGELES CA        02/25</v>
      </c>
      <c r="D1550" s="7" t="n">
        <f aca="false">Chase1168_2025!D1550</f>
        <v>-119.66</v>
      </c>
      <c r="E1550" s="0" t="str">
        <f aca="false">Chase1168_2025!E1550</f>
        <v>DEBIT_CARD</v>
      </c>
      <c r="F1550" s="7" t="n">
        <f aca="false">Chase1168_2025!F1550</f>
        <v>21830.45</v>
      </c>
      <c r="G1550" s="0" t="str">
        <f aca="false">Chase1168_2025!G1550</f>
        <v>Personal - Entertainment</v>
      </c>
      <c r="H1550" s="15" t="n">
        <f aca="false">IF($B1550="","",DATE(YEAR($B1550),MONTH($B1550),1))</f>
        <v>45689</v>
      </c>
      <c r="I1550" s="0" t="str">
        <f aca="false">IF($G1550="","Uncategorized — Review",IFERROR(INDEX(Mapping!$B:$B,MATCH($G1550,Mapping!$A:$A,0)),"Uncategorized — Review"))</f>
        <v>Personal - Entertainment</v>
      </c>
      <c r="J1550" s="0" t="str">
        <f aca="false">IF($G1550="","Uncategorized — Review",IFERROR(INDEX(Mapping!$C:$C,MATCH($G1550,Mapping!$A:$A,0)),"Uncategorized — Review"))</f>
        <v>Personal — Owner</v>
      </c>
    </row>
    <row r="1551" customFormat="false" ht="15" hidden="false" customHeight="false" outlineLevel="0" collapsed="false">
      <c r="A1551" s="0" t="str">
        <f aca="false">Chase1168_2025!A1551</f>
        <v>DEBIT</v>
      </c>
      <c r="B1551" s="14" t="n">
        <f aca="false">Chase1168_2025!B1551</f>
        <v>45713</v>
      </c>
      <c r="C1551" s="0" t="str">
        <f aca="false">Chase1168_2025!C1551</f>
        <v>LADOT METER PARKING LOS ANGELES CA           02/24</v>
      </c>
      <c r="D1551" s="7" t="n">
        <f aca="false">Chase1168_2025!D1551</f>
        <v>-0.5</v>
      </c>
      <c r="E1551" s="0" t="str">
        <f aca="false">Chase1168_2025!E1551</f>
        <v>DEBIT_CARD</v>
      </c>
      <c r="F1551" s="7" t="n">
        <f aca="false">Chase1168_2025!F1551</f>
        <v>21950.11</v>
      </c>
      <c r="G1551" s="0" t="str">
        <f aca="false">Chase1168_2025!G1551</f>
        <v>Personal - Car</v>
      </c>
      <c r="H1551" s="15" t="n">
        <f aca="false">IF($B1551="","",DATE(YEAR($B1551),MONTH($B1551),1))</f>
        <v>45689</v>
      </c>
      <c r="I1551" s="0" t="str">
        <f aca="false">IF($G1551="","Uncategorized — Review",IFERROR(INDEX(Mapping!$B:$B,MATCH($G1551,Mapping!$A:$A,0)),"Uncategorized — Review"))</f>
        <v>Personal - Car &amp; Auto</v>
      </c>
      <c r="J1551" s="0" t="str">
        <f aca="false">IF($G1551="","Uncategorized — Review",IFERROR(INDEX(Mapping!$C:$C,MATCH($G1551,Mapping!$A:$A,0)),"Uncategorized — Review"))</f>
        <v>Personal — Owner</v>
      </c>
    </row>
    <row r="1552" customFormat="false" ht="15" hidden="false" customHeight="false" outlineLevel="0" collapsed="false">
      <c r="A1552" s="0" t="str">
        <f aca="false">Chase1168_2025!A1552</f>
        <v>DEBIT</v>
      </c>
      <c r="B1552" s="14" t="n">
        <f aca="false">Chase1168_2025!B1552</f>
        <v>45713</v>
      </c>
      <c r="C1552" s="0" t="str">
        <f aca="false">Chase1168_2025!C1552</f>
        <v>PAYPAL *CANVA 416-131-8870 DE                02/25</v>
      </c>
      <c r="D1552" s="7" t="n">
        <f aca="false">Chase1168_2025!D1552</f>
        <v>-12.99</v>
      </c>
      <c r="E1552" s="0" t="str">
        <f aca="false">Chase1168_2025!E1552</f>
        <v>DEBIT_CARD</v>
      </c>
      <c r="F1552" s="7" t="n">
        <f aca="false">Chase1168_2025!F1552</f>
        <v>21950.61</v>
      </c>
      <c r="G1552" s="0" t="str">
        <f aca="false">Chase1168_2025!G1552</f>
        <v>DWG Marketing</v>
      </c>
      <c r="H1552" s="15" t="n">
        <f aca="false">IF($B1552="","",DATE(YEAR($B1552),MONTH($B1552),1))</f>
        <v>45689</v>
      </c>
      <c r="I1552" s="0" t="str">
        <f aca="false">IF($G1552="","Uncategorized — Review",IFERROR(INDEX(Mapping!$B:$B,MATCH($G1552,Mapping!$A:$A,0)),"Uncategorized — Review"))</f>
        <v>DWG Marketing</v>
      </c>
      <c r="J1552" s="0" t="str">
        <f aca="false">IF($G1552="","Uncategorized — Review",IFERROR(INDEX(Mapping!$C:$C,MATCH($G1552,Mapping!$A:$A,0)),"Uncategorized — Review"))</f>
        <v>DWG Operating</v>
      </c>
    </row>
    <row r="1553" customFormat="false" ht="15" hidden="false" customHeight="false" outlineLevel="0" collapsed="false">
      <c r="A1553" s="0" t="str">
        <f aca="false">Chase1168_2025!A1553</f>
        <v>DEBIT</v>
      </c>
      <c r="B1553" s="14" t="n">
        <f aca="false">Chase1168_2025!B1553</f>
        <v>45713</v>
      </c>
      <c r="C1553" s="0" t="str">
        <f aca="false">Chase1168_2025!C1553</f>
        <v>UPWORK * -783487960 866-262-4478 CA          02/24</v>
      </c>
      <c r="D1553" s="7" t="n">
        <f aca="false">Chase1168_2025!D1553</f>
        <v>-122.5</v>
      </c>
      <c r="E1553" s="0" t="str">
        <f aca="false">Chase1168_2025!E1553</f>
        <v>DEBIT_CARD</v>
      </c>
      <c r="F1553" s="7" t="n">
        <f aca="false">Chase1168_2025!F1553</f>
        <v>21963.6</v>
      </c>
      <c r="G1553" s="0" t="str">
        <f aca="false">Chase1168_2025!G1553</f>
        <v>Upwork - Sergei M.</v>
      </c>
      <c r="H1553" s="15" t="n">
        <f aca="false">IF($B1553="","",DATE(YEAR($B1553),MONTH($B1553),1))</f>
        <v>45689</v>
      </c>
      <c r="I1553" s="0" t="str">
        <f aca="false">IF($G1553="","Uncategorized — Review",IFERROR(INDEX(Mapping!$B:$B,MATCH($G1553,Mapping!$A:$A,0)),"Uncategorized — Review"))</f>
        <v>Upwork - Sergei M.</v>
      </c>
      <c r="J1553" s="0" t="str">
        <f aca="false">IF($G1553="","Uncategorized — Review",IFERROR(INDEX(Mapping!$C:$C,MATCH($G1553,Mapping!$A:$A,0)),"Uncategorized — Review"))</f>
        <v>Payroll &amp; Contractors</v>
      </c>
    </row>
    <row r="1554" customFormat="false" ht="15" hidden="false" customHeight="false" outlineLevel="0" collapsed="false">
      <c r="A1554" s="0" t="str">
        <f aca="false">Chase1168_2025!A1554</f>
        <v>DEBIT</v>
      </c>
      <c r="B1554" s="14" t="n">
        <f aca="false">Chase1168_2025!B1554</f>
        <v>45713</v>
      </c>
      <c r="C1554" s="0" t="str">
        <f aca="false">Chase1168_2025!C1554</f>
        <v>MERCEDES BAR &amp; GRILLE 310-8276209 CA         02/23</v>
      </c>
      <c r="D1554" s="7" t="n">
        <f aca="false">Chase1168_2025!D1554</f>
        <v>-87.27</v>
      </c>
      <c r="E1554" s="0" t="str">
        <f aca="false">Chase1168_2025!E1554</f>
        <v>DEBIT_CARD</v>
      </c>
      <c r="F1554" s="7" t="n">
        <f aca="false">Chase1168_2025!F1554</f>
        <v>22086.1</v>
      </c>
      <c r="G1554" s="0" t="str">
        <f aca="false">Chase1168_2025!G1554</f>
        <v>Personal - Food</v>
      </c>
      <c r="H1554" s="15" t="n">
        <f aca="false">IF($B1554="","",DATE(YEAR($B1554),MONTH($B1554),1))</f>
        <v>45689</v>
      </c>
      <c r="I1554" s="0" t="str">
        <f aca="false">IF($G1554="","Uncategorized — Review",IFERROR(INDEX(Mapping!$B:$B,MATCH($G1554,Mapping!$A:$A,0)),"Uncategorized — Review"))</f>
        <v>Personal - Food &amp; Dining</v>
      </c>
      <c r="J1554" s="0" t="str">
        <f aca="false">IF($G1554="","Uncategorized — Review",IFERROR(INDEX(Mapping!$C:$C,MATCH($G1554,Mapping!$A:$A,0)),"Uncategorized — Review"))</f>
        <v>Personal — Owner</v>
      </c>
    </row>
    <row r="1555" customFormat="false" ht="15" hidden="false" customHeight="false" outlineLevel="0" collapsed="false">
      <c r="A1555" s="0" t="str">
        <f aca="false">Chase1168_2025!A1555</f>
        <v>DEBIT</v>
      </c>
      <c r="B1555" s="14" t="n">
        <f aca="false">Chase1168_2025!B1555</f>
        <v>45712</v>
      </c>
      <c r="C1555" s="0" t="str">
        <f aca="false">Chase1168_2025!C1555</f>
        <v>DOMESTIC INCOMING WIRE FEE</v>
      </c>
      <c r="D1555" s="7" t="n">
        <f aca="false">Chase1168_2025!D1555</f>
        <v>-15</v>
      </c>
      <c r="E1555" s="0" t="str">
        <f aca="false">Chase1168_2025!E1555</f>
        <v>FEE_TRANSACTION</v>
      </c>
      <c r="F1555" s="7" t="n">
        <f aca="false">Chase1168_2025!F1555</f>
        <v>22173.37</v>
      </c>
      <c r="G1555" s="0" t="str">
        <f aca="false">Chase1168_2025!G1555</f>
        <v>Wire Fee</v>
      </c>
      <c r="H1555" s="15" t="n">
        <f aca="false">IF($B1555="","",DATE(YEAR($B1555),MONTH($B1555),1))</f>
        <v>45689</v>
      </c>
      <c r="I1555" s="0" t="str">
        <f aca="false">IF($G1555="","Uncategorized — Review",IFERROR(INDEX(Mapping!$B:$B,MATCH($G1555,Mapping!$A:$A,0)),"Uncategorized — Review"))</f>
        <v>Wire Fee</v>
      </c>
      <c r="J1555" s="0" t="str">
        <f aca="false">IF($G1555="","Uncategorized — Review",IFERROR(INDEX(Mapping!$C:$C,MATCH($G1555,Mapping!$A:$A,0)),"Uncategorized — Review"))</f>
        <v>DWG Operating</v>
      </c>
    </row>
    <row r="1556" customFormat="false" ht="15" hidden="false" customHeight="false" outlineLevel="0" collapsed="false">
      <c r="A1556" s="0" t="str">
        <f aca="false">Chase1168_2025!A1556</f>
        <v>DEBIT</v>
      </c>
      <c r="B1556" s="14" t="n">
        <f aca="false">Chase1168_2025!B1556</f>
        <v>45712</v>
      </c>
      <c r="C1556" s="0" t="str">
        <f aca="false">Chase1168_2025!C1556</f>
        <v>ORIG CO NAME:AMERICAN EXPRESS       ORIG ID:2005032111 DESC DATE:250224 CO ENTRY DESCR:ACH PMT   SEC:CCD    TRACE#:021000029270073 EED:250224   IND ID:W3398                        IND NAME:John Dunning                                                                                                 ER AM TRN: 0559270073TC</v>
      </c>
      <c r="D1556" s="7" t="n">
        <f aca="false">Chase1168_2025!D1556</f>
        <v>-74.35</v>
      </c>
      <c r="E1556" s="0" t="str">
        <f aca="false">Chase1168_2025!E1556</f>
        <v>ACH_DEBIT</v>
      </c>
      <c r="F1556" s="7" t="n">
        <f aca="false">Chase1168_2025!F1556</f>
        <v>22203.37</v>
      </c>
      <c r="G1556" s="0" t="str">
        <f aca="false">Chase1168_2025!G1556</f>
        <v>American Express Credit Card PMT</v>
      </c>
      <c r="H1556" s="15" t="n">
        <f aca="false">IF($B1556="","",DATE(YEAR($B1556),MONTH($B1556),1))</f>
        <v>45689</v>
      </c>
      <c r="I1556" s="0" t="str">
        <f aca="false">IF($G1556="","Uncategorized — Review",IFERROR(INDEX(Mapping!$B:$B,MATCH($G1556,Mapping!$A:$A,0)),"Uncategorized — Review"))</f>
        <v>American Express Credit Card PMT</v>
      </c>
      <c r="J1556" s="0" t="str">
        <f aca="false">IF($G1556="","Uncategorized — Review",IFERROR(INDEX(Mapping!$C:$C,MATCH($G1556,Mapping!$A:$A,0)),"Uncategorized — Review"))</f>
        <v>Credit Card &amp; Loan Payments</v>
      </c>
    </row>
    <row r="1557" customFormat="false" ht="15" hidden="false" customHeight="false" outlineLevel="0" collapsed="false">
      <c r="A1557" s="0" t="str">
        <f aca="false">Chase1168_2025!A1557</f>
        <v>DEBIT</v>
      </c>
      <c r="B1557" s="14" t="n">
        <f aca="false">Chase1168_2025!B1557</f>
        <v>45712</v>
      </c>
      <c r="C1557" s="0" t="str">
        <f aca="false">Chase1168_2025!C1557</f>
        <v>ORIG CO NAME:AMERICAN EXPRESS       ORIG ID:2005032111 DESC DATE:250224 CO ENTRY DESCR:ACH PMT   SEC:CCD    TRACE#:021000029270048 EED:250224   IND ID:W9834                        IND NAME:John Dunning                                                                                                 ER AM TRN: 0559270048TC</v>
      </c>
      <c r="D1557" s="7" t="n">
        <f aca="false">Chase1168_2025!D1557</f>
        <v>-1853.08</v>
      </c>
      <c r="E1557" s="0" t="str">
        <f aca="false">Chase1168_2025!E1557</f>
        <v>ACH_DEBIT</v>
      </c>
      <c r="F1557" s="7" t="n">
        <f aca="false">Chase1168_2025!F1557</f>
        <v>22277.72</v>
      </c>
      <c r="G1557" s="0" t="str">
        <f aca="false">Chase1168_2025!G1557</f>
        <v>American Express Credit Card PMT</v>
      </c>
      <c r="H1557" s="15" t="n">
        <f aca="false">IF($B1557="","",DATE(YEAR($B1557),MONTH($B1557),1))</f>
        <v>45689</v>
      </c>
      <c r="I1557" s="0" t="str">
        <f aca="false">IF($G1557="","Uncategorized — Review",IFERROR(INDEX(Mapping!$B:$B,MATCH($G1557,Mapping!$A:$A,0)),"Uncategorized — Review"))</f>
        <v>American Express Credit Card PMT</v>
      </c>
      <c r="J1557" s="0" t="str">
        <f aca="false">IF($G1557="","Uncategorized — Review",IFERROR(INDEX(Mapping!$C:$C,MATCH($G1557,Mapping!$A:$A,0)),"Uncategorized — Review"))</f>
        <v>Credit Card &amp; Loan Payments</v>
      </c>
    </row>
    <row r="1558" customFormat="false" ht="15" hidden="false" customHeight="false" outlineLevel="0" collapsed="false">
      <c r="A1558" s="0" t="str">
        <f aca="false">Chase1168_2025!A1558</f>
        <v>DEBIT</v>
      </c>
      <c r="B1558" s="14" t="n">
        <f aca="false">Chase1168_2025!B1558</f>
        <v>45712</v>
      </c>
      <c r="C1558" s="0" t="str">
        <f aca="false">Chase1168_2025!C1558</f>
        <v>ORIG CO NAME:AMERICAN EXPRESS       ORIG ID:2005032111 DESC DATE:250224 CO ENTRY DESCR:ACH PMT   SEC:CCD    TRACE#:021000029270228 EED:250224   IND ID:W9998                        IND NAME:John Dunning                                                                                                 ER AM TRN: 0559270228TC</v>
      </c>
      <c r="D1558" s="7" t="n">
        <f aca="false">Chase1168_2025!D1558</f>
        <v>-14054.21</v>
      </c>
      <c r="E1558" s="0" t="str">
        <f aca="false">Chase1168_2025!E1558</f>
        <v>ACH_DEBIT</v>
      </c>
      <c r="F1558" s="7" t="n">
        <f aca="false">Chase1168_2025!F1558</f>
        <v>24130.8</v>
      </c>
      <c r="G1558" s="0" t="str">
        <f aca="false">Chase1168_2025!G1558</f>
        <v>American Express Credit Card PMT</v>
      </c>
      <c r="H1558" s="15" t="n">
        <f aca="false">IF($B1558="","",DATE(YEAR($B1558),MONTH($B1558),1))</f>
        <v>45689</v>
      </c>
      <c r="I1558" s="0" t="str">
        <f aca="false">IF($G1558="","Uncategorized — Review",IFERROR(INDEX(Mapping!$B:$B,MATCH($G1558,Mapping!$A:$A,0)),"Uncategorized — Review"))</f>
        <v>American Express Credit Card PMT</v>
      </c>
      <c r="J1558" s="0" t="str">
        <f aca="false">IF($G1558="","Uncategorized — Review",IFERROR(INDEX(Mapping!$C:$C,MATCH($G1558,Mapping!$A:$A,0)),"Uncategorized — Review"))</f>
        <v>Credit Card &amp; Loan Payments</v>
      </c>
    </row>
    <row r="1559" customFormat="false" ht="15" hidden="false" customHeight="false" outlineLevel="0" collapsed="false">
      <c r="A1559" s="0" t="str">
        <f aca="false">Chase1168_2025!A1559</f>
        <v>DEBIT</v>
      </c>
      <c r="B1559" s="14" t="n">
        <f aca="false">Chase1168_2025!B1559</f>
        <v>45712</v>
      </c>
      <c r="C1559" s="0" t="str">
        <f aca="false">Chase1168_2025!C1559</f>
        <v>ORIG CO NAME:AMERICAN EXPRESS       ORIG ID:2005032111 DESC DATE:250224 CO ENTRY DESCR:ACH PMT   SEC:CCD    TRACE#:021000029269929 EED:250224   IND ID:W9760                        IND NAME:John Dunning                                                                                                 ER AM TRN: 0559269929TC</v>
      </c>
      <c r="D1559" s="7" t="n">
        <f aca="false">Chase1168_2025!D1559</f>
        <v>-48648.58</v>
      </c>
      <c r="E1559" s="0" t="str">
        <f aca="false">Chase1168_2025!E1559</f>
        <v>ACH_DEBIT</v>
      </c>
      <c r="F1559" s="7" t="n">
        <f aca="false">Chase1168_2025!F1559</f>
        <v>38185.01</v>
      </c>
      <c r="G1559" s="0" t="str">
        <f aca="false">Chase1168_2025!G1559</f>
        <v>American Express Credit Card PMT</v>
      </c>
      <c r="H1559" s="15" t="n">
        <f aca="false">IF($B1559="","",DATE(YEAR($B1559),MONTH($B1559),1))</f>
        <v>45689</v>
      </c>
      <c r="I1559" s="0" t="str">
        <f aca="false">IF($G1559="","Uncategorized — Review",IFERROR(INDEX(Mapping!$B:$B,MATCH($G1559,Mapping!$A:$A,0)),"Uncategorized — Review"))</f>
        <v>American Express Credit Card PMT</v>
      </c>
      <c r="J1559" s="0" t="str">
        <f aca="false">IF($G1559="","Uncategorized — Review",IFERROR(INDEX(Mapping!$C:$C,MATCH($G1559,Mapping!$A:$A,0)),"Uncategorized — Review"))</f>
        <v>Credit Card &amp; Loan Payments</v>
      </c>
    </row>
    <row r="1560" customFormat="false" ht="15" hidden="false" customHeight="false" outlineLevel="0" collapsed="false">
      <c r="A1560" s="0" t="str">
        <f aca="false">Chase1168_2025!A1560</f>
        <v>DEBIT</v>
      </c>
      <c r="B1560" s="14" t="n">
        <f aca="false">Chase1168_2025!B1560</f>
        <v>45712</v>
      </c>
      <c r="C1560" s="0" t="str">
        <f aca="false">Chase1168_2025!C1560</f>
        <v>Basic Online Payroll Payment 11163087541 to ######7939</v>
      </c>
      <c r="D1560" s="7" t="n">
        <f aca="false">Chase1168_2025!D1560</f>
        <v>-22800</v>
      </c>
      <c r="E1560" s="0" t="str">
        <f aca="false">Chase1168_2025!E1560</f>
        <v>BASIC_PAYROLL</v>
      </c>
      <c r="F1560" s="7" t="n">
        <f aca="false">Chase1168_2025!F1560</f>
        <v>86833.59</v>
      </c>
      <c r="G1560" s="0" t="str">
        <f aca="false">Chase1168_2025!G1560</f>
        <v>Ryan Billings - Payroll</v>
      </c>
      <c r="H1560" s="15" t="n">
        <f aca="false">IF($B1560="","",DATE(YEAR($B1560),MONTH($B1560),1))</f>
        <v>45689</v>
      </c>
      <c r="I1560" s="0" t="str">
        <f aca="false">IF($G1560="","Uncategorized — Review",IFERROR(INDEX(Mapping!$B:$B,MATCH($G1560,Mapping!$A:$A,0)),"Uncategorized — Review"))</f>
        <v>Ryan Billings - Payroll</v>
      </c>
      <c r="J1560" s="0" t="str">
        <f aca="false">IF($G1560="","Uncategorized — Review",IFERROR(INDEX(Mapping!$C:$C,MATCH($G1560,Mapping!$A:$A,0)),"Uncategorized — Review"))</f>
        <v>Payroll &amp; Contractors</v>
      </c>
    </row>
    <row r="1561" customFormat="false" ht="15" hidden="false" customHeight="false" outlineLevel="0" collapsed="false">
      <c r="A1561" s="0" t="str">
        <f aca="false">Chase1168_2025!A1561</f>
        <v>DEBIT</v>
      </c>
      <c r="B1561" s="14" t="n">
        <f aca="false">Chase1168_2025!B1561</f>
        <v>45712</v>
      </c>
      <c r="C1561" s="0" t="str">
        <f aca="false">Chase1168_2025!C1561</f>
        <v>Online Transfer to CHK ...1117 transaction#: 23833474879 02/24</v>
      </c>
      <c r="D1561" s="7" t="n">
        <f aca="false">Chase1168_2025!D1561</f>
        <v>-2000</v>
      </c>
      <c r="E1561" s="0" t="str">
        <f aca="false">Chase1168_2025!E1561</f>
        <v>ACCT_XFER</v>
      </c>
      <c r="F1561" s="7" t="n">
        <f aca="false">Chase1168_2025!F1561</f>
        <v>109633.59</v>
      </c>
      <c r="G1561" s="0" t="str">
        <f aca="false">Chase1168_2025!G1561</f>
        <v>Transfer to Angela Dunning</v>
      </c>
      <c r="H1561" s="15" t="n">
        <f aca="false">IF($B1561="","",DATE(YEAR($B1561),MONTH($B1561),1))</f>
        <v>45689</v>
      </c>
      <c r="I1561" s="0" t="str">
        <f aca="false">IF($G1561="","Uncategorized — Review",IFERROR(INDEX(Mapping!$B:$B,MATCH($G1561,Mapping!$A:$A,0)),"Uncategorized — Review"))</f>
        <v>Transfer to Angela Dunning</v>
      </c>
      <c r="J1561" s="0" t="str">
        <f aca="false">IF($G1561="","Uncategorized — Review",IFERROR(INDEX(Mapping!$C:$C,MATCH($G1561,Mapping!$A:$A,0)),"Uncategorized — Review"))</f>
        <v>Owner / Family Distributions</v>
      </c>
    </row>
    <row r="1562" customFormat="false" ht="15" hidden="false" customHeight="false" outlineLevel="0" collapsed="false">
      <c r="A1562" s="0" t="str">
        <f aca="false">Chase1168_2025!A1562</f>
        <v>DEBIT</v>
      </c>
      <c r="B1562" s="14" t="n">
        <f aca="false">Chase1168_2025!B1562</f>
        <v>45712</v>
      </c>
      <c r="C1562" s="0" t="str">
        <f aca="false">Chase1168_2025!C1562</f>
        <v>ORIG CO NAME:VENMO                  ORIG ID:3264681992 DESC DATE:250222 CO ENTRY DESCR:PAYMENT   SEC:WEB    TRACE#:091000017011176 EED:250224   IND ID:1040450056111                IND NAME:JUDD DUNNING TRN: 0557011176TC</v>
      </c>
      <c r="D1562" s="7" t="n">
        <f aca="false">Chase1168_2025!D1562</f>
        <v>-1000</v>
      </c>
      <c r="E1562" s="0" t="str">
        <f aca="false">Chase1168_2025!E1562</f>
        <v>ACH_DEBIT</v>
      </c>
      <c r="F1562" s="7" t="n">
        <f aca="false">Chase1168_2025!F1562</f>
        <v>111633.59</v>
      </c>
      <c r="G1562" s="0" t="str">
        <f aca="false">Chase1168_2025!G1562</f>
        <v>Venmo</v>
      </c>
      <c r="H1562" s="15" t="n">
        <f aca="false">IF($B1562="","",DATE(YEAR($B1562),MONTH($B1562),1))</f>
        <v>45689</v>
      </c>
      <c r="I1562" s="0" t="str">
        <f aca="false">IF($G1562="","Uncategorized — Review",IFERROR(INDEX(Mapping!$B:$B,MATCH($G1562,Mapping!$A:$A,0)),"Uncategorized — Review"))</f>
        <v>Venmo</v>
      </c>
      <c r="J1562" s="0" t="str">
        <f aca="false">IF($G1562="","Uncategorized — Review",IFERROR(INDEX(Mapping!$C:$C,MATCH($G1562,Mapping!$A:$A,0)),"Uncategorized — Review"))</f>
        <v>P2P Payments (Zelle/Venmo/PayPal)</v>
      </c>
    </row>
    <row r="1563" customFormat="false" ht="15" hidden="false" customHeight="false" outlineLevel="0" collapsed="false">
      <c r="A1563" s="0" t="str">
        <f aca="false">Chase1168_2025!A1563</f>
        <v>DEBIT</v>
      </c>
      <c r="B1563" s="14" t="n">
        <f aca="false">Chase1168_2025!B1563</f>
        <v>45712</v>
      </c>
      <c r="C1563" s="0" t="str">
        <f aca="false">Chase1168_2025!C1563</f>
        <v>PACIFIC EDGE HOTEL PA LAGUNA BEACH CA        02/23</v>
      </c>
      <c r="D1563" s="7" t="n">
        <f aca="false">Chase1168_2025!D1563</f>
        <v>-40</v>
      </c>
      <c r="E1563" s="0" t="str">
        <f aca="false">Chase1168_2025!E1563</f>
        <v>DEBIT_CARD</v>
      </c>
      <c r="F1563" s="7" t="n">
        <f aca="false">Chase1168_2025!F1563</f>
        <v>112633.59</v>
      </c>
      <c r="G1563" s="0" t="str">
        <f aca="false">Chase1168_2025!G1563</f>
        <v>Travel</v>
      </c>
      <c r="H1563" s="15" t="n">
        <f aca="false">IF($B1563="","",DATE(YEAR($B1563),MONTH($B1563),1))</f>
        <v>45689</v>
      </c>
      <c r="I1563" s="0" t="str">
        <f aca="false">IF($G1563="","Uncategorized — Review",IFERROR(INDEX(Mapping!$B:$B,MATCH($G1563,Mapping!$A:$A,0)),"Uncategorized — Review"))</f>
        <v>Travel</v>
      </c>
      <c r="J1563" s="0" t="str">
        <f aca="false">IF($G1563="","Uncategorized — Review",IFERROR(INDEX(Mapping!$C:$C,MATCH($G1563,Mapping!$A:$A,0)),"Uncategorized — Review"))</f>
        <v>Business Travel</v>
      </c>
    </row>
    <row r="1564" customFormat="false" ht="15" hidden="false" customHeight="false" outlineLevel="0" collapsed="false">
      <c r="A1564" s="0" t="str">
        <f aca="false">Chase1168_2025!A1564</f>
        <v>DEBIT</v>
      </c>
      <c r="B1564" s="14" t="n">
        <f aca="false">Chase1168_2025!B1564</f>
        <v>45712</v>
      </c>
      <c r="C1564" s="0" t="str">
        <f aca="false">Chase1168_2025!C1564</f>
        <v>DECK/DRIFTWOOD KITCHE LAGUNA BEACH CA        02/23</v>
      </c>
      <c r="D1564" s="7" t="n">
        <f aca="false">Chase1168_2025!D1564</f>
        <v>-329.49</v>
      </c>
      <c r="E1564" s="0" t="str">
        <f aca="false">Chase1168_2025!E1564</f>
        <v>DEBIT_CARD</v>
      </c>
      <c r="F1564" s="7" t="n">
        <f aca="false">Chase1168_2025!F1564</f>
        <v>112673.59</v>
      </c>
      <c r="G1564" s="0" t="str">
        <f aca="false">Chase1168_2025!G1564</f>
        <v>Personal - Food</v>
      </c>
      <c r="H1564" s="15" t="n">
        <f aca="false">IF($B1564="","",DATE(YEAR($B1564),MONTH($B1564),1))</f>
        <v>45689</v>
      </c>
      <c r="I1564" s="0" t="str">
        <f aca="false">IF($G1564="","Uncategorized — Review",IFERROR(INDEX(Mapping!$B:$B,MATCH($G1564,Mapping!$A:$A,0)),"Uncategorized — Review"))</f>
        <v>Personal - Food &amp; Dining</v>
      </c>
      <c r="J1564" s="0" t="str">
        <f aca="false">IF($G1564="","Uncategorized — Review",IFERROR(INDEX(Mapping!$C:$C,MATCH($G1564,Mapping!$A:$A,0)),"Uncategorized — Review"))</f>
        <v>Personal — Owner</v>
      </c>
    </row>
    <row r="1565" customFormat="false" ht="15" hidden="false" customHeight="false" outlineLevel="0" collapsed="false">
      <c r="A1565" s="0" t="str">
        <f aca="false">Chase1168_2025!A1565</f>
        <v>DEBIT</v>
      </c>
      <c r="B1565" s="14" t="n">
        <f aca="false">Chase1168_2025!B1565</f>
        <v>45712</v>
      </c>
      <c r="C1565" s="0" t="str">
        <f aca="false">Chase1168_2025!C1565</f>
        <v>PP*APPLE.COM/BILL 800-275-2273 CA            02/24</v>
      </c>
      <c r="D1565" s="7" t="n">
        <f aca="false">Chase1168_2025!D1565</f>
        <v>-8.99</v>
      </c>
      <c r="E1565" s="0" t="str">
        <f aca="false">Chase1168_2025!E1565</f>
        <v>DEBIT_CARD</v>
      </c>
      <c r="F1565" s="7" t="n">
        <f aca="false">Chase1168_2025!F1565</f>
        <v>113003.08</v>
      </c>
      <c r="G1565" s="0" t="str">
        <f aca="false">Chase1168_2025!G1565</f>
        <v>Personal - Subscriptions</v>
      </c>
      <c r="H1565" s="15" t="n">
        <f aca="false">IF($B1565="","",DATE(YEAR($B1565),MONTH($B1565),1))</f>
        <v>45689</v>
      </c>
      <c r="I1565" s="0" t="str">
        <f aca="false">IF($G1565="","Uncategorized — Review",IFERROR(INDEX(Mapping!$B:$B,MATCH($G1565,Mapping!$A:$A,0)),"Uncategorized — Review"))</f>
        <v>Personal - Subscriptions</v>
      </c>
      <c r="J1565" s="0" t="str">
        <f aca="false">IF($G1565="","Uncategorized — Review",IFERROR(INDEX(Mapping!$C:$C,MATCH($G1565,Mapping!$A:$A,0)),"Uncategorized — Review"))</f>
        <v>Personal — Owner</v>
      </c>
    </row>
    <row r="1566" customFormat="false" ht="15" hidden="false" customHeight="false" outlineLevel="0" collapsed="false">
      <c r="A1566" s="0" t="str">
        <f aca="false">Chase1168_2025!A1566</f>
        <v>DEBIT</v>
      </c>
      <c r="B1566" s="14" t="n">
        <f aca="false">Chase1168_2025!B1566</f>
        <v>45712</v>
      </c>
      <c r="C1566" s="0" t="str">
        <f aca="false">Chase1168_2025!C1566</f>
        <v>DEPT. BEACHES &amp; HARB MARINA DEL RE CA        02/23</v>
      </c>
      <c r="D1566" s="7" t="n">
        <f aca="false">Chase1168_2025!D1566</f>
        <v>-9</v>
      </c>
      <c r="E1566" s="0" t="str">
        <f aca="false">Chase1168_2025!E1566</f>
        <v>DEBIT_CARD</v>
      </c>
      <c r="F1566" s="7" t="n">
        <f aca="false">Chase1168_2025!F1566</f>
        <v>113012.07</v>
      </c>
      <c r="G1566" s="0" t="str">
        <f aca="false">Chase1168_2025!G1566</f>
        <v>Personal - Car</v>
      </c>
      <c r="H1566" s="15" t="n">
        <f aca="false">IF($B1566="","",DATE(YEAR($B1566),MONTH($B1566),1))</f>
        <v>45689</v>
      </c>
      <c r="I1566" s="0" t="str">
        <f aca="false">IF($G1566="","Uncategorized — Review",IFERROR(INDEX(Mapping!$B:$B,MATCH($G1566,Mapping!$A:$A,0)),"Uncategorized — Review"))</f>
        <v>Personal - Car &amp; Auto</v>
      </c>
      <c r="J1566" s="0" t="str">
        <f aca="false">IF($G1566="","Uncategorized — Review",IFERROR(INDEX(Mapping!$C:$C,MATCH($G1566,Mapping!$A:$A,0)),"Uncategorized — Review"))</f>
        <v>Personal — Owner</v>
      </c>
    </row>
    <row r="1567" customFormat="false" ht="15" hidden="false" customHeight="false" outlineLevel="0" collapsed="false">
      <c r="A1567" s="0" t="str">
        <f aca="false">Chase1168_2025!A1567</f>
        <v>DEBIT</v>
      </c>
      <c r="B1567" s="14" t="n">
        <f aca="false">Chase1168_2025!B1567</f>
        <v>45712</v>
      </c>
      <c r="C1567" s="0" t="str">
        <f aca="false">Chase1168_2025!C1567</f>
        <v>PP*APPLE.COM/BILL 800-275-2273 CA            02/23</v>
      </c>
      <c r="D1567" s="7" t="n">
        <f aca="false">Chase1168_2025!D1567</f>
        <v>-9.99</v>
      </c>
      <c r="E1567" s="0" t="str">
        <f aca="false">Chase1168_2025!E1567</f>
        <v>DEBIT_CARD</v>
      </c>
      <c r="F1567" s="7" t="n">
        <f aca="false">Chase1168_2025!F1567</f>
        <v>113021.07</v>
      </c>
      <c r="G1567" s="0" t="str">
        <f aca="false">Chase1168_2025!G1567</f>
        <v>Personal - Subscriptions</v>
      </c>
      <c r="H1567" s="15" t="n">
        <f aca="false">IF($B1567="","",DATE(YEAR($B1567),MONTH($B1567),1))</f>
        <v>45689</v>
      </c>
      <c r="I1567" s="0" t="str">
        <f aca="false">IF($G1567="","Uncategorized — Review",IFERROR(INDEX(Mapping!$B:$B,MATCH($G1567,Mapping!$A:$A,0)),"Uncategorized — Review"))</f>
        <v>Personal - Subscriptions</v>
      </c>
      <c r="J1567" s="0" t="str">
        <f aca="false">IF($G1567="","Uncategorized — Review",IFERROR(INDEX(Mapping!$C:$C,MATCH($G1567,Mapping!$A:$A,0)),"Uncategorized — Review"))</f>
        <v>Personal — Owner</v>
      </c>
    </row>
    <row r="1568" customFormat="false" ht="15" hidden="false" customHeight="false" outlineLevel="0" collapsed="false">
      <c r="A1568" s="0" t="str">
        <f aca="false">Chase1168_2025!A1568</f>
        <v>DEBIT</v>
      </c>
      <c r="B1568" s="14" t="n">
        <f aca="false">Chase1168_2025!B1568</f>
        <v>45712</v>
      </c>
      <c r="C1568" s="0" t="str">
        <f aca="false">Chase1168_2025!C1568</f>
        <v>SPO*ELCOMPADRERESTAURA LOS ANGELES CA        02/23</v>
      </c>
      <c r="D1568" s="7" t="n">
        <f aca="false">Chase1168_2025!D1568</f>
        <v>-284.89</v>
      </c>
      <c r="E1568" s="0" t="str">
        <f aca="false">Chase1168_2025!E1568</f>
        <v>DEBIT_CARD</v>
      </c>
      <c r="F1568" s="7" t="n">
        <f aca="false">Chase1168_2025!F1568</f>
        <v>113031.06</v>
      </c>
      <c r="G1568" s="0" t="str">
        <f aca="false">Chase1168_2025!G1568</f>
        <v>Personal - Food</v>
      </c>
      <c r="H1568" s="15" t="n">
        <f aca="false">IF($B1568="","",DATE(YEAR($B1568),MONTH($B1568),1))</f>
        <v>45689</v>
      </c>
      <c r="I1568" s="0" t="str">
        <f aca="false">IF($G1568="","Uncategorized — Review",IFERROR(INDEX(Mapping!$B:$B,MATCH($G1568,Mapping!$A:$A,0)),"Uncategorized — Review"))</f>
        <v>Personal - Food &amp; Dining</v>
      </c>
      <c r="J1568" s="0" t="str">
        <f aca="false">IF($G1568="","Uncategorized — Review",IFERROR(INDEX(Mapping!$C:$C,MATCH($G1568,Mapping!$A:$A,0)),"Uncategorized — Review"))</f>
        <v>Personal — Owner</v>
      </c>
    </row>
    <row r="1569" customFormat="false" ht="15" hidden="false" customHeight="false" outlineLevel="0" collapsed="false">
      <c r="A1569" s="0" t="str">
        <f aca="false">Chase1168_2025!A1569</f>
        <v>DEBIT</v>
      </c>
      <c r="B1569" s="14" t="n">
        <f aca="false">Chase1168_2025!B1569</f>
        <v>45712</v>
      </c>
      <c r="C1569" s="0" t="str">
        <f aca="false">Chase1168_2025!C1569</f>
        <v>PAYPAL *RUTHALCANCI 402-935-7733 CA          02/23</v>
      </c>
      <c r="D1569" s="7" t="n">
        <f aca="false">Chase1168_2025!D1569</f>
        <v>-100</v>
      </c>
      <c r="E1569" s="0" t="str">
        <f aca="false">Chase1168_2025!E1569</f>
        <v>DEBIT_CARD</v>
      </c>
      <c r="F1569" s="7" t="n">
        <f aca="false">Chase1168_2025!F1569</f>
        <v>113315.95</v>
      </c>
      <c r="G1569" s="0" t="str">
        <f aca="false">Chase1168_2025!G1569</f>
        <v>Ruth Alcancia - Forward Bridge Payment</v>
      </c>
      <c r="H1569" s="15" t="n">
        <f aca="false">IF($B1569="","",DATE(YEAR($B1569),MONTH($B1569),1))</f>
        <v>45689</v>
      </c>
      <c r="I1569" s="0" t="str">
        <f aca="false">IF($G1569="","Uncategorized — Review",IFERROR(INDEX(Mapping!$B:$B,MATCH($G1569,Mapping!$A:$A,0)),"Uncategorized — Review"))</f>
        <v>Ruth Alcancia - Forward Bridge Payment</v>
      </c>
      <c r="J1569" s="0" t="str">
        <f aca="false">IF($G1569="","Uncategorized — Review",IFERROR(INDEX(Mapping!$C:$C,MATCH($G1569,Mapping!$A:$A,0)),"Uncategorized — Review"))</f>
        <v>Payroll &amp; Contractors</v>
      </c>
    </row>
    <row r="1570" customFormat="false" ht="15" hidden="false" customHeight="false" outlineLevel="0" collapsed="false">
      <c r="A1570" s="0" t="str">
        <f aca="false">Chase1168_2025!A1570</f>
        <v>DEBIT</v>
      </c>
      <c r="B1570" s="14" t="n">
        <f aca="false">Chase1168_2025!B1570</f>
        <v>45712</v>
      </c>
      <c r="C1570" s="0" t="str">
        <f aca="false">Chase1168_2025!C1570</f>
        <v>STARBUCKS STORE 05657 PASADENA CA            02/22</v>
      </c>
      <c r="D1570" s="7" t="n">
        <f aca="false">Chase1168_2025!D1570</f>
        <v>-11.7</v>
      </c>
      <c r="E1570" s="0" t="str">
        <f aca="false">Chase1168_2025!E1570</f>
        <v>DEBIT_CARD</v>
      </c>
      <c r="F1570" s="7" t="n">
        <f aca="false">Chase1168_2025!F1570</f>
        <v>113415.95</v>
      </c>
      <c r="G1570" s="0" t="str">
        <f aca="false">Chase1168_2025!G1570</f>
        <v>Personal - Food</v>
      </c>
      <c r="H1570" s="15" t="n">
        <f aca="false">IF($B1570="","",DATE(YEAR($B1570),MONTH($B1570),1))</f>
        <v>45689</v>
      </c>
      <c r="I1570" s="0" t="str">
        <f aca="false">IF($G1570="","Uncategorized — Review",IFERROR(INDEX(Mapping!$B:$B,MATCH($G1570,Mapping!$A:$A,0)),"Uncategorized — Review"))</f>
        <v>Personal - Food &amp; Dining</v>
      </c>
      <c r="J1570" s="0" t="str">
        <f aca="false">IF($G1570="","Uncategorized — Review",IFERROR(INDEX(Mapping!$C:$C,MATCH($G1570,Mapping!$A:$A,0)),"Uncategorized — Review"))</f>
        <v>Personal — Owner</v>
      </c>
    </row>
    <row r="1571" customFormat="false" ht="15" hidden="false" customHeight="false" outlineLevel="0" collapsed="false">
      <c r="A1571" s="0" t="str">
        <f aca="false">Chase1168_2025!A1571</f>
        <v>DEBIT</v>
      </c>
      <c r="B1571" s="14" t="n">
        <f aca="false">Chase1168_2025!B1571</f>
        <v>45712</v>
      </c>
      <c r="C1571" s="0" t="str">
        <f aca="false">Chase1168_2025!C1571</f>
        <v>MANHATTAN BEACH PARK MANHATTAN BEA CA        02/22</v>
      </c>
      <c r="D1571" s="7" t="n">
        <f aca="false">Chase1168_2025!D1571</f>
        <v>-0.75</v>
      </c>
      <c r="E1571" s="0" t="str">
        <f aca="false">Chase1168_2025!E1571</f>
        <v>DEBIT_CARD</v>
      </c>
      <c r="F1571" s="7" t="n">
        <f aca="false">Chase1168_2025!F1571</f>
        <v>113427.65</v>
      </c>
      <c r="G1571" s="0" t="str">
        <f aca="false">Chase1168_2025!G1571</f>
        <v>Personal - Car</v>
      </c>
      <c r="H1571" s="15" t="n">
        <f aca="false">IF($B1571="","",DATE(YEAR($B1571),MONTH($B1571),1))</f>
        <v>45689</v>
      </c>
      <c r="I1571" s="0" t="str">
        <f aca="false">IF($G1571="","Uncategorized — Review",IFERROR(INDEX(Mapping!$B:$B,MATCH($G1571,Mapping!$A:$A,0)),"Uncategorized — Review"))</f>
        <v>Personal - Car &amp; Auto</v>
      </c>
      <c r="J1571" s="0" t="str">
        <f aca="false">IF($G1571="","Uncategorized — Review",IFERROR(INDEX(Mapping!$C:$C,MATCH($G1571,Mapping!$A:$A,0)),"Uncategorized — Review"))</f>
        <v>Personal — Owner</v>
      </c>
    </row>
    <row r="1572" customFormat="false" ht="15" hidden="false" customHeight="false" outlineLevel="0" collapsed="false">
      <c r="A1572" s="0" t="str">
        <f aca="false">Chase1168_2025!A1572</f>
        <v>DEBIT</v>
      </c>
      <c r="B1572" s="14" t="n">
        <f aca="false">Chase1168_2025!B1572</f>
        <v>45712</v>
      </c>
      <c r="C1572" s="0" t="str">
        <f aca="false">Chase1168_2025!C1572</f>
        <v>SXM*SIRIUSXM.COM/ACCT 888-635-5144 NY        02/22</v>
      </c>
      <c r="D1572" s="7" t="n">
        <f aca="false">Chase1168_2025!D1572</f>
        <v>-11.57</v>
      </c>
      <c r="E1572" s="0" t="str">
        <f aca="false">Chase1168_2025!E1572</f>
        <v>DEBIT_CARD</v>
      </c>
      <c r="F1572" s="7" t="n">
        <f aca="false">Chase1168_2025!F1572</f>
        <v>113428.4</v>
      </c>
      <c r="G1572" s="0" t="str">
        <f aca="false">Chase1168_2025!G1572</f>
        <v>Personal - Subscriptions</v>
      </c>
      <c r="H1572" s="15" t="n">
        <f aca="false">IF($B1572="","",DATE(YEAR($B1572),MONTH($B1572),1))</f>
        <v>45689</v>
      </c>
      <c r="I1572" s="0" t="str">
        <f aca="false">IF($G1572="","Uncategorized — Review",IFERROR(INDEX(Mapping!$B:$B,MATCH($G1572,Mapping!$A:$A,0)),"Uncategorized — Review"))</f>
        <v>Personal - Subscriptions</v>
      </c>
      <c r="J1572" s="0" t="str">
        <f aca="false">IF($G1572="","Uncategorized — Review",IFERROR(INDEX(Mapping!$C:$C,MATCH($G1572,Mapping!$A:$A,0)),"Uncategorized — Review"))</f>
        <v>Personal — Owner</v>
      </c>
    </row>
    <row r="1573" customFormat="false" ht="15" hidden="false" customHeight="false" outlineLevel="0" collapsed="false">
      <c r="A1573" s="0" t="str">
        <f aca="false">Chase1168_2025!A1573</f>
        <v>DEBIT</v>
      </c>
      <c r="B1573" s="14" t="n">
        <f aca="false">Chase1168_2025!B1573</f>
        <v>45712</v>
      </c>
      <c r="C1573" s="0" t="str">
        <f aca="false">Chase1168_2025!C1573</f>
        <v>Zelle payment to Jeff D. Farjardo JPM99ayydbtl</v>
      </c>
      <c r="D1573" s="7" t="n">
        <f aca="false">Chase1168_2025!D1573</f>
        <v>-1500</v>
      </c>
      <c r="E1573" s="0" t="str">
        <f aca="false">Chase1168_2025!E1573</f>
        <v>CHASE_TO_PARTNERFI</v>
      </c>
      <c r="F1573" s="7" t="n">
        <f aca="false">Chase1168_2025!F1573</f>
        <v>113439.97</v>
      </c>
      <c r="G1573" s="0" t="str">
        <f aca="false">Chase1168_2025!G1573</f>
        <v>Zelle - Jeff Fajardo</v>
      </c>
      <c r="H1573" s="15" t="n">
        <f aca="false">IF($B1573="","",DATE(YEAR($B1573),MONTH($B1573),1))</f>
        <v>45689</v>
      </c>
      <c r="I1573" s="0" t="str">
        <f aca="false">IF($G1573="","Uncategorized — Review",IFERROR(INDEX(Mapping!$B:$B,MATCH($G1573,Mapping!$A:$A,0)),"Uncategorized — Review"))</f>
        <v>Zelle - Jeff Fajardo</v>
      </c>
      <c r="J1573" s="0" t="str">
        <f aca="false">IF($G1573="","Uncategorized — Review",IFERROR(INDEX(Mapping!$C:$C,MATCH($G1573,Mapping!$A:$A,0)),"Uncategorized — Review"))</f>
        <v>P2P Payments (Zelle/Venmo/PayPal)</v>
      </c>
    </row>
    <row r="1574" customFormat="false" ht="15" hidden="false" customHeight="false" outlineLevel="0" collapsed="false">
      <c r="A1574" s="0" t="str">
        <f aca="false">Chase1168_2025!A1574</f>
        <v>DEBIT</v>
      </c>
      <c r="B1574" s="14" t="n">
        <f aca="false">Chase1168_2025!B1574</f>
        <v>45712</v>
      </c>
      <c r="C1574" s="0" t="str">
        <f aca="false">Chase1168_2025!C1574</f>
        <v>PAYPAL *UBER 866-576-1039 CA                 02/22</v>
      </c>
      <c r="D1574" s="7" t="n">
        <f aca="false">Chase1168_2025!D1574</f>
        <v>-113.78</v>
      </c>
      <c r="E1574" s="0" t="str">
        <f aca="false">Chase1168_2025!E1574</f>
        <v>DEBIT_CARD</v>
      </c>
      <c r="F1574" s="7" t="n">
        <f aca="false">Chase1168_2025!F1574</f>
        <v>114939.97</v>
      </c>
      <c r="G1574" s="0" t="str">
        <f aca="false">Chase1168_2025!G1574</f>
        <v>Personal - Car</v>
      </c>
      <c r="H1574" s="15" t="n">
        <f aca="false">IF($B1574="","",DATE(YEAR($B1574),MONTH($B1574),1))</f>
        <v>45689</v>
      </c>
      <c r="I1574" s="0" t="str">
        <f aca="false">IF($G1574="","Uncategorized — Review",IFERROR(INDEX(Mapping!$B:$B,MATCH($G1574,Mapping!$A:$A,0)),"Uncategorized — Review"))</f>
        <v>Personal - Car &amp; Auto</v>
      </c>
      <c r="J1574" s="0" t="str">
        <f aca="false">IF($G1574="","Uncategorized — Review",IFERROR(INDEX(Mapping!$C:$C,MATCH($G1574,Mapping!$A:$A,0)),"Uncategorized — Review"))</f>
        <v>Personal — Owner</v>
      </c>
    </row>
    <row r="1575" customFormat="false" ht="15" hidden="false" customHeight="false" outlineLevel="0" collapsed="false">
      <c r="A1575" s="0" t="str">
        <f aca="false">Chase1168_2025!A1575</f>
        <v>DEBIT</v>
      </c>
      <c r="B1575" s="14" t="n">
        <f aca="false">Chase1168_2025!B1575</f>
        <v>45712</v>
      </c>
      <c r="C1575" s="0" t="str">
        <f aca="false">Chase1168_2025!C1575</f>
        <v>PNH DFW SMASHBURGER DALLAS TX                02/21</v>
      </c>
      <c r="D1575" s="7" t="n">
        <f aca="false">Chase1168_2025!D1575</f>
        <v>-50.57</v>
      </c>
      <c r="E1575" s="0" t="str">
        <f aca="false">Chase1168_2025!E1575</f>
        <v>DEBIT_CARD</v>
      </c>
      <c r="F1575" s="7" t="n">
        <f aca="false">Chase1168_2025!F1575</f>
        <v>115053.75</v>
      </c>
      <c r="G1575" s="0" t="str">
        <f aca="false">Chase1168_2025!G1575</f>
        <v>Personal - Food</v>
      </c>
      <c r="H1575" s="15" t="n">
        <f aca="false">IF($B1575="","",DATE(YEAR($B1575),MONTH($B1575),1))</f>
        <v>45689</v>
      </c>
      <c r="I1575" s="0" t="str">
        <f aca="false">IF($G1575="","Uncategorized — Review",IFERROR(INDEX(Mapping!$B:$B,MATCH($G1575,Mapping!$A:$A,0)),"Uncategorized — Review"))</f>
        <v>Personal - Food &amp; Dining</v>
      </c>
      <c r="J1575" s="0" t="str">
        <f aca="false">IF($G1575="","Uncategorized — Review",IFERROR(INDEX(Mapping!$C:$C,MATCH($G1575,Mapping!$A:$A,0)),"Uncategorized — Review"))</f>
        <v>Personal — Owner</v>
      </c>
    </row>
    <row r="1576" customFormat="false" ht="15" hidden="false" customHeight="false" outlineLevel="0" collapsed="false">
      <c r="A1576" s="0" t="str">
        <f aca="false">Chase1168_2025!A1576</f>
        <v>DEBIT</v>
      </c>
      <c r="B1576" s="14" t="n">
        <f aca="false">Chase1168_2025!B1576</f>
        <v>45712</v>
      </c>
      <c r="C1576" s="0" t="str">
        <f aca="false">Chase1168_2025!C1576</f>
        <v>PAYPAL *LINKEDIN 402-935-7733 CA             02/22</v>
      </c>
      <c r="D1576" s="7" t="n">
        <f aca="false">Chase1168_2025!D1576</f>
        <v>-520</v>
      </c>
      <c r="E1576" s="0" t="str">
        <f aca="false">Chase1168_2025!E1576</f>
        <v>DEBIT_CARD</v>
      </c>
      <c r="F1576" s="7" t="n">
        <f aca="false">Chase1168_2025!F1576</f>
        <v>115104.32</v>
      </c>
      <c r="G1576" s="0" t="str">
        <f aca="false">Chase1168_2025!G1576</f>
        <v>DWG HR</v>
      </c>
      <c r="H1576" s="15" t="n">
        <f aca="false">IF($B1576="","",DATE(YEAR($B1576),MONTH($B1576),1))</f>
        <v>45689</v>
      </c>
      <c r="I1576" s="0" t="str">
        <f aca="false">IF($G1576="","Uncategorized — Review",IFERROR(INDEX(Mapping!$B:$B,MATCH($G1576,Mapping!$A:$A,0)),"Uncategorized — Review"))</f>
        <v>DWG HR</v>
      </c>
      <c r="J1576" s="0" t="str">
        <f aca="false">IF($G1576="","Uncategorized — Review",IFERROR(INDEX(Mapping!$C:$C,MATCH($G1576,Mapping!$A:$A,0)),"Uncategorized — Review"))</f>
        <v>Payroll &amp; Contractors</v>
      </c>
    </row>
    <row r="1577" customFormat="false" ht="15" hidden="false" customHeight="false" outlineLevel="0" collapsed="false">
      <c r="A1577" s="0" t="str">
        <f aca="false">Chase1168_2025!A1577</f>
        <v>CREDIT</v>
      </c>
      <c r="B1577" s="14" t="n">
        <f aca="false">Chase1168_2025!B1577</f>
        <v>45712</v>
      </c>
      <c r="C1577" s="0" t="str">
        <f aca="false">Chase1168_2025!C1577</f>
        <v>FEDWIRE CREDIT VIA: BANK OF AMERICA, N.A./026009593 B/O: CT SOCAL COMM FBSC/CT BS FXBC RIVERSIDE CA 92505 US REF: CHASE NYC/CTR/BNF=DWG CAPITAL GROUP LOS ANGELES CA 90066-3638 US/AC-00 0000002836 RFB=1-18660710 OBI=FN-FB SC2405282 PROPADDR-3811 E/BAN K HEA D HWY, HUDSON OAKS, TX 760/87- 958 3 IMAD: 0224B6B7HU3R017979 TRN: 1268511055FF</v>
      </c>
      <c r="D1577" s="7" t="n">
        <f aca="false">Chase1168_2025!D1577</f>
        <v>34200</v>
      </c>
      <c r="E1577" s="0" t="str">
        <f aca="false">Chase1168_2025!E1577</f>
        <v>WIRE_INCOMING</v>
      </c>
      <c r="F1577" s="7" t="n">
        <f aca="false">Chase1168_2025!F1577</f>
        <v>115624.32</v>
      </c>
      <c r="G1577" s="0" t="str">
        <f aca="false">Chase1168_2025!G1577</f>
        <v>Incoming Commission: 3811 E Bankhead</v>
      </c>
      <c r="H1577" s="15" t="n">
        <f aca="false">IF($B1577="","",DATE(YEAR($B1577),MONTH($B1577),1))</f>
        <v>45689</v>
      </c>
      <c r="I1577" s="0" t="str">
        <f aca="false">IF($G1577="","Uncategorized — Review",IFERROR(INDEX(Mapping!$B:$B,MATCH($G1577,Mapping!$A:$A,0)),"Uncategorized — Review"))</f>
        <v>Incoming Commission: 3811 E Bankhead</v>
      </c>
      <c r="J1577" s="0" t="str">
        <f aca="false">IF($G1577="","Uncategorized — Review",IFERROR(INDEX(Mapping!$C:$C,MATCH($G1577,Mapping!$A:$A,0)),"Uncategorized — Review"))</f>
        <v>Commissions — Incoming</v>
      </c>
    </row>
    <row r="1578" customFormat="false" ht="15" hidden="false" customHeight="false" outlineLevel="0" collapsed="false">
      <c r="A1578" s="0" t="str">
        <f aca="false">Chase1168_2025!A1578</f>
        <v>CREDIT</v>
      </c>
      <c r="B1578" s="14" t="n">
        <f aca="false">Chase1168_2025!B1578</f>
        <v>45712</v>
      </c>
      <c r="C1578" s="0" t="str">
        <f aca="false">Chase1168_2025!C1578</f>
        <v>FEDWIRE CREDIT VIA: BANK OF AMERICA, N.A./026009593 B/O: CT SOCAL COMM FBSC/CT BS FXBC RIVERSIDE CA 92505 US REF: CHASE NYC/CTR/BNF=DWG CAPITAL GROUP LOS ANGELES CA 90066-3638 US/AC-00 0000002836 RFB=1-18660712 OBI=FN-FB SC2405282 BRIDGE LOAN PAYO/FF P ROP ADDR-3811 E BANKHEAD HWY,/HUD SON O AKS, TX 76087 IMAD: 0224B6B7HU1R018103 TRN: 1268521055FF</v>
      </c>
      <c r="D1578" s="7" t="n">
        <f aca="false">Chase1168_2025!D1578</f>
        <v>51500</v>
      </c>
      <c r="E1578" s="0" t="str">
        <f aca="false">Chase1168_2025!E1578</f>
        <v>WIRE_INCOMING</v>
      </c>
      <c r="F1578" s="7" t="n">
        <f aca="false">Chase1168_2025!F1578</f>
        <v>81424.32</v>
      </c>
      <c r="G1578" s="0" t="str">
        <f aca="false">Chase1168_2025!G1578</f>
        <v>Incoming Commission: 3811 E Bankhead</v>
      </c>
      <c r="H1578" s="15" t="n">
        <f aca="false">IF($B1578="","",DATE(YEAR($B1578),MONTH($B1578),1))</f>
        <v>45689</v>
      </c>
      <c r="I1578" s="0" t="str">
        <f aca="false">IF($G1578="","Uncategorized — Review",IFERROR(INDEX(Mapping!$B:$B,MATCH($G1578,Mapping!$A:$A,0)),"Uncategorized — Review"))</f>
        <v>Incoming Commission: 3811 E Bankhead</v>
      </c>
      <c r="J1578" s="0" t="str">
        <f aca="false">IF($G1578="","Uncategorized — Review",IFERROR(INDEX(Mapping!$C:$C,MATCH($G1578,Mapping!$A:$A,0)),"Uncategorized — Review"))</f>
        <v>Commissions — Incoming</v>
      </c>
    </row>
    <row r="1579" customFormat="false" ht="15" hidden="false" customHeight="false" outlineLevel="0" collapsed="false">
      <c r="A1579" s="0" t="str">
        <f aca="false">Chase1168_2025!A1579</f>
        <v>DEBIT</v>
      </c>
      <c r="B1579" s="14" t="n">
        <f aca="false">Chase1168_2025!B1579</f>
        <v>45709</v>
      </c>
      <c r="C1579" s="0" t="str">
        <f aca="false">Chase1168_2025!C1579</f>
        <v>ORIG CO NAME:VENMO                  ORIG ID:3264681992 DESC DATE:250220 CO ENTRY DESCR:PAYMENT   SEC:WEB    TRACE#:091000013542863 EED:250221   IND ID:1040415180847                IND NAME:JUDD DUNNING TRN: 0523542863TC</v>
      </c>
      <c r="D1579" s="7" t="n">
        <f aca="false">Chase1168_2025!D1579</f>
        <v>-150</v>
      </c>
      <c r="E1579" s="0" t="str">
        <f aca="false">Chase1168_2025!E1579</f>
        <v>ACH_DEBIT</v>
      </c>
      <c r="F1579" s="7" t="n">
        <f aca="false">Chase1168_2025!F1579</f>
        <v>29924.32</v>
      </c>
      <c r="G1579" s="0" t="str">
        <f aca="false">Chase1168_2025!G1579</f>
        <v>Venmo</v>
      </c>
      <c r="H1579" s="15" t="n">
        <f aca="false">IF($B1579="","",DATE(YEAR($B1579),MONTH($B1579),1))</f>
        <v>45689</v>
      </c>
      <c r="I1579" s="0" t="str">
        <f aca="false">IF($G1579="","Uncategorized — Review",IFERROR(INDEX(Mapping!$B:$B,MATCH($G1579,Mapping!$A:$A,0)),"Uncategorized — Review"))</f>
        <v>Venmo</v>
      </c>
      <c r="J1579" s="0" t="str">
        <f aca="false">IF($G1579="","Uncategorized — Review",IFERROR(INDEX(Mapping!$C:$C,MATCH($G1579,Mapping!$A:$A,0)),"Uncategorized — Review"))</f>
        <v>P2P Payments (Zelle/Venmo/PayPal)</v>
      </c>
    </row>
    <row r="1580" customFormat="false" ht="15" hidden="false" customHeight="false" outlineLevel="0" collapsed="false">
      <c r="A1580" s="0" t="str">
        <f aca="false">Chase1168_2025!A1580</f>
        <v>DEBIT</v>
      </c>
      <c r="B1580" s="14" t="n">
        <f aca="false">Chase1168_2025!B1580</f>
        <v>45709</v>
      </c>
      <c r="C1580" s="0" t="str">
        <f aca="false">Chase1168_2025!C1580</f>
        <v>ORIG CO NAME:LEASEDIRECT            ORIG ID:138190450  DESC DATE:250218 CO ENTRY DESCR:11423_1   SEC:CCD    TRACE#:043000091430221 EED:250221   IND ID:1556926                      IND NAME:DWG CAPITAL GROUP          INV# 589163036 DUE 02/15/25 REC# 17 86943                                         11424 TRN: 0521430221TC</v>
      </c>
      <c r="D1580" s="7" t="n">
        <f aca="false">Chase1168_2025!D1580</f>
        <v>-103.81</v>
      </c>
      <c r="E1580" s="0" t="str">
        <f aca="false">Chase1168_2025!E1580</f>
        <v>ACH_DEBIT</v>
      </c>
      <c r="F1580" s="7" t="n">
        <f aca="false">Chase1168_2025!F1580</f>
        <v>30074.32</v>
      </c>
      <c r="G1580" s="0" t="str">
        <f aca="false">Chase1168_2025!G1580</f>
        <v>DWG - TBD</v>
      </c>
      <c r="H1580" s="15" t="n">
        <f aca="false">IF($B1580="","",DATE(YEAR($B1580),MONTH($B1580),1))</f>
        <v>45689</v>
      </c>
      <c r="I1580" s="0" t="str">
        <f aca="false">IF($G1580="","Uncategorized — Review",IFERROR(INDEX(Mapping!$B:$B,MATCH($G1580,Mapping!$A:$A,0)),"Uncategorized — Review"))</f>
        <v>DWG - TBD</v>
      </c>
      <c r="J1580" s="0" t="str">
        <f aca="false">IF($G1580="","Uncategorized — Review",IFERROR(INDEX(Mapping!$C:$C,MATCH($G1580,Mapping!$A:$A,0)),"Uncategorized — Review"))</f>
        <v>Uncategorized — Review</v>
      </c>
    </row>
    <row r="1581" customFormat="false" ht="15" hidden="false" customHeight="false" outlineLevel="0" collapsed="false">
      <c r="A1581" s="0" t="str">
        <f aca="false">Chase1168_2025!A1581</f>
        <v>DEBIT</v>
      </c>
      <c r="B1581" s="14" t="n">
        <f aca="false">Chase1168_2025!B1581</f>
        <v>45709</v>
      </c>
      <c r="C1581" s="0" t="str">
        <f aca="false">Chase1168_2025!C1581</f>
        <v>ORIG CO NAME:PRINCIPAL-CCAPNL       ORIG ID:9INDPNLEFT DESC DATE:021925 CO ENTRY DESCR:PRIN FINANSEC:PPD    TRACE#:091000013996810 EED:250221   IND ID:                             IND NAME:JOHN B DUNNING TRN: 0523996810TC</v>
      </c>
      <c r="D1581" s="7" t="n">
        <f aca="false">Chase1168_2025!D1581</f>
        <v>-331.54</v>
      </c>
      <c r="E1581" s="0" t="str">
        <f aca="false">Chase1168_2025!E1581</f>
        <v>ACH_DEBIT</v>
      </c>
      <c r="F1581" s="7" t="n">
        <f aca="false">Chase1168_2025!F1581</f>
        <v>30178.13</v>
      </c>
      <c r="G1581" s="0" t="str">
        <f aca="false">Chase1168_2025!G1581</f>
        <v>???</v>
      </c>
      <c r="H1581" s="15" t="n">
        <f aca="false">IF($B1581="","",DATE(YEAR($B1581),MONTH($B1581),1))</f>
        <v>45689</v>
      </c>
      <c r="I1581" s="0" t="str">
        <f aca="false">IF($G1581="","Uncategorized — Review",IFERROR(INDEX(Mapping!$B:$B,MATCH($G1581,Mapping!$A:$A,0)),"Uncategorized — Review"))</f>
        <v>???</v>
      </c>
      <c r="J1581" s="0" t="str">
        <f aca="false">IF($G1581="","Uncategorized — Review",IFERROR(INDEX(Mapping!$C:$C,MATCH($G1581,Mapping!$A:$A,0)),"Uncategorized — Review"))</f>
        <v>Uncategorized — Review</v>
      </c>
    </row>
    <row r="1582" customFormat="false" ht="15" hidden="false" customHeight="false" outlineLevel="0" collapsed="false">
      <c r="A1582" s="0" t="str">
        <f aca="false">Chase1168_2025!A1582</f>
        <v>DEBIT</v>
      </c>
      <c r="B1582" s="14" t="n">
        <f aca="false">Chase1168_2025!B1582</f>
        <v>45709</v>
      </c>
      <c r="C1582" s="0" t="str">
        <f aca="false">Chase1168_2025!C1582</f>
        <v>PP*APPLE.COM/BILL 800-275-2273 CA            02/20</v>
      </c>
      <c r="D1582" s="7" t="n">
        <f aca="false">Chase1168_2025!D1582</f>
        <v>-3.99</v>
      </c>
      <c r="E1582" s="0" t="str">
        <f aca="false">Chase1168_2025!E1582</f>
        <v>DEBIT_CARD</v>
      </c>
      <c r="F1582" s="7" t="n">
        <f aca="false">Chase1168_2025!F1582</f>
        <v>30509.67</v>
      </c>
      <c r="G1582" s="0" t="str">
        <f aca="false">Chase1168_2025!G1582</f>
        <v>Personal - Subscriptions</v>
      </c>
      <c r="H1582" s="15" t="n">
        <f aca="false">IF($B1582="","",DATE(YEAR($B1582),MONTH($B1582),1))</f>
        <v>45689</v>
      </c>
      <c r="I1582" s="0" t="str">
        <f aca="false">IF($G1582="","Uncategorized — Review",IFERROR(INDEX(Mapping!$B:$B,MATCH($G1582,Mapping!$A:$A,0)),"Uncategorized — Review"))</f>
        <v>Personal - Subscriptions</v>
      </c>
      <c r="J1582" s="0" t="str">
        <f aca="false">IF($G1582="","Uncategorized — Review",IFERROR(INDEX(Mapping!$C:$C,MATCH($G1582,Mapping!$A:$A,0)),"Uncategorized — Review"))</f>
        <v>Personal — Owner</v>
      </c>
    </row>
    <row r="1583" customFormat="false" ht="15" hidden="false" customHeight="false" outlineLevel="0" collapsed="false">
      <c r="A1583" s="0" t="str">
        <f aca="false">Chase1168_2025!A1583</f>
        <v>DEBIT</v>
      </c>
      <c r="B1583" s="14" t="n">
        <f aca="false">Chase1168_2025!B1583</f>
        <v>45709</v>
      </c>
      <c r="C1583" s="0" t="str">
        <f aca="false">Chase1168_2025!C1583</f>
        <v>PAYPAL *BEENVERIFIE 786-482-6776 NY          02/21</v>
      </c>
      <c r="D1583" s="7" t="n">
        <f aca="false">Chase1168_2025!D1583</f>
        <v>-26.89</v>
      </c>
      <c r="E1583" s="0" t="str">
        <f aca="false">Chase1168_2025!E1583</f>
        <v>DEBIT_CARD</v>
      </c>
      <c r="F1583" s="7" t="n">
        <f aca="false">Chase1168_2025!F1583</f>
        <v>30513.66</v>
      </c>
      <c r="G1583" s="0" t="str">
        <f aca="false">Chase1168_2025!G1583</f>
        <v>Personal - Subscriptions</v>
      </c>
      <c r="H1583" s="15" t="n">
        <f aca="false">IF($B1583="","",DATE(YEAR($B1583),MONTH($B1583),1))</f>
        <v>45689</v>
      </c>
      <c r="I1583" s="0" t="str">
        <f aca="false">IF($G1583="","Uncategorized — Review",IFERROR(INDEX(Mapping!$B:$B,MATCH($G1583,Mapping!$A:$A,0)),"Uncategorized — Review"))</f>
        <v>Personal - Subscriptions</v>
      </c>
      <c r="J1583" s="0" t="str">
        <f aca="false">IF($G1583="","Uncategorized — Review",IFERROR(INDEX(Mapping!$C:$C,MATCH($G1583,Mapping!$A:$A,0)),"Uncategorized — Review"))</f>
        <v>Personal — Owner</v>
      </c>
    </row>
    <row r="1584" customFormat="false" ht="15" hidden="false" customHeight="false" outlineLevel="0" collapsed="false">
      <c r="A1584" s="0" t="str">
        <f aca="false">Chase1168_2025!A1584</f>
        <v>DEBIT</v>
      </c>
      <c r="B1584" s="14" t="n">
        <f aca="false">Chase1168_2025!B1584</f>
        <v>45708</v>
      </c>
      <c r="C1584" s="0" t="str">
        <f aca="false">Chase1168_2025!C1584</f>
        <v>DOMESTIC WIRE FEE</v>
      </c>
      <c r="D1584" s="7" t="n">
        <f aca="false">Chase1168_2025!D1584</f>
        <v>-35</v>
      </c>
      <c r="E1584" s="0" t="str">
        <f aca="false">Chase1168_2025!E1584</f>
        <v>FEE_TRANSACTION</v>
      </c>
      <c r="F1584" s="7" t="n">
        <f aca="false">Chase1168_2025!F1584</f>
        <v>30540.55</v>
      </c>
      <c r="G1584" s="0" t="str">
        <f aca="false">Chase1168_2025!G1584</f>
        <v>Wire Fee</v>
      </c>
      <c r="H1584" s="15" t="n">
        <f aca="false">IF($B1584="","",DATE(YEAR($B1584),MONTH($B1584),1))</f>
        <v>45689</v>
      </c>
      <c r="I1584" s="0" t="str">
        <f aca="false">IF($G1584="","Uncategorized — Review",IFERROR(INDEX(Mapping!$B:$B,MATCH($G1584,Mapping!$A:$A,0)),"Uncategorized — Review"))</f>
        <v>Wire Fee</v>
      </c>
      <c r="J1584" s="0" t="str">
        <f aca="false">IF($G1584="","Uncategorized — Review",IFERROR(INDEX(Mapping!$C:$C,MATCH($G1584,Mapping!$A:$A,0)),"Uncategorized — Review"))</f>
        <v>DWG Operating</v>
      </c>
    </row>
    <row r="1585" customFormat="false" ht="15" hidden="false" customHeight="false" outlineLevel="0" collapsed="false">
      <c r="A1585" s="0" t="str">
        <f aca="false">Chase1168_2025!A1585</f>
        <v>DEBIT</v>
      </c>
      <c r="B1585" s="14" t="n">
        <f aca="false">Chase1168_2025!B1585</f>
        <v>45708</v>
      </c>
      <c r="C1585" s="0" t="str">
        <f aca="false">Chase1168_2025!C1585</f>
        <v>HOMEGOODS #1084 WEATHERFORD TX       006797  02/20</v>
      </c>
      <c r="D1585" s="7" t="n">
        <f aca="false">Chase1168_2025!D1585</f>
        <v>-28.12</v>
      </c>
      <c r="E1585" s="0" t="str">
        <f aca="false">Chase1168_2025!E1585</f>
        <v>DEBIT_CARD</v>
      </c>
      <c r="F1585" s="7" t="n">
        <f aca="false">Chase1168_2025!F1585</f>
        <v>30610.55</v>
      </c>
      <c r="G1585" s="0" t="str">
        <f aca="false">Chase1168_2025!G1585</f>
        <v>Personal - House</v>
      </c>
      <c r="H1585" s="15" t="n">
        <f aca="false">IF($B1585="","",DATE(YEAR($B1585),MONTH($B1585),1))</f>
        <v>45689</v>
      </c>
      <c r="I1585" s="0" t="str">
        <f aca="false">IF($G1585="","Uncategorized — Review",IFERROR(INDEX(Mapping!$B:$B,MATCH($G1585,Mapping!$A:$A,0)),"Uncategorized — Review"))</f>
        <v>Personal - House</v>
      </c>
      <c r="J1585" s="0" t="str">
        <f aca="false">IF($G1585="","Uncategorized — Review",IFERROR(INDEX(Mapping!$C:$C,MATCH($G1585,Mapping!$A:$A,0)),"Uncategorized — Review"))</f>
        <v>Personal — Owner</v>
      </c>
    </row>
    <row r="1586" customFormat="false" ht="15" hidden="false" customHeight="false" outlineLevel="0" collapsed="false">
      <c r="A1586" s="0" t="str">
        <f aca="false">Chase1168_2025!A1586</f>
        <v>DEBIT</v>
      </c>
      <c r="B1586" s="14" t="n">
        <f aca="false">Chase1168_2025!B1586</f>
        <v>45708</v>
      </c>
      <c r="C1586" s="0" t="str">
        <f aca="false">Chase1168_2025!C1586</f>
        <v>DOMESTIC WIRE TRANSFER VIA: CITIBANK NYC/021000089 A/C: MORGAN STANLEY REF: FOR FURTHER CREDIT TO DAX MITCHELL 890-190608/TIME/16:11 IMAD: 0220MMQFMP2L065256 TRN: 3580505051ES 02/20</v>
      </c>
      <c r="D1586" s="7" t="n">
        <f aca="false">Chase1168_2025!D1586</f>
        <v>-266065.37</v>
      </c>
      <c r="E1586" s="0" t="str">
        <f aca="false">Chase1168_2025!E1586</f>
        <v>WIRE_OUTGOING</v>
      </c>
      <c r="F1586" s="7" t="n">
        <f aca="false">Chase1168_2025!F1586</f>
        <v>30638.67</v>
      </c>
      <c r="G1586" s="0" t="str">
        <f aca="false">Chase1168_2025!G1586</f>
        <v>Due to Dax – MAG Pass-Through 70%</v>
      </c>
      <c r="H1586" s="15" t="n">
        <f aca="false">IF($B1586="","",DATE(YEAR($B1586),MONTH($B1586),1))</f>
        <v>45689</v>
      </c>
      <c r="I1586" s="0" t="str">
        <f aca="false">IF($G1586="","Uncategorized — Review",IFERROR(INDEX(Mapping!$B:$B,MATCH($G1586,Mapping!$A:$A,0)),"Uncategorized — Review"))</f>
        <v>Due to Dax – MAG Pass-Through 70%</v>
      </c>
      <c r="J1586" s="0" t="str">
        <f aca="false">IF($G1586="","Uncategorized — Review",IFERROR(INDEX(Mapping!$C:$C,MATCH($G1586,Mapping!$A:$A,0)),"Uncategorized — Review"))</f>
        <v>MAG Pass-Through</v>
      </c>
    </row>
    <row r="1587" customFormat="false" ht="15" hidden="false" customHeight="false" outlineLevel="0" collapsed="false">
      <c r="A1587" s="0" t="str">
        <f aca="false">Chase1168_2025!A1587</f>
        <v>DEBIT</v>
      </c>
      <c r="B1587" s="14" t="n">
        <f aca="false">Chase1168_2025!B1587</f>
        <v>45708</v>
      </c>
      <c r="C1587" s="0" t="str">
        <f aca="false">Chase1168_2025!C1587</f>
        <v>DOMESTIC WIRE TRANSFER A/C: 2331 MESA DEV LLC DALLAS TX 75219-3928 US REF: TOTAL WINE TRN: 3578565051ES 02/20</v>
      </c>
      <c r="D1587" s="7" t="n">
        <f aca="false">Chase1168_2025!D1587</f>
        <v>-114028.02</v>
      </c>
      <c r="E1587" s="0" t="str">
        <f aca="false">Chase1168_2025!E1587</f>
        <v>WIRE_OUTGOING</v>
      </c>
      <c r="F1587" s="7" t="n">
        <f aca="false">Chase1168_2025!F1587</f>
        <v>296704.04</v>
      </c>
      <c r="G1587" s="0" t="str">
        <f aca="false">Chase1168_2025!G1587</f>
        <v>Due to Andrew  – MAG Pass-Through 30%</v>
      </c>
      <c r="H1587" s="15" t="n">
        <f aca="false">IF($B1587="","",DATE(YEAR($B1587),MONTH($B1587),1))</f>
        <v>45689</v>
      </c>
      <c r="I1587" s="0" t="str">
        <f aca="false">IF($G1587="","Uncategorized — Review",IFERROR(INDEX(Mapping!$B:$B,MATCH($G1587,Mapping!$A:$A,0)),"Uncategorized — Review"))</f>
        <v>Due to Andrew  – MAG Pass-Through 30%</v>
      </c>
      <c r="J1587" s="0" t="str">
        <f aca="false">IF($G1587="","Uncategorized — Review",IFERROR(INDEX(Mapping!$C:$C,MATCH($G1587,Mapping!$A:$A,0)),"Uncategorized — Review"))</f>
        <v>MAG Pass-Through</v>
      </c>
    </row>
    <row r="1588" customFormat="false" ht="15" hidden="false" customHeight="false" outlineLevel="0" collapsed="false">
      <c r="A1588" s="0" t="str">
        <f aca="false">Chase1168_2025!A1588</f>
        <v>DEBIT</v>
      </c>
      <c r="B1588" s="14" t="n">
        <f aca="false">Chase1168_2025!B1588</f>
        <v>45708</v>
      </c>
      <c r="C1588" s="0" t="str">
        <f aca="false">Chase1168_2025!C1588</f>
        <v>STARBUCKS STORE 29139 HUDSON OAKS TX         02/19</v>
      </c>
      <c r="D1588" s="7" t="n">
        <f aca="false">Chase1168_2025!D1588</f>
        <v>-17.5</v>
      </c>
      <c r="E1588" s="0" t="str">
        <f aca="false">Chase1168_2025!E1588</f>
        <v>DEBIT_CARD</v>
      </c>
      <c r="F1588" s="7" t="n">
        <f aca="false">Chase1168_2025!F1588</f>
        <v>410732.06</v>
      </c>
      <c r="G1588" s="0" t="str">
        <f aca="false">Chase1168_2025!G1588</f>
        <v>Personal - Food</v>
      </c>
      <c r="H1588" s="15" t="n">
        <f aca="false">IF($B1588="","",DATE(YEAR($B1588),MONTH($B1588),1))</f>
        <v>45689</v>
      </c>
      <c r="I1588" s="0" t="str">
        <f aca="false">IF($G1588="","Uncategorized — Review",IFERROR(INDEX(Mapping!$B:$B,MATCH($G1588,Mapping!$A:$A,0)),"Uncategorized — Review"))</f>
        <v>Personal - Food &amp; Dining</v>
      </c>
      <c r="J1588" s="0" t="str">
        <f aca="false">IF($G1588="","Uncategorized — Review",IFERROR(INDEX(Mapping!$C:$C,MATCH($G1588,Mapping!$A:$A,0)),"Uncategorized — Review"))</f>
        <v>Personal — Owner</v>
      </c>
    </row>
    <row r="1589" customFormat="false" ht="15" hidden="false" customHeight="false" outlineLevel="0" collapsed="false">
      <c r="A1589" s="0" t="str">
        <f aca="false">Chase1168_2025!A1589</f>
        <v>DEBIT</v>
      </c>
      <c r="B1589" s="14" t="n">
        <f aca="false">Chase1168_2025!B1589</f>
        <v>45708</v>
      </c>
      <c r="C1589" s="0" t="str">
        <f aca="false">Chase1168_2025!C1589</f>
        <v>Premier IV Weatherford Weatherford TX        02/19</v>
      </c>
      <c r="D1589" s="7" t="n">
        <f aca="false">Chase1168_2025!D1589</f>
        <v>-524.1</v>
      </c>
      <c r="E1589" s="0" t="str">
        <f aca="false">Chase1168_2025!E1589</f>
        <v>DEBIT_CARD</v>
      </c>
      <c r="F1589" s="7" t="n">
        <f aca="false">Chase1168_2025!F1589</f>
        <v>410749.56</v>
      </c>
      <c r="G1589" s="0" t="str">
        <f aca="false">Chase1168_2025!G1589</f>
        <v>Personal - Health</v>
      </c>
      <c r="H1589" s="15" t="n">
        <f aca="false">IF($B1589="","",DATE(YEAR($B1589),MONTH($B1589),1))</f>
        <v>45689</v>
      </c>
      <c r="I1589" s="0" t="str">
        <f aca="false">IF($G1589="","Uncategorized — Review",IFERROR(INDEX(Mapping!$B:$B,MATCH($G1589,Mapping!$A:$A,0)),"Uncategorized — Review"))</f>
        <v>Personal - Health (incl. Ins.)</v>
      </c>
      <c r="J1589" s="0" t="str">
        <f aca="false">IF($G1589="","Uncategorized — Review",IFERROR(INDEX(Mapping!$C:$C,MATCH($G1589,Mapping!$A:$A,0)),"Uncategorized — Review"))</f>
        <v>Personal — Owner</v>
      </c>
    </row>
    <row r="1590" customFormat="false" ht="15" hidden="false" customHeight="false" outlineLevel="0" collapsed="false">
      <c r="A1590" s="0" t="str">
        <f aca="false">Chase1168_2025!A1590</f>
        <v>DEBIT</v>
      </c>
      <c r="B1590" s="14" t="n">
        <f aca="false">Chase1168_2025!B1590</f>
        <v>45708</v>
      </c>
      <c r="C1590" s="0" t="str">
        <f aca="false">Chase1168_2025!C1590</f>
        <v>PP*APPLE.COM/BILL 800-275-2273 CA            02/20</v>
      </c>
      <c r="D1590" s="7" t="n">
        <f aca="false">Chase1168_2025!D1590</f>
        <v>-9.99</v>
      </c>
      <c r="E1590" s="0" t="str">
        <f aca="false">Chase1168_2025!E1590</f>
        <v>DEBIT_CARD</v>
      </c>
      <c r="F1590" s="7" t="n">
        <f aca="false">Chase1168_2025!F1590</f>
        <v>411273.66</v>
      </c>
      <c r="G1590" s="0" t="str">
        <f aca="false">Chase1168_2025!G1590</f>
        <v>Personal - Subscriptions</v>
      </c>
      <c r="H1590" s="15" t="n">
        <f aca="false">IF($B1590="","",DATE(YEAR($B1590),MONTH($B1590),1))</f>
        <v>45689</v>
      </c>
      <c r="I1590" s="0" t="str">
        <f aca="false">IF($G1590="","Uncategorized — Review",IFERROR(INDEX(Mapping!$B:$B,MATCH($G1590,Mapping!$A:$A,0)),"Uncategorized — Review"))</f>
        <v>Personal - Subscriptions</v>
      </c>
      <c r="J1590" s="0" t="str">
        <f aca="false">IF($G1590="","Uncategorized — Review",IFERROR(INDEX(Mapping!$C:$C,MATCH($G1590,Mapping!$A:$A,0)),"Uncategorized — Review"))</f>
        <v>Personal — Owner</v>
      </c>
    </row>
    <row r="1591" customFormat="false" ht="15" hidden="false" customHeight="false" outlineLevel="0" collapsed="false">
      <c r="A1591" s="0" t="str">
        <f aca="false">Chase1168_2025!A1591</f>
        <v>DEBIT</v>
      </c>
      <c r="B1591" s="14" t="n">
        <f aca="false">Chase1168_2025!B1591</f>
        <v>45708</v>
      </c>
      <c r="C1591" s="0" t="str">
        <f aca="false">Chase1168_2025!C1591</f>
        <v>PAYPAL *THEREALDEAL O 212-260-1332 NY        02/19</v>
      </c>
      <c r="D1591" s="7" t="n">
        <f aca="false">Chase1168_2025!D1591</f>
        <v>-15</v>
      </c>
      <c r="E1591" s="0" t="str">
        <f aca="false">Chase1168_2025!E1591</f>
        <v>DEBIT_CARD</v>
      </c>
      <c r="F1591" s="7" t="n">
        <f aca="false">Chase1168_2025!F1591</f>
        <v>411283.65</v>
      </c>
      <c r="G1591" s="0" t="str">
        <f aca="false">Chase1168_2025!G1591</f>
        <v>Personal - Subscriptions</v>
      </c>
      <c r="H1591" s="15" t="n">
        <f aca="false">IF($B1591="","",DATE(YEAR($B1591),MONTH($B1591),1))</f>
        <v>45689</v>
      </c>
      <c r="I1591" s="0" t="str">
        <f aca="false">IF($G1591="","Uncategorized — Review",IFERROR(INDEX(Mapping!$B:$B,MATCH($G1591,Mapping!$A:$A,0)),"Uncategorized — Review"))</f>
        <v>Personal - Subscriptions</v>
      </c>
      <c r="J1591" s="0" t="str">
        <f aca="false">IF($G1591="","Uncategorized — Review",IFERROR(INDEX(Mapping!$C:$C,MATCH($G1591,Mapping!$A:$A,0)),"Uncategorized — Review"))</f>
        <v>Personal — Owner</v>
      </c>
    </row>
    <row r="1592" customFormat="false" ht="15" hidden="false" customHeight="false" outlineLevel="0" collapsed="false">
      <c r="A1592" s="0" t="str">
        <f aca="false">Chase1168_2025!A1592</f>
        <v>DEBIT</v>
      </c>
      <c r="B1592" s="14" t="n">
        <f aca="false">Chase1168_2025!B1592</f>
        <v>45707</v>
      </c>
      <c r="C1592" s="0" t="str">
        <f aca="false">Chase1168_2025!C1592</f>
        <v>DOMESTIC INCOMING WIRE FEE</v>
      </c>
      <c r="D1592" s="7" t="n">
        <f aca="false">Chase1168_2025!D1592</f>
        <v>-15</v>
      </c>
      <c r="E1592" s="0" t="str">
        <f aca="false">Chase1168_2025!E1592</f>
        <v>FEE_TRANSACTION</v>
      </c>
      <c r="F1592" s="7" t="n">
        <f aca="false">Chase1168_2025!F1592</f>
        <v>411298.65</v>
      </c>
      <c r="G1592" s="0" t="str">
        <f aca="false">Chase1168_2025!G1592</f>
        <v>Wire Fee</v>
      </c>
      <c r="H1592" s="15" t="n">
        <f aca="false">IF($B1592="","",DATE(YEAR($B1592),MONTH($B1592),1))</f>
        <v>45689</v>
      </c>
      <c r="I1592" s="0" t="str">
        <f aca="false">IF($G1592="","Uncategorized — Review",IFERROR(INDEX(Mapping!$B:$B,MATCH($G1592,Mapping!$A:$A,0)),"Uncategorized — Review"))</f>
        <v>Wire Fee</v>
      </c>
      <c r="J1592" s="0" t="str">
        <f aca="false">IF($G1592="","Uncategorized — Review",IFERROR(INDEX(Mapping!$C:$C,MATCH($G1592,Mapping!$A:$A,0)),"Uncategorized — Review"))</f>
        <v>DWG Operating</v>
      </c>
    </row>
    <row r="1593" customFormat="false" ht="15" hidden="false" customHeight="false" outlineLevel="0" collapsed="false">
      <c r="A1593" s="0" t="str">
        <f aca="false">Chase1168_2025!A1593</f>
        <v>DEBIT</v>
      </c>
      <c r="B1593" s="14" t="n">
        <f aca="false">Chase1168_2025!B1593</f>
        <v>45707</v>
      </c>
      <c r="C1593" s="0" t="str">
        <f aca="false">Chase1168_2025!C1593</f>
        <v>BLU JASMINE HUDSON OAKS TX           745919  02/19</v>
      </c>
      <c r="D1593" s="7" t="n">
        <f aca="false">Chase1168_2025!D1593</f>
        <v>-119.08</v>
      </c>
      <c r="E1593" s="0" t="str">
        <f aca="false">Chase1168_2025!E1593</f>
        <v>DEBIT_CARD</v>
      </c>
      <c r="F1593" s="7" t="n">
        <f aca="false">Chase1168_2025!F1593</f>
        <v>411313.65</v>
      </c>
      <c r="G1593" s="0" t="str">
        <f aca="false">Chase1168_2025!G1593</f>
        <v>Personal - Food</v>
      </c>
      <c r="H1593" s="15" t="n">
        <f aca="false">IF($B1593="","",DATE(YEAR($B1593),MONTH($B1593),1))</f>
        <v>45689</v>
      </c>
      <c r="I1593" s="0" t="str">
        <f aca="false">IF($G1593="","Uncategorized — Review",IFERROR(INDEX(Mapping!$B:$B,MATCH($G1593,Mapping!$A:$A,0)),"Uncategorized — Review"))</f>
        <v>Personal - Food &amp; Dining</v>
      </c>
      <c r="J1593" s="0" t="str">
        <f aca="false">IF($G1593="","Uncategorized — Review",IFERROR(INDEX(Mapping!$C:$C,MATCH($G1593,Mapping!$A:$A,0)),"Uncategorized — Review"))</f>
        <v>Personal — Owner</v>
      </c>
    </row>
    <row r="1594" customFormat="false" ht="15" hidden="false" customHeight="false" outlineLevel="0" collapsed="false">
      <c r="A1594" s="0" t="str">
        <f aca="false">Chase1168_2025!A1594</f>
        <v>DEBIT</v>
      </c>
      <c r="B1594" s="14" t="n">
        <f aca="false">Chase1168_2025!B1594</f>
        <v>45707</v>
      </c>
      <c r="C1594" s="0" t="str">
        <f aca="false">Chase1168_2025!C1594</f>
        <v>Zelle payment to Jeffrey Seider JPM99ayloblk</v>
      </c>
      <c r="D1594" s="7" t="n">
        <f aca="false">Chase1168_2025!D1594</f>
        <v>-100</v>
      </c>
      <c r="E1594" s="0" t="str">
        <f aca="false">Chase1168_2025!E1594</f>
        <v>CHASE_TO_PARTNERFI</v>
      </c>
      <c r="F1594" s="7" t="n">
        <f aca="false">Chase1168_2025!F1594</f>
        <v>411432.73</v>
      </c>
      <c r="G1594" s="0" t="str">
        <f aca="false">Chase1168_2025!G1594</f>
        <v>Zelle - Jeff Seider</v>
      </c>
      <c r="H1594" s="15" t="n">
        <f aca="false">IF($B1594="","",DATE(YEAR($B1594),MONTH($B1594),1))</f>
        <v>45689</v>
      </c>
      <c r="I1594" s="0" t="str">
        <f aca="false">IF($G1594="","Uncategorized — Review",IFERROR(INDEX(Mapping!$B:$B,MATCH($G1594,Mapping!$A:$A,0)),"Uncategorized — Review"))</f>
        <v>Zelle - Jeff Seider</v>
      </c>
      <c r="J1594" s="0" t="str">
        <f aca="false">IF($G1594="","Uncategorized — Review",IFERROR(INDEX(Mapping!$C:$C,MATCH($G1594,Mapping!$A:$A,0)),"Uncategorized — Review"))</f>
        <v>P2P Payments (Zelle/Venmo/PayPal)</v>
      </c>
    </row>
    <row r="1595" customFormat="false" ht="15" hidden="false" customHeight="false" outlineLevel="0" collapsed="false">
      <c r="A1595" s="0" t="str">
        <f aca="false">Chase1168_2025!A1595</f>
        <v>DEBIT</v>
      </c>
      <c r="B1595" s="14" t="n">
        <f aca="false">Chase1168_2025!B1595</f>
        <v>45707</v>
      </c>
      <c r="C1595" s="0" t="str">
        <f aca="false">Chase1168_2025!C1595</f>
        <v>PAYPAL *FOXCORP 888-596-3938 CA              02/19</v>
      </c>
      <c r="D1595" s="7" t="n">
        <f aca="false">Chase1168_2025!D1595</f>
        <v>-7.99</v>
      </c>
      <c r="E1595" s="0" t="str">
        <f aca="false">Chase1168_2025!E1595</f>
        <v>DEBIT_CARD</v>
      </c>
      <c r="F1595" s="7" t="n">
        <f aca="false">Chase1168_2025!F1595</f>
        <v>411532.73</v>
      </c>
      <c r="G1595" s="0" t="str">
        <f aca="false">Chase1168_2025!G1595</f>
        <v>Personal - Subscriptions</v>
      </c>
      <c r="H1595" s="15" t="n">
        <f aca="false">IF($B1595="","",DATE(YEAR($B1595),MONTH($B1595),1))</f>
        <v>45689</v>
      </c>
      <c r="I1595" s="0" t="str">
        <f aca="false">IF($G1595="","Uncategorized — Review",IFERROR(INDEX(Mapping!$B:$B,MATCH($G1595,Mapping!$A:$A,0)),"Uncategorized — Review"))</f>
        <v>Personal - Subscriptions</v>
      </c>
      <c r="J1595" s="0" t="str">
        <f aca="false">IF($G1595="","Uncategorized — Review",IFERROR(INDEX(Mapping!$C:$C,MATCH($G1595,Mapping!$A:$A,0)),"Uncategorized — Review"))</f>
        <v>Personal — Owner</v>
      </c>
    </row>
    <row r="1596" customFormat="false" ht="15" hidden="false" customHeight="false" outlineLevel="0" collapsed="false">
      <c r="A1596" s="0" t="str">
        <f aca="false">Chase1168_2025!A1596</f>
        <v>DEBIT</v>
      </c>
      <c r="B1596" s="14" t="n">
        <f aca="false">Chase1168_2025!B1596</f>
        <v>45707</v>
      </c>
      <c r="C1596" s="0" t="str">
        <f aca="false">Chase1168_2025!C1596</f>
        <v>PAYPAL *EPOCH TIMES T 833-699-1888 NY        02/18</v>
      </c>
      <c r="D1596" s="7" t="n">
        <f aca="false">Chase1168_2025!D1596</f>
        <v>-16</v>
      </c>
      <c r="E1596" s="0" t="str">
        <f aca="false">Chase1168_2025!E1596</f>
        <v>DEBIT_CARD</v>
      </c>
      <c r="F1596" s="7" t="n">
        <f aca="false">Chase1168_2025!F1596</f>
        <v>411540.72</v>
      </c>
      <c r="G1596" s="0" t="str">
        <f aca="false">Chase1168_2025!G1596</f>
        <v>Personal - Subscriptions</v>
      </c>
      <c r="H1596" s="15" t="n">
        <f aca="false">IF($B1596="","",DATE(YEAR($B1596),MONTH($B1596),1))</f>
        <v>45689</v>
      </c>
      <c r="I1596" s="0" t="str">
        <f aca="false">IF($G1596="","Uncategorized — Review",IFERROR(INDEX(Mapping!$B:$B,MATCH($G1596,Mapping!$A:$A,0)),"Uncategorized — Review"))</f>
        <v>Personal - Subscriptions</v>
      </c>
      <c r="J1596" s="0" t="str">
        <f aca="false">IF($G1596="","Uncategorized — Review",IFERROR(INDEX(Mapping!$C:$C,MATCH($G1596,Mapping!$A:$A,0)),"Uncategorized — Review"))</f>
        <v>Personal — Owner</v>
      </c>
    </row>
    <row r="1597" customFormat="false" ht="15" hidden="false" customHeight="false" outlineLevel="0" collapsed="false">
      <c r="A1597" s="0" t="str">
        <f aca="false">Chase1168_2025!A1597</f>
        <v>CREDIT</v>
      </c>
      <c r="B1597" s="14" t="n">
        <f aca="false">Chase1168_2025!B1597</f>
        <v>45707</v>
      </c>
      <c r="C1597" s="0" t="str">
        <f aca="false">Chase1168_2025!C1597</f>
        <v>FEDWIRE CREDIT VIA: WELLS FARGO BANK, N.A./121000248 B/O: FIDELITY NATL TITLE INSURANCE C TALLAHASSEE FL US 32399 REF: CHASE NYC/CTR/BNF=DWG CAPITAL GROUP LOS ANGELES CA 90066-3638 US/AC-00 0000002836 RFB=WMAPROD:18640399 OBI =FN:AZ240123 COMMISSION - TOTAL WIN E OVERLAND PARK, KS PROPADDR:12100 BL UE VAL IMAD: 0219I1B7033R019603 TRN: 1098281050FF</v>
      </c>
      <c r="D1597" s="7" t="n">
        <f aca="false">Chase1168_2025!D1597</f>
        <v>390093.39</v>
      </c>
      <c r="E1597" s="0" t="str">
        <f aca="false">Chase1168_2025!E1597</f>
        <v>WIRE_INCOMING</v>
      </c>
      <c r="F1597" s="7" t="n">
        <f aca="false">Chase1168_2025!F1597</f>
        <v>411556.72</v>
      </c>
      <c r="G1597" s="0" t="str">
        <f aca="false">Chase1168_2025!G1597</f>
        <v>MAG Capital Partners Pass-Through Wire – 70/30 Split </v>
      </c>
      <c r="H1597" s="15" t="n">
        <f aca="false">IF($B1597="","",DATE(YEAR($B1597),MONTH($B1597),1))</f>
        <v>45689</v>
      </c>
      <c r="I1597" s="0" t="str">
        <f aca="false">IF($G1597="","Uncategorized — Review",IFERROR(INDEX(Mapping!$B:$B,MATCH($G1597,Mapping!$A:$A,0)),"Uncategorized — Review"))</f>
        <v>Uncategorized — Review</v>
      </c>
      <c r="J1597" s="0" t="str">
        <f aca="false">IF($G1597="","Uncategorized — Review",IFERROR(INDEX(Mapping!$C:$C,MATCH($G1597,Mapping!$A:$A,0)),"Uncategorized — Review"))</f>
        <v>Uncategorized — Review</v>
      </c>
    </row>
    <row r="1598" customFormat="false" ht="15" hidden="false" customHeight="false" outlineLevel="0" collapsed="false">
      <c r="A1598" s="0" t="str">
        <f aca="false">Chase1168_2025!A1598</f>
        <v>DEBIT</v>
      </c>
      <c r="B1598" s="14" t="n">
        <f aca="false">Chase1168_2025!B1598</f>
        <v>45706</v>
      </c>
      <c r="C1598" s="0" t="str">
        <f aca="false">Chase1168_2025!C1598</f>
        <v>CVS/PHARMACY #06961 WEATHERFORD TX   037000  02/17</v>
      </c>
      <c r="D1598" s="7" t="n">
        <f aca="false">Chase1168_2025!D1598</f>
        <v>-40.85</v>
      </c>
      <c r="E1598" s="0" t="str">
        <f aca="false">Chase1168_2025!E1598</f>
        <v>DEBIT_CARD</v>
      </c>
      <c r="F1598" s="7" t="n">
        <f aca="false">Chase1168_2025!F1598</f>
        <v>21463.33</v>
      </c>
      <c r="G1598" s="0" t="str">
        <f aca="false">Chase1168_2025!G1598</f>
        <v>Personal - Health</v>
      </c>
      <c r="H1598" s="15" t="n">
        <f aca="false">IF($B1598="","",DATE(YEAR($B1598),MONTH($B1598),1))</f>
        <v>45689</v>
      </c>
      <c r="I1598" s="0" t="str">
        <f aca="false">IF($G1598="","Uncategorized — Review",IFERROR(INDEX(Mapping!$B:$B,MATCH($G1598,Mapping!$A:$A,0)),"Uncategorized — Review"))</f>
        <v>Personal - Health (incl. Ins.)</v>
      </c>
      <c r="J1598" s="0" t="str">
        <f aca="false">IF($G1598="","Uncategorized — Review",IFERROR(INDEX(Mapping!$C:$C,MATCH($G1598,Mapping!$A:$A,0)),"Uncategorized — Review"))</f>
        <v>Personal — Owner</v>
      </c>
    </row>
    <row r="1599" customFormat="false" ht="15" hidden="false" customHeight="false" outlineLevel="0" collapsed="false">
      <c r="A1599" s="0" t="str">
        <f aca="false">Chase1168_2025!A1599</f>
        <v>DEBIT</v>
      </c>
      <c r="B1599" s="14" t="n">
        <f aca="false">Chase1168_2025!B1599</f>
        <v>45706</v>
      </c>
      <c r="C1599" s="0" t="str">
        <f aca="false">Chase1168_2025!C1599</f>
        <v>ZENO'S ON THE SQUARE WEATHERFORD TX          02/18</v>
      </c>
      <c r="D1599" s="7" t="n">
        <f aca="false">Chase1168_2025!D1599</f>
        <v>-125</v>
      </c>
      <c r="E1599" s="0" t="str">
        <f aca="false">Chase1168_2025!E1599</f>
        <v>DEBIT_CARD</v>
      </c>
      <c r="F1599" s="7" t="n">
        <f aca="false">Chase1168_2025!F1599</f>
        <v>21504.18</v>
      </c>
      <c r="G1599" s="0" t="str">
        <f aca="false">Chase1168_2025!G1599</f>
        <v>Personal - Food</v>
      </c>
      <c r="H1599" s="15" t="n">
        <f aca="false">IF($B1599="","",DATE(YEAR($B1599),MONTH($B1599),1))</f>
        <v>45689</v>
      </c>
      <c r="I1599" s="0" t="str">
        <f aca="false">IF($G1599="","Uncategorized — Review",IFERROR(INDEX(Mapping!$B:$B,MATCH($G1599,Mapping!$A:$A,0)),"Uncategorized — Review"))</f>
        <v>Personal - Food &amp; Dining</v>
      </c>
      <c r="J1599" s="0" t="str">
        <f aca="false">IF($G1599="","Uncategorized — Review",IFERROR(INDEX(Mapping!$C:$C,MATCH($G1599,Mapping!$A:$A,0)),"Uncategorized — Review"))</f>
        <v>Personal — Owner</v>
      </c>
    </row>
    <row r="1600" customFormat="false" ht="15" hidden="false" customHeight="false" outlineLevel="0" collapsed="false">
      <c r="A1600" s="0" t="str">
        <f aca="false">Chase1168_2025!A1600</f>
        <v>DEBIT</v>
      </c>
      <c r="B1600" s="14" t="n">
        <f aca="false">Chase1168_2025!B1600</f>
        <v>45706</v>
      </c>
      <c r="C1600" s="0" t="str">
        <f aca="false">Chase1168_2025!C1600</f>
        <v>Zelle payment to Jeffrey Seider JPM99ayhcve5</v>
      </c>
      <c r="D1600" s="7" t="n">
        <f aca="false">Chase1168_2025!D1600</f>
        <v>-250</v>
      </c>
      <c r="E1600" s="0" t="str">
        <f aca="false">Chase1168_2025!E1600</f>
        <v>CHASE_TO_PARTNERFI</v>
      </c>
      <c r="F1600" s="7" t="n">
        <f aca="false">Chase1168_2025!F1600</f>
        <v>21629.18</v>
      </c>
      <c r="G1600" s="0" t="str">
        <f aca="false">Chase1168_2025!G1600</f>
        <v>Zelle - Jeff Seider</v>
      </c>
      <c r="H1600" s="15" t="n">
        <f aca="false">IF($B1600="","",DATE(YEAR($B1600),MONTH($B1600),1))</f>
        <v>45689</v>
      </c>
      <c r="I1600" s="0" t="str">
        <f aca="false">IF($G1600="","Uncategorized — Review",IFERROR(INDEX(Mapping!$B:$B,MATCH($G1600,Mapping!$A:$A,0)),"Uncategorized — Review"))</f>
        <v>Zelle - Jeff Seider</v>
      </c>
      <c r="J1600" s="0" t="str">
        <f aca="false">IF($G1600="","Uncategorized — Review",IFERROR(INDEX(Mapping!$C:$C,MATCH($G1600,Mapping!$A:$A,0)),"Uncategorized — Review"))</f>
        <v>P2P Payments (Zelle/Venmo/PayPal)</v>
      </c>
    </row>
    <row r="1601" customFormat="false" ht="15" hidden="false" customHeight="false" outlineLevel="0" collapsed="false">
      <c r="A1601" s="0" t="str">
        <f aca="false">Chase1168_2025!A1601</f>
        <v>DEBIT</v>
      </c>
      <c r="B1601" s="14" t="n">
        <f aca="false">Chase1168_2025!B1601</f>
        <v>45706</v>
      </c>
      <c r="C1601" s="0" t="str">
        <f aca="false">Chase1168_2025!C1601</f>
        <v>PP*APPLE.COM/BILL 800-275-2273 CA            02/17</v>
      </c>
      <c r="D1601" s="7" t="n">
        <f aca="false">Chase1168_2025!D1601</f>
        <v>-9.99</v>
      </c>
      <c r="E1601" s="0" t="str">
        <f aca="false">Chase1168_2025!E1601</f>
        <v>DEBIT_CARD</v>
      </c>
      <c r="F1601" s="7" t="n">
        <f aca="false">Chase1168_2025!F1601</f>
        <v>21879.18</v>
      </c>
      <c r="G1601" s="0" t="str">
        <f aca="false">Chase1168_2025!G1601</f>
        <v>Personal - Subscriptions</v>
      </c>
      <c r="H1601" s="15" t="n">
        <f aca="false">IF($B1601="","",DATE(YEAR($B1601),MONTH($B1601),1))</f>
        <v>45689</v>
      </c>
      <c r="I1601" s="0" t="str">
        <f aca="false">IF($G1601="","Uncategorized — Review",IFERROR(INDEX(Mapping!$B:$B,MATCH($G1601,Mapping!$A:$A,0)),"Uncategorized — Review"))</f>
        <v>Personal - Subscriptions</v>
      </c>
      <c r="J1601" s="0" t="str">
        <f aca="false">IF($G1601="","Uncategorized — Review",IFERROR(INDEX(Mapping!$C:$C,MATCH($G1601,Mapping!$A:$A,0)),"Uncategorized — Review"))</f>
        <v>Personal — Owner</v>
      </c>
    </row>
    <row r="1602" customFormat="false" ht="15" hidden="false" customHeight="false" outlineLevel="0" collapsed="false">
      <c r="A1602" s="0" t="str">
        <f aca="false">Chase1168_2025!A1602</f>
        <v>DEBIT</v>
      </c>
      <c r="B1602" s="14" t="n">
        <f aca="false">Chase1168_2025!B1602</f>
        <v>45706</v>
      </c>
      <c r="C1602" s="0" t="str">
        <f aca="false">Chase1168_2025!C1602</f>
        <v>UPWORK * -781286684 866-262-4478 CA          02/17</v>
      </c>
      <c r="D1602" s="7" t="n">
        <f aca="false">Chase1168_2025!D1602</f>
        <v>-315</v>
      </c>
      <c r="E1602" s="0" t="str">
        <f aca="false">Chase1168_2025!E1602</f>
        <v>DEBIT_CARD</v>
      </c>
      <c r="F1602" s="7" t="n">
        <f aca="false">Chase1168_2025!F1602</f>
        <v>21889.17</v>
      </c>
      <c r="G1602" s="0" t="str">
        <f aca="false">Chase1168_2025!G1602</f>
        <v>Upwork - Sergei M.</v>
      </c>
      <c r="H1602" s="15" t="n">
        <f aca="false">IF($B1602="","",DATE(YEAR($B1602),MONTH($B1602),1))</f>
        <v>45689</v>
      </c>
      <c r="I1602" s="0" t="str">
        <f aca="false">IF($G1602="","Uncategorized — Review",IFERROR(INDEX(Mapping!$B:$B,MATCH($G1602,Mapping!$A:$A,0)),"Uncategorized — Review"))</f>
        <v>Upwork - Sergei M.</v>
      </c>
      <c r="J1602" s="0" t="str">
        <f aca="false">IF($G1602="","Uncategorized — Review",IFERROR(INDEX(Mapping!$C:$C,MATCH($G1602,Mapping!$A:$A,0)),"Uncategorized — Review"))</f>
        <v>Payroll &amp; Contractors</v>
      </c>
    </row>
    <row r="1603" customFormat="false" ht="15" hidden="false" customHeight="false" outlineLevel="0" collapsed="false">
      <c r="A1603" s="0" t="str">
        <f aca="false">Chase1168_2025!A1603</f>
        <v>DEBIT</v>
      </c>
      <c r="B1603" s="14" t="n">
        <f aca="false">Chase1168_2025!B1603</f>
        <v>45706</v>
      </c>
      <c r="C1603" s="0" t="str">
        <f aca="false">Chase1168_2025!C1603</f>
        <v>LOWE'S #1969 WEATHERFORD TX                  02/17 Purchase $33.54 Cash Back $20.00</v>
      </c>
      <c r="D1603" s="7" t="n">
        <f aca="false">Chase1168_2025!D1603</f>
        <v>-53.54</v>
      </c>
      <c r="E1603" s="0" t="str">
        <f aca="false">Chase1168_2025!E1603</f>
        <v>DEBIT_CARD</v>
      </c>
      <c r="F1603" s="7" t="n">
        <f aca="false">Chase1168_2025!F1603</f>
        <v>22204.17</v>
      </c>
      <c r="G1603" s="0" t="str">
        <f aca="false">Chase1168_2025!G1603</f>
        <v>Personal - House</v>
      </c>
      <c r="H1603" s="15" t="n">
        <f aca="false">IF($B1603="","",DATE(YEAR($B1603),MONTH($B1603),1))</f>
        <v>45689</v>
      </c>
      <c r="I1603" s="0" t="str">
        <f aca="false">IF($G1603="","Uncategorized — Review",IFERROR(INDEX(Mapping!$B:$B,MATCH($G1603,Mapping!$A:$A,0)),"Uncategorized — Review"))</f>
        <v>Personal - House</v>
      </c>
      <c r="J1603" s="0" t="str">
        <f aca="false">IF($G1603="","Uncategorized — Review",IFERROR(INDEX(Mapping!$C:$C,MATCH($G1603,Mapping!$A:$A,0)),"Uncategorized — Review"))</f>
        <v>Personal — Owner</v>
      </c>
    </row>
    <row r="1604" customFormat="false" ht="15" hidden="false" customHeight="false" outlineLevel="0" collapsed="false">
      <c r="A1604" s="0" t="str">
        <f aca="false">Chase1168_2025!A1604</f>
        <v>DEBIT</v>
      </c>
      <c r="B1604" s="14" t="n">
        <f aca="false">Chase1168_2025!B1604</f>
        <v>45706</v>
      </c>
      <c r="C1604" s="0" t="str">
        <f aca="false">Chase1168_2025!C1604</f>
        <v>Zelle payment to Francisco Bautista  23753550308</v>
      </c>
      <c r="D1604" s="7" t="n">
        <f aca="false">Chase1168_2025!D1604</f>
        <v>-450</v>
      </c>
      <c r="E1604" s="0" t="str">
        <f aca="false">Chase1168_2025!E1604</f>
        <v>QUICKPAY_DEBIT</v>
      </c>
      <c r="F1604" s="7" t="n">
        <f aca="false">Chase1168_2025!F1604</f>
        <v>22257.71</v>
      </c>
      <c r="G1604" s="0" t="str">
        <f aca="false">Chase1168_2025!G1604</f>
        <v>Zelle - Francisco Bautista</v>
      </c>
      <c r="H1604" s="15" t="n">
        <f aca="false">IF($B1604="","",DATE(YEAR($B1604),MONTH($B1604),1))</f>
        <v>45689</v>
      </c>
      <c r="I1604" s="0" t="str">
        <f aca="false">IF($G1604="","Uncategorized — Review",IFERROR(INDEX(Mapping!$B:$B,MATCH($G1604,Mapping!$A:$A,0)),"Uncategorized — Review"))</f>
        <v>Zelle - Francisco Bautista</v>
      </c>
      <c r="J1604" s="0" t="str">
        <f aca="false">IF($G1604="","Uncategorized — Review",IFERROR(INDEX(Mapping!$C:$C,MATCH($G1604,Mapping!$A:$A,0)),"Uncategorized — Review"))</f>
        <v>P2P Payments (Zelle/Venmo/PayPal)</v>
      </c>
    </row>
    <row r="1605" customFormat="false" ht="15" hidden="false" customHeight="false" outlineLevel="0" collapsed="false">
      <c r="A1605" s="0" t="str">
        <f aca="false">Chase1168_2025!A1605</f>
        <v>DEBIT</v>
      </c>
      <c r="B1605" s="14" t="n">
        <f aca="false">Chase1168_2025!B1605</f>
        <v>45706</v>
      </c>
      <c r="C1605" s="0" t="str">
        <f aca="false">Chase1168_2025!C1605</f>
        <v>OFFICE MAX/OFFI 202 W WEATHERFORD TX 604102  02/16</v>
      </c>
      <c r="D1605" s="7" t="n">
        <f aca="false">Chase1168_2025!D1605</f>
        <v>-98.55</v>
      </c>
      <c r="E1605" s="0" t="str">
        <f aca="false">Chase1168_2025!E1605</f>
        <v>DEBIT_CARD</v>
      </c>
      <c r="F1605" s="7" t="n">
        <f aca="false">Chase1168_2025!F1605</f>
        <v>22707.71</v>
      </c>
      <c r="G1605" s="0" t="str">
        <f aca="false">Chase1168_2025!G1605</f>
        <v>Personal - House</v>
      </c>
      <c r="H1605" s="15" t="n">
        <f aca="false">IF($B1605="","",DATE(YEAR($B1605),MONTH($B1605),1))</f>
        <v>45689</v>
      </c>
      <c r="I1605" s="0" t="str">
        <f aca="false">IF($G1605="","Uncategorized — Review",IFERROR(INDEX(Mapping!$B:$B,MATCH($G1605,Mapping!$A:$A,0)),"Uncategorized — Review"))</f>
        <v>Personal - House</v>
      </c>
      <c r="J1605" s="0" t="str">
        <f aca="false">IF($G1605="","Uncategorized — Review",IFERROR(INDEX(Mapping!$C:$C,MATCH($G1605,Mapping!$A:$A,0)),"Uncategorized — Review"))</f>
        <v>Personal — Owner</v>
      </c>
    </row>
    <row r="1606" customFormat="false" ht="15" hidden="false" customHeight="false" outlineLevel="0" collapsed="false">
      <c r="A1606" s="0" t="str">
        <f aca="false">Chase1168_2025!A1606</f>
        <v>DEBIT</v>
      </c>
      <c r="B1606" s="14" t="n">
        <f aca="false">Chase1168_2025!B1606</f>
        <v>45706</v>
      </c>
      <c r="C1606" s="0" t="str">
        <f aca="false">Chase1168_2025!C1606</f>
        <v>SQ *BOULEVARD OF GREENS Fort Worth TX        02/16</v>
      </c>
      <c r="D1606" s="7" t="n">
        <f aca="false">Chase1168_2025!D1606</f>
        <v>-131.91</v>
      </c>
      <c r="E1606" s="0" t="str">
        <f aca="false">Chase1168_2025!E1606</f>
        <v>DEBIT_CARD</v>
      </c>
      <c r="F1606" s="7" t="n">
        <f aca="false">Chase1168_2025!F1606</f>
        <v>22806.26</v>
      </c>
      <c r="G1606" s="0" t="str">
        <f aca="false">Chase1168_2025!G1606</f>
        <v>Personal - Food</v>
      </c>
      <c r="H1606" s="15" t="n">
        <f aca="false">IF($B1606="","",DATE(YEAR($B1606),MONTH($B1606),1))</f>
        <v>45689</v>
      </c>
      <c r="I1606" s="0" t="str">
        <f aca="false">IF($G1606="","Uncategorized — Review",IFERROR(INDEX(Mapping!$B:$B,MATCH($G1606,Mapping!$A:$A,0)),"Uncategorized — Review"))</f>
        <v>Personal - Food &amp; Dining</v>
      </c>
      <c r="J1606" s="0" t="str">
        <f aca="false">IF($G1606="","Uncategorized — Review",IFERROR(INDEX(Mapping!$C:$C,MATCH($G1606,Mapping!$A:$A,0)),"Uncategorized — Review"))</f>
        <v>Personal — Owner</v>
      </c>
    </row>
    <row r="1607" customFormat="false" ht="15" hidden="false" customHeight="false" outlineLevel="0" collapsed="false">
      <c r="A1607" s="0" t="str">
        <f aca="false">Chase1168_2025!A1607</f>
        <v>DEBIT</v>
      </c>
      <c r="B1607" s="14" t="n">
        <f aca="false">Chase1168_2025!B1607</f>
        <v>45706</v>
      </c>
      <c r="C1607" s="0" t="str">
        <f aca="false">Chase1168_2025!C1607</f>
        <v>PP*APPLE.COM/BILL 800-275-2273 CA            02/16</v>
      </c>
      <c r="D1607" s="7" t="n">
        <f aca="false">Chase1168_2025!D1607</f>
        <v>-8.99</v>
      </c>
      <c r="E1607" s="0" t="str">
        <f aca="false">Chase1168_2025!E1607</f>
        <v>DEBIT_CARD</v>
      </c>
      <c r="F1607" s="7" t="n">
        <f aca="false">Chase1168_2025!F1607</f>
        <v>22938.17</v>
      </c>
      <c r="G1607" s="0" t="str">
        <f aca="false">Chase1168_2025!G1607</f>
        <v>Personal - Subscriptions</v>
      </c>
      <c r="H1607" s="15" t="n">
        <f aca="false">IF($B1607="","",DATE(YEAR($B1607),MONTH($B1607),1))</f>
        <v>45689</v>
      </c>
      <c r="I1607" s="0" t="str">
        <f aca="false">IF($G1607="","Uncategorized — Review",IFERROR(INDEX(Mapping!$B:$B,MATCH($G1607,Mapping!$A:$A,0)),"Uncategorized — Review"))</f>
        <v>Personal - Subscriptions</v>
      </c>
      <c r="J1607" s="0" t="str">
        <f aca="false">IF($G1607="","Uncategorized — Review",IFERROR(INDEX(Mapping!$C:$C,MATCH($G1607,Mapping!$A:$A,0)),"Uncategorized — Review"))</f>
        <v>Personal — Owner</v>
      </c>
    </row>
    <row r="1608" customFormat="false" ht="15" hidden="false" customHeight="false" outlineLevel="0" collapsed="false">
      <c r="A1608" s="0" t="str">
        <f aca="false">Chase1168_2025!A1608</f>
        <v>DEBIT</v>
      </c>
      <c r="B1608" s="14" t="n">
        <f aca="false">Chase1168_2025!B1608</f>
        <v>45706</v>
      </c>
      <c r="C1608" s="0" t="str">
        <f aca="false">Chase1168_2025!C1608</f>
        <v>PAYPAL *LINKEDIN 402-935-7733 CA             02/17</v>
      </c>
      <c r="D1608" s="7" t="n">
        <f aca="false">Chase1168_2025!D1608</f>
        <v>-69.99</v>
      </c>
      <c r="E1608" s="0" t="str">
        <f aca="false">Chase1168_2025!E1608</f>
        <v>DEBIT_CARD</v>
      </c>
      <c r="F1608" s="7" t="n">
        <f aca="false">Chase1168_2025!F1608</f>
        <v>22947.16</v>
      </c>
      <c r="G1608" s="0" t="str">
        <f aca="false">Chase1168_2025!G1608</f>
        <v>DWG HR</v>
      </c>
      <c r="H1608" s="15" t="n">
        <f aca="false">IF($B1608="","",DATE(YEAR($B1608),MONTH($B1608),1))</f>
        <v>45689</v>
      </c>
      <c r="I1608" s="0" t="str">
        <f aca="false">IF($G1608="","Uncategorized — Review",IFERROR(INDEX(Mapping!$B:$B,MATCH($G1608,Mapping!$A:$A,0)),"Uncategorized — Review"))</f>
        <v>DWG HR</v>
      </c>
      <c r="J1608" s="0" t="str">
        <f aca="false">IF($G1608="","Uncategorized — Review",IFERROR(INDEX(Mapping!$C:$C,MATCH($G1608,Mapping!$A:$A,0)),"Uncategorized — Review"))</f>
        <v>Payroll &amp; Contractors</v>
      </c>
    </row>
    <row r="1609" customFormat="false" ht="15" hidden="false" customHeight="false" outlineLevel="0" collapsed="false">
      <c r="A1609" s="0" t="str">
        <f aca="false">Chase1168_2025!A1609</f>
        <v>DEBIT</v>
      </c>
      <c r="B1609" s="14" t="n">
        <f aca="false">Chase1168_2025!B1609</f>
        <v>45706</v>
      </c>
      <c r="C1609" s="0" t="str">
        <f aca="false">Chase1168_2025!C1609</f>
        <v>PP*APPLE.COM/BILL 800-275-2273 CA            02/15</v>
      </c>
      <c r="D1609" s="7" t="n">
        <f aca="false">Chase1168_2025!D1609</f>
        <v>-5.99</v>
      </c>
      <c r="E1609" s="0" t="str">
        <f aca="false">Chase1168_2025!E1609</f>
        <v>DEBIT_CARD</v>
      </c>
      <c r="F1609" s="7" t="n">
        <f aca="false">Chase1168_2025!F1609</f>
        <v>23017.15</v>
      </c>
      <c r="G1609" s="0" t="str">
        <f aca="false">Chase1168_2025!G1609</f>
        <v>Personal - Subscriptions</v>
      </c>
      <c r="H1609" s="15" t="n">
        <f aca="false">IF($B1609="","",DATE(YEAR($B1609),MONTH($B1609),1))</f>
        <v>45689</v>
      </c>
      <c r="I1609" s="0" t="str">
        <f aca="false">IF($G1609="","Uncategorized — Review",IFERROR(INDEX(Mapping!$B:$B,MATCH($G1609,Mapping!$A:$A,0)),"Uncategorized — Review"))</f>
        <v>Personal - Subscriptions</v>
      </c>
      <c r="J1609" s="0" t="str">
        <f aca="false">IF($G1609="","Uncategorized — Review",IFERROR(INDEX(Mapping!$C:$C,MATCH($G1609,Mapping!$A:$A,0)),"Uncategorized — Review"))</f>
        <v>Personal — Owner</v>
      </c>
    </row>
    <row r="1610" customFormat="false" ht="15" hidden="false" customHeight="false" outlineLevel="0" collapsed="false">
      <c r="A1610" s="0" t="str">
        <f aca="false">Chase1168_2025!A1610</f>
        <v>DEBIT</v>
      </c>
      <c r="B1610" s="14" t="n">
        <f aca="false">Chase1168_2025!B1610</f>
        <v>45706</v>
      </c>
      <c r="C1610" s="0" t="str">
        <f aca="false">Chase1168_2025!C1610</f>
        <v>RESTORE.COM RESTORE.COM TX                   02/15</v>
      </c>
      <c r="D1610" s="7" t="n">
        <f aca="false">Chase1168_2025!D1610</f>
        <v>-199</v>
      </c>
      <c r="E1610" s="0" t="str">
        <f aca="false">Chase1168_2025!E1610</f>
        <v>DEBIT_CARD</v>
      </c>
      <c r="F1610" s="7" t="n">
        <f aca="false">Chase1168_2025!F1610</f>
        <v>23023.14</v>
      </c>
      <c r="G1610" s="0" t="str">
        <f aca="false">Chase1168_2025!G1610</f>
        <v>Personal - Health</v>
      </c>
      <c r="H1610" s="15" t="n">
        <f aca="false">IF($B1610="","",DATE(YEAR($B1610),MONTH($B1610),1))</f>
        <v>45689</v>
      </c>
      <c r="I1610" s="0" t="str">
        <f aca="false">IF($G1610="","Uncategorized — Review",IFERROR(INDEX(Mapping!$B:$B,MATCH($G1610,Mapping!$A:$A,0)),"Uncategorized — Review"))</f>
        <v>Personal - Health (incl. Ins.)</v>
      </c>
      <c r="J1610" s="0" t="str">
        <f aca="false">IF($G1610="","Uncategorized — Review",IFERROR(INDEX(Mapping!$C:$C,MATCH($G1610,Mapping!$A:$A,0)),"Uncategorized — Review"))</f>
        <v>Personal — Owner</v>
      </c>
    </row>
    <row r="1611" customFormat="false" ht="15" hidden="false" customHeight="false" outlineLevel="0" collapsed="false">
      <c r="A1611" s="0" t="str">
        <f aca="false">Chase1168_2025!A1611</f>
        <v>DEBIT</v>
      </c>
      <c r="B1611" s="14" t="n">
        <f aca="false">Chase1168_2025!B1611</f>
        <v>45706</v>
      </c>
      <c r="C1611" s="0" t="str">
        <f aca="false">Chase1168_2025!C1611</f>
        <v>PAYPAL *JSEIDERZ 402-935-7733 CA             02/15</v>
      </c>
      <c r="D1611" s="7" t="n">
        <f aca="false">Chase1168_2025!D1611</f>
        <v>-231.83</v>
      </c>
      <c r="E1611" s="0" t="str">
        <f aca="false">Chase1168_2025!E1611</f>
        <v>DEBIT_CARD</v>
      </c>
      <c r="F1611" s="7" t="n">
        <f aca="false">Chase1168_2025!F1611</f>
        <v>23222.14</v>
      </c>
      <c r="G1611" s="0" t="str">
        <f aca="false">Chase1168_2025!G1611</f>
        <v>Zelle - Jeff Seider</v>
      </c>
      <c r="H1611" s="15" t="n">
        <f aca="false">IF($B1611="","",DATE(YEAR($B1611),MONTH($B1611),1))</f>
        <v>45689</v>
      </c>
      <c r="I1611" s="0" t="str">
        <f aca="false">IF($G1611="","Uncategorized — Review",IFERROR(INDEX(Mapping!$B:$B,MATCH($G1611,Mapping!$A:$A,0)),"Uncategorized — Review"))</f>
        <v>Zelle - Jeff Seider</v>
      </c>
      <c r="J1611" s="0" t="str">
        <f aca="false">IF($G1611="","Uncategorized — Review",IFERROR(INDEX(Mapping!$C:$C,MATCH($G1611,Mapping!$A:$A,0)),"Uncategorized — Review"))</f>
        <v>P2P Payments (Zelle/Venmo/PayPal)</v>
      </c>
    </row>
    <row r="1612" customFormat="false" ht="15" hidden="false" customHeight="false" outlineLevel="0" collapsed="false">
      <c r="A1612" s="0" t="str">
        <f aca="false">Chase1168_2025!A1612</f>
        <v>DEBIT</v>
      </c>
      <c r="B1612" s="14" t="n">
        <f aca="false">Chase1168_2025!B1612</f>
        <v>45706</v>
      </c>
      <c r="C1612" s="0" t="str">
        <f aca="false">Chase1168_2025!C1612</f>
        <v>PP*GOOGLE GOOGLE ONE 855-836-3987 CA         02/14</v>
      </c>
      <c r="D1612" s="7" t="n">
        <f aca="false">Chase1168_2025!D1612</f>
        <v>-1.99</v>
      </c>
      <c r="E1612" s="0" t="str">
        <f aca="false">Chase1168_2025!E1612</f>
        <v>DEBIT_CARD</v>
      </c>
      <c r="F1612" s="7" t="n">
        <f aca="false">Chase1168_2025!F1612</f>
        <v>23453.97</v>
      </c>
      <c r="G1612" s="0" t="str">
        <f aca="false">Chase1168_2025!G1612</f>
        <v>Personal - Subscriptions</v>
      </c>
      <c r="H1612" s="15" t="n">
        <f aca="false">IF($B1612="","",DATE(YEAR($B1612),MONTH($B1612),1))</f>
        <v>45689</v>
      </c>
      <c r="I1612" s="0" t="str">
        <f aca="false">IF($G1612="","Uncategorized — Review",IFERROR(INDEX(Mapping!$B:$B,MATCH($G1612,Mapping!$A:$A,0)),"Uncategorized — Review"))</f>
        <v>Personal - Subscriptions</v>
      </c>
      <c r="J1612" s="0" t="str">
        <f aca="false">IF($G1612="","Uncategorized — Review",IFERROR(INDEX(Mapping!$C:$C,MATCH($G1612,Mapping!$A:$A,0)),"Uncategorized — Review"))</f>
        <v>Personal — Owner</v>
      </c>
    </row>
    <row r="1613" customFormat="false" ht="15" hidden="false" customHeight="false" outlineLevel="0" collapsed="false">
      <c r="A1613" s="0" t="str">
        <f aca="false">Chase1168_2025!A1613</f>
        <v>DEBIT</v>
      </c>
      <c r="B1613" s="14" t="n">
        <f aca="false">Chase1168_2025!B1613</f>
        <v>45706</v>
      </c>
      <c r="C1613" s="0" t="str">
        <f aca="false">Chase1168_2025!C1613</f>
        <v>PP*APPLE.COM/BILL 800-275-2273 CA            02/14</v>
      </c>
      <c r="D1613" s="7" t="n">
        <f aca="false">Chase1168_2025!D1613</f>
        <v>-10.99</v>
      </c>
      <c r="E1613" s="0" t="str">
        <f aca="false">Chase1168_2025!E1613</f>
        <v>DEBIT_CARD</v>
      </c>
      <c r="F1613" s="7" t="n">
        <f aca="false">Chase1168_2025!F1613</f>
        <v>23455.96</v>
      </c>
      <c r="G1613" s="0" t="str">
        <f aca="false">Chase1168_2025!G1613</f>
        <v>Personal - Subscriptions</v>
      </c>
      <c r="H1613" s="15" t="n">
        <f aca="false">IF($B1613="","",DATE(YEAR($B1613),MONTH($B1613),1))</f>
        <v>45689</v>
      </c>
      <c r="I1613" s="0" t="str">
        <f aca="false">IF($G1613="","Uncategorized — Review",IFERROR(INDEX(Mapping!$B:$B,MATCH($G1613,Mapping!$A:$A,0)),"Uncategorized — Review"))</f>
        <v>Personal - Subscriptions</v>
      </c>
      <c r="J1613" s="0" t="str">
        <f aca="false">IF($G1613="","Uncategorized — Review",IFERROR(INDEX(Mapping!$C:$C,MATCH($G1613,Mapping!$A:$A,0)),"Uncategorized — Review"))</f>
        <v>Personal — Owner</v>
      </c>
    </row>
    <row r="1614" customFormat="false" ht="15" hidden="false" customHeight="false" outlineLevel="0" collapsed="false">
      <c r="A1614" s="0" t="str">
        <f aca="false">Chase1168_2025!A1614</f>
        <v>CREDIT</v>
      </c>
      <c r="B1614" s="14" t="n">
        <f aca="false">Chase1168_2025!B1614</f>
        <v>45706</v>
      </c>
      <c r="C1614" s="0" t="str">
        <f aca="false">Chase1168_2025!C1614</f>
        <v>Online Transfer from CHK ...9335 transaction#: 23753572002</v>
      </c>
      <c r="D1614" s="7" t="n">
        <f aca="false">Chase1168_2025!D1614</f>
        <v>20000</v>
      </c>
      <c r="E1614" s="0" t="str">
        <f aca="false">Chase1168_2025!E1614</f>
        <v>ACCT_XFER</v>
      </c>
      <c r="F1614" s="7" t="n">
        <f aca="false">Chase1168_2025!F1614</f>
        <v>23466.95</v>
      </c>
      <c r="G1614" s="0" t="str">
        <f aca="false">Chase1168_2025!G1614</f>
        <v>Transfer From Poseidon Asset Group</v>
      </c>
      <c r="H1614" s="15" t="n">
        <f aca="false">IF($B1614="","",DATE(YEAR($B1614),MONTH($B1614),1))</f>
        <v>45689</v>
      </c>
      <c r="I1614" s="0" t="str">
        <f aca="false">IF($G1614="","Uncategorized — Review",IFERROR(INDEX(Mapping!$B:$B,MATCH($G1614,Mapping!$A:$A,0)),"Uncategorized — Review"))</f>
        <v>Transfer From Poseidon Asset Group</v>
      </c>
      <c r="J1614" s="0" t="str">
        <f aca="false">IF($G1614="","Uncategorized — Review",IFERROR(INDEX(Mapping!$C:$C,MATCH($G1614,Mapping!$A:$A,0)),"Uncategorized — Review"))</f>
        <v>Poseidon Asset Group</v>
      </c>
    </row>
    <row r="1615" customFormat="false" ht="15" hidden="false" customHeight="false" outlineLevel="0" collapsed="false">
      <c r="A1615" s="0" t="str">
        <f aca="false">Chase1168_2025!A1615</f>
        <v>DEBIT</v>
      </c>
      <c r="B1615" s="14" t="n">
        <f aca="false">Chase1168_2025!B1615</f>
        <v>45702</v>
      </c>
      <c r="C1615" s="0" t="str">
        <f aca="false">Chase1168_2025!C1615</f>
        <v>ORIG CO NAME:VENMO                  ORIG ID:3264681992 DESC DATE:250213 CO ENTRY DESCR:PAYMENT   SEC:WEB    TRACE#:091000016515355 EED:250214   IND ID:1040266794984                IND NAME:JUDD DUNNING TRN: 0456515355TC</v>
      </c>
      <c r="D1615" s="7" t="n">
        <f aca="false">Chase1168_2025!D1615</f>
        <v>-120</v>
      </c>
      <c r="E1615" s="0" t="str">
        <f aca="false">Chase1168_2025!E1615</f>
        <v>ACH_DEBIT</v>
      </c>
      <c r="F1615" s="7" t="n">
        <f aca="false">Chase1168_2025!F1615</f>
        <v>3466.95</v>
      </c>
      <c r="G1615" s="0" t="str">
        <f aca="false">Chase1168_2025!G1615</f>
        <v>Venmo</v>
      </c>
      <c r="H1615" s="15" t="n">
        <f aca="false">IF($B1615="","",DATE(YEAR($B1615),MONTH($B1615),1))</f>
        <v>45689</v>
      </c>
      <c r="I1615" s="0" t="str">
        <f aca="false">IF($G1615="","Uncategorized — Review",IFERROR(INDEX(Mapping!$B:$B,MATCH($G1615,Mapping!$A:$A,0)),"Uncategorized — Review"))</f>
        <v>Venmo</v>
      </c>
      <c r="J1615" s="0" t="str">
        <f aca="false">IF($G1615="","Uncategorized — Review",IFERROR(INDEX(Mapping!$C:$C,MATCH($G1615,Mapping!$A:$A,0)),"Uncategorized — Review"))</f>
        <v>P2P Payments (Zelle/Venmo/PayPal)</v>
      </c>
    </row>
    <row r="1616" customFormat="false" ht="15" hidden="false" customHeight="false" outlineLevel="0" collapsed="false">
      <c r="A1616" s="0" t="str">
        <f aca="false">Chase1168_2025!A1616</f>
        <v>DEBIT</v>
      </c>
      <c r="B1616" s="14" t="n">
        <f aca="false">Chase1168_2025!B1616</f>
        <v>45701</v>
      </c>
      <c r="C1616" s="0" t="str">
        <f aca="false">Chase1168_2025!C1616</f>
        <v>ONLINE FX INTERNATIONAL WIRE FEE</v>
      </c>
      <c r="D1616" s="7" t="n">
        <f aca="false">Chase1168_2025!D1616</f>
        <v>-5</v>
      </c>
      <c r="E1616" s="0" t="str">
        <f aca="false">Chase1168_2025!E1616</f>
        <v>FEE_TRANSACTION</v>
      </c>
      <c r="F1616" s="7" t="n">
        <f aca="false">Chase1168_2025!F1616</f>
        <v>3586.95</v>
      </c>
      <c r="G1616" s="0" t="str">
        <f aca="false">Chase1168_2025!G1616</f>
        <v>Andres Alarcon Payroll</v>
      </c>
      <c r="H1616" s="15" t="n">
        <f aca="false">IF($B1616="","",DATE(YEAR($B1616),MONTH($B1616),1))</f>
        <v>45689</v>
      </c>
      <c r="I1616" s="0" t="str">
        <f aca="false">IF($G1616="","Uncategorized — Review",IFERROR(INDEX(Mapping!$B:$B,MATCH($G1616,Mapping!$A:$A,0)),"Uncategorized — Review"))</f>
        <v>Andres Alarcon Payroll</v>
      </c>
      <c r="J1616" s="0" t="str">
        <f aca="false">IF($G1616="","Uncategorized — Review",IFERROR(INDEX(Mapping!$C:$C,MATCH($G1616,Mapping!$A:$A,0)),"Uncategorized — Review"))</f>
        <v>Payroll &amp; Contractors</v>
      </c>
    </row>
    <row r="1617" customFormat="false" ht="15" hidden="false" customHeight="false" outlineLevel="0" collapsed="false">
      <c r="A1617" s="0" t="str">
        <f aca="false">Chase1168_2025!A1617</f>
        <v>DEBIT</v>
      </c>
      <c r="B1617" s="14" t="n">
        <f aca="false">Chase1168_2025!B1617</f>
        <v>45701</v>
      </c>
      <c r="C1617" s="0" t="str">
        <f aca="false">Chase1168_2025!C1617</f>
        <v>ONLINE DOMESTIC WIRE FEE</v>
      </c>
      <c r="D1617" s="7" t="n">
        <f aca="false">Chase1168_2025!D1617</f>
        <v>-25</v>
      </c>
      <c r="E1617" s="0" t="str">
        <f aca="false">Chase1168_2025!E1617</f>
        <v>FEE_TRANSACTION</v>
      </c>
      <c r="F1617" s="7" t="n">
        <f aca="false">Chase1168_2025!F1617</f>
        <v>3591.95</v>
      </c>
      <c r="G1617" s="0" t="str">
        <f aca="false">Chase1168_2025!G1617</f>
        <v>Wire Fee</v>
      </c>
      <c r="H1617" s="15" t="n">
        <f aca="false">IF($B1617="","",DATE(YEAR($B1617),MONTH($B1617),1))</f>
        <v>45689</v>
      </c>
      <c r="I1617" s="0" t="str">
        <f aca="false">IF($G1617="","Uncategorized — Review",IFERROR(INDEX(Mapping!$B:$B,MATCH($G1617,Mapping!$A:$A,0)),"Uncategorized — Review"))</f>
        <v>Wire Fee</v>
      </c>
      <c r="J1617" s="0" t="str">
        <f aca="false">IF($G1617="","Uncategorized — Review",IFERROR(INDEX(Mapping!$C:$C,MATCH($G1617,Mapping!$A:$A,0)),"Uncategorized — Review"))</f>
        <v>DWG Operating</v>
      </c>
    </row>
    <row r="1618" customFormat="false" ht="15" hidden="false" customHeight="false" outlineLevel="0" collapsed="false">
      <c r="A1618" s="0" t="str">
        <f aca="false">Chase1168_2025!A1618</f>
        <v>DEBIT</v>
      </c>
      <c r="B1618" s="14" t="n">
        <f aca="false">Chase1168_2025!B1618</f>
        <v>45701</v>
      </c>
      <c r="C1618" s="0" t="str">
        <f aca="false">Chase1168_2025!C1618</f>
        <v>ONLINE DOMESTIC WIRE TRANSFER VIA: MAPLEMARK BK TX/111026135 A/C: DAX T S MITCHELL WEATHERFORD TX 76087 US REF: SWEETWATER 66 PERCENT/BNF/BENEFICIARY NAME DAX T.S. MITCHELL IMAD: 0213MMQFMP2K032641 TRN: 3585825044ES 02/13</v>
      </c>
      <c r="D1618" s="7" t="n">
        <f aca="false">Chase1168_2025!D1618</f>
        <v>-29700</v>
      </c>
      <c r="E1618" s="0" t="str">
        <f aca="false">Chase1168_2025!E1618</f>
        <v>WIRE_OUTGOING</v>
      </c>
      <c r="F1618" s="7" t="n">
        <f aca="false">Chase1168_2025!F1618</f>
        <v>3641.95</v>
      </c>
      <c r="G1618" s="0" t="str">
        <f aca="false">Chase1168_2025!G1618</f>
        <v>Due to Dax – MAG Pass-Through 70%</v>
      </c>
      <c r="H1618" s="15" t="n">
        <f aca="false">IF($B1618="","",DATE(YEAR($B1618),MONTH($B1618),1))</f>
        <v>45689</v>
      </c>
      <c r="I1618" s="0" t="str">
        <f aca="false">IF($G1618="","Uncategorized — Review",IFERROR(INDEX(Mapping!$B:$B,MATCH($G1618,Mapping!$A:$A,0)),"Uncategorized — Review"))</f>
        <v>Due to Dax – MAG Pass-Through 70%</v>
      </c>
      <c r="J1618" s="0" t="str">
        <f aca="false">IF($G1618="","Uncategorized — Review",IFERROR(INDEX(Mapping!$C:$C,MATCH($G1618,Mapping!$A:$A,0)),"Uncategorized — Review"))</f>
        <v>MAG Pass-Through</v>
      </c>
    </row>
    <row r="1619" customFormat="false" ht="15" hidden="false" customHeight="false" outlineLevel="0" collapsed="false">
      <c r="A1619" s="0" t="str">
        <f aca="false">Chase1168_2025!A1619</f>
        <v>DEBIT</v>
      </c>
      <c r="B1619" s="14" t="n">
        <f aca="false">Chase1168_2025!B1619</f>
        <v>45701</v>
      </c>
      <c r="C1619" s="0" t="str">
        <f aca="false">Chase1168_2025!C1619</f>
        <v>ONLINE DOMESTIC WIRE TRANSFER A/C: 2331 MESA DEV LLC DALLAS TX 75219-3928 US REF: SWEETWATER 33 PERCENT TRN: 3565845044ES 02/13</v>
      </c>
      <c r="D1619" s="7" t="n">
        <f aca="false">Chase1168_2025!D1619</f>
        <v>-15300</v>
      </c>
      <c r="E1619" s="0" t="str">
        <f aca="false">Chase1168_2025!E1619</f>
        <v>WIRE_OUTGOING</v>
      </c>
      <c r="F1619" s="7" t="n">
        <f aca="false">Chase1168_2025!F1619</f>
        <v>33341.95</v>
      </c>
      <c r="G1619" s="0" t="str">
        <f aca="false">Chase1168_2025!G1619</f>
        <v>Due to Andrew – MAG Pass-Through 30%</v>
      </c>
      <c r="H1619" s="15" t="n">
        <f aca="false">IF($B1619="","",DATE(YEAR($B1619),MONTH($B1619),1))</f>
        <v>45689</v>
      </c>
      <c r="I1619" s="0" t="str">
        <f aca="false">IF($G1619="","Uncategorized — Review",IFERROR(INDEX(Mapping!$B:$B,MATCH($G1619,Mapping!$A:$A,0)),"Uncategorized — Review"))</f>
        <v>Due to Andrew – MAG Pass-Through 30%</v>
      </c>
      <c r="J1619" s="0" t="str">
        <f aca="false">IF($G1619="","Uncategorized — Review",IFERROR(INDEX(Mapping!$C:$C,MATCH($G1619,Mapping!$A:$A,0)),"Uncategorized — Review"))</f>
        <v>MAG Pass-Through</v>
      </c>
    </row>
    <row r="1620" customFormat="false" ht="15" hidden="false" customHeight="false" outlineLevel="0" collapsed="false">
      <c r="A1620" s="0" t="str">
        <f aca="false">Chase1168_2025!A1620</f>
        <v>DEBIT</v>
      </c>
      <c r="B1620" s="14" t="n">
        <f aca="false">Chase1168_2025!B1620</f>
        <v>45701</v>
      </c>
      <c r="C1620" s="0" t="str">
        <f aca="false">Chase1168_2025!C1620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ENTS/OCMT/COP3019183,20/EXCH/4025.5 776/CNTR/16243707/INT/ANDRES_527 TRN: 9692200044RE 02/13</v>
      </c>
      <c r="D1620" s="7" t="n">
        <f aca="false">Chase1168_2025!D1620</f>
        <v>-750</v>
      </c>
      <c r="E1620" s="0" t="str">
        <f aca="false">Chase1168_2025!E1620</f>
        <v>WIRE_OUTGOING</v>
      </c>
      <c r="F1620" s="7" t="n">
        <f aca="false">Chase1168_2025!F1620</f>
        <v>48641.95</v>
      </c>
      <c r="G1620" s="0" t="str">
        <f aca="false">Chase1168_2025!G1620</f>
        <v>Andres Alarcon Payroll</v>
      </c>
      <c r="H1620" s="15" t="n">
        <f aca="false">IF($B1620="","",DATE(YEAR($B1620),MONTH($B1620),1))</f>
        <v>45689</v>
      </c>
      <c r="I1620" s="0" t="str">
        <f aca="false">IF($G1620="","Uncategorized — Review",IFERROR(INDEX(Mapping!$B:$B,MATCH($G1620,Mapping!$A:$A,0)),"Uncategorized — Review"))</f>
        <v>Andres Alarcon Payroll</v>
      </c>
      <c r="J1620" s="0" t="str">
        <f aca="false">IF($G1620="","Uncategorized — Review",IFERROR(INDEX(Mapping!$C:$C,MATCH($G1620,Mapping!$A:$A,0)),"Uncategorized — Review"))</f>
        <v>Payroll &amp; Contractors</v>
      </c>
    </row>
    <row r="1621" customFormat="false" ht="15" hidden="false" customHeight="false" outlineLevel="0" collapsed="false">
      <c r="A1621" s="0" t="str">
        <f aca="false">Chase1168_2025!A1621</f>
        <v>DEBIT</v>
      </c>
      <c r="B1621" s="14" t="n">
        <f aca="false">Chase1168_2025!B1621</f>
        <v>45701</v>
      </c>
      <c r="C1621" s="0" t="str">
        <f aca="false">Chase1168_2025!C1621</f>
        <v>PAYPAL *HULU 877-801-5441 CA                 02/12</v>
      </c>
      <c r="D1621" s="7" t="n">
        <f aca="false">Chase1168_2025!D1621</f>
        <v>-18.99</v>
      </c>
      <c r="E1621" s="0" t="str">
        <f aca="false">Chase1168_2025!E1621</f>
        <v>DEBIT_CARD</v>
      </c>
      <c r="F1621" s="7" t="n">
        <f aca="false">Chase1168_2025!F1621</f>
        <v>49391.95</v>
      </c>
      <c r="G1621" s="0" t="str">
        <f aca="false">Chase1168_2025!G1621</f>
        <v>Personal - Subscriptions</v>
      </c>
      <c r="H1621" s="15" t="n">
        <f aca="false">IF($B1621="","",DATE(YEAR($B1621),MONTH($B1621),1))</f>
        <v>45689</v>
      </c>
      <c r="I1621" s="0" t="str">
        <f aca="false">IF($G1621="","Uncategorized — Review",IFERROR(INDEX(Mapping!$B:$B,MATCH($G1621,Mapping!$A:$A,0)),"Uncategorized — Review"))</f>
        <v>Personal - Subscriptions</v>
      </c>
      <c r="J1621" s="0" t="str">
        <f aca="false">IF($G1621="","Uncategorized — Review",IFERROR(INDEX(Mapping!$C:$C,MATCH($G1621,Mapping!$A:$A,0)),"Uncategorized — Review"))</f>
        <v>Personal — Owner</v>
      </c>
    </row>
    <row r="1622" customFormat="false" ht="15" hidden="false" customHeight="false" outlineLevel="0" collapsed="false">
      <c r="A1622" s="0" t="str">
        <f aca="false">Chase1168_2025!A1622</f>
        <v>DEBIT</v>
      </c>
      <c r="B1622" s="14" t="n">
        <f aca="false">Chase1168_2025!B1622</f>
        <v>45700</v>
      </c>
      <c r="C1622" s="0" t="str">
        <f aca="false">Chase1168_2025!C1622</f>
        <v>Online Transfer to CHK ...1117 transaction#: 23704917261 02/12</v>
      </c>
      <c r="D1622" s="7" t="n">
        <f aca="false">Chase1168_2025!D1622</f>
        <v>-2000</v>
      </c>
      <c r="E1622" s="0" t="str">
        <f aca="false">Chase1168_2025!E1622</f>
        <v>ACCT_XFER</v>
      </c>
      <c r="F1622" s="7" t="n">
        <f aca="false">Chase1168_2025!F1622</f>
        <v>49410.94</v>
      </c>
      <c r="G1622" s="0" t="str">
        <f aca="false">Chase1168_2025!G1622</f>
        <v>Transfer to Angela Dunning</v>
      </c>
      <c r="H1622" s="15" t="n">
        <f aca="false">IF($B1622="","",DATE(YEAR($B1622),MONTH($B1622),1))</f>
        <v>45689</v>
      </c>
      <c r="I1622" s="0" t="str">
        <f aca="false">IF($G1622="","Uncategorized — Review",IFERROR(INDEX(Mapping!$B:$B,MATCH($G1622,Mapping!$A:$A,0)),"Uncategorized — Review"))</f>
        <v>Transfer to Angela Dunning</v>
      </c>
      <c r="J1622" s="0" t="str">
        <f aca="false">IF($G1622="","Uncategorized — Review",IFERROR(INDEX(Mapping!$C:$C,MATCH($G1622,Mapping!$A:$A,0)),"Uncategorized — Review"))</f>
        <v>Owner / Family Distributions</v>
      </c>
    </row>
    <row r="1623" customFormat="false" ht="15" hidden="false" customHeight="false" outlineLevel="0" collapsed="false">
      <c r="A1623" s="0" t="str">
        <f aca="false">Chase1168_2025!A1623</f>
        <v>DEBIT</v>
      </c>
      <c r="B1623" s="14" t="n">
        <f aca="false">Chase1168_2025!B1623</f>
        <v>45700</v>
      </c>
      <c r="C1623" s="0" t="str">
        <f aca="false">Chase1168_2025!C1623</f>
        <v>Zelle payment to Aaron Frankel JPM99axxrda7</v>
      </c>
      <c r="D1623" s="7" t="n">
        <f aca="false">Chase1168_2025!D1623</f>
        <v>-1000</v>
      </c>
      <c r="E1623" s="0" t="str">
        <f aca="false">Chase1168_2025!E1623</f>
        <v>CHASE_TO_PARTNERFI</v>
      </c>
      <c r="F1623" s="7" t="n">
        <f aca="false">Chase1168_2025!F1623</f>
        <v>51410.94</v>
      </c>
      <c r="G1623" s="0" t="str">
        <f aca="false">Chase1168_2025!G1623</f>
        <v>Zelle - Aaron Frankel</v>
      </c>
      <c r="H1623" s="15" t="n">
        <f aca="false">IF($B1623="","",DATE(YEAR($B1623),MONTH($B1623),1))</f>
        <v>45689</v>
      </c>
      <c r="I1623" s="0" t="str">
        <f aca="false">IF($G1623="","Uncategorized — Review",IFERROR(INDEX(Mapping!$B:$B,MATCH($G1623,Mapping!$A:$A,0)),"Uncategorized — Review"))</f>
        <v>Zelle - Aaron Frankel</v>
      </c>
      <c r="J1623" s="0" t="str">
        <f aca="false">IF($G1623="","Uncategorized — Review",IFERROR(INDEX(Mapping!$C:$C,MATCH($G1623,Mapping!$A:$A,0)),"Uncategorized — Review"))</f>
        <v>P2P Payments (Zelle/Venmo/PayPal)</v>
      </c>
    </row>
    <row r="1624" customFormat="false" ht="15" hidden="false" customHeight="false" outlineLevel="0" collapsed="false">
      <c r="A1624" s="0" t="str">
        <f aca="false">Chase1168_2025!A1624</f>
        <v>DEBIT</v>
      </c>
      <c r="B1624" s="14" t="n">
        <f aca="false">Chase1168_2025!B1624</f>
        <v>45700</v>
      </c>
      <c r="C1624" s="0" t="str">
        <f aca="false">Chase1168_2025!C1624</f>
        <v>Online Transfer to CHK ...0709 transaction#: 23704834601 02/12</v>
      </c>
      <c r="D1624" s="7" t="n">
        <f aca="false">Chase1168_2025!D1624</f>
        <v>-1000</v>
      </c>
      <c r="E1624" s="0" t="str">
        <f aca="false">Chase1168_2025!E1624</f>
        <v>ACCT_XFER</v>
      </c>
      <c r="F1624" s="7" t="n">
        <f aca="false">Chase1168_2025!F1624</f>
        <v>52410.94</v>
      </c>
      <c r="G1624" s="0" t="str">
        <f aca="false">Chase1168_2025!G1624</f>
        <v>Transfer to DWG Capital Group_Savings</v>
      </c>
      <c r="H1624" s="15" t="n">
        <f aca="false">IF($B1624="","",DATE(YEAR($B1624),MONTH($B1624),1))</f>
        <v>45689</v>
      </c>
      <c r="I1624" s="0" t="str">
        <f aca="false">IF($G1624="","Uncategorized — Review",IFERROR(INDEX(Mapping!$B:$B,MATCH($G1624,Mapping!$A:$A,0)),"Uncategorized — Review"))</f>
        <v>Transfer to DWG Savings</v>
      </c>
      <c r="J1624" s="0" t="str">
        <f aca="false">IF($G1624="","Uncategorized — Review",IFERROR(INDEX(Mapping!$C:$C,MATCH($G1624,Mapping!$A:$A,0)),"Uncategorized — Review"))</f>
        <v>Intercompany &amp; Savings Transfers</v>
      </c>
    </row>
    <row r="1625" customFormat="false" ht="15" hidden="false" customHeight="false" outlineLevel="0" collapsed="false">
      <c r="A1625" s="0" t="str">
        <f aca="false">Chase1168_2025!A1625</f>
        <v>DEBIT</v>
      </c>
      <c r="B1625" s="14" t="n">
        <f aca="false">Chase1168_2025!B1625</f>
        <v>45700</v>
      </c>
      <c r="C1625" s="0" t="str">
        <f aca="false">Chase1168_2025!C1625</f>
        <v>Basic Online Payroll Payment 11161685029 to ###########4123</v>
      </c>
      <c r="D1625" s="7" t="n">
        <f aca="false">Chase1168_2025!D1625</f>
        <v>-750</v>
      </c>
      <c r="E1625" s="0" t="str">
        <f aca="false">Chase1168_2025!E1625</f>
        <v>BASIC_PAYROLL</v>
      </c>
      <c r="F1625" s="7" t="n">
        <f aca="false">Chase1168_2025!F1625</f>
        <v>53410.94</v>
      </c>
      <c r="G1625" s="16" t="n">
        <f aca="false">Chase1168_2025!G1625</f>
        <v>0</v>
      </c>
      <c r="H1625" s="15" t="n">
        <f aca="false">IF($B1625="","",DATE(YEAR($B1625),MONTH($B1625),1))</f>
        <v>45689</v>
      </c>
      <c r="I1625" s="0" t="str">
        <f aca="false">IF($G1625="","Uncategorized — Review",IFERROR(INDEX(Mapping!$B:$B,MATCH($G1625,Mapping!$A:$A,0)),"Uncategorized — Review"))</f>
        <v>Uncategorized — Review</v>
      </c>
      <c r="J1625" s="0" t="str">
        <f aca="false">IF($G1625="","Uncategorized — Review",IFERROR(INDEX(Mapping!$C:$C,MATCH($G1625,Mapping!$A:$A,0)),"Uncategorized — Review"))</f>
        <v>Uncategorized — Review</v>
      </c>
    </row>
    <row r="1626" customFormat="false" ht="15" hidden="false" customHeight="false" outlineLevel="0" collapsed="false">
      <c r="A1626" s="0" t="str">
        <f aca="false">Chase1168_2025!A1626</f>
        <v>DEBIT</v>
      </c>
      <c r="B1626" s="14" t="n">
        <f aca="false">Chase1168_2025!B1626</f>
        <v>45700</v>
      </c>
      <c r="C1626" s="0" t="str">
        <f aca="false">Chase1168_2025!C1626</f>
        <v>PP*SPOTIFYUSAI 203-318-9708 NY               02/12</v>
      </c>
      <c r="D1626" s="7" t="n">
        <f aca="false">Chase1168_2025!D1626</f>
        <v>-11.99</v>
      </c>
      <c r="E1626" s="0" t="str">
        <f aca="false">Chase1168_2025!E1626</f>
        <v>DEBIT_CARD</v>
      </c>
      <c r="F1626" s="7" t="n">
        <f aca="false">Chase1168_2025!F1626</f>
        <v>54160.94</v>
      </c>
      <c r="G1626" s="0" t="str">
        <f aca="false">Chase1168_2025!G1626</f>
        <v>Personal - Subscriptions</v>
      </c>
      <c r="H1626" s="15" t="n">
        <f aca="false">IF($B1626="","",DATE(YEAR($B1626),MONTH($B1626),1))</f>
        <v>45689</v>
      </c>
      <c r="I1626" s="0" t="str">
        <f aca="false">IF($G1626="","Uncategorized — Review",IFERROR(INDEX(Mapping!$B:$B,MATCH($G1626,Mapping!$A:$A,0)),"Uncategorized — Review"))</f>
        <v>Personal - Subscriptions</v>
      </c>
      <c r="J1626" s="0" t="str">
        <f aca="false">IF($G1626="","Uncategorized — Review",IFERROR(INDEX(Mapping!$C:$C,MATCH($G1626,Mapping!$A:$A,0)),"Uncategorized — Review"))</f>
        <v>Personal — Owner</v>
      </c>
    </row>
    <row r="1627" customFormat="false" ht="15" hidden="false" customHeight="false" outlineLevel="0" collapsed="false">
      <c r="A1627" s="0" t="str">
        <f aca="false">Chase1168_2025!A1627</f>
        <v>DEBIT</v>
      </c>
      <c r="B1627" s="14" t="n">
        <f aca="false">Chase1168_2025!B1627</f>
        <v>45699</v>
      </c>
      <c r="C1627" s="0" t="str">
        <f aca="false">Chase1168_2025!C1627</f>
        <v>DOMESTIC INCOMING WIRE FEE</v>
      </c>
      <c r="D1627" s="7" t="n">
        <f aca="false">Chase1168_2025!D1627</f>
        <v>-15</v>
      </c>
      <c r="E1627" s="0" t="str">
        <f aca="false">Chase1168_2025!E1627</f>
        <v>FEE_TRANSACTION</v>
      </c>
      <c r="F1627" s="7" t="n">
        <f aca="false">Chase1168_2025!F1627</f>
        <v>54172.93</v>
      </c>
      <c r="G1627" s="0" t="str">
        <f aca="false">Chase1168_2025!G1627</f>
        <v>Wire Fee</v>
      </c>
      <c r="H1627" s="15" t="n">
        <f aca="false">IF($B1627="","",DATE(YEAR($B1627),MONTH($B1627),1))</f>
        <v>45689</v>
      </c>
      <c r="I1627" s="0" t="str">
        <f aca="false">IF($G1627="","Uncategorized — Review",IFERROR(INDEX(Mapping!$B:$B,MATCH($G1627,Mapping!$A:$A,0)),"Uncategorized — Review"))</f>
        <v>Wire Fee</v>
      </c>
      <c r="J1627" s="0" t="str">
        <f aca="false">IF($G1627="","Uncategorized — Review",IFERROR(INDEX(Mapping!$C:$C,MATCH($G1627,Mapping!$A:$A,0)),"Uncategorized — Review"))</f>
        <v>DWG Operating</v>
      </c>
    </row>
    <row r="1628" customFormat="false" ht="15" hidden="false" customHeight="false" outlineLevel="0" collapsed="false">
      <c r="A1628" s="0" t="str">
        <f aca="false">Chase1168_2025!A1628</f>
        <v>DEBIT</v>
      </c>
      <c r="B1628" s="14" t="n">
        <f aca="false">Chase1168_2025!B1628</f>
        <v>45699</v>
      </c>
      <c r="C1628" s="0" t="str">
        <f aca="false">Chase1168_2025!C1628</f>
        <v>ORIG CO NAME:GM Financial           ORIG ID:I522190781 DESC DATE:250211 CO ENTRY DESCR:GMF Pymt  SEC:PPD    TRACE#:091000013913581 EED:250211   IND ID:                             IND NAME:ANGELA DUNNING TRN: 0423913581TC</v>
      </c>
      <c r="D1628" s="7" t="n">
        <f aca="false">Chase1168_2025!D1628</f>
        <v>-1249.96</v>
      </c>
      <c r="E1628" s="0" t="str">
        <f aca="false">Chase1168_2025!E1628</f>
        <v>ACH_DEBIT</v>
      </c>
      <c r="F1628" s="7" t="n">
        <f aca="false">Chase1168_2025!F1628</f>
        <v>54187.93</v>
      </c>
      <c r="G1628" s="0" t="str">
        <f aca="false">Chase1168_2025!G1628</f>
        <v>Personal - Car</v>
      </c>
      <c r="H1628" s="15" t="n">
        <f aca="false">IF($B1628="","",DATE(YEAR($B1628),MONTH($B1628),1))</f>
        <v>45689</v>
      </c>
      <c r="I1628" s="0" t="str">
        <f aca="false">IF($G1628="","Uncategorized — Review",IFERROR(INDEX(Mapping!$B:$B,MATCH($G1628,Mapping!$A:$A,0)),"Uncategorized — Review"))</f>
        <v>Personal - Car &amp; Auto</v>
      </c>
      <c r="J1628" s="0" t="str">
        <f aca="false">IF($G1628="","Uncategorized — Review",IFERROR(INDEX(Mapping!$C:$C,MATCH($G1628,Mapping!$A:$A,0)),"Uncategorized — Review"))</f>
        <v>Personal — Owner</v>
      </c>
    </row>
    <row r="1629" customFormat="false" ht="15" hidden="false" customHeight="false" outlineLevel="0" collapsed="false">
      <c r="A1629" s="0" t="str">
        <f aca="false">Chase1168_2025!A1629</f>
        <v>DEBIT</v>
      </c>
      <c r="B1629" s="14" t="n">
        <f aca="false">Chase1168_2025!B1629</f>
        <v>45699</v>
      </c>
      <c r="C1629" s="0" t="str">
        <f aca="false">Chase1168_2025!C1629</f>
        <v>UPWORK * -779118706 866-262-4478 CA          02/10</v>
      </c>
      <c r="D1629" s="7" t="n">
        <f aca="false">Chase1168_2025!D1629</f>
        <v>-918.75</v>
      </c>
      <c r="E1629" s="0" t="str">
        <f aca="false">Chase1168_2025!E1629</f>
        <v>DEBIT_CARD</v>
      </c>
      <c r="F1629" s="7" t="n">
        <f aca="false">Chase1168_2025!F1629</f>
        <v>55437.89</v>
      </c>
      <c r="G1629" s="0" t="str">
        <f aca="false">Chase1168_2025!G1629</f>
        <v>Upwork - Sergei M.</v>
      </c>
      <c r="H1629" s="15" t="n">
        <f aca="false">IF($B1629="","",DATE(YEAR($B1629),MONTH($B1629),1))</f>
        <v>45689</v>
      </c>
      <c r="I1629" s="0" t="str">
        <f aca="false">IF($G1629="","Uncategorized — Review",IFERROR(INDEX(Mapping!$B:$B,MATCH($G1629,Mapping!$A:$A,0)),"Uncategorized — Review"))</f>
        <v>Upwork - Sergei M.</v>
      </c>
      <c r="J1629" s="0" t="str">
        <f aca="false">IF($G1629="","Uncategorized — Review",IFERROR(INDEX(Mapping!$C:$C,MATCH($G1629,Mapping!$A:$A,0)),"Uncategorized — Review"))</f>
        <v>Payroll &amp; Contractors</v>
      </c>
    </row>
    <row r="1630" customFormat="false" ht="15" hidden="false" customHeight="false" outlineLevel="0" collapsed="false">
      <c r="A1630" s="0" t="str">
        <f aca="false">Chase1168_2025!A1630</f>
        <v>DEBIT</v>
      </c>
      <c r="B1630" s="14" t="n">
        <f aca="false">Chase1168_2025!B1630</f>
        <v>45699</v>
      </c>
      <c r="C1630" s="0" t="str">
        <f aca="false">Chase1168_2025!C1630</f>
        <v>PP*APPLE.COM/BILL 800-275-2273 CA            02/10</v>
      </c>
      <c r="D1630" s="7" t="n">
        <f aca="false">Chase1168_2025!D1630</f>
        <v>-30</v>
      </c>
      <c r="E1630" s="0" t="str">
        <f aca="false">Chase1168_2025!E1630</f>
        <v>DEBIT_CARD</v>
      </c>
      <c r="F1630" s="7" t="n">
        <f aca="false">Chase1168_2025!F1630</f>
        <v>56356.64</v>
      </c>
      <c r="G1630" s="0" t="str">
        <f aca="false">Chase1168_2025!G1630</f>
        <v>Personal - Subscriptions</v>
      </c>
      <c r="H1630" s="15" t="n">
        <f aca="false">IF($B1630="","",DATE(YEAR($B1630),MONTH($B1630),1))</f>
        <v>45689</v>
      </c>
      <c r="I1630" s="0" t="str">
        <f aca="false">IF($G1630="","Uncategorized — Review",IFERROR(INDEX(Mapping!$B:$B,MATCH($G1630,Mapping!$A:$A,0)),"Uncategorized — Review"))</f>
        <v>Personal - Subscriptions</v>
      </c>
      <c r="J1630" s="0" t="str">
        <f aca="false">IF($G1630="","Uncategorized — Review",IFERROR(INDEX(Mapping!$C:$C,MATCH($G1630,Mapping!$A:$A,0)),"Uncategorized — Review"))</f>
        <v>Personal — Owner</v>
      </c>
    </row>
    <row r="1631" customFormat="false" ht="15" hidden="false" customHeight="false" outlineLevel="0" collapsed="false">
      <c r="A1631" s="0" t="str">
        <f aca="false">Chase1168_2025!A1631</f>
        <v>DEBIT</v>
      </c>
      <c r="B1631" s="14" t="n">
        <f aca="false">Chase1168_2025!B1631</f>
        <v>45699</v>
      </c>
      <c r="C1631" s="0" t="str">
        <f aca="false">Chase1168_2025!C1631</f>
        <v>PP*APPLE.COM/BILL 800-275-2273 CA            02/10</v>
      </c>
      <c r="D1631" s="7" t="n">
        <f aca="false">Chase1168_2025!D1631</f>
        <v>-17.99</v>
      </c>
      <c r="E1631" s="0" t="str">
        <f aca="false">Chase1168_2025!E1631</f>
        <v>DEBIT_CARD</v>
      </c>
      <c r="F1631" s="7" t="n">
        <f aca="false">Chase1168_2025!F1631</f>
        <v>56386.64</v>
      </c>
      <c r="G1631" s="0" t="str">
        <f aca="false">Chase1168_2025!G1631</f>
        <v>Personal - Subscriptions</v>
      </c>
      <c r="H1631" s="15" t="n">
        <f aca="false">IF($B1631="","",DATE(YEAR($B1631),MONTH($B1631),1))</f>
        <v>45689</v>
      </c>
      <c r="I1631" s="0" t="str">
        <f aca="false">IF($G1631="","Uncategorized — Review",IFERROR(INDEX(Mapping!$B:$B,MATCH($G1631,Mapping!$A:$A,0)),"Uncategorized — Review"))</f>
        <v>Personal - Subscriptions</v>
      </c>
      <c r="J1631" s="0" t="str">
        <f aca="false">IF($G1631="","Uncategorized — Review",IFERROR(INDEX(Mapping!$C:$C,MATCH($G1631,Mapping!$A:$A,0)),"Uncategorized — Review"))</f>
        <v>Personal — Owner</v>
      </c>
    </row>
    <row r="1632" customFormat="false" ht="15" hidden="false" customHeight="false" outlineLevel="0" collapsed="false">
      <c r="A1632" s="0" t="str">
        <f aca="false">Chase1168_2025!A1632</f>
        <v>CREDIT</v>
      </c>
      <c r="B1632" s="14" t="n">
        <f aca="false">Chase1168_2025!B1632</f>
        <v>45699</v>
      </c>
      <c r="C1632" s="0" t="str">
        <f aca="false">Chase1168_2025!C1632</f>
        <v>Online Transfer from CHK ...3922 transaction#: 23689273178</v>
      </c>
      <c r="D1632" s="7" t="n">
        <f aca="false">Chase1168_2025!D1632</f>
        <v>5000</v>
      </c>
      <c r="E1632" s="0" t="str">
        <f aca="false">Chase1168_2025!E1632</f>
        <v>ACCT_XFER</v>
      </c>
      <c r="F1632" s="7" t="n">
        <f aca="false">Chase1168_2025!F1632</f>
        <v>56404.63</v>
      </c>
      <c r="G1632" s="0" t="str">
        <f aca="false">Chase1168_2025!G1632</f>
        <v>Transfer From DWG Capital Partners</v>
      </c>
      <c r="H1632" s="15" t="n">
        <f aca="false">IF($B1632="","",DATE(YEAR($B1632),MONTH($B1632),1))</f>
        <v>45689</v>
      </c>
      <c r="I1632" s="0" t="str">
        <f aca="false">IF($G1632="","Uncategorized — Review",IFERROR(INDEX(Mapping!$B:$B,MATCH($G1632,Mapping!$A:$A,0)),"Uncategorized — Review"))</f>
        <v>Transfer From DWG Capital Partners</v>
      </c>
      <c r="J1632" s="0" t="str">
        <f aca="false">IF($G1632="","Uncategorized — Review",IFERROR(INDEX(Mapping!$C:$C,MATCH($G1632,Mapping!$A:$A,0)),"Uncategorized — Review"))</f>
        <v>Intercompany &amp; Savings Transfers</v>
      </c>
    </row>
    <row r="1633" customFormat="false" ht="15" hidden="false" customHeight="false" outlineLevel="0" collapsed="false">
      <c r="A1633" s="0" t="str">
        <f aca="false">Chase1168_2025!A1633</f>
        <v>CREDIT</v>
      </c>
      <c r="B1633" s="14" t="n">
        <f aca="false">Chase1168_2025!B1633</f>
        <v>45699</v>
      </c>
      <c r="C1633" s="0" t="str">
        <f aca="false">Chase1168_2025!C1633</f>
        <v>FEDWIRE CREDIT VIA: BANK OF AMERICA, N.A./026009593 B/O: CT SOCAL COMM FBSC/CT BS FXBC RIVERSIDE CA 92505 US REF: CHASE NYC/CTR/BNF=DWG CAPITAL GROUP LOS ANGELES CA 90066-3638 US/AC-00 0000002836 RFB=1-18608751 OBI=FN-FB SC2404500 2848 WEST SWEETW/AT ER AV ENUE, PHOENIX, AZ PROPADDR-/28 48 W SWEETWATER AV IMAD: 0211B6B7HU3R014212 TRN: 0894891042FF</v>
      </c>
      <c r="D1633" s="7" t="n">
        <f aca="false">Chase1168_2025!D1633</f>
        <v>50000</v>
      </c>
      <c r="E1633" s="0" t="str">
        <f aca="false">Chase1168_2025!E1633</f>
        <v>WIRE_INCOMING</v>
      </c>
      <c r="F1633" s="7" t="n">
        <f aca="false">Chase1168_2025!F1633</f>
        <v>51404.63</v>
      </c>
      <c r="G1633" s="0" t="str">
        <f aca="false">Chase1168_2025!G1633</f>
        <v>MAG Capital Partners Pass-Through Wire – 70/30 Split</v>
      </c>
      <c r="H1633" s="15" t="n">
        <f aca="false">IF($B1633="","",DATE(YEAR($B1633),MONTH($B1633),1))</f>
        <v>45689</v>
      </c>
      <c r="I1633" s="0" t="str">
        <f aca="false">IF($G1633="","Uncategorized — Review",IFERROR(INDEX(Mapping!$B:$B,MATCH($G1633,Mapping!$A:$A,0)),"Uncategorized — Review"))</f>
        <v>MAG Capital Partners Pass-Through Wire – 70/30 Split</v>
      </c>
      <c r="J1633" s="0" t="str">
        <f aca="false">IF($G1633="","Uncategorized — Review",IFERROR(INDEX(Mapping!$C:$C,MATCH($G1633,Mapping!$A:$A,0)),"Uncategorized — Review"))</f>
        <v>MAG Pass-Through</v>
      </c>
    </row>
    <row r="1634" customFormat="false" ht="15" hidden="false" customHeight="false" outlineLevel="0" collapsed="false">
      <c r="A1634" s="0" t="str">
        <f aca="false">Chase1168_2025!A1634</f>
        <v>DEBIT</v>
      </c>
      <c r="B1634" s="14" t="n">
        <f aca="false">Chase1168_2025!B1634</f>
        <v>45698</v>
      </c>
      <c r="C1634" s="0" t="str">
        <f aca="false">Chase1168_2025!C1634</f>
        <v>Online Transfer to CHK ...1283 transaction#: 23680847097 02/10</v>
      </c>
      <c r="D1634" s="7" t="n">
        <f aca="false">Chase1168_2025!D1634</f>
        <v>-100</v>
      </c>
      <c r="E1634" s="0" t="str">
        <f aca="false">Chase1168_2025!E1634</f>
        <v>ACCT_XFER</v>
      </c>
      <c r="F1634" s="7" t="n">
        <f aca="false">Chase1168_2025!F1634</f>
        <v>1404.63</v>
      </c>
      <c r="G1634" s="0" t="str">
        <f aca="false">Chase1168_2025!G1634</f>
        <v>Transfer to DWG Holdings</v>
      </c>
      <c r="H1634" s="15" t="n">
        <f aca="false">IF($B1634="","",DATE(YEAR($B1634),MONTH($B1634),1))</f>
        <v>45689</v>
      </c>
      <c r="I1634" s="0" t="str">
        <f aca="false">IF($G1634="","Uncategorized — Review",IFERROR(INDEX(Mapping!$B:$B,MATCH($G1634,Mapping!$A:$A,0)),"Uncategorized — Review"))</f>
        <v>Transfer to DWG Holdings</v>
      </c>
      <c r="J1634" s="0" t="str">
        <f aca="false">IF($G1634="","Uncategorized — Review",IFERROR(INDEX(Mapping!$C:$C,MATCH($G1634,Mapping!$A:$A,0)),"Uncategorized — Review"))</f>
        <v>Intercompany &amp; Savings Transfers</v>
      </c>
    </row>
    <row r="1635" customFormat="false" ht="15" hidden="false" customHeight="false" outlineLevel="0" collapsed="false">
      <c r="A1635" s="0" t="str">
        <f aca="false">Chase1168_2025!A1635</f>
        <v>DEBIT</v>
      </c>
      <c r="B1635" s="14" t="n">
        <f aca="false">Chase1168_2025!B1635</f>
        <v>45698</v>
      </c>
      <c r="C1635" s="0" t="str">
        <f aca="false">Chase1168_2025!C1635</f>
        <v>Online Transfer to CHK ...6586 transaction#: 23680833850 02/10</v>
      </c>
      <c r="D1635" s="7" t="n">
        <f aca="false">Chase1168_2025!D1635</f>
        <v>-100</v>
      </c>
      <c r="E1635" s="0" t="str">
        <f aca="false">Chase1168_2025!E1635</f>
        <v>ACCT_XFER</v>
      </c>
      <c r="F1635" s="7" t="n">
        <f aca="false">Chase1168_2025!F1635</f>
        <v>1504.63</v>
      </c>
      <c r="G1635" s="0" t="str">
        <f aca="false">Chase1168_2025!G1635</f>
        <v>Transfer to TGAIF Fund</v>
      </c>
      <c r="H1635" s="15" t="n">
        <f aca="false">IF($B1635="","",DATE(YEAR($B1635),MONTH($B1635),1))</f>
        <v>45689</v>
      </c>
      <c r="I1635" s="0" t="str">
        <f aca="false">IF($G1635="","Uncategorized — Review",IFERROR(INDEX(Mapping!$B:$B,MATCH($G1635,Mapping!$A:$A,0)),"Uncategorized — Review"))</f>
        <v>Transfer to TGAIF Fund</v>
      </c>
      <c r="J1635" s="0" t="str">
        <f aca="false">IF($G1635="","Uncategorized — Review",IFERROR(INDEX(Mapping!$C:$C,MATCH($G1635,Mapping!$A:$A,0)),"Uncategorized — Review"))</f>
        <v>Intercompany &amp; Savings Transfers</v>
      </c>
    </row>
    <row r="1636" customFormat="false" ht="15" hidden="false" customHeight="false" outlineLevel="0" collapsed="false">
      <c r="A1636" s="0" t="str">
        <f aca="false">Chase1168_2025!A1636</f>
        <v>DEBIT</v>
      </c>
      <c r="B1636" s="14" t="n">
        <f aca="false">Chase1168_2025!B1636</f>
        <v>45698</v>
      </c>
      <c r="C1636" s="0" t="str">
        <f aca="false">Chase1168_2025!C1636</f>
        <v>Online Transfer to CHK ...2508 transaction#: 23680822191 02/10</v>
      </c>
      <c r="D1636" s="7" t="n">
        <f aca="false">Chase1168_2025!D1636</f>
        <v>-1000</v>
      </c>
      <c r="E1636" s="0" t="str">
        <f aca="false">Chase1168_2025!E1636</f>
        <v>ACCT_XFER</v>
      </c>
      <c r="F1636" s="7" t="n">
        <f aca="false">Chase1168_2025!F1636</f>
        <v>1604.63</v>
      </c>
      <c r="G1636" s="0" t="str">
        <f aca="false">Chase1168_2025!G1636</f>
        <v>Transfer to Theut Glass</v>
      </c>
      <c r="H1636" s="15" t="n">
        <f aca="false">IF($B1636="","",DATE(YEAR($B1636),MONTH($B1636),1))</f>
        <v>45689</v>
      </c>
      <c r="I1636" s="0" t="str">
        <f aca="false">IF($G1636="","Uncategorized — Review",IFERROR(INDEX(Mapping!$B:$B,MATCH($G1636,Mapping!$A:$A,0)),"Uncategorized — Review"))</f>
        <v>Transfer to Theut Glass</v>
      </c>
      <c r="J1636" s="0" t="str">
        <f aca="false">IF($G1636="","Uncategorized — Review",IFERROR(INDEX(Mapping!$C:$C,MATCH($G1636,Mapping!$A:$A,0)),"Uncategorized — Review"))</f>
        <v>Intercompany &amp; Savings Transfers</v>
      </c>
    </row>
    <row r="1637" customFormat="false" ht="15" hidden="false" customHeight="false" outlineLevel="0" collapsed="false">
      <c r="A1637" s="0" t="str">
        <f aca="false">Chase1168_2025!A1637</f>
        <v>DEBIT</v>
      </c>
      <c r="B1637" s="14" t="n">
        <f aca="false">Chase1168_2025!B1637</f>
        <v>45698</v>
      </c>
      <c r="C1637" s="0" t="str">
        <f aca="false">Chase1168_2025!C1637</f>
        <v>Online Transfer to CHK ...1117 transaction#: 23680819812 02/10</v>
      </c>
      <c r="D1637" s="7" t="n">
        <f aca="false">Chase1168_2025!D1637</f>
        <v>-2000</v>
      </c>
      <c r="E1637" s="0" t="str">
        <f aca="false">Chase1168_2025!E1637</f>
        <v>ACCT_XFER</v>
      </c>
      <c r="F1637" s="7" t="n">
        <f aca="false">Chase1168_2025!F1637</f>
        <v>2604.63</v>
      </c>
      <c r="G1637" s="0" t="str">
        <f aca="false">Chase1168_2025!G1637</f>
        <v>Transfer to Angela Dunning</v>
      </c>
      <c r="H1637" s="15" t="n">
        <f aca="false">IF($B1637="","",DATE(YEAR($B1637),MONTH($B1637),1))</f>
        <v>45689</v>
      </c>
      <c r="I1637" s="0" t="str">
        <f aca="false">IF($G1637="","Uncategorized — Review",IFERROR(INDEX(Mapping!$B:$B,MATCH($G1637,Mapping!$A:$A,0)),"Uncategorized — Review"))</f>
        <v>Transfer to Angela Dunning</v>
      </c>
      <c r="J1637" s="0" t="str">
        <f aca="false">IF($G1637="","Uncategorized — Review",IFERROR(INDEX(Mapping!$C:$C,MATCH($G1637,Mapping!$A:$A,0)),"Uncategorized — Review"))</f>
        <v>Owner / Family Distributions</v>
      </c>
    </row>
    <row r="1638" customFormat="false" ht="15" hidden="false" customHeight="false" outlineLevel="0" collapsed="false">
      <c r="A1638" s="0" t="str">
        <f aca="false">Chase1168_2025!A1638</f>
        <v>DEBIT</v>
      </c>
      <c r="B1638" s="14" t="n">
        <f aca="false">Chase1168_2025!B1638</f>
        <v>45698</v>
      </c>
      <c r="C1638" s="0" t="str">
        <f aca="false">Chase1168_2025!C1638</f>
        <v>HLU*HULUPLUS hulu.com/bill CA                02/10</v>
      </c>
      <c r="D1638" s="7" t="n">
        <f aca="false">Chase1168_2025!D1638</f>
        <v>-53.97</v>
      </c>
      <c r="E1638" s="0" t="str">
        <f aca="false">Chase1168_2025!E1638</f>
        <v>DEBIT_CARD</v>
      </c>
      <c r="F1638" s="7" t="n">
        <f aca="false">Chase1168_2025!F1638</f>
        <v>4604.63</v>
      </c>
      <c r="G1638" s="0" t="str">
        <f aca="false">Chase1168_2025!G1638</f>
        <v>Personal - Subscriptions</v>
      </c>
      <c r="H1638" s="15" t="n">
        <f aca="false">IF($B1638="","",DATE(YEAR($B1638),MONTH($B1638),1))</f>
        <v>45689</v>
      </c>
      <c r="I1638" s="0" t="str">
        <f aca="false">IF($G1638="","Uncategorized — Review",IFERROR(INDEX(Mapping!$B:$B,MATCH($G1638,Mapping!$A:$A,0)),"Uncategorized — Review"))</f>
        <v>Personal - Subscriptions</v>
      </c>
      <c r="J1638" s="0" t="str">
        <f aca="false">IF($G1638="","Uncategorized — Review",IFERROR(INDEX(Mapping!$C:$C,MATCH($G1638,Mapping!$A:$A,0)),"Uncategorized — Review"))</f>
        <v>Personal — Owner</v>
      </c>
    </row>
    <row r="1639" customFormat="false" ht="15" hidden="false" customHeight="false" outlineLevel="0" collapsed="false">
      <c r="A1639" s="0" t="str">
        <f aca="false">Chase1168_2025!A1639</f>
        <v>DEBIT</v>
      </c>
      <c r="B1639" s="14" t="n">
        <f aca="false">Chase1168_2025!B1639</f>
        <v>45698</v>
      </c>
      <c r="C1639" s="0" t="str">
        <f aca="false">Chase1168_2025!C1639</f>
        <v>PAYPAL *RUTHALCANCI 402-935-7733 CA          02/10</v>
      </c>
      <c r="D1639" s="7" t="n">
        <f aca="false">Chase1168_2025!D1639</f>
        <v>-80</v>
      </c>
      <c r="E1639" s="0" t="str">
        <f aca="false">Chase1168_2025!E1639</f>
        <v>DEBIT_CARD</v>
      </c>
      <c r="F1639" s="7" t="n">
        <f aca="false">Chase1168_2025!F1639</f>
        <v>4658.6</v>
      </c>
      <c r="G1639" s="0" t="str">
        <f aca="false">Chase1168_2025!G1639</f>
        <v>Ruth Alcancia - Forward Bridge Payment</v>
      </c>
      <c r="H1639" s="15" t="n">
        <f aca="false">IF($B1639="","",DATE(YEAR($B1639),MONTH($B1639),1))</f>
        <v>45689</v>
      </c>
      <c r="I1639" s="0" t="str">
        <f aca="false">IF($G1639="","Uncategorized — Review",IFERROR(INDEX(Mapping!$B:$B,MATCH($G1639,Mapping!$A:$A,0)),"Uncategorized — Review"))</f>
        <v>Ruth Alcancia - Forward Bridge Payment</v>
      </c>
      <c r="J1639" s="0" t="str">
        <f aca="false">IF($G1639="","Uncategorized — Review",IFERROR(INDEX(Mapping!$C:$C,MATCH($G1639,Mapping!$A:$A,0)),"Uncategorized — Review"))</f>
        <v>Payroll &amp; Contractors</v>
      </c>
    </row>
    <row r="1640" customFormat="false" ht="15" hidden="false" customHeight="false" outlineLevel="0" collapsed="false">
      <c r="A1640" s="0" t="str">
        <f aca="false">Chase1168_2025!A1640</f>
        <v>DEBIT</v>
      </c>
      <c r="B1640" s="14" t="n">
        <f aca="false">Chase1168_2025!B1640</f>
        <v>45698</v>
      </c>
      <c r="C1640" s="0" t="str">
        <f aca="false">Chase1168_2025!C1640</f>
        <v>PP*APPLE.COM/BILL 800-275-2273 CA            02/09</v>
      </c>
      <c r="D1640" s="7" t="n">
        <f aca="false">Chase1168_2025!D1640</f>
        <v>-8.99</v>
      </c>
      <c r="E1640" s="0" t="str">
        <f aca="false">Chase1168_2025!E1640</f>
        <v>DEBIT_CARD</v>
      </c>
      <c r="F1640" s="7" t="n">
        <f aca="false">Chase1168_2025!F1640</f>
        <v>4738.6</v>
      </c>
      <c r="G1640" s="0" t="str">
        <f aca="false">Chase1168_2025!G1640</f>
        <v>Personal - Subscriptions</v>
      </c>
      <c r="H1640" s="15" t="n">
        <f aca="false">IF($B1640="","",DATE(YEAR($B1640),MONTH($B1640),1))</f>
        <v>45689</v>
      </c>
      <c r="I1640" s="0" t="str">
        <f aca="false">IF($G1640="","Uncategorized — Review",IFERROR(INDEX(Mapping!$B:$B,MATCH($G1640,Mapping!$A:$A,0)),"Uncategorized — Review"))</f>
        <v>Personal - Subscriptions</v>
      </c>
      <c r="J1640" s="0" t="str">
        <f aca="false">IF($G1640="","Uncategorized — Review",IFERROR(INDEX(Mapping!$C:$C,MATCH($G1640,Mapping!$A:$A,0)),"Uncategorized — Review"))</f>
        <v>Personal — Owner</v>
      </c>
    </row>
    <row r="1641" customFormat="false" ht="15" hidden="false" customHeight="false" outlineLevel="0" collapsed="false">
      <c r="A1641" s="0" t="str">
        <f aca="false">Chase1168_2025!A1641</f>
        <v>DEBIT</v>
      </c>
      <c r="B1641" s="14" t="n">
        <f aca="false">Chase1168_2025!B1641</f>
        <v>45698</v>
      </c>
      <c r="C1641" s="0" t="str">
        <f aca="false">Chase1168_2025!C1641</f>
        <v>PP*APPLE.COM/BILL 800-275-2273 CA            02/08</v>
      </c>
      <c r="D1641" s="7" t="n">
        <f aca="false">Chase1168_2025!D1641</f>
        <v>-11.99</v>
      </c>
      <c r="E1641" s="0" t="str">
        <f aca="false">Chase1168_2025!E1641</f>
        <v>DEBIT_CARD</v>
      </c>
      <c r="F1641" s="7" t="n">
        <f aca="false">Chase1168_2025!F1641</f>
        <v>4747.59</v>
      </c>
      <c r="G1641" s="0" t="str">
        <f aca="false">Chase1168_2025!G1641</f>
        <v>Personal - Subscriptions</v>
      </c>
      <c r="H1641" s="15" t="n">
        <f aca="false">IF($B1641="","",DATE(YEAR($B1641),MONTH($B1641),1))</f>
        <v>45689</v>
      </c>
      <c r="I1641" s="0" t="str">
        <f aca="false">IF($G1641="","Uncategorized — Review",IFERROR(INDEX(Mapping!$B:$B,MATCH($G1641,Mapping!$A:$A,0)),"Uncategorized — Review"))</f>
        <v>Personal - Subscriptions</v>
      </c>
      <c r="J1641" s="0" t="str">
        <f aca="false">IF($G1641="","Uncategorized — Review",IFERROR(INDEX(Mapping!$C:$C,MATCH($G1641,Mapping!$A:$A,0)),"Uncategorized — Review"))</f>
        <v>Personal — Owner</v>
      </c>
    </row>
    <row r="1642" customFormat="false" ht="15" hidden="false" customHeight="false" outlineLevel="0" collapsed="false">
      <c r="A1642" s="0" t="str">
        <f aca="false">Chase1168_2025!A1642</f>
        <v>DEBIT</v>
      </c>
      <c r="B1642" s="14" t="n">
        <f aca="false">Chase1168_2025!B1642</f>
        <v>45698</v>
      </c>
      <c r="C1642" s="0" t="str">
        <f aca="false">Chase1168_2025!C1642</f>
        <v>PAYPAL *UBER 866-576-1039 CA                 02/07</v>
      </c>
      <c r="D1642" s="7" t="n">
        <f aca="false">Chase1168_2025!D1642</f>
        <v>-13</v>
      </c>
      <c r="E1642" s="0" t="str">
        <f aca="false">Chase1168_2025!E1642</f>
        <v>DEBIT_CARD</v>
      </c>
      <c r="F1642" s="7" t="n">
        <f aca="false">Chase1168_2025!F1642</f>
        <v>4759.58</v>
      </c>
      <c r="G1642" s="0" t="str">
        <f aca="false">Chase1168_2025!G1642</f>
        <v>Personal - Car</v>
      </c>
      <c r="H1642" s="15" t="n">
        <f aca="false">IF($B1642="","",DATE(YEAR($B1642),MONTH($B1642),1))</f>
        <v>45689</v>
      </c>
      <c r="I1642" s="0" t="str">
        <f aca="false">IF($G1642="","Uncategorized — Review",IFERROR(INDEX(Mapping!$B:$B,MATCH($G1642,Mapping!$A:$A,0)),"Uncategorized — Review"))</f>
        <v>Personal - Car &amp; Auto</v>
      </c>
      <c r="J1642" s="0" t="str">
        <f aca="false">IF($G1642="","Uncategorized — Review",IFERROR(INDEX(Mapping!$C:$C,MATCH($G1642,Mapping!$A:$A,0)),"Uncategorized — Review"))</f>
        <v>Personal — Owner</v>
      </c>
    </row>
    <row r="1643" customFormat="false" ht="15" hidden="false" customHeight="false" outlineLevel="0" collapsed="false">
      <c r="A1643" s="0" t="str">
        <f aca="false">Chase1168_2025!A1643</f>
        <v>DEBIT</v>
      </c>
      <c r="B1643" s="14" t="n">
        <f aca="false">Chase1168_2025!B1643</f>
        <v>45698</v>
      </c>
      <c r="C1643" s="0" t="str">
        <f aca="false">Chase1168_2025!C1643</f>
        <v>PAYPAL *LINKEDIN 402-935-7733 CA             02/09</v>
      </c>
      <c r="D1643" s="7" t="n">
        <f aca="false">Chase1168_2025!D1643</f>
        <v>-520</v>
      </c>
      <c r="E1643" s="0" t="str">
        <f aca="false">Chase1168_2025!E1643</f>
        <v>DEBIT_CARD</v>
      </c>
      <c r="F1643" s="7" t="n">
        <f aca="false">Chase1168_2025!F1643</f>
        <v>4772.58</v>
      </c>
      <c r="G1643" s="0" t="str">
        <f aca="false">Chase1168_2025!G1643</f>
        <v>DWG HR</v>
      </c>
      <c r="H1643" s="15" t="n">
        <f aca="false">IF($B1643="","",DATE(YEAR($B1643),MONTH($B1643),1))</f>
        <v>45689</v>
      </c>
      <c r="I1643" s="0" t="str">
        <f aca="false">IF($G1643="","Uncategorized — Review",IFERROR(INDEX(Mapping!$B:$B,MATCH($G1643,Mapping!$A:$A,0)),"Uncategorized — Review"))</f>
        <v>DWG HR</v>
      </c>
      <c r="J1643" s="0" t="str">
        <f aca="false">IF($G1643="","Uncategorized — Review",IFERROR(INDEX(Mapping!$C:$C,MATCH($G1643,Mapping!$A:$A,0)),"Uncategorized — Review"))</f>
        <v>Payroll &amp; Contractors</v>
      </c>
    </row>
    <row r="1644" customFormat="false" ht="15" hidden="false" customHeight="false" outlineLevel="0" collapsed="false">
      <c r="A1644" s="0" t="str">
        <f aca="false">Chase1168_2025!A1644</f>
        <v>DEBIT</v>
      </c>
      <c r="B1644" s="14" t="n">
        <f aca="false">Chase1168_2025!B1644</f>
        <v>45695</v>
      </c>
      <c r="C1644" s="0" t="str">
        <f aca="false">Chase1168_2025!C1644</f>
        <v>Online Transfer to CHK ...7753 transaction#: 23650502541 02/07</v>
      </c>
      <c r="D1644" s="7" t="n">
        <f aca="false">Chase1168_2025!D1644</f>
        <v>-3000</v>
      </c>
      <c r="E1644" s="0" t="str">
        <f aca="false">Chase1168_2025!E1644</f>
        <v>ACCT_XFER</v>
      </c>
      <c r="F1644" s="7" t="n">
        <f aca="false">Chase1168_2025!F1644</f>
        <v>5292.58</v>
      </c>
      <c r="G1644" s="0" t="str">
        <f aca="false">Chase1168_2025!G1644</f>
        <v>Transfer to DWGCG_Costar</v>
      </c>
      <c r="H1644" s="15" t="n">
        <f aca="false">IF($B1644="","",DATE(YEAR($B1644),MONTH($B1644),1))</f>
        <v>45689</v>
      </c>
      <c r="I1644" s="0" t="str">
        <f aca="false">IF($G1644="","Uncategorized — Review",IFERROR(INDEX(Mapping!$B:$B,MATCH($G1644,Mapping!$A:$A,0)),"Uncategorized — Review"))</f>
        <v>Transfer to DWGCG_Costar</v>
      </c>
      <c r="J1644" s="0" t="str">
        <f aca="false">IF($G1644="","Uncategorized — Review",IFERROR(INDEX(Mapping!$C:$C,MATCH($G1644,Mapping!$A:$A,0)),"Uncategorized — Review"))</f>
        <v>Intercompany &amp; Savings Transfers</v>
      </c>
    </row>
    <row r="1645" customFormat="false" ht="15" hidden="false" customHeight="false" outlineLevel="0" collapsed="false">
      <c r="A1645" s="0" t="str">
        <f aca="false">Chase1168_2025!A1645</f>
        <v>DEBIT</v>
      </c>
      <c r="B1645" s="14" t="n">
        <f aca="false">Chase1168_2025!B1645</f>
        <v>45695</v>
      </c>
      <c r="C1645" s="0" t="str">
        <f aca="false">Chase1168_2025!C1645</f>
        <v>Online Transfer to CHK ...1117 transaction#: 23643723741 02/07</v>
      </c>
      <c r="D1645" s="7" t="n">
        <f aca="false">Chase1168_2025!D1645</f>
        <v>-2000</v>
      </c>
      <c r="E1645" s="0" t="str">
        <f aca="false">Chase1168_2025!E1645</f>
        <v>ACCT_XFER</v>
      </c>
      <c r="F1645" s="7" t="n">
        <f aca="false">Chase1168_2025!F1645</f>
        <v>8292.58</v>
      </c>
      <c r="G1645" s="0" t="str">
        <f aca="false">Chase1168_2025!G1645</f>
        <v>Transfer to Angela Dunning</v>
      </c>
      <c r="H1645" s="15" t="n">
        <f aca="false">IF($B1645="","",DATE(YEAR($B1645),MONTH($B1645),1))</f>
        <v>45689</v>
      </c>
      <c r="I1645" s="0" t="str">
        <f aca="false">IF($G1645="","Uncategorized — Review",IFERROR(INDEX(Mapping!$B:$B,MATCH($G1645,Mapping!$A:$A,0)),"Uncategorized — Review"))</f>
        <v>Transfer to Angela Dunning</v>
      </c>
      <c r="J1645" s="0" t="str">
        <f aca="false">IF($G1645="","Uncategorized — Review",IFERROR(INDEX(Mapping!$C:$C,MATCH($G1645,Mapping!$A:$A,0)),"Uncategorized — Review"))</f>
        <v>Owner / Family Distributions</v>
      </c>
    </row>
    <row r="1646" customFormat="false" ht="15" hidden="false" customHeight="false" outlineLevel="0" collapsed="false">
      <c r="A1646" s="0" t="str">
        <f aca="false">Chase1168_2025!A1646</f>
        <v>DEBIT</v>
      </c>
      <c r="B1646" s="14" t="n">
        <f aca="false">Chase1168_2025!B1646</f>
        <v>45695</v>
      </c>
      <c r="C1646" s="0" t="str">
        <f aca="false">Chase1168_2025!C1646</f>
        <v>PAYPAL *UBER 866-576-1039 CA                 02/07</v>
      </c>
      <c r="D1646" s="7" t="n">
        <f aca="false">Chase1168_2025!D1646</f>
        <v>-41.35</v>
      </c>
      <c r="E1646" s="0" t="str">
        <f aca="false">Chase1168_2025!E1646</f>
        <v>DEBIT_CARD</v>
      </c>
      <c r="F1646" s="7" t="n">
        <f aca="false">Chase1168_2025!F1646</f>
        <v>10292.58</v>
      </c>
      <c r="G1646" s="0" t="str">
        <f aca="false">Chase1168_2025!G1646</f>
        <v>Personal - Car</v>
      </c>
      <c r="H1646" s="15" t="n">
        <f aca="false">IF($B1646="","",DATE(YEAR($B1646),MONTH($B1646),1))</f>
        <v>45689</v>
      </c>
      <c r="I1646" s="0" t="str">
        <f aca="false">IF($G1646="","Uncategorized — Review",IFERROR(INDEX(Mapping!$B:$B,MATCH($G1646,Mapping!$A:$A,0)),"Uncategorized — Review"))</f>
        <v>Personal - Car &amp; Auto</v>
      </c>
      <c r="J1646" s="0" t="str">
        <f aca="false">IF($G1646="","Uncategorized — Review",IFERROR(INDEX(Mapping!$C:$C,MATCH($G1646,Mapping!$A:$A,0)),"Uncategorized — Review"))</f>
        <v>Personal — Owner</v>
      </c>
    </row>
    <row r="1647" customFormat="false" ht="15" hidden="false" customHeight="false" outlineLevel="0" collapsed="false">
      <c r="A1647" s="0" t="str">
        <f aca="false">Chase1168_2025!A1647</f>
        <v>DEBIT</v>
      </c>
      <c r="B1647" s="14" t="n">
        <f aca="false">Chase1168_2025!B1647</f>
        <v>45695</v>
      </c>
      <c r="C1647" s="0" t="str">
        <f aca="false">Chase1168_2025!C1647</f>
        <v>PAYPAL *UBER 866-576-1039 CA                 02/07</v>
      </c>
      <c r="D1647" s="7" t="n">
        <f aca="false">Chase1168_2025!D1647</f>
        <v>-4.83</v>
      </c>
      <c r="E1647" s="0" t="str">
        <f aca="false">Chase1168_2025!E1647</f>
        <v>DEBIT_CARD</v>
      </c>
      <c r="F1647" s="7" t="n">
        <f aca="false">Chase1168_2025!F1647</f>
        <v>10333.93</v>
      </c>
      <c r="G1647" s="0" t="str">
        <f aca="false">Chase1168_2025!G1647</f>
        <v>Personal - Car</v>
      </c>
      <c r="H1647" s="15" t="n">
        <f aca="false">IF($B1647="","",DATE(YEAR($B1647),MONTH($B1647),1))</f>
        <v>45689</v>
      </c>
      <c r="I1647" s="0" t="str">
        <f aca="false">IF($G1647="","Uncategorized — Review",IFERROR(INDEX(Mapping!$B:$B,MATCH($G1647,Mapping!$A:$A,0)),"Uncategorized — Review"))</f>
        <v>Personal - Car &amp; Auto</v>
      </c>
      <c r="J1647" s="0" t="str">
        <f aca="false">IF($G1647="","Uncategorized — Review",IFERROR(INDEX(Mapping!$C:$C,MATCH($G1647,Mapping!$A:$A,0)),"Uncategorized — Review"))</f>
        <v>Personal — Owner</v>
      </c>
    </row>
    <row r="1648" customFormat="false" ht="15" hidden="false" customHeight="false" outlineLevel="0" collapsed="false">
      <c r="A1648" s="0" t="str">
        <f aca="false">Chase1168_2025!A1648</f>
        <v>DEBIT</v>
      </c>
      <c r="B1648" s="14" t="n">
        <f aca="false">Chase1168_2025!B1648</f>
        <v>45693</v>
      </c>
      <c r="C1648" s="0" t="str">
        <f aca="false">Chase1168_2025!C1648</f>
        <v>ORIG CO NAME:VENMO                  ORIG ID:3264681992 DESC DATE:250204 CO ENTRY DESCR:PAYMENT   SEC:WEB    TRACE#:091000015612569 EED:250205   IND ID:1040060666436                IND NAME:JUDD DUNNING TRN: 0365612569TC</v>
      </c>
      <c r="D1648" s="7" t="n">
        <f aca="false">Chase1168_2025!D1648</f>
        <v>-120</v>
      </c>
      <c r="E1648" s="0" t="str">
        <f aca="false">Chase1168_2025!E1648</f>
        <v>ACH_DEBIT</v>
      </c>
      <c r="F1648" s="7" t="n">
        <f aca="false">Chase1168_2025!F1648</f>
        <v>10338.76</v>
      </c>
      <c r="G1648" s="0" t="str">
        <f aca="false">Chase1168_2025!G1648</f>
        <v>Venmo</v>
      </c>
      <c r="H1648" s="15" t="n">
        <f aca="false">IF($B1648="","",DATE(YEAR($B1648),MONTH($B1648),1))</f>
        <v>45689</v>
      </c>
      <c r="I1648" s="0" t="str">
        <f aca="false">IF($G1648="","Uncategorized — Review",IFERROR(INDEX(Mapping!$B:$B,MATCH($G1648,Mapping!$A:$A,0)),"Uncategorized — Review"))</f>
        <v>Venmo</v>
      </c>
      <c r="J1648" s="0" t="str">
        <f aca="false">IF($G1648="","Uncategorized — Review",IFERROR(INDEX(Mapping!$C:$C,MATCH($G1648,Mapping!$A:$A,0)),"Uncategorized — Review"))</f>
        <v>P2P Payments (Zelle/Venmo/PayPal)</v>
      </c>
    </row>
    <row r="1649" customFormat="false" ht="15" hidden="false" customHeight="false" outlineLevel="0" collapsed="false">
      <c r="A1649" s="0" t="str">
        <f aca="false">Chase1168_2025!A1649</f>
        <v>DEBIT</v>
      </c>
      <c r="B1649" s="14" t="n">
        <f aca="false">Chase1168_2025!B1649</f>
        <v>45693</v>
      </c>
      <c r="C1649" s="0" t="str">
        <f aca="false">Chase1168_2025!C1649</f>
        <v>PAYPAL *UBER 866-576-1039 CA                 02/04</v>
      </c>
      <c r="D1649" s="7" t="n">
        <f aca="false">Chase1168_2025!D1649</f>
        <v>-37.15</v>
      </c>
      <c r="E1649" s="0" t="str">
        <f aca="false">Chase1168_2025!E1649</f>
        <v>DEBIT_CARD</v>
      </c>
      <c r="F1649" s="7" t="n">
        <f aca="false">Chase1168_2025!F1649</f>
        <v>10458.76</v>
      </c>
      <c r="G1649" s="0" t="str">
        <f aca="false">Chase1168_2025!G1649</f>
        <v>Personal - Car</v>
      </c>
      <c r="H1649" s="15" t="n">
        <f aca="false">IF($B1649="","",DATE(YEAR($B1649),MONTH($B1649),1))</f>
        <v>45689</v>
      </c>
      <c r="I1649" s="0" t="str">
        <f aca="false">IF($G1649="","Uncategorized — Review",IFERROR(INDEX(Mapping!$B:$B,MATCH($G1649,Mapping!$A:$A,0)),"Uncategorized — Review"))</f>
        <v>Personal - Car &amp; Auto</v>
      </c>
      <c r="J1649" s="0" t="str">
        <f aca="false">IF($G1649="","Uncategorized — Review",IFERROR(INDEX(Mapping!$C:$C,MATCH($G1649,Mapping!$A:$A,0)),"Uncategorized — Review"))</f>
        <v>Personal — Owner</v>
      </c>
    </row>
    <row r="1650" customFormat="false" ht="15" hidden="false" customHeight="false" outlineLevel="0" collapsed="false">
      <c r="A1650" s="0" t="str">
        <f aca="false">Chase1168_2025!A1650</f>
        <v>DEBIT</v>
      </c>
      <c r="B1650" s="14" t="n">
        <f aca="false">Chase1168_2025!B1650</f>
        <v>45693</v>
      </c>
      <c r="C1650" s="0" t="str">
        <f aca="false">Chase1168_2025!C1650</f>
        <v>PAYPAL *UBER 866-576-1039 CA                 02/04</v>
      </c>
      <c r="D1650" s="7" t="n">
        <f aca="false">Chase1168_2025!D1650</f>
        <v>-7</v>
      </c>
      <c r="E1650" s="0" t="str">
        <f aca="false">Chase1168_2025!E1650</f>
        <v>DEBIT_CARD</v>
      </c>
      <c r="F1650" s="7" t="n">
        <f aca="false">Chase1168_2025!F1650</f>
        <v>10495.91</v>
      </c>
      <c r="G1650" s="0" t="str">
        <f aca="false">Chase1168_2025!G1650</f>
        <v>Personal - Car</v>
      </c>
      <c r="H1650" s="15" t="n">
        <f aca="false">IF($B1650="","",DATE(YEAR($B1650),MONTH($B1650),1))</f>
        <v>45689</v>
      </c>
      <c r="I1650" s="0" t="str">
        <f aca="false">IF($G1650="","Uncategorized — Review",IFERROR(INDEX(Mapping!$B:$B,MATCH($G1650,Mapping!$A:$A,0)),"Uncategorized — Review"))</f>
        <v>Personal - Car &amp; Auto</v>
      </c>
      <c r="J1650" s="0" t="str">
        <f aca="false">IF($G1650="","Uncategorized — Review",IFERROR(INDEX(Mapping!$C:$C,MATCH($G1650,Mapping!$A:$A,0)),"Uncategorized — Review"))</f>
        <v>Personal — Owner</v>
      </c>
    </row>
    <row r="1651" customFormat="false" ht="15" hidden="false" customHeight="false" outlineLevel="0" collapsed="false">
      <c r="A1651" s="0" t="str">
        <f aca="false">Chase1168_2025!A1651</f>
        <v>DEBIT</v>
      </c>
      <c r="B1651" s="14" t="n">
        <f aca="false">Chase1168_2025!B1651</f>
        <v>45693</v>
      </c>
      <c r="C1651" s="0" t="str">
        <f aca="false">Chase1168_2025!C1651</f>
        <v>PAYPAL *GRUBHUBFOOD L 877-585-7878 IL        02/05</v>
      </c>
      <c r="D1651" s="7" t="n">
        <f aca="false">Chase1168_2025!D1651</f>
        <v>-30.16</v>
      </c>
      <c r="E1651" s="0" t="str">
        <f aca="false">Chase1168_2025!E1651</f>
        <v>DEBIT_CARD</v>
      </c>
      <c r="F1651" s="7" t="n">
        <f aca="false">Chase1168_2025!F1651</f>
        <v>10502.91</v>
      </c>
      <c r="G1651" s="0" t="str">
        <f aca="false">Chase1168_2025!G1651</f>
        <v>Personal - Food</v>
      </c>
      <c r="H1651" s="15" t="n">
        <f aca="false">IF($B1651="","",DATE(YEAR($B1651),MONTH($B1651),1))</f>
        <v>45689</v>
      </c>
      <c r="I1651" s="0" t="str">
        <f aca="false">IF($G1651="","Uncategorized — Review",IFERROR(INDEX(Mapping!$B:$B,MATCH($G1651,Mapping!$A:$A,0)),"Uncategorized — Review"))</f>
        <v>Personal - Food &amp; Dining</v>
      </c>
      <c r="J1651" s="0" t="str">
        <f aca="false">IF($G1651="","Uncategorized — Review",IFERROR(INDEX(Mapping!$C:$C,MATCH($G1651,Mapping!$A:$A,0)),"Uncategorized — Review"))</f>
        <v>Personal — Owner</v>
      </c>
    </row>
    <row r="1652" customFormat="false" ht="15" hidden="false" customHeight="false" outlineLevel="0" collapsed="false">
      <c r="A1652" s="0" t="str">
        <f aca="false">Chase1168_2025!A1652</f>
        <v>DEBIT</v>
      </c>
      <c r="B1652" s="14" t="n">
        <f aca="false">Chase1168_2025!B1652</f>
        <v>45692</v>
      </c>
      <c r="C1652" s="0" t="str">
        <f aca="false">Chase1168_2025!C1652</f>
        <v>Online Transfer to CHK ...6975 transaction#: 23610867099 02/04</v>
      </c>
      <c r="D1652" s="7" t="n">
        <f aca="false">Chase1168_2025!D1652</f>
        <v>-300</v>
      </c>
      <c r="E1652" s="0" t="str">
        <f aca="false">Chase1168_2025!E1652</f>
        <v>ACCT_XFER</v>
      </c>
      <c r="F1652" s="7" t="n">
        <f aca="false">Chase1168_2025!F1652</f>
        <v>10533.07</v>
      </c>
      <c r="G1652" s="0" t="str">
        <f aca="false">Chase1168_2025!G1652</f>
        <v>Transfer to Ava Perez-Dunning</v>
      </c>
      <c r="H1652" s="15" t="n">
        <f aca="false">IF($B1652="","",DATE(YEAR($B1652),MONTH($B1652),1))</f>
        <v>45689</v>
      </c>
      <c r="I1652" s="0" t="str">
        <f aca="false">IF($G1652="","Uncategorized — Review",IFERROR(INDEX(Mapping!$B:$B,MATCH($G1652,Mapping!$A:$A,0)),"Uncategorized — Review"))</f>
        <v>Transfer to Ava Perez-Dunning</v>
      </c>
      <c r="J1652" s="0" t="str">
        <f aca="false">IF($G1652="","Uncategorized — Review",IFERROR(INDEX(Mapping!$C:$C,MATCH($G1652,Mapping!$A:$A,0)),"Uncategorized — Review"))</f>
        <v>Owner / Family Distributions</v>
      </c>
    </row>
    <row r="1653" customFormat="false" ht="15" hidden="false" customHeight="false" outlineLevel="0" collapsed="false">
      <c r="A1653" s="0" t="str">
        <f aca="false">Chase1168_2025!A1653</f>
        <v>DEBIT</v>
      </c>
      <c r="B1653" s="14" t="n">
        <f aca="false">Chase1168_2025!B1653</f>
        <v>45692</v>
      </c>
      <c r="C1653" s="0" t="str">
        <f aca="false">Chase1168_2025!C1653</f>
        <v>PAYPAL *UBER 866-576-1039 CA                 02/04</v>
      </c>
      <c r="D1653" s="7" t="n">
        <f aca="false">Chase1168_2025!D1653</f>
        <v>-24</v>
      </c>
      <c r="E1653" s="0" t="str">
        <f aca="false">Chase1168_2025!E1653</f>
        <v>DEBIT_CARD</v>
      </c>
      <c r="F1653" s="7" t="n">
        <f aca="false">Chase1168_2025!F1653</f>
        <v>10833.07</v>
      </c>
      <c r="G1653" s="0" t="str">
        <f aca="false">Chase1168_2025!G1653</f>
        <v>Personal - Car</v>
      </c>
      <c r="H1653" s="15" t="n">
        <f aca="false">IF($B1653="","",DATE(YEAR($B1653),MONTH($B1653),1))</f>
        <v>45689</v>
      </c>
      <c r="I1653" s="0" t="str">
        <f aca="false">IF($G1653="","Uncategorized — Review",IFERROR(INDEX(Mapping!$B:$B,MATCH($G1653,Mapping!$A:$A,0)),"Uncategorized — Review"))</f>
        <v>Personal - Car &amp; Auto</v>
      </c>
      <c r="J1653" s="0" t="str">
        <f aca="false">IF($G1653="","Uncategorized — Review",IFERROR(INDEX(Mapping!$C:$C,MATCH($G1653,Mapping!$A:$A,0)),"Uncategorized — Review"))</f>
        <v>Personal — Owner</v>
      </c>
    </row>
    <row r="1654" customFormat="false" ht="15" hidden="false" customHeight="false" outlineLevel="0" collapsed="false">
      <c r="A1654" s="0" t="str">
        <f aca="false">Chase1168_2025!A1654</f>
        <v>DEBIT</v>
      </c>
      <c r="B1654" s="14" t="n">
        <f aca="false">Chase1168_2025!B1654</f>
        <v>45692</v>
      </c>
      <c r="C1654" s="0" t="str">
        <f aca="false">Chase1168_2025!C1654</f>
        <v>Zelle payment to Estella Martinez JPM99ax0b6cd</v>
      </c>
      <c r="D1654" s="7" t="n">
        <f aca="false">Chase1168_2025!D1654</f>
        <v>-800</v>
      </c>
      <c r="E1654" s="0" t="str">
        <f aca="false">Chase1168_2025!E1654</f>
        <v>CHASE_TO_PARTNERFI</v>
      </c>
      <c r="F1654" s="7" t="n">
        <f aca="false">Chase1168_2025!F1654</f>
        <v>10857.07</v>
      </c>
      <c r="G1654" s="0" t="str">
        <f aca="false">Chase1168_2025!G1654</f>
        <v>Zelle - Estella M.</v>
      </c>
      <c r="H1654" s="15" t="n">
        <f aca="false">IF($B1654="","",DATE(YEAR($B1654),MONTH($B1654),1))</f>
        <v>45689</v>
      </c>
      <c r="I1654" s="0" t="str">
        <f aca="false">IF($G1654="","Uncategorized — Review",IFERROR(INDEX(Mapping!$B:$B,MATCH($G1654,Mapping!$A:$A,0)),"Uncategorized — Review"))</f>
        <v>Zelle - Estella M.</v>
      </c>
      <c r="J1654" s="0" t="str">
        <f aca="false">IF($G1654="","Uncategorized — Review",IFERROR(INDEX(Mapping!$C:$C,MATCH($G1654,Mapping!$A:$A,0)),"Uncategorized — Review"))</f>
        <v>P2P Payments (Zelle/Venmo/PayPal)</v>
      </c>
    </row>
    <row r="1655" customFormat="false" ht="15" hidden="false" customHeight="false" outlineLevel="0" collapsed="false">
      <c r="A1655" s="0" t="str">
        <f aca="false">Chase1168_2025!A1655</f>
        <v>DEBIT</v>
      </c>
      <c r="B1655" s="14" t="n">
        <f aca="false">Chase1168_2025!B1655</f>
        <v>45692</v>
      </c>
      <c r="C1655" s="0" t="str">
        <f aca="false">Chase1168_2025!C1655</f>
        <v>PP*APPLE.COM/BILL 800-275-2273 CA            02/04</v>
      </c>
      <c r="D1655" s="7" t="n">
        <f aca="false">Chase1168_2025!D1655</f>
        <v>-5</v>
      </c>
      <c r="E1655" s="0" t="str">
        <f aca="false">Chase1168_2025!E1655</f>
        <v>DEBIT_CARD</v>
      </c>
      <c r="F1655" s="7" t="n">
        <f aca="false">Chase1168_2025!F1655</f>
        <v>11657.07</v>
      </c>
      <c r="G1655" s="0" t="str">
        <f aca="false">Chase1168_2025!G1655</f>
        <v>Personal - Subscriptions</v>
      </c>
      <c r="H1655" s="15" t="n">
        <f aca="false">IF($B1655="","",DATE(YEAR($B1655),MONTH($B1655),1))</f>
        <v>45689</v>
      </c>
      <c r="I1655" s="0" t="str">
        <f aca="false">IF($G1655="","Uncategorized — Review",IFERROR(INDEX(Mapping!$B:$B,MATCH($G1655,Mapping!$A:$A,0)),"Uncategorized — Review"))</f>
        <v>Personal - Subscriptions</v>
      </c>
      <c r="J1655" s="0" t="str">
        <f aca="false">IF($G1655="","Uncategorized — Review",IFERROR(INDEX(Mapping!$C:$C,MATCH($G1655,Mapping!$A:$A,0)),"Uncategorized — Review"))</f>
        <v>Personal — Owner</v>
      </c>
    </row>
    <row r="1656" customFormat="false" ht="15" hidden="false" customHeight="false" outlineLevel="0" collapsed="false">
      <c r="A1656" s="0" t="str">
        <f aca="false">Chase1168_2025!A1656</f>
        <v>DEBIT</v>
      </c>
      <c r="B1656" s="14" t="n">
        <f aca="false">Chase1168_2025!B1656</f>
        <v>45692</v>
      </c>
      <c r="C1656" s="0" t="str">
        <f aca="false">Chase1168_2025!C1656</f>
        <v>UPWORK * -776910555 866-262-4478 CA          02/03</v>
      </c>
      <c r="D1656" s="7" t="n">
        <f aca="false">Chase1168_2025!D1656</f>
        <v>-507.5</v>
      </c>
      <c r="E1656" s="0" t="str">
        <f aca="false">Chase1168_2025!E1656</f>
        <v>DEBIT_CARD</v>
      </c>
      <c r="F1656" s="7" t="n">
        <f aca="false">Chase1168_2025!F1656</f>
        <v>11662.07</v>
      </c>
      <c r="G1656" s="0" t="str">
        <f aca="false">Chase1168_2025!G1656</f>
        <v>Upwork - Sergei M.</v>
      </c>
      <c r="H1656" s="15" t="n">
        <f aca="false">IF($B1656="","",DATE(YEAR($B1656),MONTH($B1656),1))</f>
        <v>45689</v>
      </c>
      <c r="I1656" s="0" t="str">
        <f aca="false">IF($G1656="","Uncategorized — Review",IFERROR(INDEX(Mapping!$B:$B,MATCH($G1656,Mapping!$A:$A,0)),"Uncategorized — Review"))</f>
        <v>Upwork - Sergei M.</v>
      </c>
      <c r="J1656" s="0" t="str">
        <f aca="false">IF($G1656="","Uncategorized — Review",IFERROR(INDEX(Mapping!$C:$C,MATCH($G1656,Mapping!$A:$A,0)),"Uncategorized — Review"))</f>
        <v>Payroll &amp; Contractors</v>
      </c>
    </row>
    <row r="1657" customFormat="false" ht="15" hidden="false" customHeight="false" outlineLevel="0" collapsed="false">
      <c r="A1657" s="0" t="str">
        <f aca="false">Chase1168_2025!A1657</f>
        <v>DEBIT</v>
      </c>
      <c r="B1657" s="14" t="n">
        <f aca="false">Chase1168_2025!B1657</f>
        <v>45692</v>
      </c>
      <c r="C1657" s="0" t="str">
        <f aca="false">Chase1168_2025!C1657</f>
        <v>PAYPAL *SANDYPR COM 402-935-7733 CA          02/03</v>
      </c>
      <c r="D1657" s="7" t="n">
        <f aca="false">Chase1168_2025!D1657</f>
        <v>-300</v>
      </c>
      <c r="E1657" s="0" t="str">
        <f aca="false">Chase1168_2025!E1657</f>
        <v>DEBIT_CARD</v>
      </c>
      <c r="F1657" s="7" t="n">
        <f aca="false">Chase1168_2025!F1657</f>
        <v>12169.57</v>
      </c>
      <c r="G1657" s="0" t="str">
        <f aca="false">Chase1168_2025!G1657</f>
        <v>Sandy PR Payment</v>
      </c>
      <c r="H1657" s="15" t="n">
        <f aca="false">IF($B1657="","",DATE(YEAR($B1657),MONTH($B1657),1))</f>
        <v>45689</v>
      </c>
      <c r="I1657" s="0" t="str">
        <f aca="false">IF($G1657="","Uncategorized — Review",IFERROR(INDEX(Mapping!$B:$B,MATCH($G1657,Mapping!$A:$A,0)),"Uncategorized — Review"))</f>
        <v>Sandy PR Payment</v>
      </c>
      <c r="J1657" s="0" t="str">
        <f aca="false">IF($G1657="","Uncategorized — Review",IFERROR(INDEX(Mapping!$C:$C,MATCH($G1657,Mapping!$A:$A,0)),"Uncategorized — Review"))</f>
        <v>DWG Operating</v>
      </c>
    </row>
    <row r="1658" customFormat="false" ht="15" hidden="false" customHeight="false" outlineLevel="0" collapsed="false">
      <c r="A1658" s="0" t="str">
        <f aca="false">Chase1168_2025!A1658</f>
        <v>DEBIT</v>
      </c>
      <c r="B1658" s="14" t="n">
        <f aca="false">Chase1168_2025!B1658</f>
        <v>45692</v>
      </c>
      <c r="C1658" s="0" t="str">
        <f aca="false">Chase1168_2025!C1658</f>
        <v>PAYPAL *PRAGERUNIVE P 833-772-4378 CA        02/03</v>
      </c>
      <c r="D1658" s="7" t="n">
        <f aca="false">Chase1168_2025!D1658</f>
        <v>-10.78</v>
      </c>
      <c r="E1658" s="0" t="str">
        <f aca="false">Chase1168_2025!E1658</f>
        <v>DEBIT_CARD</v>
      </c>
      <c r="F1658" s="7" t="n">
        <f aca="false">Chase1168_2025!F1658</f>
        <v>12469.57</v>
      </c>
      <c r="G1658" s="0" t="str">
        <f aca="false">Chase1168_2025!G1658</f>
        <v>DWGCP Business Development</v>
      </c>
      <c r="H1658" s="15" t="n">
        <f aca="false">IF($B1658="","",DATE(YEAR($B1658),MONTH($B1658),1))</f>
        <v>45689</v>
      </c>
      <c r="I1658" s="0" t="str">
        <f aca="false">IF($G1658="","Uncategorized — Review",IFERROR(INDEX(Mapping!$B:$B,MATCH($G1658,Mapping!$A:$A,0)),"Uncategorized — Review"))</f>
        <v>DWGCP Business Development</v>
      </c>
      <c r="J1658" s="0" t="str">
        <f aca="false">IF($G1658="","Uncategorized — Review",IFERROR(INDEX(Mapping!$C:$C,MATCH($G1658,Mapping!$A:$A,0)),"Uncategorized — Review"))</f>
        <v>DWG Operating</v>
      </c>
    </row>
    <row r="1659" customFormat="false" ht="15" hidden="false" customHeight="false" outlineLevel="0" collapsed="false">
      <c r="A1659" s="0" t="str">
        <f aca="false">Chase1168_2025!A1659</f>
        <v>DEBIT</v>
      </c>
      <c r="B1659" s="14" t="n">
        <f aca="false">Chase1168_2025!B1659</f>
        <v>45691</v>
      </c>
      <c r="C1659" s="0" t="str">
        <f aca="false">Chase1168_2025!C1659</f>
        <v>NON-CHASE ATM FEE-WITH</v>
      </c>
      <c r="D1659" s="7" t="n">
        <f aca="false">Chase1168_2025!D1659</f>
        <v>-3</v>
      </c>
      <c r="E1659" s="0" t="str">
        <f aca="false">Chase1168_2025!E1659</f>
        <v>FEE_TRANSACTION</v>
      </c>
      <c r="F1659" s="7" t="n">
        <f aca="false">Chase1168_2025!F1659</f>
        <v>12480.35</v>
      </c>
      <c r="G1659" s="0" t="str">
        <f aca="false">Chase1168_2025!G1659</f>
        <v>Bank Fee</v>
      </c>
      <c r="H1659" s="15" t="n">
        <f aca="false">IF($B1659="","",DATE(YEAR($B1659),MONTH($B1659),1))</f>
        <v>45689</v>
      </c>
      <c r="I1659" s="0" t="str">
        <f aca="false">IF($G1659="","Uncategorized — Review",IFERROR(INDEX(Mapping!$B:$B,MATCH($G1659,Mapping!$A:$A,0)),"Uncategorized — Review"))</f>
        <v>Bank &amp; Wire Fees</v>
      </c>
      <c r="J1659" s="0" t="str">
        <f aca="false">IF($G1659="","Uncategorized — Review",IFERROR(INDEX(Mapping!$C:$C,MATCH($G1659,Mapping!$A:$A,0)),"Uncategorized — Review"))</f>
        <v>DWG Operating</v>
      </c>
    </row>
    <row r="1660" customFormat="false" ht="15" hidden="false" customHeight="false" outlineLevel="0" collapsed="false">
      <c r="A1660" s="0" t="str">
        <f aca="false">Chase1168_2025!A1660</f>
        <v>DEBIT</v>
      </c>
      <c r="B1660" s="14" t="n">
        <f aca="false">Chase1168_2025!B1660</f>
        <v>45691</v>
      </c>
      <c r="C1660" s="0" t="str">
        <f aca="false">Chase1168_2025!C1660</f>
        <v>STD ACH PMNTS VOLUME FEE QTY = 23</v>
      </c>
      <c r="D1660" s="7" t="n">
        <f aca="false">Chase1168_2025!D1660</f>
        <v>-3.45</v>
      </c>
      <c r="E1660" s="0" t="str">
        <f aca="false">Chase1168_2025!E1660</f>
        <v>FEE_TRANSACTION</v>
      </c>
      <c r="F1660" s="7" t="n">
        <f aca="false">Chase1168_2025!F1660</f>
        <v>12483.35</v>
      </c>
      <c r="G1660" s="0" t="str">
        <f aca="false">Chase1168_2025!G1660</f>
        <v>Bank Fee</v>
      </c>
      <c r="H1660" s="15" t="n">
        <f aca="false">IF($B1660="","",DATE(YEAR($B1660),MONTH($B1660),1))</f>
        <v>45689</v>
      </c>
      <c r="I1660" s="0" t="str">
        <f aca="false">IF($G1660="","Uncategorized — Review",IFERROR(INDEX(Mapping!$B:$B,MATCH($G1660,Mapping!$A:$A,0)),"Uncategorized — Review"))</f>
        <v>Bank &amp; Wire Fees</v>
      </c>
      <c r="J1660" s="0" t="str">
        <f aca="false">IF($G1660="","Uncategorized — Review",IFERROR(INDEX(Mapping!$C:$C,MATCH($G1660,Mapping!$A:$A,0)),"Uncategorized — Review"))</f>
        <v>DWG Operating</v>
      </c>
    </row>
    <row r="1661" customFormat="false" ht="15" hidden="false" customHeight="false" outlineLevel="0" collapsed="false">
      <c r="A1661" s="0" t="str">
        <f aca="false">Chase1168_2025!A1661</f>
        <v>DEBIT</v>
      </c>
      <c r="B1661" s="14" t="n">
        <f aca="false">Chase1168_2025!B1661</f>
        <v>45691</v>
      </c>
      <c r="C1661" s="0" t="str">
        <f aca="false">Chase1168_2025!C1661</f>
        <v>STANDARD ACH PMNTS INITIAL FEE QTY = 10</v>
      </c>
      <c r="D1661" s="7" t="n">
        <f aca="false">Chase1168_2025!D1661</f>
        <v>-25</v>
      </c>
      <c r="E1661" s="0" t="str">
        <f aca="false">Chase1168_2025!E1661</f>
        <v>FEE_TRANSACTION</v>
      </c>
      <c r="F1661" s="7" t="n">
        <f aca="false">Chase1168_2025!F1661</f>
        <v>12486.8</v>
      </c>
      <c r="G1661" s="0" t="str">
        <f aca="false">Chase1168_2025!G1661</f>
        <v>Bank Fee</v>
      </c>
      <c r="H1661" s="15" t="n">
        <f aca="false">IF($B1661="","",DATE(YEAR($B1661),MONTH($B1661),1))</f>
        <v>45689</v>
      </c>
      <c r="I1661" s="0" t="str">
        <f aca="false">IF($G1661="","Uncategorized — Review",IFERROR(INDEX(Mapping!$B:$B,MATCH($G1661,Mapping!$A:$A,0)),"Uncategorized — Review"))</f>
        <v>Bank &amp; Wire Fees</v>
      </c>
      <c r="J1661" s="0" t="str">
        <f aca="false">IF($G1661="","Uncategorized — Review",IFERROR(INDEX(Mapping!$C:$C,MATCH($G1661,Mapping!$A:$A,0)),"Uncategorized — Review"))</f>
        <v>DWG Operating</v>
      </c>
    </row>
    <row r="1662" customFormat="false" ht="15" hidden="false" customHeight="false" outlineLevel="0" collapsed="false">
      <c r="A1662" s="0" t="str">
        <f aca="false">Chase1168_2025!A1662</f>
        <v>DEBIT</v>
      </c>
      <c r="B1662" s="14" t="n">
        <f aca="false">Chase1168_2025!B1662</f>
        <v>45691</v>
      </c>
      <c r="C1662" s="0" t="str">
        <f aca="false">Chase1168_2025!C1662</f>
        <v>ORIG CO NAME:BCBS HEALTH            ORIG ID:7529139811 DESC DATE:250131 CO ENTRY DESCR:BILL PAY  SEC:CCD    TRACE#:031101117785688 EED:250203   IND ID:20707669401                  IND NAME:JOHN DUNNING TRN: 0347785688TC</v>
      </c>
      <c r="D1662" s="7" t="n">
        <f aca="false">Chase1168_2025!D1662</f>
        <v>-1176.97</v>
      </c>
      <c r="E1662" s="0" t="str">
        <f aca="false">Chase1168_2025!E1662</f>
        <v>ACH_DEBIT</v>
      </c>
      <c r="F1662" s="7" t="n">
        <f aca="false">Chase1168_2025!F1662</f>
        <v>12511.8</v>
      </c>
      <c r="G1662" s="0" t="str">
        <f aca="false">Chase1168_2025!G1662</f>
        <v>Personal - Health Insurance</v>
      </c>
      <c r="H1662" s="15" t="n">
        <f aca="false">IF($B1662="","",DATE(YEAR($B1662),MONTH($B1662),1))</f>
        <v>45689</v>
      </c>
      <c r="I1662" s="0" t="str">
        <f aca="false">IF($G1662="","Uncategorized — Review",IFERROR(INDEX(Mapping!$B:$B,MATCH($G1662,Mapping!$A:$A,0)),"Uncategorized — Review"))</f>
        <v>Personal - Health (incl. Ins.)</v>
      </c>
      <c r="J1662" s="0" t="str">
        <f aca="false">IF($G1662="","Uncategorized — Review",IFERROR(INDEX(Mapping!$C:$C,MATCH($G1662,Mapping!$A:$A,0)),"Uncategorized — Review"))</f>
        <v>Personal — Owner</v>
      </c>
    </row>
    <row r="1663" customFormat="false" ht="15" hidden="false" customHeight="false" outlineLevel="0" collapsed="false">
      <c r="A1663" s="0" t="str">
        <f aca="false">Chase1168_2025!A1663</f>
        <v>DEBIT</v>
      </c>
      <c r="B1663" s="14" t="n">
        <f aca="false">Chase1168_2025!B1663</f>
        <v>45691</v>
      </c>
      <c r="C1663" s="0" t="str">
        <f aca="false">Chase1168_2025!C1663</f>
        <v>Online Transfer to CHK ...1117 transaction#: 23598489996 02/03</v>
      </c>
      <c r="D1663" s="7" t="n">
        <f aca="false">Chase1168_2025!D1663</f>
        <v>-2000</v>
      </c>
      <c r="E1663" s="0" t="str">
        <f aca="false">Chase1168_2025!E1663</f>
        <v>ACCT_XFER</v>
      </c>
      <c r="F1663" s="7" t="n">
        <f aca="false">Chase1168_2025!F1663</f>
        <v>13688.77</v>
      </c>
      <c r="G1663" s="0" t="str">
        <f aca="false">Chase1168_2025!G1663</f>
        <v>Transfer to Angela Dunning</v>
      </c>
      <c r="H1663" s="15" t="n">
        <f aca="false">IF($B1663="","",DATE(YEAR($B1663),MONTH($B1663),1))</f>
        <v>45689</v>
      </c>
      <c r="I1663" s="0" t="str">
        <f aca="false">IF($G1663="","Uncategorized — Review",IFERROR(INDEX(Mapping!$B:$B,MATCH($G1663,Mapping!$A:$A,0)),"Uncategorized — Review"))</f>
        <v>Transfer to Angela Dunning</v>
      </c>
      <c r="J1663" s="0" t="str">
        <f aca="false">IF($G1663="","Uncategorized — Review",IFERROR(INDEX(Mapping!$C:$C,MATCH($G1663,Mapping!$A:$A,0)),"Uncategorized — Review"))</f>
        <v>Owner / Family Distributions</v>
      </c>
    </row>
    <row r="1664" customFormat="false" ht="15" hidden="false" customHeight="false" outlineLevel="0" collapsed="false">
      <c r="A1664" s="0" t="str">
        <f aca="false">Chase1168_2025!A1664</f>
        <v>DEBIT</v>
      </c>
      <c r="B1664" s="14" t="n">
        <f aca="false">Chase1168_2025!B1664</f>
        <v>45691</v>
      </c>
      <c r="C1664" s="0" t="str">
        <f aca="false">Chase1168_2025!C1664</f>
        <v>PP*APPLE.COM/BILL 800-275-2273 CA            02/03</v>
      </c>
      <c r="D1664" s="7" t="n">
        <f aca="false">Chase1168_2025!D1664</f>
        <v>-29.99</v>
      </c>
      <c r="E1664" s="0" t="str">
        <f aca="false">Chase1168_2025!E1664</f>
        <v>DEBIT_CARD</v>
      </c>
      <c r="F1664" s="7" t="n">
        <f aca="false">Chase1168_2025!F1664</f>
        <v>15688.77</v>
      </c>
      <c r="G1664" s="0" t="str">
        <f aca="false">Chase1168_2025!G1664</f>
        <v>Personal - Subscriptions</v>
      </c>
      <c r="H1664" s="15" t="n">
        <f aca="false">IF($B1664="","",DATE(YEAR($B1664),MONTH($B1664),1))</f>
        <v>45689</v>
      </c>
      <c r="I1664" s="0" t="str">
        <f aca="false">IF($G1664="","Uncategorized — Review",IFERROR(INDEX(Mapping!$B:$B,MATCH($G1664,Mapping!$A:$A,0)),"Uncategorized — Review"))</f>
        <v>Personal - Subscriptions</v>
      </c>
      <c r="J1664" s="0" t="str">
        <f aca="false">IF($G1664="","Uncategorized — Review",IFERROR(INDEX(Mapping!$C:$C,MATCH($G1664,Mapping!$A:$A,0)),"Uncategorized — Review"))</f>
        <v>Personal — Owner</v>
      </c>
    </row>
    <row r="1665" customFormat="false" ht="15" hidden="false" customHeight="false" outlineLevel="0" collapsed="false">
      <c r="A1665" s="0" t="str">
        <f aca="false">Chase1168_2025!A1665</f>
        <v>DEBIT</v>
      </c>
      <c r="B1665" s="14" t="n">
        <f aca="false">Chase1168_2025!B1665</f>
        <v>45691</v>
      </c>
      <c r="C1665" s="0" t="str">
        <f aca="false">Chase1168_2025!C1665</f>
        <v>PP*APPLE.COM/BILL 800-275-2273 CA            02/03</v>
      </c>
      <c r="D1665" s="7" t="n">
        <f aca="false">Chase1168_2025!D1665</f>
        <v>-8.99</v>
      </c>
      <c r="E1665" s="0" t="str">
        <f aca="false">Chase1168_2025!E1665</f>
        <v>DEBIT_CARD</v>
      </c>
      <c r="F1665" s="7" t="n">
        <f aca="false">Chase1168_2025!F1665</f>
        <v>15718.76</v>
      </c>
      <c r="G1665" s="0" t="str">
        <f aca="false">Chase1168_2025!G1665</f>
        <v>Personal - Subscriptions</v>
      </c>
      <c r="H1665" s="15" t="n">
        <f aca="false">IF($B1665="","",DATE(YEAR($B1665),MONTH($B1665),1))</f>
        <v>45689</v>
      </c>
      <c r="I1665" s="0" t="str">
        <f aca="false">IF($G1665="","Uncategorized — Review",IFERROR(INDEX(Mapping!$B:$B,MATCH($G1665,Mapping!$A:$A,0)),"Uncategorized — Review"))</f>
        <v>Personal - Subscriptions</v>
      </c>
      <c r="J1665" s="0" t="str">
        <f aca="false">IF($G1665="","Uncategorized — Review",IFERROR(INDEX(Mapping!$C:$C,MATCH($G1665,Mapping!$A:$A,0)),"Uncategorized — Review"))</f>
        <v>Personal — Owner</v>
      </c>
    </row>
    <row r="1666" customFormat="false" ht="15" hidden="false" customHeight="false" outlineLevel="0" collapsed="false">
      <c r="A1666" s="0" t="str">
        <f aca="false">Chase1168_2025!A1666</f>
        <v>DEBIT</v>
      </c>
      <c r="B1666" s="14" t="n">
        <f aca="false">Chase1168_2025!B1666</f>
        <v>45691</v>
      </c>
      <c r="C1666" s="0" t="str">
        <f aca="false">Chase1168_2025!C1666</f>
        <v>PP*APPLE.COM/BILL 800-275-2273 CA            02/03</v>
      </c>
      <c r="D1666" s="7" t="n">
        <f aca="false">Chase1168_2025!D1666</f>
        <v>-12.99</v>
      </c>
      <c r="E1666" s="0" t="str">
        <f aca="false">Chase1168_2025!E1666</f>
        <v>DEBIT_CARD</v>
      </c>
      <c r="F1666" s="7" t="n">
        <f aca="false">Chase1168_2025!F1666</f>
        <v>15727.75</v>
      </c>
      <c r="G1666" s="0" t="str">
        <f aca="false">Chase1168_2025!G1666</f>
        <v>Personal - Subscriptions</v>
      </c>
      <c r="H1666" s="15" t="n">
        <f aca="false">IF($B1666="","",DATE(YEAR($B1666),MONTH($B1666),1))</f>
        <v>45689</v>
      </c>
      <c r="I1666" s="0" t="str">
        <f aca="false">IF($G1666="","Uncategorized — Review",IFERROR(INDEX(Mapping!$B:$B,MATCH($G1666,Mapping!$A:$A,0)),"Uncategorized — Review"))</f>
        <v>Personal - Subscriptions</v>
      </c>
      <c r="J1666" s="0" t="str">
        <f aca="false">IF($G1666="","Uncategorized — Review",IFERROR(INDEX(Mapping!$C:$C,MATCH($G1666,Mapping!$A:$A,0)),"Uncategorized — Review"))</f>
        <v>Personal — Owner</v>
      </c>
    </row>
    <row r="1667" customFormat="false" ht="15" hidden="false" customHeight="false" outlineLevel="0" collapsed="false">
      <c r="A1667" s="0" t="str">
        <f aca="false">Chase1168_2025!A1667</f>
        <v>DEBIT</v>
      </c>
      <c r="B1667" s="14" t="n">
        <f aca="false">Chase1168_2025!B1667</f>
        <v>45691</v>
      </c>
      <c r="C1667" s="0" t="str">
        <f aca="false">Chase1168_2025!C1667</f>
        <v>PAYPAL *DIRECTV 800-531-5000 TX              02/02</v>
      </c>
      <c r="D1667" s="7" t="n">
        <f aca="false">Chase1168_2025!D1667</f>
        <v>-101.99</v>
      </c>
      <c r="E1667" s="0" t="str">
        <f aca="false">Chase1168_2025!E1667</f>
        <v>DEBIT_CARD</v>
      </c>
      <c r="F1667" s="7" t="n">
        <f aca="false">Chase1168_2025!F1667</f>
        <v>15740.74</v>
      </c>
      <c r="G1667" s="0" t="str">
        <f aca="false">Chase1168_2025!G1667</f>
        <v>Personal - Subscriptions</v>
      </c>
      <c r="H1667" s="15" t="n">
        <f aca="false">IF($B1667="","",DATE(YEAR($B1667),MONTH($B1667),1))</f>
        <v>45689</v>
      </c>
      <c r="I1667" s="0" t="str">
        <f aca="false">IF($G1667="","Uncategorized — Review",IFERROR(INDEX(Mapping!$B:$B,MATCH($G1667,Mapping!$A:$A,0)),"Uncategorized — Review"))</f>
        <v>Personal - Subscriptions</v>
      </c>
      <c r="J1667" s="0" t="str">
        <f aca="false">IF($G1667="","Uncategorized — Review",IFERROR(INDEX(Mapping!$C:$C,MATCH($G1667,Mapping!$A:$A,0)),"Uncategorized — Review"))</f>
        <v>Personal — Owner</v>
      </c>
    </row>
    <row r="1668" customFormat="false" ht="15" hidden="false" customHeight="false" outlineLevel="0" collapsed="false">
      <c r="A1668" s="0" t="str">
        <f aca="false">Chase1168_2025!A1668</f>
        <v>DEBIT</v>
      </c>
      <c r="B1668" s="14" t="n">
        <f aca="false">Chase1168_2025!B1668</f>
        <v>45691</v>
      </c>
      <c r="C1668" s="0" t="str">
        <f aca="false">Chase1168_2025!C1668</f>
        <v>Zelle payment to Jeffrey Seider JPM99awtehkb</v>
      </c>
      <c r="D1668" s="7" t="n">
        <f aca="false">Chase1168_2025!D1668</f>
        <v>-150</v>
      </c>
      <c r="E1668" s="0" t="str">
        <f aca="false">Chase1168_2025!E1668</f>
        <v>CHASE_TO_PARTNERFI</v>
      </c>
      <c r="F1668" s="7" t="n">
        <f aca="false">Chase1168_2025!F1668</f>
        <v>15842.73</v>
      </c>
      <c r="G1668" s="0" t="str">
        <f aca="false">Chase1168_2025!G1668</f>
        <v>Zelle - Jeff Seider</v>
      </c>
      <c r="H1668" s="15" t="n">
        <f aca="false">IF($B1668="","",DATE(YEAR($B1668),MONTH($B1668),1))</f>
        <v>45689</v>
      </c>
      <c r="I1668" s="0" t="str">
        <f aca="false">IF($G1668="","Uncategorized — Review",IFERROR(INDEX(Mapping!$B:$B,MATCH($G1668,Mapping!$A:$A,0)),"Uncategorized — Review"))</f>
        <v>Zelle - Jeff Seider</v>
      </c>
      <c r="J1668" s="0" t="str">
        <f aca="false">IF($G1668="","Uncategorized — Review",IFERROR(INDEX(Mapping!$C:$C,MATCH($G1668,Mapping!$A:$A,0)),"Uncategorized — Review"))</f>
        <v>P2P Payments (Zelle/Venmo/PayPal)</v>
      </c>
    </row>
    <row r="1669" customFormat="false" ht="15" hidden="false" customHeight="false" outlineLevel="0" collapsed="false">
      <c r="A1669" s="0" t="str">
        <f aca="false">Chase1168_2025!A1669</f>
        <v>DEBIT</v>
      </c>
      <c r="B1669" s="14" t="n">
        <f aca="false">Chase1168_2025!B1669</f>
        <v>45691</v>
      </c>
      <c r="C1669" s="0" t="str">
        <f aca="false">Chase1168_2025!C1669</f>
        <v>Online Transfer to CHK ...1117 transaction#: 23589080712 02/03</v>
      </c>
      <c r="D1669" s="7" t="n">
        <f aca="false">Chase1168_2025!D1669</f>
        <v>-1000</v>
      </c>
      <c r="E1669" s="0" t="str">
        <f aca="false">Chase1168_2025!E1669</f>
        <v>ACCT_XFER</v>
      </c>
      <c r="F1669" s="7" t="n">
        <f aca="false">Chase1168_2025!F1669</f>
        <v>15992.73</v>
      </c>
      <c r="G1669" s="0" t="str">
        <f aca="false">Chase1168_2025!G1669</f>
        <v>Transfer to Angela Dunning</v>
      </c>
      <c r="H1669" s="15" t="n">
        <f aca="false">IF($B1669="","",DATE(YEAR($B1669),MONTH($B1669),1))</f>
        <v>45689</v>
      </c>
      <c r="I1669" s="0" t="str">
        <f aca="false">IF($G1669="","Uncategorized — Review",IFERROR(INDEX(Mapping!$B:$B,MATCH($G1669,Mapping!$A:$A,0)),"Uncategorized — Review"))</f>
        <v>Transfer to Angela Dunning</v>
      </c>
      <c r="J1669" s="0" t="str">
        <f aca="false">IF($G1669="","Uncategorized — Review",IFERROR(INDEX(Mapping!$C:$C,MATCH($G1669,Mapping!$A:$A,0)),"Uncategorized — Review"))</f>
        <v>Owner / Family Distributions</v>
      </c>
    </row>
    <row r="1670" customFormat="false" ht="15" hidden="false" customHeight="false" outlineLevel="0" collapsed="false">
      <c r="A1670" s="0" t="str">
        <f aca="false">Chase1168_2025!A1670</f>
        <v>DEBIT</v>
      </c>
      <c r="B1670" s="14" t="n">
        <f aca="false">Chase1168_2025!B1670</f>
        <v>45691</v>
      </c>
      <c r="C1670" s="0" t="str">
        <f aca="false">Chase1168_2025!C1670</f>
        <v>SQ *PAYA THAI LA LLC. LOS ANGELES CA         02/01</v>
      </c>
      <c r="D1670" s="7" t="n">
        <f aca="false">Chase1168_2025!D1670</f>
        <v>-150</v>
      </c>
      <c r="E1670" s="0" t="str">
        <f aca="false">Chase1168_2025!E1670</f>
        <v>DEBIT_CARD</v>
      </c>
      <c r="F1670" s="7" t="n">
        <f aca="false">Chase1168_2025!F1670</f>
        <v>16992.73</v>
      </c>
      <c r="G1670" s="0" t="str">
        <f aca="false">Chase1168_2025!G1670</f>
        <v>Personal - Health</v>
      </c>
      <c r="H1670" s="15" t="n">
        <f aca="false">IF($B1670="","",DATE(YEAR($B1670),MONTH($B1670),1))</f>
        <v>45689</v>
      </c>
      <c r="I1670" s="0" t="str">
        <f aca="false">IF($G1670="","Uncategorized — Review",IFERROR(INDEX(Mapping!$B:$B,MATCH($G1670,Mapping!$A:$A,0)),"Uncategorized — Review"))</f>
        <v>Personal - Health (incl. Ins.)</v>
      </c>
      <c r="J1670" s="0" t="str">
        <f aca="false">IF($G1670="","Uncategorized — Review",IFERROR(INDEX(Mapping!$C:$C,MATCH($G1670,Mapping!$A:$A,0)),"Uncategorized — Review"))</f>
        <v>Personal — Owner</v>
      </c>
    </row>
    <row r="1671" customFormat="false" ht="15" hidden="false" customHeight="false" outlineLevel="0" collapsed="false">
      <c r="A1671" s="0" t="str">
        <f aca="false">Chase1168_2025!A1671</f>
        <v>DEBIT</v>
      </c>
      <c r="B1671" s="14" t="n">
        <f aca="false">Chase1168_2025!B1671</f>
        <v>45691</v>
      </c>
      <c r="C1671" s="0" t="str">
        <f aca="false">Chase1168_2025!C1671</f>
        <v>FOLLOW YOUR HEART MARK CANOGA PARK CA        02/01</v>
      </c>
      <c r="D1671" s="7" t="n">
        <f aca="false">Chase1168_2025!D1671</f>
        <v>-90.88</v>
      </c>
      <c r="E1671" s="0" t="str">
        <f aca="false">Chase1168_2025!E1671</f>
        <v>DEBIT_CARD</v>
      </c>
      <c r="F1671" s="7" t="n">
        <f aca="false">Chase1168_2025!F1671</f>
        <v>17142.73</v>
      </c>
      <c r="G1671" s="0" t="str">
        <f aca="false">Chase1168_2025!G1671</f>
        <v>Personal - Food</v>
      </c>
      <c r="H1671" s="15" t="n">
        <f aca="false">IF($B1671="","",DATE(YEAR($B1671),MONTH($B1671),1))</f>
        <v>45689</v>
      </c>
      <c r="I1671" s="0" t="str">
        <f aca="false">IF($G1671="","Uncategorized — Review",IFERROR(INDEX(Mapping!$B:$B,MATCH($G1671,Mapping!$A:$A,0)),"Uncategorized — Review"))</f>
        <v>Personal - Food &amp; Dining</v>
      </c>
      <c r="J1671" s="0" t="str">
        <f aca="false">IF($G1671="","Uncategorized — Review",IFERROR(INDEX(Mapping!$C:$C,MATCH($G1671,Mapping!$A:$A,0)),"Uncategorized — Review"))</f>
        <v>Personal — Owner</v>
      </c>
    </row>
    <row r="1672" customFormat="false" ht="15" hidden="false" customHeight="false" outlineLevel="0" collapsed="false">
      <c r="A1672" s="0" t="str">
        <f aca="false">Chase1168_2025!A1672</f>
        <v>DEBIT</v>
      </c>
      <c r="B1672" s="14" t="n">
        <f aca="false">Chase1168_2025!B1672</f>
        <v>45691</v>
      </c>
      <c r="C1672" s="0" t="str">
        <f aca="false">Chase1168_2025!C1672</f>
        <v>UP2 HOLDINGS, L WOODLAND HILL CA     289791  02/01</v>
      </c>
      <c r="D1672" s="7" t="n">
        <f aca="false">Chase1168_2025!D1672</f>
        <v>-5.1</v>
      </c>
      <c r="E1672" s="0" t="str">
        <f aca="false">Chase1168_2025!E1672</f>
        <v>DEBIT_CARD</v>
      </c>
      <c r="F1672" s="7" t="n">
        <f aca="false">Chase1168_2025!F1672</f>
        <v>17233.61</v>
      </c>
      <c r="G1672" s="0" t="str">
        <f aca="false">Chase1168_2025!G1672</f>
        <v>Personal - Car</v>
      </c>
      <c r="H1672" s="15" t="n">
        <f aca="false">IF($B1672="","",DATE(YEAR($B1672),MONTH($B1672),1))</f>
        <v>45689</v>
      </c>
      <c r="I1672" s="0" t="str">
        <f aca="false">IF($G1672="","Uncategorized — Review",IFERROR(INDEX(Mapping!$B:$B,MATCH($G1672,Mapping!$A:$A,0)),"Uncategorized — Review"))</f>
        <v>Personal - Car &amp; Auto</v>
      </c>
      <c r="J1672" s="0" t="str">
        <f aca="false">IF($G1672="","Uncategorized — Review",IFERROR(INDEX(Mapping!$C:$C,MATCH($G1672,Mapping!$A:$A,0)),"Uncategorized — Review"))</f>
        <v>Personal — Owner</v>
      </c>
    </row>
    <row r="1673" customFormat="false" ht="15" hidden="false" customHeight="false" outlineLevel="0" collapsed="false">
      <c r="A1673" s="0" t="str">
        <f aca="false">Chase1168_2025!A1673</f>
        <v>DEBIT</v>
      </c>
      <c r="B1673" s="14" t="n">
        <f aca="false">Chase1168_2025!B1673</f>
        <v>45691</v>
      </c>
      <c r="C1673" s="0" t="str">
        <f aca="false">Chase1168_2025!C1673</f>
        <v>NON-CHASE ATM WITHDRAW               002088  02/0122351 VEN</v>
      </c>
      <c r="D1673" s="7" t="n">
        <f aca="false">Chase1168_2025!D1673</f>
        <v>-203.5</v>
      </c>
      <c r="E1673" s="0" t="str">
        <f aca="false">Chase1168_2025!E1673</f>
        <v>ATM</v>
      </c>
      <c r="F1673" s="7" t="n">
        <f aca="false">Chase1168_2025!F1673</f>
        <v>17238.71</v>
      </c>
      <c r="G1673" s="0" t="str">
        <f aca="false">Chase1168_2025!G1673</f>
        <v>Bank Fee</v>
      </c>
      <c r="H1673" s="15" t="n">
        <f aca="false">IF($B1673="","",DATE(YEAR($B1673),MONTH($B1673),1))</f>
        <v>45689</v>
      </c>
      <c r="I1673" s="0" t="str">
        <f aca="false">IF($G1673="","Uncategorized — Review",IFERROR(INDEX(Mapping!$B:$B,MATCH($G1673,Mapping!$A:$A,0)),"Uncategorized — Review"))</f>
        <v>Bank &amp; Wire Fees</v>
      </c>
      <c r="J1673" s="0" t="str">
        <f aca="false">IF($G1673="","Uncategorized — Review",IFERROR(INDEX(Mapping!$C:$C,MATCH($G1673,Mapping!$A:$A,0)),"Uncategorized — Review"))</f>
        <v>DWG Operating</v>
      </c>
    </row>
    <row r="1674" customFormat="false" ht="15" hidden="false" customHeight="false" outlineLevel="0" collapsed="false">
      <c r="A1674" s="0" t="str">
        <f aca="false">Chase1168_2025!A1674</f>
        <v>DEBIT</v>
      </c>
      <c r="B1674" s="14" t="n">
        <f aca="false">Chase1168_2025!B1674</f>
        <v>45691</v>
      </c>
      <c r="C1674" s="0" t="str">
        <f aca="false">Chase1168_2025!C1674</f>
        <v>PAYPAL *GOOGLE LLC GO 650-253-0000 CA        02/01</v>
      </c>
      <c r="D1674" s="7" t="n">
        <f aca="false">Chase1168_2025!D1674</f>
        <v>-14.4</v>
      </c>
      <c r="E1674" s="0" t="str">
        <f aca="false">Chase1168_2025!E1674</f>
        <v>DEBIT_CARD</v>
      </c>
      <c r="F1674" s="7" t="n">
        <f aca="false">Chase1168_2025!F1674</f>
        <v>17442.21</v>
      </c>
      <c r="G1674" s="0" t="str">
        <f aca="false">Chase1168_2025!G1674</f>
        <v>Personal - Subscriptions</v>
      </c>
      <c r="H1674" s="15" t="n">
        <f aca="false">IF($B1674="","",DATE(YEAR($B1674),MONTH($B1674),1))</f>
        <v>45689</v>
      </c>
      <c r="I1674" s="0" t="str">
        <f aca="false">IF($G1674="","Uncategorized — Review",IFERROR(INDEX(Mapping!$B:$B,MATCH($G1674,Mapping!$A:$A,0)),"Uncategorized — Review"))</f>
        <v>Personal - Subscriptions</v>
      </c>
      <c r="J1674" s="0" t="str">
        <f aca="false">IF($G1674="","Uncategorized — Review",IFERROR(INDEX(Mapping!$C:$C,MATCH($G1674,Mapping!$A:$A,0)),"Uncategorized — Review"))</f>
        <v>Personal — Owner</v>
      </c>
    </row>
    <row r="1675" customFormat="false" ht="15" hidden="false" customHeight="false" outlineLevel="0" collapsed="false">
      <c r="A1675" s="0" t="str">
        <f aca="false">Chase1168_2025!A1675</f>
        <v>DEBIT</v>
      </c>
      <c r="B1675" s="14" t="n">
        <f aca="false">Chase1168_2025!B1675</f>
        <v>45691</v>
      </c>
      <c r="C1675" s="0" t="str">
        <f aca="false">Chase1168_2025!C1675</f>
        <v>PAYPAL *HULU 877-801-5441 CA                 02/01</v>
      </c>
      <c r="D1675" s="7" t="n">
        <f aca="false">Chase1168_2025!D1675</f>
        <v>-18.99</v>
      </c>
      <c r="E1675" s="0" t="str">
        <f aca="false">Chase1168_2025!E1675</f>
        <v>DEBIT_CARD</v>
      </c>
      <c r="F1675" s="7" t="n">
        <f aca="false">Chase1168_2025!F1675</f>
        <v>17456.61</v>
      </c>
      <c r="G1675" s="0" t="str">
        <f aca="false">Chase1168_2025!G1675</f>
        <v>Personal - Subscriptions</v>
      </c>
      <c r="H1675" s="15" t="n">
        <f aca="false">IF($B1675="","",DATE(YEAR($B1675),MONTH($B1675),1))</f>
        <v>45689</v>
      </c>
      <c r="I1675" s="0" t="str">
        <f aca="false">IF($G1675="","Uncategorized — Review",IFERROR(INDEX(Mapping!$B:$B,MATCH($G1675,Mapping!$A:$A,0)),"Uncategorized — Review"))</f>
        <v>Personal - Subscriptions</v>
      </c>
      <c r="J1675" s="0" t="str">
        <f aca="false">IF($G1675="","Uncategorized — Review",IFERROR(INDEX(Mapping!$C:$C,MATCH($G1675,Mapping!$A:$A,0)),"Uncategorized — Review"))</f>
        <v>Personal — Owner</v>
      </c>
    </row>
    <row r="1676" customFormat="false" ht="15" hidden="false" customHeight="false" outlineLevel="0" collapsed="false">
      <c r="A1676" s="0" t="str">
        <f aca="false">Chase1168_2025!A1676</f>
        <v>DEBIT</v>
      </c>
      <c r="B1676" s="14" t="n">
        <f aca="false">Chase1168_2025!B1676</f>
        <v>45691</v>
      </c>
      <c r="C1676" s="0" t="str">
        <f aca="false">Chase1168_2025!C1676</f>
        <v>PP*APPLE.COM/BILL 800-275-2273 CA            02/01</v>
      </c>
      <c r="D1676" s="7" t="n">
        <f aca="false">Chase1168_2025!D1676</f>
        <v>-15.99</v>
      </c>
      <c r="E1676" s="0" t="str">
        <f aca="false">Chase1168_2025!E1676</f>
        <v>DEBIT_CARD</v>
      </c>
      <c r="F1676" s="7" t="n">
        <f aca="false">Chase1168_2025!F1676</f>
        <v>17475.6</v>
      </c>
      <c r="G1676" s="0" t="str">
        <f aca="false">Chase1168_2025!G1676</f>
        <v>Personal - Subscriptions</v>
      </c>
      <c r="H1676" s="15" t="n">
        <f aca="false">IF($B1676="","",DATE(YEAR($B1676),MONTH($B1676),1))</f>
        <v>45689</v>
      </c>
      <c r="I1676" s="0" t="str">
        <f aca="false">IF($G1676="","Uncategorized — Review",IFERROR(INDEX(Mapping!$B:$B,MATCH($G1676,Mapping!$A:$A,0)),"Uncategorized — Review"))</f>
        <v>Personal - Subscriptions</v>
      </c>
      <c r="J1676" s="0" t="str">
        <f aca="false">IF($G1676="","Uncategorized — Review",IFERROR(INDEX(Mapping!$C:$C,MATCH($G1676,Mapping!$A:$A,0)),"Uncategorized — Review"))</f>
        <v>Personal — Owner</v>
      </c>
    </row>
    <row r="1677" customFormat="false" ht="15" hidden="false" customHeight="false" outlineLevel="0" collapsed="false">
      <c r="A1677" s="0" t="str">
        <f aca="false">Chase1168_2025!A1677</f>
        <v>DEBIT</v>
      </c>
      <c r="B1677" s="14" t="n">
        <f aca="false">Chase1168_2025!B1677</f>
        <v>45691</v>
      </c>
      <c r="C1677" s="0" t="str">
        <f aca="false">Chase1168_2025!C1677</f>
        <v>ORIG CO NAME:VENMO                  ORIG ID:3264681992 DESC DATE:250131 CO ENTRY DESCR:PAYMENT   SEC:WEB    TRACE#:091000011777514 EED:250203   IND ID:1039987764675                IND NAME:JUDD DUNNING TRN: 0341777514TC</v>
      </c>
      <c r="D1677" s="7" t="n">
        <f aca="false">Chase1168_2025!D1677</f>
        <v>-130</v>
      </c>
      <c r="E1677" s="0" t="str">
        <f aca="false">Chase1168_2025!E1677</f>
        <v>ACH_DEBIT</v>
      </c>
      <c r="F1677" s="7" t="n">
        <f aca="false">Chase1168_2025!F1677</f>
        <v>17491.59</v>
      </c>
      <c r="G1677" s="0" t="str">
        <f aca="false">Chase1168_2025!G1677</f>
        <v>Venmo</v>
      </c>
      <c r="H1677" s="15" t="n">
        <f aca="false">IF($B1677="","",DATE(YEAR($B1677),MONTH($B1677),1))</f>
        <v>45689</v>
      </c>
      <c r="I1677" s="0" t="str">
        <f aca="false">IF($G1677="","Uncategorized — Review",IFERROR(INDEX(Mapping!$B:$B,MATCH($G1677,Mapping!$A:$A,0)),"Uncategorized — Review"))</f>
        <v>Venmo</v>
      </c>
      <c r="J1677" s="0" t="str">
        <f aca="false">IF($G1677="","Uncategorized — Review",IFERROR(INDEX(Mapping!$C:$C,MATCH($G1677,Mapping!$A:$A,0)),"Uncategorized — Review"))</f>
        <v>P2P Payments (Zelle/Venmo/PayPal)</v>
      </c>
    </row>
    <row r="1678" customFormat="false" ht="15" hidden="false" customHeight="false" outlineLevel="0" collapsed="false">
      <c r="A1678" s="0" t="str">
        <f aca="false">Chase1168_2025!A1678</f>
        <v>DEBIT</v>
      </c>
      <c r="B1678" s="14" t="n">
        <f aca="false">Chase1168_2025!B1678</f>
        <v>45691</v>
      </c>
      <c r="C1678" s="0" t="str">
        <f aca="false">Chase1168_2025!C1678</f>
        <v>VONS #2270 LOS ANGELES CA                    01/31</v>
      </c>
      <c r="D1678" s="7" t="n">
        <f aca="false">Chase1168_2025!D1678</f>
        <v>-169.71</v>
      </c>
      <c r="E1678" s="0" t="str">
        <f aca="false">Chase1168_2025!E1678</f>
        <v>DEBIT_CARD</v>
      </c>
      <c r="F1678" s="7" t="n">
        <f aca="false">Chase1168_2025!F1678</f>
        <v>17621.59</v>
      </c>
      <c r="G1678" s="0" t="str">
        <f aca="false">Chase1168_2025!G1678</f>
        <v>Personal - House</v>
      </c>
      <c r="H1678" s="15" t="n">
        <f aca="false">IF($B1678="","",DATE(YEAR($B1678),MONTH($B1678),1))</f>
        <v>45689</v>
      </c>
      <c r="I1678" s="0" t="str">
        <f aca="false">IF($G1678="","Uncategorized — Review",IFERROR(INDEX(Mapping!$B:$B,MATCH($G1678,Mapping!$A:$A,0)),"Uncategorized — Review"))</f>
        <v>Personal - House</v>
      </c>
      <c r="J1678" s="0" t="str">
        <f aca="false">IF($G1678="","Uncategorized — Review",IFERROR(INDEX(Mapping!$C:$C,MATCH($G1678,Mapping!$A:$A,0)),"Uncategorized — Review"))</f>
        <v>Personal — Owner</v>
      </c>
    </row>
    <row r="1679" customFormat="false" ht="15" hidden="false" customHeight="false" outlineLevel="0" collapsed="false">
      <c r="A1679" s="0" t="str">
        <f aca="false">Chase1168_2025!A1679</f>
        <v>CREDIT</v>
      </c>
      <c r="B1679" s="14" t="n">
        <f aca="false">Chase1168_2025!B1679</f>
        <v>45691</v>
      </c>
      <c r="C1679" s="0" t="str">
        <f aca="false">Chase1168_2025!C1679</f>
        <v>Online Transfer from CHK ...9335 transaction#: 23608750104</v>
      </c>
      <c r="D1679" s="7" t="n">
        <f aca="false">Chase1168_2025!D1679</f>
        <v>10000</v>
      </c>
      <c r="E1679" s="0" t="str">
        <f aca="false">Chase1168_2025!E1679</f>
        <v>ACCT_XFER</v>
      </c>
      <c r="F1679" s="7" t="n">
        <f aca="false">Chase1168_2025!F1679</f>
        <v>17791.3</v>
      </c>
      <c r="G1679" s="0" t="str">
        <f aca="false">Chase1168_2025!G1679</f>
        <v>Transfer From Poseidon Asset Group</v>
      </c>
      <c r="H1679" s="15" t="n">
        <f aca="false">IF($B1679="","",DATE(YEAR($B1679),MONTH($B1679),1))</f>
        <v>45689</v>
      </c>
      <c r="I1679" s="0" t="str">
        <f aca="false">IF($G1679="","Uncategorized — Review",IFERROR(INDEX(Mapping!$B:$B,MATCH($G1679,Mapping!$A:$A,0)),"Uncategorized — Review"))</f>
        <v>Transfer From Poseidon Asset Group</v>
      </c>
      <c r="J1679" s="0" t="str">
        <f aca="false">IF($G1679="","Uncategorized — Review",IFERROR(INDEX(Mapping!$C:$C,MATCH($G1679,Mapping!$A:$A,0)),"Uncategorized — Review"))</f>
        <v>Poseidon Asset Group</v>
      </c>
    </row>
    <row r="1680" customFormat="false" ht="15" hidden="false" customHeight="false" outlineLevel="0" collapsed="false">
      <c r="A1680" s="0" t="str">
        <f aca="false">Chase1168_2025!A1680</f>
        <v>DEBIT</v>
      </c>
      <c r="B1680" s="14" t="n">
        <f aca="false">Chase1168_2025!B1680</f>
        <v>45688</v>
      </c>
      <c r="C1680" s="0" t="str">
        <f aca="false">Chase1168_2025!C1680</f>
        <v>ORIG CO NAME:AMERICAN EXPRESS       ORIG ID:2005032111 DESC DATE:250131 CO ENTRY DESCR:ACH PMT   SEC:CCD    TRACE#:021000022331409 EED:250131   IND ID:A8466                        IND NAME:John Dunning                                                                                                 ER AM TRN: 0312331409TC</v>
      </c>
      <c r="D1680" s="7" t="n">
        <f aca="false">Chase1168_2025!D1680</f>
        <v>-2465.25</v>
      </c>
      <c r="E1680" s="0" t="str">
        <f aca="false">Chase1168_2025!E1680</f>
        <v>ACH_DEBIT</v>
      </c>
      <c r="F1680" s="7" t="n">
        <f aca="false">Chase1168_2025!F1680</f>
        <v>7791.3</v>
      </c>
      <c r="G1680" s="0" t="str">
        <f aca="false">Chase1168_2025!G1680</f>
        <v>American Express Credit Card PMT</v>
      </c>
      <c r="H1680" s="15" t="n">
        <f aca="false">IF($B1680="","",DATE(YEAR($B1680),MONTH($B1680),1))</f>
        <v>45658</v>
      </c>
      <c r="I1680" s="0" t="str">
        <f aca="false">IF($G1680="","Uncategorized — Review",IFERROR(INDEX(Mapping!$B:$B,MATCH($G1680,Mapping!$A:$A,0)),"Uncategorized — Review"))</f>
        <v>American Express Credit Card PMT</v>
      </c>
      <c r="J1680" s="0" t="str">
        <f aca="false">IF($G1680="","Uncategorized — Review",IFERROR(INDEX(Mapping!$C:$C,MATCH($G1680,Mapping!$A:$A,0)),"Uncategorized — Review"))</f>
        <v>Credit Card &amp; Loan Payments</v>
      </c>
    </row>
    <row r="1681" customFormat="false" ht="15" hidden="false" customHeight="false" outlineLevel="0" collapsed="false">
      <c r="A1681" s="0" t="str">
        <f aca="false">Chase1168_2025!A1681</f>
        <v>DEBIT</v>
      </c>
      <c r="B1681" s="14" t="n">
        <f aca="false">Chase1168_2025!B1681</f>
        <v>45688</v>
      </c>
      <c r="C1681" s="0" t="str">
        <f aca="false">Chase1168_2025!C1681</f>
        <v>Online Transfer to  CHK ...7753 transaction#: 23227717912 01/31</v>
      </c>
      <c r="D1681" s="7" t="n">
        <f aca="false">Chase1168_2025!D1681</f>
        <v>-902.89</v>
      </c>
      <c r="E1681" s="0" t="str">
        <f aca="false">Chase1168_2025!E1681</f>
        <v>ACCT_XFER</v>
      </c>
      <c r="F1681" s="7" t="n">
        <f aca="false">Chase1168_2025!F1681</f>
        <v>10256.55</v>
      </c>
      <c r="G1681" s="0" t="str">
        <f aca="false">Chase1168_2025!G1681</f>
        <v>Transfer to DWGCG_Costar</v>
      </c>
      <c r="H1681" s="15" t="n">
        <f aca="false">IF($B1681="","",DATE(YEAR($B1681),MONTH($B1681),1))</f>
        <v>45658</v>
      </c>
      <c r="I1681" s="0" t="str">
        <f aca="false">IF($G1681="","Uncategorized — Review",IFERROR(INDEX(Mapping!$B:$B,MATCH($G1681,Mapping!$A:$A,0)),"Uncategorized — Review"))</f>
        <v>Transfer to DWGCG_Costar</v>
      </c>
      <c r="J1681" s="0" t="str">
        <f aca="false">IF($G1681="","Uncategorized — Review",IFERROR(INDEX(Mapping!$C:$C,MATCH($G1681,Mapping!$A:$A,0)),"Uncategorized — Review"))</f>
        <v>Intercompany &amp; Savings Transfers</v>
      </c>
    </row>
    <row r="1682" customFormat="false" ht="15" hidden="false" customHeight="false" outlineLevel="0" collapsed="false">
      <c r="A1682" s="0" t="str">
        <f aca="false">Chase1168_2025!A1682</f>
        <v>DEBIT</v>
      </c>
      <c r="B1682" s="14" t="n">
        <f aca="false">Chase1168_2025!B1682</f>
        <v>45688</v>
      </c>
      <c r="C1682" s="0" t="str">
        <f aca="false">Chase1168_2025!C1682</f>
        <v>ORIG CO NAME:GEICO                  ORIG ID:3530075853 DESC DATE:250130 CO ENTRY DESCR:PREM COLL SEC:PPD    TRACE#:021000021321876 EED:250131   IND ID:                             IND NAME:ANGELA TRN: 0311321876TC</v>
      </c>
      <c r="D1682" s="7" t="n">
        <f aca="false">Chase1168_2025!D1682</f>
        <v>-537.07</v>
      </c>
      <c r="E1682" s="0" t="str">
        <f aca="false">Chase1168_2025!E1682</f>
        <v>ACH_DEBIT</v>
      </c>
      <c r="F1682" s="7" t="n">
        <f aca="false">Chase1168_2025!F1682</f>
        <v>11159.44</v>
      </c>
      <c r="G1682" s="0" t="str">
        <f aca="false">Chase1168_2025!G1682</f>
        <v>Personal - Car Insurance</v>
      </c>
      <c r="H1682" s="15" t="n">
        <f aca="false">IF($B1682="","",DATE(YEAR($B1682),MONTH($B1682),1))</f>
        <v>45658</v>
      </c>
      <c r="I1682" s="0" t="str">
        <f aca="false">IF($G1682="","Uncategorized — Review",IFERROR(INDEX(Mapping!$B:$B,MATCH($G1682,Mapping!$A:$A,0)),"Uncategorized — Review"))</f>
        <v>Personal - Car &amp; Auto</v>
      </c>
      <c r="J1682" s="0" t="str">
        <f aca="false">IF($G1682="","Uncategorized — Review",IFERROR(INDEX(Mapping!$C:$C,MATCH($G1682,Mapping!$A:$A,0)),"Uncategorized — Review"))</f>
        <v>Personal — Owner</v>
      </c>
    </row>
    <row r="1683" customFormat="false" ht="15" hidden="false" customHeight="false" outlineLevel="0" collapsed="false">
      <c r="A1683" s="0" t="str">
        <f aca="false">Chase1168_2025!A1683</f>
        <v>DEBIT</v>
      </c>
      <c r="B1683" s="14" t="n">
        <f aca="false">Chase1168_2025!B1683</f>
        <v>45687</v>
      </c>
      <c r="C1683" s="0" t="str">
        <f aca="false">Chase1168_2025!C1683</f>
        <v>ONLINE FX INTERNATIONAL WIRE FEE</v>
      </c>
      <c r="D1683" s="7" t="n">
        <f aca="false">Chase1168_2025!D1683</f>
        <v>-5</v>
      </c>
      <c r="E1683" s="0" t="str">
        <f aca="false">Chase1168_2025!E1683</f>
        <v>FEE_TRANSACTION</v>
      </c>
      <c r="F1683" s="7" t="n">
        <f aca="false">Chase1168_2025!F1683</f>
        <v>11696.51</v>
      </c>
      <c r="G1683" s="0" t="str">
        <f aca="false">Chase1168_2025!G1683</f>
        <v>Andres Alarcon Payroll</v>
      </c>
      <c r="H1683" s="15" t="n">
        <f aca="false">IF($B1683="","",DATE(YEAR($B1683),MONTH($B1683),1))</f>
        <v>45658</v>
      </c>
      <c r="I1683" s="0" t="str">
        <f aca="false">IF($G1683="","Uncategorized — Review",IFERROR(INDEX(Mapping!$B:$B,MATCH($G1683,Mapping!$A:$A,0)),"Uncategorized — Review"))</f>
        <v>Andres Alarcon Payroll</v>
      </c>
      <c r="J1683" s="0" t="str">
        <f aca="false">IF($G1683="","Uncategorized — Review",IFERROR(INDEX(Mapping!$C:$C,MATCH($G1683,Mapping!$A:$A,0)),"Uncategorized — Review"))</f>
        <v>Payroll &amp; Contractors</v>
      </c>
    </row>
    <row r="1684" customFormat="false" ht="15" hidden="false" customHeight="false" outlineLevel="0" collapsed="false">
      <c r="A1684" s="0" t="str">
        <f aca="false">Chase1168_2025!A1684</f>
        <v>DEBIT</v>
      </c>
      <c r="B1684" s="14" t="n">
        <f aca="false">Chase1168_2025!B1684</f>
        <v>45687</v>
      </c>
      <c r="C1684" s="0" t="str">
        <f aca="false">Chase1168_2025!C1684</f>
        <v>ONLINE US DOLLAR INTL WIRE FEE</v>
      </c>
      <c r="D1684" s="7" t="n">
        <f aca="false">Chase1168_2025!D1684</f>
        <v>-40</v>
      </c>
      <c r="E1684" s="0" t="str">
        <f aca="false">Chase1168_2025!E1684</f>
        <v>FEE_TRANSACTION</v>
      </c>
      <c r="F1684" s="7" t="n">
        <f aca="false">Chase1168_2025!F1684</f>
        <v>11701.51</v>
      </c>
      <c r="G1684" s="0" t="str">
        <f aca="false">Chase1168_2025!G1684</f>
        <v>Wire Fee</v>
      </c>
      <c r="H1684" s="15" t="n">
        <f aca="false">IF($B1684="","",DATE(YEAR($B1684),MONTH($B1684),1))</f>
        <v>45658</v>
      </c>
      <c r="I1684" s="0" t="str">
        <f aca="false">IF($G1684="","Uncategorized — Review",IFERROR(INDEX(Mapping!$B:$B,MATCH($G1684,Mapping!$A:$A,0)),"Uncategorized — Review"))</f>
        <v>Wire Fee</v>
      </c>
      <c r="J1684" s="0" t="str">
        <f aca="false">IF($G1684="","Uncategorized — Review",IFERROR(INDEX(Mapping!$C:$C,MATCH($G1684,Mapping!$A:$A,0)),"Uncategorized — Review"))</f>
        <v>DWG Operating</v>
      </c>
    </row>
    <row r="1685" customFormat="false" ht="15" hidden="false" customHeight="false" outlineLevel="0" collapsed="false">
      <c r="A1685" s="0" t="str">
        <f aca="false">Chase1168_2025!A1685</f>
        <v>DEBIT</v>
      </c>
      <c r="B1685" s="14" t="n">
        <f aca="false">Chase1168_2025!B1685</f>
        <v>45687</v>
      </c>
      <c r="C1685" s="0" t="str">
        <f aca="false">Chase1168_2025!C1685</f>
        <v>Online Transfer to CHK ...7899 transaction#: 23554287420 01/30</v>
      </c>
      <c r="D1685" s="7" t="n">
        <f aca="false">Chase1168_2025!D1685</f>
        <v>-2000</v>
      </c>
      <c r="E1685" s="0" t="str">
        <f aca="false">Chase1168_2025!E1685</f>
        <v>ACCT_XFER</v>
      </c>
      <c r="F1685" s="7" t="n">
        <f aca="false">Chase1168_2025!F1685</f>
        <v>11741.51</v>
      </c>
      <c r="G1685" s="0" t="str">
        <f aca="false">Chase1168_2025!G1685</f>
        <v>Transfer to TX Personal Joint</v>
      </c>
      <c r="H1685" s="15" t="n">
        <f aca="false">IF($B1685="","",DATE(YEAR($B1685),MONTH($B1685),1))</f>
        <v>45658</v>
      </c>
      <c r="I1685" s="0" t="str">
        <f aca="false">IF($G1685="","Uncategorized — Review",IFERROR(INDEX(Mapping!$B:$B,MATCH($G1685,Mapping!$A:$A,0)),"Uncategorized — Review"))</f>
        <v>Transfer to TX Personal Joint</v>
      </c>
      <c r="J1685" s="0" t="str">
        <f aca="false">IF($G1685="","Uncategorized — Review",IFERROR(INDEX(Mapping!$C:$C,MATCH($G1685,Mapping!$A:$A,0)),"Uncategorized — Review"))</f>
        <v>Owner / Family Distributions</v>
      </c>
    </row>
    <row r="1686" customFormat="false" ht="15" hidden="false" customHeight="false" outlineLevel="0" collapsed="false">
      <c r="A1686" s="0" t="str">
        <f aca="false">Chase1168_2025!A1686</f>
        <v>DEBIT</v>
      </c>
      <c r="B1686" s="14" t="n">
        <f aca="false">Chase1168_2025!B1686</f>
        <v>45687</v>
      </c>
      <c r="C1686" s="0" t="str">
        <f aca="false">Chase1168_2025!C1686</f>
        <v>Online Transfer to CHK ...1117 transaction#: 23554260004 01/30</v>
      </c>
      <c r="D1686" s="7" t="n">
        <f aca="false">Chase1168_2025!D1686</f>
        <v>-2000</v>
      </c>
      <c r="E1686" s="0" t="str">
        <f aca="false">Chase1168_2025!E1686</f>
        <v>ACCT_XFER</v>
      </c>
      <c r="F1686" s="7" t="n">
        <f aca="false">Chase1168_2025!F1686</f>
        <v>13741.51</v>
      </c>
      <c r="G1686" s="0" t="str">
        <f aca="false">Chase1168_2025!G1686</f>
        <v>Transfer to Angela Dunning</v>
      </c>
      <c r="H1686" s="15" t="n">
        <f aca="false">IF($B1686="","",DATE(YEAR($B1686),MONTH($B1686),1))</f>
        <v>45658</v>
      </c>
      <c r="I1686" s="0" t="str">
        <f aca="false">IF($G1686="","Uncategorized — Review",IFERROR(INDEX(Mapping!$B:$B,MATCH($G1686,Mapping!$A:$A,0)),"Uncategorized — Review"))</f>
        <v>Transfer to Angela Dunning</v>
      </c>
      <c r="J1686" s="0" t="str">
        <f aca="false">IF($G1686="","Uncategorized — Review",IFERROR(INDEX(Mapping!$C:$C,MATCH($G1686,Mapping!$A:$A,0)),"Uncategorized — Review"))</f>
        <v>Owner / Family Distributions</v>
      </c>
    </row>
    <row r="1687" customFormat="false" ht="15" hidden="false" customHeight="false" outlineLevel="0" collapsed="false">
      <c r="A1687" s="0" t="str">
        <f aca="false">Chase1168_2025!A1687</f>
        <v>DEBIT</v>
      </c>
      <c r="B1687" s="14" t="n">
        <f aca="false">Chase1168_2025!B1687</f>
        <v>45687</v>
      </c>
      <c r="C1687" s="0" t="str">
        <f aca="false">Chase1168_2025!C1687</f>
        <v>ONLINE INTERNATIONAL WIRE TRANSFER A/C: BBVA COLOMBIA BOGOTA COLOMBIA 00000- CO REF: BI-WEEKLY PAYROLL TAXID1063308099/TEL573004049463/SALARY/PAYROLL PAYME NTS/INT/SUADATDWG-RE.COM/BNF/NONE TRN: 3052715030ES 01/30</v>
      </c>
      <c r="D1687" s="7" t="n">
        <f aca="false">Chase1168_2025!D1687</f>
        <v>-750</v>
      </c>
      <c r="E1687" s="0" t="str">
        <f aca="false">Chase1168_2025!E1687</f>
        <v>WIRE_OUTGOING</v>
      </c>
      <c r="F1687" s="7" t="n">
        <f aca="false">Chase1168_2025!F1687</f>
        <v>15741.51</v>
      </c>
      <c r="G1687" s="0" t="str">
        <f aca="false">Chase1168_2025!G1687</f>
        <v>Suad - Payroll</v>
      </c>
      <c r="H1687" s="15" t="n">
        <f aca="false">IF($B1687="","",DATE(YEAR($B1687),MONTH($B1687),1))</f>
        <v>45658</v>
      </c>
      <c r="I1687" s="0" t="str">
        <f aca="false">IF($G1687="","Uncategorized — Review",IFERROR(INDEX(Mapping!$B:$B,MATCH($G1687,Mapping!$A:$A,0)),"Uncategorized — Review"))</f>
        <v>Suad - Payroll</v>
      </c>
      <c r="J1687" s="0" t="str">
        <f aca="false">IF($G1687="","Uncategorized — Review",IFERROR(INDEX(Mapping!$C:$C,MATCH($G1687,Mapping!$A:$A,0)),"Uncategorized — Review"))</f>
        <v>Payroll &amp; Contractors</v>
      </c>
    </row>
    <row r="1688" customFormat="false" ht="15" hidden="false" customHeight="false" outlineLevel="0" collapsed="false">
      <c r="A1688" s="0" t="str">
        <f aca="false">Chase1168_2025!A1688</f>
        <v>DEBIT</v>
      </c>
      <c r="B1688" s="14" t="n">
        <f aca="false">Chase1168_2025!B1688</f>
        <v>45687</v>
      </c>
      <c r="C1688" s="0" t="str">
        <f aca="false">Chase1168_2025!C1688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ENTS/OCMT/COP3020871,00/EXCH/4027.8 280/CNTR/45237605/INT/ANDRES_527 TRN: 8692800030RE 01/30</v>
      </c>
      <c r="D1688" s="7" t="n">
        <f aca="false">Chase1168_2025!D1688</f>
        <v>-750</v>
      </c>
      <c r="E1688" s="0" t="str">
        <f aca="false">Chase1168_2025!E1688</f>
        <v>WIRE_OUTGOING</v>
      </c>
      <c r="F1688" s="7" t="n">
        <f aca="false">Chase1168_2025!F1688</f>
        <v>16491.51</v>
      </c>
      <c r="G1688" s="0" t="str">
        <f aca="false">Chase1168_2025!G1688</f>
        <v>Andres Alarcon Payroll</v>
      </c>
      <c r="H1688" s="15" t="n">
        <f aca="false">IF($B1688="","",DATE(YEAR($B1688),MONTH($B1688),1))</f>
        <v>45658</v>
      </c>
      <c r="I1688" s="0" t="str">
        <f aca="false">IF($G1688="","Uncategorized — Review",IFERROR(INDEX(Mapping!$B:$B,MATCH($G1688,Mapping!$A:$A,0)),"Uncategorized — Review"))</f>
        <v>Andres Alarcon Payroll</v>
      </c>
      <c r="J1688" s="0" t="str">
        <f aca="false">IF($G1688="","Uncategorized — Review",IFERROR(INDEX(Mapping!$C:$C,MATCH($G1688,Mapping!$A:$A,0)),"Uncategorized — Review"))</f>
        <v>Payroll &amp; Contractors</v>
      </c>
    </row>
    <row r="1689" customFormat="false" ht="15" hidden="false" customHeight="false" outlineLevel="0" collapsed="false">
      <c r="A1689" s="0" t="str">
        <f aca="false">Chase1168_2025!A1689</f>
        <v>DEBIT</v>
      </c>
      <c r="B1689" s="14" t="n">
        <f aca="false">Chase1168_2025!B1689</f>
        <v>45687</v>
      </c>
      <c r="C1689" s="0" t="str">
        <f aca="false">Chase1168_2025!C1689</f>
        <v>ORIG CO NAME:SBA EIDL LOAN          ORIG ID:7300000118 DESC DATE:250129 CO ENTRY DESCR:PAYMENT   SEC:CCD    TRACE#:041036044514557 EED:250130   IND ID:0000                         IND NAME:JOHN DUNNING               1871308204                                                                        ACH TRANSACTION TRN: 0304514557TC</v>
      </c>
      <c r="D1689" s="7" t="n">
        <f aca="false">Chase1168_2025!D1689</f>
        <v>-2524</v>
      </c>
      <c r="E1689" s="0" t="str">
        <f aca="false">Chase1168_2025!E1689</f>
        <v>ACH_DEBIT</v>
      </c>
      <c r="F1689" s="7" t="n">
        <f aca="false">Chase1168_2025!F1689</f>
        <v>17241.51</v>
      </c>
      <c r="G1689" s="0" t="str">
        <f aca="false">Chase1168_2025!G1689</f>
        <v>SBA EIDL Loan</v>
      </c>
      <c r="H1689" s="15" t="n">
        <f aca="false">IF($B1689="","",DATE(YEAR($B1689),MONTH($B1689),1))</f>
        <v>45658</v>
      </c>
      <c r="I1689" s="0" t="str">
        <f aca="false">IF($G1689="","Uncategorized — Review",IFERROR(INDEX(Mapping!$B:$B,MATCH($G1689,Mapping!$A:$A,0)),"Uncategorized — Review"))</f>
        <v>SBA EIDL Loan</v>
      </c>
      <c r="J1689" s="0" t="str">
        <f aca="false">IF($G1689="","Uncategorized — Review",IFERROR(INDEX(Mapping!$C:$C,MATCH($G1689,Mapping!$A:$A,0)),"Uncategorized — Review"))</f>
        <v>Credit Card &amp; Loan Payments</v>
      </c>
    </row>
    <row r="1690" customFormat="false" ht="15" hidden="false" customHeight="false" outlineLevel="0" collapsed="false">
      <c r="A1690" s="0" t="str">
        <f aca="false">Chase1168_2025!A1690</f>
        <v>CREDIT</v>
      </c>
      <c r="B1690" s="14" t="n">
        <f aca="false">Chase1168_2025!B1690</f>
        <v>45687</v>
      </c>
      <c r="C1690" s="0" t="str">
        <f aca="false">Chase1168_2025!C1690</f>
        <v>Online Transfer from CHK ...8061 transaction#: 23554236075</v>
      </c>
      <c r="D1690" s="7" t="n">
        <f aca="false">Chase1168_2025!D1690</f>
        <v>10000</v>
      </c>
      <c r="E1690" s="0" t="str">
        <f aca="false">Chase1168_2025!E1690</f>
        <v>ACCT_XFER</v>
      </c>
      <c r="F1690" s="7" t="n">
        <f aca="false">Chase1168_2025!F1690</f>
        <v>19765.51</v>
      </c>
      <c r="G1690" s="0" t="str">
        <f aca="false">Chase1168_2025!G1690</f>
        <v>Transfer to Ecomm_PosPrtnrs</v>
      </c>
      <c r="H1690" s="15" t="n">
        <f aca="false">IF($B1690="","",DATE(YEAR($B1690),MONTH($B1690),1))</f>
        <v>45658</v>
      </c>
      <c r="I1690" s="0" t="str">
        <f aca="false">IF($G1690="","Uncategorized — Review",IFERROR(INDEX(Mapping!$B:$B,MATCH($G1690,Mapping!$A:$A,0)),"Uncategorized — Review"))</f>
        <v>Transfer to Ecomm_PosPrtnrs</v>
      </c>
      <c r="J1690" s="0" t="str">
        <f aca="false">IF($G1690="","Uncategorized — Review",IFERROR(INDEX(Mapping!$C:$C,MATCH($G1690,Mapping!$A:$A,0)),"Uncategorized — Review"))</f>
        <v>Intercompany &amp; Savings Transfers</v>
      </c>
    </row>
    <row r="1691" customFormat="false" ht="15" hidden="false" customHeight="false" outlineLevel="0" collapsed="false">
      <c r="A1691" s="0" t="str">
        <f aca="false">Chase1168_2025!A1691</f>
        <v>CREDIT</v>
      </c>
      <c r="B1691" s="14" t="n">
        <f aca="false">Chase1168_2025!B1691</f>
        <v>45687</v>
      </c>
      <c r="C1691" s="0" t="str">
        <f aca="false">Chase1168_2025!C1691</f>
        <v>Online Transfer from CHK ...9335 transaction#: 23551739213</v>
      </c>
      <c r="D1691" s="7" t="n">
        <f aca="false">Chase1168_2025!D1691</f>
        <v>10000</v>
      </c>
      <c r="E1691" s="0" t="str">
        <f aca="false">Chase1168_2025!E1691</f>
        <v>ACCT_XFER</v>
      </c>
      <c r="F1691" s="7" t="n">
        <f aca="false">Chase1168_2025!F1691</f>
        <v>9765.51</v>
      </c>
      <c r="G1691" s="0" t="str">
        <f aca="false">Chase1168_2025!G1691</f>
        <v>Transfer From Poseidon Asset Group</v>
      </c>
      <c r="H1691" s="15" t="n">
        <f aca="false">IF($B1691="","",DATE(YEAR($B1691),MONTH($B1691),1))</f>
        <v>45658</v>
      </c>
      <c r="I1691" s="0" t="str">
        <f aca="false">IF($G1691="","Uncategorized — Review",IFERROR(INDEX(Mapping!$B:$B,MATCH($G1691,Mapping!$A:$A,0)),"Uncategorized — Review"))</f>
        <v>Transfer From Poseidon Asset Group</v>
      </c>
      <c r="J1691" s="0" t="str">
        <f aca="false">IF($G1691="","Uncategorized — Review",IFERROR(INDEX(Mapping!$C:$C,MATCH($G1691,Mapping!$A:$A,0)),"Uncategorized — Review"))</f>
        <v>Poseidon Asset Group</v>
      </c>
    </row>
    <row r="1692" customFormat="false" ht="15" hidden="false" customHeight="false" outlineLevel="0" collapsed="false">
      <c r="A1692" s="0" t="str">
        <f aca="false">Chase1168_2025!A1692</f>
        <v>CHECK</v>
      </c>
      <c r="B1692" s="14" t="n">
        <f aca="false">Chase1168_2025!B1692</f>
        <v>45686</v>
      </c>
      <c r="C1692" s="0" t="str">
        <f aca="false">Chase1168_2025!C1692</f>
        <v>CHECK 282  </v>
      </c>
      <c r="D1692" s="7" t="n">
        <f aca="false">Chase1168_2025!D1692</f>
        <v>-737.5</v>
      </c>
      <c r="E1692" s="0" t="str">
        <f aca="false">Chase1168_2025!E1692</f>
        <v>CHECK_PAID</v>
      </c>
      <c r="F1692" s="7" t="n">
        <f aca="false">Chase1168_2025!F1692</f>
        <v>-234.49</v>
      </c>
      <c r="G1692" s="0" t="str">
        <f aca="false">Chase1168_2025!G1692</f>
        <v>Check - TBD</v>
      </c>
      <c r="H1692" s="15" t="n">
        <f aca="false">IF($B1692="","",DATE(YEAR($B1692),MONTH($B1692),1))</f>
        <v>45658</v>
      </c>
      <c r="I1692" s="0" t="str">
        <f aca="false">IF($G1692="","Uncategorized — Review",IFERROR(INDEX(Mapping!$B:$B,MATCH($G1692,Mapping!$A:$A,0)),"Uncategorized — Review"))</f>
        <v>Check - TBD</v>
      </c>
      <c r="J1692" s="0" t="str">
        <f aca="false">IF($G1692="","Uncategorized — Review",IFERROR(INDEX(Mapping!$C:$C,MATCH($G1692,Mapping!$A:$A,0)),"Uncategorized — Review"))</f>
        <v>Uncategorized — Review</v>
      </c>
    </row>
    <row r="1693" customFormat="false" ht="15" hidden="false" customHeight="false" outlineLevel="0" collapsed="false">
      <c r="A1693" s="0" t="str">
        <f aca="false">Chase1168_2025!A1693</f>
        <v>DEBIT</v>
      </c>
      <c r="B1693" s="14" t="n">
        <f aca="false">Chase1168_2025!B1693</f>
        <v>45686</v>
      </c>
      <c r="C1693" s="0" t="str">
        <f aca="false">Chase1168_2025!C1693</f>
        <v>ORIG CO NAME:TXU ENERGY             ORIG ID:1001020329 DESC DATE:       CO ENTRY DESCR:TXUE_ACH  SEC:WEB    TRACE#:021000023670727 EED:250129   IND ID:900062431557                 IND NAME:DWG CAPITAL GROUP          17333702810000000000000000000003559 7226099                                       DIRECT DEBITING TRN: 0293670727TC</v>
      </c>
      <c r="D1693" s="7" t="n">
        <f aca="false">Chase1168_2025!D1693</f>
        <v>-613.58</v>
      </c>
      <c r="E1693" s="0" t="str">
        <f aca="false">Chase1168_2025!E1693</f>
        <v>ACH_DEBIT</v>
      </c>
      <c r="F1693" s="7" t="n">
        <f aca="false">Chase1168_2025!F1693</f>
        <v>503.01</v>
      </c>
      <c r="G1693" s="0" t="str">
        <f aca="false">Chase1168_2025!G1693</f>
        <v>Texas - House Utilities</v>
      </c>
      <c r="H1693" s="15" t="n">
        <f aca="false">IF($B1693="","",DATE(YEAR($B1693),MONTH($B1693),1))</f>
        <v>45658</v>
      </c>
      <c r="I1693" s="0" t="str">
        <f aca="false">IF($G1693="","Uncategorized — Review",IFERROR(INDEX(Mapping!$B:$B,MATCH($G1693,Mapping!$A:$A,0)),"Uncategorized — Review"))</f>
        <v>Texas - House Utilities</v>
      </c>
      <c r="J1693" s="0" t="str">
        <f aca="false">IF($G1693="","Uncategorized — Review",IFERROR(INDEX(Mapping!$C:$C,MATCH($G1693,Mapping!$A:$A,0)),"Uncategorized — Review"))</f>
        <v>Personal — Owner</v>
      </c>
    </row>
    <row r="1694" customFormat="false" ht="15" hidden="false" customHeight="false" outlineLevel="0" collapsed="false">
      <c r="A1694" s="0" t="str">
        <f aca="false">Chase1168_2025!A1694</f>
        <v>DEBIT</v>
      </c>
      <c r="B1694" s="14" t="n">
        <f aca="false">Chase1168_2025!B1694</f>
        <v>45686</v>
      </c>
      <c r="C1694" s="0" t="str">
        <f aca="false">Chase1168_2025!C1694</f>
        <v>ORIG CO NAME:GEICO                  ORIG ID:3530075853 DESC DATE:250128 CO ENTRY DESCR:PREM COLL SEC:PPD    TRACE#:021000028899405 EED:250129   IND ID:                             IND NAME:ANGELA DUNNING TRN: 0298899405TC</v>
      </c>
      <c r="D1694" s="7" t="n">
        <f aca="false">Chase1168_2025!D1694</f>
        <v>-588.4</v>
      </c>
      <c r="E1694" s="0" t="str">
        <f aca="false">Chase1168_2025!E1694</f>
        <v>ACH_DEBIT</v>
      </c>
      <c r="F1694" s="7" t="n">
        <f aca="false">Chase1168_2025!F1694</f>
        <v>1116.59</v>
      </c>
      <c r="G1694" s="0" t="str">
        <f aca="false">Chase1168_2025!G1694</f>
        <v>Personal - Car Insurance</v>
      </c>
      <c r="H1694" s="15" t="n">
        <f aca="false">IF($B1694="","",DATE(YEAR($B1694),MONTH($B1694),1))</f>
        <v>45658</v>
      </c>
      <c r="I1694" s="0" t="str">
        <f aca="false">IF($G1694="","Uncategorized — Review",IFERROR(INDEX(Mapping!$B:$B,MATCH($G1694,Mapping!$A:$A,0)),"Uncategorized — Review"))</f>
        <v>Personal - Car &amp; Auto</v>
      </c>
      <c r="J1694" s="0" t="str">
        <f aca="false">IF($G1694="","Uncategorized — Review",IFERROR(INDEX(Mapping!$C:$C,MATCH($G1694,Mapping!$A:$A,0)),"Uncategorized — Review"))</f>
        <v>Personal — Owner</v>
      </c>
    </row>
    <row r="1695" customFormat="false" ht="15" hidden="false" customHeight="false" outlineLevel="0" collapsed="false">
      <c r="A1695" s="0" t="str">
        <f aca="false">Chase1168_2025!A1695</f>
        <v>DEBIT</v>
      </c>
      <c r="B1695" s="14" t="n">
        <f aca="false">Chase1168_2025!B1695</f>
        <v>45686</v>
      </c>
      <c r="C1695" s="0" t="str">
        <f aca="false">Chase1168_2025!C1695</f>
        <v>ORIG CO NAME:MBFS.COM               ORIG ID:1850860002 DESC DATE:250129 CO ENTRY DESCR:Auto Pay  SEC:WEB    TRACE#:021000021112172 EED:250129   IND ID:5002505795                   IND NAME:John B. Dunning TRN: 0291112172TC</v>
      </c>
      <c r="D1695" s="7" t="n">
        <f aca="false">Chase1168_2025!D1695</f>
        <v>-1399.46</v>
      </c>
      <c r="E1695" s="0" t="str">
        <f aca="false">Chase1168_2025!E1695</f>
        <v>ACH_DEBIT</v>
      </c>
      <c r="F1695" s="7" t="n">
        <f aca="false">Chase1168_2025!F1695</f>
        <v>1704.99</v>
      </c>
      <c r="G1695" s="0" t="str">
        <f aca="false">Chase1168_2025!G1695</f>
        <v>Personal - Car (Mercedes)</v>
      </c>
      <c r="H1695" s="15" t="n">
        <f aca="false">IF($B1695="","",DATE(YEAR($B1695),MONTH($B1695),1))</f>
        <v>45658</v>
      </c>
      <c r="I1695" s="0" t="str">
        <f aca="false">IF($G1695="","Uncategorized — Review",IFERROR(INDEX(Mapping!$B:$B,MATCH($G1695,Mapping!$A:$A,0)),"Uncategorized — Review"))</f>
        <v>Personal - Car &amp; Auto</v>
      </c>
      <c r="J1695" s="0" t="str">
        <f aca="false">IF($G1695="","Uncategorized — Review",IFERROR(INDEX(Mapping!$C:$C,MATCH($G1695,Mapping!$A:$A,0)),"Uncategorized — Review"))</f>
        <v>Personal — Owner</v>
      </c>
    </row>
    <row r="1696" customFormat="false" ht="15" hidden="false" customHeight="false" outlineLevel="0" collapsed="false">
      <c r="A1696" s="0" t="str">
        <f aca="false">Chase1168_2025!A1696</f>
        <v>DEBIT</v>
      </c>
      <c r="B1696" s="14" t="n">
        <f aca="false">Chase1168_2025!B1696</f>
        <v>45686</v>
      </c>
      <c r="C1696" s="0" t="str">
        <f aca="false">Chase1168_2025!C1696</f>
        <v>Zelle payment to Aaron Frankel JPM99awb45ko</v>
      </c>
      <c r="D1696" s="7" t="n">
        <f aca="false">Chase1168_2025!D1696</f>
        <v>-900</v>
      </c>
      <c r="E1696" s="0" t="str">
        <f aca="false">Chase1168_2025!E1696</f>
        <v>CHASE_TO_PARTNERFI</v>
      </c>
      <c r="F1696" s="7" t="n">
        <f aca="false">Chase1168_2025!F1696</f>
        <v>3104.45</v>
      </c>
      <c r="G1696" s="0" t="str">
        <f aca="false">Chase1168_2025!G1696</f>
        <v>Zelle - Aaron Frankel</v>
      </c>
      <c r="H1696" s="15" t="n">
        <f aca="false">IF($B1696="","",DATE(YEAR($B1696),MONTH($B1696),1))</f>
        <v>45658</v>
      </c>
      <c r="I1696" s="0" t="str">
        <f aca="false">IF($G1696="","Uncategorized — Review",IFERROR(INDEX(Mapping!$B:$B,MATCH($G1696,Mapping!$A:$A,0)),"Uncategorized — Review"))</f>
        <v>Zelle - Aaron Frankel</v>
      </c>
      <c r="J1696" s="0" t="str">
        <f aca="false">IF($G1696="","Uncategorized — Review",IFERROR(INDEX(Mapping!$C:$C,MATCH($G1696,Mapping!$A:$A,0)),"Uncategorized — Review"))</f>
        <v>P2P Payments (Zelle/Venmo/PayPal)</v>
      </c>
    </row>
    <row r="1697" customFormat="false" ht="15" hidden="false" customHeight="false" outlineLevel="0" collapsed="false">
      <c r="A1697" s="0" t="str">
        <f aca="false">Chase1168_2025!A1697</f>
        <v>DEBIT</v>
      </c>
      <c r="B1697" s="14" t="n">
        <f aca="false">Chase1168_2025!B1697</f>
        <v>45686</v>
      </c>
      <c r="C1697" s="0" t="str">
        <f aca="false">Chase1168_2025!C1697</f>
        <v>PP*APPLE.COM/BILL 800-275-2273 CA            01/29</v>
      </c>
      <c r="D1697" s="7" t="n">
        <f aca="false">Chase1168_2025!D1697</f>
        <v>-18.99</v>
      </c>
      <c r="E1697" s="0" t="str">
        <f aca="false">Chase1168_2025!E1697</f>
        <v>DEBIT_CARD</v>
      </c>
      <c r="F1697" s="7" t="n">
        <f aca="false">Chase1168_2025!F1697</f>
        <v>4004.45</v>
      </c>
      <c r="G1697" s="0" t="str">
        <f aca="false">Chase1168_2025!G1697</f>
        <v>Personal - Subscriptions</v>
      </c>
      <c r="H1697" s="15" t="n">
        <f aca="false">IF($B1697="","",DATE(YEAR($B1697),MONTH($B1697),1))</f>
        <v>45658</v>
      </c>
      <c r="I1697" s="0" t="str">
        <f aca="false">IF($G1697="","Uncategorized — Review",IFERROR(INDEX(Mapping!$B:$B,MATCH($G1697,Mapping!$A:$A,0)),"Uncategorized — Review"))</f>
        <v>Personal - Subscriptions</v>
      </c>
      <c r="J1697" s="0" t="str">
        <f aca="false">IF($G1697="","Uncategorized — Review",IFERROR(INDEX(Mapping!$C:$C,MATCH($G1697,Mapping!$A:$A,0)),"Uncategorized — Review"))</f>
        <v>Personal — Owner</v>
      </c>
    </row>
    <row r="1698" customFormat="false" ht="15" hidden="false" customHeight="false" outlineLevel="0" collapsed="false">
      <c r="A1698" s="0" t="str">
        <f aca="false">Chase1168_2025!A1698</f>
        <v>DEBIT</v>
      </c>
      <c r="B1698" s="14" t="n">
        <f aca="false">Chase1168_2025!B1698</f>
        <v>45685</v>
      </c>
      <c r="C1698" s="0" t="str">
        <f aca="false">Chase1168_2025!C1698</f>
        <v>ORIG CO NAME:BANNER LIFE            ORIG ID:1521236145 DESC DATE:250127 CO ENTRY DESCR:PREM DEBITSEC:PPD    TRACE#:091000018988418 EED:250128   IND ID:                             IND NAME:ANGELA L DUNNING TRN: 0288988418TC</v>
      </c>
      <c r="D1698" s="7" t="n">
        <f aca="false">Chase1168_2025!D1698</f>
        <v>-12.5</v>
      </c>
      <c r="E1698" s="0" t="str">
        <f aca="false">Chase1168_2025!E1698</f>
        <v>ACH_DEBIT</v>
      </c>
      <c r="F1698" s="7" t="n">
        <f aca="false">Chase1168_2025!F1698</f>
        <v>4023.44</v>
      </c>
      <c r="G1698" s="0" t="str">
        <f aca="false">Chase1168_2025!G1698</f>
        <v>Personal - Life Insurance</v>
      </c>
      <c r="H1698" s="15" t="n">
        <f aca="false">IF($B1698="","",DATE(YEAR($B1698),MONTH($B1698),1))</f>
        <v>45658</v>
      </c>
      <c r="I1698" s="0" t="str">
        <f aca="false">IF($G1698="","Uncategorized — Review",IFERROR(INDEX(Mapping!$B:$B,MATCH($G1698,Mapping!$A:$A,0)),"Uncategorized — Review"))</f>
        <v>Personal - Life Insurance</v>
      </c>
      <c r="J1698" s="0" t="str">
        <f aca="false">IF($G1698="","Uncategorized — Review",IFERROR(INDEX(Mapping!$C:$C,MATCH($G1698,Mapping!$A:$A,0)),"Uncategorized — Review"))</f>
        <v>Personal — Owner</v>
      </c>
    </row>
    <row r="1699" customFormat="false" ht="15" hidden="false" customHeight="false" outlineLevel="0" collapsed="false">
      <c r="A1699" s="0" t="str">
        <f aca="false">Chase1168_2025!A1699</f>
        <v>DEBIT</v>
      </c>
      <c r="B1699" s="14" t="n">
        <f aca="false">Chase1168_2025!B1699</f>
        <v>45685</v>
      </c>
      <c r="C1699" s="0" t="str">
        <f aca="false">Chase1168_2025!C1699</f>
        <v>ORIG CO NAME:BANNER LIFE            ORIG ID:1521236145 DESC DATE:250127 CO ENTRY DESCR:PREM DEBITSEC:PPD    TRACE#:091000018988419 EED:250128   IND ID:                             IND NAME:JOHN  DUNNING TRN: 0288988419TC</v>
      </c>
      <c r="D1699" s="7" t="n">
        <f aca="false">Chase1168_2025!D1699</f>
        <v>-22.92</v>
      </c>
      <c r="E1699" s="0" t="str">
        <f aca="false">Chase1168_2025!E1699</f>
        <v>ACH_DEBIT</v>
      </c>
      <c r="F1699" s="7" t="n">
        <f aca="false">Chase1168_2025!F1699</f>
        <v>4035.94</v>
      </c>
      <c r="G1699" s="0" t="str">
        <f aca="false">Chase1168_2025!G1699</f>
        <v>Personal - Life Insurance</v>
      </c>
      <c r="H1699" s="15" t="n">
        <f aca="false">IF($B1699="","",DATE(YEAR($B1699),MONTH($B1699),1))</f>
        <v>45658</v>
      </c>
      <c r="I1699" s="0" t="str">
        <f aca="false">IF($G1699="","Uncategorized — Review",IFERROR(INDEX(Mapping!$B:$B,MATCH($G1699,Mapping!$A:$A,0)),"Uncategorized — Review"))</f>
        <v>Personal - Life Insurance</v>
      </c>
      <c r="J1699" s="0" t="str">
        <f aca="false">IF($G1699="","Uncategorized — Review",IFERROR(INDEX(Mapping!$C:$C,MATCH($G1699,Mapping!$A:$A,0)),"Uncategorized — Review"))</f>
        <v>Personal — Owner</v>
      </c>
    </row>
    <row r="1700" customFormat="false" ht="15" hidden="false" customHeight="false" outlineLevel="0" collapsed="false">
      <c r="A1700" s="0" t="str">
        <f aca="false">Chase1168_2025!A1700</f>
        <v>DEBIT</v>
      </c>
      <c r="B1700" s="14" t="n">
        <f aca="false">Chase1168_2025!B1700</f>
        <v>45685</v>
      </c>
      <c r="C1700" s="0" t="str">
        <f aca="false">Chase1168_2025!C1700</f>
        <v>ORIG CO NAME:BLUESHIELDCA           ORIG ID:7529219311 DESC DATE:250127 CO ENTRY DESCR:BILL PAY  SEC:WEB    TRACE#:031101118427498 EED:250128   IND ID:15207728141                  IND NAME:JOHN DUNNING TRN: 0288427498TC</v>
      </c>
      <c r="D1700" s="7" t="n">
        <f aca="false">Chase1168_2025!D1700</f>
        <v>-1262.59</v>
      </c>
      <c r="E1700" s="0" t="str">
        <f aca="false">Chase1168_2025!E1700</f>
        <v>ACH_DEBIT</v>
      </c>
      <c r="F1700" s="7" t="n">
        <f aca="false">Chase1168_2025!F1700</f>
        <v>4058.86</v>
      </c>
      <c r="G1700" s="0" t="str">
        <f aca="false">Chase1168_2025!G1700</f>
        <v>Personal - Health Insurance</v>
      </c>
      <c r="H1700" s="15" t="n">
        <f aca="false">IF($B1700="","",DATE(YEAR($B1700),MONTH($B1700),1))</f>
        <v>45658</v>
      </c>
      <c r="I1700" s="0" t="str">
        <f aca="false">IF($G1700="","Uncategorized — Review",IFERROR(INDEX(Mapping!$B:$B,MATCH($G1700,Mapping!$A:$A,0)),"Uncategorized — Review"))</f>
        <v>Personal - Health (incl. Ins.)</v>
      </c>
      <c r="J1700" s="0" t="str">
        <f aca="false">IF($G1700="","Uncategorized — Review",IFERROR(INDEX(Mapping!$C:$C,MATCH($G1700,Mapping!$A:$A,0)),"Uncategorized — Review"))</f>
        <v>Personal — Owner</v>
      </c>
    </row>
    <row r="1701" customFormat="false" ht="15" hidden="false" customHeight="false" outlineLevel="0" collapsed="false">
      <c r="A1701" s="0" t="str">
        <f aca="false">Chase1168_2025!A1701</f>
        <v>DEBIT</v>
      </c>
      <c r="B1701" s="14" t="n">
        <f aca="false">Chase1168_2025!B1701</f>
        <v>45685</v>
      </c>
      <c r="C1701" s="0" t="str">
        <f aca="false">Chase1168_2025!C1701</f>
        <v>ORIG CO NAME:BLUESHIELDCA           ORIG ID:7529219311 DESC DATE:250127 CO ENTRY DESCR:BILL PAY  SEC:WEB    TRACE#:031101118427499 EED:250128   IND ID:15207728131                  IND NAME:JOHN DUNNING TRN: 0288427499TC</v>
      </c>
      <c r="D1701" s="7" t="n">
        <f aca="false">Chase1168_2025!D1701</f>
        <v>-2380.98</v>
      </c>
      <c r="E1701" s="0" t="str">
        <f aca="false">Chase1168_2025!E1701</f>
        <v>ACH_DEBIT</v>
      </c>
      <c r="F1701" s="7" t="n">
        <f aca="false">Chase1168_2025!F1701</f>
        <v>5321.45</v>
      </c>
      <c r="G1701" s="0" t="str">
        <f aca="false">Chase1168_2025!G1701</f>
        <v>Personal - Health Insurance</v>
      </c>
      <c r="H1701" s="15" t="n">
        <f aca="false">IF($B1701="","",DATE(YEAR($B1701),MONTH($B1701),1))</f>
        <v>45658</v>
      </c>
      <c r="I1701" s="0" t="str">
        <f aca="false">IF($G1701="","Uncategorized — Review",IFERROR(INDEX(Mapping!$B:$B,MATCH($G1701,Mapping!$A:$A,0)),"Uncategorized — Review"))</f>
        <v>Personal - Health (incl. Ins.)</v>
      </c>
      <c r="J1701" s="0" t="str">
        <f aca="false">IF($G1701="","Uncategorized — Review",IFERROR(INDEX(Mapping!$C:$C,MATCH($G1701,Mapping!$A:$A,0)),"Uncategorized — Review"))</f>
        <v>Personal — Owner</v>
      </c>
    </row>
    <row r="1702" customFormat="false" ht="15" hidden="false" customHeight="false" outlineLevel="0" collapsed="false">
      <c r="A1702" s="0" t="str">
        <f aca="false">Chase1168_2025!A1702</f>
        <v>DEBIT</v>
      </c>
      <c r="B1702" s="14" t="n">
        <f aca="false">Chase1168_2025!B1702</f>
        <v>45685</v>
      </c>
      <c r="C1702" s="0" t="str">
        <f aca="false">Chase1168_2025!C1702</f>
        <v>SQ *ALANA'S COFFEE ROA Los Angeles CA        01/27</v>
      </c>
      <c r="D1702" s="7" t="n">
        <f aca="false">Chase1168_2025!D1702</f>
        <v>-13.5</v>
      </c>
      <c r="E1702" s="0" t="str">
        <f aca="false">Chase1168_2025!E1702</f>
        <v>DEBIT_CARD</v>
      </c>
      <c r="F1702" s="7" t="n">
        <f aca="false">Chase1168_2025!F1702</f>
        <v>7702.43</v>
      </c>
      <c r="G1702" s="0" t="str">
        <f aca="false">Chase1168_2025!G1702</f>
        <v>Personal - Food</v>
      </c>
      <c r="H1702" s="15" t="n">
        <f aca="false">IF($B1702="","",DATE(YEAR($B1702),MONTH($B1702),1))</f>
        <v>45658</v>
      </c>
      <c r="I1702" s="0" t="str">
        <f aca="false">IF($G1702="","Uncategorized — Review",IFERROR(INDEX(Mapping!$B:$B,MATCH($G1702,Mapping!$A:$A,0)),"Uncategorized — Review"))</f>
        <v>Personal - Food &amp; Dining</v>
      </c>
      <c r="J1702" s="0" t="str">
        <f aca="false">IF($G1702="","Uncategorized — Review",IFERROR(INDEX(Mapping!$C:$C,MATCH($G1702,Mapping!$A:$A,0)),"Uncategorized — Review"))</f>
        <v>Personal — Owner</v>
      </c>
    </row>
    <row r="1703" customFormat="false" ht="15" hidden="false" customHeight="false" outlineLevel="0" collapsed="false">
      <c r="A1703" s="0" t="str">
        <f aca="false">Chase1168_2025!A1703</f>
        <v>DEBIT</v>
      </c>
      <c r="B1703" s="14" t="n">
        <f aca="false">Chase1168_2025!B1703</f>
        <v>45685</v>
      </c>
      <c r="C1703" s="0" t="str">
        <f aca="false">Chase1168_2025!C1703</f>
        <v>TST*Z GARDEN SANTA MO Santa Monica CA        01/27</v>
      </c>
      <c r="D1703" s="7" t="n">
        <f aca="false">Chase1168_2025!D1703</f>
        <v>-31.31</v>
      </c>
      <c r="E1703" s="0" t="str">
        <f aca="false">Chase1168_2025!E1703</f>
        <v>DEBIT_CARD</v>
      </c>
      <c r="F1703" s="7" t="n">
        <f aca="false">Chase1168_2025!F1703</f>
        <v>7715.93</v>
      </c>
      <c r="G1703" s="0" t="str">
        <f aca="false">Chase1168_2025!G1703</f>
        <v>Personal - Food</v>
      </c>
      <c r="H1703" s="15" t="n">
        <f aca="false">IF($B1703="","",DATE(YEAR($B1703),MONTH($B1703),1))</f>
        <v>45658</v>
      </c>
      <c r="I1703" s="0" t="str">
        <f aca="false">IF($G1703="","Uncategorized — Review",IFERROR(INDEX(Mapping!$B:$B,MATCH($G1703,Mapping!$A:$A,0)),"Uncategorized — Review"))</f>
        <v>Personal - Food &amp; Dining</v>
      </c>
      <c r="J1703" s="0" t="str">
        <f aca="false">IF($G1703="","Uncategorized — Review",IFERROR(INDEX(Mapping!$C:$C,MATCH($G1703,Mapping!$A:$A,0)),"Uncategorized — Review"))</f>
        <v>Personal — Owner</v>
      </c>
    </row>
    <row r="1704" customFormat="false" ht="15" hidden="false" customHeight="false" outlineLevel="0" collapsed="false">
      <c r="A1704" s="0" t="str">
        <f aca="false">Chase1168_2025!A1704</f>
        <v>DEBIT</v>
      </c>
      <c r="B1704" s="14" t="n">
        <f aca="false">Chase1168_2025!B1704</f>
        <v>45685</v>
      </c>
      <c r="C1704" s="0" t="str">
        <f aca="false">Chase1168_2025!C1704</f>
        <v>CITY OF SANTA MONICA SANTA MONICA CA         01/27</v>
      </c>
      <c r="D1704" s="7" t="n">
        <f aca="false">Chase1168_2025!D1704</f>
        <v>-1.25</v>
      </c>
      <c r="E1704" s="0" t="str">
        <f aca="false">Chase1168_2025!E1704</f>
        <v>DEBIT_CARD</v>
      </c>
      <c r="F1704" s="7" t="n">
        <f aca="false">Chase1168_2025!F1704</f>
        <v>7747.24</v>
      </c>
      <c r="G1704" s="0" t="str">
        <f aca="false">Chase1168_2025!G1704</f>
        <v>Personal - Car</v>
      </c>
      <c r="H1704" s="15" t="n">
        <f aca="false">IF($B1704="","",DATE(YEAR($B1704),MONTH($B1704),1))</f>
        <v>45658</v>
      </c>
      <c r="I1704" s="0" t="str">
        <f aca="false">IF($G1704="","Uncategorized — Review",IFERROR(INDEX(Mapping!$B:$B,MATCH($G1704,Mapping!$A:$A,0)),"Uncategorized — Review"))</f>
        <v>Personal - Car &amp; Auto</v>
      </c>
      <c r="J1704" s="0" t="str">
        <f aca="false">IF($G1704="","Uncategorized — Review",IFERROR(INDEX(Mapping!$C:$C,MATCH($G1704,Mapping!$A:$A,0)),"Uncategorized — Review"))</f>
        <v>Personal — Owner</v>
      </c>
    </row>
    <row r="1705" customFormat="false" ht="15" hidden="false" customHeight="false" outlineLevel="0" collapsed="false">
      <c r="A1705" s="0" t="str">
        <f aca="false">Chase1168_2025!A1705</f>
        <v>DEBIT</v>
      </c>
      <c r="B1705" s="14" t="n">
        <f aca="false">Chase1168_2025!B1705</f>
        <v>45685</v>
      </c>
      <c r="C1705" s="0" t="str">
        <f aca="false">Chase1168_2025!C1705</f>
        <v>PARKING CONCEPTS INC L LOS ANGELES CA        01/26</v>
      </c>
      <c r="D1705" s="7" t="n">
        <f aca="false">Chase1168_2025!D1705</f>
        <v>-21</v>
      </c>
      <c r="E1705" s="0" t="str">
        <f aca="false">Chase1168_2025!E1705</f>
        <v>DEBIT_CARD</v>
      </c>
      <c r="F1705" s="7" t="n">
        <f aca="false">Chase1168_2025!F1705</f>
        <v>7748.49</v>
      </c>
      <c r="G1705" s="0" t="str">
        <f aca="false">Chase1168_2025!G1705</f>
        <v>Personal - Car</v>
      </c>
      <c r="H1705" s="15" t="n">
        <f aca="false">IF($B1705="","",DATE(YEAR($B1705),MONTH($B1705),1))</f>
        <v>45658</v>
      </c>
      <c r="I1705" s="0" t="str">
        <f aca="false">IF($G1705="","Uncategorized — Review",IFERROR(INDEX(Mapping!$B:$B,MATCH($G1705,Mapping!$A:$A,0)),"Uncategorized — Review"))</f>
        <v>Personal - Car &amp; Auto</v>
      </c>
      <c r="J1705" s="0" t="str">
        <f aca="false">IF($G1705="","Uncategorized — Review",IFERROR(INDEX(Mapping!$C:$C,MATCH($G1705,Mapping!$A:$A,0)),"Uncategorized — Review"))</f>
        <v>Personal — Owner</v>
      </c>
    </row>
    <row r="1706" customFormat="false" ht="15" hidden="false" customHeight="false" outlineLevel="0" collapsed="false">
      <c r="A1706" s="0" t="str">
        <f aca="false">Chase1168_2025!A1706</f>
        <v>DEBIT</v>
      </c>
      <c r="B1706" s="14" t="n">
        <f aca="false">Chase1168_2025!B1706</f>
        <v>45684</v>
      </c>
      <c r="C1706" s="0" t="str">
        <f aca="false">Chase1168_2025!C1706</f>
        <v>Online Transfer to CHK ...1117 transaction#: 23523622078 01/27</v>
      </c>
      <c r="D1706" s="7" t="n">
        <f aca="false">Chase1168_2025!D1706</f>
        <v>-1000</v>
      </c>
      <c r="E1706" s="0" t="str">
        <f aca="false">Chase1168_2025!E1706</f>
        <v>ACCT_XFER</v>
      </c>
      <c r="F1706" s="7" t="n">
        <f aca="false">Chase1168_2025!F1706</f>
        <v>7769.49</v>
      </c>
      <c r="G1706" s="0" t="str">
        <f aca="false">Chase1168_2025!G1706</f>
        <v>Transfer to Angela Dunning</v>
      </c>
      <c r="H1706" s="15" t="n">
        <f aca="false">IF($B1706="","",DATE(YEAR($B1706),MONTH($B1706),1))</f>
        <v>45658</v>
      </c>
      <c r="I1706" s="0" t="str">
        <f aca="false">IF($G1706="","Uncategorized — Review",IFERROR(INDEX(Mapping!$B:$B,MATCH($G1706,Mapping!$A:$A,0)),"Uncategorized — Review"))</f>
        <v>Transfer to Angela Dunning</v>
      </c>
      <c r="J1706" s="0" t="str">
        <f aca="false">IF($G1706="","Uncategorized — Review",IFERROR(INDEX(Mapping!$C:$C,MATCH($G1706,Mapping!$A:$A,0)),"Uncategorized — Review"))</f>
        <v>Owner / Family Distributions</v>
      </c>
    </row>
    <row r="1707" customFormat="false" ht="15" hidden="false" customHeight="false" outlineLevel="0" collapsed="false">
      <c r="A1707" s="0" t="str">
        <f aca="false">Chase1168_2025!A1707</f>
        <v>DEBIT</v>
      </c>
      <c r="B1707" s="14" t="n">
        <f aca="false">Chase1168_2025!B1707</f>
        <v>45684</v>
      </c>
      <c r="C1707" s="0" t="str">
        <f aca="false">Chase1168_2025!C1707</f>
        <v>Online Payment 23523583589 To PENTAGON FEDERAL CREDIT UNION 01/27</v>
      </c>
      <c r="D1707" s="7" t="n">
        <f aca="false">Chase1168_2025!D1707</f>
        <v>-7010</v>
      </c>
      <c r="E1707" s="0" t="str">
        <f aca="false">Chase1168_2025!E1707</f>
        <v>BILLPAY</v>
      </c>
      <c r="F1707" s="7" t="n">
        <f aca="false">Chase1168_2025!F1707</f>
        <v>8769.49</v>
      </c>
      <c r="G1707" s="0" t="str">
        <f aca="false">Chase1168_2025!G1707</f>
        <v>Personal - California Mortgage PMT</v>
      </c>
      <c r="H1707" s="15" t="n">
        <f aca="false">IF($B1707="","",DATE(YEAR($B1707),MONTH($B1707),1))</f>
        <v>45658</v>
      </c>
      <c r="I1707" s="0" t="str">
        <f aca="false">IF($G1707="","Uncategorized — Review",IFERROR(INDEX(Mapping!$B:$B,MATCH($G1707,Mapping!$A:$A,0)),"Uncategorized — Review"))</f>
        <v>Personal - California Mortgage PMT</v>
      </c>
      <c r="J1707" s="0" t="str">
        <f aca="false">IF($G1707="","Uncategorized — Review",IFERROR(INDEX(Mapping!$C:$C,MATCH($G1707,Mapping!$A:$A,0)),"Uncategorized — Review"))</f>
        <v>Personal — Owner</v>
      </c>
    </row>
    <row r="1708" customFormat="false" ht="15" hidden="false" customHeight="false" outlineLevel="0" collapsed="false">
      <c r="A1708" s="0" t="str">
        <f aca="false">Chase1168_2025!A1708</f>
        <v>DEBIT</v>
      </c>
      <c r="B1708" s="14" t="n">
        <f aca="false">Chase1168_2025!B1708</f>
        <v>45684</v>
      </c>
      <c r="C1708" s="0" t="str">
        <f aca="false">Chase1168_2025!C1708</f>
        <v>Online Transfer to CHK ...7899 transaction#: 23523556121 01/27</v>
      </c>
      <c r="D1708" s="7" t="n">
        <f aca="false">Chase1168_2025!D1708</f>
        <v>-8000</v>
      </c>
      <c r="E1708" s="0" t="str">
        <f aca="false">Chase1168_2025!E1708</f>
        <v>ACCT_XFER</v>
      </c>
      <c r="F1708" s="7" t="n">
        <f aca="false">Chase1168_2025!F1708</f>
        <v>15779.49</v>
      </c>
      <c r="G1708" s="0" t="str">
        <f aca="false">Chase1168_2025!G1708</f>
        <v>Transfer to TX Personal Joint</v>
      </c>
      <c r="H1708" s="15" t="n">
        <f aca="false">IF($B1708="","",DATE(YEAR($B1708),MONTH($B1708),1))</f>
        <v>45658</v>
      </c>
      <c r="I1708" s="0" t="str">
        <f aca="false">IF($G1708="","Uncategorized — Review",IFERROR(INDEX(Mapping!$B:$B,MATCH($G1708,Mapping!$A:$A,0)),"Uncategorized — Review"))</f>
        <v>Transfer to TX Personal Joint</v>
      </c>
      <c r="J1708" s="0" t="str">
        <f aca="false">IF($G1708="","Uncategorized — Review",IFERROR(INDEX(Mapping!$C:$C,MATCH($G1708,Mapping!$A:$A,0)),"Uncategorized — Review"))</f>
        <v>Owner / Family Distributions</v>
      </c>
    </row>
    <row r="1709" customFormat="false" ht="15" hidden="false" customHeight="false" outlineLevel="0" collapsed="false">
      <c r="A1709" s="0" t="str">
        <f aca="false">Chase1168_2025!A1709</f>
        <v>DEBIT</v>
      </c>
      <c r="B1709" s="14" t="n">
        <f aca="false">Chase1168_2025!B1709</f>
        <v>45684</v>
      </c>
      <c r="C1709" s="0" t="str">
        <f aca="false">Chase1168_2025!C1709</f>
        <v>Online Transfer to CHK ...6975 transaction#: 23523554746 01/27</v>
      </c>
      <c r="D1709" s="7" t="n">
        <f aca="false">Chase1168_2025!D1709</f>
        <v>-1000</v>
      </c>
      <c r="E1709" s="0" t="str">
        <f aca="false">Chase1168_2025!E1709</f>
        <v>ACCT_XFER</v>
      </c>
      <c r="F1709" s="7" t="n">
        <f aca="false">Chase1168_2025!F1709</f>
        <v>23779.49</v>
      </c>
      <c r="G1709" s="0" t="str">
        <f aca="false">Chase1168_2025!G1709</f>
        <v>Transfer to Ava Perez-Dunning</v>
      </c>
      <c r="H1709" s="15" t="n">
        <f aca="false">IF($B1709="","",DATE(YEAR($B1709),MONTH($B1709),1))</f>
        <v>45658</v>
      </c>
      <c r="I1709" s="0" t="str">
        <f aca="false">IF($G1709="","Uncategorized — Review",IFERROR(INDEX(Mapping!$B:$B,MATCH($G1709,Mapping!$A:$A,0)),"Uncategorized — Review"))</f>
        <v>Transfer to Ava Perez-Dunning</v>
      </c>
      <c r="J1709" s="0" t="str">
        <f aca="false">IF($G1709="","Uncategorized — Review",IFERROR(INDEX(Mapping!$C:$C,MATCH($G1709,Mapping!$A:$A,0)),"Uncategorized — Review"))</f>
        <v>Owner / Family Distributions</v>
      </c>
    </row>
    <row r="1710" customFormat="false" ht="15" hidden="false" customHeight="false" outlineLevel="0" collapsed="false">
      <c r="A1710" s="0" t="str">
        <f aca="false">Chase1168_2025!A1710</f>
        <v>DEBIT</v>
      </c>
      <c r="B1710" s="14" t="n">
        <f aca="false">Chase1168_2025!B1710</f>
        <v>45684</v>
      </c>
      <c r="C1710" s="0" t="str">
        <f aca="false">Chase1168_2025!C1710</f>
        <v>Online Transfer to CHK ...1117 transaction#: 23523553903 01/27</v>
      </c>
      <c r="D1710" s="7" t="n">
        <f aca="false">Chase1168_2025!D1710</f>
        <v>-1000</v>
      </c>
      <c r="E1710" s="0" t="str">
        <f aca="false">Chase1168_2025!E1710</f>
        <v>ACCT_XFER</v>
      </c>
      <c r="F1710" s="7" t="n">
        <f aca="false">Chase1168_2025!F1710</f>
        <v>24779.49</v>
      </c>
      <c r="G1710" s="0" t="str">
        <f aca="false">Chase1168_2025!G1710</f>
        <v>Transfer to Angela Dunning</v>
      </c>
      <c r="H1710" s="15" t="n">
        <f aca="false">IF($B1710="","",DATE(YEAR($B1710),MONTH($B1710),1))</f>
        <v>45658</v>
      </c>
      <c r="I1710" s="0" t="str">
        <f aca="false">IF($G1710="","Uncategorized — Review",IFERROR(INDEX(Mapping!$B:$B,MATCH($G1710,Mapping!$A:$A,0)),"Uncategorized — Review"))</f>
        <v>Transfer to Angela Dunning</v>
      </c>
      <c r="J1710" s="0" t="str">
        <f aca="false">IF($G1710="","Uncategorized — Review",IFERROR(INDEX(Mapping!$C:$C,MATCH($G1710,Mapping!$A:$A,0)),"Uncategorized — Review"))</f>
        <v>Owner / Family Distributions</v>
      </c>
    </row>
    <row r="1711" customFormat="false" ht="15" hidden="false" customHeight="false" outlineLevel="0" collapsed="false">
      <c r="A1711" s="0" t="str">
        <f aca="false">Chase1168_2025!A1711</f>
        <v>DEBIT</v>
      </c>
      <c r="B1711" s="14" t="n">
        <f aca="false">Chase1168_2025!B1711</f>
        <v>45684</v>
      </c>
      <c r="C1711" s="0" t="str">
        <f aca="false">Chase1168_2025!C1711</f>
        <v>ORIG CO NAME:INTUIT *               ORIG ID:0000756346 DESC DATE:250127 CO ENTRY DESCR:QBooks LivSEC:CCD    TRACE#:021000021497402 EED:250127   IND ID:4736232                      IND NAME:DWG CAPITAL GROUP                                                                                            800-446-8848 TRN: 0271497402TC</v>
      </c>
      <c r="D1711" s="7" t="n">
        <f aca="false">Chase1168_2025!D1711</f>
        <v>-132.4</v>
      </c>
      <c r="E1711" s="0" t="str">
        <f aca="false">Chase1168_2025!E1711</f>
        <v>ACH_DEBIT</v>
      </c>
      <c r="F1711" s="7" t="n">
        <f aca="false">Chase1168_2025!F1711</f>
        <v>25779.49</v>
      </c>
      <c r="G1711" s="0" t="str">
        <f aca="false">Chase1168_2025!G1711</f>
        <v>Software/Accounting</v>
      </c>
      <c r="H1711" s="15" t="n">
        <f aca="false">IF($B1711="","",DATE(YEAR($B1711),MONTH($B1711),1))</f>
        <v>45658</v>
      </c>
      <c r="I1711" s="0" t="str">
        <f aca="false">IF($G1711="","Uncategorized — Review",IFERROR(INDEX(Mapping!$B:$B,MATCH($G1711,Mapping!$A:$A,0)),"Uncategorized — Review"))</f>
        <v>Software/Accounting</v>
      </c>
      <c r="J1711" s="0" t="str">
        <f aca="false">IF($G1711="","Uncategorized — Review",IFERROR(INDEX(Mapping!$C:$C,MATCH($G1711,Mapping!$A:$A,0)),"Uncategorized — Review"))</f>
        <v>DWG Operating</v>
      </c>
    </row>
    <row r="1712" customFormat="false" ht="15" hidden="false" customHeight="false" outlineLevel="0" collapsed="false">
      <c r="A1712" s="0" t="str">
        <f aca="false">Chase1168_2025!A1712</f>
        <v>DEBIT</v>
      </c>
      <c r="B1712" s="14" t="n">
        <f aca="false">Chase1168_2025!B1712</f>
        <v>45684</v>
      </c>
      <c r="C1712" s="0" t="str">
        <f aca="false">Chase1168_2025!C1712</f>
        <v>ORIG CO NAME:VENMO                  ORIG ID:3264681992 DESC DATE:250125 CO ENTRY DESCR:PAYMENT   SEC:WEB    TRACE#:091000014603105 EED:250127   IND ID:1039857746791                IND NAME:JUDD DUNNING TRN: 0274603105TC</v>
      </c>
      <c r="D1712" s="7" t="n">
        <f aca="false">Chase1168_2025!D1712</f>
        <v>-1000</v>
      </c>
      <c r="E1712" s="0" t="str">
        <f aca="false">Chase1168_2025!E1712</f>
        <v>ACH_DEBIT</v>
      </c>
      <c r="F1712" s="7" t="n">
        <f aca="false">Chase1168_2025!F1712</f>
        <v>25911.89</v>
      </c>
      <c r="G1712" s="0" t="str">
        <f aca="false">Chase1168_2025!G1712</f>
        <v>Venmo</v>
      </c>
      <c r="H1712" s="15" t="n">
        <f aca="false">IF($B1712="","",DATE(YEAR($B1712),MONTH($B1712),1))</f>
        <v>45658</v>
      </c>
      <c r="I1712" s="0" t="str">
        <f aca="false">IF($G1712="","Uncategorized — Review",IFERROR(INDEX(Mapping!$B:$B,MATCH($G1712,Mapping!$A:$A,0)),"Uncategorized — Review"))</f>
        <v>Venmo</v>
      </c>
      <c r="J1712" s="0" t="str">
        <f aca="false">IF($G1712="","Uncategorized — Review",IFERROR(INDEX(Mapping!$C:$C,MATCH($G1712,Mapping!$A:$A,0)),"Uncategorized — Review"))</f>
        <v>P2P Payments (Zelle/Venmo/PayPal)</v>
      </c>
    </row>
    <row r="1713" customFormat="false" ht="15" hidden="false" customHeight="false" outlineLevel="0" collapsed="false">
      <c r="A1713" s="0" t="str">
        <f aca="false">Chase1168_2025!A1713</f>
        <v>DEBIT</v>
      </c>
      <c r="B1713" s="14" t="n">
        <f aca="false">Chase1168_2025!B1713</f>
        <v>45684</v>
      </c>
      <c r="C1713" s="0" t="str">
        <f aca="false">Chase1168_2025!C1713</f>
        <v>PACOS TACOS LOS ANGELES CA                   01/26</v>
      </c>
      <c r="D1713" s="7" t="n">
        <f aca="false">Chase1168_2025!D1713</f>
        <v>-215.05</v>
      </c>
      <c r="E1713" s="0" t="str">
        <f aca="false">Chase1168_2025!E1713</f>
        <v>DEBIT_CARD</v>
      </c>
      <c r="F1713" s="7" t="n">
        <f aca="false">Chase1168_2025!F1713</f>
        <v>26911.89</v>
      </c>
      <c r="G1713" s="0" t="str">
        <f aca="false">Chase1168_2025!G1713</f>
        <v>Personal - Food</v>
      </c>
      <c r="H1713" s="15" t="n">
        <f aca="false">IF($B1713="","",DATE(YEAR($B1713),MONTH($B1713),1))</f>
        <v>45658</v>
      </c>
      <c r="I1713" s="0" t="str">
        <f aca="false">IF($G1713="","Uncategorized — Review",IFERROR(INDEX(Mapping!$B:$B,MATCH($G1713,Mapping!$A:$A,0)),"Uncategorized — Review"))</f>
        <v>Personal - Food &amp; Dining</v>
      </c>
      <c r="J1713" s="0" t="str">
        <f aca="false">IF($G1713="","Uncategorized — Review",IFERROR(INDEX(Mapping!$C:$C,MATCH($G1713,Mapping!$A:$A,0)),"Uncategorized — Review"))</f>
        <v>Personal — Owner</v>
      </c>
    </row>
    <row r="1714" customFormat="false" ht="15" hidden="false" customHeight="false" outlineLevel="0" collapsed="false">
      <c r="A1714" s="0" t="str">
        <f aca="false">Chase1168_2025!A1714</f>
        <v>DEBIT</v>
      </c>
      <c r="B1714" s="14" t="n">
        <f aca="false">Chase1168_2025!B1714</f>
        <v>45684</v>
      </c>
      <c r="C1714" s="0" t="str">
        <f aca="false">Chase1168_2025!C1714</f>
        <v>PP*APPLE.COM/BILL 800-275-2273 CA            01/27</v>
      </c>
      <c r="D1714" s="7" t="n">
        <f aca="false">Chase1168_2025!D1714</f>
        <v>-16.99</v>
      </c>
      <c r="E1714" s="0" t="str">
        <f aca="false">Chase1168_2025!E1714</f>
        <v>DEBIT_CARD</v>
      </c>
      <c r="F1714" s="7" t="n">
        <f aca="false">Chase1168_2025!F1714</f>
        <v>27126.94</v>
      </c>
      <c r="G1714" s="0" t="str">
        <f aca="false">Chase1168_2025!G1714</f>
        <v>Personal - Subscriptions</v>
      </c>
      <c r="H1714" s="15" t="n">
        <f aca="false">IF($B1714="","",DATE(YEAR($B1714),MONTH($B1714),1))</f>
        <v>45658</v>
      </c>
      <c r="I1714" s="0" t="str">
        <f aca="false">IF($G1714="","Uncategorized — Review",IFERROR(INDEX(Mapping!$B:$B,MATCH($G1714,Mapping!$A:$A,0)),"Uncategorized — Review"))</f>
        <v>Personal - Subscriptions</v>
      </c>
      <c r="J1714" s="0" t="str">
        <f aca="false">IF($G1714="","Uncategorized — Review",IFERROR(INDEX(Mapping!$C:$C,MATCH($G1714,Mapping!$A:$A,0)),"Uncategorized — Review"))</f>
        <v>Personal — Owner</v>
      </c>
    </row>
    <row r="1715" customFormat="false" ht="15" hidden="false" customHeight="false" outlineLevel="0" collapsed="false">
      <c r="A1715" s="0" t="str">
        <f aca="false">Chase1168_2025!A1715</f>
        <v>DEBIT</v>
      </c>
      <c r="B1715" s="14" t="n">
        <f aca="false">Chase1168_2025!B1715</f>
        <v>45684</v>
      </c>
      <c r="C1715" s="0" t="str">
        <f aca="false">Chase1168_2025!C1715</f>
        <v>PP*APPLE.COM/BILL 800-275-2273 CA            01/26</v>
      </c>
      <c r="D1715" s="7" t="n">
        <f aca="false">Chase1168_2025!D1715</f>
        <v>-9.99</v>
      </c>
      <c r="E1715" s="0" t="str">
        <f aca="false">Chase1168_2025!E1715</f>
        <v>DEBIT_CARD</v>
      </c>
      <c r="F1715" s="7" t="n">
        <f aca="false">Chase1168_2025!F1715</f>
        <v>27143.93</v>
      </c>
      <c r="G1715" s="0" t="str">
        <f aca="false">Chase1168_2025!G1715</f>
        <v>Personal - Subscriptions</v>
      </c>
      <c r="H1715" s="15" t="n">
        <f aca="false">IF($B1715="","",DATE(YEAR($B1715),MONTH($B1715),1))</f>
        <v>45658</v>
      </c>
      <c r="I1715" s="0" t="str">
        <f aca="false">IF($G1715="","Uncategorized — Review",IFERROR(INDEX(Mapping!$B:$B,MATCH($G1715,Mapping!$A:$A,0)),"Uncategorized — Review"))</f>
        <v>Personal - Subscriptions</v>
      </c>
      <c r="J1715" s="0" t="str">
        <f aca="false">IF($G1715="","Uncategorized — Review",IFERROR(INDEX(Mapping!$C:$C,MATCH($G1715,Mapping!$A:$A,0)),"Uncategorized — Review"))</f>
        <v>Personal — Owner</v>
      </c>
    </row>
    <row r="1716" customFormat="false" ht="15" hidden="false" customHeight="false" outlineLevel="0" collapsed="false">
      <c r="A1716" s="0" t="str">
        <f aca="false">Chase1168_2025!A1716</f>
        <v>DEBIT</v>
      </c>
      <c r="B1716" s="14" t="n">
        <f aca="false">Chase1168_2025!B1716</f>
        <v>45684</v>
      </c>
      <c r="C1716" s="0" t="str">
        <f aca="false">Chase1168_2025!C1716</f>
        <v>PAYPAL *RUTHALCANCI 402-935-7733 CA          01/26</v>
      </c>
      <c r="D1716" s="7" t="n">
        <f aca="false">Chase1168_2025!D1716</f>
        <v>-250</v>
      </c>
      <c r="E1716" s="0" t="str">
        <f aca="false">Chase1168_2025!E1716</f>
        <v>DEBIT_CARD</v>
      </c>
      <c r="F1716" s="7" t="n">
        <f aca="false">Chase1168_2025!F1716</f>
        <v>27153.92</v>
      </c>
      <c r="G1716" s="0" t="str">
        <f aca="false">Chase1168_2025!G1716</f>
        <v>Ruth Alcancia - Forward Bridge Payment</v>
      </c>
      <c r="H1716" s="15" t="n">
        <f aca="false">IF($B1716="","",DATE(YEAR($B1716),MONTH($B1716),1))</f>
        <v>45658</v>
      </c>
      <c r="I1716" s="0" t="str">
        <f aca="false">IF($G1716="","Uncategorized — Review",IFERROR(INDEX(Mapping!$B:$B,MATCH($G1716,Mapping!$A:$A,0)),"Uncategorized — Review"))</f>
        <v>Ruth Alcancia - Forward Bridge Payment</v>
      </c>
      <c r="J1716" s="0" t="str">
        <f aca="false">IF($G1716="","Uncategorized — Review",IFERROR(INDEX(Mapping!$C:$C,MATCH($G1716,Mapping!$A:$A,0)),"Uncategorized — Review"))</f>
        <v>Payroll &amp; Contractors</v>
      </c>
    </row>
    <row r="1717" customFormat="false" ht="15" hidden="false" customHeight="false" outlineLevel="0" collapsed="false">
      <c r="A1717" s="0" t="str">
        <f aca="false">Chase1168_2025!A1717</f>
        <v>DEBIT</v>
      </c>
      <c r="B1717" s="14" t="n">
        <f aca="false">Chase1168_2025!B1717</f>
        <v>45684</v>
      </c>
      <c r="C1717" s="0" t="str">
        <f aca="false">Chase1168_2025!C1717</f>
        <v>Disney Plus 888-9057888 CA                   01/26</v>
      </c>
      <c r="D1717" s="7" t="n">
        <f aca="false">Chase1168_2025!D1717</f>
        <v>-17.27</v>
      </c>
      <c r="E1717" s="0" t="str">
        <f aca="false">Chase1168_2025!E1717</f>
        <v>DEBIT_CARD</v>
      </c>
      <c r="F1717" s="7" t="n">
        <f aca="false">Chase1168_2025!F1717</f>
        <v>27403.92</v>
      </c>
      <c r="G1717" s="0" t="str">
        <f aca="false">Chase1168_2025!G1717</f>
        <v>Personal - Subscriptions</v>
      </c>
      <c r="H1717" s="15" t="n">
        <f aca="false">IF($B1717="","",DATE(YEAR($B1717),MONTH($B1717),1))</f>
        <v>45658</v>
      </c>
      <c r="I1717" s="0" t="str">
        <f aca="false">IF($G1717="","Uncategorized — Review",IFERROR(INDEX(Mapping!$B:$B,MATCH($G1717,Mapping!$A:$A,0)),"Uncategorized — Review"))</f>
        <v>Personal - Subscriptions</v>
      </c>
      <c r="J1717" s="0" t="str">
        <f aca="false">IF($G1717="","Uncategorized — Review",IFERROR(INDEX(Mapping!$C:$C,MATCH($G1717,Mapping!$A:$A,0)),"Uncategorized — Review"))</f>
        <v>Personal — Owner</v>
      </c>
    </row>
    <row r="1718" customFormat="false" ht="15" hidden="false" customHeight="false" outlineLevel="0" collapsed="false">
      <c r="A1718" s="0" t="str">
        <f aca="false">Chase1168_2025!A1718</f>
        <v>DEBIT</v>
      </c>
      <c r="B1718" s="14" t="n">
        <f aca="false">Chase1168_2025!B1718</f>
        <v>45684</v>
      </c>
      <c r="C1718" s="0" t="str">
        <f aca="false">Chase1168_2025!C1718</f>
        <v>Zelle payment to Jeffrey Seider JPM99aw1oytc</v>
      </c>
      <c r="D1718" s="7" t="n">
        <f aca="false">Chase1168_2025!D1718</f>
        <v>-100</v>
      </c>
      <c r="E1718" s="0" t="str">
        <f aca="false">Chase1168_2025!E1718</f>
        <v>CHASE_TO_PARTNERFI</v>
      </c>
      <c r="F1718" s="7" t="n">
        <f aca="false">Chase1168_2025!F1718</f>
        <v>27421.19</v>
      </c>
      <c r="G1718" s="0" t="str">
        <f aca="false">Chase1168_2025!G1718</f>
        <v>Zelle - Jeff Seider</v>
      </c>
      <c r="H1718" s="15" t="n">
        <f aca="false">IF($B1718="","",DATE(YEAR($B1718),MONTH($B1718),1))</f>
        <v>45658</v>
      </c>
      <c r="I1718" s="0" t="str">
        <f aca="false">IF($G1718="","Uncategorized — Review",IFERROR(INDEX(Mapping!$B:$B,MATCH($G1718,Mapping!$A:$A,0)),"Uncategorized — Review"))</f>
        <v>Zelle - Jeff Seider</v>
      </c>
      <c r="J1718" s="0" t="str">
        <f aca="false">IF($G1718="","Uncategorized — Review",IFERROR(INDEX(Mapping!$C:$C,MATCH($G1718,Mapping!$A:$A,0)),"Uncategorized — Review"))</f>
        <v>P2P Payments (Zelle/Venmo/PayPal)</v>
      </c>
    </row>
    <row r="1719" customFormat="false" ht="15" hidden="false" customHeight="false" outlineLevel="0" collapsed="false">
      <c r="A1719" s="0" t="str">
        <f aca="false">Chase1168_2025!A1719</f>
        <v>DEBIT</v>
      </c>
      <c r="B1719" s="14" t="n">
        <f aca="false">Chase1168_2025!B1719</f>
        <v>45684</v>
      </c>
      <c r="C1719" s="0" t="str">
        <f aca="false">Chase1168_2025!C1719</f>
        <v>Zelle payment to Jeffrey Seider JPM99aw1omia</v>
      </c>
      <c r="D1719" s="7" t="n">
        <f aca="false">Chase1168_2025!D1719</f>
        <v>-100</v>
      </c>
      <c r="E1719" s="0" t="str">
        <f aca="false">Chase1168_2025!E1719</f>
        <v>CHASE_TO_PARTNERFI</v>
      </c>
      <c r="F1719" s="7" t="n">
        <f aca="false">Chase1168_2025!F1719</f>
        <v>27521.19</v>
      </c>
      <c r="G1719" s="0" t="str">
        <f aca="false">Chase1168_2025!G1719</f>
        <v>Zelle - Jeff Seider</v>
      </c>
      <c r="H1719" s="15" t="n">
        <f aca="false">IF($B1719="","",DATE(YEAR($B1719),MONTH($B1719),1))</f>
        <v>45658</v>
      </c>
      <c r="I1719" s="0" t="str">
        <f aca="false">IF($G1719="","Uncategorized — Review",IFERROR(INDEX(Mapping!$B:$B,MATCH($G1719,Mapping!$A:$A,0)),"Uncategorized — Review"))</f>
        <v>Zelle - Jeff Seider</v>
      </c>
      <c r="J1719" s="0" t="str">
        <f aca="false">IF($G1719="","Uncategorized — Review",IFERROR(INDEX(Mapping!$C:$C,MATCH($G1719,Mapping!$A:$A,0)),"Uncategorized — Review"))</f>
        <v>P2P Payments (Zelle/Venmo/PayPal)</v>
      </c>
    </row>
    <row r="1720" customFormat="false" ht="15" hidden="false" customHeight="false" outlineLevel="0" collapsed="false">
      <c r="A1720" s="0" t="str">
        <f aca="false">Chase1168_2025!A1720</f>
        <v>DEBIT</v>
      </c>
      <c r="B1720" s="14" t="n">
        <f aca="false">Chase1168_2025!B1720</f>
        <v>45684</v>
      </c>
      <c r="C1720" s="0" t="str">
        <f aca="false">Chase1168_2025!C1720</f>
        <v>PP*APPLE.COM/BILL 800-275-2273 CA            01/25</v>
      </c>
      <c r="D1720" s="7" t="n">
        <f aca="false">Chase1168_2025!D1720</f>
        <v>-8.99</v>
      </c>
      <c r="E1720" s="0" t="str">
        <f aca="false">Chase1168_2025!E1720</f>
        <v>DEBIT_CARD</v>
      </c>
      <c r="F1720" s="7" t="n">
        <f aca="false">Chase1168_2025!F1720</f>
        <v>27621.19</v>
      </c>
      <c r="G1720" s="0" t="str">
        <f aca="false">Chase1168_2025!G1720</f>
        <v>Personal - Subscriptions</v>
      </c>
      <c r="H1720" s="15" t="n">
        <f aca="false">IF($B1720="","",DATE(YEAR($B1720),MONTH($B1720),1))</f>
        <v>45658</v>
      </c>
      <c r="I1720" s="0" t="str">
        <f aca="false">IF($G1720="","Uncategorized — Review",IFERROR(INDEX(Mapping!$B:$B,MATCH($G1720,Mapping!$A:$A,0)),"Uncategorized — Review"))</f>
        <v>Personal - Subscriptions</v>
      </c>
      <c r="J1720" s="0" t="str">
        <f aca="false">IF($G1720="","Uncategorized — Review",IFERROR(INDEX(Mapping!$C:$C,MATCH($G1720,Mapping!$A:$A,0)),"Uncategorized — Review"))</f>
        <v>Personal — Owner</v>
      </c>
    </row>
    <row r="1721" customFormat="false" ht="15" hidden="false" customHeight="false" outlineLevel="0" collapsed="false">
      <c r="A1721" s="0" t="str">
        <f aca="false">Chase1168_2025!A1721</f>
        <v>DEBIT</v>
      </c>
      <c r="B1721" s="14" t="n">
        <f aca="false">Chase1168_2025!B1721</f>
        <v>45684</v>
      </c>
      <c r="C1721" s="0" t="str">
        <f aca="false">Chase1168_2025!C1721</f>
        <v>PAYPAL *LINKEDIN 402-935-7733 CA             01/27</v>
      </c>
      <c r="D1721" s="7" t="n">
        <f aca="false">Chase1168_2025!D1721</f>
        <v>-520</v>
      </c>
      <c r="E1721" s="0" t="str">
        <f aca="false">Chase1168_2025!E1721</f>
        <v>DEBIT_CARD</v>
      </c>
      <c r="F1721" s="7" t="n">
        <f aca="false">Chase1168_2025!F1721</f>
        <v>27630.18</v>
      </c>
      <c r="G1721" s="0" t="str">
        <f aca="false">Chase1168_2025!G1721</f>
        <v>DWG HR</v>
      </c>
      <c r="H1721" s="15" t="n">
        <f aca="false">IF($B1721="","",DATE(YEAR($B1721),MONTH($B1721),1))</f>
        <v>45658</v>
      </c>
      <c r="I1721" s="0" t="str">
        <f aca="false">IF($G1721="","Uncategorized — Review",IFERROR(INDEX(Mapping!$B:$B,MATCH($G1721,Mapping!$A:$A,0)),"Uncategorized — Review"))</f>
        <v>DWG HR</v>
      </c>
      <c r="J1721" s="0" t="str">
        <f aca="false">IF($G1721="","Uncategorized — Review",IFERROR(INDEX(Mapping!$C:$C,MATCH($G1721,Mapping!$A:$A,0)),"Uncategorized — Review"))</f>
        <v>Payroll &amp; Contractors</v>
      </c>
    </row>
    <row r="1722" customFormat="false" ht="15" hidden="false" customHeight="false" outlineLevel="0" collapsed="false">
      <c r="A1722" s="0" t="str">
        <f aca="false">Chase1168_2025!A1722</f>
        <v>DEBIT</v>
      </c>
      <c r="B1722" s="14" t="n">
        <f aca="false">Chase1168_2025!B1722</f>
        <v>45684</v>
      </c>
      <c r="C1722" s="0" t="str">
        <f aca="false">Chase1168_2025!C1722</f>
        <v>TST* TAVERNA AT THE MA LOS ANGELES CA        01/25</v>
      </c>
      <c r="D1722" s="7" t="n">
        <f aca="false">Chase1168_2025!D1722</f>
        <v>-276.17</v>
      </c>
      <c r="E1722" s="0" t="str">
        <f aca="false">Chase1168_2025!E1722</f>
        <v>DEBIT_CARD</v>
      </c>
      <c r="F1722" s="7" t="n">
        <f aca="false">Chase1168_2025!F1722</f>
        <v>28150.18</v>
      </c>
      <c r="G1722" s="0" t="str">
        <f aca="false">Chase1168_2025!G1722</f>
        <v>Personal - Food</v>
      </c>
      <c r="H1722" s="15" t="n">
        <f aca="false">IF($B1722="","",DATE(YEAR($B1722),MONTH($B1722),1))</f>
        <v>45658</v>
      </c>
      <c r="I1722" s="0" t="str">
        <f aca="false">IF($G1722="","Uncategorized — Review",IFERROR(INDEX(Mapping!$B:$B,MATCH($G1722,Mapping!$A:$A,0)),"Uncategorized — Review"))</f>
        <v>Personal - Food &amp; Dining</v>
      </c>
      <c r="J1722" s="0" t="str">
        <f aca="false">IF($G1722="","Uncategorized — Review",IFERROR(INDEX(Mapping!$C:$C,MATCH($G1722,Mapping!$A:$A,0)),"Uncategorized — Review"))</f>
        <v>Personal — Owner</v>
      </c>
    </row>
    <row r="1723" customFormat="false" ht="15" hidden="false" customHeight="false" outlineLevel="0" collapsed="false">
      <c r="A1723" s="0" t="str">
        <f aca="false">Chase1168_2025!A1723</f>
        <v>DEBIT</v>
      </c>
      <c r="B1723" s="14" t="n">
        <f aca="false">Chase1168_2025!B1723</f>
        <v>45684</v>
      </c>
      <c r="C1723" s="0" t="str">
        <f aca="false">Chase1168_2025!C1723</f>
        <v>PAYPAL *CANVA 416-131-8870 DE                01/25</v>
      </c>
      <c r="D1723" s="7" t="n">
        <f aca="false">Chase1168_2025!D1723</f>
        <v>-12.99</v>
      </c>
      <c r="E1723" s="0" t="str">
        <f aca="false">Chase1168_2025!E1723</f>
        <v>DEBIT_CARD</v>
      </c>
      <c r="F1723" s="7" t="n">
        <f aca="false">Chase1168_2025!F1723</f>
        <v>28426.35</v>
      </c>
      <c r="G1723" s="0" t="str">
        <f aca="false">Chase1168_2025!G1723</f>
        <v>DWG Marketing</v>
      </c>
      <c r="H1723" s="15" t="n">
        <f aca="false">IF($B1723="","",DATE(YEAR($B1723),MONTH($B1723),1))</f>
        <v>45658</v>
      </c>
      <c r="I1723" s="0" t="str">
        <f aca="false">IF($G1723="","Uncategorized — Review",IFERROR(INDEX(Mapping!$B:$B,MATCH($G1723,Mapping!$A:$A,0)),"Uncategorized — Review"))</f>
        <v>DWG Marketing</v>
      </c>
      <c r="J1723" s="0" t="str">
        <f aca="false">IF($G1723="","Uncategorized — Review",IFERROR(INDEX(Mapping!$C:$C,MATCH($G1723,Mapping!$A:$A,0)),"Uncategorized — Review"))</f>
        <v>DWG Operating</v>
      </c>
    </row>
    <row r="1724" customFormat="false" ht="15" hidden="false" customHeight="false" outlineLevel="0" collapsed="false">
      <c r="A1724" s="0" t="str">
        <f aca="false">Chase1168_2025!A1724</f>
        <v>CREDIT</v>
      </c>
      <c r="B1724" s="14" t="n">
        <f aca="false">Chase1168_2025!B1724</f>
        <v>45684</v>
      </c>
      <c r="C1724" s="0" t="str">
        <f aca="false">Chase1168_2025!C1724</f>
        <v>Online Transfer from CHK ...9335 transaction#: 23523543484</v>
      </c>
      <c r="D1724" s="7" t="n">
        <f aca="false">Chase1168_2025!D1724</f>
        <v>20000</v>
      </c>
      <c r="E1724" s="0" t="str">
        <f aca="false">Chase1168_2025!E1724</f>
        <v>ACCT_XFER</v>
      </c>
      <c r="F1724" s="7" t="n">
        <f aca="false">Chase1168_2025!F1724</f>
        <v>28439.34</v>
      </c>
      <c r="G1724" s="0" t="str">
        <f aca="false">Chase1168_2025!G1724</f>
        <v>Transfer From Poseidon Asset Group</v>
      </c>
      <c r="H1724" s="15" t="n">
        <f aca="false">IF($B1724="","",DATE(YEAR($B1724),MONTH($B1724),1))</f>
        <v>45658</v>
      </c>
      <c r="I1724" s="0" t="str">
        <f aca="false">IF($G1724="","Uncategorized — Review",IFERROR(INDEX(Mapping!$B:$B,MATCH($G1724,Mapping!$A:$A,0)),"Uncategorized — Review"))</f>
        <v>Transfer From Poseidon Asset Group</v>
      </c>
      <c r="J1724" s="0" t="str">
        <f aca="false">IF($G1724="","Uncategorized — Review",IFERROR(INDEX(Mapping!$C:$C,MATCH($G1724,Mapping!$A:$A,0)),"Uncategorized — Review"))</f>
        <v>Poseidon Asset Group</v>
      </c>
    </row>
    <row r="1725" customFormat="false" ht="15" hidden="false" customHeight="false" outlineLevel="0" collapsed="false">
      <c r="A1725" s="0" t="str">
        <f aca="false">Chase1168_2025!A1725</f>
        <v>DEBIT</v>
      </c>
      <c r="B1725" s="14" t="n">
        <f aca="false">Chase1168_2025!B1725</f>
        <v>45681</v>
      </c>
      <c r="C1725" s="0" t="str">
        <f aca="false">Chase1168_2025!C1725</f>
        <v>PAYPAL *UBER 866-576-1039 CA                 01/24</v>
      </c>
      <c r="D1725" s="7" t="n">
        <f aca="false">Chase1168_2025!D1725</f>
        <v>-5</v>
      </c>
      <c r="E1725" s="0" t="str">
        <f aca="false">Chase1168_2025!E1725</f>
        <v>DEBIT_CARD</v>
      </c>
      <c r="F1725" s="7" t="n">
        <f aca="false">Chase1168_2025!F1725</f>
        <v>8439.34</v>
      </c>
      <c r="G1725" s="0" t="str">
        <f aca="false">Chase1168_2025!G1725</f>
        <v>Personal - Car</v>
      </c>
      <c r="H1725" s="15" t="n">
        <f aca="false">IF($B1725="","",DATE(YEAR($B1725),MONTH($B1725),1))</f>
        <v>45658</v>
      </c>
      <c r="I1725" s="0" t="str">
        <f aca="false">IF($G1725="","Uncategorized — Review",IFERROR(INDEX(Mapping!$B:$B,MATCH($G1725,Mapping!$A:$A,0)),"Uncategorized — Review"))</f>
        <v>Personal - Car &amp; Auto</v>
      </c>
      <c r="J1725" s="0" t="str">
        <f aca="false">IF($G1725="","Uncategorized — Review",IFERROR(INDEX(Mapping!$C:$C,MATCH($G1725,Mapping!$A:$A,0)),"Uncategorized — Review"))</f>
        <v>Personal — Owner</v>
      </c>
    </row>
    <row r="1726" customFormat="false" ht="15" hidden="false" customHeight="false" outlineLevel="0" collapsed="false">
      <c r="A1726" s="0" t="str">
        <f aca="false">Chase1168_2025!A1726</f>
        <v>DEBIT</v>
      </c>
      <c r="B1726" s="14" t="n">
        <f aca="false">Chase1168_2025!B1726</f>
        <v>45681</v>
      </c>
      <c r="C1726" s="0" t="str">
        <f aca="false">Chase1168_2025!C1726</f>
        <v>PAYPAL *UBER 866-576-1039 CA                 01/24</v>
      </c>
      <c r="D1726" s="7" t="n">
        <f aca="false">Chase1168_2025!D1726</f>
        <v>-12.18</v>
      </c>
      <c r="E1726" s="0" t="str">
        <f aca="false">Chase1168_2025!E1726</f>
        <v>DEBIT_CARD</v>
      </c>
      <c r="F1726" s="7" t="n">
        <f aca="false">Chase1168_2025!F1726</f>
        <v>8444.34</v>
      </c>
      <c r="G1726" s="0" t="str">
        <f aca="false">Chase1168_2025!G1726</f>
        <v>Personal - Car</v>
      </c>
      <c r="H1726" s="15" t="n">
        <f aca="false">IF($B1726="","",DATE(YEAR($B1726),MONTH($B1726),1))</f>
        <v>45658</v>
      </c>
      <c r="I1726" s="0" t="str">
        <f aca="false">IF($G1726="","Uncategorized — Review",IFERROR(INDEX(Mapping!$B:$B,MATCH($G1726,Mapping!$A:$A,0)),"Uncategorized — Review"))</f>
        <v>Personal - Car &amp; Auto</v>
      </c>
      <c r="J1726" s="0" t="str">
        <f aca="false">IF($G1726="","Uncategorized — Review",IFERROR(INDEX(Mapping!$C:$C,MATCH($G1726,Mapping!$A:$A,0)),"Uncategorized — Review"))</f>
        <v>Personal — Owner</v>
      </c>
    </row>
    <row r="1727" customFormat="false" ht="15" hidden="false" customHeight="false" outlineLevel="0" collapsed="false">
      <c r="A1727" s="0" t="str">
        <f aca="false">Chase1168_2025!A1727</f>
        <v>DEBIT</v>
      </c>
      <c r="B1727" s="14" t="n">
        <f aca="false">Chase1168_2025!B1727</f>
        <v>45681</v>
      </c>
      <c r="C1727" s="0" t="str">
        <f aca="false">Chase1168_2025!C1727</f>
        <v>PAYPAL *UBER 866-576-1039 CA                 01/24</v>
      </c>
      <c r="D1727" s="7" t="n">
        <f aca="false">Chase1168_2025!D1727</f>
        <v>-11.86</v>
      </c>
      <c r="E1727" s="0" t="str">
        <f aca="false">Chase1168_2025!E1727</f>
        <v>DEBIT_CARD</v>
      </c>
      <c r="F1727" s="7" t="n">
        <f aca="false">Chase1168_2025!F1727</f>
        <v>8456.52</v>
      </c>
      <c r="G1727" s="0" t="str">
        <f aca="false">Chase1168_2025!G1727</f>
        <v>Personal - Car</v>
      </c>
      <c r="H1727" s="15" t="n">
        <f aca="false">IF($B1727="","",DATE(YEAR($B1727),MONTH($B1727),1))</f>
        <v>45658</v>
      </c>
      <c r="I1727" s="0" t="str">
        <f aca="false">IF($G1727="","Uncategorized — Review",IFERROR(INDEX(Mapping!$B:$B,MATCH($G1727,Mapping!$A:$A,0)),"Uncategorized — Review"))</f>
        <v>Personal - Car &amp; Auto</v>
      </c>
      <c r="J1727" s="0" t="str">
        <f aca="false">IF($G1727="","Uncategorized — Review",IFERROR(INDEX(Mapping!$C:$C,MATCH($G1727,Mapping!$A:$A,0)),"Uncategorized — Review"))</f>
        <v>Personal — Owner</v>
      </c>
    </row>
    <row r="1728" customFormat="false" ht="15" hidden="false" customHeight="false" outlineLevel="0" collapsed="false">
      <c r="A1728" s="0" t="str">
        <f aca="false">Chase1168_2025!A1728</f>
        <v>DEBIT</v>
      </c>
      <c r="B1728" s="14" t="n">
        <f aca="false">Chase1168_2025!B1728</f>
        <v>45681</v>
      </c>
      <c r="C1728" s="0" t="str">
        <f aca="false">Chase1168_2025!C1728</f>
        <v>PP*APPLE.COM/BILL 800-275-2273 CA            01/23</v>
      </c>
      <c r="D1728" s="7" t="n">
        <f aca="false">Chase1168_2025!D1728</f>
        <v>-9.99</v>
      </c>
      <c r="E1728" s="0" t="str">
        <f aca="false">Chase1168_2025!E1728</f>
        <v>DEBIT_CARD</v>
      </c>
      <c r="F1728" s="7" t="n">
        <f aca="false">Chase1168_2025!F1728</f>
        <v>8468.38</v>
      </c>
      <c r="G1728" s="0" t="str">
        <f aca="false">Chase1168_2025!G1728</f>
        <v>Personal - Subscriptions</v>
      </c>
      <c r="H1728" s="15" t="n">
        <f aca="false">IF($B1728="","",DATE(YEAR($B1728),MONTH($B1728),1))</f>
        <v>45658</v>
      </c>
      <c r="I1728" s="0" t="str">
        <f aca="false">IF($G1728="","Uncategorized — Review",IFERROR(INDEX(Mapping!$B:$B,MATCH($G1728,Mapping!$A:$A,0)),"Uncategorized — Review"))</f>
        <v>Personal - Subscriptions</v>
      </c>
      <c r="J1728" s="0" t="str">
        <f aca="false">IF($G1728="","Uncategorized — Review",IFERROR(INDEX(Mapping!$C:$C,MATCH($G1728,Mapping!$A:$A,0)),"Uncategorized — Review"))</f>
        <v>Personal — Owner</v>
      </c>
    </row>
    <row r="1729" customFormat="false" ht="15" hidden="false" customHeight="false" outlineLevel="0" collapsed="false">
      <c r="A1729" s="0" t="str">
        <f aca="false">Chase1168_2025!A1729</f>
        <v>DEBIT</v>
      </c>
      <c r="B1729" s="14" t="n">
        <f aca="false">Chase1168_2025!B1729</f>
        <v>45680</v>
      </c>
      <c r="C1729" s="0" t="str">
        <f aca="false">Chase1168_2025!C1729</f>
        <v>PAYPAL *UBER 866-576-1039 CA                 01/23</v>
      </c>
      <c r="D1729" s="7" t="n">
        <f aca="false">Chase1168_2025!D1729</f>
        <v>-79.08</v>
      </c>
      <c r="E1729" s="0" t="str">
        <f aca="false">Chase1168_2025!E1729</f>
        <v>DEBIT_CARD</v>
      </c>
      <c r="F1729" s="7" t="n">
        <f aca="false">Chase1168_2025!F1729</f>
        <v>8478.37</v>
      </c>
      <c r="G1729" s="0" t="str">
        <f aca="false">Chase1168_2025!G1729</f>
        <v>Personal - Car</v>
      </c>
      <c r="H1729" s="15" t="n">
        <f aca="false">IF($B1729="","",DATE(YEAR($B1729),MONTH($B1729),1))</f>
        <v>45658</v>
      </c>
      <c r="I1729" s="0" t="str">
        <f aca="false">IF($G1729="","Uncategorized — Review",IFERROR(INDEX(Mapping!$B:$B,MATCH($G1729,Mapping!$A:$A,0)),"Uncategorized — Review"))</f>
        <v>Personal - Car &amp; Auto</v>
      </c>
      <c r="J1729" s="0" t="str">
        <f aca="false">IF($G1729="","Uncategorized — Review",IFERROR(INDEX(Mapping!$C:$C,MATCH($G1729,Mapping!$A:$A,0)),"Uncategorized — Review"))</f>
        <v>Personal — Owner</v>
      </c>
    </row>
    <row r="1730" customFormat="false" ht="15" hidden="false" customHeight="false" outlineLevel="0" collapsed="false">
      <c r="A1730" s="0" t="str">
        <f aca="false">Chase1168_2025!A1730</f>
        <v>DEBIT</v>
      </c>
      <c r="B1730" s="14" t="n">
        <f aca="false">Chase1168_2025!B1730</f>
        <v>45680</v>
      </c>
      <c r="C1730" s="0" t="str">
        <f aca="false">Chase1168_2025!C1730</f>
        <v>PAYPAL *UBER 866-576-1039 CA                 01/23</v>
      </c>
      <c r="D1730" s="7" t="n">
        <f aca="false">Chase1168_2025!D1730</f>
        <v>-7</v>
      </c>
      <c r="E1730" s="0" t="str">
        <f aca="false">Chase1168_2025!E1730</f>
        <v>DEBIT_CARD</v>
      </c>
      <c r="F1730" s="7" t="n">
        <f aca="false">Chase1168_2025!F1730</f>
        <v>8557.45</v>
      </c>
      <c r="G1730" s="0" t="str">
        <f aca="false">Chase1168_2025!G1730</f>
        <v>Personal - Car</v>
      </c>
      <c r="H1730" s="15" t="n">
        <f aca="false">IF($B1730="","",DATE(YEAR($B1730),MONTH($B1730),1))</f>
        <v>45658</v>
      </c>
      <c r="I1730" s="0" t="str">
        <f aca="false">IF($G1730="","Uncategorized — Review",IFERROR(INDEX(Mapping!$B:$B,MATCH($G1730,Mapping!$A:$A,0)),"Uncategorized — Review"))</f>
        <v>Personal - Car &amp; Auto</v>
      </c>
      <c r="J1730" s="0" t="str">
        <f aca="false">IF($G1730="","Uncategorized — Review",IFERROR(INDEX(Mapping!$C:$C,MATCH($G1730,Mapping!$A:$A,0)),"Uncategorized — Review"))</f>
        <v>Personal — Owner</v>
      </c>
    </row>
    <row r="1731" customFormat="false" ht="15" hidden="false" customHeight="false" outlineLevel="0" collapsed="false">
      <c r="A1731" s="0" t="str">
        <f aca="false">Chase1168_2025!A1731</f>
        <v>DEBIT</v>
      </c>
      <c r="B1731" s="14" t="n">
        <f aca="false">Chase1168_2025!B1731</f>
        <v>45680</v>
      </c>
      <c r="C1731" s="0" t="str">
        <f aca="false">Chase1168_2025!C1731</f>
        <v>PAYPAL *UBER 866-576-1039 CA                 01/23</v>
      </c>
      <c r="D1731" s="7" t="n">
        <f aca="false">Chase1168_2025!D1731</f>
        <v>-21.68</v>
      </c>
      <c r="E1731" s="0" t="str">
        <f aca="false">Chase1168_2025!E1731</f>
        <v>DEBIT_CARD</v>
      </c>
      <c r="F1731" s="7" t="n">
        <f aca="false">Chase1168_2025!F1731</f>
        <v>8564.45</v>
      </c>
      <c r="G1731" s="0" t="str">
        <f aca="false">Chase1168_2025!G1731</f>
        <v>Personal - Car</v>
      </c>
      <c r="H1731" s="15" t="n">
        <f aca="false">IF($B1731="","",DATE(YEAR($B1731),MONTH($B1731),1))</f>
        <v>45658</v>
      </c>
      <c r="I1731" s="0" t="str">
        <f aca="false">IF($G1731="","Uncategorized — Review",IFERROR(INDEX(Mapping!$B:$B,MATCH($G1731,Mapping!$A:$A,0)),"Uncategorized — Review"))</f>
        <v>Personal - Car &amp; Auto</v>
      </c>
      <c r="J1731" s="0" t="str">
        <f aca="false">IF($G1731="","Uncategorized — Review",IFERROR(INDEX(Mapping!$C:$C,MATCH($G1731,Mapping!$A:$A,0)),"Uncategorized — Review"))</f>
        <v>Personal — Owner</v>
      </c>
    </row>
    <row r="1732" customFormat="false" ht="15" hidden="false" customHeight="false" outlineLevel="0" collapsed="false">
      <c r="A1732" s="0" t="str">
        <f aca="false">Chase1168_2025!A1732</f>
        <v>DEBIT</v>
      </c>
      <c r="B1732" s="14" t="n">
        <f aca="false">Chase1168_2025!B1732</f>
        <v>45680</v>
      </c>
      <c r="C1732" s="0" t="str">
        <f aca="false">Chase1168_2025!C1732</f>
        <v>PAYPAL *UBER 866-576-1039 CA                 01/23</v>
      </c>
      <c r="D1732" s="7" t="n">
        <f aca="false">Chase1168_2025!D1732</f>
        <v>-5</v>
      </c>
      <c r="E1732" s="0" t="str">
        <f aca="false">Chase1168_2025!E1732</f>
        <v>DEBIT_CARD</v>
      </c>
      <c r="F1732" s="7" t="n">
        <f aca="false">Chase1168_2025!F1732</f>
        <v>8586.13</v>
      </c>
      <c r="G1732" s="0" t="str">
        <f aca="false">Chase1168_2025!G1732</f>
        <v>Personal - Car</v>
      </c>
      <c r="H1732" s="15" t="n">
        <f aca="false">IF($B1732="","",DATE(YEAR($B1732),MONTH($B1732),1))</f>
        <v>45658</v>
      </c>
      <c r="I1732" s="0" t="str">
        <f aca="false">IF($G1732="","Uncategorized — Review",IFERROR(INDEX(Mapping!$B:$B,MATCH($G1732,Mapping!$A:$A,0)),"Uncategorized — Review"))</f>
        <v>Personal - Car &amp; Auto</v>
      </c>
      <c r="J1732" s="0" t="str">
        <f aca="false">IF($G1732="","Uncategorized — Review",IFERROR(INDEX(Mapping!$C:$C,MATCH($G1732,Mapping!$A:$A,0)),"Uncategorized — Review"))</f>
        <v>Personal — Owner</v>
      </c>
    </row>
    <row r="1733" customFormat="false" ht="15" hidden="false" customHeight="false" outlineLevel="0" collapsed="false">
      <c r="A1733" s="0" t="str">
        <f aca="false">Chase1168_2025!A1733</f>
        <v>DEBIT</v>
      </c>
      <c r="B1733" s="14" t="n">
        <f aca="false">Chase1168_2025!B1733</f>
        <v>45680</v>
      </c>
      <c r="C1733" s="0" t="str">
        <f aca="false">Chase1168_2025!C1733</f>
        <v>PAYPAL *UBER 866-576-1039 CA                 01/23</v>
      </c>
      <c r="D1733" s="7" t="n">
        <f aca="false">Chase1168_2025!D1733</f>
        <v>-4.3</v>
      </c>
      <c r="E1733" s="0" t="str">
        <f aca="false">Chase1168_2025!E1733</f>
        <v>DEBIT_CARD</v>
      </c>
      <c r="F1733" s="7" t="n">
        <f aca="false">Chase1168_2025!F1733</f>
        <v>8591.13</v>
      </c>
      <c r="G1733" s="0" t="str">
        <f aca="false">Chase1168_2025!G1733</f>
        <v>Personal - Car</v>
      </c>
      <c r="H1733" s="15" t="n">
        <f aca="false">IF($B1733="","",DATE(YEAR($B1733),MONTH($B1733),1))</f>
        <v>45658</v>
      </c>
      <c r="I1733" s="0" t="str">
        <f aca="false">IF($G1733="","Uncategorized — Review",IFERROR(INDEX(Mapping!$B:$B,MATCH($G1733,Mapping!$A:$A,0)),"Uncategorized — Review"))</f>
        <v>Personal - Car &amp; Auto</v>
      </c>
      <c r="J1733" s="0" t="str">
        <f aca="false">IF($G1733="","Uncategorized — Review",IFERROR(INDEX(Mapping!$C:$C,MATCH($G1733,Mapping!$A:$A,0)),"Uncategorized — Review"))</f>
        <v>Personal — Owner</v>
      </c>
    </row>
    <row r="1734" customFormat="false" ht="15" hidden="false" customHeight="false" outlineLevel="0" collapsed="false">
      <c r="A1734" s="0" t="str">
        <f aca="false">Chase1168_2025!A1734</f>
        <v>DEBIT</v>
      </c>
      <c r="B1734" s="14" t="n">
        <f aca="false">Chase1168_2025!B1734</f>
        <v>45680</v>
      </c>
      <c r="C1734" s="0" t="str">
        <f aca="false">Chase1168_2025!C1734</f>
        <v>PAYPAL *UBER 866-576-1039 CA                 01/23</v>
      </c>
      <c r="D1734" s="7" t="n">
        <f aca="false">Chase1168_2025!D1734</f>
        <v>-22.94</v>
      </c>
      <c r="E1734" s="0" t="str">
        <f aca="false">Chase1168_2025!E1734</f>
        <v>DEBIT_CARD</v>
      </c>
      <c r="F1734" s="7" t="n">
        <f aca="false">Chase1168_2025!F1734</f>
        <v>8595.43</v>
      </c>
      <c r="G1734" s="0" t="str">
        <f aca="false">Chase1168_2025!G1734</f>
        <v>Personal - Car</v>
      </c>
      <c r="H1734" s="15" t="n">
        <f aca="false">IF($B1734="","",DATE(YEAR($B1734),MONTH($B1734),1))</f>
        <v>45658</v>
      </c>
      <c r="I1734" s="0" t="str">
        <f aca="false">IF($G1734="","Uncategorized — Review",IFERROR(INDEX(Mapping!$B:$B,MATCH($G1734,Mapping!$A:$A,0)),"Uncategorized — Review"))</f>
        <v>Personal - Car &amp; Auto</v>
      </c>
      <c r="J1734" s="0" t="str">
        <f aca="false">IF($G1734="","Uncategorized — Review",IFERROR(INDEX(Mapping!$C:$C,MATCH($G1734,Mapping!$A:$A,0)),"Uncategorized — Review"))</f>
        <v>Personal — Owner</v>
      </c>
    </row>
    <row r="1735" customFormat="false" ht="15" hidden="false" customHeight="false" outlineLevel="0" collapsed="false">
      <c r="A1735" s="0" t="str">
        <f aca="false">Chase1168_2025!A1735</f>
        <v>DEBIT</v>
      </c>
      <c r="B1735" s="14" t="n">
        <f aca="false">Chase1168_2025!B1735</f>
        <v>45680</v>
      </c>
      <c r="C1735" s="0" t="str">
        <f aca="false">Chase1168_2025!C1735</f>
        <v>PAYPAL *UBER 866-576-1039 CA                 01/23</v>
      </c>
      <c r="D1735" s="7" t="n">
        <f aca="false">Chase1168_2025!D1735</f>
        <v>-17.79</v>
      </c>
      <c r="E1735" s="0" t="str">
        <f aca="false">Chase1168_2025!E1735</f>
        <v>DEBIT_CARD</v>
      </c>
      <c r="F1735" s="7" t="n">
        <f aca="false">Chase1168_2025!F1735</f>
        <v>8618.37</v>
      </c>
      <c r="G1735" s="0" t="str">
        <f aca="false">Chase1168_2025!G1735</f>
        <v>Personal - Car</v>
      </c>
      <c r="H1735" s="15" t="n">
        <f aca="false">IF($B1735="","",DATE(YEAR($B1735),MONTH($B1735),1))</f>
        <v>45658</v>
      </c>
      <c r="I1735" s="0" t="str">
        <f aca="false">IF($G1735="","Uncategorized — Review",IFERROR(INDEX(Mapping!$B:$B,MATCH($G1735,Mapping!$A:$A,0)),"Uncategorized — Review"))</f>
        <v>Personal - Car &amp; Auto</v>
      </c>
      <c r="J1735" s="0" t="str">
        <f aca="false">IF($G1735="","Uncategorized — Review",IFERROR(INDEX(Mapping!$C:$C,MATCH($G1735,Mapping!$A:$A,0)),"Uncategorized — Review"))</f>
        <v>Personal — Owner</v>
      </c>
    </row>
    <row r="1736" customFormat="false" ht="15" hidden="false" customHeight="false" outlineLevel="0" collapsed="false">
      <c r="A1736" s="0" t="str">
        <f aca="false">Chase1168_2025!A1736</f>
        <v>DEBIT</v>
      </c>
      <c r="B1736" s="14" t="n">
        <f aca="false">Chase1168_2025!B1736</f>
        <v>45679</v>
      </c>
      <c r="C1736" s="0" t="str">
        <f aca="false">Chase1168_2025!C1736</f>
        <v>SXM*SIRIUSXM.COM/ACCT 888-635-5144 NY        01/22</v>
      </c>
      <c r="D1736" s="7" t="n">
        <f aca="false">Chase1168_2025!D1736</f>
        <v>-11.57</v>
      </c>
      <c r="E1736" s="0" t="str">
        <f aca="false">Chase1168_2025!E1736</f>
        <v>DEBIT_CARD</v>
      </c>
      <c r="F1736" s="7" t="n">
        <f aca="false">Chase1168_2025!F1736</f>
        <v>8636.16</v>
      </c>
      <c r="G1736" s="0" t="str">
        <f aca="false">Chase1168_2025!G1736</f>
        <v>Personal - Subscriptions</v>
      </c>
      <c r="H1736" s="15" t="n">
        <f aca="false">IF($B1736="","",DATE(YEAR($B1736),MONTH($B1736),1))</f>
        <v>45658</v>
      </c>
      <c r="I1736" s="0" t="str">
        <f aca="false">IF($G1736="","Uncategorized — Review",IFERROR(INDEX(Mapping!$B:$B,MATCH($G1736,Mapping!$A:$A,0)),"Uncategorized — Review"))</f>
        <v>Personal - Subscriptions</v>
      </c>
      <c r="J1736" s="0" t="str">
        <f aca="false">IF($G1736="","Uncategorized — Review",IFERROR(INDEX(Mapping!$C:$C,MATCH($G1736,Mapping!$A:$A,0)),"Uncategorized — Review"))</f>
        <v>Personal — Owner</v>
      </c>
    </row>
    <row r="1737" customFormat="false" ht="15" hidden="false" customHeight="false" outlineLevel="0" collapsed="false">
      <c r="A1737" s="0" t="str">
        <f aca="false">Chase1168_2025!A1737</f>
        <v>DEBIT</v>
      </c>
      <c r="B1737" s="14" t="n">
        <f aca="false">Chase1168_2025!B1737</f>
        <v>45679</v>
      </c>
      <c r="C1737" s="0" t="str">
        <f aca="false">Chase1168_2025!C1737</f>
        <v>ORIG CO NAME:PRINCIPAL-CCAPNL       ORIG ID:9INDPNLEFT DESC DATE:011925 CO ENTRY DESCR:PRIN FINANSEC:PPD    TRACE#:091000016462962 EED:250122   IND ID:                             IND NAME:JOHN B DUNNING TRN: 0226462962TC</v>
      </c>
      <c r="D1737" s="7" t="n">
        <f aca="false">Chase1168_2025!D1737</f>
        <v>-331.54</v>
      </c>
      <c r="E1737" s="0" t="str">
        <f aca="false">Chase1168_2025!E1737</f>
        <v>ACH_DEBIT</v>
      </c>
      <c r="F1737" s="7" t="n">
        <f aca="false">Chase1168_2025!F1737</f>
        <v>8647.73</v>
      </c>
      <c r="G1737" s="0" t="str">
        <f aca="false">Chase1168_2025!G1737</f>
        <v>???</v>
      </c>
      <c r="H1737" s="15" t="n">
        <f aca="false">IF($B1737="","",DATE(YEAR($B1737),MONTH($B1737),1))</f>
        <v>45658</v>
      </c>
      <c r="I1737" s="0" t="str">
        <f aca="false">IF($G1737="","Uncategorized — Review",IFERROR(INDEX(Mapping!$B:$B,MATCH($G1737,Mapping!$A:$A,0)),"Uncategorized — Review"))</f>
        <v>???</v>
      </c>
      <c r="J1737" s="0" t="str">
        <f aca="false">IF($G1737="","Uncategorized — Review",IFERROR(INDEX(Mapping!$C:$C,MATCH($G1737,Mapping!$A:$A,0)),"Uncategorized — Review"))</f>
        <v>Uncategorized — Review</v>
      </c>
    </row>
    <row r="1738" customFormat="false" ht="15" hidden="false" customHeight="false" outlineLevel="0" collapsed="false">
      <c r="A1738" s="0" t="str">
        <f aca="false">Chase1168_2025!A1738</f>
        <v>DEBIT</v>
      </c>
      <c r="B1738" s="14" t="n">
        <f aca="false">Chase1168_2025!B1738</f>
        <v>45679</v>
      </c>
      <c r="C1738" s="0" t="str">
        <f aca="false">Chase1168_2025!C1738</f>
        <v>STARBUCKS 85549 MIAMI FL                     01/21</v>
      </c>
      <c r="D1738" s="7" t="n">
        <f aca="false">Chase1168_2025!D1738</f>
        <v>-6.9</v>
      </c>
      <c r="E1738" s="0" t="str">
        <f aca="false">Chase1168_2025!E1738</f>
        <v>DEBIT_CARD</v>
      </c>
      <c r="F1738" s="7" t="n">
        <f aca="false">Chase1168_2025!F1738</f>
        <v>8979.27</v>
      </c>
      <c r="G1738" s="0" t="str">
        <f aca="false">Chase1168_2025!G1738</f>
        <v>Personal - Food</v>
      </c>
      <c r="H1738" s="15" t="n">
        <f aca="false">IF($B1738="","",DATE(YEAR($B1738),MONTH($B1738),1))</f>
        <v>45658</v>
      </c>
      <c r="I1738" s="0" t="str">
        <f aca="false">IF($G1738="","Uncategorized — Review",IFERROR(INDEX(Mapping!$B:$B,MATCH($G1738,Mapping!$A:$A,0)),"Uncategorized — Review"))</f>
        <v>Personal - Food &amp; Dining</v>
      </c>
      <c r="J1738" s="0" t="str">
        <f aca="false">IF($G1738="","Uncategorized — Review",IFERROR(INDEX(Mapping!$C:$C,MATCH($G1738,Mapping!$A:$A,0)),"Uncategorized — Review"))</f>
        <v>Personal — Owner</v>
      </c>
    </row>
    <row r="1739" customFormat="false" ht="15" hidden="false" customHeight="false" outlineLevel="0" collapsed="false">
      <c r="A1739" s="0" t="str">
        <f aca="false">Chase1168_2025!A1739</f>
        <v>DEBIT</v>
      </c>
      <c r="B1739" s="14" t="n">
        <f aca="false">Chase1168_2025!B1739</f>
        <v>45679</v>
      </c>
      <c r="C1739" s="0" t="str">
        <f aca="false">Chase1168_2025!C1739</f>
        <v>PAYPAL *EPOCH TIMES T 833-699-1888 NY        01/21</v>
      </c>
      <c r="D1739" s="7" t="n">
        <f aca="false">Chase1168_2025!D1739</f>
        <v>-16</v>
      </c>
      <c r="E1739" s="0" t="str">
        <f aca="false">Chase1168_2025!E1739</f>
        <v>DEBIT_CARD</v>
      </c>
      <c r="F1739" s="7" t="n">
        <f aca="false">Chase1168_2025!F1739</f>
        <v>8986.17</v>
      </c>
      <c r="G1739" s="0" t="str">
        <f aca="false">Chase1168_2025!G1739</f>
        <v>Personal - Subscriptions</v>
      </c>
      <c r="H1739" s="15" t="n">
        <f aca="false">IF($B1739="","",DATE(YEAR($B1739),MONTH($B1739),1))</f>
        <v>45658</v>
      </c>
      <c r="I1739" s="0" t="str">
        <f aca="false">IF($G1739="","Uncategorized — Review",IFERROR(INDEX(Mapping!$B:$B,MATCH($G1739,Mapping!$A:$A,0)),"Uncategorized — Review"))</f>
        <v>Personal - Subscriptions</v>
      </c>
      <c r="J1739" s="0" t="str">
        <f aca="false">IF($G1739="","Uncategorized — Review",IFERROR(INDEX(Mapping!$C:$C,MATCH($G1739,Mapping!$A:$A,0)),"Uncategorized — Review"))</f>
        <v>Personal — Owner</v>
      </c>
    </row>
    <row r="1740" customFormat="false" ht="15" hidden="false" customHeight="false" outlineLevel="0" collapsed="false">
      <c r="A1740" s="0" t="str">
        <f aca="false">Chase1168_2025!A1740</f>
        <v>DEBIT</v>
      </c>
      <c r="B1740" s="14" t="n">
        <f aca="false">Chase1168_2025!B1740</f>
        <v>45678</v>
      </c>
      <c r="C1740" s="0" t="str">
        <f aca="false">Chase1168_2025!C1740</f>
        <v>ONLINE US DOLLAR INTL WIRE FEE</v>
      </c>
      <c r="D1740" s="7" t="n">
        <f aca="false">Chase1168_2025!D1740</f>
        <v>-40</v>
      </c>
      <c r="E1740" s="0" t="str">
        <f aca="false">Chase1168_2025!E1740</f>
        <v>FEE_TRANSACTION</v>
      </c>
      <c r="F1740" s="7" t="n">
        <f aca="false">Chase1168_2025!F1740</f>
        <v>9002.17</v>
      </c>
      <c r="G1740" s="0" t="str">
        <f aca="false">Chase1168_2025!G1740</f>
        <v>Wire Fee</v>
      </c>
      <c r="H1740" s="15" t="n">
        <f aca="false">IF($B1740="","",DATE(YEAR($B1740),MONTH($B1740),1))</f>
        <v>45658</v>
      </c>
      <c r="I1740" s="0" t="str">
        <f aca="false">IF($G1740="","Uncategorized — Review",IFERROR(INDEX(Mapping!$B:$B,MATCH($G1740,Mapping!$A:$A,0)),"Uncategorized — Review"))</f>
        <v>Wire Fee</v>
      </c>
      <c r="J1740" s="0" t="str">
        <f aca="false">IF($G1740="","Uncategorized — Review",IFERROR(INDEX(Mapping!$C:$C,MATCH($G1740,Mapping!$A:$A,0)),"Uncategorized — Review"))</f>
        <v>DWG Operating</v>
      </c>
    </row>
    <row r="1741" customFormat="false" ht="15" hidden="false" customHeight="false" outlineLevel="0" collapsed="false">
      <c r="A1741" s="0" t="str">
        <f aca="false">Chase1168_2025!A1741</f>
        <v>DEBIT</v>
      </c>
      <c r="B1741" s="14" t="n">
        <f aca="false">Chase1168_2025!B1741</f>
        <v>45678</v>
      </c>
      <c r="C1741" s="0" t="str">
        <f aca="false">Chase1168_2025!C1741</f>
        <v>HBOOKSELLER ST985 CARSON CA          328641  01/21</v>
      </c>
      <c r="D1741" s="7" t="n">
        <f aca="false">Chase1168_2025!D1741</f>
        <v>-5.99</v>
      </c>
      <c r="E1741" s="0" t="str">
        <f aca="false">Chase1168_2025!E1741</f>
        <v>DEBIT_CARD</v>
      </c>
      <c r="F1741" s="7" t="n">
        <f aca="false">Chase1168_2025!F1741</f>
        <v>9042.17</v>
      </c>
      <c r="G1741" s="0" t="str">
        <f aca="false">Chase1168_2025!G1741</f>
        <v>Personal - Entertainment</v>
      </c>
      <c r="H1741" s="15" t="n">
        <f aca="false">IF($B1741="","",DATE(YEAR($B1741),MONTH($B1741),1))</f>
        <v>45658</v>
      </c>
      <c r="I1741" s="0" t="str">
        <f aca="false">IF($G1741="","Uncategorized — Review",IFERROR(INDEX(Mapping!$B:$B,MATCH($G1741,Mapping!$A:$A,0)),"Uncategorized — Review"))</f>
        <v>Personal - Entertainment</v>
      </c>
      <c r="J1741" s="0" t="str">
        <f aca="false">IF($G1741="","Uncategorized — Review",IFERROR(INDEX(Mapping!$C:$C,MATCH($G1741,Mapping!$A:$A,0)),"Uncategorized — Review"))</f>
        <v>Personal — Owner</v>
      </c>
    </row>
    <row r="1742" customFormat="false" ht="15" hidden="false" customHeight="false" outlineLevel="0" collapsed="false">
      <c r="A1742" s="0" t="str">
        <f aca="false">Chase1168_2025!A1742</f>
        <v>DEBIT</v>
      </c>
      <c r="B1742" s="14" t="n">
        <f aca="false">Chase1168_2025!B1742</f>
        <v>45678</v>
      </c>
      <c r="C1742" s="0" t="str">
        <f aca="false">Chase1168_2025!C1742</f>
        <v>ONLINE INTERNATIONAL WIRE TRANSFER A/C: BANK OF GEORGIA - USD ACCOUNT TBILISI GEORGIA 0000 - GE REF: DEC 5 EXTRA HOURS SALARY/PAYROLL PAYMENTS TRN: 3559275021ES 01/21</v>
      </c>
      <c r="D1742" s="7" t="n">
        <f aca="false">Chase1168_2025!D1742</f>
        <v>-55</v>
      </c>
      <c r="E1742" s="0" t="str">
        <f aca="false">Chase1168_2025!E1742</f>
        <v>WIRE_OUTGOING</v>
      </c>
      <c r="F1742" s="7" t="n">
        <f aca="false">Chase1168_2025!F1742</f>
        <v>9048.16</v>
      </c>
      <c r="G1742" s="0" t="str">
        <f aca="false">Chase1168_2025!G1742</f>
        <v>Suad - Payroll</v>
      </c>
      <c r="H1742" s="15" t="n">
        <f aca="false">IF($B1742="","",DATE(YEAR($B1742),MONTH($B1742),1))</f>
        <v>45658</v>
      </c>
      <c r="I1742" s="0" t="str">
        <f aca="false">IF($G1742="","Uncategorized — Review",IFERROR(INDEX(Mapping!$B:$B,MATCH($G1742,Mapping!$A:$A,0)),"Uncategorized — Review"))</f>
        <v>Suad - Payroll</v>
      </c>
      <c r="J1742" s="0" t="str">
        <f aca="false">IF($G1742="","Uncategorized — Review",IFERROR(INDEX(Mapping!$C:$C,MATCH($G1742,Mapping!$A:$A,0)),"Uncategorized — Review"))</f>
        <v>Payroll &amp; Contractors</v>
      </c>
    </row>
    <row r="1743" customFormat="false" ht="15" hidden="false" customHeight="false" outlineLevel="0" collapsed="false">
      <c r="A1743" s="0" t="str">
        <f aca="false">Chase1168_2025!A1743</f>
        <v>DEBIT</v>
      </c>
      <c r="B1743" s="14" t="n">
        <f aca="false">Chase1168_2025!B1743</f>
        <v>45678</v>
      </c>
      <c r="C1743" s="0" t="str">
        <f aca="false">Chase1168_2025!C1743</f>
        <v>ORIG CO NAME:VENMO                  ORIG ID:3264681992 DESC DATE:250118 CO ENTRY DESCR:PAYMENT   SEC:WEB    TRACE#:091000013520801 EED:250121   IND ID:1039704137042                IND NAME:JUDD DUNNING TRN: 0213520801TC</v>
      </c>
      <c r="D1743" s="7" t="n">
        <f aca="false">Chase1168_2025!D1743</f>
        <v>-150</v>
      </c>
      <c r="E1743" s="0" t="str">
        <f aca="false">Chase1168_2025!E1743</f>
        <v>ACH_DEBIT</v>
      </c>
      <c r="F1743" s="7" t="n">
        <f aca="false">Chase1168_2025!F1743</f>
        <v>9103.16</v>
      </c>
      <c r="G1743" s="0" t="str">
        <f aca="false">Chase1168_2025!G1743</f>
        <v>Venmo</v>
      </c>
      <c r="H1743" s="15" t="n">
        <f aca="false">IF($B1743="","",DATE(YEAR($B1743),MONTH($B1743),1))</f>
        <v>45658</v>
      </c>
      <c r="I1743" s="0" t="str">
        <f aca="false">IF($G1743="","Uncategorized — Review",IFERROR(INDEX(Mapping!$B:$B,MATCH($G1743,Mapping!$A:$A,0)),"Uncategorized — Review"))</f>
        <v>Venmo</v>
      </c>
      <c r="J1743" s="0" t="str">
        <f aca="false">IF($G1743="","Uncategorized — Review",IFERROR(INDEX(Mapping!$C:$C,MATCH($G1743,Mapping!$A:$A,0)),"Uncategorized — Review"))</f>
        <v>P2P Payments (Zelle/Venmo/PayPal)</v>
      </c>
    </row>
    <row r="1744" customFormat="false" ht="15" hidden="false" customHeight="false" outlineLevel="0" collapsed="false">
      <c r="A1744" s="0" t="str">
        <f aca="false">Chase1168_2025!A1744</f>
        <v>DEBIT</v>
      </c>
      <c r="B1744" s="14" t="n">
        <f aca="false">Chase1168_2025!B1744</f>
        <v>45678</v>
      </c>
      <c r="C1744" s="0" t="str">
        <f aca="false">Chase1168_2025!C1744</f>
        <v>ORIG CO NAME:VENMO                  ORIG ID:3264681992 DESC DATE:250119 CO ENTRY DESCR:PAYMENT   SEC:WEB    TRACE#:091000013732884 EED:250121   IND ID:1039733219852                IND NAME:JUDD DUNNING TRN: 0213732884TC</v>
      </c>
      <c r="D1744" s="7" t="n">
        <f aca="false">Chase1168_2025!D1744</f>
        <v>-200</v>
      </c>
      <c r="E1744" s="0" t="str">
        <f aca="false">Chase1168_2025!E1744</f>
        <v>ACH_DEBIT</v>
      </c>
      <c r="F1744" s="7" t="n">
        <f aca="false">Chase1168_2025!F1744</f>
        <v>9253.16</v>
      </c>
      <c r="G1744" s="0" t="str">
        <f aca="false">Chase1168_2025!G1744</f>
        <v>Venmo</v>
      </c>
      <c r="H1744" s="15" t="n">
        <f aca="false">IF($B1744="","",DATE(YEAR($B1744),MONTH($B1744),1))</f>
        <v>45658</v>
      </c>
      <c r="I1744" s="0" t="str">
        <f aca="false">IF($G1744="","Uncategorized — Review",IFERROR(INDEX(Mapping!$B:$B,MATCH($G1744,Mapping!$A:$A,0)),"Uncategorized — Review"))</f>
        <v>Venmo</v>
      </c>
      <c r="J1744" s="0" t="str">
        <f aca="false">IF($G1744="","Uncategorized — Review",IFERROR(INDEX(Mapping!$C:$C,MATCH($G1744,Mapping!$A:$A,0)),"Uncategorized — Review"))</f>
        <v>P2P Payments (Zelle/Venmo/PayPal)</v>
      </c>
    </row>
    <row r="1745" customFormat="false" ht="15" hidden="false" customHeight="false" outlineLevel="0" collapsed="false">
      <c r="A1745" s="0" t="str">
        <f aca="false">Chase1168_2025!A1745</f>
        <v>DEBIT</v>
      </c>
      <c r="B1745" s="14" t="n">
        <f aca="false">Chase1168_2025!B1745</f>
        <v>45678</v>
      </c>
      <c r="C1745" s="0" t="str">
        <f aca="false">Chase1168_2025!C1745</f>
        <v>Online Transfer to CHK ...1117 transaction#: 23450617971 01/21</v>
      </c>
      <c r="D1745" s="7" t="n">
        <f aca="false">Chase1168_2025!D1745</f>
        <v>-2000</v>
      </c>
      <c r="E1745" s="0" t="str">
        <f aca="false">Chase1168_2025!E1745</f>
        <v>ACCT_XFER</v>
      </c>
      <c r="F1745" s="7" t="n">
        <f aca="false">Chase1168_2025!F1745</f>
        <v>9453.16</v>
      </c>
      <c r="G1745" s="0" t="str">
        <f aca="false">Chase1168_2025!G1745</f>
        <v>Transfer to Angela Dunning</v>
      </c>
      <c r="H1745" s="15" t="n">
        <f aca="false">IF($B1745="","",DATE(YEAR($B1745),MONTH($B1745),1))</f>
        <v>45658</v>
      </c>
      <c r="I1745" s="0" t="str">
        <f aca="false">IF($G1745="","Uncategorized — Review",IFERROR(INDEX(Mapping!$B:$B,MATCH($G1745,Mapping!$A:$A,0)),"Uncategorized — Review"))</f>
        <v>Transfer to Angela Dunning</v>
      </c>
      <c r="J1745" s="0" t="str">
        <f aca="false">IF($G1745="","Uncategorized — Review",IFERROR(INDEX(Mapping!$C:$C,MATCH($G1745,Mapping!$A:$A,0)),"Uncategorized — Review"))</f>
        <v>Owner / Family Distributions</v>
      </c>
    </row>
    <row r="1746" customFormat="false" ht="15" hidden="false" customHeight="false" outlineLevel="0" collapsed="false">
      <c r="A1746" s="0" t="str">
        <f aca="false">Chase1168_2025!A1746</f>
        <v>DEBIT</v>
      </c>
      <c r="B1746" s="14" t="n">
        <f aca="false">Chase1168_2025!B1746</f>
        <v>45678</v>
      </c>
      <c r="C1746" s="0" t="str">
        <f aca="false">Chase1168_2025!C1746</f>
        <v>Online Payment 23450485096 To LOS ANGELES MUNICIPAL SERVICE 01/21</v>
      </c>
      <c r="D1746" s="7" t="n">
        <f aca="false">Chase1168_2025!D1746</f>
        <v>-2010.1</v>
      </c>
      <c r="E1746" s="0" t="str">
        <f aca="false">Chase1168_2025!E1746</f>
        <v>BILLPAY</v>
      </c>
      <c r="F1746" s="7" t="n">
        <f aca="false">Chase1168_2025!F1746</f>
        <v>11453.16</v>
      </c>
      <c r="G1746" s="16" t="n">
        <f aca="false">Chase1168_2025!G1746</f>
        <v>0</v>
      </c>
      <c r="H1746" s="15" t="n">
        <f aca="false">IF($B1746="","",DATE(YEAR($B1746),MONTH($B1746),1))</f>
        <v>45658</v>
      </c>
      <c r="I1746" s="0" t="str">
        <f aca="false">IF($G1746="","Uncategorized — Review",IFERROR(INDEX(Mapping!$B:$B,MATCH($G1746,Mapping!$A:$A,0)),"Uncategorized — Review"))</f>
        <v>Uncategorized — Review</v>
      </c>
      <c r="J1746" s="0" t="str">
        <f aca="false">IF($G1746="","Uncategorized — Review",IFERROR(INDEX(Mapping!$C:$C,MATCH($G1746,Mapping!$A:$A,0)),"Uncategorized — Review"))</f>
        <v>Uncategorized — Review</v>
      </c>
    </row>
    <row r="1747" customFormat="false" ht="15" hidden="false" customHeight="false" outlineLevel="0" collapsed="false">
      <c r="A1747" s="0" t="str">
        <f aca="false">Chase1168_2025!A1747</f>
        <v>DEBIT</v>
      </c>
      <c r="B1747" s="14" t="n">
        <f aca="false">Chase1168_2025!B1747</f>
        <v>45678</v>
      </c>
      <c r="C1747" s="0" t="str">
        <f aca="false">Chase1168_2025!C1747</f>
        <v>UPWORK * -772584884 866-262-4478 CA          01/20</v>
      </c>
      <c r="D1747" s="7" t="n">
        <f aca="false">Chase1168_2025!D1747</f>
        <v>-761.25</v>
      </c>
      <c r="E1747" s="0" t="str">
        <f aca="false">Chase1168_2025!E1747</f>
        <v>DEBIT_CARD</v>
      </c>
      <c r="F1747" s="7" t="n">
        <f aca="false">Chase1168_2025!F1747</f>
        <v>13463.26</v>
      </c>
      <c r="G1747" s="0" t="str">
        <f aca="false">Chase1168_2025!G1747</f>
        <v>Upwork - Sergei M.</v>
      </c>
      <c r="H1747" s="15" t="n">
        <f aca="false">IF($B1747="","",DATE(YEAR($B1747),MONTH($B1747),1))</f>
        <v>45658</v>
      </c>
      <c r="I1747" s="0" t="str">
        <f aca="false">IF($G1747="","Uncategorized — Review",IFERROR(INDEX(Mapping!$B:$B,MATCH($G1747,Mapping!$A:$A,0)),"Uncategorized — Review"))</f>
        <v>Upwork - Sergei M.</v>
      </c>
      <c r="J1747" s="0" t="str">
        <f aca="false">IF($G1747="","Uncategorized — Review",IFERROR(INDEX(Mapping!$C:$C,MATCH($G1747,Mapping!$A:$A,0)),"Uncategorized — Review"))</f>
        <v>Payroll &amp; Contractors</v>
      </c>
    </row>
    <row r="1748" customFormat="false" ht="15" hidden="false" customHeight="false" outlineLevel="0" collapsed="false">
      <c r="A1748" s="0" t="str">
        <f aca="false">Chase1168_2025!A1748</f>
        <v>DEBIT</v>
      </c>
      <c r="B1748" s="14" t="n">
        <f aca="false">Chase1168_2025!B1748</f>
        <v>45678</v>
      </c>
      <c r="C1748" s="0" t="str">
        <f aca="false">Chase1168_2025!C1748</f>
        <v>PP*APPLE.COM/BILL 800-275-2273 CA            01/20</v>
      </c>
      <c r="D1748" s="7" t="n">
        <f aca="false">Chase1168_2025!D1748</f>
        <v>-8.99</v>
      </c>
      <c r="E1748" s="0" t="str">
        <f aca="false">Chase1168_2025!E1748</f>
        <v>DEBIT_CARD</v>
      </c>
      <c r="F1748" s="7" t="n">
        <f aca="false">Chase1168_2025!F1748</f>
        <v>14224.51</v>
      </c>
      <c r="G1748" s="0" t="str">
        <f aca="false">Chase1168_2025!G1748</f>
        <v>Personal - Subscriptions</v>
      </c>
      <c r="H1748" s="15" t="n">
        <f aca="false">IF($B1748="","",DATE(YEAR($B1748),MONTH($B1748),1))</f>
        <v>45658</v>
      </c>
      <c r="I1748" s="0" t="str">
        <f aca="false">IF($G1748="","Uncategorized — Review",IFERROR(INDEX(Mapping!$B:$B,MATCH($G1748,Mapping!$A:$A,0)),"Uncategorized — Review"))</f>
        <v>Personal - Subscriptions</v>
      </c>
      <c r="J1748" s="0" t="str">
        <f aca="false">IF($G1748="","Uncategorized — Review",IFERROR(INDEX(Mapping!$C:$C,MATCH($G1748,Mapping!$A:$A,0)),"Uncategorized — Review"))</f>
        <v>Personal — Owner</v>
      </c>
    </row>
    <row r="1749" customFormat="false" ht="15" hidden="false" customHeight="false" outlineLevel="0" collapsed="false">
      <c r="A1749" s="0" t="str">
        <f aca="false">Chase1168_2025!A1749</f>
        <v>DEBIT</v>
      </c>
      <c r="B1749" s="14" t="n">
        <f aca="false">Chase1168_2025!B1749</f>
        <v>45678</v>
      </c>
      <c r="C1749" s="0" t="str">
        <f aca="false">Chase1168_2025!C1749</f>
        <v>TST*BLUEYS KITCHEN MAR Los Angeles CA        01/19</v>
      </c>
      <c r="D1749" s="7" t="n">
        <f aca="false">Chase1168_2025!D1749</f>
        <v>-96.5</v>
      </c>
      <c r="E1749" s="0" t="str">
        <f aca="false">Chase1168_2025!E1749</f>
        <v>DEBIT_CARD</v>
      </c>
      <c r="F1749" s="7" t="n">
        <f aca="false">Chase1168_2025!F1749</f>
        <v>14233.5</v>
      </c>
      <c r="G1749" s="0" t="str">
        <f aca="false">Chase1168_2025!G1749</f>
        <v>Personal - Food</v>
      </c>
      <c r="H1749" s="15" t="n">
        <f aca="false">IF($B1749="","",DATE(YEAR($B1749),MONTH($B1749),1))</f>
        <v>45658</v>
      </c>
      <c r="I1749" s="0" t="str">
        <f aca="false">IF($G1749="","Uncategorized — Review",IFERROR(INDEX(Mapping!$B:$B,MATCH($G1749,Mapping!$A:$A,0)),"Uncategorized — Review"))</f>
        <v>Personal - Food &amp; Dining</v>
      </c>
      <c r="J1749" s="0" t="str">
        <f aca="false">IF($G1749="","Uncategorized — Review",IFERROR(INDEX(Mapping!$C:$C,MATCH($G1749,Mapping!$A:$A,0)),"Uncategorized — Review"))</f>
        <v>Personal — Owner</v>
      </c>
    </row>
    <row r="1750" customFormat="false" ht="15" hidden="false" customHeight="false" outlineLevel="0" collapsed="false">
      <c r="A1750" s="0" t="str">
        <f aca="false">Chase1168_2025!A1750</f>
        <v>DEBIT</v>
      </c>
      <c r="B1750" s="14" t="n">
        <f aca="false">Chase1168_2025!B1750</f>
        <v>45678</v>
      </c>
      <c r="C1750" s="0" t="str">
        <f aca="false">Chase1168_2025!C1750</f>
        <v>PACIFIC MARINA VENTU BEVERLY HILLS CA        01/19</v>
      </c>
      <c r="D1750" s="7" t="n">
        <f aca="false">Chase1168_2025!D1750</f>
        <v>-15</v>
      </c>
      <c r="E1750" s="0" t="str">
        <f aca="false">Chase1168_2025!E1750</f>
        <v>DEBIT_CARD</v>
      </c>
      <c r="F1750" s="7" t="n">
        <f aca="false">Chase1168_2025!F1750</f>
        <v>14330</v>
      </c>
      <c r="G1750" s="0" t="str">
        <f aca="false">Chase1168_2025!G1750</f>
        <v>Personal - Food</v>
      </c>
      <c r="H1750" s="15" t="n">
        <f aca="false">IF($B1750="","",DATE(YEAR($B1750),MONTH($B1750),1))</f>
        <v>45658</v>
      </c>
      <c r="I1750" s="0" t="str">
        <f aca="false">IF($G1750="","Uncategorized — Review",IFERROR(INDEX(Mapping!$B:$B,MATCH($G1750,Mapping!$A:$A,0)),"Uncategorized — Review"))</f>
        <v>Personal - Food &amp; Dining</v>
      </c>
      <c r="J1750" s="0" t="str">
        <f aca="false">IF($G1750="","Uncategorized — Review",IFERROR(INDEX(Mapping!$C:$C,MATCH($G1750,Mapping!$A:$A,0)),"Uncategorized — Review"))</f>
        <v>Personal — Owner</v>
      </c>
    </row>
    <row r="1751" customFormat="false" ht="15" hidden="false" customHeight="false" outlineLevel="0" collapsed="false">
      <c r="A1751" s="0" t="str">
        <f aca="false">Chase1168_2025!A1751</f>
        <v>DEBIT</v>
      </c>
      <c r="B1751" s="14" t="n">
        <f aca="false">Chase1168_2025!B1751</f>
        <v>45678</v>
      </c>
      <c r="C1751" s="0" t="str">
        <f aca="false">Chase1168_2025!C1751</f>
        <v>RESTORE.COM RESTORE.COM TX                   01/19</v>
      </c>
      <c r="D1751" s="7" t="n">
        <f aca="false">Chase1168_2025!D1751</f>
        <v>-62</v>
      </c>
      <c r="E1751" s="0" t="str">
        <f aca="false">Chase1168_2025!E1751</f>
        <v>DEBIT_CARD</v>
      </c>
      <c r="F1751" s="7" t="n">
        <f aca="false">Chase1168_2025!F1751</f>
        <v>14345</v>
      </c>
      <c r="G1751" s="0" t="str">
        <f aca="false">Chase1168_2025!G1751</f>
        <v>Personal - Health</v>
      </c>
      <c r="H1751" s="15" t="n">
        <f aca="false">IF($B1751="","",DATE(YEAR($B1751),MONTH($B1751),1))</f>
        <v>45658</v>
      </c>
      <c r="I1751" s="0" t="str">
        <f aca="false">IF($G1751="","Uncategorized — Review",IFERROR(INDEX(Mapping!$B:$B,MATCH($G1751,Mapping!$A:$A,0)),"Uncategorized — Review"))</f>
        <v>Personal - Health (incl. Ins.)</v>
      </c>
      <c r="J1751" s="0" t="str">
        <f aca="false">IF($G1751="","Uncategorized — Review",IFERROR(INDEX(Mapping!$C:$C,MATCH($G1751,Mapping!$A:$A,0)),"Uncategorized — Review"))</f>
        <v>Personal — Owner</v>
      </c>
    </row>
    <row r="1752" customFormat="false" ht="15" hidden="false" customHeight="false" outlineLevel="0" collapsed="false">
      <c r="A1752" s="0" t="str">
        <f aca="false">Chase1168_2025!A1752</f>
        <v>DEBIT</v>
      </c>
      <c r="B1752" s="14" t="n">
        <f aca="false">Chase1168_2025!B1752</f>
        <v>45678</v>
      </c>
      <c r="C1752" s="0" t="str">
        <f aca="false">Chase1168_2025!C1752</f>
        <v>SQ *PAYA THAI LA LLC. LOS ANGELES CA         01/19</v>
      </c>
      <c r="D1752" s="7" t="n">
        <f aca="false">Chase1168_2025!D1752</f>
        <v>-150</v>
      </c>
      <c r="E1752" s="0" t="str">
        <f aca="false">Chase1168_2025!E1752</f>
        <v>DEBIT_CARD</v>
      </c>
      <c r="F1752" s="7" t="n">
        <f aca="false">Chase1168_2025!F1752</f>
        <v>14407</v>
      </c>
      <c r="G1752" s="0" t="str">
        <f aca="false">Chase1168_2025!G1752</f>
        <v>Personal - Health</v>
      </c>
      <c r="H1752" s="15" t="n">
        <f aca="false">IF($B1752="","",DATE(YEAR($B1752),MONTH($B1752),1))</f>
        <v>45658</v>
      </c>
      <c r="I1752" s="0" t="str">
        <f aca="false">IF($G1752="","Uncategorized — Review",IFERROR(INDEX(Mapping!$B:$B,MATCH($G1752,Mapping!$A:$A,0)),"Uncategorized — Review"))</f>
        <v>Personal - Health (incl. Ins.)</v>
      </c>
      <c r="J1752" s="0" t="str">
        <f aca="false">IF($G1752="","Uncategorized — Review",IFERROR(INDEX(Mapping!$C:$C,MATCH($G1752,Mapping!$A:$A,0)),"Uncategorized — Review"))</f>
        <v>Personal — Owner</v>
      </c>
    </row>
    <row r="1753" customFormat="false" ht="15" hidden="false" customHeight="false" outlineLevel="0" collapsed="false">
      <c r="A1753" s="0" t="str">
        <f aca="false">Chase1168_2025!A1753</f>
        <v>DEBIT</v>
      </c>
      <c r="B1753" s="14" t="n">
        <f aca="false">Chase1168_2025!B1753</f>
        <v>45678</v>
      </c>
      <c r="C1753" s="0" t="str">
        <f aca="false">Chase1168_2025!C1753</f>
        <v>PP*APPLE.COM/BILL 800-275-2273 CA            01/20</v>
      </c>
      <c r="D1753" s="7" t="n">
        <f aca="false">Chase1168_2025!D1753</f>
        <v>-9.99</v>
      </c>
      <c r="E1753" s="0" t="str">
        <f aca="false">Chase1168_2025!E1753</f>
        <v>DEBIT_CARD</v>
      </c>
      <c r="F1753" s="7" t="n">
        <f aca="false">Chase1168_2025!F1753</f>
        <v>14557</v>
      </c>
      <c r="G1753" s="0" t="str">
        <f aca="false">Chase1168_2025!G1753</f>
        <v>Personal - Subscriptions</v>
      </c>
      <c r="H1753" s="15" t="n">
        <f aca="false">IF($B1753="","",DATE(YEAR($B1753),MONTH($B1753),1))</f>
        <v>45658</v>
      </c>
      <c r="I1753" s="0" t="str">
        <f aca="false">IF($G1753="","Uncategorized — Review",IFERROR(INDEX(Mapping!$B:$B,MATCH($G1753,Mapping!$A:$A,0)),"Uncategorized — Review"))</f>
        <v>Personal - Subscriptions</v>
      </c>
      <c r="J1753" s="0" t="str">
        <f aca="false">IF($G1753="","Uncategorized — Review",IFERROR(INDEX(Mapping!$C:$C,MATCH($G1753,Mapping!$A:$A,0)),"Uncategorized — Review"))</f>
        <v>Personal — Owner</v>
      </c>
    </row>
    <row r="1754" customFormat="false" ht="15" hidden="false" customHeight="false" outlineLevel="0" collapsed="false">
      <c r="A1754" s="0" t="str">
        <f aca="false">Chase1168_2025!A1754</f>
        <v>DEBIT</v>
      </c>
      <c r="B1754" s="14" t="n">
        <f aca="false">Chase1168_2025!B1754</f>
        <v>45678</v>
      </c>
      <c r="C1754" s="0" t="str">
        <f aca="false">Chase1168_2025!C1754</f>
        <v>PAYPAL *BEENVERIFIE 786-482-6776 NY          01/21</v>
      </c>
      <c r="D1754" s="7" t="n">
        <f aca="false">Chase1168_2025!D1754</f>
        <v>-26.89</v>
      </c>
      <c r="E1754" s="0" t="str">
        <f aca="false">Chase1168_2025!E1754</f>
        <v>DEBIT_CARD</v>
      </c>
      <c r="F1754" s="7" t="n">
        <f aca="false">Chase1168_2025!F1754</f>
        <v>14566.99</v>
      </c>
      <c r="G1754" s="0" t="str">
        <f aca="false">Chase1168_2025!G1754</f>
        <v>Personal - Subscriptions</v>
      </c>
      <c r="H1754" s="15" t="n">
        <f aca="false">IF($B1754="","",DATE(YEAR($B1754),MONTH($B1754),1))</f>
        <v>45658</v>
      </c>
      <c r="I1754" s="0" t="str">
        <f aca="false">IF($G1754="","Uncategorized — Review",IFERROR(INDEX(Mapping!$B:$B,MATCH($G1754,Mapping!$A:$A,0)),"Uncategorized — Review"))</f>
        <v>Personal - Subscriptions</v>
      </c>
      <c r="J1754" s="0" t="str">
        <f aca="false">IF($G1754="","Uncategorized — Review",IFERROR(INDEX(Mapping!$C:$C,MATCH($G1754,Mapping!$A:$A,0)),"Uncategorized — Review"))</f>
        <v>Personal — Owner</v>
      </c>
    </row>
    <row r="1755" customFormat="false" ht="15" hidden="false" customHeight="false" outlineLevel="0" collapsed="false">
      <c r="A1755" s="0" t="str">
        <f aca="false">Chase1168_2025!A1755</f>
        <v>DEBIT</v>
      </c>
      <c r="B1755" s="14" t="n">
        <f aca="false">Chase1168_2025!B1755</f>
        <v>45678</v>
      </c>
      <c r="C1755" s="0" t="str">
        <f aca="false">Chase1168_2025!C1755</f>
        <v>Online Transfer to CHK ...1117 transaction#: 23439350713 01/21</v>
      </c>
      <c r="D1755" s="7" t="n">
        <f aca="false">Chase1168_2025!D1755</f>
        <v>-2000</v>
      </c>
      <c r="E1755" s="0" t="str">
        <f aca="false">Chase1168_2025!E1755</f>
        <v>ACCT_XFER</v>
      </c>
      <c r="F1755" s="7" t="n">
        <f aca="false">Chase1168_2025!F1755</f>
        <v>14593.88</v>
      </c>
      <c r="G1755" s="0" t="str">
        <f aca="false">Chase1168_2025!G1755</f>
        <v>Transfer to Angela Dunning</v>
      </c>
      <c r="H1755" s="15" t="n">
        <f aca="false">IF($B1755="","",DATE(YEAR($B1755),MONTH($B1755),1))</f>
        <v>45658</v>
      </c>
      <c r="I1755" s="0" t="str">
        <f aca="false">IF($G1755="","Uncategorized — Review",IFERROR(INDEX(Mapping!$B:$B,MATCH($G1755,Mapping!$A:$A,0)),"Uncategorized — Review"))</f>
        <v>Transfer to Angela Dunning</v>
      </c>
      <c r="J1755" s="0" t="str">
        <f aca="false">IF($G1755="","Uncategorized — Review",IFERROR(INDEX(Mapping!$C:$C,MATCH($G1755,Mapping!$A:$A,0)),"Uncategorized — Review"))</f>
        <v>Owner / Family Distributions</v>
      </c>
    </row>
    <row r="1756" customFormat="false" ht="15" hidden="false" customHeight="false" outlineLevel="0" collapsed="false">
      <c r="A1756" s="0" t="str">
        <f aca="false">Chase1168_2025!A1756</f>
        <v>DEBIT</v>
      </c>
      <c r="B1756" s="14" t="n">
        <f aca="false">Chase1168_2025!B1756</f>
        <v>45678</v>
      </c>
      <c r="C1756" s="0" t="str">
        <f aca="false">Chase1168_2025!C1756</f>
        <v>PAYPAL *THEREALDEAL O 212-260-1332 NY        01/20</v>
      </c>
      <c r="D1756" s="7" t="n">
        <f aca="false">Chase1168_2025!D1756</f>
        <v>-15</v>
      </c>
      <c r="E1756" s="0" t="str">
        <f aca="false">Chase1168_2025!E1756</f>
        <v>DEBIT_CARD</v>
      </c>
      <c r="F1756" s="7" t="n">
        <f aca="false">Chase1168_2025!F1756</f>
        <v>16593.88</v>
      </c>
      <c r="G1756" s="0" t="str">
        <f aca="false">Chase1168_2025!G1756</f>
        <v>Personal - Subscriptions</v>
      </c>
      <c r="H1756" s="15" t="n">
        <f aca="false">IF($B1756="","",DATE(YEAR($B1756),MONTH($B1756),1))</f>
        <v>45658</v>
      </c>
      <c r="I1756" s="0" t="str">
        <f aca="false">IF($G1756="","Uncategorized — Review",IFERROR(INDEX(Mapping!$B:$B,MATCH($G1756,Mapping!$A:$A,0)),"Uncategorized — Review"))</f>
        <v>Personal - Subscriptions</v>
      </c>
      <c r="J1756" s="0" t="str">
        <f aca="false">IF($G1756="","Uncategorized — Review",IFERROR(INDEX(Mapping!$C:$C,MATCH($G1756,Mapping!$A:$A,0)),"Uncategorized — Review"))</f>
        <v>Personal — Owner</v>
      </c>
    </row>
    <row r="1757" customFormat="false" ht="15" hidden="false" customHeight="false" outlineLevel="0" collapsed="false">
      <c r="A1757" s="0" t="str">
        <f aca="false">Chase1168_2025!A1757</f>
        <v>DEBIT</v>
      </c>
      <c r="B1757" s="14" t="n">
        <f aca="false">Chase1168_2025!B1757</f>
        <v>45678</v>
      </c>
      <c r="C1757" s="0" t="str">
        <f aca="false">Chase1168_2025!C1757</f>
        <v>PAYPAL *ON SPORTSWE R 503-222-0691 OR        01/20</v>
      </c>
      <c r="D1757" s="7" t="n">
        <f aca="false">Chase1168_2025!D1757</f>
        <v>-136.87</v>
      </c>
      <c r="E1757" s="0" t="str">
        <f aca="false">Chase1168_2025!E1757</f>
        <v>DEBIT_CARD</v>
      </c>
      <c r="F1757" s="7" t="n">
        <f aca="false">Chase1168_2025!F1757</f>
        <v>16608.88</v>
      </c>
      <c r="G1757" s="0" t="str">
        <f aca="false">Chase1168_2025!G1757</f>
        <v>Personal - Clothing</v>
      </c>
      <c r="H1757" s="15" t="n">
        <f aca="false">IF($B1757="","",DATE(YEAR($B1757),MONTH($B1757),1))</f>
        <v>45658</v>
      </c>
      <c r="I1757" s="0" t="str">
        <f aca="false">IF($G1757="","Uncategorized — Review",IFERROR(INDEX(Mapping!$B:$B,MATCH($G1757,Mapping!$A:$A,0)),"Uncategorized — Review"))</f>
        <v>Personal - Clothing</v>
      </c>
      <c r="J1757" s="0" t="str">
        <f aca="false">IF($G1757="","Uncategorized — Review",IFERROR(INDEX(Mapping!$C:$C,MATCH($G1757,Mapping!$A:$A,0)),"Uncategorized — Review"))</f>
        <v>Personal — Owner</v>
      </c>
    </row>
    <row r="1758" customFormat="false" ht="15" hidden="false" customHeight="false" outlineLevel="0" collapsed="false">
      <c r="A1758" s="0" t="str">
        <f aca="false">Chase1168_2025!A1758</f>
        <v>DEBIT</v>
      </c>
      <c r="B1758" s="14" t="n">
        <f aca="false">Chase1168_2025!B1758</f>
        <v>45678</v>
      </c>
      <c r="C1758" s="0" t="str">
        <f aca="false">Chase1168_2025!C1758</f>
        <v>On Sportswear Portland OR                    01/19</v>
      </c>
      <c r="D1758" s="7" t="n">
        <f aca="false">Chase1168_2025!D1758</f>
        <v>-350.4</v>
      </c>
      <c r="E1758" s="0" t="str">
        <f aca="false">Chase1168_2025!E1758</f>
        <v>DEBIT_CARD</v>
      </c>
      <c r="F1758" s="7" t="n">
        <f aca="false">Chase1168_2025!F1758</f>
        <v>16745.75</v>
      </c>
      <c r="G1758" s="0" t="str">
        <f aca="false">Chase1168_2025!G1758</f>
        <v>Personal - Clothing</v>
      </c>
      <c r="H1758" s="15" t="n">
        <f aca="false">IF($B1758="","",DATE(YEAR($B1758),MONTH($B1758),1))</f>
        <v>45658</v>
      </c>
      <c r="I1758" s="0" t="str">
        <f aca="false">IF($G1758="","Uncategorized — Review",IFERROR(INDEX(Mapping!$B:$B,MATCH($G1758,Mapping!$A:$A,0)),"Uncategorized — Review"))</f>
        <v>Personal - Clothing</v>
      </c>
      <c r="J1758" s="0" t="str">
        <f aca="false">IF($G1758="","Uncategorized — Review",IFERROR(INDEX(Mapping!$C:$C,MATCH($G1758,Mapping!$A:$A,0)),"Uncategorized — Review"))</f>
        <v>Personal — Owner</v>
      </c>
    </row>
    <row r="1759" customFormat="false" ht="15" hidden="false" customHeight="false" outlineLevel="0" collapsed="false">
      <c r="A1759" s="0" t="str">
        <f aca="false">Chase1168_2025!A1759</f>
        <v>DEBIT</v>
      </c>
      <c r="B1759" s="14" t="n">
        <f aca="false">Chase1168_2025!B1759</f>
        <v>45678</v>
      </c>
      <c r="C1759" s="0" t="str">
        <f aca="false">Chase1168_2025!C1759</f>
        <v>TST*THE BUTCHERS DAUGHT Venice CA            01/18</v>
      </c>
      <c r="D1759" s="7" t="n">
        <f aca="false">Chase1168_2025!D1759</f>
        <v>-69.3</v>
      </c>
      <c r="E1759" s="0" t="str">
        <f aca="false">Chase1168_2025!E1759</f>
        <v>DEBIT_CARD</v>
      </c>
      <c r="F1759" s="7" t="n">
        <f aca="false">Chase1168_2025!F1759</f>
        <v>17096.15</v>
      </c>
      <c r="G1759" s="0" t="str">
        <f aca="false">Chase1168_2025!G1759</f>
        <v>Personal - Food</v>
      </c>
      <c r="H1759" s="15" t="n">
        <f aca="false">IF($B1759="","",DATE(YEAR($B1759),MONTH($B1759),1))</f>
        <v>45658</v>
      </c>
      <c r="I1759" s="0" t="str">
        <f aca="false">IF($G1759="","Uncategorized — Review",IFERROR(INDEX(Mapping!$B:$B,MATCH($G1759,Mapping!$A:$A,0)),"Uncategorized — Review"))</f>
        <v>Personal - Food &amp; Dining</v>
      </c>
      <c r="J1759" s="0" t="str">
        <f aca="false">IF($G1759="","Uncategorized — Review",IFERROR(INDEX(Mapping!$C:$C,MATCH($G1759,Mapping!$A:$A,0)),"Uncategorized — Review"))</f>
        <v>Personal — Owner</v>
      </c>
    </row>
    <row r="1760" customFormat="false" ht="15" hidden="false" customHeight="false" outlineLevel="0" collapsed="false">
      <c r="A1760" s="0" t="str">
        <f aca="false">Chase1168_2025!A1760</f>
        <v>DEBIT</v>
      </c>
      <c r="B1760" s="14" t="n">
        <f aca="false">Chase1168_2025!B1760</f>
        <v>45678</v>
      </c>
      <c r="C1760" s="0" t="str">
        <f aca="false">Chase1168_2025!C1760</f>
        <v>LADOT METER PARKING LOS ANGELES CA           01/18</v>
      </c>
      <c r="D1760" s="7" t="n">
        <f aca="false">Chase1168_2025!D1760</f>
        <v>-1.5</v>
      </c>
      <c r="E1760" s="0" t="str">
        <f aca="false">Chase1168_2025!E1760</f>
        <v>DEBIT_CARD</v>
      </c>
      <c r="F1760" s="7" t="n">
        <f aca="false">Chase1168_2025!F1760</f>
        <v>17165.45</v>
      </c>
      <c r="G1760" s="0" t="str">
        <f aca="false">Chase1168_2025!G1760</f>
        <v>Personal - Car</v>
      </c>
      <c r="H1760" s="15" t="n">
        <f aca="false">IF($B1760="","",DATE(YEAR($B1760),MONTH($B1760),1))</f>
        <v>45658</v>
      </c>
      <c r="I1760" s="0" t="str">
        <f aca="false">IF($G1760="","Uncategorized — Review",IFERROR(INDEX(Mapping!$B:$B,MATCH($G1760,Mapping!$A:$A,0)),"Uncategorized — Review"))</f>
        <v>Personal - Car &amp; Auto</v>
      </c>
      <c r="J1760" s="0" t="str">
        <f aca="false">IF($G1760="","Uncategorized — Review",IFERROR(INDEX(Mapping!$C:$C,MATCH($G1760,Mapping!$A:$A,0)),"Uncategorized — Review"))</f>
        <v>Personal — Owner</v>
      </c>
    </row>
    <row r="1761" customFormat="false" ht="15" hidden="false" customHeight="false" outlineLevel="0" collapsed="false">
      <c r="A1761" s="0" t="str">
        <f aca="false">Chase1168_2025!A1761</f>
        <v>DEBIT</v>
      </c>
      <c r="B1761" s="14" t="n">
        <f aca="false">Chase1168_2025!B1761</f>
        <v>45678</v>
      </c>
      <c r="C1761" s="0" t="str">
        <f aca="false">Chase1168_2025!C1761</f>
        <v>CITY OF SANTA MONICA SANTA MONICA CA         01/18</v>
      </c>
      <c r="D1761" s="7" t="n">
        <f aca="false">Chase1168_2025!D1761</f>
        <v>-2.5</v>
      </c>
      <c r="E1761" s="0" t="str">
        <f aca="false">Chase1168_2025!E1761</f>
        <v>DEBIT_CARD</v>
      </c>
      <c r="F1761" s="7" t="n">
        <f aca="false">Chase1168_2025!F1761</f>
        <v>17166.95</v>
      </c>
      <c r="G1761" s="0" t="str">
        <f aca="false">Chase1168_2025!G1761</f>
        <v>Personal - Car</v>
      </c>
      <c r="H1761" s="15" t="n">
        <f aca="false">IF($B1761="","",DATE(YEAR($B1761),MONTH($B1761),1))</f>
        <v>45658</v>
      </c>
      <c r="I1761" s="0" t="str">
        <f aca="false">IF($G1761="","Uncategorized — Review",IFERROR(INDEX(Mapping!$B:$B,MATCH($G1761,Mapping!$A:$A,0)),"Uncategorized — Review"))</f>
        <v>Personal - Car &amp; Auto</v>
      </c>
      <c r="J1761" s="0" t="str">
        <f aca="false">IF($G1761="","Uncategorized — Review",IFERROR(INDEX(Mapping!$C:$C,MATCH($G1761,Mapping!$A:$A,0)),"Uncategorized — Review"))</f>
        <v>Personal — Owner</v>
      </c>
    </row>
    <row r="1762" customFormat="false" ht="15" hidden="false" customHeight="false" outlineLevel="0" collapsed="false">
      <c r="A1762" s="0" t="str">
        <f aca="false">Chase1168_2025!A1762</f>
        <v>DEBIT</v>
      </c>
      <c r="B1762" s="14" t="n">
        <f aca="false">Chase1168_2025!B1762</f>
        <v>45678</v>
      </c>
      <c r="C1762" s="0" t="str">
        <f aca="false">Chase1168_2025!C1762</f>
        <v>PAYPAL *FOXCORP 888-596-3938 CA              01/19</v>
      </c>
      <c r="D1762" s="7" t="n">
        <f aca="false">Chase1168_2025!D1762</f>
        <v>-7.99</v>
      </c>
      <c r="E1762" s="0" t="str">
        <f aca="false">Chase1168_2025!E1762</f>
        <v>DEBIT_CARD</v>
      </c>
      <c r="F1762" s="7" t="n">
        <f aca="false">Chase1168_2025!F1762</f>
        <v>17169.45</v>
      </c>
      <c r="G1762" s="0" t="str">
        <f aca="false">Chase1168_2025!G1762</f>
        <v>Personal - Subscriptions</v>
      </c>
      <c r="H1762" s="15" t="n">
        <f aca="false">IF($B1762="","",DATE(YEAR($B1762),MONTH($B1762),1))</f>
        <v>45658</v>
      </c>
      <c r="I1762" s="0" t="str">
        <f aca="false">IF($G1762="","Uncategorized — Review",IFERROR(INDEX(Mapping!$B:$B,MATCH($G1762,Mapping!$A:$A,0)),"Uncategorized — Review"))</f>
        <v>Personal - Subscriptions</v>
      </c>
      <c r="J1762" s="0" t="str">
        <f aca="false">IF($G1762="","Uncategorized — Review",IFERROR(INDEX(Mapping!$C:$C,MATCH($G1762,Mapping!$A:$A,0)),"Uncategorized — Review"))</f>
        <v>Personal — Owner</v>
      </c>
    </row>
    <row r="1763" customFormat="false" ht="15" hidden="false" customHeight="false" outlineLevel="0" collapsed="false">
      <c r="A1763" s="0" t="str">
        <f aca="false">Chase1168_2025!A1763</f>
        <v>DEBIT</v>
      </c>
      <c r="B1763" s="14" t="n">
        <f aca="false">Chase1168_2025!B1763</f>
        <v>45678</v>
      </c>
      <c r="C1763" s="0" t="str">
        <f aca="false">Chase1168_2025!C1763</f>
        <v>PP*APPLE.COM/BILL 800-275-2273 CA            01/18</v>
      </c>
      <c r="D1763" s="7" t="n">
        <f aca="false">Chase1168_2025!D1763</f>
        <v>-3.99</v>
      </c>
      <c r="E1763" s="0" t="str">
        <f aca="false">Chase1168_2025!E1763</f>
        <v>DEBIT_CARD</v>
      </c>
      <c r="F1763" s="7" t="n">
        <f aca="false">Chase1168_2025!F1763</f>
        <v>17177.44</v>
      </c>
      <c r="G1763" s="0" t="str">
        <f aca="false">Chase1168_2025!G1763</f>
        <v>Personal - Subscriptions</v>
      </c>
      <c r="H1763" s="15" t="n">
        <f aca="false">IF($B1763="","",DATE(YEAR($B1763),MONTH($B1763),1))</f>
        <v>45658</v>
      </c>
      <c r="I1763" s="0" t="str">
        <f aca="false">IF($G1763="","Uncategorized — Review",IFERROR(INDEX(Mapping!$B:$B,MATCH($G1763,Mapping!$A:$A,0)),"Uncategorized — Review"))</f>
        <v>Personal - Subscriptions</v>
      </c>
      <c r="J1763" s="0" t="str">
        <f aca="false">IF($G1763="","Uncategorized — Review",IFERROR(INDEX(Mapping!$C:$C,MATCH($G1763,Mapping!$A:$A,0)),"Uncategorized — Review"))</f>
        <v>Personal — Owner</v>
      </c>
    </row>
    <row r="1764" customFormat="false" ht="15" hidden="false" customHeight="false" outlineLevel="0" collapsed="false">
      <c r="A1764" s="0" t="str">
        <f aca="false">Chase1168_2025!A1764</f>
        <v>DEBIT</v>
      </c>
      <c r="B1764" s="14" t="n">
        <f aca="false">Chase1168_2025!B1764</f>
        <v>45678</v>
      </c>
      <c r="C1764" s="0" t="str">
        <f aca="false">Chase1168_2025!C1764</f>
        <v>ORIG CO NAME:TXWORKFORCECOMM        ORIG ID:2146000320 DESC DATE:250117 CO ENTRY DESCR:DEBIT     SEC:CCD    TRACE#:021000021596433 EED:250121   IND ID:(512)463-2325                IND NAME:TWC-203092024                                                                                                TWC UI TAX TRN: 0211596433TC</v>
      </c>
      <c r="D1764" s="7" t="n">
        <f aca="false">Chase1168_2025!D1764</f>
        <v>-22.5</v>
      </c>
      <c r="E1764" s="0" t="str">
        <f aca="false">Chase1168_2025!E1764</f>
        <v>ACH_DEBIT</v>
      </c>
      <c r="F1764" s="7" t="n">
        <f aca="false">Chase1168_2025!F1764</f>
        <v>17181.43</v>
      </c>
      <c r="G1764" s="0" t="str">
        <f aca="false">Chase1168_2025!G1764</f>
        <v>Taxes</v>
      </c>
      <c r="H1764" s="15" t="n">
        <f aca="false">IF($B1764="","",DATE(YEAR($B1764),MONTH($B1764),1))</f>
        <v>45658</v>
      </c>
      <c r="I1764" s="0" t="str">
        <f aca="false">IF($G1764="","Uncategorized — Review",IFERROR(INDEX(Mapping!$B:$B,MATCH($G1764,Mapping!$A:$A,0)),"Uncategorized — Review"))</f>
        <v>Taxes</v>
      </c>
      <c r="J1764" s="0" t="str">
        <f aca="false">IF($G1764="","Uncategorized — Review",IFERROR(INDEX(Mapping!$C:$C,MATCH($G1764,Mapping!$A:$A,0)),"Uncategorized — Review"))</f>
        <v>Taxes</v>
      </c>
    </row>
    <row r="1765" customFormat="false" ht="15" hidden="false" customHeight="false" outlineLevel="0" collapsed="false">
      <c r="A1765" s="0" t="str">
        <f aca="false">Chase1168_2025!A1765</f>
        <v>DEBIT</v>
      </c>
      <c r="B1765" s="14" t="n">
        <f aca="false">Chase1168_2025!B1765</f>
        <v>45678</v>
      </c>
      <c r="C1765" s="0" t="str">
        <f aca="false">Chase1168_2025!C1765</f>
        <v>PAYPAL *GRUBHUBFOOD V 877-585-7878 IL        01/19</v>
      </c>
      <c r="D1765" s="7" t="n">
        <f aca="false">Chase1168_2025!D1765</f>
        <v>-181.45</v>
      </c>
      <c r="E1765" s="0" t="str">
        <f aca="false">Chase1168_2025!E1765</f>
        <v>DEBIT_CARD</v>
      </c>
      <c r="F1765" s="7" t="n">
        <f aca="false">Chase1168_2025!F1765</f>
        <v>17203.93</v>
      </c>
      <c r="G1765" s="0" t="str">
        <f aca="false">Chase1168_2025!G1765</f>
        <v>Personal - Food</v>
      </c>
      <c r="H1765" s="15" t="n">
        <f aca="false">IF($B1765="","",DATE(YEAR($B1765),MONTH($B1765),1))</f>
        <v>45658</v>
      </c>
      <c r="I1765" s="0" t="str">
        <f aca="false">IF($G1765="","Uncategorized — Review",IFERROR(INDEX(Mapping!$B:$B,MATCH($G1765,Mapping!$A:$A,0)),"Uncategorized — Review"))</f>
        <v>Personal - Food &amp; Dining</v>
      </c>
      <c r="J1765" s="0" t="str">
        <f aca="false">IF($G1765="","Uncategorized — Review",IFERROR(INDEX(Mapping!$C:$C,MATCH($G1765,Mapping!$A:$A,0)),"Uncategorized — Review"))</f>
        <v>Personal — Owner</v>
      </c>
    </row>
    <row r="1766" customFormat="false" ht="15" hidden="false" customHeight="false" outlineLevel="0" collapsed="false">
      <c r="A1766" s="0" t="str">
        <f aca="false">Chase1168_2025!A1766</f>
        <v>DEBIT</v>
      </c>
      <c r="B1766" s="14" t="n">
        <f aca="false">Chase1168_2025!B1766</f>
        <v>45678</v>
      </c>
      <c r="C1766" s="0" t="str">
        <f aca="false">Chase1168_2025!C1766</f>
        <v>Zelle payment to Jeffrey Seider JPM99av8z1d7</v>
      </c>
      <c r="D1766" s="7" t="n">
        <f aca="false">Chase1168_2025!D1766</f>
        <v>-150</v>
      </c>
      <c r="E1766" s="0" t="str">
        <f aca="false">Chase1168_2025!E1766</f>
        <v>CHASE_TO_PARTNERFI</v>
      </c>
      <c r="F1766" s="7" t="n">
        <f aca="false">Chase1168_2025!F1766</f>
        <v>17385.38</v>
      </c>
      <c r="G1766" s="0" t="str">
        <f aca="false">Chase1168_2025!G1766</f>
        <v>Zelle - Jeff Seider</v>
      </c>
      <c r="H1766" s="15" t="n">
        <f aca="false">IF($B1766="","",DATE(YEAR($B1766),MONTH($B1766),1))</f>
        <v>45658</v>
      </c>
      <c r="I1766" s="0" t="str">
        <f aca="false">IF($G1766="","Uncategorized — Review",IFERROR(INDEX(Mapping!$B:$B,MATCH($G1766,Mapping!$A:$A,0)),"Uncategorized — Review"))</f>
        <v>Zelle - Jeff Seider</v>
      </c>
      <c r="J1766" s="0" t="str">
        <f aca="false">IF($G1766="","Uncategorized — Review",IFERROR(INDEX(Mapping!$C:$C,MATCH($G1766,Mapping!$A:$A,0)),"Uncategorized — Review"))</f>
        <v>P2P Payments (Zelle/Venmo/PayPal)</v>
      </c>
    </row>
    <row r="1767" customFormat="false" ht="15" hidden="false" customHeight="false" outlineLevel="0" collapsed="false">
      <c r="A1767" s="0" t="str">
        <f aca="false">Chase1168_2025!A1767</f>
        <v>DEBIT</v>
      </c>
      <c r="B1767" s="14" t="n">
        <f aca="false">Chase1168_2025!B1767</f>
        <v>45678</v>
      </c>
      <c r="C1767" s="0" t="str">
        <f aca="false">Chase1168_2025!C1767</f>
        <v>TST* CAFE GRATITUDE - V VENICE CA            01/18</v>
      </c>
      <c r="D1767" s="7" t="n">
        <f aca="false">Chase1168_2025!D1767</f>
        <v>-241.31</v>
      </c>
      <c r="E1767" s="0" t="str">
        <f aca="false">Chase1168_2025!E1767</f>
        <v>DEBIT_CARD</v>
      </c>
      <c r="F1767" s="7" t="n">
        <f aca="false">Chase1168_2025!F1767</f>
        <v>17535.38</v>
      </c>
      <c r="G1767" s="0" t="str">
        <f aca="false">Chase1168_2025!G1767</f>
        <v>Personal - Food</v>
      </c>
      <c r="H1767" s="15" t="n">
        <f aca="false">IF($B1767="","",DATE(YEAR($B1767),MONTH($B1767),1))</f>
        <v>45658</v>
      </c>
      <c r="I1767" s="0" t="str">
        <f aca="false">IF($G1767="","Uncategorized — Review",IFERROR(INDEX(Mapping!$B:$B,MATCH($G1767,Mapping!$A:$A,0)),"Uncategorized — Review"))</f>
        <v>Personal - Food &amp; Dining</v>
      </c>
      <c r="J1767" s="0" t="str">
        <f aca="false">IF($G1767="","Uncategorized — Review",IFERROR(INDEX(Mapping!$C:$C,MATCH($G1767,Mapping!$A:$A,0)),"Uncategorized — Review"))</f>
        <v>Personal — Owner</v>
      </c>
    </row>
    <row r="1768" customFormat="false" ht="15" hidden="false" customHeight="false" outlineLevel="0" collapsed="false">
      <c r="A1768" s="0" t="str">
        <f aca="false">Chase1168_2025!A1768</f>
        <v>DEBIT</v>
      </c>
      <c r="B1768" s="14" t="n">
        <f aca="false">Chase1168_2025!B1768</f>
        <v>45678</v>
      </c>
      <c r="C1768" s="0" t="str">
        <f aca="false">Chase1168_2025!C1768</f>
        <v>PP*APPLE.COM/BILL 800-275-2273 CA            01/17</v>
      </c>
      <c r="D1768" s="7" t="n">
        <f aca="false">Chase1168_2025!D1768</f>
        <v>-9.99</v>
      </c>
      <c r="E1768" s="0" t="str">
        <f aca="false">Chase1168_2025!E1768</f>
        <v>DEBIT_CARD</v>
      </c>
      <c r="F1768" s="7" t="n">
        <f aca="false">Chase1168_2025!F1768</f>
        <v>17776.69</v>
      </c>
      <c r="G1768" s="0" t="str">
        <f aca="false">Chase1168_2025!G1768</f>
        <v>Personal - Subscriptions</v>
      </c>
      <c r="H1768" s="15" t="n">
        <f aca="false">IF($B1768="","",DATE(YEAR($B1768),MONTH($B1768),1))</f>
        <v>45658</v>
      </c>
      <c r="I1768" s="0" t="str">
        <f aca="false">IF($G1768="","Uncategorized — Review",IFERROR(INDEX(Mapping!$B:$B,MATCH($G1768,Mapping!$A:$A,0)),"Uncategorized — Review"))</f>
        <v>Personal - Subscriptions</v>
      </c>
      <c r="J1768" s="0" t="str">
        <f aca="false">IF($G1768="","Uncategorized — Review",IFERROR(INDEX(Mapping!$C:$C,MATCH($G1768,Mapping!$A:$A,0)),"Uncategorized — Review"))</f>
        <v>Personal — Owner</v>
      </c>
    </row>
    <row r="1769" customFormat="false" ht="15" hidden="false" customHeight="false" outlineLevel="0" collapsed="false">
      <c r="A1769" s="0" t="str">
        <f aca="false">Chase1168_2025!A1769</f>
        <v>DEBIT</v>
      </c>
      <c r="B1769" s="14" t="n">
        <f aca="false">Chase1168_2025!B1769</f>
        <v>45678</v>
      </c>
      <c r="C1769" s="0" t="str">
        <f aca="false">Chase1168_2025!C1769</f>
        <v>PAYPAL *RUTHALCANCI 402-935-7733 CA          01/17</v>
      </c>
      <c r="D1769" s="7" t="n">
        <f aca="false">Chase1168_2025!D1769</f>
        <v>-200</v>
      </c>
      <c r="E1769" s="0" t="str">
        <f aca="false">Chase1168_2025!E1769</f>
        <v>DEBIT_CARD</v>
      </c>
      <c r="F1769" s="7" t="n">
        <f aca="false">Chase1168_2025!F1769</f>
        <v>17786.68</v>
      </c>
      <c r="G1769" s="0" t="str">
        <f aca="false">Chase1168_2025!G1769</f>
        <v>Ruth Alcancia - Forward Bridge Payment</v>
      </c>
      <c r="H1769" s="15" t="n">
        <f aca="false">IF($B1769="","",DATE(YEAR($B1769),MONTH($B1769),1))</f>
        <v>45658</v>
      </c>
      <c r="I1769" s="0" t="str">
        <f aca="false">IF($G1769="","Uncategorized — Review",IFERROR(INDEX(Mapping!$B:$B,MATCH($G1769,Mapping!$A:$A,0)),"Uncategorized — Review"))</f>
        <v>Ruth Alcancia - Forward Bridge Payment</v>
      </c>
      <c r="J1769" s="0" t="str">
        <f aca="false">IF($G1769="","Uncategorized — Review",IFERROR(INDEX(Mapping!$C:$C,MATCH($G1769,Mapping!$A:$A,0)),"Uncategorized — Review"))</f>
        <v>Payroll &amp; Contractors</v>
      </c>
    </row>
    <row r="1770" customFormat="false" ht="15" hidden="false" customHeight="false" outlineLevel="0" collapsed="false">
      <c r="A1770" s="0" t="str">
        <f aca="false">Chase1168_2025!A1770</f>
        <v>DEBIT</v>
      </c>
      <c r="B1770" s="14" t="n">
        <f aca="false">Chase1168_2025!B1770</f>
        <v>45674</v>
      </c>
      <c r="C1770" s="0" t="str">
        <f aca="false">Chase1168_2025!C1770</f>
        <v>ORIG CO NAME:VENMO                  ORIG ID:3264681992 DESC DATE:250116 CO ENTRY DESCR:PAYMENT   SEC:WEB    TRACE#:091000015436518 EED:250117   IND ID:1039674729413                IND NAME:JUDD DUNNING TRN: 0175436518TC</v>
      </c>
      <c r="D1770" s="7" t="n">
        <f aca="false">Chase1168_2025!D1770</f>
        <v>-135</v>
      </c>
      <c r="E1770" s="0" t="str">
        <f aca="false">Chase1168_2025!E1770</f>
        <v>ACH_DEBIT</v>
      </c>
      <c r="F1770" s="7" t="n">
        <f aca="false">Chase1168_2025!F1770</f>
        <v>17986.68</v>
      </c>
      <c r="G1770" s="0" t="str">
        <f aca="false">Chase1168_2025!G1770</f>
        <v>Venmo</v>
      </c>
      <c r="H1770" s="15" t="n">
        <f aca="false">IF($B1770="","",DATE(YEAR($B1770),MONTH($B1770),1))</f>
        <v>45658</v>
      </c>
      <c r="I1770" s="0" t="str">
        <f aca="false">IF($G1770="","Uncategorized — Review",IFERROR(INDEX(Mapping!$B:$B,MATCH($G1770,Mapping!$A:$A,0)),"Uncategorized — Review"))</f>
        <v>Venmo</v>
      </c>
      <c r="J1770" s="0" t="str">
        <f aca="false">IF($G1770="","Uncategorized — Review",IFERROR(INDEX(Mapping!$C:$C,MATCH($G1770,Mapping!$A:$A,0)),"Uncategorized — Review"))</f>
        <v>P2P Payments (Zelle/Venmo/PayPal)</v>
      </c>
    </row>
    <row r="1771" customFormat="false" ht="15" hidden="false" customHeight="false" outlineLevel="0" collapsed="false">
      <c r="A1771" s="0" t="str">
        <f aca="false">Chase1168_2025!A1771</f>
        <v>DEBIT</v>
      </c>
      <c r="B1771" s="14" t="n">
        <f aca="false">Chase1168_2025!B1771</f>
        <v>45674</v>
      </c>
      <c r="C1771" s="0" t="str">
        <f aca="false">Chase1168_2025!C1771</f>
        <v>SQ *ALANA'S COFFEE ROA Los Angeles CA        01/16</v>
      </c>
      <c r="D1771" s="7" t="n">
        <f aca="false">Chase1168_2025!D1771</f>
        <v>-15.9</v>
      </c>
      <c r="E1771" s="0" t="str">
        <f aca="false">Chase1168_2025!E1771</f>
        <v>DEBIT_CARD</v>
      </c>
      <c r="F1771" s="7" t="n">
        <f aca="false">Chase1168_2025!F1771</f>
        <v>18121.68</v>
      </c>
      <c r="G1771" s="0" t="str">
        <f aca="false">Chase1168_2025!G1771</f>
        <v>Personal - Food</v>
      </c>
      <c r="H1771" s="15" t="n">
        <f aca="false">IF($B1771="","",DATE(YEAR($B1771),MONTH($B1771),1))</f>
        <v>45658</v>
      </c>
      <c r="I1771" s="0" t="str">
        <f aca="false">IF($G1771="","Uncategorized — Review",IFERROR(INDEX(Mapping!$B:$B,MATCH($G1771,Mapping!$A:$A,0)),"Uncategorized — Review"))</f>
        <v>Personal - Food &amp; Dining</v>
      </c>
      <c r="J1771" s="0" t="str">
        <f aca="false">IF($G1771="","Uncategorized — Review",IFERROR(INDEX(Mapping!$C:$C,MATCH($G1771,Mapping!$A:$A,0)),"Uncategorized — Review"))</f>
        <v>Personal — Owner</v>
      </c>
    </row>
    <row r="1772" customFormat="false" ht="15" hidden="false" customHeight="false" outlineLevel="0" collapsed="false">
      <c r="A1772" s="0" t="str">
        <f aca="false">Chase1168_2025!A1772</f>
        <v>DEBIT</v>
      </c>
      <c r="B1772" s="14" t="n">
        <f aca="false">Chase1168_2025!B1772</f>
        <v>45674</v>
      </c>
      <c r="C1772" s="0" t="str">
        <f aca="false">Chase1168_2025!C1772</f>
        <v>PAYPAL *LINKEDIN 402-935-7733 CA             01/17</v>
      </c>
      <c r="D1772" s="7" t="n">
        <f aca="false">Chase1168_2025!D1772</f>
        <v>-69.99</v>
      </c>
      <c r="E1772" s="0" t="str">
        <f aca="false">Chase1168_2025!E1772</f>
        <v>DEBIT_CARD</v>
      </c>
      <c r="F1772" s="7" t="n">
        <f aca="false">Chase1168_2025!F1772</f>
        <v>18137.58</v>
      </c>
      <c r="G1772" s="0" t="str">
        <f aca="false">Chase1168_2025!G1772</f>
        <v>DWG HR</v>
      </c>
      <c r="H1772" s="15" t="n">
        <f aca="false">IF($B1772="","",DATE(YEAR($B1772),MONTH($B1772),1))</f>
        <v>45658</v>
      </c>
      <c r="I1772" s="0" t="str">
        <f aca="false">IF($G1772="","Uncategorized — Review",IFERROR(INDEX(Mapping!$B:$B,MATCH($G1772,Mapping!$A:$A,0)),"Uncategorized — Review"))</f>
        <v>DWG HR</v>
      </c>
      <c r="J1772" s="0" t="str">
        <f aca="false">IF($G1772="","Uncategorized — Review",IFERROR(INDEX(Mapping!$C:$C,MATCH($G1772,Mapping!$A:$A,0)),"Uncategorized — Review"))</f>
        <v>Payroll &amp; Contractors</v>
      </c>
    </row>
    <row r="1773" customFormat="false" ht="15" hidden="false" customHeight="false" outlineLevel="0" collapsed="false">
      <c r="A1773" s="0" t="str">
        <f aca="false">Chase1168_2025!A1773</f>
        <v>DEBIT</v>
      </c>
      <c r="B1773" s="14" t="n">
        <f aca="false">Chase1168_2025!B1773</f>
        <v>45674</v>
      </c>
      <c r="C1773" s="0" t="str">
        <f aca="false">Chase1168_2025!C1773</f>
        <v>PAYPAL *BLINKIST 35314369001                 01/14</v>
      </c>
      <c r="D1773" s="7" t="n">
        <f aca="false">Chase1168_2025!D1773</f>
        <v>-99.99</v>
      </c>
      <c r="E1773" s="0" t="str">
        <f aca="false">Chase1168_2025!E1773</f>
        <v>DEBIT_CARD</v>
      </c>
      <c r="F1773" s="7" t="n">
        <f aca="false">Chase1168_2025!F1773</f>
        <v>18207.57</v>
      </c>
      <c r="G1773" s="0" t="str">
        <f aca="false">Chase1168_2025!G1773</f>
        <v>Personal - Subscriptions</v>
      </c>
      <c r="H1773" s="15" t="n">
        <f aca="false">IF($B1773="","",DATE(YEAR($B1773),MONTH($B1773),1))</f>
        <v>45658</v>
      </c>
      <c r="I1773" s="0" t="str">
        <f aca="false">IF($G1773="","Uncategorized — Review",IFERROR(INDEX(Mapping!$B:$B,MATCH($G1773,Mapping!$A:$A,0)),"Uncategorized — Review"))</f>
        <v>Personal - Subscriptions</v>
      </c>
      <c r="J1773" s="0" t="str">
        <f aca="false">IF($G1773="","Uncategorized — Review",IFERROR(INDEX(Mapping!$C:$C,MATCH($G1773,Mapping!$A:$A,0)),"Uncategorized — Review"))</f>
        <v>Personal — Owner</v>
      </c>
    </row>
    <row r="1774" customFormat="false" ht="15" hidden="false" customHeight="false" outlineLevel="0" collapsed="false">
      <c r="A1774" s="0" t="str">
        <f aca="false">Chase1168_2025!A1774</f>
        <v>DEBIT</v>
      </c>
      <c r="B1774" s="14" t="n">
        <f aca="false">Chase1168_2025!B1774</f>
        <v>45673</v>
      </c>
      <c r="C1774" s="0" t="str">
        <f aca="false">Chase1168_2025!C1774</f>
        <v>ONLINE FX INTERNATIONAL WIRE FEE</v>
      </c>
      <c r="D1774" s="7" t="n">
        <f aca="false">Chase1168_2025!D1774</f>
        <v>-5</v>
      </c>
      <c r="E1774" s="0" t="str">
        <f aca="false">Chase1168_2025!E1774</f>
        <v>FEE_TRANSACTION</v>
      </c>
      <c r="F1774" s="7" t="n">
        <f aca="false">Chase1168_2025!F1774</f>
        <v>18307.56</v>
      </c>
      <c r="G1774" s="0" t="str">
        <f aca="false">Chase1168_2025!G1774</f>
        <v>Andres Alarcon Payroll</v>
      </c>
      <c r="H1774" s="15" t="n">
        <f aca="false">IF($B1774="","",DATE(YEAR($B1774),MONTH($B1774),1))</f>
        <v>45658</v>
      </c>
      <c r="I1774" s="0" t="str">
        <f aca="false">IF($G1774="","Uncategorized — Review",IFERROR(INDEX(Mapping!$B:$B,MATCH($G1774,Mapping!$A:$A,0)),"Uncategorized — Review"))</f>
        <v>Andres Alarcon Payroll</v>
      </c>
      <c r="J1774" s="0" t="str">
        <f aca="false">IF($G1774="","Uncategorized — Review",IFERROR(INDEX(Mapping!$C:$C,MATCH($G1774,Mapping!$A:$A,0)),"Uncategorized — Review"))</f>
        <v>Payroll &amp; Contractors</v>
      </c>
    </row>
    <row r="1775" customFormat="false" ht="15" hidden="false" customHeight="false" outlineLevel="0" collapsed="false">
      <c r="A1775" s="0" t="str">
        <f aca="false">Chase1168_2025!A1775</f>
        <v>DEBIT</v>
      </c>
      <c r="B1775" s="14" t="n">
        <f aca="false">Chase1168_2025!B1775</f>
        <v>45673</v>
      </c>
      <c r="C1775" s="0" t="str">
        <f aca="false">Chase1168_2025!C1775</f>
        <v>ONLINE US DOLLAR INTL WIRE FEE</v>
      </c>
      <c r="D1775" s="7" t="n">
        <f aca="false">Chase1168_2025!D1775</f>
        <v>-40</v>
      </c>
      <c r="E1775" s="0" t="str">
        <f aca="false">Chase1168_2025!E1775</f>
        <v>FEE_TRANSACTION</v>
      </c>
      <c r="F1775" s="7" t="n">
        <f aca="false">Chase1168_2025!F1775</f>
        <v>18312.56</v>
      </c>
      <c r="G1775" s="0" t="str">
        <f aca="false">Chase1168_2025!G1775</f>
        <v>Wire Fee</v>
      </c>
      <c r="H1775" s="15" t="n">
        <f aca="false">IF($B1775="","",DATE(YEAR($B1775),MONTH($B1775),1))</f>
        <v>45658</v>
      </c>
      <c r="I1775" s="0" t="str">
        <f aca="false">IF($G1775="","Uncategorized — Review",IFERROR(INDEX(Mapping!$B:$B,MATCH($G1775,Mapping!$A:$A,0)),"Uncategorized — Review"))</f>
        <v>Wire Fee</v>
      </c>
      <c r="J1775" s="0" t="str">
        <f aca="false">IF($G1775="","Uncategorized — Review",IFERROR(INDEX(Mapping!$C:$C,MATCH($G1775,Mapping!$A:$A,0)),"Uncategorized — Review"))</f>
        <v>DWG Operating</v>
      </c>
    </row>
    <row r="1776" customFormat="false" ht="15" hidden="false" customHeight="false" outlineLevel="0" collapsed="false">
      <c r="A1776" s="0" t="str">
        <f aca="false">Chase1168_2025!A1776</f>
        <v>DEBIT</v>
      </c>
      <c r="B1776" s="14" t="n">
        <f aca="false">Chase1168_2025!B1776</f>
        <v>45673</v>
      </c>
      <c r="C1776" s="0" t="str">
        <f aca="false">Chase1168_2025!C1776</f>
        <v>ONLINE INTERNATIONAL WIRE TRANSFER A/C: FOREIGN CUR BUS ACCT BK 1 COLUMBUS NEWARK DE 197132107 US ORG: 00000000283681168 DWG CAPITAL GROUP BEN:/00553502004 ANDRES DAVID ALARCON PIEDRAHITA REF: BIWEEKLY PAYROLL TAXID1017222856/TEL3207819186/SAV/SALARY/PAYROLL PAYM ENTS/OCMT/COP3118625,18/EXCH/4158.1 669/CNTR/10521298/INT/ANDRES_527 TRN: 3587400016RE 01/16</v>
      </c>
      <c r="D1776" s="7" t="n">
        <f aca="false">Chase1168_2025!D1776</f>
        <v>-750</v>
      </c>
      <c r="E1776" s="0" t="str">
        <f aca="false">Chase1168_2025!E1776</f>
        <v>WIRE_OUTGOING</v>
      </c>
      <c r="F1776" s="7" t="n">
        <f aca="false">Chase1168_2025!F1776</f>
        <v>18352.56</v>
      </c>
      <c r="G1776" s="0" t="str">
        <f aca="false">Chase1168_2025!G1776</f>
        <v>Andres Alarcon Payroll</v>
      </c>
      <c r="H1776" s="15" t="n">
        <f aca="false">IF($B1776="","",DATE(YEAR($B1776),MONTH($B1776),1))</f>
        <v>45658</v>
      </c>
      <c r="I1776" s="0" t="str">
        <f aca="false">IF($G1776="","Uncategorized — Review",IFERROR(INDEX(Mapping!$B:$B,MATCH($G1776,Mapping!$A:$A,0)),"Uncategorized — Review"))</f>
        <v>Andres Alarcon Payroll</v>
      </c>
      <c r="J1776" s="0" t="str">
        <f aca="false">IF($G1776="","Uncategorized — Review",IFERROR(INDEX(Mapping!$C:$C,MATCH($G1776,Mapping!$A:$A,0)),"Uncategorized — Review"))</f>
        <v>Payroll &amp; Contractors</v>
      </c>
    </row>
    <row r="1777" customFormat="false" ht="15" hidden="false" customHeight="false" outlineLevel="0" collapsed="false">
      <c r="A1777" s="0" t="str">
        <f aca="false">Chase1168_2025!A1777</f>
        <v>DEBIT</v>
      </c>
      <c r="B1777" s="14" t="n">
        <f aca="false">Chase1168_2025!B1777</f>
        <v>45673</v>
      </c>
      <c r="C1777" s="0" t="str">
        <f aca="false">Chase1168_2025!C1777</f>
        <v>ORIG CO NAME:LEASEDIRECT            ORIG ID:138190450  DESC DATE:250115 CO ENTRY DESCR:10939_1   SEC:CCD    TRACE#:043000099517976 EED:250116   IND ID:1556926                      IND NAME:DWG CAPITAL GROUP          INV# 589005001 DUE 01/15/25 REC# 17 29245                                         10940 TRN: 0169517976TC</v>
      </c>
      <c r="D1777" s="7" t="n">
        <f aca="false">Chase1168_2025!D1777</f>
        <v>-103.81</v>
      </c>
      <c r="E1777" s="0" t="str">
        <f aca="false">Chase1168_2025!E1777</f>
        <v>ACH_DEBIT</v>
      </c>
      <c r="F1777" s="7" t="n">
        <f aca="false">Chase1168_2025!F1777</f>
        <v>19102.56</v>
      </c>
      <c r="G1777" s="0" t="str">
        <f aca="false">Chase1168_2025!G1777</f>
        <v>DWG - TBD</v>
      </c>
      <c r="H1777" s="15" t="n">
        <f aca="false">IF($B1777="","",DATE(YEAR($B1777),MONTH($B1777),1))</f>
        <v>45658</v>
      </c>
      <c r="I1777" s="0" t="str">
        <f aca="false">IF($G1777="","Uncategorized — Review",IFERROR(INDEX(Mapping!$B:$B,MATCH($G1777,Mapping!$A:$A,0)),"Uncategorized — Review"))</f>
        <v>DWG - TBD</v>
      </c>
      <c r="J1777" s="0" t="str">
        <f aca="false">IF($G1777="","Uncategorized — Review",IFERROR(INDEX(Mapping!$C:$C,MATCH($G1777,Mapping!$A:$A,0)),"Uncategorized — Review"))</f>
        <v>Uncategorized — Review</v>
      </c>
    </row>
    <row r="1778" customFormat="false" ht="15" hidden="false" customHeight="false" outlineLevel="0" collapsed="false">
      <c r="A1778" s="0" t="str">
        <f aca="false">Chase1168_2025!A1778</f>
        <v>DEBIT</v>
      </c>
      <c r="B1778" s="14" t="n">
        <f aca="false">Chase1168_2025!B1778</f>
        <v>45673</v>
      </c>
      <c r="C1778" s="0" t="str">
        <f aca="false">Chase1168_2025!C1778</f>
        <v>ORIG CO NAME:IRS                    ORIG ID:3387702000 DESC DATE:011625 CO ENTRY DESCR:USATAXPYMTSEC:CCD    TRACE#:061036019337750 EED:250116   IND ID:274541643291626              IND NAME:DWG CAPITAL GROUP TRN: 0169337750TC</v>
      </c>
      <c r="D1778" s="7" t="n">
        <f aca="false">Chase1168_2025!D1778</f>
        <v>-105</v>
      </c>
      <c r="E1778" s="0" t="str">
        <f aca="false">Chase1168_2025!E1778</f>
        <v>ACH_DEBIT</v>
      </c>
      <c r="F1778" s="7" t="n">
        <f aca="false">Chase1168_2025!F1778</f>
        <v>19206.37</v>
      </c>
      <c r="G1778" s="0" t="str">
        <f aca="false">Chase1168_2025!G1778</f>
        <v>Taxes</v>
      </c>
      <c r="H1778" s="15" t="n">
        <f aca="false">IF($B1778="","",DATE(YEAR($B1778),MONTH($B1778),1))</f>
        <v>45658</v>
      </c>
      <c r="I1778" s="0" t="str">
        <f aca="false">IF($G1778="","Uncategorized — Review",IFERROR(INDEX(Mapping!$B:$B,MATCH($G1778,Mapping!$A:$A,0)),"Uncategorized — Review"))</f>
        <v>Taxes</v>
      </c>
      <c r="J1778" s="0" t="str">
        <f aca="false">IF($G1778="","Uncategorized — Review",IFERROR(INDEX(Mapping!$C:$C,MATCH($G1778,Mapping!$A:$A,0)),"Uncategorized — Review"))</f>
        <v>Taxes</v>
      </c>
    </row>
    <row r="1779" customFormat="false" ht="15" hidden="false" customHeight="false" outlineLevel="0" collapsed="false">
      <c r="A1779" s="0" t="str">
        <f aca="false">Chase1168_2025!A1779</f>
        <v>DEBIT</v>
      </c>
      <c r="B1779" s="14" t="n">
        <f aca="false">Chase1168_2025!B1779</f>
        <v>45673</v>
      </c>
      <c r="C1779" s="0" t="str">
        <f aca="false">Chase1168_2025!C1779</f>
        <v>ORIG CO NAME:IRS                    ORIG ID:3387702000 DESC DATE:011625 CO ENTRY DESCR:USATAXPYMTSEC:CCD    TRACE#:061036019337751 EED:250116   IND ID:274541643459336              IND NAME:DWG CAPITAL GROUP TRN: 0169337751TC</v>
      </c>
      <c r="D1779" s="7" t="n">
        <f aca="false">Chase1168_2025!D1779</f>
        <v>-9180</v>
      </c>
      <c r="E1779" s="0" t="str">
        <f aca="false">Chase1168_2025!E1779</f>
        <v>ACH_DEBIT</v>
      </c>
      <c r="F1779" s="7" t="n">
        <f aca="false">Chase1168_2025!F1779</f>
        <v>19311.37</v>
      </c>
      <c r="G1779" s="0" t="str">
        <f aca="false">Chase1168_2025!G1779</f>
        <v>Taxes</v>
      </c>
      <c r="H1779" s="15" t="n">
        <f aca="false">IF($B1779="","",DATE(YEAR($B1779),MONTH($B1779),1))</f>
        <v>45658</v>
      </c>
      <c r="I1779" s="0" t="str">
        <f aca="false">IF($G1779="","Uncategorized — Review",IFERROR(INDEX(Mapping!$B:$B,MATCH($G1779,Mapping!$A:$A,0)),"Uncategorized — Review"))</f>
        <v>Taxes</v>
      </c>
      <c r="J1779" s="0" t="str">
        <f aca="false">IF($G1779="","Uncategorized — Review",IFERROR(INDEX(Mapping!$C:$C,MATCH($G1779,Mapping!$A:$A,0)),"Uncategorized — Review"))</f>
        <v>Taxes</v>
      </c>
    </row>
    <row r="1780" customFormat="false" ht="15" hidden="false" customHeight="false" outlineLevel="0" collapsed="false">
      <c r="A1780" s="0" t="str">
        <f aca="false">Chase1168_2025!A1780</f>
        <v>DEBIT</v>
      </c>
      <c r="B1780" s="14" t="n">
        <f aca="false">Chase1168_2025!B1780</f>
        <v>45673</v>
      </c>
      <c r="C1780" s="0" t="str">
        <f aca="false">Chase1168_2025!C1780</f>
        <v>ONLINE INTERNATIONAL WIRE TRANSFER A/C: BBVA COLOMBIA BOGOTA COLOMBIA 00000- CO REF: BI-WEEKLY PAYROLL TAXID1063308099/TEL573004049463/SALARY/PAYROLL PAYME NTS/INT/SUADATDWG-RE.COM/BNF/NONE TRN: 3090175016ES 01/16</v>
      </c>
      <c r="D1780" s="7" t="n">
        <f aca="false">Chase1168_2025!D1780</f>
        <v>-750</v>
      </c>
      <c r="E1780" s="0" t="str">
        <f aca="false">Chase1168_2025!E1780</f>
        <v>WIRE_OUTGOING</v>
      </c>
      <c r="F1780" s="7" t="n">
        <f aca="false">Chase1168_2025!F1780</f>
        <v>28491.37</v>
      </c>
      <c r="G1780" s="0" t="str">
        <f aca="false">Chase1168_2025!G1780</f>
        <v>Suad - Payroll</v>
      </c>
      <c r="H1780" s="15" t="n">
        <f aca="false">IF($B1780="","",DATE(YEAR($B1780),MONTH($B1780),1))</f>
        <v>45658</v>
      </c>
      <c r="I1780" s="0" t="str">
        <f aca="false">IF($G1780="","Uncategorized — Review",IFERROR(INDEX(Mapping!$B:$B,MATCH($G1780,Mapping!$A:$A,0)),"Uncategorized — Review"))</f>
        <v>Suad - Payroll</v>
      </c>
      <c r="J1780" s="0" t="str">
        <f aca="false">IF($G1780="","Uncategorized — Review",IFERROR(INDEX(Mapping!$C:$C,MATCH($G1780,Mapping!$A:$A,0)),"Uncategorized — Review"))</f>
        <v>Payroll &amp; Contractors</v>
      </c>
    </row>
    <row r="1781" customFormat="false" ht="15" hidden="false" customHeight="false" outlineLevel="0" collapsed="false">
      <c r="A1781" s="0" t="str">
        <f aca="false">Chase1168_2025!A1781</f>
        <v>DEBIT</v>
      </c>
      <c r="B1781" s="14" t="n">
        <f aca="false">Chase1168_2025!B1781</f>
        <v>45673</v>
      </c>
      <c r="C1781" s="0" t="str">
        <f aca="false">Chase1168_2025!C1781</f>
        <v>THE HOME DEPOT #6611 LOS ANGELES CA          01/14</v>
      </c>
      <c r="D1781" s="7" t="n">
        <f aca="false">Chase1168_2025!D1781</f>
        <v>-4.35</v>
      </c>
      <c r="E1781" s="0" t="str">
        <f aca="false">Chase1168_2025!E1781</f>
        <v>DEBIT_CARD</v>
      </c>
      <c r="F1781" s="7" t="n">
        <f aca="false">Chase1168_2025!F1781</f>
        <v>29241.37</v>
      </c>
      <c r="G1781" s="0" t="str">
        <f aca="false">Chase1168_2025!G1781</f>
        <v>Personal - House</v>
      </c>
      <c r="H1781" s="15" t="n">
        <f aca="false">IF($B1781="","",DATE(YEAR($B1781),MONTH($B1781),1))</f>
        <v>45658</v>
      </c>
      <c r="I1781" s="0" t="str">
        <f aca="false">IF($G1781="","Uncategorized — Review",IFERROR(INDEX(Mapping!$B:$B,MATCH($G1781,Mapping!$A:$A,0)),"Uncategorized — Review"))</f>
        <v>Personal - House</v>
      </c>
      <c r="J1781" s="0" t="str">
        <f aca="false">IF($G1781="","Uncategorized — Review",IFERROR(INDEX(Mapping!$C:$C,MATCH($G1781,Mapping!$A:$A,0)),"Uncategorized — Review"))</f>
        <v>Personal — Owner</v>
      </c>
    </row>
    <row r="1782" customFormat="false" ht="15" hidden="false" customHeight="false" outlineLevel="0" collapsed="false">
      <c r="A1782" s="0" t="str">
        <f aca="false">Chase1168_2025!A1782</f>
        <v>DEBIT</v>
      </c>
      <c r="B1782" s="14" t="n">
        <f aca="false">Chase1168_2025!B1782</f>
        <v>45672</v>
      </c>
      <c r="C1782" s="0" t="str">
        <f aca="false">Chase1168_2025!C1782</f>
        <v>ORIG CO NAME:TXU ENERGY             ORIG ID:1001020329 DESC DATE:       CO ENTRY DESCR:TXUE_ACH  SEC:WEB    TRACE#:021000026418783 EED:250115   IND ID:900062431557                 IND NAME:DWG CAPITAL GROUP          17333702810000000000000000000003526 0659935                                       DIRECT DEBITING TRN: 0156418783TC</v>
      </c>
      <c r="D1782" s="7" t="n">
        <f aca="false">Chase1168_2025!D1782</f>
        <v>-457.13</v>
      </c>
      <c r="E1782" s="0" t="str">
        <f aca="false">Chase1168_2025!E1782</f>
        <v>ACH_DEBIT</v>
      </c>
      <c r="F1782" s="7" t="n">
        <f aca="false">Chase1168_2025!F1782</f>
        <v>29245.72</v>
      </c>
      <c r="G1782" s="0" t="str">
        <f aca="false">Chase1168_2025!G1782</f>
        <v>Texas - House Utilities</v>
      </c>
      <c r="H1782" s="15" t="n">
        <f aca="false">IF($B1782="","",DATE(YEAR($B1782),MONTH($B1782),1))</f>
        <v>45658</v>
      </c>
      <c r="I1782" s="0" t="str">
        <f aca="false">IF($G1782="","Uncategorized — Review",IFERROR(INDEX(Mapping!$B:$B,MATCH($G1782,Mapping!$A:$A,0)),"Uncategorized — Review"))</f>
        <v>Texas - House Utilities</v>
      </c>
      <c r="J1782" s="0" t="str">
        <f aca="false">IF($G1782="","Uncategorized — Review",IFERROR(INDEX(Mapping!$C:$C,MATCH($G1782,Mapping!$A:$A,0)),"Uncategorized — Review"))</f>
        <v>Personal — Owner</v>
      </c>
    </row>
    <row r="1783" customFormat="false" ht="15" hidden="false" customHeight="false" outlineLevel="0" collapsed="false">
      <c r="A1783" s="0" t="str">
        <f aca="false">Chase1168_2025!A1783</f>
        <v>DEBIT</v>
      </c>
      <c r="B1783" s="14" t="n">
        <f aca="false">Chase1168_2025!B1783</f>
        <v>45672</v>
      </c>
      <c r="C1783" s="0" t="str">
        <f aca="false">Chase1168_2025!C1783</f>
        <v>Zelle payment to Sentha JPM99auz7qzm</v>
      </c>
      <c r="D1783" s="7" t="n">
        <f aca="false">Chase1168_2025!D1783</f>
        <v>-400</v>
      </c>
      <c r="E1783" s="0" t="str">
        <f aca="false">Chase1168_2025!E1783</f>
        <v>CHASE_TO_PARTNERFI</v>
      </c>
      <c r="F1783" s="7" t="n">
        <f aca="false">Chase1168_2025!F1783</f>
        <v>29702.85</v>
      </c>
      <c r="G1783" s="0" t="str">
        <f aca="false">Chase1168_2025!G1783</f>
        <v>Zelle - Sentha</v>
      </c>
      <c r="H1783" s="15" t="n">
        <f aca="false">IF($B1783="","",DATE(YEAR($B1783),MONTH($B1783),1))</f>
        <v>45658</v>
      </c>
      <c r="I1783" s="0" t="str">
        <f aca="false">IF($G1783="","Uncategorized — Review",IFERROR(INDEX(Mapping!$B:$B,MATCH($G1783,Mapping!$A:$A,0)),"Uncategorized — Review"))</f>
        <v>Zelle - Sentha</v>
      </c>
      <c r="J1783" s="0" t="str">
        <f aca="false">IF($G1783="","Uncategorized — Review",IFERROR(INDEX(Mapping!$C:$C,MATCH($G1783,Mapping!$A:$A,0)),"Uncategorized — Review"))</f>
        <v>P2P Payments (Zelle/Venmo/PayPal)</v>
      </c>
    </row>
    <row r="1784" customFormat="false" ht="15" hidden="false" customHeight="false" outlineLevel="0" collapsed="false">
      <c r="A1784" s="0" t="str">
        <f aca="false">Chase1168_2025!A1784</f>
        <v>DEBIT</v>
      </c>
      <c r="B1784" s="14" t="n">
        <f aca="false">Chase1168_2025!B1784</f>
        <v>45672</v>
      </c>
      <c r="C1784" s="0" t="str">
        <f aca="false">Chase1168_2025!C1784</f>
        <v>Zelle payment to Sentha JPM99auz6yl3</v>
      </c>
      <c r="D1784" s="7" t="n">
        <f aca="false">Chase1168_2025!D1784</f>
        <v>-400</v>
      </c>
      <c r="E1784" s="0" t="str">
        <f aca="false">Chase1168_2025!E1784</f>
        <v>CHASE_TO_PARTNERFI</v>
      </c>
      <c r="F1784" s="7" t="n">
        <f aca="false">Chase1168_2025!F1784</f>
        <v>30102.85</v>
      </c>
      <c r="G1784" s="0" t="str">
        <f aca="false">Chase1168_2025!G1784</f>
        <v>Zelle - Sentha</v>
      </c>
      <c r="H1784" s="15" t="n">
        <f aca="false">IF($B1784="","",DATE(YEAR($B1784),MONTH($B1784),1))</f>
        <v>45658</v>
      </c>
      <c r="I1784" s="0" t="str">
        <f aca="false">IF($G1784="","Uncategorized — Review",IFERROR(INDEX(Mapping!$B:$B,MATCH($G1784,Mapping!$A:$A,0)),"Uncategorized — Review"))</f>
        <v>Zelle - Sentha</v>
      </c>
      <c r="J1784" s="0" t="str">
        <f aca="false">IF($G1784="","Uncategorized — Review",IFERROR(INDEX(Mapping!$C:$C,MATCH($G1784,Mapping!$A:$A,0)),"Uncategorized — Review"))</f>
        <v>P2P Payments (Zelle/Venmo/PayPal)</v>
      </c>
    </row>
    <row r="1785" customFormat="false" ht="15" hidden="false" customHeight="false" outlineLevel="0" collapsed="false">
      <c r="A1785" s="0" t="str">
        <f aca="false">Chase1168_2025!A1785</f>
        <v>DEBIT</v>
      </c>
      <c r="B1785" s="14" t="n">
        <f aca="false">Chase1168_2025!B1785</f>
        <v>45672</v>
      </c>
      <c r="C1785" s="0" t="str">
        <f aca="false">Chase1168_2025!C1785</f>
        <v>Online Transfer to CHK ...1117 transaction#: 23396403832 01/15</v>
      </c>
      <c r="D1785" s="7" t="n">
        <f aca="false">Chase1168_2025!D1785</f>
        <v>-3000</v>
      </c>
      <c r="E1785" s="0" t="str">
        <f aca="false">Chase1168_2025!E1785</f>
        <v>ACCT_XFER</v>
      </c>
      <c r="F1785" s="7" t="n">
        <f aca="false">Chase1168_2025!F1785</f>
        <v>30502.85</v>
      </c>
      <c r="G1785" s="0" t="str">
        <f aca="false">Chase1168_2025!G1785</f>
        <v>Transfer to Angela Dunning</v>
      </c>
      <c r="H1785" s="15" t="n">
        <f aca="false">IF($B1785="","",DATE(YEAR($B1785),MONTH($B1785),1))</f>
        <v>45658</v>
      </c>
      <c r="I1785" s="0" t="str">
        <f aca="false">IF($G1785="","Uncategorized — Review",IFERROR(INDEX(Mapping!$B:$B,MATCH($G1785,Mapping!$A:$A,0)),"Uncategorized — Review"))</f>
        <v>Transfer to Angela Dunning</v>
      </c>
      <c r="J1785" s="0" t="str">
        <f aca="false">IF($G1785="","Uncategorized — Review",IFERROR(INDEX(Mapping!$C:$C,MATCH($G1785,Mapping!$A:$A,0)),"Uncategorized — Review"))</f>
        <v>Owner / Family Distributions</v>
      </c>
    </row>
    <row r="1786" customFormat="false" ht="15" hidden="false" customHeight="false" outlineLevel="0" collapsed="false">
      <c r="A1786" s="0" t="str">
        <f aca="false">Chase1168_2025!A1786</f>
        <v>DEBIT</v>
      </c>
      <c r="B1786" s="14" t="n">
        <f aca="false">Chase1168_2025!B1786</f>
        <v>45672</v>
      </c>
      <c r="C1786" s="0" t="str">
        <f aca="false">Chase1168_2025!C1786</f>
        <v>RESTORE.COM RESTORE.COM TX                   01/15</v>
      </c>
      <c r="D1786" s="7" t="n">
        <f aca="false">Chase1168_2025!D1786</f>
        <v>-199</v>
      </c>
      <c r="E1786" s="0" t="str">
        <f aca="false">Chase1168_2025!E1786</f>
        <v>DEBIT_CARD</v>
      </c>
      <c r="F1786" s="7" t="n">
        <f aca="false">Chase1168_2025!F1786</f>
        <v>33502.85</v>
      </c>
      <c r="G1786" s="0" t="str">
        <f aca="false">Chase1168_2025!G1786</f>
        <v>Personal - Health</v>
      </c>
      <c r="H1786" s="15" t="n">
        <f aca="false">IF($B1786="","",DATE(YEAR($B1786),MONTH($B1786),1))</f>
        <v>45658</v>
      </c>
      <c r="I1786" s="0" t="str">
        <f aca="false">IF($G1786="","Uncategorized — Review",IFERROR(INDEX(Mapping!$B:$B,MATCH($G1786,Mapping!$A:$A,0)),"Uncategorized — Review"))</f>
        <v>Personal - Health (incl. Ins.)</v>
      </c>
      <c r="J1786" s="0" t="str">
        <f aca="false">IF($G1786="","Uncategorized — Review",IFERROR(INDEX(Mapping!$C:$C,MATCH($G1786,Mapping!$A:$A,0)),"Uncategorized — Review"))</f>
        <v>Personal — Owner</v>
      </c>
    </row>
    <row r="1787" customFormat="false" ht="15" hidden="false" customHeight="false" outlineLevel="0" collapsed="false">
      <c r="A1787" s="0" t="str">
        <f aca="false">Chase1168_2025!A1787</f>
        <v>DEBIT</v>
      </c>
      <c r="B1787" s="14" t="n">
        <f aca="false">Chase1168_2025!B1787</f>
        <v>45672</v>
      </c>
      <c r="C1787" s="0" t="str">
        <f aca="false">Chase1168_2025!C1787</f>
        <v>PP*APPLE.COM/BILL 800-275-2273 CA            01/15</v>
      </c>
      <c r="D1787" s="7" t="n">
        <f aca="false">Chase1168_2025!D1787</f>
        <v>-5.99</v>
      </c>
      <c r="E1787" s="0" t="str">
        <f aca="false">Chase1168_2025!E1787</f>
        <v>DEBIT_CARD</v>
      </c>
      <c r="F1787" s="7" t="n">
        <f aca="false">Chase1168_2025!F1787</f>
        <v>33701.85</v>
      </c>
      <c r="G1787" s="0" t="str">
        <f aca="false">Chase1168_2025!G1787</f>
        <v>Personal - Subscriptions</v>
      </c>
      <c r="H1787" s="15" t="n">
        <f aca="false">IF($B1787="","",DATE(YEAR($B1787),MONTH($B1787),1))</f>
        <v>45658</v>
      </c>
      <c r="I1787" s="0" t="str">
        <f aca="false">IF($G1787="","Uncategorized — Review",IFERROR(INDEX(Mapping!$B:$B,MATCH($G1787,Mapping!$A:$A,0)),"Uncategorized — Review"))</f>
        <v>Personal - Subscriptions</v>
      </c>
      <c r="J1787" s="0" t="str">
        <f aca="false">IF($G1787="","Uncategorized — Review",IFERROR(INDEX(Mapping!$C:$C,MATCH($G1787,Mapping!$A:$A,0)),"Uncategorized — Review"))</f>
        <v>Personal — Owner</v>
      </c>
    </row>
    <row r="1788" customFormat="false" ht="15" hidden="false" customHeight="false" outlineLevel="0" collapsed="false">
      <c r="A1788" s="0" t="str">
        <f aca="false">Chase1168_2025!A1788</f>
        <v>DEBIT</v>
      </c>
      <c r="B1788" s="14" t="n">
        <f aca="false">Chase1168_2025!B1788</f>
        <v>45672</v>
      </c>
      <c r="C1788" s="0" t="str">
        <f aca="false">Chase1168_2025!C1788</f>
        <v>PP*GOOGLE GOOGLE ONE 855-836-3987 CA         01/14</v>
      </c>
      <c r="D1788" s="7" t="n">
        <f aca="false">Chase1168_2025!D1788</f>
        <v>-1.99</v>
      </c>
      <c r="E1788" s="0" t="str">
        <f aca="false">Chase1168_2025!E1788</f>
        <v>DEBIT_CARD</v>
      </c>
      <c r="F1788" s="7" t="n">
        <f aca="false">Chase1168_2025!F1788</f>
        <v>33707.84</v>
      </c>
      <c r="G1788" s="0" t="str">
        <f aca="false">Chase1168_2025!G1788</f>
        <v>Personal - Subscriptions</v>
      </c>
      <c r="H1788" s="15" t="n">
        <f aca="false">IF($B1788="","",DATE(YEAR($B1788),MONTH($B1788),1))</f>
        <v>45658</v>
      </c>
      <c r="I1788" s="0" t="str">
        <f aca="false">IF($G1788="","Uncategorized — Review",IFERROR(INDEX(Mapping!$B:$B,MATCH($G1788,Mapping!$A:$A,0)),"Uncategorized — Review"))</f>
        <v>Personal - Subscriptions</v>
      </c>
      <c r="J1788" s="0" t="str">
        <f aca="false">IF($G1788="","Uncategorized — Review",IFERROR(INDEX(Mapping!$C:$C,MATCH($G1788,Mapping!$A:$A,0)),"Uncategorized — Review"))</f>
        <v>Personal — Owner</v>
      </c>
    </row>
    <row r="1789" customFormat="false" ht="15" hidden="false" customHeight="false" outlineLevel="0" collapsed="false">
      <c r="A1789" s="0" t="str">
        <f aca="false">Chase1168_2025!A1789</f>
        <v>DEBIT</v>
      </c>
      <c r="B1789" s="14" t="n">
        <f aca="false">Chase1168_2025!B1789</f>
        <v>45672</v>
      </c>
      <c r="C1789" s="0" t="str">
        <f aca="false">Chase1168_2025!C1789</f>
        <v>PP*APPLE.COM/BILL 800-275-2273 CA            01/14</v>
      </c>
      <c r="D1789" s="7" t="n">
        <f aca="false">Chase1168_2025!D1789</f>
        <v>-10.99</v>
      </c>
      <c r="E1789" s="0" t="str">
        <f aca="false">Chase1168_2025!E1789</f>
        <v>DEBIT_CARD</v>
      </c>
      <c r="F1789" s="7" t="n">
        <f aca="false">Chase1168_2025!F1789</f>
        <v>33709.83</v>
      </c>
      <c r="G1789" s="0" t="str">
        <f aca="false">Chase1168_2025!G1789</f>
        <v>Personal - Subscriptions</v>
      </c>
      <c r="H1789" s="15" t="n">
        <f aca="false">IF($B1789="","",DATE(YEAR($B1789),MONTH($B1789),1))</f>
        <v>45658</v>
      </c>
      <c r="I1789" s="0" t="str">
        <f aca="false">IF($G1789="","Uncategorized — Review",IFERROR(INDEX(Mapping!$B:$B,MATCH($G1789,Mapping!$A:$A,0)),"Uncategorized — Review"))</f>
        <v>Personal - Subscriptions</v>
      </c>
      <c r="J1789" s="0" t="str">
        <f aca="false">IF($G1789="","Uncategorized — Review",IFERROR(INDEX(Mapping!$C:$C,MATCH($G1789,Mapping!$A:$A,0)),"Uncategorized — Review"))</f>
        <v>Personal — Owner</v>
      </c>
    </row>
    <row r="1790" customFormat="false" ht="15" hidden="false" customHeight="false" outlineLevel="0" collapsed="false">
      <c r="A1790" s="0" t="str">
        <f aca="false">Chase1168_2025!A1790</f>
        <v>DEBIT</v>
      </c>
      <c r="B1790" s="14" t="n">
        <f aca="false">Chase1168_2025!B1790</f>
        <v>45672</v>
      </c>
      <c r="C1790" s="0" t="str">
        <f aca="false">Chase1168_2025!C1790</f>
        <v>PAYPAL *GRUBHUBFOOD L 877-585-7878 IL        01/15</v>
      </c>
      <c r="D1790" s="7" t="n">
        <f aca="false">Chase1168_2025!D1790</f>
        <v>-39.34</v>
      </c>
      <c r="E1790" s="0" t="str">
        <f aca="false">Chase1168_2025!E1790</f>
        <v>DEBIT_CARD</v>
      </c>
      <c r="F1790" s="7" t="n">
        <f aca="false">Chase1168_2025!F1790</f>
        <v>33720.82</v>
      </c>
      <c r="G1790" s="0" t="str">
        <f aca="false">Chase1168_2025!G1790</f>
        <v>Personal - Food</v>
      </c>
      <c r="H1790" s="15" t="n">
        <f aca="false">IF($B1790="","",DATE(YEAR($B1790),MONTH($B1790),1))</f>
        <v>45658</v>
      </c>
      <c r="I1790" s="0" t="str">
        <f aca="false">IF($G1790="","Uncategorized — Review",IFERROR(INDEX(Mapping!$B:$B,MATCH($G1790,Mapping!$A:$A,0)),"Uncategorized — Review"))</f>
        <v>Personal - Food &amp; Dining</v>
      </c>
      <c r="J1790" s="0" t="str">
        <f aca="false">IF($G1790="","Uncategorized — Review",IFERROR(INDEX(Mapping!$C:$C,MATCH($G1790,Mapping!$A:$A,0)),"Uncategorized — Review"))</f>
        <v>Personal — Owner</v>
      </c>
    </row>
    <row r="1791" customFormat="false" ht="15" hidden="false" customHeight="false" outlineLevel="0" collapsed="false">
      <c r="A1791" s="0" t="str">
        <f aca="false">Chase1168_2025!A1791</f>
        <v>DEBIT</v>
      </c>
      <c r="B1791" s="14" t="n">
        <f aca="false">Chase1168_2025!B1791</f>
        <v>45671</v>
      </c>
      <c r="C1791" s="0" t="str">
        <f aca="false">Chase1168_2025!C1791</f>
        <v>ORIG CO NAME:VENMO                  ORIG ID:3264681992 DESC DATE:250113 CO ENTRY DESCR:PAYMENT   SEC:WEB    TRACE#:091000018871143 EED:250114   IND ID:1039613432617                IND NAME:JUDD DUNNING TRN: 0148871143TC</v>
      </c>
      <c r="D1791" s="7" t="n">
        <f aca="false">Chase1168_2025!D1791</f>
        <v>-250</v>
      </c>
      <c r="E1791" s="0" t="str">
        <f aca="false">Chase1168_2025!E1791</f>
        <v>ACH_DEBIT</v>
      </c>
      <c r="F1791" s="7" t="n">
        <f aca="false">Chase1168_2025!F1791</f>
        <v>33760.16</v>
      </c>
      <c r="G1791" s="0" t="str">
        <f aca="false">Chase1168_2025!G1791</f>
        <v>Venmo</v>
      </c>
      <c r="H1791" s="15" t="n">
        <f aca="false">IF($B1791="","",DATE(YEAR($B1791),MONTH($B1791),1))</f>
        <v>45658</v>
      </c>
      <c r="I1791" s="0" t="str">
        <f aca="false">IF($G1791="","Uncategorized — Review",IFERROR(INDEX(Mapping!$B:$B,MATCH($G1791,Mapping!$A:$A,0)),"Uncategorized — Review"))</f>
        <v>Venmo</v>
      </c>
      <c r="J1791" s="0" t="str">
        <f aca="false">IF($G1791="","Uncategorized — Review",IFERROR(INDEX(Mapping!$C:$C,MATCH($G1791,Mapping!$A:$A,0)),"Uncategorized — Review"))</f>
        <v>P2P Payments (Zelle/Venmo/PayPal)</v>
      </c>
    </row>
    <row r="1792" customFormat="false" ht="15" hidden="false" customHeight="false" outlineLevel="0" collapsed="false">
      <c r="A1792" s="0" t="str">
        <f aca="false">Chase1168_2025!A1792</f>
        <v>DEBIT</v>
      </c>
      <c r="B1792" s="14" t="n">
        <f aca="false">Chase1168_2025!B1792</f>
        <v>45671</v>
      </c>
      <c r="C1792" s="0" t="str">
        <f aca="false">Chase1168_2025!C1792</f>
        <v>PAYPAL *LINKEDIN 402-935-7733 CA             01/14</v>
      </c>
      <c r="D1792" s="7" t="n">
        <f aca="false">Chase1168_2025!D1792</f>
        <v>-520</v>
      </c>
      <c r="E1792" s="0" t="str">
        <f aca="false">Chase1168_2025!E1792</f>
        <v>DEBIT_CARD</v>
      </c>
      <c r="F1792" s="7" t="n">
        <f aca="false">Chase1168_2025!F1792</f>
        <v>34010.16</v>
      </c>
      <c r="G1792" s="0" t="str">
        <f aca="false">Chase1168_2025!G1792</f>
        <v>DWG HR</v>
      </c>
      <c r="H1792" s="15" t="n">
        <f aca="false">IF($B1792="","",DATE(YEAR($B1792),MONTH($B1792),1))</f>
        <v>45658</v>
      </c>
      <c r="I1792" s="0" t="str">
        <f aca="false">IF($G1792="","Uncategorized — Review",IFERROR(INDEX(Mapping!$B:$B,MATCH($G1792,Mapping!$A:$A,0)),"Uncategorized — Review"))</f>
        <v>DWG HR</v>
      </c>
      <c r="J1792" s="0" t="str">
        <f aca="false">IF($G1792="","Uncategorized — Review",IFERROR(INDEX(Mapping!$C:$C,MATCH($G1792,Mapping!$A:$A,0)),"Uncategorized — Review"))</f>
        <v>Payroll &amp; Contractors</v>
      </c>
    </row>
    <row r="1793" customFormat="false" ht="15" hidden="false" customHeight="false" outlineLevel="0" collapsed="false">
      <c r="A1793" s="0" t="str">
        <f aca="false">Chase1168_2025!A1793</f>
        <v>DEBIT</v>
      </c>
      <c r="B1793" s="14" t="n">
        <f aca="false">Chase1168_2025!B1793</f>
        <v>45670</v>
      </c>
      <c r="C1793" s="0" t="str">
        <f aca="false">Chase1168_2025!C1793</f>
        <v>ORIG CO NAME:VENMO                  ORIG ID:3264681992 DESC DATE:250111 CO ENTRY DESCR:PAYMENT   SEC:WEB    TRACE#:091000010825781 EED:250113   IND ID:1039566816879                IND NAME:JUDD DUNNING TRN: 0130825781TC</v>
      </c>
      <c r="D1793" s="7" t="n">
        <f aca="false">Chase1168_2025!D1793</f>
        <v>-100</v>
      </c>
      <c r="E1793" s="0" t="str">
        <f aca="false">Chase1168_2025!E1793</f>
        <v>ACH_DEBIT</v>
      </c>
      <c r="F1793" s="7" t="n">
        <f aca="false">Chase1168_2025!F1793</f>
        <v>34530.16</v>
      </c>
      <c r="G1793" s="0" t="str">
        <f aca="false">Chase1168_2025!G1793</f>
        <v>Venmo</v>
      </c>
      <c r="H1793" s="15" t="n">
        <f aca="false">IF($B1793="","",DATE(YEAR($B1793),MONTH($B1793),1))</f>
        <v>45658</v>
      </c>
      <c r="I1793" s="0" t="str">
        <f aca="false">IF($G1793="","Uncategorized — Review",IFERROR(INDEX(Mapping!$B:$B,MATCH($G1793,Mapping!$A:$A,0)),"Uncategorized — Review"))</f>
        <v>Venmo</v>
      </c>
      <c r="J1793" s="0" t="str">
        <f aca="false">IF($G1793="","Uncategorized — Review",IFERROR(INDEX(Mapping!$C:$C,MATCH($G1793,Mapping!$A:$A,0)),"Uncategorized — Review"))</f>
        <v>P2P Payments (Zelle/Venmo/PayPal)</v>
      </c>
    </row>
    <row r="1794" customFormat="false" ht="15" hidden="false" customHeight="false" outlineLevel="0" collapsed="false">
      <c r="A1794" s="0" t="str">
        <f aca="false">Chase1168_2025!A1794</f>
        <v>DEBIT</v>
      </c>
      <c r="B1794" s="14" t="n">
        <f aca="false">Chase1168_2025!B1794</f>
        <v>45670</v>
      </c>
      <c r="C1794" s="0" t="str">
        <f aca="false">Chase1168_2025!C1794</f>
        <v>ORIG CO NAME:VENMO                  ORIG ID:3264681992 DESC DATE:250112 CO ENTRY DESCR:PAYMENT   SEC:WEB    TRACE#:091000019849488 EED:250113   IND ID:1039571975176                IND NAME:JUDD DUNNING TRN: 0139849488TC</v>
      </c>
      <c r="D1794" s="7" t="n">
        <f aca="false">Chase1168_2025!D1794</f>
        <v>-200</v>
      </c>
      <c r="E1794" s="0" t="str">
        <f aca="false">Chase1168_2025!E1794</f>
        <v>ACH_DEBIT</v>
      </c>
      <c r="F1794" s="7" t="n">
        <f aca="false">Chase1168_2025!F1794</f>
        <v>34630.16</v>
      </c>
      <c r="G1794" s="0" t="str">
        <f aca="false">Chase1168_2025!G1794</f>
        <v>Venmo</v>
      </c>
      <c r="H1794" s="15" t="n">
        <f aca="false">IF($B1794="","",DATE(YEAR($B1794),MONTH($B1794),1))</f>
        <v>45658</v>
      </c>
      <c r="I1794" s="0" t="str">
        <f aca="false">IF($G1794="","Uncategorized — Review",IFERROR(INDEX(Mapping!$B:$B,MATCH($G1794,Mapping!$A:$A,0)),"Uncategorized — Review"))</f>
        <v>Venmo</v>
      </c>
      <c r="J1794" s="0" t="str">
        <f aca="false">IF($G1794="","Uncategorized — Review",IFERROR(INDEX(Mapping!$C:$C,MATCH($G1794,Mapping!$A:$A,0)),"Uncategorized — Review"))</f>
        <v>P2P Payments (Zelle/Venmo/PayPal)</v>
      </c>
    </row>
    <row r="1795" customFormat="false" ht="15" hidden="false" customHeight="false" outlineLevel="0" collapsed="false">
      <c r="A1795" s="0" t="str">
        <f aca="false">Chase1168_2025!A1795</f>
        <v>DEBIT</v>
      </c>
      <c r="B1795" s="14" t="n">
        <f aca="false">Chase1168_2025!B1795</f>
        <v>45670</v>
      </c>
      <c r="C1795" s="0" t="str">
        <f aca="false">Chase1168_2025!C1795</f>
        <v>PAYPAL *HULU 877-801-5441 CA                 01/12</v>
      </c>
      <c r="D1795" s="7" t="n">
        <f aca="false">Chase1168_2025!D1795</f>
        <v>-18.99</v>
      </c>
      <c r="E1795" s="0" t="str">
        <f aca="false">Chase1168_2025!E1795</f>
        <v>DEBIT_CARD</v>
      </c>
      <c r="F1795" s="7" t="n">
        <f aca="false">Chase1168_2025!F1795</f>
        <v>34830.16</v>
      </c>
      <c r="G1795" s="0" t="str">
        <f aca="false">Chase1168_2025!G1795</f>
        <v>Personal - Subscriptions</v>
      </c>
      <c r="H1795" s="15" t="n">
        <f aca="false">IF($B1795="","",DATE(YEAR($B1795),MONTH($B1795),1))</f>
        <v>45658</v>
      </c>
      <c r="I1795" s="0" t="str">
        <f aca="false">IF($G1795="","Uncategorized — Review",IFERROR(INDEX(Mapping!$B:$B,MATCH($G1795,Mapping!$A:$A,0)),"Uncategorized — Review"))</f>
        <v>Personal - Subscriptions</v>
      </c>
      <c r="J1795" s="0" t="str">
        <f aca="false">IF($G1795="","Uncategorized — Review",IFERROR(INDEX(Mapping!$C:$C,MATCH($G1795,Mapping!$A:$A,0)),"Uncategorized — Review"))</f>
        <v>Personal — Owner</v>
      </c>
    </row>
    <row r="1796" customFormat="false" ht="15" hidden="false" customHeight="false" outlineLevel="0" collapsed="false">
      <c r="A1796" s="0" t="str">
        <f aca="false">Chase1168_2025!A1796</f>
        <v>DEBIT</v>
      </c>
      <c r="B1796" s="14" t="n">
        <f aca="false">Chase1168_2025!B1796</f>
        <v>45670</v>
      </c>
      <c r="C1796" s="0" t="str">
        <f aca="false">Chase1168_2025!C1796</f>
        <v>PP*SPOTIFYUSAI 203-318-9708 NY               01/12</v>
      </c>
      <c r="D1796" s="7" t="n">
        <f aca="false">Chase1168_2025!D1796</f>
        <v>-11.99</v>
      </c>
      <c r="E1796" s="0" t="str">
        <f aca="false">Chase1168_2025!E1796</f>
        <v>DEBIT_CARD</v>
      </c>
      <c r="F1796" s="7" t="n">
        <f aca="false">Chase1168_2025!F1796</f>
        <v>34849.15</v>
      </c>
      <c r="G1796" s="0" t="str">
        <f aca="false">Chase1168_2025!G1796</f>
        <v>Personal - Subscriptions</v>
      </c>
      <c r="H1796" s="15" t="n">
        <f aca="false">IF($B1796="","",DATE(YEAR($B1796),MONTH($B1796),1))</f>
        <v>45658</v>
      </c>
      <c r="I1796" s="0" t="str">
        <f aca="false">IF($G1796="","Uncategorized — Review",IFERROR(INDEX(Mapping!$B:$B,MATCH($G1796,Mapping!$A:$A,0)),"Uncategorized — Review"))</f>
        <v>Personal - Subscriptions</v>
      </c>
      <c r="J1796" s="0" t="str">
        <f aca="false">IF($G1796="","Uncategorized — Review",IFERROR(INDEX(Mapping!$C:$C,MATCH($G1796,Mapping!$A:$A,0)),"Uncategorized — Review"))</f>
        <v>Personal — Owner</v>
      </c>
    </row>
    <row r="1797" customFormat="false" ht="15" hidden="false" customHeight="false" outlineLevel="0" collapsed="false">
      <c r="A1797" s="0" t="str">
        <f aca="false">Chase1168_2025!A1797</f>
        <v>DEBIT</v>
      </c>
      <c r="B1797" s="14" t="n">
        <f aca="false">Chase1168_2025!B1797</f>
        <v>45670</v>
      </c>
      <c r="C1797" s="0" t="str">
        <f aca="false">Chase1168_2025!C1797</f>
        <v>Zelle payment to Jeff D. Farjardo JPM99aunddca</v>
      </c>
      <c r="D1797" s="7" t="n">
        <f aca="false">Chase1168_2025!D1797</f>
        <v>-1000</v>
      </c>
      <c r="E1797" s="0" t="str">
        <f aca="false">Chase1168_2025!E1797</f>
        <v>CHASE_TO_PARTNERFI</v>
      </c>
      <c r="F1797" s="7" t="n">
        <f aca="false">Chase1168_2025!F1797</f>
        <v>34861.14</v>
      </c>
      <c r="G1797" s="0" t="str">
        <f aca="false">Chase1168_2025!G1797</f>
        <v>Zelle - Jeff Fajardo</v>
      </c>
      <c r="H1797" s="15" t="n">
        <f aca="false">IF($B1797="","",DATE(YEAR($B1797),MONTH($B1797),1))</f>
        <v>45658</v>
      </c>
      <c r="I1797" s="0" t="str">
        <f aca="false">IF($G1797="","Uncategorized — Review",IFERROR(INDEX(Mapping!$B:$B,MATCH($G1797,Mapping!$A:$A,0)),"Uncategorized — Review"))</f>
        <v>Zelle - Jeff Fajardo</v>
      </c>
      <c r="J1797" s="0" t="str">
        <f aca="false">IF($G1797="","Uncategorized — Review",IFERROR(INDEX(Mapping!$C:$C,MATCH($G1797,Mapping!$A:$A,0)),"Uncategorized — Review"))</f>
        <v>P2P Payments (Zelle/Venmo/PayPal)</v>
      </c>
    </row>
    <row r="1798" customFormat="false" ht="15" hidden="false" customHeight="false" outlineLevel="0" collapsed="false">
      <c r="A1798" s="0" t="str">
        <f aca="false">Chase1168_2025!A1798</f>
        <v>DEBIT</v>
      </c>
      <c r="B1798" s="14" t="n">
        <f aca="false">Chase1168_2025!B1798</f>
        <v>45670</v>
      </c>
      <c r="C1798" s="0" t="str">
        <f aca="false">Chase1168_2025!C1798</f>
        <v>Zelle payment to Jeffrey Seider JPM99aulbjkb</v>
      </c>
      <c r="D1798" s="7" t="n">
        <f aca="false">Chase1168_2025!D1798</f>
        <v>-100</v>
      </c>
      <c r="E1798" s="0" t="str">
        <f aca="false">Chase1168_2025!E1798</f>
        <v>CHASE_TO_PARTNERFI</v>
      </c>
      <c r="F1798" s="7" t="n">
        <f aca="false">Chase1168_2025!F1798</f>
        <v>35861.14</v>
      </c>
      <c r="G1798" s="0" t="str">
        <f aca="false">Chase1168_2025!G1798</f>
        <v>Zelle - Jeff Seider</v>
      </c>
      <c r="H1798" s="15" t="n">
        <f aca="false">IF($B1798="","",DATE(YEAR($B1798),MONTH($B1798),1))</f>
        <v>45658</v>
      </c>
      <c r="I1798" s="0" t="str">
        <f aca="false">IF($G1798="","Uncategorized — Review",IFERROR(INDEX(Mapping!$B:$B,MATCH($G1798,Mapping!$A:$A,0)),"Uncategorized — Review"))</f>
        <v>Zelle - Jeff Seider</v>
      </c>
      <c r="J1798" s="0" t="str">
        <f aca="false">IF($G1798="","Uncategorized — Review",IFERROR(INDEX(Mapping!$C:$C,MATCH($G1798,Mapping!$A:$A,0)),"Uncategorized — Review"))</f>
        <v>P2P Payments (Zelle/Venmo/PayPal)</v>
      </c>
    </row>
    <row r="1799" customFormat="false" ht="15" hidden="false" customHeight="false" outlineLevel="0" collapsed="false">
      <c r="A1799" s="0" t="str">
        <f aca="false">Chase1168_2025!A1799</f>
        <v>DEBIT</v>
      </c>
      <c r="B1799" s="14" t="n">
        <f aca="false">Chase1168_2025!B1799</f>
        <v>45670</v>
      </c>
      <c r="C1799" s="0" t="str">
        <f aca="false">Chase1168_2025!C1799</f>
        <v>PP*APPLE.COM/BILL 800-275-2273 CA            01/11</v>
      </c>
      <c r="D1799" s="7" t="n">
        <f aca="false">Chase1168_2025!D1799</f>
        <v>-8.99</v>
      </c>
      <c r="E1799" s="0" t="str">
        <f aca="false">Chase1168_2025!E1799</f>
        <v>DEBIT_CARD</v>
      </c>
      <c r="F1799" s="7" t="n">
        <f aca="false">Chase1168_2025!F1799</f>
        <v>35961.14</v>
      </c>
      <c r="G1799" s="0" t="str">
        <f aca="false">Chase1168_2025!G1799</f>
        <v>Personal - Subscriptions</v>
      </c>
      <c r="H1799" s="15" t="n">
        <f aca="false">IF($B1799="","",DATE(YEAR($B1799),MONTH($B1799),1))</f>
        <v>45658</v>
      </c>
      <c r="I1799" s="0" t="str">
        <f aca="false">IF($G1799="","Uncategorized — Review",IFERROR(INDEX(Mapping!$B:$B,MATCH($G1799,Mapping!$A:$A,0)),"Uncategorized — Review"))</f>
        <v>Personal - Subscriptions</v>
      </c>
      <c r="J1799" s="0" t="str">
        <f aca="false">IF($G1799="","Uncategorized — Review",IFERROR(INDEX(Mapping!$C:$C,MATCH($G1799,Mapping!$A:$A,0)),"Uncategorized — Review"))</f>
        <v>Personal — Owner</v>
      </c>
    </row>
    <row r="1800" customFormat="false" ht="15" hidden="false" customHeight="false" outlineLevel="0" collapsed="false">
      <c r="A1800" s="0" t="str">
        <f aca="false">Chase1168_2025!A1800</f>
        <v>DEBIT</v>
      </c>
      <c r="B1800" s="14" t="n">
        <f aca="false">Chase1168_2025!B1800</f>
        <v>45670</v>
      </c>
      <c r="C1800" s="0" t="str">
        <f aca="false">Chase1168_2025!C1800</f>
        <v>ORIG CO NAME:BANNER LIFE            ORIG ID:1521236145 DESC DATE:250110 CO ENTRY DESCR:PREM DEBITSEC:PPD    TRACE#:091000018875623 EED:250113   IND ID:                             IND NAME:ANGELA L DUNNING TRN: 0138875623TC</v>
      </c>
      <c r="D1800" s="7" t="n">
        <f aca="false">Chase1168_2025!D1800</f>
        <v>-171.21</v>
      </c>
      <c r="E1800" s="0" t="str">
        <f aca="false">Chase1168_2025!E1800</f>
        <v>ACH_DEBIT</v>
      </c>
      <c r="F1800" s="7" t="n">
        <f aca="false">Chase1168_2025!F1800</f>
        <v>35970.13</v>
      </c>
      <c r="G1800" s="0" t="str">
        <f aca="false">Chase1168_2025!G1800</f>
        <v>Personal - Life Insurance</v>
      </c>
      <c r="H1800" s="15" t="n">
        <f aca="false">IF($B1800="","",DATE(YEAR($B1800),MONTH($B1800),1))</f>
        <v>45658</v>
      </c>
      <c r="I1800" s="0" t="str">
        <f aca="false">IF($G1800="","Uncategorized — Review",IFERROR(INDEX(Mapping!$B:$B,MATCH($G1800,Mapping!$A:$A,0)),"Uncategorized — Review"))</f>
        <v>Personal - Life Insurance</v>
      </c>
      <c r="J1800" s="0" t="str">
        <f aca="false">IF($G1800="","Uncategorized — Review",IFERROR(INDEX(Mapping!$C:$C,MATCH($G1800,Mapping!$A:$A,0)),"Uncategorized — Review"))</f>
        <v>Personal — Owner</v>
      </c>
    </row>
    <row r="1801" customFormat="false" ht="15" hidden="false" customHeight="false" outlineLevel="0" collapsed="false">
      <c r="A1801" s="0" t="str">
        <f aca="false">Chase1168_2025!A1801</f>
        <v>DEBIT</v>
      </c>
      <c r="B1801" s="14" t="n">
        <f aca="false">Chase1168_2025!B1801</f>
        <v>45670</v>
      </c>
      <c r="C1801" s="0" t="str">
        <f aca="false">Chase1168_2025!C1801</f>
        <v>ORIG CO NAME:GM Financial           ORIG ID:I522190781 DESC DATE:250113 CO ENTRY DESCR:GMF Pymt  SEC:PPD    TRACE#:091000018924409 EED:250113   IND ID:                             IND NAME:ANGELA DUNNING TRN: 0138924409TC</v>
      </c>
      <c r="D1801" s="7" t="n">
        <f aca="false">Chase1168_2025!D1801</f>
        <v>-1249.96</v>
      </c>
      <c r="E1801" s="0" t="str">
        <f aca="false">Chase1168_2025!E1801</f>
        <v>ACH_DEBIT</v>
      </c>
      <c r="F1801" s="7" t="n">
        <f aca="false">Chase1168_2025!F1801</f>
        <v>36141.34</v>
      </c>
      <c r="G1801" s="0" t="str">
        <f aca="false">Chase1168_2025!G1801</f>
        <v>Personal - Car</v>
      </c>
      <c r="H1801" s="15" t="n">
        <f aca="false">IF($B1801="","",DATE(YEAR($B1801),MONTH($B1801),1))</f>
        <v>45658</v>
      </c>
      <c r="I1801" s="0" t="str">
        <f aca="false">IF($G1801="","Uncategorized — Review",IFERROR(INDEX(Mapping!$B:$B,MATCH($G1801,Mapping!$A:$A,0)),"Uncategorized — Review"))</f>
        <v>Personal - Car &amp; Auto</v>
      </c>
      <c r="J1801" s="0" t="str">
        <f aca="false">IF($G1801="","Uncategorized — Review",IFERROR(INDEX(Mapping!$C:$C,MATCH($G1801,Mapping!$A:$A,0)),"Uncategorized — Review"))</f>
        <v>Personal — Owner</v>
      </c>
    </row>
    <row r="1802" customFormat="false" ht="15" hidden="false" customHeight="false" outlineLevel="0" collapsed="false">
      <c r="A1802" s="0" t="str">
        <f aca="false">Chase1168_2025!A1802</f>
        <v>DEBIT</v>
      </c>
      <c r="B1802" s="14" t="n">
        <f aca="false">Chase1168_2025!B1802</f>
        <v>45670</v>
      </c>
      <c r="C1802" s="0" t="str">
        <f aca="false">Chase1168_2025!C1802</f>
        <v>PP*APPLE.COM/BILL 800-275-2273 CA            01/10</v>
      </c>
      <c r="D1802" s="7" t="n">
        <f aca="false">Chase1168_2025!D1802</f>
        <v>-22</v>
      </c>
      <c r="E1802" s="0" t="str">
        <f aca="false">Chase1168_2025!E1802</f>
        <v>DEBIT_CARD</v>
      </c>
      <c r="F1802" s="7" t="n">
        <f aca="false">Chase1168_2025!F1802</f>
        <v>37391.3</v>
      </c>
      <c r="G1802" s="0" t="str">
        <f aca="false">Chase1168_2025!G1802</f>
        <v>Personal - Subscriptions</v>
      </c>
      <c r="H1802" s="15" t="n">
        <f aca="false">IF($B1802="","",DATE(YEAR($B1802),MONTH($B1802),1))</f>
        <v>45658</v>
      </c>
      <c r="I1802" s="0" t="str">
        <f aca="false">IF($G1802="","Uncategorized — Review",IFERROR(INDEX(Mapping!$B:$B,MATCH($G1802,Mapping!$A:$A,0)),"Uncategorized — Review"))</f>
        <v>Personal - Subscriptions</v>
      </c>
      <c r="J1802" s="0" t="str">
        <f aca="false">IF($G1802="","Uncategorized — Review",IFERROR(INDEX(Mapping!$C:$C,MATCH($G1802,Mapping!$A:$A,0)),"Uncategorized — Review"))</f>
        <v>Personal — Owner</v>
      </c>
    </row>
    <row r="1803" customFormat="false" ht="15" hidden="false" customHeight="false" outlineLevel="0" collapsed="false">
      <c r="A1803" s="0" t="str">
        <f aca="false">Chase1168_2025!A1803</f>
        <v>DEBIT</v>
      </c>
      <c r="B1803" s="14" t="n">
        <f aca="false">Chase1168_2025!B1803</f>
        <v>45670</v>
      </c>
      <c r="C1803" s="0" t="str">
        <f aca="false">Chase1168_2025!C1803</f>
        <v>PAYPAL *VIKAS KUMAR 402-935-7733 CA          01/11</v>
      </c>
      <c r="D1803" s="7" t="n">
        <f aca="false">Chase1168_2025!D1803</f>
        <v>-199</v>
      </c>
      <c r="E1803" s="0" t="str">
        <f aca="false">Chase1168_2025!E1803</f>
        <v>DEBIT_CARD</v>
      </c>
      <c r="F1803" s="7" t="n">
        <f aca="false">Chase1168_2025!F1803</f>
        <v>37413.3</v>
      </c>
      <c r="G1803" s="0" t="str">
        <f aca="false">Chase1168_2025!G1803</f>
        <v>Paypal</v>
      </c>
      <c r="H1803" s="15" t="n">
        <f aca="false">IF($B1803="","",DATE(YEAR($B1803),MONTH($B1803),1))</f>
        <v>45658</v>
      </c>
      <c r="I1803" s="0" t="str">
        <f aca="false">IF($G1803="","Uncategorized — Review",IFERROR(INDEX(Mapping!$B:$B,MATCH($G1803,Mapping!$A:$A,0)),"Uncategorized — Review"))</f>
        <v>PayPal</v>
      </c>
      <c r="J1803" s="0" t="str">
        <f aca="false">IF($G1803="","Uncategorized — Review",IFERROR(INDEX(Mapping!$C:$C,MATCH($G1803,Mapping!$A:$A,0)),"Uncategorized — Review"))</f>
        <v>P2P Payments (Zelle/Venmo/PayPal)</v>
      </c>
    </row>
    <row r="1804" customFormat="false" ht="15" hidden="false" customHeight="false" outlineLevel="0" collapsed="false">
      <c r="A1804" s="0" t="str">
        <f aca="false">Chase1168_2025!A1804</f>
        <v>DEBIT</v>
      </c>
      <c r="B1804" s="14" t="n">
        <f aca="false">Chase1168_2025!B1804</f>
        <v>45667</v>
      </c>
      <c r="C1804" s="0" t="str">
        <f aca="false">Chase1168_2025!C1804</f>
        <v>ORIG CO NAME:REALCAPITALMARKE       ORIG ID:E841910518 DESC DATE:B25009 CO ENTRY DESCR:8553375126SEC:CCD    TRACE#:091000011357372 EED:250110   IND ID:2TSMZDVSCPILZ20              IND NAME:NA DWG CAPITAL GROUP TRN: 0101357372TC</v>
      </c>
      <c r="D1804" s="7" t="n">
        <f aca="false">Chase1168_2025!D1804</f>
        <v>-1200</v>
      </c>
      <c r="E1804" s="0" t="str">
        <f aca="false">Chase1168_2025!E1804</f>
        <v>ACH_DEBIT</v>
      </c>
      <c r="F1804" s="7" t="n">
        <f aca="false">Chase1168_2025!F1804</f>
        <v>37612.3</v>
      </c>
      <c r="G1804" s="0" t="str">
        <f aca="false">Chase1168_2025!G1804</f>
        <v>DWG Listing Platform: RCM</v>
      </c>
      <c r="H1804" s="15" t="n">
        <f aca="false">IF($B1804="","",DATE(YEAR($B1804),MONTH($B1804),1))</f>
        <v>45658</v>
      </c>
      <c r="I1804" s="0" t="str">
        <f aca="false">IF($G1804="","Uncategorized — Review",IFERROR(INDEX(Mapping!$B:$B,MATCH($G1804,Mapping!$A:$A,0)),"Uncategorized — Review"))</f>
        <v>DWG Listing Platform: RCM</v>
      </c>
      <c r="J1804" s="0" t="str">
        <f aca="false">IF($G1804="","Uncategorized — Review",IFERROR(INDEX(Mapping!$C:$C,MATCH($G1804,Mapping!$A:$A,0)),"Uncategorized — Review"))</f>
        <v>DWG Operating</v>
      </c>
    </row>
    <row r="1805" customFormat="false" ht="15" hidden="false" customHeight="false" outlineLevel="0" collapsed="false">
      <c r="A1805" s="0" t="str">
        <f aca="false">Chase1168_2025!A1805</f>
        <v>DEBIT</v>
      </c>
      <c r="B1805" s="14" t="n">
        <f aca="false">Chase1168_2025!B1805</f>
        <v>45667</v>
      </c>
      <c r="C1805" s="0" t="str">
        <f aca="false">Chase1168_2025!C1805</f>
        <v>ORIG CO NAME:REALCAPITALMARKE       ORIG ID:E841910518 DESC DATE:B25009 CO ENTRY DESCR:8553375126SEC:CCD    TRACE#:091000011357371 EED:250110   IND ID:2TSMZJBYE66ULCV              IND NAME:NA DWG CAPITAL GROUP TRN: 0101357371TC</v>
      </c>
      <c r="D1805" s="7" t="n">
        <f aca="false">Chase1168_2025!D1805</f>
        <v>-1200</v>
      </c>
      <c r="E1805" s="0" t="str">
        <f aca="false">Chase1168_2025!E1805</f>
        <v>ACH_DEBIT</v>
      </c>
      <c r="F1805" s="7" t="n">
        <f aca="false">Chase1168_2025!F1805</f>
        <v>38812.3</v>
      </c>
      <c r="G1805" s="0" t="str">
        <f aca="false">Chase1168_2025!G1805</f>
        <v>DWG Listing Platform: RCM</v>
      </c>
      <c r="H1805" s="15" t="n">
        <f aca="false">IF($B1805="","",DATE(YEAR($B1805),MONTH($B1805),1))</f>
        <v>45658</v>
      </c>
      <c r="I1805" s="0" t="str">
        <f aca="false">IF($G1805="","Uncategorized — Review",IFERROR(INDEX(Mapping!$B:$B,MATCH($G1805,Mapping!$A:$A,0)),"Uncategorized — Review"))</f>
        <v>DWG Listing Platform: RCM</v>
      </c>
      <c r="J1805" s="0" t="str">
        <f aca="false">IF($G1805="","Uncategorized — Review",IFERROR(INDEX(Mapping!$C:$C,MATCH($G1805,Mapping!$A:$A,0)),"Uncategorized — Review"))</f>
        <v>DWG Operating</v>
      </c>
    </row>
    <row r="1806" customFormat="false" ht="15" hidden="false" customHeight="false" outlineLevel="0" collapsed="false">
      <c r="A1806" s="0" t="str">
        <f aca="false">Chase1168_2025!A1806</f>
        <v>DEBIT</v>
      </c>
      <c r="B1806" s="14" t="n">
        <f aca="false">Chase1168_2025!B1806</f>
        <v>45667</v>
      </c>
      <c r="C1806" s="0" t="str">
        <f aca="false">Chase1168_2025!C1806</f>
        <v>HLU*HULUPLUS hulu.com/bill CA                01/10</v>
      </c>
      <c r="D1806" s="7" t="n">
        <f aca="false">Chase1168_2025!D1806</f>
        <v>-46.83</v>
      </c>
      <c r="E1806" s="0" t="str">
        <f aca="false">Chase1168_2025!E1806</f>
        <v>DEBIT_CARD</v>
      </c>
      <c r="F1806" s="7" t="n">
        <f aca="false">Chase1168_2025!F1806</f>
        <v>40012.3</v>
      </c>
      <c r="G1806" s="0" t="str">
        <f aca="false">Chase1168_2025!G1806</f>
        <v>Personal - Subscriptions</v>
      </c>
      <c r="H1806" s="15" t="n">
        <f aca="false">IF($B1806="","",DATE(YEAR($B1806),MONTH($B1806),1))</f>
        <v>45658</v>
      </c>
      <c r="I1806" s="0" t="str">
        <f aca="false">IF($G1806="","Uncategorized — Review",IFERROR(INDEX(Mapping!$B:$B,MATCH($G1806,Mapping!$A:$A,0)),"Uncategorized — Review"))</f>
        <v>Personal - Subscriptions</v>
      </c>
      <c r="J1806" s="0" t="str">
        <f aca="false">IF($G1806="","Uncategorized — Review",IFERROR(INDEX(Mapping!$C:$C,MATCH($G1806,Mapping!$A:$A,0)),"Uncategorized — Review"))</f>
        <v>Personal — Owner</v>
      </c>
    </row>
    <row r="1807" customFormat="false" ht="15" hidden="false" customHeight="false" outlineLevel="0" collapsed="false">
      <c r="A1807" s="0" t="str">
        <f aca="false">Chase1168_2025!A1807</f>
        <v>DEBIT</v>
      </c>
      <c r="B1807" s="14" t="n">
        <f aca="false">Chase1168_2025!B1807</f>
        <v>45667</v>
      </c>
      <c r="C1807" s="0" t="str">
        <f aca="false">Chase1168_2025!C1807</f>
        <v>Online Transfer to CHK ...1117 transaction#: 23337021115 01/10</v>
      </c>
      <c r="D1807" s="7" t="n">
        <f aca="false">Chase1168_2025!D1807</f>
        <v>-2000</v>
      </c>
      <c r="E1807" s="0" t="str">
        <f aca="false">Chase1168_2025!E1807</f>
        <v>ACCT_XFER</v>
      </c>
      <c r="F1807" s="7" t="n">
        <f aca="false">Chase1168_2025!F1807</f>
        <v>40059.13</v>
      </c>
      <c r="G1807" s="0" t="str">
        <f aca="false">Chase1168_2025!G1807</f>
        <v>Transfer to Angela Dunning</v>
      </c>
      <c r="H1807" s="15" t="n">
        <f aca="false">IF($B1807="","",DATE(YEAR($B1807),MONTH($B1807),1))</f>
        <v>45658</v>
      </c>
      <c r="I1807" s="0" t="str">
        <f aca="false">IF($G1807="","Uncategorized — Review",IFERROR(INDEX(Mapping!$B:$B,MATCH($G1807,Mapping!$A:$A,0)),"Uncategorized — Review"))</f>
        <v>Transfer to Angela Dunning</v>
      </c>
      <c r="J1807" s="0" t="str">
        <f aca="false">IF($G1807="","Uncategorized — Review",IFERROR(INDEX(Mapping!$C:$C,MATCH($G1807,Mapping!$A:$A,0)),"Uncategorized — Review"))</f>
        <v>Owner / Family Distributions</v>
      </c>
    </row>
    <row r="1808" customFormat="false" ht="15" hidden="false" customHeight="false" outlineLevel="0" collapsed="false">
      <c r="A1808" s="0" t="str">
        <f aca="false">Chase1168_2025!A1808</f>
        <v>DEBIT</v>
      </c>
      <c r="B1808" s="14" t="n">
        <f aca="false">Chase1168_2025!B1808</f>
        <v>45667</v>
      </c>
      <c r="C1808" s="0" t="str">
        <f aca="false">Chase1168_2025!C1808</f>
        <v>PP*APPLE.COM/BILL 800-275-2273 CA            01/09</v>
      </c>
      <c r="D1808" s="7" t="n">
        <f aca="false">Chase1168_2025!D1808</f>
        <v>-17.99</v>
      </c>
      <c r="E1808" s="0" t="str">
        <f aca="false">Chase1168_2025!E1808</f>
        <v>DEBIT_CARD</v>
      </c>
      <c r="F1808" s="7" t="n">
        <f aca="false">Chase1168_2025!F1808</f>
        <v>42059.13</v>
      </c>
      <c r="G1808" s="0" t="str">
        <f aca="false">Chase1168_2025!G1808</f>
        <v>Personal - Subscriptions</v>
      </c>
      <c r="H1808" s="15" t="n">
        <f aca="false">IF($B1808="","",DATE(YEAR($B1808),MONTH($B1808),1))</f>
        <v>45658</v>
      </c>
      <c r="I1808" s="0" t="str">
        <f aca="false">IF($G1808="","Uncategorized — Review",IFERROR(INDEX(Mapping!$B:$B,MATCH($G1808,Mapping!$A:$A,0)),"Uncategorized — Review"))</f>
        <v>Personal - Subscriptions</v>
      </c>
      <c r="J1808" s="0" t="str">
        <f aca="false">IF($G1808="","Uncategorized — Review",IFERROR(INDEX(Mapping!$C:$C,MATCH($G1808,Mapping!$A:$A,0)),"Uncategorized — Review"))</f>
        <v>Personal — Owner</v>
      </c>
    </row>
    <row r="1809" customFormat="false" ht="15" hidden="false" customHeight="false" outlineLevel="0" collapsed="false">
      <c r="A1809" s="0" t="str">
        <f aca="false">Chase1168_2025!A1809</f>
        <v>DEBIT</v>
      </c>
      <c r="B1809" s="14" t="n">
        <f aca="false">Chase1168_2025!B1809</f>
        <v>45667</v>
      </c>
      <c r="C1809" s="0" t="str">
        <f aca="false">Chase1168_2025!C1809</f>
        <v>PP*APPLE.COM/BILL 800-275-2273 CA            01/09</v>
      </c>
      <c r="D1809" s="7" t="n">
        <f aca="false">Chase1168_2025!D1809</f>
        <v>-11.99</v>
      </c>
      <c r="E1809" s="0" t="str">
        <f aca="false">Chase1168_2025!E1809</f>
        <v>DEBIT_CARD</v>
      </c>
      <c r="F1809" s="7" t="n">
        <f aca="false">Chase1168_2025!F1809</f>
        <v>42077.12</v>
      </c>
      <c r="G1809" s="0" t="str">
        <f aca="false">Chase1168_2025!G1809</f>
        <v>Personal - Subscriptions</v>
      </c>
      <c r="H1809" s="15" t="n">
        <f aca="false">IF($B1809="","",DATE(YEAR($B1809),MONTH($B1809),1))</f>
        <v>45658</v>
      </c>
      <c r="I1809" s="0" t="str">
        <f aca="false">IF($G1809="","Uncategorized — Review",IFERROR(INDEX(Mapping!$B:$B,MATCH($G1809,Mapping!$A:$A,0)),"Uncategorized — Review"))</f>
        <v>Personal - Subscriptions</v>
      </c>
      <c r="J1809" s="0" t="str">
        <f aca="false">IF($G1809="","Uncategorized — Review",IFERROR(INDEX(Mapping!$C:$C,MATCH($G1809,Mapping!$A:$A,0)),"Uncategorized — Review"))</f>
        <v>Personal — Owner</v>
      </c>
    </row>
    <row r="1810" customFormat="false" ht="15" hidden="false" customHeight="false" outlineLevel="0" collapsed="false">
      <c r="A1810" s="0" t="str">
        <f aca="false">Chase1168_2025!A1810</f>
        <v>DEBIT</v>
      </c>
      <c r="B1810" s="14" t="n">
        <f aca="false">Chase1168_2025!B1810</f>
        <v>45665</v>
      </c>
      <c r="C1810" s="0" t="str">
        <f aca="false">Chase1168_2025!C1810</f>
        <v>Zelle payment to Jeff D. Farjardo JPM99aud28r6</v>
      </c>
      <c r="D1810" s="7" t="n">
        <f aca="false">Chase1168_2025!D1810</f>
        <v>-1400</v>
      </c>
      <c r="E1810" s="0" t="str">
        <f aca="false">Chase1168_2025!E1810</f>
        <v>CHASE_TO_PARTNERFI</v>
      </c>
      <c r="F1810" s="7" t="n">
        <f aca="false">Chase1168_2025!F1810</f>
        <v>42089.11</v>
      </c>
      <c r="G1810" s="0" t="str">
        <f aca="false">Chase1168_2025!G1810</f>
        <v>Zelle - Jeff Fajardo</v>
      </c>
      <c r="H1810" s="15" t="n">
        <f aca="false">IF($B1810="","",DATE(YEAR($B1810),MONTH($B1810),1))</f>
        <v>45658</v>
      </c>
      <c r="I1810" s="0" t="str">
        <f aca="false">IF($G1810="","Uncategorized — Review",IFERROR(INDEX(Mapping!$B:$B,MATCH($G1810,Mapping!$A:$A,0)),"Uncategorized — Review"))</f>
        <v>Zelle - Jeff Fajardo</v>
      </c>
      <c r="J1810" s="0" t="str">
        <f aca="false">IF($G1810="","Uncategorized — Review",IFERROR(INDEX(Mapping!$C:$C,MATCH($G1810,Mapping!$A:$A,0)),"Uncategorized — Review"))</f>
        <v>P2P Payments (Zelle/Venmo/PayPal)</v>
      </c>
    </row>
    <row r="1811" customFormat="false" ht="15" hidden="false" customHeight="false" outlineLevel="0" collapsed="false">
      <c r="A1811" s="0" t="str">
        <f aca="false">Chase1168_2025!A1811</f>
        <v>DEBIT</v>
      </c>
      <c r="B1811" s="14" t="n">
        <f aca="false">Chase1168_2025!B1811</f>
        <v>45665</v>
      </c>
      <c r="C1811" s="0" t="str">
        <f aca="false">Chase1168_2025!C1811</f>
        <v>ORIG CO NAME:VENMO                  ORIG ID:3264681992 DESC DATE:250107 CO ENTRY DESCR:PAYMENT   SEC:WEB    TRACE#:091000014389350 EED:250108   IND ID:1039483658854                IND NAME:JUDD DUNNING TRN: 0084389350TC</v>
      </c>
      <c r="D1811" s="7" t="n">
        <f aca="false">Chase1168_2025!D1811</f>
        <v>-1000</v>
      </c>
      <c r="E1811" s="0" t="str">
        <f aca="false">Chase1168_2025!E1811</f>
        <v>ACH_DEBIT</v>
      </c>
      <c r="F1811" s="7" t="n">
        <f aca="false">Chase1168_2025!F1811</f>
        <v>43489.11</v>
      </c>
      <c r="G1811" s="0" t="str">
        <f aca="false">Chase1168_2025!G1811</f>
        <v>Venmo</v>
      </c>
      <c r="H1811" s="15" t="n">
        <f aca="false">IF($B1811="","",DATE(YEAR($B1811),MONTH($B1811),1))</f>
        <v>45658</v>
      </c>
      <c r="I1811" s="0" t="str">
        <f aca="false">IF($G1811="","Uncategorized — Review",IFERROR(INDEX(Mapping!$B:$B,MATCH($G1811,Mapping!$A:$A,0)),"Uncategorized — Review"))</f>
        <v>Venmo</v>
      </c>
      <c r="J1811" s="0" t="str">
        <f aca="false">IF($G1811="","Uncategorized — Review",IFERROR(INDEX(Mapping!$C:$C,MATCH($G1811,Mapping!$A:$A,0)),"Uncategorized — Review"))</f>
        <v>P2P Payments (Zelle/Venmo/PayPal)</v>
      </c>
    </row>
    <row r="1812" customFormat="false" ht="15" hidden="false" customHeight="false" outlineLevel="0" collapsed="false">
      <c r="A1812" s="0" t="str">
        <f aca="false">Chase1168_2025!A1812</f>
        <v>DEBIT</v>
      </c>
      <c r="B1812" s="14" t="n">
        <f aca="false">Chase1168_2025!B1812</f>
        <v>45665</v>
      </c>
      <c r="C1812" s="0" t="str">
        <f aca="false">Chase1168_2025!C1812</f>
        <v>Online Transfer to CHK ...6975 transaction#: 23317009803 01/08</v>
      </c>
      <c r="D1812" s="7" t="n">
        <f aca="false">Chase1168_2025!D1812</f>
        <v>-1000</v>
      </c>
      <c r="E1812" s="0" t="str">
        <f aca="false">Chase1168_2025!E1812</f>
        <v>ACCT_XFER</v>
      </c>
      <c r="F1812" s="7" t="n">
        <f aca="false">Chase1168_2025!F1812</f>
        <v>44489.11</v>
      </c>
      <c r="G1812" s="0" t="str">
        <f aca="false">Chase1168_2025!G1812</f>
        <v>Transfer to Ava Perez-Dunning</v>
      </c>
      <c r="H1812" s="15" t="n">
        <f aca="false">IF($B1812="","",DATE(YEAR($B1812),MONTH($B1812),1))</f>
        <v>45658</v>
      </c>
      <c r="I1812" s="0" t="str">
        <f aca="false">IF($G1812="","Uncategorized — Review",IFERROR(INDEX(Mapping!$B:$B,MATCH($G1812,Mapping!$A:$A,0)),"Uncategorized — Review"))</f>
        <v>Transfer to Ava Perez-Dunning</v>
      </c>
      <c r="J1812" s="0" t="str">
        <f aca="false">IF($G1812="","Uncategorized — Review",IFERROR(INDEX(Mapping!$C:$C,MATCH($G1812,Mapping!$A:$A,0)),"Uncategorized — Review"))</f>
        <v>Owner / Family Distributions</v>
      </c>
    </row>
    <row r="1813" customFormat="false" ht="15" hidden="false" customHeight="false" outlineLevel="0" collapsed="false">
      <c r="A1813" s="0" t="str">
        <f aca="false">Chase1168_2025!A1813</f>
        <v>DEBIT</v>
      </c>
      <c r="B1813" s="14" t="n">
        <f aca="false">Chase1168_2025!B1813</f>
        <v>45665</v>
      </c>
      <c r="C1813" s="0" t="str">
        <f aca="false">Chase1168_2025!C1813</f>
        <v>Zelle payment to Aldolfo Varela JPM99aubwehg</v>
      </c>
      <c r="D1813" s="7" t="n">
        <f aca="false">Chase1168_2025!D1813</f>
        <v>-1700</v>
      </c>
      <c r="E1813" s="0" t="str">
        <f aca="false">Chase1168_2025!E1813</f>
        <v>CHASE_TO_PARTNERFI</v>
      </c>
      <c r="F1813" s="7" t="n">
        <f aca="false">Chase1168_2025!F1813</f>
        <v>45489.11</v>
      </c>
      <c r="G1813" s="0" t="str">
        <f aca="false">Chase1168_2025!G1813</f>
        <v>Zelle - Adolfo V.</v>
      </c>
      <c r="H1813" s="15" t="n">
        <f aca="false">IF($B1813="","",DATE(YEAR($B1813),MONTH($B1813),1))</f>
        <v>45658</v>
      </c>
      <c r="I1813" s="0" t="str">
        <f aca="false">IF($G1813="","Uncategorized — Review",IFERROR(INDEX(Mapping!$B:$B,MATCH($G1813,Mapping!$A:$A,0)),"Uncategorized — Review"))</f>
        <v>Zelle - Adolfo V.</v>
      </c>
      <c r="J1813" s="0" t="str">
        <f aca="false">IF($G1813="","Uncategorized — Review",IFERROR(INDEX(Mapping!$C:$C,MATCH($G1813,Mapping!$A:$A,0)),"Uncategorized — Review"))</f>
        <v>P2P Payments (Zelle/Venmo/PayPal)</v>
      </c>
    </row>
    <row r="1814" customFormat="false" ht="15" hidden="false" customHeight="false" outlineLevel="0" collapsed="false">
      <c r="A1814" s="0" t="str">
        <f aca="false">Chase1168_2025!A1814</f>
        <v>DEBIT</v>
      </c>
      <c r="B1814" s="14" t="n">
        <f aca="false">Chase1168_2025!B1814</f>
        <v>45665</v>
      </c>
      <c r="C1814" s="0" t="str">
        <f aca="false">Chase1168_2025!C1814</f>
        <v>Online Transfer to CHK ...0709 transaction#: 23316735921 01/08</v>
      </c>
      <c r="D1814" s="7" t="n">
        <f aca="false">Chase1168_2025!D1814</f>
        <v>-1000</v>
      </c>
      <c r="E1814" s="0" t="str">
        <f aca="false">Chase1168_2025!E1814</f>
        <v>ACCT_XFER</v>
      </c>
      <c r="F1814" s="7" t="n">
        <f aca="false">Chase1168_2025!F1814</f>
        <v>47189.11</v>
      </c>
      <c r="G1814" s="0" t="str">
        <f aca="false">Chase1168_2025!G1814</f>
        <v>Transfer to DWG Capital Group_Savings</v>
      </c>
      <c r="H1814" s="15" t="n">
        <f aca="false">IF($B1814="","",DATE(YEAR($B1814),MONTH($B1814),1))</f>
        <v>45658</v>
      </c>
      <c r="I1814" s="0" t="str">
        <f aca="false">IF($G1814="","Uncategorized — Review",IFERROR(INDEX(Mapping!$B:$B,MATCH($G1814,Mapping!$A:$A,0)),"Uncategorized — Review"))</f>
        <v>Transfer to DWG Savings</v>
      </c>
      <c r="J1814" s="0" t="str">
        <f aca="false">IF($G1814="","Uncategorized — Review",IFERROR(INDEX(Mapping!$C:$C,MATCH($G1814,Mapping!$A:$A,0)),"Uncategorized — Review"))</f>
        <v>Intercompany &amp; Savings Transfers</v>
      </c>
    </row>
    <row r="1815" customFormat="false" ht="15" hidden="false" customHeight="false" outlineLevel="0" collapsed="false">
      <c r="A1815" s="0" t="str">
        <f aca="false">Chase1168_2025!A1815</f>
        <v>DEBIT</v>
      </c>
      <c r="B1815" s="14" t="n">
        <f aca="false">Chase1168_2025!B1815</f>
        <v>45665</v>
      </c>
      <c r="C1815" s="0" t="str">
        <f aca="false">Chase1168_2025!C1815</f>
        <v>PAYPAL *TOMMY 402-935-7733 CA                01/07</v>
      </c>
      <c r="D1815" s="7" t="n">
        <f aca="false">Chase1168_2025!D1815</f>
        <v>-1.33</v>
      </c>
      <c r="E1815" s="0" t="str">
        <f aca="false">Chase1168_2025!E1815</f>
        <v>DEBIT_CARD</v>
      </c>
      <c r="F1815" s="7" t="n">
        <f aca="false">Chase1168_2025!F1815</f>
        <v>48189.11</v>
      </c>
      <c r="G1815" s="0" t="str">
        <f aca="false">Chase1168_2025!G1815</f>
        <v>Paypal</v>
      </c>
      <c r="H1815" s="15" t="n">
        <f aca="false">IF($B1815="","",DATE(YEAR($B1815),MONTH($B1815),1))</f>
        <v>45658</v>
      </c>
      <c r="I1815" s="0" t="str">
        <f aca="false">IF($G1815="","Uncategorized — Review",IFERROR(INDEX(Mapping!$B:$B,MATCH($G1815,Mapping!$A:$A,0)),"Uncategorized — Review"))</f>
        <v>PayPal</v>
      </c>
      <c r="J1815" s="0" t="str">
        <f aca="false">IF($G1815="","Uncategorized — Review",IFERROR(INDEX(Mapping!$C:$C,MATCH($G1815,Mapping!$A:$A,0)),"Uncategorized — Review"))</f>
        <v>P2P Payments (Zelle/Venmo/PayPal)</v>
      </c>
    </row>
    <row r="1816" customFormat="false" ht="15" hidden="false" customHeight="false" outlineLevel="0" collapsed="false">
      <c r="A1816" s="0" t="str">
        <f aca="false">Chase1168_2025!A1816</f>
        <v>DEBIT</v>
      </c>
      <c r="B1816" s="14" t="n">
        <f aca="false">Chase1168_2025!B1816</f>
        <v>45664</v>
      </c>
      <c r="C1816" s="0" t="str">
        <f aca="false">Chase1168_2025!C1816</f>
        <v>Zelle payment to Jeffrey Seider JPM99au9vdrc</v>
      </c>
      <c r="D1816" s="7" t="n">
        <f aca="false">Chase1168_2025!D1816</f>
        <v>-150</v>
      </c>
      <c r="E1816" s="0" t="str">
        <f aca="false">Chase1168_2025!E1816</f>
        <v>CHASE_TO_PARTNERFI</v>
      </c>
      <c r="F1816" s="7" t="n">
        <f aca="false">Chase1168_2025!F1816</f>
        <v>48190.44</v>
      </c>
      <c r="G1816" s="0" t="str">
        <f aca="false">Chase1168_2025!G1816</f>
        <v>Zelle - Jeff Seider</v>
      </c>
      <c r="H1816" s="15" t="n">
        <f aca="false">IF($B1816="","",DATE(YEAR($B1816),MONTH($B1816),1))</f>
        <v>45658</v>
      </c>
      <c r="I1816" s="0" t="str">
        <f aca="false">IF($G1816="","Uncategorized — Review",IFERROR(INDEX(Mapping!$B:$B,MATCH($G1816,Mapping!$A:$A,0)),"Uncategorized — Review"))</f>
        <v>Zelle - Jeff Seider</v>
      </c>
      <c r="J1816" s="0" t="str">
        <f aca="false">IF($G1816="","Uncategorized — Review",IFERROR(INDEX(Mapping!$C:$C,MATCH($G1816,Mapping!$A:$A,0)),"Uncategorized — Review"))</f>
        <v>P2P Payments (Zelle/Venmo/PayPal)</v>
      </c>
    </row>
    <row r="1817" customFormat="false" ht="15" hidden="false" customHeight="false" outlineLevel="0" collapsed="false">
      <c r="A1817" s="0" t="str">
        <f aca="false">Chase1168_2025!A1817</f>
        <v>DEBIT</v>
      </c>
      <c r="B1817" s="14" t="n">
        <f aca="false">Chase1168_2025!B1817</f>
        <v>45664</v>
      </c>
      <c r="C1817" s="0" t="str">
        <f aca="false">Chase1168_2025!C1817</f>
        <v>Zelle payment to Estella Martinez JPM99au9vq6b</v>
      </c>
      <c r="D1817" s="7" t="n">
        <f aca="false">Chase1168_2025!D1817</f>
        <v>-800</v>
      </c>
      <c r="E1817" s="0" t="str">
        <f aca="false">Chase1168_2025!E1817</f>
        <v>CHASE_TO_PARTNERFI</v>
      </c>
      <c r="F1817" s="7" t="n">
        <f aca="false">Chase1168_2025!F1817</f>
        <v>48340.44</v>
      </c>
      <c r="G1817" s="0" t="str">
        <f aca="false">Chase1168_2025!G1817</f>
        <v>Zelle - Estella M.</v>
      </c>
      <c r="H1817" s="15" t="n">
        <f aca="false">IF($B1817="","",DATE(YEAR($B1817),MONTH($B1817),1))</f>
        <v>45658</v>
      </c>
      <c r="I1817" s="0" t="str">
        <f aca="false">IF($G1817="","Uncategorized — Review",IFERROR(INDEX(Mapping!$B:$B,MATCH($G1817,Mapping!$A:$A,0)),"Uncategorized — Review"))</f>
        <v>Zelle - Estella M.</v>
      </c>
      <c r="J1817" s="0" t="str">
        <f aca="false">IF($G1817="","Uncategorized — Review",IFERROR(INDEX(Mapping!$C:$C,MATCH($G1817,Mapping!$A:$A,0)),"Uncategorized — Review"))</f>
        <v>P2P Payments (Zelle/Venmo/PayPal)</v>
      </c>
    </row>
    <row r="1818" customFormat="false" ht="15" hidden="false" customHeight="false" outlineLevel="0" collapsed="false">
      <c r="A1818" s="0" t="str">
        <f aca="false">Chase1168_2025!A1818</f>
        <v>DEBIT</v>
      </c>
      <c r="B1818" s="14" t="n">
        <f aca="false">Chase1168_2025!B1818</f>
        <v>45664</v>
      </c>
      <c r="C1818" s="0" t="str">
        <f aca="false">Chase1168_2025!C1818</f>
        <v>PAYPAL *RUTHALCANCI 402-935-7733 CA          01/06</v>
      </c>
      <c r="D1818" s="7" t="n">
        <f aca="false">Chase1168_2025!D1818</f>
        <v>-150</v>
      </c>
      <c r="E1818" s="0" t="str">
        <f aca="false">Chase1168_2025!E1818</f>
        <v>DEBIT_CARD</v>
      </c>
      <c r="F1818" s="7" t="n">
        <f aca="false">Chase1168_2025!F1818</f>
        <v>49140.44</v>
      </c>
      <c r="G1818" s="0" t="str">
        <f aca="false">Chase1168_2025!G1818</f>
        <v>Ruth Alcancia - Forward Bridge Payment</v>
      </c>
      <c r="H1818" s="15" t="n">
        <f aca="false">IF($B1818="","",DATE(YEAR($B1818),MONTH($B1818),1))</f>
        <v>45658</v>
      </c>
      <c r="I1818" s="0" t="str">
        <f aca="false">IF($G1818="","Uncategorized — Review",IFERROR(INDEX(Mapping!$B:$B,MATCH($G1818,Mapping!$A:$A,0)),"Uncategorized — Review"))</f>
        <v>Ruth Alcancia - Forward Bridge Payment</v>
      </c>
      <c r="J1818" s="0" t="str">
        <f aca="false">IF($G1818="","Uncategorized — Review",IFERROR(INDEX(Mapping!$C:$C,MATCH($G1818,Mapping!$A:$A,0)),"Uncategorized — Review"))</f>
        <v>Payroll &amp; Contractors</v>
      </c>
    </row>
    <row r="1819" customFormat="false" ht="15" hidden="false" customHeight="false" outlineLevel="0" collapsed="false">
      <c r="A1819" s="0" t="str">
        <f aca="false">Chase1168_2025!A1819</f>
        <v>DEBIT</v>
      </c>
      <c r="B1819" s="14" t="n">
        <f aca="false">Chase1168_2025!B1819</f>
        <v>45664</v>
      </c>
      <c r="C1819" s="0" t="str">
        <f aca="false">Chase1168_2025!C1819</f>
        <v>PP*APPLE.COM/BILL 800-275-2273 CA            01/07</v>
      </c>
      <c r="D1819" s="7" t="n">
        <f aca="false">Chase1168_2025!D1819</f>
        <v>-139.99</v>
      </c>
      <c r="E1819" s="0" t="str">
        <f aca="false">Chase1168_2025!E1819</f>
        <v>DEBIT_CARD</v>
      </c>
      <c r="F1819" s="7" t="n">
        <f aca="false">Chase1168_2025!F1819</f>
        <v>49290.44</v>
      </c>
      <c r="G1819" s="0" t="str">
        <f aca="false">Chase1168_2025!G1819</f>
        <v>Personal - Subscriptions</v>
      </c>
      <c r="H1819" s="15" t="n">
        <f aca="false">IF($B1819="","",DATE(YEAR($B1819),MONTH($B1819),1))</f>
        <v>45658</v>
      </c>
      <c r="I1819" s="0" t="str">
        <f aca="false">IF($G1819="","Uncategorized — Review",IFERROR(INDEX(Mapping!$B:$B,MATCH($G1819,Mapping!$A:$A,0)),"Uncategorized — Review"))</f>
        <v>Personal - Subscriptions</v>
      </c>
      <c r="J1819" s="0" t="str">
        <f aca="false">IF($G1819="","Uncategorized — Review",IFERROR(INDEX(Mapping!$C:$C,MATCH($G1819,Mapping!$A:$A,0)),"Uncategorized — Review"))</f>
        <v>Personal — Owner</v>
      </c>
    </row>
    <row r="1820" customFormat="false" ht="15" hidden="false" customHeight="false" outlineLevel="0" collapsed="false">
      <c r="A1820" s="0" t="str">
        <f aca="false">Chase1168_2025!A1820</f>
        <v>CHECK</v>
      </c>
      <c r="B1820" s="14" t="n">
        <f aca="false">Chase1168_2025!B1820</f>
        <v>45663</v>
      </c>
      <c r="C1820" s="0" t="str">
        <f aca="false">Chase1168_2025!C1820</f>
        <v>CHECK 284  01/06</v>
      </c>
      <c r="D1820" s="7" t="n">
        <f aca="false">Chase1168_2025!D1820</f>
        <v>-1500</v>
      </c>
      <c r="E1820" s="0" t="str">
        <f aca="false">Chase1168_2025!E1820</f>
        <v>CHECK_PAID</v>
      </c>
      <c r="F1820" s="7" t="n">
        <f aca="false">Chase1168_2025!F1820</f>
        <v>49430.43</v>
      </c>
      <c r="G1820" s="0" t="str">
        <f aca="false">Chase1168_2025!G1820</f>
        <v>Check - TBD</v>
      </c>
      <c r="H1820" s="15" t="n">
        <f aca="false">IF($B1820="","",DATE(YEAR($B1820),MONTH($B1820),1))</f>
        <v>45658</v>
      </c>
      <c r="I1820" s="0" t="str">
        <f aca="false">IF($G1820="","Uncategorized — Review",IFERROR(INDEX(Mapping!$B:$B,MATCH($G1820,Mapping!$A:$A,0)),"Uncategorized — Review"))</f>
        <v>Check - TBD</v>
      </c>
      <c r="J1820" s="0" t="str">
        <f aca="false">IF($G1820="","Uncategorized — Review",IFERROR(INDEX(Mapping!$C:$C,MATCH($G1820,Mapping!$A:$A,0)),"Uncategorized — Review"))</f>
        <v>Uncategorized — Review</v>
      </c>
    </row>
    <row r="1821" customFormat="false" ht="15" hidden="false" customHeight="false" outlineLevel="0" collapsed="false">
      <c r="A1821" s="0" t="str">
        <f aca="false">Chase1168_2025!A1821</f>
        <v>DEBIT</v>
      </c>
      <c r="B1821" s="14" t="n">
        <f aca="false">Chase1168_2025!B1821</f>
        <v>45663</v>
      </c>
      <c r="C1821" s="0" t="str">
        <f aca="false">Chase1168_2025!C1821</f>
        <v>ORIG CO NAME:BLUESHIELDCA           ORIG ID:7529219311 DESC DATE:250103 CO ENTRY DESCR:BILL PAY  SEC:CCD    TRACE#:031101110193754 EED:250106   IND ID:15639336851                  IND NAME:ANGELA DUNNING TRN: 0060193754TC</v>
      </c>
      <c r="D1821" s="7" t="n">
        <f aca="false">Chase1168_2025!D1821</f>
        <v>-1262.59</v>
      </c>
      <c r="E1821" s="0" t="str">
        <f aca="false">Chase1168_2025!E1821</f>
        <v>ACH_DEBIT</v>
      </c>
      <c r="F1821" s="7" t="n">
        <f aca="false">Chase1168_2025!F1821</f>
        <v>50930.43</v>
      </c>
      <c r="G1821" s="0" t="str">
        <f aca="false">Chase1168_2025!G1821</f>
        <v>Personal - Health Insurance</v>
      </c>
      <c r="H1821" s="15" t="n">
        <f aca="false">IF($B1821="","",DATE(YEAR($B1821),MONTH($B1821),1))</f>
        <v>45658</v>
      </c>
      <c r="I1821" s="0" t="str">
        <f aca="false">IF($G1821="","Uncategorized — Review",IFERROR(INDEX(Mapping!$B:$B,MATCH($G1821,Mapping!$A:$A,0)),"Uncategorized — Review"))</f>
        <v>Personal - Health (incl. Ins.)</v>
      </c>
      <c r="J1821" s="0" t="str">
        <f aca="false">IF($G1821="","Uncategorized — Review",IFERROR(INDEX(Mapping!$C:$C,MATCH($G1821,Mapping!$A:$A,0)),"Uncategorized — Review"))</f>
        <v>Personal — Owner</v>
      </c>
    </row>
    <row r="1822" customFormat="false" ht="15" hidden="false" customHeight="false" outlineLevel="0" collapsed="false">
      <c r="A1822" s="0" t="str">
        <f aca="false">Chase1168_2025!A1822</f>
        <v>DEBIT</v>
      </c>
      <c r="B1822" s="14" t="n">
        <f aca="false">Chase1168_2025!B1822</f>
        <v>45663</v>
      </c>
      <c r="C1822" s="0" t="str">
        <f aca="false">Chase1168_2025!C1822</f>
        <v>PP*APPLE.COM/BILL 800-275-2273 CA            01/05</v>
      </c>
      <c r="D1822" s="7" t="n">
        <f aca="false">Chase1168_2025!D1822</f>
        <v>-8.99</v>
      </c>
      <c r="E1822" s="0" t="str">
        <f aca="false">Chase1168_2025!E1822</f>
        <v>DEBIT_CARD</v>
      </c>
      <c r="F1822" s="7" t="n">
        <f aca="false">Chase1168_2025!F1822</f>
        <v>52193.02</v>
      </c>
      <c r="G1822" s="0" t="str">
        <f aca="false">Chase1168_2025!G1822</f>
        <v>Personal - Subscriptions</v>
      </c>
      <c r="H1822" s="15" t="n">
        <f aca="false">IF($B1822="","",DATE(YEAR($B1822),MONTH($B1822),1))</f>
        <v>45658</v>
      </c>
      <c r="I1822" s="0" t="str">
        <f aca="false">IF($G1822="","Uncategorized — Review",IFERROR(INDEX(Mapping!$B:$B,MATCH($G1822,Mapping!$A:$A,0)),"Uncategorized — Review"))</f>
        <v>Personal - Subscriptions</v>
      </c>
      <c r="J1822" s="0" t="str">
        <f aca="false">IF($G1822="","Uncategorized — Review",IFERROR(INDEX(Mapping!$C:$C,MATCH($G1822,Mapping!$A:$A,0)),"Uncategorized — Review"))</f>
        <v>Personal — Owner</v>
      </c>
    </row>
    <row r="1823" customFormat="false" ht="15" hidden="false" customHeight="false" outlineLevel="0" collapsed="false">
      <c r="A1823" s="0" t="str">
        <f aca="false">Chase1168_2025!A1823</f>
        <v>DEBIT</v>
      </c>
      <c r="B1823" s="14" t="n">
        <f aca="false">Chase1168_2025!B1823</f>
        <v>45663</v>
      </c>
      <c r="C1823" s="0" t="str">
        <f aca="false">Chase1168_2025!C1823</f>
        <v>2418 AMC AMC MARINA MARINA DEL RE CA         01/04</v>
      </c>
      <c r="D1823" s="7" t="n">
        <f aca="false">Chase1168_2025!D1823</f>
        <v>-7.11</v>
      </c>
      <c r="E1823" s="0" t="str">
        <f aca="false">Chase1168_2025!E1823</f>
        <v>DEBIT_CARD</v>
      </c>
      <c r="F1823" s="7" t="n">
        <f aca="false">Chase1168_2025!F1823</f>
        <v>52202.01</v>
      </c>
      <c r="G1823" s="0" t="str">
        <f aca="false">Chase1168_2025!G1823</f>
        <v>Personal - Entertainment</v>
      </c>
      <c r="H1823" s="15" t="n">
        <f aca="false">IF($B1823="","",DATE(YEAR($B1823),MONTH($B1823),1))</f>
        <v>45658</v>
      </c>
      <c r="I1823" s="0" t="str">
        <f aca="false">IF($G1823="","Uncategorized — Review",IFERROR(INDEX(Mapping!$B:$B,MATCH($G1823,Mapping!$A:$A,0)),"Uncategorized — Review"))</f>
        <v>Personal - Entertainment</v>
      </c>
      <c r="J1823" s="0" t="str">
        <f aca="false">IF($G1823="","Uncategorized — Review",IFERROR(INDEX(Mapping!$C:$C,MATCH($G1823,Mapping!$A:$A,0)),"Uncategorized — Review"))</f>
        <v>Personal — Owner</v>
      </c>
    </row>
    <row r="1824" customFormat="false" ht="15" hidden="false" customHeight="false" outlineLevel="0" collapsed="false">
      <c r="A1824" s="0" t="str">
        <f aca="false">Chase1168_2025!A1824</f>
        <v>DEBIT</v>
      </c>
      <c r="B1824" s="14" t="n">
        <f aca="false">Chase1168_2025!B1824</f>
        <v>45663</v>
      </c>
      <c r="C1824" s="0" t="str">
        <f aca="false">Chase1168_2025!C1824</f>
        <v>2418 AMC AMC MARINA MARINA DEL RE CA         01/04</v>
      </c>
      <c r="D1824" s="7" t="n">
        <f aca="false">Chase1168_2025!D1824</f>
        <v>-11.08</v>
      </c>
      <c r="E1824" s="0" t="str">
        <f aca="false">Chase1168_2025!E1824</f>
        <v>DEBIT_CARD</v>
      </c>
      <c r="F1824" s="7" t="n">
        <f aca="false">Chase1168_2025!F1824</f>
        <v>52209.12</v>
      </c>
      <c r="G1824" s="0" t="str">
        <f aca="false">Chase1168_2025!G1824</f>
        <v>Personal - Entertainment</v>
      </c>
      <c r="H1824" s="15" t="n">
        <f aca="false">IF($B1824="","",DATE(YEAR($B1824),MONTH($B1824),1))</f>
        <v>45658</v>
      </c>
      <c r="I1824" s="0" t="str">
        <f aca="false">IF($G1824="","Uncategorized — Review",IFERROR(INDEX(Mapping!$B:$B,MATCH($G1824,Mapping!$A:$A,0)),"Uncategorized — Review"))</f>
        <v>Personal - Entertainment</v>
      </c>
      <c r="J1824" s="0" t="str">
        <f aca="false">IF($G1824="","Uncategorized — Review",IFERROR(INDEX(Mapping!$C:$C,MATCH($G1824,Mapping!$A:$A,0)),"Uncategorized — Review"))</f>
        <v>Personal — Owner</v>
      </c>
    </row>
    <row r="1825" customFormat="false" ht="15" hidden="false" customHeight="false" outlineLevel="0" collapsed="false">
      <c r="A1825" s="0" t="str">
        <f aca="false">Chase1168_2025!A1825</f>
        <v>DEBIT</v>
      </c>
      <c r="B1825" s="14" t="n">
        <f aca="false">Chase1168_2025!B1825</f>
        <v>45663</v>
      </c>
      <c r="C1825" s="0" t="str">
        <f aca="false">Chase1168_2025!C1825</f>
        <v>PP*APPLE.COM/BILL 800-275-2273 CA            01/04</v>
      </c>
      <c r="D1825" s="7" t="n">
        <f aca="false">Chase1168_2025!D1825</f>
        <v>-5</v>
      </c>
      <c r="E1825" s="0" t="str">
        <f aca="false">Chase1168_2025!E1825</f>
        <v>DEBIT_CARD</v>
      </c>
      <c r="F1825" s="7" t="n">
        <f aca="false">Chase1168_2025!F1825</f>
        <v>52220.2</v>
      </c>
      <c r="G1825" s="0" t="str">
        <f aca="false">Chase1168_2025!G1825</f>
        <v>Personal - Subscriptions</v>
      </c>
      <c r="H1825" s="15" t="n">
        <f aca="false">IF($B1825="","",DATE(YEAR($B1825),MONTH($B1825),1))</f>
        <v>45658</v>
      </c>
      <c r="I1825" s="0" t="str">
        <f aca="false">IF($G1825="","Uncategorized — Review",IFERROR(INDEX(Mapping!$B:$B,MATCH($G1825,Mapping!$A:$A,0)),"Uncategorized — Review"))</f>
        <v>Personal - Subscriptions</v>
      </c>
      <c r="J1825" s="0" t="str">
        <f aca="false">IF($G1825="","Uncategorized — Review",IFERROR(INDEX(Mapping!$C:$C,MATCH($G1825,Mapping!$A:$A,0)),"Uncategorized — Review"))</f>
        <v>Personal — Owner</v>
      </c>
    </row>
    <row r="1826" customFormat="false" ht="15" hidden="false" customHeight="false" outlineLevel="0" collapsed="false">
      <c r="A1826" s="0" t="str">
        <f aca="false">Chase1168_2025!A1826</f>
        <v>DEBIT</v>
      </c>
      <c r="B1826" s="14" t="n">
        <f aca="false">Chase1168_2025!B1826</f>
        <v>45663</v>
      </c>
      <c r="C1826" s="0" t="str">
        <f aca="false">Chase1168_2025!C1826</f>
        <v>SQ *ALANA'S COFFEE ROA Los Angeles CA        01/03</v>
      </c>
      <c r="D1826" s="7" t="n">
        <f aca="false">Chase1168_2025!D1826</f>
        <v>-19.84</v>
      </c>
      <c r="E1826" s="0" t="str">
        <f aca="false">Chase1168_2025!E1826</f>
        <v>DEBIT_CARD</v>
      </c>
      <c r="F1826" s="7" t="n">
        <f aca="false">Chase1168_2025!F1826</f>
        <v>52225.2</v>
      </c>
      <c r="G1826" s="0" t="str">
        <f aca="false">Chase1168_2025!G1826</f>
        <v>Personal - Food</v>
      </c>
      <c r="H1826" s="15" t="n">
        <f aca="false">IF($B1826="","",DATE(YEAR($B1826),MONTH($B1826),1))</f>
        <v>45658</v>
      </c>
      <c r="I1826" s="0" t="str">
        <f aca="false">IF($G1826="","Uncategorized — Review",IFERROR(INDEX(Mapping!$B:$B,MATCH($G1826,Mapping!$A:$A,0)),"Uncategorized — Review"))</f>
        <v>Personal - Food &amp; Dining</v>
      </c>
      <c r="J1826" s="0" t="str">
        <f aca="false">IF($G1826="","Uncategorized — Review",IFERROR(INDEX(Mapping!$C:$C,MATCH($G1826,Mapping!$A:$A,0)),"Uncategorized — Review"))</f>
        <v>Personal — Owner</v>
      </c>
    </row>
    <row r="1827" customFormat="false" ht="15" hidden="false" customHeight="false" outlineLevel="0" collapsed="false">
      <c r="A1827" s="0" t="str">
        <f aca="false">Chase1168_2025!A1827</f>
        <v>DEBIT</v>
      </c>
      <c r="B1827" s="14" t="n">
        <f aca="false">Chase1168_2025!B1827</f>
        <v>45663</v>
      </c>
      <c r="C1827" s="0" t="str">
        <f aca="false">Chase1168_2025!C1827</f>
        <v>PAYPAL *SANDYPR COM 402-935-7733 CA          01/03</v>
      </c>
      <c r="D1827" s="7" t="n">
        <f aca="false">Chase1168_2025!D1827</f>
        <v>-300</v>
      </c>
      <c r="E1827" s="0" t="str">
        <f aca="false">Chase1168_2025!E1827</f>
        <v>DEBIT_CARD</v>
      </c>
      <c r="F1827" s="7" t="n">
        <f aca="false">Chase1168_2025!F1827</f>
        <v>52245.04</v>
      </c>
      <c r="G1827" s="0" t="str">
        <f aca="false">Chase1168_2025!G1827</f>
        <v>Sandy PR Payment</v>
      </c>
      <c r="H1827" s="15" t="n">
        <f aca="false">IF($B1827="","",DATE(YEAR($B1827),MONTH($B1827),1))</f>
        <v>45658</v>
      </c>
      <c r="I1827" s="0" t="str">
        <f aca="false">IF($G1827="","Uncategorized — Review",IFERROR(INDEX(Mapping!$B:$B,MATCH($G1827,Mapping!$A:$A,0)),"Uncategorized — Review"))</f>
        <v>Sandy PR Payment</v>
      </c>
      <c r="J1827" s="0" t="str">
        <f aca="false">IF($G1827="","Uncategorized — Review",IFERROR(INDEX(Mapping!$C:$C,MATCH($G1827,Mapping!$A:$A,0)),"Uncategorized — Review"))</f>
        <v>DWG Operating</v>
      </c>
    </row>
    <row r="1828" customFormat="false" ht="15" hidden="false" customHeight="false" outlineLevel="0" collapsed="false">
      <c r="A1828" s="0" t="str">
        <f aca="false">Chase1168_2025!A1828</f>
        <v>DEBIT</v>
      </c>
      <c r="B1828" s="14" t="n">
        <f aca="false">Chase1168_2025!B1828</f>
        <v>45663</v>
      </c>
      <c r="C1828" s="0" t="str">
        <f aca="false">Chase1168_2025!C1828</f>
        <v>PAYPAL *PRAGERUNIVE P 833-772-4378 CA        01/03</v>
      </c>
      <c r="D1828" s="7" t="n">
        <f aca="false">Chase1168_2025!D1828</f>
        <v>-10.78</v>
      </c>
      <c r="E1828" s="0" t="str">
        <f aca="false">Chase1168_2025!E1828</f>
        <v>DEBIT_CARD</v>
      </c>
      <c r="F1828" s="7" t="n">
        <f aca="false">Chase1168_2025!F1828</f>
        <v>52545.04</v>
      </c>
      <c r="G1828" s="0" t="str">
        <f aca="false">Chase1168_2025!G1828</f>
        <v>DWGCP Business Development</v>
      </c>
      <c r="H1828" s="15" t="n">
        <f aca="false">IF($B1828="","",DATE(YEAR($B1828),MONTH($B1828),1))</f>
        <v>45658</v>
      </c>
      <c r="I1828" s="0" t="str">
        <f aca="false">IF($G1828="","Uncategorized — Review",IFERROR(INDEX(Mapping!$B:$B,MATCH($G1828,Mapping!$A:$A,0)),"Uncategorized — Review"))</f>
        <v>DWGCP Business Development</v>
      </c>
      <c r="J1828" s="0" t="str">
        <f aca="false">IF($G1828="","Uncategorized — Review",IFERROR(INDEX(Mapping!$C:$C,MATCH($G1828,Mapping!$A:$A,0)),"Uncategorized — Review"))</f>
        <v>DWG Operating</v>
      </c>
    </row>
    <row r="1829" customFormat="false" ht="15" hidden="false" customHeight="false" outlineLevel="0" collapsed="false">
      <c r="A1829" s="0" t="str">
        <f aca="false">Chase1168_2025!A1829</f>
        <v>DEBIT</v>
      </c>
      <c r="B1829" s="14" t="n">
        <f aca="false">Chase1168_2025!B1829</f>
        <v>45663</v>
      </c>
      <c r="C1829" s="0" t="str">
        <f aca="false">Chase1168_2025!C1829</f>
        <v>PP*APPLE.COM/BILL 800-275-2273 CA            01/05</v>
      </c>
      <c r="D1829" s="7" t="n">
        <f aca="false">Chase1168_2025!D1829</f>
        <v>65.09</v>
      </c>
      <c r="E1829" s="0" t="str">
        <f aca="false">Chase1168_2025!E1829</f>
        <v>DEBIT_CARD</v>
      </c>
      <c r="F1829" s="7" t="n">
        <f aca="false">Chase1168_2025!F1829</f>
        <v>52555.82</v>
      </c>
      <c r="G1829" s="0" t="str">
        <f aca="false">Chase1168_2025!G1829</f>
        <v>Personal - Subscriptions</v>
      </c>
      <c r="H1829" s="15" t="n">
        <f aca="false">IF($B1829="","",DATE(YEAR($B1829),MONTH($B1829),1))</f>
        <v>45658</v>
      </c>
      <c r="I1829" s="0" t="str">
        <f aca="false">IF($G1829="","Uncategorized — Review",IFERROR(INDEX(Mapping!$B:$B,MATCH($G1829,Mapping!$A:$A,0)),"Uncategorized — Review"))</f>
        <v>Personal - Subscriptions</v>
      </c>
      <c r="J1829" s="0" t="str">
        <f aca="false">IF($G1829="","Uncategorized — Review",IFERROR(INDEX(Mapping!$C:$C,MATCH($G1829,Mapping!$A:$A,0)),"Uncategorized — Review"))</f>
        <v>Personal — Owner</v>
      </c>
    </row>
    <row r="1830" customFormat="false" ht="15" hidden="false" customHeight="false" outlineLevel="0" collapsed="false">
      <c r="A1830" s="0" t="str">
        <f aca="false">Chase1168_2025!A1830</f>
        <v>DEBIT</v>
      </c>
      <c r="B1830" s="14" t="n">
        <f aca="false">Chase1168_2025!B1830</f>
        <v>45660</v>
      </c>
      <c r="C1830" s="0" t="str">
        <f aca="false">Chase1168_2025!C1830</f>
        <v>Online Payment 23270632527 To PENTAGON FEDERAL CREDIT UNION 01/03</v>
      </c>
      <c r="D1830" s="7" t="n">
        <f aca="false">Chase1168_2025!D1830</f>
        <v>-7010</v>
      </c>
      <c r="E1830" s="0" t="str">
        <f aca="false">Chase1168_2025!E1830</f>
        <v>BILLPAY</v>
      </c>
      <c r="F1830" s="7" t="n">
        <f aca="false">Chase1168_2025!F1830</f>
        <v>52490.73</v>
      </c>
      <c r="G1830" s="0" t="str">
        <f aca="false">Chase1168_2025!G1830</f>
        <v>Personal - California Mortgage PMT</v>
      </c>
      <c r="H1830" s="15" t="n">
        <f aca="false">IF($B1830="","",DATE(YEAR($B1830),MONTH($B1830),1))</f>
        <v>45658</v>
      </c>
      <c r="I1830" s="0" t="str">
        <f aca="false">IF($G1830="","Uncategorized — Review",IFERROR(INDEX(Mapping!$B:$B,MATCH($G1830,Mapping!$A:$A,0)),"Uncategorized — Review"))</f>
        <v>Personal - California Mortgage PMT</v>
      </c>
      <c r="J1830" s="0" t="str">
        <f aca="false">IF($G1830="","Uncategorized — Review",IFERROR(INDEX(Mapping!$C:$C,MATCH($G1830,Mapping!$A:$A,0)),"Uncategorized — Review"))</f>
        <v>Personal — Owner</v>
      </c>
    </row>
    <row r="1831" customFormat="false" ht="15" hidden="false" customHeight="false" outlineLevel="0" collapsed="false">
      <c r="A1831" s="0" t="str">
        <f aca="false">Chase1168_2025!A1831</f>
        <v>DEBIT</v>
      </c>
      <c r="B1831" s="14" t="n">
        <f aca="false">Chase1168_2025!B1831</f>
        <v>45660</v>
      </c>
      <c r="C1831" s="0" t="str">
        <f aca="false">Chase1168_2025!C1831</f>
        <v>Online Transfer to CHK ...1117 transaction#: 23270584350 01/03</v>
      </c>
      <c r="D1831" s="7" t="n">
        <f aca="false">Chase1168_2025!D1831</f>
        <v>-5000</v>
      </c>
      <c r="E1831" s="0" t="str">
        <f aca="false">Chase1168_2025!E1831</f>
        <v>ACCT_XFER</v>
      </c>
      <c r="F1831" s="7" t="n">
        <f aca="false">Chase1168_2025!F1831</f>
        <v>59500.73</v>
      </c>
      <c r="G1831" s="0" t="str">
        <f aca="false">Chase1168_2025!G1831</f>
        <v>Transfer to Angela Dunning</v>
      </c>
      <c r="H1831" s="15" t="n">
        <f aca="false">IF($B1831="","",DATE(YEAR($B1831),MONTH($B1831),1))</f>
        <v>45658</v>
      </c>
      <c r="I1831" s="0" t="str">
        <f aca="false">IF($G1831="","Uncategorized — Review",IFERROR(INDEX(Mapping!$B:$B,MATCH($G1831,Mapping!$A:$A,0)),"Uncategorized — Review"))</f>
        <v>Transfer to Angela Dunning</v>
      </c>
      <c r="J1831" s="0" t="str">
        <f aca="false">IF($G1831="","Uncategorized — Review",IFERROR(INDEX(Mapping!$C:$C,MATCH($G1831,Mapping!$A:$A,0)),"Uncategorized — Review"))</f>
        <v>Owner / Family Distributions</v>
      </c>
    </row>
    <row r="1832" customFormat="false" ht="15" hidden="false" customHeight="false" outlineLevel="0" collapsed="false">
      <c r="A1832" s="0" t="str">
        <f aca="false">Chase1168_2025!A1832</f>
        <v>DEBIT</v>
      </c>
      <c r="B1832" s="14" t="n">
        <f aca="false">Chase1168_2025!B1832</f>
        <v>45660</v>
      </c>
      <c r="C1832" s="0" t="str">
        <f aca="false">Chase1168_2025!C1832</f>
        <v>PP*APPLE.COM/BILL 800-275-2273 CA            01/03</v>
      </c>
      <c r="D1832" s="7" t="n">
        <f aca="false">Chase1168_2025!D1832</f>
        <v>-29.99</v>
      </c>
      <c r="E1832" s="0" t="str">
        <f aca="false">Chase1168_2025!E1832</f>
        <v>DEBIT_CARD</v>
      </c>
      <c r="F1832" s="7" t="n">
        <f aca="false">Chase1168_2025!F1832</f>
        <v>64500.73</v>
      </c>
      <c r="G1832" s="0" t="str">
        <f aca="false">Chase1168_2025!G1832</f>
        <v>Personal - Subscriptions</v>
      </c>
      <c r="H1832" s="15" t="n">
        <f aca="false">IF($B1832="","",DATE(YEAR($B1832),MONTH($B1832),1))</f>
        <v>45658</v>
      </c>
      <c r="I1832" s="0" t="str">
        <f aca="false">IF($G1832="","Uncategorized — Review",IFERROR(INDEX(Mapping!$B:$B,MATCH($G1832,Mapping!$A:$A,0)),"Uncategorized — Review"))</f>
        <v>Personal - Subscriptions</v>
      </c>
      <c r="J1832" s="0" t="str">
        <f aca="false">IF($G1832="","Uncategorized — Review",IFERROR(INDEX(Mapping!$C:$C,MATCH($G1832,Mapping!$A:$A,0)),"Uncategorized — Review"))</f>
        <v>Personal — Owner</v>
      </c>
    </row>
    <row r="1833" customFormat="false" ht="15" hidden="false" customHeight="false" outlineLevel="0" collapsed="false">
      <c r="A1833" s="0" t="str">
        <f aca="false">Chase1168_2025!A1833</f>
        <v>DEBIT</v>
      </c>
      <c r="B1833" s="14" t="n">
        <f aca="false">Chase1168_2025!B1833</f>
        <v>45660</v>
      </c>
      <c r="C1833" s="0" t="str">
        <f aca="false">Chase1168_2025!C1833</f>
        <v>PP*APPLE.COM/BILL 800-275-2273 CA            01/03</v>
      </c>
      <c r="D1833" s="7" t="n">
        <f aca="false">Chase1168_2025!D1833</f>
        <v>-12.99</v>
      </c>
      <c r="E1833" s="0" t="str">
        <f aca="false">Chase1168_2025!E1833</f>
        <v>DEBIT_CARD</v>
      </c>
      <c r="F1833" s="7" t="n">
        <f aca="false">Chase1168_2025!F1833</f>
        <v>64530.72</v>
      </c>
      <c r="G1833" s="0" t="str">
        <f aca="false">Chase1168_2025!G1833</f>
        <v>Personal - Subscriptions</v>
      </c>
      <c r="H1833" s="15" t="n">
        <f aca="false">IF($B1833="","",DATE(YEAR($B1833),MONTH($B1833),1))</f>
        <v>45658</v>
      </c>
      <c r="I1833" s="0" t="str">
        <f aca="false">IF($G1833="","Uncategorized — Review",IFERROR(INDEX(Mapping!$B:$B,MATCH($G1833,Mapping!$A:$A,0)),"Uncategorized — Review"))</f>
        <v>Personal - Subscriptions</v>
      </c>
      <c r="J1833" s="0" t="str">
        <f aca="false">IF($G1833="","Uncategorized — Review",IFERROR(INDEX(Mapping!$C:$C,MATCH($G1833,Mapping!$A:$A,0)),"Uncategorized — Review"))</f>
        <v>Personal — Owner</v>
      </c>
    </row>
    <row r="1834" customFormat="false" ht="15" hidden="false" customHeight="false" outlineLevel="0" collapsed="false">
      <c r="A1834" s="0" t="str">
        <f aca="false">Chase1168_2025!A1834</f>
        <v>DEBIT</v>
      </c>
      <c r="B1834" s="14" t="n">
        <f aca="false">Chase1168_2025!B1834</f>
        <v>45660</v>
      </c>
      <c r="C1834" s="0" t="str">
        <f aca="false">Chase1168_2025!C1834</f>
        <v>PAYPAL *DIRECTV 800-531-5000 TX              01/02</v>
      </c>
      <c r="D1834" s="7" t="n">
        <f aca="false">Chase1168_2025!D1834</f>
        <v>-101.99</v>
      </c>
      <c r="E1834" s="0" t="str">
        <f aca="false">Chase1168_2025!E1834</f>
        <v>DEBIT_CARD</v>
      </c>
      <c r="F1834" s="7" t="n">
        <f aca="false">Chase1168_2025!F1834</f>
        <v>64543.71</v>
      </c>
      <c r="G1834" s="0" t="str">
        <f aca="false">Chase1168_2025!G1834</f>
        <v>Personal - Subscriptions</v>
      </c>
      <c r="H1834" s="15" t="n">
        <f aca="false">IF($B1834="","",DATE(YEAR($B1834),MONTH($B1834),1))</f>
        <v>45658</v>
      </c>
      <c r="I1834" s="0" t="str">
        <f aca="false">IF($G1834="","Uncategorized — Review",IFERROR(INDEX(Mapping!$B:$B,MATCH($G1834,Mapping!$A:$A,0)),"Uncategorized — Review"))</f>
        <v>Personal - Subscriptions</v>
      </c>
      <c r="J1834" s="0" t="str">
        <f aca="false">IF($G1834="","Uncategorized — Review",IFERROR(INDEX(Mapping!$C:$C,MATCH($G1834,Mapping!$A:$A,0)),"Uncategorized — Review"))</f>
        <v>Personal — Owner</v>
      </c>
    </row>
    <row r="1835" customFormat="false" ht="15" hidden="false" customHeight="false" outlineLevel="0" collapsed="false">
      <c r="A1835" s="0" t="str">
        <f aca="false">Chase1168_2025!A1835</f>
        <v>DEBIT</v>
      </c>
      <c r="B1835" s="14" t="n">
        <f aca="false">Chase1168_2025!B1835</f>
        <v>45660</v>
      </c>
      <c r="C1835" s="0" t="str">
        <f aca="false">Chase1168_2025!C1835</f>
        <v>LOS ANGELES INTERNATIO LOS ANGELES CA        01/02</v>
      </c>
      <c r="D1835" s="7" t="n">
        <f aca="false">Chase1168_2025!D1835</f>
        <v>-8</v>
      </c>
      <c r="E1835" s="0" t="str">
        <f aca="false">Chase1168_2025!E1835</f>
        <v>DEBIT_CARD</v>
      </c>
      <c r="F1835" s="7" t="n">
        <f aca="false">Chase1168_2025!F1835</f>
        <v>64645.7</v>
      </c>
      <c r="G1835" s="0" t="str">
        <f aca="false">Chase1168_2025!G1835</f>
        <v>Travel</v>
      </c>
      <c r="H1835" s="15" t="n">
        <f aca="false">IF($B1835="","",DATE(YEAR($B1835),MONTH($B1835),1))</f>
        <v>45658</v>
      </c>
      <c r="I1835" s="0" t="str">
        <f aca="false">IF($G1835="","Uncategorized — Review",IFERROR(INDEX(Mapping!$B:$B,MATCH($G1835,Mapping!$A:$A,0)),"Uncategorized — Review"))</f>
        <v>Travel</v>
      </c>
      <c r="J1835" s="0" t="str">
        <f aca="false">IF($G1835="","Uncategorized — Review",IFERROR(INDEX(Mapping!$C:$C,MATCH($G1835,Mapping!$A:$A,0)),"Uncategorized — Review"))</f>
        <v>Business Travel</v>
      </c>
    </row>
    <row r="1836" customFormat="false" ht="15" hidden="false" customHeight="false" outlineLevel="0" collapsed="false">
      <c r="A1836" s="0" t="str">
        <f aca="false">Chase1168_2025!A1836</f>
        <v>DEBIT</v>
      </c>
      <c r="B1836" s="14" t="n">
        <f aca="false">Chase1168_2025!B1836</f>
        <v>45660</v>
      </c>
      <c r="C1836" s="0" t="str">
        <f aca="false">Chase1168_2025!C1836</f>
        <v>PAYPAL *QUICKEN INC 650-250-1900 CA          01/03</v>
      </c>
      <c r="D1836" s="7" t="n">
        <f aca="false">Chase1168_2025!D1836</f>
        <v>-131.88</v>
      </c>
      <c r="E1836" s="0" t="str">
        <f aca="false">Chase1168_2025!E1836</f>
        <v>DEBIT_CARD</v>
      </c>
      <c r="F1836" s="7" t="n">
        <f aca="false">Chase1168_2025!F1836</f>
        <v>64653.7</v>
      </c>
      <c r="G1836" s="0" t="str">
        <f aca="false">Chase1168_2025!G1836</f>
        <v>Software/Accounting</v>
      </c>
      <c r="H1836" s="15" t="n">
        <f aca="false">IF($B1836="","",DATE(YEAR($B1836),MONTH($B1836),1))</f>
        <v>45658</v>
      </c>
      <c r="I1836" s="0" t="str">
        <f aca="false">IF($G1836="","Uncategorized — Review",IFERROR(INDEX(Mapping!$B:$B,MATCH($G1836,Mapping!$A:$A,0)),"Uncategorized — Review"))</f>
        <v>Software/Accounting</v>
      </c>
      <c r="J1836" s="0" t="str">
        <f aca="false">IF($G1836="","Uncategorized — Review",IFERROR(INDEX(Mapping!$C:$C,MATCH($G1836,Mapping!$A:$A,0)),"Uncategorized — Review"))</f>
        <v>DWG Operating</v>
      </c>
    </row>
    <row r="1837" customFormat="false" ht="15" hidden="false" customHeight="false" outlineLevel="0" collapsed="false">
      <c r="A1837" s="0" t="str">
        <f aca="false">Chase1168_2025!A1837</f>
        <v>DEBIT</v>
      </c>
      <c r="B1837" s="14" t="n">
        <f aca="false">Chase1168_2025!B1837</f>
        <v>45659</v>
      </c>
      <c r="C1837" s="0" t="str">
        <f aca="false">Chase1168_2025!C1837</f>
        <v>RTP/Same Day - Low Value</v>
      </c>
      <c r="D1837" s="7" t="n">
        <f aca="false">Chase1168_2025!D1837</f>
        <v>-15</v>
      </c>
      <c r="E1837" s="0" t="str">
        <f aca="false">Chase1168_2025!E1837</f>
        <v>FEE_TRANSACTION</v>
      </c>
      <c r="F1837" s="7" t="n">
        <f aca="false">Chase1168_2025!F1837</f>
        <v>64785.58</v>
      </c>
      <c r="G1837" s="0" t="str">
        <f aca="false">Chase1168_2025!G1837</f>
        <v>Bank Fee</v>
      </c>
      <c r="H1837" s="15" t="n">
        <f aca="false">IF($B1837="","",DATE(YEAR($B1837),MONTH($B1837),1))</f>
        <v>45658</v>
      </c>
      <c r="I1837" s="0" t="str">
        <f aca="false">IF($G1837="","Uncategorized — Review",IFERROR(INDEX(Mapping!$B:$B,MATCH($G1837,Mapping!$A:$A,0)),"Uncategorized — Review"))</f>
        <v>Bank &amp; Wire Fees</v>
      </c>
      <c r="J1837" s="0" t="str">
        <f aca="false">IF($G1837="","Uncategorized — Review",IFERROR(INDEX(Mapping!$C:$C,MATCH($G1837,Mapping!$A:$A,0)),"Uncategorized — Review"))</f>
        <v>DWG Operating</v>
      </c>
    </row>
    <row r="1838" customFormat="false" ht="15" hidden="false" customHeight="false" outlineLevel="0" collapsed="false">
      <c r="A1838" s="0" t="str">
        <f aca="false">Chase1168_2025!A1838</f>
        <v>DEBIT</v>
      </c>
      <c r="B1838" s="14" t="n">
        <f aca="false">Chase1168_2025!B1838</f>
        <v>45659</v>
      </c>
      <c r="C1838" s="0" t="str">
        <f aca="false">Chase1168_2025!C1838</f>
        <v>FOREIGN EXCHANGE RATE ADJUSTMENT FEE         01/01TSESHAHT</v>
      </c>
      <c r="D1838" s="7" t="n">
        <f aca="false">Chase1168_2025!D1838</f>
        <v>-2.68</v>
      </c>
      <c r="E1838" s="0" t="str">
        <f aca="false">Chase1168_2025!E1838</f>
        <v>FEE_TRANSACTION</v>
      </c>
      <c r="F1838" s="7" t="n">
        <f aca="false">Chase1168_2025!F1838</f>
        <v>64800.58</v>
      </c>
      <c r="G1838" s="0" t="str">
        <f aca="false">Chase1168_2025!G1838</f>
        <v>Bank Fee</v>
      </c>
      <c r="H1838" s="15" t="n">
        <f aca="false">IF($B1838="","",DATE(YEAR($B1838),MONTH($B1838),1))</f>
        <v>45658</v>
      </c>
      <c r="I1838" s="0" t="str">
        <f aca="false">IF($G1838="","Uncategorized — Review",IFERROR(INDEX(Mapping!$B:$B,MATCH($G1838,Mapping!$A:$A,0)),"Uncategorized — Review"))</f>
        <v>Bank &amp; Wire Fees</v>
      </c>
      <c r="J1838" s="0" t="str">
        <f aca="false">IF($G1838="","Uncategorized — Review",IFERROR(INDEX(Mapping!$C:$C,MATCH($G1838,Mapping!$A:$A,0)),"Uncategorized — Review"))</f>
        <v>DWG Operating</v>
      </c>
    </row>
    <row r="1839" customFormat="false" ht="15" hidden="false" customHeight="false" outlineLevel="0" collapsed="false">
      <c r="A1839" s="0" t="str">
        <f aca="false">Chase1168_2025!A1839</f>
        <v>DEBIT</v>
      </c>
      <c r="B1839" s="14" t="n">
        <f aca="false">Chase1168_2025!B1839</f>
        <v>45659</v>
      </c>
      <c r="C1839" s="0" t="str">
        <f aca="false">Chase1168_2025!C1839</f>
        <v>DOMESTIC INCOMING WIRE FEE</v>
      </c>
      <c r="D1839" s="7" t="n">
        <f aca="false">Chase1168_2025!D1839</f>
        <v>-15</v>
      </c>
      <c r="E1839" s="0" t="str">
        <f aca="false">Chase1168_2025!E1839</f>
        <v>FEE_TRANSACTION</v>
      </c>
      <c r="F1839" s="7" t="n">
        <f aca="false">Chase1168_2025!F1839</f>
        <v>64803.26</v>
      </c>
      <c r="G1839" s="0" t="str">
        <f aca="false">Chase1168_2025!G1839</f>
        <v>Bank Fee</v>
      </c>
      <c r="H1839" s="15" t="n">
        <f aca="false">IF($B1839="","",DATE(YEAR($B1839),MONTH($B1839),1))</f>
        <v>45658</v>
      </c>
      <c r="I1839" s="0" t="str">
        <f aca="false">IF($G1839="","Uncategorized — Review",IFERROR(INDEX(Mapping!$B:$B,MATCH($G1839,Mapping!$A:$A,0)),"Uncategorized — Review"))</f>
        <v>Bank &amp; Wire Fees</v>
      </c>
      <c r="J1839" s="0" t="str">
        <f aca="false">IF($G1839="","Uncategorized — Review",IFERROR(INDEX(Mapping!$C:$C,MATCH($G1839,Mapping!$A:$A,0)),"Uncategorized — Review"))</f>
        <v>DWG Operating</v>
      </c>
    </row>
    <row r="1840" customFormat="false" ht="15" hidden="false" customHeight="false" outlineLevel="0" collapsed="false">
      <c r="A1840" s="0" t="str">
        <f aca="false">Chase1168_2025!A1840</f>
        <v>DEBIT</v>
      </c>
      <c r="B1840" s="14" t="n">
        <f aca="false">Chase1168_2025!B1840</f>
        <v>45659</v>
      </c>
      <c r="C1840" s="0" t="str">
        <f aca="false">Chase1168_2025!C1840</f>
        <v>STANDARD ACH PMNTS INITIAL FEE QTY = 7</v>
      </c>
      <c r="D1840" s="7" t="n">
        <f aca="false">Chase1168_2025!D1840</f>
        <v>-17.5</v>
      </c>
      <c r="E1840" s="0" t="str">
        <f aca="false">Chase1168_2025!E1840</f>
        <v>FEE_TRANSACTION</v>
      </c>
      <c r="F1840" s="7" t="n">
        <f aca="false">Chase1168_2025!F1840</f>
        <v>64818.26</v>
      </c>
      <c r="G1840" s="0" t="str">
        <f aca="false">Chase1168_2025!G1840</f>
        <v>Bank Fee</v>
      </c>
      <c r="H1840" s="15" t="n">
        <f aca="false">IF($B1840="","",DATE(YEAR($B1840),MONTH($B1840),1))</f>
        <v>45658</v>
      </c>
      <c r="I1840" s="0" t="str">
        <f aca="false">IF($G1840="","Uncategorized — Review",IFERROR(INDEX(Mapping!$B:$B,MATCH($G1840,Mapping!$A:$A,0)),"Uncategorized — Review"))</f>
        <v>Bank &amp; Wire Fees</v>
      </c>
      <c r="J1840" s="0" t="str">
        <f aca="false">IF($G1840="","Uncategorized — Review",IFERROR(INDEX(Mapping!$C:$C,MATCH($G1840,Mapping!$A:$A,0)),"Uncategorized — Review"))</f>
        <v>DWG Operating</v>
      </c>
    </row>
    <row r="1841" customFormat="false" ht="15" hidden="false" customHeight="false" outlineLevel="0" collapsed="false">
      <c r="A1841" s="0" t="str">
        <f aca="false">Chase1168_2025!A1841</f>
        <v>DEBIT</v>
      </c>
      <c r="B1841" s="14" t="n">
        <f aca="false">Chase1168_2025!B1841</f>
        <v>45659</v>
      </c>
      <c r="C1841" s="0" t="str">
        <f aca="false">Chase1168_2025!C1841</f>
        <v>ONLINE US DOLLAR INTL WIRE FEE</v>
      </c>
      <c r="D1841" s="7" t="n">
        <f aca="false">Chase1168_2025!D1841</f>
        <v>-40</v>
      </c>
      <c r="E1841" s="0" t="str">
        <f aca="false">Chase1168_2025!E1841</f>
        <v>FEE_TRANSACTION</v>
      </c>
      <c r="F1841" s="7" t="n">
        <f aca="false">Chase1168_2025!F1841</f>
        <v>64835.76</v>
      </c>
      <c r="G1841" s="0" t="str">
        <f aca="false">Chase1168_2025!G1841</f>
        <v>Bank Fee</v>
      </c>
      <c r="H1841" s="15" t="n">
        <f aca="false">IF($B1841="","",DATE(YEAR($B1841),MONTH($B1841),1))</f>
        <v>45658</v>
      </c>
      <c r="I1841" s="0" t="str">
        <f aca="false">IF($G1841="","Uncategorized — Review",IFERROR(INDEX(Mapping!$B:$B,MATCH($G1841,Mapping!$A:$A,0)),"Uncategorized — Review"))</f>
        <v>Bank &amp; Wire Fees</v>
      </c>
      <c r="J1841" s="0" t="str">
        <f aca="false">IF($G1841="","Uncategorized — Review",IFERROR(INDEX(Mapping!$C:$C,MATCH($G1841,Mapping!$A:$A,0)),"Uncategorized — Review"))</f>
        <v>DWG Operating</v>
      </c>
    </row>
    <row r="1842" customFormat="false" ht="15" hidden="false" customHeight="false" outlineLevel="0" collapsed="false">
      <c r="A1842" s="0" t="str">
        <f aca="false">Chase1168_2025!A1842</f>
        <v>CHECK</v>
      </c>
      <c r="B1842" s="14" t="n">
        <f aca="false">Chase1168_2025!B1842</f>
        <v>45659</v>
      </c>
      <c r="C1842" s="0" t="str">
        <f aca="false">Chase1168_2025!C1842</f>
        <v>CHECK 283  </v>
      </c>
      <c r="D1842" s="7" t="n">
        <f aca="false">Chase1168_2025!D1842</f>
        <v>-1000</v>
      </c>
      <c r="E1842" s="0" t="str">
        <f aca="false">Chase1168_2025!E1842</f>
        <v>CHECK_PAID</v>
      </c>
      <c r="F1842" s="7" t="n">
        <f aca="false">Chase1168_2025!F1842</f>
        <v>64875.76</v>
      </c>
      <c r="G1842" s="0" t="str">
        <f aca="false">Chase1168_2025!G1842</f>
        <v>Check - TBD</v>
      </c>
      <c r="H1842" s="15" t="n">
        <f aca="false">IF($B1842="","",DATE(YEAR($B1842),MONTH($B1842),1))</f>
        <v>45658</v>
      </c>
      <c r="I1842" s="0" t="str">
        <f aca="false">IF($G1842="","Uncategorized — Review",IFERROR(INDEX(Mapping!$B:$B,MATCH($G1842,Mapping!$A:$A,0)),"Uncategorized — Review"))</f>
        <v>Check - TBD</v>
      </c>
      <c r="J1842" s="0" t="str">
        <f aca="false">IF($G1842="","Uncategorized — Review",IFERROR(INDEX(Mapping!$C:$C,MATCH($G1842,Mapping!$A:$A,0)),"Uncategorized — Review"))</f>
        <v>Uncategorized — Review</v>
      </c>
    </row>
    <row r="1843" customFormat="false" ht="15" hidden="false" customHeight="false" outlineLevel="0" collapsed="false">
      <c r="A1843" s="0" t="str">
        <f aca="false">Chase1168_2025!A1843</f>
        <v>DEBIT</v>
      </c>
      <c r="B1843" s="14" t="n">
        <f aca="false">Chase1168_2025!B1843</f>
        <v>45659</v>
      </c>
      <c r="C1843" s="0" t="str">
        <f aca="false">Chase1168_2025!C1843</f>
        <v>Basic Online Payroll Payment 11153985731 to ######7939</v>
      </c>
      <c r="D1843" s="7" t="n">
        <f aca="false">Chase1168_2025!D1843</f>
        <v>-6000</v>
      </c>
      <c r="E1843" s="0" t="str">
        <f aca="false">Chase1168_2025!E1843</f>
        <v>BASIC_PAYROLL</v>
      </c>
      <c r="F1843" s="7" t="n">
        <f aca="false">Chase1168_2025!F1843</f>
        <v>65875.76</v>
      </c>
      <c r="G1843" s="0" t="str">
        <f aca="false">Chase1168_2025!G1843</f>
        <v>Ryan Billings - Payroll</v>
      </c>
      <c r="H1843" s="15" t="n">
        <f aca="false">IF($B1843="","",DATE(YEAR($B1843),MONTH($B1843),1))</f>
        <v>45658</v>
      </c>
      <c r="I1843" s="0" t="str">
        <f aca="false">IF($G1843="","Uncategorized — Review",IFERROR(INDEX(Mapping!$B:$B,MATCH($G1843,Mapping!$A:$A,0)),"Uncategorized — Review"))</f>
        <v>Ryan Billings - Payroll</v>
      </c>
      <c r="J1843" s="0" t="str">
        <f aca="false">IF($G1843="","Uncategorized — Review",IFERROR(INDEX(Mapping!$C:$C,MATCH($G1843,Mapping!$A:$A,0)),"Uncategorized — Review"))</f>
        <v>Payroll &amp; Contractors</v>
      </c>
    </row>
    <row r="1844" customFormat="false" ht="15" hidden="false" customHeight="false" outlineLevel="0" collapsed="false">
      <c r="A1844" s="0" t="str">
        <f aca="false">Chase1168_2025!A1844</f>
        <v>DEBIT</v>
      </c>
      <c r="B1844" s="14" t="n">
        <f aca="false">Chase1168_2025!B1844</f>
        <v>45659</v>
      </c>
      <c r="C1844" s="0" t="str">
        <f aca="false">Chase1168_2025!C1844</f>
        <v>ONLINE INTERNATIONAL WIRE TRANSFER A/C: BBVA COLOMBIA BOGOTA COLOMBIA 00000- CO REF: NOV AND DEC BONUSES TAXID1063308099/TEL573004049463/GIFT OR DONATION/I NT/SUADATDWG-RE.COM TRN: 3236395002ES 01/02</v>
      </c>
      <c r="D1844" s="7" t="n">
        <f aca="false">Chase1168_2025!D1844</f>
        <v>-1000</v>
      </c>
      <c r="E1844" s="0" t="str">
        <f aca="false">Chase1168_2025!E1844</f>
        <v>WIRE_OUTGOING</v>
      </c>
      <c r="F1844" s="7" t="n">
        <f aca="false">Chase1168_2025!F1844</f>
        <v>71875.76</v>
      </c>
      <c r="G1844" s="0" t="str">
        <f aca="false">Chase1168_2025!G1844</f>
        <v>Suad - Payroll</v>
      </c>
      <c r="H1844" s="15" t="n">
        <f aca="false">IF($B1844="","",DATE(YEAR($B1844),MONTH($B1844),1))</f>
        <v>45658</v>
      </c>
      <c r="I1844" s="0" t="str">
        <f aca="false">IF($G1844="","Uncategorized — Review",IFERROR(INDEX(Mapping!$B:$B,MATCH($G1844,Mapping!$A:$A,0)),"Uncategorized — Review"))</f>
        <v>Suad - Payroll</v>
      </c>
      <c r="J1844" s="0" t="str">
        <f aca="false">IF($G1844="","Uncategorized — Review",IFERROR(INDEX(Mapping!$C:$C,MATCH($G1844,Mapping!$A:$A,0)),"Uncategorized — Review"))</f>
        <v>Payroll &amp; Contractors</v>
      </c>
    </row>
    <row r="1845" customFormat="false" ht="15" hidden="false" customHeight="false" outlineLevel="0" collapsed="false">
      <c r="A1845" s="0" t="str">
        <f aca="false">Chase1168_2025!A1845</f>
        <v>DEBIT</v>
      </c>
      <c r="B1845" s="14" t="n">
        <f aca="false">Chase1168_2025!B1845</f>
        <v>45659</v>
      </c>
      <c r="C1845" s="0" t="str">
        <f aca="false">Chase1168_2025!C1845</f>
        <v>TSESHAHT MARKET LP PORT ALBERNI BC           01/01 CA DOLLAR  128.36 X 0.6975693 (EXCHG RTE)</v>
      </c>
      <c r="D1845" s="7" t="n">
        <f aca="false">Chase1168_2025!D1845</f>
        <v>-89.54</v>
      </c>
      <c r="E1845" s="0" t="str">
        <f aca="false">Chase1168_2025!E1845</f>
        <v>DEBIT_CARD</v>
      </c>
      <c r="F1845" s="7" t="n">
        <f aca="false">Chase1168_2025!F1845</f>
        <v>72875.76</v>
      </c>
      <c r="G1845" s="0" t="str">
        <f aca="false">Chase1168_2025!G1845</f>
        <v>2024/2025 Canada Trip</v>
      </c>
      <c r="H1845" s="15" t="n">
        <f aca="false">IF($B1845="","",DATE(YEAR($B1845),MONTH($B1845),1))</f>
        <v>45658</v>
      </c>
      <c r="I1845" s="0" t="str">
        <f aca="false">IF($G1845="","Uncategorized — Review",IFERROR(INDEX(Mapping!$B:$B,MATCH($G1845,Mapping!$A:$A,0)),"Uncategorized — Review"))</f>
        <v>2024/2025 Canada Trip</v>
      </c>
      <c r="J1845" s="0" t="str">
        <f aca="false">IF($G1845="","Uncategorized — Review",IFERROR(INDEX(Mapping!$C:$C,MATCH($G1845,Mapping!$A:$A,0)),"Uncategorized — Review"))</f>
        <v>Business Travel</v>
      </c>
    </row>
    <row r="1846" customFormat="false" ht="15" hidden="false" customHeight="false" outlineLevel="0" collapsed="false">
      <c r="A1846" s="0" t="str">
        <f aca="false">Chase1168_2025!A1846</f>
        <v>DEBIT</v>
      </c>
      <c r="B1846" s="14" t="n">
        <f aca="false">Chase1168_2025!B1846</f>
        <v>45659</v>
      </c>
      <c r="C1846" s="0" t="str">
        <f aca="false">Chase1168_2025!C1846</f>
        <v>PAYPAL *HULU 877-801-5441 CA                 01/01</v>
      </c>
      <c r="D1846" s="7" t="n">
        <f aca="false">Chase1168_2025!D1846</f>
        <v>-18.99</v>
      </c>
      <c r="E1846" s="0" t="str">
        <f aca="false">Chase1168_2025!E1846</f>
        <v>DEBIT_CARD</v>
      </c>
      <c r="F1846" s="7" t="n">
        <f aca="false">Chase1168_2025!F1846</f>
        <v>72965.3</v>
      </c>
      <c r="G1846" s="0" t="str">
        <f aca="false">Chase1168_2025!G1846</f>
        <v>Personal - Subscriptions</v>
      </c>
      <c r="H1846" s="15" t="n">
        <f aca="false">IF($B1846="","",DATE(YEAR($B1846),MONTH($B1846),1))</f>
        <v>45658</v>
      </c>
      <c r="I1846" s="0" t="str">
        <f aca="false">IF($G1846="","Uncategorized — Review",IFERROR(INDEX(Mapping!$B:$B,MATCH($G1846,Mapping!$A:$A,0)),"Uncategorized — Review"))</f>
        <v>Personal - Subscriptions</v>
      </c>
      <c r="J1846" s="0" t="str">
        <f aca="false">IF($G1846="","Uncategorized — Review",IFERROR(INDEX(Mapping!$C:$C,MATCH($G1846,Mapping!$A:$A,0)),"Uncategorized — Review"))</f>
        <v>Personal — Owner</v>
      </c>
    </row>
    <row r="1847" customFormat="false" ht="15" hidden="false" customHeight="false" outlineLevel="0" collapsed="false">
      <c r="A1847" s="0" t="str">
        <f aca="false">Chase1168_2025!A1847</f>
        <v>DEBIT</v>
      </c>
      <c r="B1847" s="14" t="n">
        <f aca="false">Chase1168_2025!B1847</f>
        <v>45659</v>
      </c>
      <c r="C1847" s="0" t="str">
        <f aca="false">Chase1168_2025!C1847</f>
        <v>PAYPAL *GOOGLE LLC GO 650-253-0000 CA        01/01</v>
      </c>
      <c r="D1847" s="7" t="n">
        <f aca="false">Chase1168_2025!D1847</f>
        <v>-14.4</v>
      </c>
      <c r="E1847" s="0" t="str">
        <f aca="false">Chase1168_2025!E1847</f>
        <v>DEBIT_CARD</v>
      </c>
      <c r="F1847" s="7" t="n">
        <f aca="false">Chase1168_2025!F1847</f>
        <v>72984.29</v>
      </c>
      <c r="G1847" s="0" t="str">
        <f aca="false">Chase1168_2025!G1847</f>
        <v>Personal - Subscriptions</v>
      </c>
      <c r="H1847" s="15" t="n">
        <f aca="false">IF($B1847="","",DATE(YEAR($B1847),MONTH($B1847),1))</f>
        <v>45658</v>
      </c>
      <c r="I1847" s="0" t="str">
        <f aca="false">IF($G1847="","Uncategorized — Review",IFERROR(INDEX(Mapping!$B:$B,MATCH($G1847,Mapping!$A:$A,0)),"Uncategorized — Review"))</f>
        <v>Personal - Subscriptions</v>
      </c>
      <c r="J1847" s="0" t="str">
        <f aca="false">IF($G1847="","Uncategorized — Review",IFERROR(INDEX(Mapping!$C:$C,MATCH($G1847,Mapping!$A:$A,0)),"Uncategorized — Review"))</f>
        <v>Personal — Owner</v>
      </c>
    </row>
    <row r="1848" customFormat="false" ht="15" hidden="false" customHeight="false" outlineLevel="0" collapsed="false">
      <c r="A1848" s="0" t="str">
        <f aca="false">Chase1168_2025!A1848</f>
        <v>DEBIT</v>
      </c>
      <c r="B1848" s="14" t="n">
        <f aca="false">Chase1168_2025!B1848</f>
        <v>45659</v>
      </c>
      <c r="C1848" s="0" t="str">
        <f aca="false">Chase1168_2025!C1848</f>
        <v>PAYPAL *LINKEDIN 402-935-7733 CA             01/01</v>
      </c>
      <c r="D1848" s="7" t="n">
        <f aca="false">Chase1168_2025!D1848</f>
        <v>-520</v>
      </c>
      <c r="E1848" s="0" t="str">
        <f aca="false">Chase1168_2025!E1848</f>
        <v>DEBIT_CARD</v>
      </c>
      <c r="F1848" s="7" t="n">
        <f aca="false">Chase1168_2025!F1848</f>
        <v>72998.69</v>
      </c>
      <c r="G1848" s="0" t="str">
        <f aca="false">Chase1168_2025!G1848</f>
        <v>DWG HR</v>
      </c>
      <c r="H1848" s="15" t="n">
        <f aca="false">IF($B1848="","",DATE(YEAR($B1848),MONTH($B1848),1))</f>
        <v>45658</v>
      </c>
      <c r="I1848" s="0" t="str">
        <f aca="false">IF($G1848="","Uncategorized — Review",IFERROR(INDEX(Mapping!$B:$B,MATCH($G1848,Mapping!$A:$A,0)),"Uncategorized — Review"))</f>
        <v>DWG HR</v>
      </c>
      <c r="J1848" s="0" t="str">
        <f aca="false">IF($G1848="","Uncategorized — Review",IFERROR(INDEX(Mapping!$C:$C,MATCH($G1848,Mapping!$A:$A,0)),"Uncategorized — Review"))</f>
        <v>Payroll &amp; Contractors</v>
      </c>
    </row>
    <row r="1849" customFormat="false" ht="15" hidden="false" customHeight="false" outlineLevel="0" collapsed="false">
      <c r="A1849" s="0" t="str">
        <f aca="false">Chase1168_2025!A1849</f>
        <v>DEBIT</v>
      </c>
      <c r="B1849" s="14" t="n">
        <f aca="false">Chase1168_2025!B1849</f>
        <v>45659</v>
      </c>
      <c r="C1849" s="0" t="str">
        <f aca="false">Chase1168_2025!C1849</f>
        <v>PAYPAL *BABBEL BABBEL. 35314369001           12/29</v>
      </c>
      <c r="D1849" s="7" t="n">
        <f aca="false">Chase1168_2025!D1849</f>
        <v>-27.16</v>
      </c>
      <c r="E1849" s="0" t="str">
        <f aca="false">Chase1168_2025!E1849</f>
        <v>DEBIT_CARD</v>
      </c>
      <c r="F1849" s="7" t="n">
        <f aca="false">Chase1168_2025!F1849</f>
        <v>73518.69</v>
      </c>
      <c r="G1849" s="0" t="str">
        <f aca="false">Chase1168_2025!G1849</f>
        <v>Paypal</v>
      </c>
      <c r="H1849" s="15" t="n">
        <f aca="false">IF($B1849="","",DATE(YEAR($B1849),MONTH($B1849),1))</f>
        <v>45658</v>
      </c>
      <c r="I1849" s="0" t="str">
        <f aca="false">IF($G1849="","Uncategorized — Review",IFERROR(INDEX(Mapping!$B:$B,MATCH($G1849,Mapping!$A:$A,0)),"Uncategorized — Review"))</f>
        <v>PayPal</v>
      </c>
      <c r="J1849" s="0" t="str">
        <f aca="false">IF($G1849="","Uncategorized — Review",IFERROR(INDEX(Mapping!$C:$C,MATCH($G1849,Mapping!$A:$A,0)),"Uncategorized — Review"))</f>
        <v>P2P Payments (Zelle/Venmo/PayPal)</v>
      </c>
    </row>
    <row r="1850" customFormat="false" ht="15" hidden="false" customHeight="false" outlineLevel="0" collapsed="false">
      <c r="A1850" s="0" t="str">
        <f aca="false">Chase1168_2025!A1850</f>
        <v>CREDIT</v>
      </c>
      <c r="B1850" s="14" t="n">
        <f aca="false">Chase1168_2025!B1850</f>
        <v>45659</v>
      </c>
      <c r="C1850" s="0" t="str">
        <f aca="false">Chase1168_2025!C1850</f>
        <v>FEDWIRE CREDIT VIA: BANK OF AMERICA, N.A./026009593 B/O: CT SOCAL COMM FBSC/CT BS FXBC RIVERSIDE CA 92505 US REF: CHASE NYC/CTR/BNF=DWG CAPITAL GROUP LOS ANGELES CA 90066-3638 US/AC-00 0000002836 RFB=1-18462072 OBI=FN-FB SC2403516 ACQUISITION FEE/AND APPRA ISAL REIMB EDGE BUILDER P/ROP AD DR -1607 PINE ST IMAD: 0102B6B7HU1R020333 TRN: 1195641002FF</v>
      </c>
      <c r="D1850" s="7" t="n">
        <f aca="false">Chase1168_2025!D1850</f>
        <v>61037</v>
      </c>
      <c r="E1850" s="0" t="str">
        <f aca="false">Chase1168_2025!E1850</f>
        <v>WIRE_INCOMING</v>
      </c>
      <c r="F1850" s="7" t="n">
        <f aca="false">Chase1168_2025!F1850</f>
        <v>73545.85</v>
      </c>
      <c r="G1850" s="0" t="str">
        <f aca="false">Chase1168_2025!G1850</f>
        <v>Incoming Commission: Edge Builder</v>
      </c>
      <c r="H1850" s="15" t="n">
        <f aca="false">IF($B1850="","",DATE(YEAR($B1850),MONTH($B1850),1))</f>
        <v>45658</v>
      </c>
      <c r="I1850" s="0" t="str">
        <f aca="false">IF($G1850="","Uncategorized — Review",IFERROR(INDEX(Mapping!$B:$B,MATCH($G1850,Mapping!$A:$A,0)),"Uncategorized — Review"))</f>
        <v>Incoming Commission: Edge Builder</v>
      </c>
      <c r="J1850" s="0" t="str">
        <f aca="false">IF($G1850="","Uncategorized — Review",IFERROR(INDEX(Mapping!$C:$C,MATCH($G1850,Mapping!$A:$A,0)),"Uncategorized — Review"))</f>
        <v>Commissions — Incoming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9" t="s">
        <v>174</v>
      </c>
      <c r="B1" s="9" t="s">
        <v>172</v>
      </c>
      <c r="C1" s="9" t="s">
        <v>173</v>
      </c>
    </row>
    <row r="2" customFormat="false" ht="15" hidden="false" customHeight="false" outlineLevel="0" collapsed="false">
      <c r="A2" s="0" t="s">
        <v>126</v>
      </c>
      <c r="B2" s="0" t="s">
        <v>126</v>
      </c>
      <c r="C2" s="0" t="s">
        <v>125</v>
      </c>
    </row>
    <row r="3" customFormat="false" ht="15" hidden="false" customHeight="false" outlineLevel="0" collapsed="false">
      <c r="A3" s="0" t="s">
        <v>127</v>
      </c>
      <c r="B3" s="0" t="s">
        <v>127</v>
      </c>
      <c r="C3" s="0" t="s">
        <v>125</v>
      </c>
    </row>
    <row r="4" customFormat="false" ht="15" hidden="false" customHeight="false" outlineLevel="0" collapsed="false">
      <c r="A4" s="0" t="s">
        <v>148</v>
      </c>
      <c r="B4" s="0" t="s">
        <v>148</v>
      </c>
      <c r="C4" s="0" t="s">
        <v>147</v>
      </c>
    </row>
    <row r="5" customFormat="false" ht="15" hidden="false" customHeight="false" outlineLevel="0" collapsed="false">
      <c r="A5" s="0" t="s">
        <v>108</v>
      </c>
      <c r="B5" s="0" t="s">
        <v>108</v>
      </c>
      <c r="C5" s="0" t="s">
        <v>107</v>
      </c>
    </row>
    <row r="6" customFormat="false" ht="15" hidden="false" customHeight="false" outlineLevel="0" collapsed="false">
      <c r="A6" s="0" t="s">
        <v>149</v>
      </c>
      <c r="B6" s="0" t="s">
        <v>149</v>
      </c>
      <c r="C6" s="0" t="s">
        <v>147</v>
      </c>
    </row>
    <row r="7" customFormat="false" ht="15" hidden="false" customHeight="false" outlineLevel="0" collapsed="false">
      <c r="A7" s="0" t="s">
        <v>101</v>
      </c>
      <c r="B7" s="0" t="s">
        <v>101</v>
      </c>
      <c r="C7" s="0" t="s">
        <v>100</v>
      </c>
    </row>
    <row r="8" customFormat="false" ht="15" hidden="false" customHeight="false" outlineLevel="0" collapsed="false">
      <c r="A8" s="0" t="s">
        <v>65</v>
      </c>
      <c r="B8" s="0" t="s">
        <v>65</v>
      </c>
      <c r="C8" s="0" t="s">
        <v>64</v>
      </c>
    </row>
    <row r="9" customFormat="false" ht="15" hidden="false" customHeight="false" outlineLevel="0" collapsed="false">
      <c r="A9" s="0" t="s">
        <v>66</v>
      </c>
      <c r="B9" s="0" t="s">
        <v>66</v>
      </c>
      <c r="C9" s="0" t="s">
        <v>64</v>
      </c>
    </row>
    <row r="10" customFormat="false" ht="15" hidden="false" customHeight="false" outlineLevel="0" collapsed="false">
      <c r="A10" s="0" t="s">
        <v>175</v>
      </c>
      <c r="B10" s="0" t="s">
        <v>109</v>
      </c>
      <c r="C10" s="0" t="s">
        <v>107</v>
      </c>
    </row>
    <row r="11" customFormat="false" ht="15" hidden="false" customHeight="false" outlineLevel="0" collapsed="false">
      <c r="A11" s="0" t="s">
        <v>110</v>
      </c>
      <c r="B11" s="0" t="s">
        <v>110</v>
      </c>
      <c r="C11" s="0" t="s">
        <v>107</v>
      </c>
    </row>
    <row r="12" customFormat="false" ht="15" hidden="false" customHeight="false" outlineLevel="0" collapsed="false">
      <c r="A12" s="0" t="s">
        <v>111</v>
      </c>
      <c r="B12" s="0" t="s">
        <v>111</v>
      </c>
      <c r="C12" s="0" t="s">
        <v>107</v>
      </c>
    </row>
    <row r="13" customFormat="false" ht="15" hidden="false" customHeight="false" outlineLevel="0" collapsed="false">
      <c r="A13" s="0" t="s">
        <v>150</v>
      </c>
      <c r="B13" s="0" t="s">
        <v>150</v>
      </c>
      <c r="C13" s="0" t="s">
        <v>147</v>
      </c>
    </row>
    <row r="14" customFormat="false" ht="15" hidden="false" customHeight="false" outlineLevel="0" collapsed="false">
      <c r="A14" s="0" t="s">
        <v>151</v>
      </c>
      <c r="B14" s="0" t="s">
        <v>151</v>
      </c>
      <c r="C14" s="0" t="s">
        <v>147</v>
      </c>
    </row>
    <row r="15" customFormat="false" ht="15" hidden="false" customHeight="false" outlineLevel="0" collapsed="false">
      <c r="A15" s="0" t="s">
        <v>47</v>
      </c>
      <c r="B15" s="0" t="s">
        <v>47</v>
      </c>
      <c r="C15" s="0" t="s">
        <v>46</v>
      </c>
    </row>
    <row r="16" customFormat="false" ht="15" hidden="false" customHeight="false" outlineLevel="0" collapsed="false">
      <c r="A16" s="0" t="s">
        <v>176</v>
      </c>
      <c r="B16" s="0" t="s">
        <v>22</v>
      </c>
      <c r="C16" s="0" t="s">
        <v>21</v>
      </c>
    </row>
    <row r="17" customFormat="false" ht="15" hidden="false" customHeight="false" outlineLevel="0" collapsed="false">
      <c r="A17" s="0" t="s">
        <v>67</v>
      </c>
      <c r="B17" s="0" t="s">
        <v>67</v>
      </c>
      <c r="C17" s="0" t="s">
        <v>64</v>
      </c>
    </row>
    <row r="18" customFormat="false" ht="15" hidden="false" customHeight="false" outlineLevel="0" collapsed="false">
      <c r="A18" s="0" t="s">
        <v>112</v>
      </c>
      <c r="B18" s="0" t="s">
        <v>112</v>
      </c>
      <c r="C18" s="0" t="s">
        <v>107</v>
      </c>
    </row>
    <row r="19" customFormat="false" ht="15" hidden="false" customHeight="false" outlineLevel="0" collapsed="false">
      <c r="A19" s="0" t="s">
        <v>113</v>
      </c>
      <c r="B19" s="0" t="s">
        <v>113</v>
      </c>
      <c r="C19" s="0" t="s">
        <v>107</v>
      </c>
    </row>
    <row r="20" customFormat="false" ht="15" hidden="false" customHeight="false" outlineLevel="0" collapsed="false">
      <c r="A20" s="0" t="s">
        <v>114</v>
      </c>
      <c r="B20" s="0" t="s">
        <v>114</v>
      </c>
      <c r="C20" s="0" t="s">
        <v>107</v>
      </c>
    </row>
    <row r="21" customFormat="false" ht="15" hidden="false" customHeight="false" outlineLevel="0" collapsed="false">
      <c r="A21" s="0" t="s">
        <v>115</v>
      </c>
      <c r="B21" s="0" t="s">
        <v>115</v>
      </c>
      <c r="C21" s="0" t="s">
        <v>107</v>
      </c>
    </row>
    <row r="22" customFormat="false" ht="15" hidden="false" customHeight="false" outlineLevel="0" collapsed="false">
      <c r="A22" s="0" t="s">
        <v>116</v>
      </c>
      <c r="B22" s="0" t="s">
        <v>116</v>
      </c>
      <c r="C22" s="0" t="s">
        <v>107</v>
      </c>
    </row>
    <row r="23" customFormat="false" ht="15" hidden="false" customHeight="false" outlineLevel="0" collapsed="false">
      <c r="A23" s="0" t="s">
        <v>177</v>
      </c>
      <c r="B23" s="0" t="s">
        <v>23</v>
      </c>
      <c r="C23" s="0" t="s">
        <v>21</v>
      </c>
    </row>
    <row r="24" customFormat="false" ht="15" hidden="false" customHeight="false" outlineLevel="0" collapsed="false">
      <c r="A24" s="0" t="s">
        <v>17</v>
      </c>
      <c r="B24" s="0" t="s">
        <v>17</v>
      </c>
      <c r="C24" s="0" t="s">
        <v>16</v>
      </c>
    </row>
    <row r="25" customFormat="false" ht="15" hidden="false" customHeight="false" outlineLevel="0" collapsed="false">
      <c r="A25" s="0" t="s">
        <v>18</v>
      </c>
      <c r="B25" s="0" t="s">
        <v>18</v>
      </c>
      <c r="C25" s="0" t="s">
        <v>16</v>
      </c>
    </row>
    <row r="26" customFormat="false" ht="15" hidden="false" customHeight="false" outlineLevel="0" collapsed="false">
      <c r="A26" s="0" t="s">
        <v>19</v>
      </c>
      <c r="B26" s="0" t="s">
        <v>19</v>
      </c>
      <c r="C26" s="0" t="s">
        <v>16</v>
      </c>
    </row>
    <row r="27" customFormat="false" ht="15" hidden="false" customHeight="false" outlineLevel="0" collapsed="false">
      <c r="A27" s="0" t="s">
        <v>117</v>
      </c>
      <c r="B27" s="0" t="s">
        <v>117</v>
      </c>
      <c r="C27" s="0" t="s">
        <v>107</v>
      </c>
    </row>
    <row r="28" customFormat="false" ht="15" hidden="false" customHeight="false" outlineLevel="0" collapsed="false">
      <c r="A28" s="0" t="s">
        <v>35</v>
      </c>
      <c r="B28" s="0" t="s">
        <v>35</v>
      </c>
      <c r="C28" s="0" t="s">
        <v>34</v>
      </c>
    </row>
    <row r="29" customFormat="false" ht="15" hidden="false" customHeight="false" outlineLevel="0" collapsed="false">
      <c r="A29" s="0" t="s">
        <v>36</v>
      </c>
      <c r="B29" s="0" t="s">
        <v>36</v>
      </c>
      <c r="C29" s="0" t="s">
        <v>34</v>
      </c>
    </row>
    <row r="30" customFormat="false" ht="15" hidden="false" customHeight="false" outlineLevel="0" collapsed="false">
      <c r="A30" s="0" t="s">
        <v>37</v>
      </c>
      <c r="B30" s="0" t="s">
        <v>37</v>
      </c>
      <c r="C30" s="0" t="s">
        <v>34</v>
      </c>
    </row>
    <row r="31" customFormat="false" ht="15" hidden="false" customHeight="false" outlineLevel="0" collapsed="false">
      <c r="A31" s="0" t="s">
        <v>118</v>
      </c>
      <c r="B31" s="0" t="s">
        <v>118</v>
      </c>
      <c r="C31" s="0" t="s">
        <v>107</v>
      </c>
    </row>
    <row r="32" customFormat="false" ht="15" hidden="false" customHeight="false" outlineLevel="0" collapsed="false">
      <c r="A32" s="0" t="s">
        <v>24</v>
      </c>
      <c r="B32" s="0" t="s">
        <v>24</v>
      </c>
      <c r="C32" s="0" t="s">
        <v>21</v>
      </c>
    </row>
    <row r="33" customFormat="false" ht="15" hidden="false" customHeight="false" outlineLevel="0" collapsed="false">
      <c r="A33" s="0" t="s">
        <v>25</v>
      </c>
      <c r="B33" s="0" t="s">
        <v>25</v>
      </c>
      <c r="C33" s="0" t="s">
        <v>21</v>
      </c>
    </row>
    <row r="34" customFormat="false" ht="15" hidden="false" customHeight="false" outlineLevel="0" collapsed="false">
      <c r="A34" s="0" t="s">
        <v>26</v>
      </c>
      <c r="B34" s="0" t="s">
        <v>26</v>
      </c>
      <c r="C34" s="0" t="s">
        <v>21</v>
      </c>
    </row>
    <row r="35" customFormat="false" ht="15" hidden="false" customHeight="false" outlineLevel="0" collapsed="false">
      <c r="A35" s="0" t="s">
        <v>27</v>
      </c>
      <c r="B35" s="0" t="s">
        <v>27</v>
      </c>
      <c r="C35" s="0" t="s">
        <v>21</v>
      </c>
    </row>
    <row r="36" customFormat="false" ht="15" hidden="false" customHeight="false" outlineLevel="0" collapsed="false">
      <c r="A36" s="0" t="s">
        <v>28</v>
      </c>
      <c r="B36" s="0" t="s">
        <v>28</v>
      </c>
      <c r="C36" s="0" t="s">
        <v>21</v>
      </c>
    </row>
    <row r="37" customFormat="false" ht="15" hidden="false" customHeight="false" outlineLevel="0" collapsed="false">
      <c r="A37" s="0" t="s">
        <v>29</v>
      </c>
      <c r="B37" s="0" t="s">
        <v>29</v>
      </c>
      <c r="C37" s="0" t="s">
        <v>21</v>
      </c>
    </row>
    <row r="38" customFormat="false" ht="15" hidden="false" customHeight="false" outlineLevel="0" collapsed="false">
      <c r="A38" s="0" t="s">
        <v>48</v>
      </c>
      <c r="B38" s="0" t="s">
        <v>48</v>
      </c>
      <c r="C38" s="0" t="s">
        <v>46</v>
      </c>
    </row>
    <row r="39" customFormat="false" ht="15" hidden="false" customHeight="false" outlineLevel="0" collapsed="false">
      <c r="A39" s="0" t="s">
        <v>38</v>
      </c>
      <c r="B39" s="0" t="s">
        <v>38</v>
      </c>
      <c r="C39" s="0" t="s">
        <v>34</v>
      </c>
    </row>
    <row r="40" customFormat="false" ht="15" hidden="false" customHeight="false" outlineLevel="0" collapsed="false">
      <c r="A40" s="0" t="s">
        <v>39</v>
      </c>
      <c r="B40" s="0" t="s">
        <v>39</v>
      </c>
      <c r="C40" s="0" t="s">
        <v>34</v>
      </c>
    </row>
    <row r="41" customFormat="false" ht="15" hidden="false" customHeight="false" outlineLevel="0" collapsed="false">
      <c r="A41" s="0" t="s">
        <v>68</v>
      </c>
      <c r="B41" s="0" t="s">
        <v>68</v>
      </c>
      <c r="C41" s="0" t="s">
        <v>64</v>
      </c>
    </row>
    <row r="42" customFormat="false" ht="15" hidden="false" customHeight="false" outlineLevel="0" collapsed="false">
      <c r="A42" s="0" t="s">
        <v>178</v>
      </c>
      <c r="B42" s="0" t="s">
        <v>133</v>
      </c>
      <c r="C42" s="0" t="s">
        <v>132</v>
      </c>
    </row>
    <row r="43" customFormat="false" ht="15" hidden="false" customHeight="false" outlineLevel="0" collapsed="false">
      <c r="A43" s="0" t="s">
        <v>128</v>
      </c>
      <c r="B43" s="0" t="s">
        <v>128</v>
      </c>
      <c r="C43" s="0" t="s">
        <v>125</v>
      </c>
    </row>
    <row r="44" customFormat="false" ht="15" hidden="false" customHeight="false" outlineLevel="0" collapsed="false">
      <c r="A44" s="0" t="s">
        <v>69</v>
      </c>
      <c r="B44" s="0" t="s">
        <v>69</v>
      </c>
      <c r="C44" s="0" t="s">
        <v>64</v>
      </c>
    </row>
    <row r="45" customFormat="false" ht="15" hidden="false" customHeight="false" outlineLevel="0" collapsed="false">
      <c r="A45" s="0" t="s">
        <v>119</v>
      </c>
      <c r="B45" s="0" t="s">
        <v>119</v>
      </c>
      <c r="C45" s="0" t="s">
        <v>107</v>
      </c>
    </row>
    <row r="46" customFormat="false" ht="15" hidden="false" customHeight="false" outlineLevel="0" collapsed="false">
      <c r="A46" s="0" t="s">
        <v>120</v>
      </c>
      <c r="B46" s="0" t="s">
        <v>120</v>
      </c>
      <c r="C46" s="0" t="s">
        <v>107</v>
      </c>
    </row>
    <row r="47" customFormat="false" ht="15" hidden="false" customHeight="false" outlineLevel="0" collapsed="false">
      <c r="A47" s="0" t="s">
        <v>70</v>
      </c>
      <c r="B47" s="0" t="s">
        <v>70</v>
      </c>
      <c r="C47" s="0" t="s">
        <v>64</v>
      </c>
    </row>
    <row r="48" customFormat="false" ht="15" hidden="false" customHeight="false" outlineLevel="0" collapsed="false">
      <c r="A48" s="0" t="s">
        <v>78</v>
      </c>
      <c r="B48" s="0" t="s">
        <v>78</v>
      </c>
      <c r="C48" s="0" t="s">
        <v>77</v>
      </c>
    </row>
    <row r="49" customFormat="false" ht="15" hidden="false" customHeight="false" outlineLevel="0" collapsed="false">
      <c r="A49" s="0" t="s">
        <v>79</v>
      </c>
      <c r="B49" s="0" t="s">
        <v>79</v>
      </c>
      <c r="C49" s="0" t="s">
        <v>77</v>
      </c>
    </row>
    <row r="50" customFormat="false" ht="15" hidden="false" customHeight="false" outlineLevel="0" collapsed="false">
      <c r="A50" s="0" t="s">
        <v>152</v>
      </c>
      <c r="B50" s="0" t="s">
        <v>152</v>
      </c>
      <c r="C50" s="0" t="s">
        <v>147</v>
      </c>
    </row>
    <row r="51" customFormat="false" ht="15" hidden="false" customHeight="false" outlineLevel="0" collapsed="false">
      <c r="A51" s="0" t="s">
        <v>134</v>
      </c>
      <c r="B51" s="0" t="s">
        <v>134</v>
      </c>
      <c r="C51" s="0" t="s">
        <v>132</v>
      </c>
    </row>
    <row r="52" customFormat="false" ht="15" hidden="false" customHeight="false" outlineLevel="0" collapsed="false">
      <c r="A52" s="0" t="s">
        <v>179</v>
      </c>
      <c r="B52" s="0" t="s">
        <v>135</v>
      </c>
      <c r="C52" s="0" t="s">
        <v>132</v>
      </c>
    </row>
    <row r="53" customFormat="false" ht="15" hidden="false" customHeight="false" outlineLevel="0" collapsed="false">
      <c r="A53" s="0" t="s">
        <v>180</v>
      </c>
      <c r="B53" s="0" t="s">
        <v>135</v>
      </c>
      <c r="C53" s="0" t="s">
        <v>132</v>
      </c>
    </row>
    <row r="54" customFormat="false" ht="15" hidden="false" customHeight="false" outlineLevel="0" collapsed="false">
      <c r="A54" s="0" t="s">
        <v>181</v>
      </c>
      <c r="B54" s="0" t="s">
        <v>135</v>
      </c>
      <c r="C54" s="0" t="s">
        <v>132</v>
      </c>
    </row>
    <row r="55" customFormat="false" ht="15" hidden="false" customHeight="false" outlineLevel="0" collapsed="false">
      <c r="A55" s="0" t="s">
        <v>136</v>
      </c>
      <c r="B55" s="0" t="s">
        <v>136</v>
      </c>
      <c r="C55" s="0" t="s">
        <v>132</v>
      </c>
    </row>
    <row r="56" customFormat="false" ht="15" hidden="false" customHeight="false" outlineLevel="0" collapsed="false">
      <c r="A56" s="0" t="s">
        <v>137</v>
      </c>
      <c r="B56" s="0" t="s">
        <v>137</v>
      </c>
      <c r="C56" s="0" t="s">
        <v>132</v>
      </c>
    </row>
    <row r="57" customFormat="false" ht="15" hidden="false" customHeight="false" outlineLevel="0" collapsed="false">
      <c r="A57" s="0" t="s">
        <v>182</v>
      </c>
      <c r="B57" s="0" t="s">
        <v>133</v>
      </c>
      <c r="C57" s="0" t="s">
        <v>132</v>
      </c>
    </row>
    <row r="58" customFormat="false" ht="15" hidden="false" customHeight="false" outlineLevel="0" collapsed="false">
      <c r="A58" s="0" t="s">
        <v>183</v>
      </c>
      <c r="B58" s="0" t="s">
        <v>138</v>
      </c>
      <c r="C58" s="0" t="s">
        <v>132</v>
      </c>
    </row>
    <row r="59" customFormat="false" ht="15" hidden="false" customHeight="false" outlineLevel="0" collapsed="false">
      <c r="A59" s="0" t="s">
        <v>184</v>
      </c>
      <c r="B59" s="0" t="s">
        <v>138</v>
      </c>
      <c r="C59" s="0" t="s">
        <v>132</v>
      </c>
    </row>
    <row r="60" customFormat="false" ht="15" hidden="false" customHeight="false" outlineLevel="0" collapsed="false">
      <c r="A60" s="0" t="s">
        <v>139</v>
      </c>
      <c r="B60" s="0" t="s">
        <v>139</v>
      </c>
      <c r="C60" s="0" t="s">
        <v>132</v>
      </c>
    </row>
    <row r="61" customFormat="false" ht="15" hidden="false" customHeight="false" outlineLevel="0" collapsed="false">
      <c r="A61" s="0" t="s">
        <v>140</v>
      </c>
      <c r="B61" s="0" t="s">
        <v>140</v>
      </c>
      <c r="C61" s="0" t="s">
        <v>132</v>
      </c>
    </row>
    <row r="62" customFormat="false" ht="15" hidden="false" customHeight="false" outlineLevel="0" collapsed="false">
      <c r="A62" s="0" t="s">
        <v>141</v>
      </c>
      <c r="B62" s="0" t="s">
        <v>141</v>
      </c>
      <c r="C62" s="0" t="s">
        <v>132</v>
      </c>
    </row>
    <row r="63" customFormat="false" ht="15" hidden="false" customHeight="false" outlineLevel="0" collapsed="false">
      <c r="A63" s="0" t="s">
        <v>142</v>
      </c>
      <c r="B63" s="0" t="s">
        <v>142</v>
      </c>
      <c r="C63" s="0" t="s">
        <v>132</v>
      </c>
    </row>
    <row r="64" customFormat="false" ht="15" hidden="false" customHeight="false" outlineLevel="0" collapsed="false">
      <c r="A64" s="0" t="s">
        <v>143</v>
      </c>
      <c r="B64" s="0" t="s">
        <v>143</v>
      </c>
      <c r="C64" s="0" t="s">
        <v>132</v>
      </c>
    </row>
    <row r="65" customFormat="false" ht="15" hidden="false" customHeight="false" outlineLevel="0" collapsed="false">
      <c r="A65" s="0" t="s">
        <v>144</v>
      </c>
      <c r="B65" s="0" t="s">
        <v>144</v>
      </c>
      <c r="C65" s="0" t="s">
        <v>132</v>
      </c>
    </row>
    <row r="66" customFormat="false" ht="15" hidden="false" customHeight="false" outlineLevel="0" collapsed="false">
      <c r="A66" s="0" t="s">
        <v>42</v>
      </c>
      <c r="B66" s="0" t="s">
        <v>42</v>
      </c>
      <c r="C66" s="0" t="s">
        <v>41</v>
      </c>
    </row>
    <row r="67" customFormat="false" ht="15" hidden="false" customHeight="false" outlineLevel="0" collapsed="false">
      <c r="A67" s="0" t="s">
        <v>71</v>
      </c>
      <c r="B67" s="0" t="s">
        <v>71</v>
      </c>
      <c r="C67" s="0" t="s">
        <v>64</v>
      </c>
    </row>
    <row r="68" customFormat="false" ht="15" hidden="false" customHeight="false" outlineLevel="0" collapsed="false">
      <c r="A68" s="0" t="s">
        <v>72</v>
      </c>
      <c r="B68" s="0" t="s">
        <v>72</v>
      </c>
      <c r="C68" s="0" t="s">
        <v>64</v>
      </c>
    </row>
    <row r="69" customFormat="false" ht="15" hidden="false" customHeight="false" outlineLevel="0" collapsed="false">
      <c r="A69" s="0" t="s">
        <v>73</v>
      </c>
      <c r="B69" s="0" t="s">
        <v>73</v>
      </c>
      <c r="C69" s="0" t="s">
        <v>64</v>
      </c>
    </row>
    <row r="70" customFormat="false" ht="15" hidden="false" customHeight="false" outlineLevel="0" collapsed="false">
      <c r="A70" s="0" t="s">
        <v>102</v>
      </c>
      <c r="B70" s="0" t="s">
        <v>102</v>
      </c>
      <c r="C70" s="0" t="s">
        <v>100</v>
      </c>
    </row>
    <row r="71" customFormat="false" ht="15" hidden="false" customHeight="false" outlineLevel="0" collapsed="false">
      <c r="A71" s="0" t="s">
        <v>103</v>
      </c>
      <c r="B71" s="0" t="s">
        <v>103</v>
      </c>
      <c r="C71" s="0" t="s">
        <v>100</v>
      </c>
    </row>
    <row r="72" customFormat="false" ht="15" hidden="false" customHeight="false" outlineLevel="0" collapsed="false">
      <c r="A72" s="0" t="s">
        <v>129</v>
      </c>
      <c r="B72" s="0" t="s">
        <v>129</v>
      </c>
      <c r="C72" s="0" t="s">
        <v>125</v>
      </c>
    </row>
    <row r="73" customFormat="false" ht="15" hidden="false" customHeight="false" outlineLevel="0" collapsed="false">
      <c r="A73" s="0" t="s">
        <v>121</v>
      </c>
      <c r="B73" s="0" t="s">
        <v>121</v>
      </c>
      <c r="C73" s="0" t="s">
        <v>107</v>
      </c>
    </row>
    <row r="74" customFormat="false" ht="15" hidden="false" customHeight="false" outlineLevel="0" collapsed="false">
      <c r="A74" s="0" t="s">
        <v>122</v>
      </c>
      <c r="B74" s="0" t="s">
        <v>122</v>
      </c>
      <c r="C74" s="0" t="s">
        <v>107</v>
      </c>
    </row>
    <row r="75" customFormat="false" ht="15" hidden="false" customHeight="false" outlineLevel="0" collapsed="false">
      <c r="A75" s="0" t="s">
        <v>74</v>
      </c>
      <c r="B75" s="0" t="s">
        <v>74</v>
      </c>
      <c r="C75" s="0" t="s">
        <v>64</v>
      </c>
    </row>
    <row r="76" customFormat="false" ht="15" hidden="false" customHeight="false" outlineLevel="0" collapsed="false">
      <c r="A76" s="0" t="s">
        <v>105</v>
      </c>
      <c r="B76" s="0" t="s">
        <v>105</v>
      </c>
      <c r="C76" s="0" t="s">
        <v>105</v>
      </c>
    </row>
    <row r="77" customFormat="false" ht="15" hidden="false" customHeight="false" outlineLevel="0" collapsed="false">
      <c r="A77" s="0" t="s">
        <v>145</v>
      </c>
      <c r="B77" s="0" t="s">
        <v>145</v>
      </c>
      <c r="C77" s="0" t="s">
        <v>132</v>
      </c>
    </row>
    <row r="78" customFormat="false" ht="15" hidden="false" customHeight="false" outlineLevel="0" collapsed="false">
      <c r="A78" s="0" t="s">
        <v>49</v>
      </c>
      <c r="B78" s="0" t="s">
        <v>49</v>
      </c>
      <c r="C78" s="0" t="s">
        <v>46</v>
      </c>
    </row>
    <row r="79" customFormat="false" ht="15" hidden="false" customHeight="false" outlineLevel="0" collapsed="false">
      <c r="A79" s="0" t="s">
        <v>50</v>
      </c>
      <c r="B79" s="0" t="s">
        <v>50</v>
      </c>
      <c r="C79" s="0" t="s">
        <v>46</v>
      </c>
    </row>
    <row r="80" customFormat="false" ht="15" hidden="false" customHeight="false" outlineLevel="0" collapsed="false">
      <c r="A80" s="0" t="s">
        <v>43</v>
      </c>
      <c r="B80" s="0" t="s">
        <v>43</v>
      </c>
      <c r="C80" s="0" t="s">
        <v>41</v>
      </c>
    </row>
    <row r="81" customFormat="false" ht="15" hidden="false" customHeight="false" outlineLevel="0" collapsed="false">
      <c r="A81" s="0" t="s">
        <v>96</v>
      </c>
      <c r="B81" s="0" t="s">
        <v>96</v>
      </c>
      <c r="C81" s="0" t="s">
        <v>95</v>
      </c>
    </row>
    <row r="82" customFormat="false" ht="15" hidden="false" customHeight="false" outlineLevel="0" collapsed="false">
      <c r="A82" s="0" t="s">
        <v>97</v>
      </c>
      <c r="B82" s="0" t="s">
        <v>97</v>
      </c>
      <c r="C82" s="0" t="s">
        <v>95</v>
      </c>
    </row>
    <row r="83" customFormat="false" ht="15" hidden="false" customHeight="false" outlineLevel="0" collapsed="false">
      <c r="A83" s="0" t="s">
        <v>51</v>
      </c>
      <c r="B83" s="0" t="s">
        <v>51</v>
      </c>
      <c r="C83" s="0" t="s">
        <v>46</v>
      </c>
    </row>
    <row r="84" customFormat="false" ht="15" hidden="false" customHeight="false" outlineLevel="0" collapsed="false">
      <c r="A84" s="0" t="s">
        <v>52</v>
      </c>
      <c r="B84" s="0" t="s">
        <v>52</v>
      </c>
      <c r="C84" s="0" t="s">
        <v>46</v>
      </c>
    </row>
    <row r="85" customFormat="false" ht="15" hidden="false" customHeight="false" outlineLevel="0" collapsed="false">
      <c r="A85" s="0" t="s">
        <v>185</v>
      </c>
      <c r="B85" s="0" t="s">
        <v>53</v>
      </c>
      <c r="C85" s="0" t="s">
        <v>46</v>
      </c>
    </row>
    <row r="86" customFormat="false" ht="15" hidden="false" customHeight="false" outlineLevel="0" collapsed="false">
      <c r="A86" s="0" t="s">
        <v>54</v>
      </c>
      <c r="B86" s="0" t="s">
        <v>54</v>
      </c>
      <c r="C86" s="0" t="s">
        <v>46</v>
      </c>
    </row>
    <row r="87" customFormat="false" ht="15" hidden="false" customHeight="false" outlineLevel="0" collapsed="false">
      <c r="A87" s="0" t="s">
        <v>55</v>
      </c>
      <c r="B87" s="0" t="s">
        <v>55</v>
      </c>
      <c r="C87" s="0" t="s">
        <v>46</v>
      </c>
    </row>
    <row r="88" customFormat="false" ht="15" hidden="false" customHeight="false" outlineLevel="0" collapsed="false">
      <c r="A88" s="0" t="s">
        <v>56</v>
      </c>
      <c r="B88" s="0" t="s">
        <v>56</v>
      </c>
      <c r="C88" s="0" t="s">
        <v>46</v>
      </c>
    </row>
    <row r="89" customFormat="false" ht="15" hidden="false" customHeight="false" outlineLevel="0" collapsed="false">
      <c r="A89" s="0" t="s">
        <v>57</v>
      </c>
      <c r="B89" s="0" t="s">
        <v>57</v>
      </c>
      <c r="C89" s="0" t="s">
        <v>46</v>
      </c>
    </row>
    <row r="90" customFormat="false" ht="15" hidden="false" customHeight="false" outlineLevel="0" collapsed="false">
      <c r="A90" s="0" t="s">
        <v>58</v>
      </c>
      <c r="B90" s="0" t="s">
        <v>58</v>
      </c>
      <c r="C90" s="0" t="s">
        <v>46</v>
      </c>
    </row>
    <row r="91" customFormat="false" ht="15" hidden="false" customHeight="false" outlineLevel="0" collapsed="false">
      <c r="A91" s="0" t="s">
        <v>59</v>
      </c>
      <c r="B91" s="0" t="s">
        <v>59</v>
      </c>
      <c r="C91" s="0" t="s">
        <v>46</v>
      </c>
    </row>
    <row r="92" customFormat="false" ht="15" hidden="false" customHeight="false" outlineLevel="0" collapsed="false">
      <c r="A92" s="0" t="s">
        <v>44</v>
      </c>
      <c r="B92" s="0" t="s">
        <v>44</v>
      </c>
      <c r="C92" s="0" t="s">
        <v>41</v>
      </c>
    </row>
    <row r="93" customFormat="false" ht="15" hidden="false" customHeight="false" outlineLevel="0" collapsed="false">
      <c r="A93" s="0" t="s">
        <v>60</v>
      </c>
      <c r="B93" s="0" t="s">
        <v>60</v>
      </c>
      <c r="C93" s="0" t="s">
        <v>46</v>
      </c>
    </row>
    <row r="94" customFormat="false" ht="15" hidden="false" customHeight="false" outlineLevel="0" collapsed="false">
      <c r="A94" s="0" t="s">
        <v>61</v>
      </c>
      <c r="B94" s="0" t="s">
        <v>61</v>
      </c>
      <c r="C94" s="0" t="s">
        <v>46</v>
      </c>
    </row>
    <row r="95" customFormat="false" ht="15" hidden="false" customHeight="false" outlineLevel="0" collapsed="false">
      <c r="A95" s="0" t="s">
        <v>98</v>
      </c>
      <c r="B95" s="0" t="s">
        <v>98</v>
      </c>
      <c r="C95" s="0" t="s">
        <v>95</v>
      </c>
    </row>
    <row r="96" customFormat="false" ht="15" hidden="false" customHeight="false" outlineLevel="0" collapsed="false">
      <c r="A96" s="0" t="s">
        <v>62</v>
      </c>
      <c r="B96" s="0" t="s">
        <v>62</v>
      </c>
      <c r="C96" s="0" t="s">
        <v>46</v>
      </c>
    </row>
    <row r="97" customFormat="false" ht="15" hidden="false" customHeight="false" outlineLevel="0" collapsed="false">
      <c r="A97" s="0" t="s">
        <v>130</v>
      </c>
      <c r="B97" s="0" t="s">
        <v>130</v>
      </c>
      <c r="C97" s="0" t="s">
        <v>125</v>
      </c>
    </row>
    <row r="98" customFormat="false" ht="15" hidden="false" customHeight="false" outlineLevel="0" collapsed="false">
      <c r="A98" s="0" t="s">
        <v>75</v>
      </c>
      <c r="B98" s="0" t="s">
        <v>75</v>
      </c>
      <c r="C98" s="0" t="s">
        <v>64</v>
      </c>
    </row>
    <row r="99" customFormat="false" ht="15" hidden="false" customHeight="false" outlineLevel="0" collapsed="false">
      <c r="A99" s="0" t="s">
        <v>80</v>
      </c>
      <c r="B99" s="0" t="s">
        <v>80</v>
      </c>
      <c r="C99" s="0" t="s">
        <v>77</v>
      </c>
    </row>
    <row r="100" customFormat="false" ht="15" hidden="false" customHeight="false" outlineLevel="0" collapsed="false">
      <c r="A100" s="0" t="s">
        <v>123</v>
      </c>
      <c r="B100" s="0" t="s">
        <v>123</v>
      </c>
      <c r="C100" s="0" t="s">
        <v>107</v>
      </c>
    </row>
    <row r="101" customFormat="false" ht="15" hidden="false" customHeight="false" outlineLevel="0" collapsed="false">
      <c r="A101" s="0" t="s">
        <v>186</v>
      </c>
      <c r="B101" s="0" t="s">
        <v>32</v>
      </c>
      <c r="C101" s="0" t="s">
        <v>31</v>
      </c>
    </row>
    <row r="102" customFormat="false" ht="15" hidden="false" customHeight="false" outlineLevel="0" collapsed="false">
      <c r="A102" s="0" t="s">
        <v>153</v>
      </c>
      <c r="B102" s="0" t="s">
        <v>153</v>
      </c>
      <c r="C102" s="0" t="s">
        <v>147</v>
      </c>
    </row>
    <row r="103" customFormat="false" ht="15" hidden="false" customHeight="false" outlineLevel="0" collapsed="false">
      <c r="A103" s="0" t="s">
        <v>81</v>
      </c>
      <c r="B103" s="0" t="s">
        <v>81</v>
      </c>
      <c r="C103" s="0" t="s">
        <v>77</v>
      </c>
    </row>
    <row r="104" customFormat="false" ht="15" hidden="false" customHeight="false" outlineLevel="0" collapsed="false">
      <c r="A104" s="0" t="s">
        <v>82</v>
      </c>
      <c r="B104" s="0" t="s">
        <v>82</v>
      </c>
      <c r="C104" s="0" t="s">
        <v>77</v>
      </c>
    </row>
    <row r="105" customFormat="false" ht="15" hidden="false" customHeight="false" outlineLevel="0" collapsed="false">
      <c r="A105" s="0" t="s">
        <v>83</v>
      </c>
      <c r="B105" s="0" t="s">
        <v>83</v>
      </c>
      <c r="C105" s="0" t="s">
        <v>77</v>
      </c>
    </row>
    <row r="106" customFormat="false" ht="15" hidden="false" customHeight="false" outlineLevel="0" collapsed="false">
      <c r="A106" s="0" t="s">
        <v>84</v>
      </c>
      <c r="B106" s="0" t="s">
        <v>84</v>
      </c>
      <c r="C106" s="0" t="s">
        <v>77</v>
      </c>
    </row>
    <row r="107" customFormat="false" ht="15" hidden="false" customHeight="false" outlineLevel="0" collapsed="false">
      <c r="A107" s="0" t="s">
        <v>85</v>
      </c>
      <c r="B107" s="0" t="s">
        <v>85</v>
      </c>
      <c r="C107" s="0" t="s">
        <v>77</v>
      </c>
    </row>
    <row r="108" customFormat="false" ht="15" hidden="false" customHeight="false" outlineLevel="0" collapsed="false">
      <c r="A108" s="0" t="s">
        <v>86</v>
      </c>
      <c r="B108" s="0" t="s">
        <v>86</v>
      </c>
      <c r="C108" s="0" t="s">
        <v>77</v>
      </c>
    </row>
    <row r="109" customFormat="false" ht="15" hidden="false" customHeight="false" outlineLevel="0" collapsed="false">
      <c r="A109" s="0" t="s">
        <v>87</v>
      </c>
      <c r="B109" s="0" t="s">
        <v>87</v>
      </c>
      <c r="C109" s="0" t="s">
        <v>77</v>
      </c>
    </row>
    <row r="110" customFormat="false" ht="15" hidden="false" customHeight="false" outlineLevel="0" collapsed="false">
      <c r="A110" s="0" t="s">
        <v>88</v>
      </c>
      <c r="B110" s="0" t="s">
        <v>88</v>
      </c>
      <c r="C110" s="0" t="s">
        <v>77</v>
      </c>
    </row>
    <row r="111" customFormat="false" ht="15" hidden="false" customHeight="false" outlineLevel="0" collapsed="false">
      <c r="A111" s="0" t="s">
        <v>89</v>
      </c>
      <c r="B111" s="0" t="s">
        <v>89</v>
      </c>
      <c r="C111" s="0" t="s">
        <v>77</v>
      </c>
    </row>
    <row r="112" customFormat="false" ht="15" hidden="false" customHeight="false" outlineLevel="0" collapsed="false">
      <c r="A112" s="0" t="s">
        <v>90</v>
      </c>
      <c r="B112" s="0" t="s">
        <v>90</v>
      </c>
      <c r="C112" s="0" t="s">
        <v>77</v>
      </c>
    </row>
    <row r="113" customFormat="false" ht="15" hidden="false" customHeight="false" outlineLevel="0" collapsed="false">
      <c r="A113" s="0" t="s">
        <v>91</v>
      </c>
      <c r="B113" s="0" t="s">
        <v>91</v>
      </c>
      <c r="C113" s="0" t="s">
        <v>77</v>
      </c>
    </row>
    <row r="114" customFormat="false" ht="15" hidden="false" customHeight="false" outlineLevel="0" collapsed="false">
      <c r="A114" s="0" t="s">
        <v>92</v>
      </c>
      <c r="B114" s="0" t="s">
        <v>92</v>
      </c>
      <c r="C114" s="0" t="s">
        <v>77</v>
      </c>
    </row>
    <row r="115" customFormat="false" ht="15" hidden="false" customHeight="false" outlineLevel="0" collapsed="false">
      <c r="A115" s="0" t="s">
        <v>154</v>
      </c>
      <c r="B115" s="0" t="s">
        <v>154</v>
      </c>
      <c r="C115" s="0" t="s">
        <v>147</v>
      </c>
    </row>
    <row r="116" customFormat="false" ht="15" hidden="false" customHeight="false" outlineLevel="0" collapsed="false">
      <c r="A116" s="0" t="s">
        <v>93</v>
      </c>
      <c r="B116" s="0" t="s">
        <v>93</v>
      </c>
      <c r="C116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">
        <v>165</v>
      </c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12</v>
      </c>
    </row>
    <row r="2" customFormat="false" ht="15" hidden="false" customHeight="false" outlineLevel="0" collapsed="false">
      <c r="A2" s="0" t="s">
        <v>187</v>
      </c>
      <c r="B2" s="14" t="n">
        <v>46022</v>
      </c>
      <c r="C2" s="16" t="s">
        <v>188</v>
      </c>
      <c r="D2" s="7" t="n">
        <v>-5</v>
      </c>
      <c r="E2" s="16" t="s">
        <v>189</v>
      </c>
      <c r="F2" s="7" t="n">
        <v>30206.23</v>
      </c>
      <c r="G2" s="16" t="s">
        <v>65</v>
      </c>
    </row>
    <row r="3" customFormat="false" ht="15" hidden="false" customHeight="false" outlineLevel="0" collapsed="false">
      <c r="A3" s="0" t="s">
        <v>187</v>
      </c>
      <c r="B3" s="14" t="n">
        <v>46022</v>
      </c>
      <c r="C3" s="16" t="s">
        <v>190</v>
      </c>
      <c r="D3" s="7" t="n">
        <v>-750</v>
      </c>
      <c r="E3" s="16" t="s">
        <v>191</v>
      </c>
      <c r="F3" s="7" t="n">
        <v>30211.23</v>
      </c>
      <c r="G3" s="16" t="s">
        <v>65</v>
      </c>
    </row>
    <row r="4" customFormat="false" ht="15" hidden="false" customHeight="false" outlineLevel="0" collapsed="false">
      <c r="A4" s="0" t="s">
        <v>187</v>
      </c>
      <c r="B4" s="14" t="n">
        <v>46022</v>
      </c>
      <c r="C4" s="16" t="s">
        <v>192</v>
      </c>
      <c r="D4" s="7" t="n">
        <v>-619.87</v>
      </c>
      <c r="E4" s="16" t="s">
        <v>193</v>
      </c>
      <c r="F4" s="7" t="n">
        <v>30961.23</v>
      </c>
      <c r="G4" s="16" t="s">
        <v>181</v>
      </c>
    </row>
    <row r="5" customFormat="false" ht="15" hidden="false" customHeight="false" outlineLevel="0" collapsed="false">
      <c r="A5" s="0" t="s">
        <v>187</v>
      </c>
      <c r="B5" s="14" t="n">
        <v>46021</v>
      </c>
      <c r="C5" s="16" t="s">
        <v>194</v>
      </c>
      <c r="D5" s="7" t="n">
        <v>-2524</v>
      </c>
      <c r="E5" s="16" t="s">
        <v>193</v>
      </c>
      <c r="F5" s="7" t="n">
        <v>31581.1</v>
      </c>
      <c r="G5" s="16" t="s">
        <v>103</v>
      </c>
    </row>
    <row r="6" customFormat="false" ht="15" hidden="false" customHeight="false" outlineLevel="0" collapsed="false">
      <c r="A6" s="0" t="s">
        <v>187</v>
      </c>
      <c r="B6" s="14" t="n">
        <v>46020</v>
      </c>
      <c r="C6" s="16" t="s">
        <v>195</v>
      </c>
      <c r="D6" s="7" t="n">
        <v>-510.09</v>
      </c>
      <c r="E6" s="16" t="s">
        <v>193</v>
      </c>
      <c r="F6" s="7" t="n">
        <v>34105.1</v>
      </c>
      <c r="G6" s="16" t="s">
        <v>145</v>
      </c>
    </row>
    <row r="7" customFormat="false" ht="15" hidden="false" customHeight="false" outlineLevel="0" collapsed="false">
      <c r="A7" s="0" t="s">
        <v>187</v>
      </c>
      <c r="B7" s="14" t="n">
        <v>46020</v>
      </c>
      <c r="C7" s="16" t="s">
        <v>196</v>
      </c>
      <c r="D7" s="7" t="n">
        <v>-1750</v>
      </c>
      <c r="E7" s="16" t="s">
        <v>197</v>
      </c>
      <c r="F7" s="7" t="n">
        <v>34615.19</v>
      </c>
      <c r="G7" s="16" t="s">
        <v>69</v>
      </c>
    </row>
    <row r="8" customFormat="false" ht="15" hidden="false" customHeight="false" outlineLevel="0" collapsed="false">
      <c r="A8" s="0" t="s">
        <v>187</v>
      </c>
      <c r="B8" s="14" t="n">
        <v>46020</v>
      </c>
      <c r="C8" s="16" t="s">
        <v>198</v>
      </c>
      <c r="D8" s="7" t="n">
        <v>-12.5</v>
      </c>
      <c r="E8" s="16" t="s">
        <v>193</v>
      </c>
      <c r="F8" s="7" t="n">
        <v>36365.19</v>
      </c>
      <c r="G8" s="16" t="s">
        <v>142</v>
      </c>
    </row>
    <row r="9" customFormat="false" ht="15" hidden="false" customHeight="false" outlineLevel="0" collapsed="false">
      <c r="A9" s="0" t="s">
        <v>187</v>
      </c>
      <c r="B9" s="14" t="n">
        <v>46020</v>
      </c>
      <c r="C9" s="16" t="s">
        <v>199</v>
      </c>
      <c r="D9" s="7" t="n">
        <v>-22.92</v>
      </c>
      <c r="E9" s="16" t="s">
        <v>193</v>
      </c>
      <c r="F9" s="7" t="n">
        <v>36377.69</v>
      </c>
      <c r="G9" s="16" t="s">
        <v>142</v>
      </c>
    </row>
    <row r="10" customFormat="false" ht="15" hidden="false" customHeight="false" outlineLevel="0" collapsed="false">
      <c r="A10" s="0" t="s">
        <v>187</v>
      </c>
      <c r="B10" s="14" t="n">
        <v>46020</v>
      </c>
      <c r="C10" s="16" t="s">
        <v>200</v>
      </c>
      <c r="D10" s="7" t="n">
        <v>-121.21</v>
      </c>
      <c r="E10" s="16" t="s">
        <v>193</v>
      </c>
      <c r="F10" s="7" t="n">
        <v>36400.61</v>
      </c>
      <c r="G10" s="16" t="s">
        <v>122</v>
      </c>
    </row>
    <row r="11" customFormat="false" ht="15" hidden="false" customHeight="false" outlineLevel="0" collapsed="false">
      <c r="A11" s="0" t="s">
        <v>187</v>
      </c>
      <c r="B11" s="14" t="n">
        <v>46020</v>
      </c>
      <c r="C11" s="16" t="s">
        <v>201</v>
      </c>
      <c r="D11" s="7" t="n">
        <v>-150</v>
      </c>
      <c r="E11" s="16" t="s">
        <v>193</v>
      </c>
      <c r="F11" s="7" t="n">
        <v>36521.82</v>
      </c>
      <c r="G11" s="16" t="s">
        <v>80</v>
      </c>
    </row>
    <row r="12" customFormat="false" ht="15" hidden="false" customHeight="false" outlineLevel="0" collapsed="false">
      <c r="A12" s="0" t="s">
        <v>187</v>
      </c>
      <c r="B12" s="14" t="n">
        <v>46020</v>
      </c>
      <c r="C12" s="16" t="s">
        <v>202</v>
      </c>
      <c r="D12" s="7" t="n">
        <v>-1581.75</v>
      </c>
      <c r="E12" s="16" t="s">
        <v>193</v>
      </c>
      <c r="F12" s="7" t="n">
        <v>36671.82</v>
      </c>
      <c r="G12" s="16" t="s">
        <v>101</v>
      </c>
    </row>
    <row r="13" customFormat="false" ht="15" hidden="false" customHeight="false" outlineLevel="0" collapsed="false">
      <c r="A13" s="0" t="s">
        <v>187</v>
      </c>
      <c r="B13" s="14" t="n">
        <v>46020</v>
      </c>
      <c r="C13" s="16" t="s">
        <v>203</v>
      </c>
      <c r="D13" s="7" t="n">
        <v>-2290.33</v>
      </c>
      <c r="E13" s="16" t="s">
        <v>193</v>
      </c>
      <c r="F13" s="7" t="n">
        <v>38253.57</v>
      </c>
      <c r="G13" s="16" t="s">
        <v>181</v>
      </c>
    </row>
    <row r="14" customFormat="false" ht="15" hidden="false" customHeight="false" outlineLevel="0" collapsed="false">
      <c r="A14" s="0" t="s">
        <v>187</v>
      </c>
      <c r="B14" s="14" t="n">
        <v>46020</v>
      </c>
      <c r="C14" s="16" t="s">
        <v>204</v>
      </c>
      <c r="D14" s="7" t="n">
        <v>-29571.15</v>
      </c>
      <c r="E14" s="16" t="s">
        <v>193</v>
      </c>
      <c r="F14" s="7" t="n">
        <v>40543.9</v>
      </c>
      <c r="G14" s="16" t="s">
        <v>101</v>
      </c>
    </row>
    <row r="15" customFormat="false" ht="15" hidden="false" customHeight="false" outlineLevel="0" collapsed="false">
      <c r="A15" s="0" t="s">
        <v>187</v>
      </c>
      <c r="B15" s="14" t="n">
        <v>46020</v>
      </c>
      <c r="C15" s="16" t="s">
        <v>205</v>
      </c>
      <c r="D15" s="7" t="n">
        <v>-300</v>
      </c>
      <c r="E15" s="16" t="s">
        <v>206</v>
      </c>
      <c r="F15" s="7" t="n">
        <v>70115.05</v>
      </c>
      <c r="G15" s="16" t="s">
        <v>72</v>
      </c>
    </row>
    <row r="16" customFormat="false" ht="15" hidden="false" customHeight="false" outlineLevel="0" collapsed="false">
      <c r="A16" s="0" t="s">
        <v>187</v>
      </c>
      <c r="B16" s="14" t="n">
        <v>46020</v>
      </c>
      <c r="C16" s="16" t="s">
        <v>207</v>
      </c>
      <c r="D16" s="7" t="n">
        <v>-500</v>
      </c>
      <c r="E16" s="16" t="s">
        <v>208</v>
      </c>
      <c r="F16" s="7" t="n">
        <v>70415.05</v>
      </c>
      <c r="G16" s="16" t="s">
        <v>180</v>
      </c>
    </row>
    <row r="17" customFormat="false" ht="15" hidden="false" customHeight="false" outlineLevel="0" collapsed="false">
      <c r="A17" s="0" t="s">
        <v>187</v>
      </c>
      <c r="B17" s="14" t="n">
        <v>46020</v>
      </c>
      <c r="C17" s="16" t="s">
        <v>209</v>
      </c>
      <c r="D17" s="7" t="n">
        <v>-1400</v>
      </c>
      <c r="E17" s="16" t="s">
        <v>208</v>
      </c>
      <c r="F17" s="7" t="n">
        <v>70915.05</v>
      </c>
      <c r="G17" s="16" t="s">
        <v>180</v>
      </c>
    </row>
    <row r="18" customFormat="false" ht="15" hidden="false" customHeight="false" outlineLevel="0" collapsed="false">
      <c r="A18" s="0" t="s">
        <v>187</v>
      </c>
      <c r="B18" s="14" t="n">
        <v>46020</v>
      </c>
      <c r="C18" s="16" t="s">
        <v>210</v>
      </c>
      <c r="D18" s="7" t="n">
        <v>-700</v>
      </c>
      <c r="E18" s="16" t="s">
        <v>208</v>
      </c>
      <c r="F18" s="7" t="n">
        <v>72315.05</v>
      </c>
      <c r="G18" s="16" t="s">
        <v>180</v>
      </c>
    </row>
    <row r="19" customFormat="false" ht="15" hidden="false" customHeight="false" outlineLevel="0" collapsed="false">
      <c r="A19" s="0" t="s">
        <v>187</v>
      </c>
      <c r="B19" s="14" t="n">
        <v>46020</v>
      </c>
      <c r="C19" s="16" t="s">
        <v>211</v>
      </c>
      <c r="D19" s="7" t="n">
        <v>-7100</v>
      </c>
      <c r="E19" s="16" t="s">
        <v>208</v>
      </c>
      <c r="F19" s="7" t="n">
        <v>73015.05</v>
      </c>
      <c r="G19" s="16" t="s">
        <v>134</v>
      </c>
    </row>
    <row r="20" customFormat="false" ht="15" hidden="false" customHeight="false" outlineLevel="0" collapsed="false">
      <c r="A20" s="0" t="s">
        <v>187</v>
      </c>
      <c r="B20" s="14" t="n">
        <v>46020</v>
      </c>
      <c r="C20" s="16" t="s">
        <v>212</v>
      </c>
      <c r="D20" s="7" t="n">
        <v>-1000</v>
      </c>
      <c r="E20" s="16" t="s">
        <v>213</v>
      </c>
      <c r="F20" s="7" t="n">
        <v>80115.05</v>
      </c>
      <c r="G20" s="16" t="s">
        <v>97</v>
      </c>
    </row>
    <row r="21" customFormat="false" ht="15" hidden="false" customHeight="false" outlineLevel="0" collapsed="false">
      <c r="A21" s="0" t="s">
        <v>187</v>
      </c>
      <c r="B21" s="14" t="n">
        <v>46020</v>
      </c>
      <c r="C21" s="16" t="s">
        <v>214</v>
      </c>
      <c r="D21" s="7" t="n">
        <v>-500</v>
      </c>
      <c r="E21" s="16" t="s">
        <v>215</v>
      </c>
      <c r="F21" s="7" t="n">
        <v>81115.05</v>
      </c>
      <c r="G21" s="16" t="s">
        <v>91</v>
      </c>
    </row>
    <row r="22" customFormat="false" ht="15" hidden="false" customHeight="false" outlineLevel="0" collapsed="false">
      <c r="A22" s="0" t="s">
        <v>187</v>
      </c>
      <c r="B22" s="14" t="n">
        <v>46020</v>
      </c>
      <c r="C22" s="16" t="s">
        <v>216</v>
      </c>
      <c r="D22" s="7" t="n">
        <v>-500</v>
      </c>
      <c r="E22" s="16" t="s">
        <v>215</v>
      </c>
      <c r="F22" s="7" t="n">
        <v>81615.05</v>
      </c>
      <c r="G22" s="16" t="s">
        <v>87</v>
      </c>
    </row>
    <row r="23" customFormat="false" ht="15" hidden="false" customHeight="false" outlineLevel="0" collapsed="false">
      <c r="A23" s="0" t="s">
        <v>187</v>
      </c>
      <c r="B23" s="14" t="n">
        <v>46020</v>
      </c>
      <c r="C23" s="16" t="s">
        <v>217</v>
      </c>
      <c r="D23" s="7" t="n">
        <v>-100</v>
      </c>
      <c r="E23" s="16" t="s">
        <v>215</v>
      </c>
      <c r="F23" s="7" t="n">
        <v>82115.05</v>
      </c>
      <c r="G23" s="16" t="s">
        <v>87</v>
      </c>
    </row>
    <row r="24" customFormat="false" ht="15" hidden="false" customHeight="false" outlineLevel="0" collapsed="false">
      <c r="A24" s="0" t="s">
        <v>187</v>
      </c>
      <c r="B24" s="14" t="n">
        <v>46020</v>
      </c>
      <c r="C24" s="16" t="s">
        <v>218</v>
      </c>
      <c r="D24" s="7" t="n">
        <v>-100</v>
      </c>
      <c r="E24" s="16" t="s">
        <v>215</v>
      </c>
      <c r="F24" s="7" t="n">
        <v>82215.05</v>
      </c>
      <c r="G24" s="16" t="s">
        <v>87</v>
      </c>
    </row>
    <row r="25" customFormat="false" ht="15" hidden="false" customHeight="false" outlineLevel="0" collapsed="false">
      <c r="A25" s="0" t="s">
        <v>187</v>
      </c>
      <c r="B25" s="14" t="n">
        <v>46017</v>
      </c>
      <c r="C25" s="16" t="s">
        <v>219</v>
      </c>
      <c r="D25" s="7" t="n">
        <v>-20.51</v>
      </c>
      <c r="E25" s="16" t="s">
        <v>206</v>
      </c>
      <c r="F25" s="7" t="n">
        <v>82315.05</v>
      </c>
      <c r="G25" s="16" t="s">
        <v>144</v>
      </c>
    </row>
    <row r="26" customFormat="false" ht="15" hidden="false" customHeight="false" outlineLevel="0" collapsed="false">
      <c r="A26" s="0" t="s">
        <v>187</v>
      </c>
      <c r="B26" s="14" t="n">
        <v>46015</v>
      </c>
      <c r="C26" s="16" t="s">
        <v>220</v>
      </c>
      <c r="D26" s="7" t="n">
        <v>-100</v>
      </c>
      <c r="E26" s="16" t="s">
        <v>193</v>
      </c>
      <c r="F26" s="7" t="n">
        <v>82335.56</v>
      </c>
      <c r="G26" s="16" t="s">
        <v>80</v>
      </c>
    </row>
    <row r="27" customFormat="false" ht="15" hidden="false" customHeight="false" outlineLevel="0" collapsed="false">
      <c r="A27" s="0" t="s">
        <v>187</v>
      </c>
      <c r="B27" s="14" t="n">
        <v>46015</v>
      </c>
      <c r="C27" s="16" t="s">
        <v>221</v>
      </c>
      <c r="D27" s="7" t="n">
        <v>-1000</v>
      </c>
      <c r="E27" s="16" t="s">
        <v>193</v>
      </c>
      <c r="F27" s="7" t="n">
        <v>82435.56</v>
      </c>
      <c r="G27" s="16" t="s">
        <v>141</v>
      </c>
    </row>
    <row r="28" customFormat="false" ht="15" hidden="false" customHeight="false" outlineLevel="0" collapsed="false">
      <c r="A28" s="0" t="s">
        <v>187</v>
      </c>
      <c r="B28" s="14" t="n">
        <v>46014</v>
      </c>
      <c r="C28" s="16" t="s">
        <v>222</v>
      </c>
      <c r="D28" s="7" t="n">
        <v>-331.54</v>
      </c>
      <c r="E28" s="16" t="s">
        <v>193</v>
      </c>
      <c r="F28" s="7" t="n">
        <v>83435.56</v>
      </c>
      <c r="G28" s="16" t="s">
        <v>148</v>
      </c>
    </row>
    <row r="29" customFormat="false" ht="15" hidden="false" customHeight="false" outlineLevel="0" collapsed="false">
      <c r="A29" s="0" t="s">
        <v>187</v>
      </c>
      <c r="B29" s="14" t="n">
        <v>46013</v>
      </c>
      <c r="C29" s="16" t="s">
        <v>223</v>
      </c>
      <c r="D29" s="7" t="n">
        <v>-10</v>
      </c>
      <c r="E29" s="16" t="s">
        <v>224</v>
      </c>
      <c r="F29" s="7" t="n">
        <v>83767.1</v>
      </c>
      <c r="G29" s="16" t="s">
        <v>119</v>
      </c>
    </row>
    <row r="30" customFormat="false" ht="15" hidden="false" customHeight="false" outlineLevel="0" collapsed="false">
      <c r="A30" s="0" t="s">
        <v>187</v>
      </c>
      <c r="B30" s="14" t="n">
        <v>46013</v>
      </c>
      <c r="C30" s="16" t="s">
        <v>225</v>
      </c>
      <c r="D30" s="7" t="n">
        <v>-4000</v>
      </c>
      <c r="E30" s="16" t="s">
        <v>224</v>
      </c>
      <c r="F30" s="7" t="n">
        <v>83777.1</v>
      </c>
      <c r="G30" s="16" t="s">
        <v>66</v>
      </c>
    </row>
    <row r="31" customFormat="false" ht="15" hidden="false" customHeight="false" outlineLevel="0" collapsed="false">
      <c r="A31" s="0" t="s">
        <v>187</v>
      </c>
      <c r="B31" s="14" t="n">
        <v>46013</v>
      </c>
      <c r="C31" s="16" t="s">
        <v>226</v>
      </c>
      <c r="D31" s="7" t="n">
        <v>-5000</v>
      </c>
      <c r="E31" s="16" t="s">
        <v>213</v>
      </c>
      <c r="F31" s="7" t="n">
        <v>87777.1</v>
      </c>
      <c r="G31" s="16" t="s">
        <v>96</v>
      </c>
    </row>
    <row r="32" customFormat="false" ht="15" hidden="false" customHeight="false" outlineLevel="0" collapsed="false">
      <c r="A32" s="0" t="s">
        <v>187</v>
      </c>
      <c r="B32" s="14" t="n">
        <v>46013</v>
      </c>
      <c r="C32" s="16" t="s">
        <v>227</v>
      </c>
      <c r="D32" s="7" t="n">
        <v>-1500</v>
      </c>
      <c r="E32" s="16" t="s">
        <v>197</v>
      </c>
      <c r="F32" s="7" t="n">
        <v>92777.1</v>
      </c>
      <c r="G32" s="16" t="s">
        <v>69</v>
      </c>
    </row>
    <row r="33" customFormat="false" ht="15" hidden="false" customHeight="false" outlineLevel="0" collapsed="false">
      <c r="A33" s="0" t="s">
        <v>187</v>
      </c>
      <c r="B33" s="14" t="n">
        <v>46013</v>
      </c>
      <c r="C33" s="16" t="s">
        <v>228</v>
      </c>
      <c r="D33" s="7" t="n">
        <v>-17.95</v>
      </c>
      <c r="E33" s="16" t="s">
        <v>206</v>
      </c>
      <c r="F33" s="7" t="n">
        <v>94277.1</v>
      </c>
      <c r="G33" s="16" t="s">
        <v>144</v>
      </c>
    </row>
    <row r="34" customFormat="false" ht="15" hidden="false" customHeight="false" outlineLevel="0" collapsed="false">
      <c r="A34" s="0" t="s">
        <v>187</v>
      </c>
      <c r="B34" s="14" t="n">
        <v>46013</v>
      </c>
      <c r="C34" s="16" t="s">
        <v>229</v>
      </c>
      <c r="D34" s="7" t="n">
        <v>-309</v>
      </c>
      <c r="E34" s="16" t="s">
        <v>206</v>
      </c>
      <c r="F34" s="7" t="n">
        <v>94295.05</v>
      </c>
      <c r="G34" s="16" t="s">
        <v>183</v>
      </c>
    </row>
    <row r="35" customFormat="false" ht="15" hidden="false" customHeight="false" outlineLevel="0" collapsed="false">
      <c r="A35" s="0" t="s">
        <v>187</v>
      </c>
      <c r="B35" s="14" t="n">
        <v>46013</v>
      </c>
      <c r="C35" s="16" t="s">
        <v>230</v>
      </c>
      <c r="D35" s="7" t="n">
        <v>-100</v>
      </c>
      <c r="E35" s="16" t="s">
        <v>206</v>
      </c>
      <c r="F35" s="7" t="n">
        <v>94604.05</v>
      </c>
      <c r="G35" s="16" t="s">
        <v>72</v>
      </c>
    </row>
    <row r="36" customFormat="false" ht="15" hidden="false" customHeight="false" outlineLevel="0" collapsed="false">
      <c r="A36" s="0" t="s">
        <v>187</v>
      </c>
      <c r="B36" s="14" t="n">
        <v>46010</v>
      </c>
      <c r="C36" s="16" t="s">
        <v>231</v>
      </c>
      <c r="D36" s="7" t="n">
        <v>-3000</v>
      </c>
      <c r="E36" s="16" t="s">
        <v>213</v>
      </c>
      <c r="F36" s="7" t="n">
        <v>94704.05</v>
      </c>
      <c r="G36" s="16" t="s">
        <v>96</v>
      </c>
    </row>
    <row r="37" customFormat="false" ht="15" hidden="false" customHeight="false" outlineLevel="0" collapsed="false">
      <c r="A37" s="0" t="s">
        <v>187</v>
      </c>
      <c r="B37" s="14" t="n">
        <v>46010</v>
      </c>
      <c r="C37" s="16" t="s">
        <v>232</v>
      </c>
      <c r="D37" s="7" t="n">
        <v>-15.98</v>
      </c>
      <c r="E37" s="16" t="s">
        <v>206</v>
      </c>
      <c r="F37" s="7" t="n">
        <v>97704.05</v>
      </c>
      <c r="G37" s="16" t="s">
        <v>118</v>
      </c>
    </row>
    <row r="38" customFormat="false" ht="15" hidden="false" customHeight="false" outlineLevel="0" collapsed="false">
      <c r="A38" s="0" t="s">
        <v>187</v>
      </c>
      <c r="B38" s="14" t="n">
        <v>46010</v>
      </c>
      <c r="C38" s="16" t="s">
        <v>233</v>
      </c>
      <c r="D38" s="7" t="n">
        <v>-21.98</v>
      </c>
      <c r="E38" s="16" t="s">
        <v>206</v>
      </c>
      <c r="F38" s="7" t="n">
        <v>97720.03</v>
      </c>
      <c r="G38" s="16" t="s">
        <v>118</v>
      </c>
    </row>
    <row r="39" customFormat="false" ht="15" hidden="false" customHeight="false" outlineLevel="0" collapsed="false">
      <c r="A39" s="0" t="s">
        <v>187</v>
      </c>
      <c r="B39" s="14" t="n">
        <v>46009</v>
      </c>
      <c r="C39" s="16" t="s">
        <v>188</v>
      </c>
      <c r="D39" s="7" t="n">
        <v>-5</v>
      </c>
      <c r="E39" s="16" t="s">
        <v>189</v>
      </c>
      <c r="F39" s="7" t="n">
        <v>97742.01</v>
      </c>
      <c r="G39" s="16" t="s">
        <v>65</v>
      </c>
    </row>
    <row r="40" customFormat="false" ht="15" hidden="false" customHeight="false" outlineLevel="0" collapsed="false">
      <c r="A40" s="0" t="s">
        <v>187</v>
      </c>
      <c r="B40" s="14" t="n">
        <v>46009</v>
      </c>
      <c r="C40" s="16" t="s">
        <v>234</v>
      </c>
      <c r="D40" s="7" t="n">
        <v>-800</v>
      </c>
      <c r="E40" s="16" t="s">
        <v>193</v>
      </c>
      <c r="F40" s="7" t="n">
        <v>97747.01</v>
      </c>
      <c r="G40" s="16" t="s">
        <v>80</v>
      </c>
    </row>
    <row r="41" customFormat="false" ht="15" hidden="false" customHeight="false" outlineLevel="0" collapsed="false">
      <c r="A41" s="0" t="s">
        <v>187</v>
      </c>
      <c r="B41" s="14" t="n">
        <v>46009</v>
      </c>
      <c r="C41" s="16" t="s">
        <v>235</v>
      </c>
      <c r="D41" s="7" t="n">
        <v>-80</v>
      </c>
      <c r="E41" s="16" t="s">
        <v>215</v>
      </c>
      <c r="F41" s="7" t="n">
        <v>98547.01</v>
      </c>
      <c r="G41" s="16" t="s">
        <v>120</v>
      </c>
    </row>
    <row r="42" customFormat="false" ht="15" hidden="false" customHeight="false" outlineLevel="0" collapsed="false">
      <c r="A42" s="0" t="s">
        <v>187</v>
      </c>
      <c r="B42" s="14" t="n">
        <v>46009</v>
      </c>
      <c r="C42" s="16" t="s">
        <v>236</v>
      </c>
      <c r="D42" s="7" t="n">
        <v>-750</v>
      </c>
      <c r="E42" s="16" t="s">
        <v>191</v>
      </c>
      <c r="F42" s="7" t="n">
        <v>98627.01</v>
      </c>
      <c r="G42" s="16" t="s">
        <v>65</v>
      </c>
    </row>
    <row r="43" customFormat="false" ht="15" hidden="false" customHeight="false" outlineLevel="0" collapsed="false">
      <c r="A43" s="0" t="s">
        <v>187</v>
      </c>
      <c r="B43" s="14" t="n">
        <v>46008</v>
      </c>
      <c r="C43" s="16" t="s">
        <v>188</v>
      </c>
      <c r="D43" s="7" t="n">
        <v>-5</v>
      </c>
      <c r="E43" s="16" t="s">
        <v>189</v>
      </c>
      <c r="F43" s="7" t="n">
        <v>99377.01</v>
      </c>
      <c r="G43" s="16" t="s">
        <v>65</v>
      </c>
    </row>
    <row r="44" customFormat="false" ht="15" hidden="false" customHeight="false" outlineLevel="0" collapsed="false">
      <c r="A44" s="0" t="s">
        <v>187</v>
      </c>
      <c r="B44" s="14" t="n">
        <v>46008</v>
      </c>
      <c r="C44" s="16" t="s">
        <v>237</v>
      </c>
      <c r="D44" s="7" t="n">
        <v>-130</v>
      </c>
      <c r="E44" s="16" t="s">
        <v>193</v>
      </c>
      <c r="F44" s="7" t="n">
        <v>99382.01</v>
      </c>
      <c r="G44" s="16" t="s">
        <v>80</v>
      </c>
    </row>
    <row r="45" customFormat="false" ht="15" hidden="false" customHeight="false" outlineLevel="0" collapsed="false">
      <c r="A45" s="0" t="s">
        <v>187</v>
      </c>
      <c r="B45" s="14" t="n">
        <v>46008</v>
      </c>
      <c r="C45" s="16" t="s">
        <v>238</v>
      </c>
      <c r="D45" s="7" t="n">
        <v>-1500</v>
      </c>
      <c r="E45" s="16" t="s">
        <v>191</v>
      </c>
      <c r="F45" s="7" t="n">
        <v>99512.01</v>
      </c>
      <c r="G45" s="16" t="s">
        <v>65</v>
      </c>
    </row>
    <row r="46" customFormat="false" ht="15" hidden="false" customHeight="false" outlineLevel="0" collapsed="false">
      <c r="A46" s="0" t="s">
        <v>187</v>
      </c>
      <c r="B46" s="14" t="n">
        <v>46007</v>
      </c>
      <c r="C46" s="16" t="s">
        <v>239</v>
      </c>
      <c r="D46" s="7" t="n">
        <v>-25</v>
      </c>
      <c r="E46" s="16" t="s">
        <v>189</v>
      </c>
      <c r="F46" s="7" t="n">
        <v>101012.01</v>
      </c>
      <c r="G46" s="16" t="s">
        <v>123</v>
      </c>
    </row>
    <row r="47" customFormat="false" ht="15" hidden="false" customHeight="false" outlineLevel="0" collapsed="false">
      <c r="A47" s="0" t="s">
        <v>187</v>
      </c>
      <c r="B47" s="14" t="n">
        <v>46007</v>
      </c>
      <c r="C47" s="16" t="s">
        <v>240</v>
      </c>
      <c r="D47" s="7" t="n">
        <v>-200</v>
      </c>
      <c r="E47" s="16" t="s">
        <v>193</v>
      </c>
      <c r="F47" s="7" t="n">
        <v>101037.01</v>
      </c>
      <c r="G47" s="16" t="s">
        <v>80</v>
      </c>
    </row>
    <row r="48" customFormat="false" ht="15" hidden="false" customHeight="false" outlineLevel="0" collapsed="false">
      <c r="A48" s="0" t="s">
        <v>187</v>
      </c>
      <c r="B48" s="14" t="n">
        <v>46007</v>
      </c>
      <c r="C48" s="16" t="s">
        <v>241</v>
      </c>
      <c r="D48" s="7" t="n">
        <v>-300</v>
      </c>
      <c r="E48" s="16" t="s">
        <v>213</v>
      </c>
      <c r="F48" s="7" t="n">
        <v>101237.01</v>
      </c>
      <c r="G48" s="16" t="s">
        <v>97</v>
      </c>
    </row>
    <row r="49" customFormat="false" ht="15" hidden="false" customHeight="false" outlineLevel="0" collapsed="false">
      <c r="A49" s="0" t="s">
        <v>187</v>
      </c>
      <c r="B49" s="14" t="n">
        <v>46007</v>
      </c>
      <c r="C49" s="16" t="s">
        <v>242</v>
      </c>
      <c r="D49" s="7" t="n">
        <v>-500.19</v>
      </c>
      <c r="E49" s="16" t="s">
        <v>206</v>
      </c>
      <c r="F49" s="7" t="n">
        <v>101537.01</v>
      </c>
      <c r="G49" s="16" t="s">
        <v>67</v>
      </c>
    </row>
    <row r="50" customFormat="false" ht="15" hidden="false" customHeight="false" outlineLevel="0" collapsed="false">
      <c r="A50" s="0" t="s">
        <v>187</v>
      </c>
      <c r="B50" s="14" t="n">
        <v>46007</v>
      </c>
      <c r="C50" s="16" t="s">
        <v>243</v>
      </c>
      <c r="D50" s="7" t="n">
        <v>-104.01</v>
      </c>
      <c r="E50" s="16" t="s">
        <v>193</v>
      </c>
      <c r="F50" s="7" t="n">
        <v>102037.2</v>
      </c>
      <c r="G50" s="16" t="s">
        <v>114</v>
      </c>
    </row>
    <row r="51" customFormat="false" ht="15" hidden="false" customHeight="false" outlineLevel="0" collapsed="false">
      <c r="A51" s="0" t="s">
        <v>187</v>
      </c>
      <c r="B51" s="14" t="n">
        <v>46007</v>
      </c>
      <c r="C51" s="16" t="s">
        <v>244</v>
      </c>
      <c r="D51" s="7" t="n">
        <v>-5000</v>
      </c>
      <c r="E51" s="16" t="s">
        <v>191</v>
      </c>
      <c r="F51" s="7" t="n">
        <v>102141.21</v>
      </c>
      <c r="G51" s="16" t="s">
        <v>38</v>
      </c>
    </row>
    <row r="52" customFormat="false" ht="15" hidden="false" customHeight="false" outlineLevel="0" collapsed="false">
      <c r="A52" s="0" t="s">
        <v>187</v>
      </c>
      <c r="B52" s="14" t="n">
        <v>46006</v>
      </c>
      <c r="C52" s="16" t="s">
        <v>245</v>
      </c>
      <c r="D52" s="7" t="n">
        <v>-1500</v>
      </c>
      <c r="E52" s="16" t="s">
        <v>197</v>
      </c>
      <c r="F52" s="7" t="n">
        <v>107141.21</v>
      </c>
      <c r="G52" s="16" t="s">
        <v>69</v>
      </c>
    </row>
    <row r="53" customFormat="false" ht="15" hidden="false" customHeight="false" outlineLevel="0" collapsed="false">
      <c r="A53" s="0" t="s">
        <v>187</v>
      </c>
      <c r="B53" s="14" t="n">
        <v>46006</v>
      </c>
      <c r="C53" s="16" t="s">
        <v>246</v>
      </c>
      <c r="D53" s="7" t="n">
        <v>-10</v>
      </c>
      <c r="E53" s="16" t="s">
        <v>193</v>
      </c>
      <c r="F53" s="7" t="n">
        <v>108641.21</v>
      </c>
      <c r="G53" s="16" t="s">
        <v>80</v>
      </c>
    </row>
    <row r="54" customFormat="false" ht="15" hidden="false" customHeight="false" outlineLevel="0" collapsed="false">
      <c r="A54" s="0" t="s">
        <v>187</v>
      </c>
      <c r="B54" s="14" t="n">
        <v>46006</v>
      </c>
      <c r="C54" s="16" t="s">
        <v>247</v>
      </c>
      <c r="D54" s="7" t="n">
        <v>-60</v>
      </c>
      <c r="E54" s="16" t="s">
        <v>193</v>
      </c>
      <c r="F54" s="7" t="n">
        <v>108651.21</v>
      </c>
      <c r="G54" s="16" t="s">
        <v>80</v>
      </c>
    </row>
    <row r="55" customFormat="false" ht="15" hidden="false" customHeight="false" outlineLevel="0" collapsed="false">
      <c r="A55" s="0" t="s">
        <v>187</v>
      </c>
      <c r="B55" s="14" t="n">
        <v>46006</v>
      </c>
      <c r="C55" s="16" t="s">
        <v>248</v>
      </c>
      <c r="D55" s="7" t="n">
        <v>-150</v>
      </c>
      <c r="E55" s="16" t="s">
        <v>215</v>
      </c>
      <c r="F55" s="7" t="n">
        <v>108711.21</v>
      </c>
      <c r="G55" s="16" t="s">
        <v>87</v>
      </c>
    </row>
    <row r="56" customFormat="false" ht="15" hidden="false" customHeight="false" outlineLevel="0" collapsed="false">
      <c r="A56" s="0" t="s">
        <v>187</v>
      </c>
      <c r="B56" s="14" t="n">
        <v>46006</v>
      </c>
      <c r="C56" s="16" t="s">
        <v>249</v>
      </c>
      <c r="D56" s="7" t="n">
        <v>-500</v>
      </c>
      <c r="E56" s="16" t="s">
        <v>215</v>
      </c>
      <c r="F56" s="7" t="n">
        <v>108861.21</v>
      </c>
      <c r="G56" s="16" t="s">
        <v>84</v>
      </c>
    </row>
    <row r="57" customFormat="false" ht="15" hidden="false" customHeight="false" outlineLevel="0" collapsed="false">
      <c r="A57" s="0" t="s">
        <v>187</v>
      </c>
      <c r="B57" s="14" t="n">
        <v>46003</v>
      </c>
      <c r="C57" s="16" t="s">
        <v>250</v>
      </c>
      <c r="D57" s="7" t="n">
        <v>-2000</v>
      </c>
      <c r="E57" s="16" t="s">
        <v>193</v>
      </c>
      <c r="F57" s="7" t="n">
        <v>109361.21</v>
      </c>
      <c r="G57" s="16" t="s">
        <v>80</v>
      </c>
    </row>
    <row r="58" customFormat="false" ht="15" hidden="false" customHeight="false" outlineLevel="0" collapsed="false">
      <c r="A58" s="0" t="s">
        <v>187</v>
      </c>
      <c r="B58" s="14" t="n">
        <v>46003</v>
      </c>
      <c r="C58" s="16" t="s">
        <v>251</v>
      </c>
      <c r="D58" s="7" t="n">
        <v>-6</v>
      </c>
      <c r="E58" s="16" t="s">
        <v>193</v>
      </c>
      <c r="F58" s="7" t="n">
        <v>111361.21</v>
      </c>
      <c r="G58" s="16" t="s">
        <v>80</v>
      </c>
    </row>
    <row r="59" customFormat="false" ht="15" hidden="false" customHeight="false" outlineLevel="0" collapsed="false">
      <c r="A59" s="0" t="s">
        <v>187</v>
      </c>
      <c r="B59" s="14" t="n">
        <v>46003</v>
      </c>
      <c r="C59" s="16" t="s">
        <v>252</v>
      </c>
      <c r="D59" s="7" t="n">
        <v>-5000</v>
      </c>
      <c r="E59" s="16" t="s">
        <v>213</v>
      </c>
      <c r="F59" s="7" t="n">
        <v>111367.21</v>
      </c>
      <c r="G59" s="16" t="s">
        <v>96</v>
      </c>
    </row>
    <row r="60" customFormat="false" ht="15" hidden="false" customHeight="false" outlineLevel="0" collapsed="false">
      <c r="A60" s="0" t="s">
        <v>187</v>
      </c>
      <c r="B60" s="14" t="n">
        <v>46002</v>
      </c>
      <c r="C60" s="16" t="s">
        <v>253</v>
      </c>
      <c r="D60" s="7" t="n">
        <v>-6</v>
      </c>
      <c r="E60" s="16" t="s">
        <v>193</v>
      </c>
      <c r="F60" s="7" t="n">
        <v>116367.21</v>
      </c>
      <c r="G60" s="16" t="s">
        <v>80</v>
      </c>
    </row>
    <row r="61" customFormat="false" ht="15" hidden="false" customHeight="false" outlineLevel="0" collapsed="false">
      <c r="A61" s="0" t="s">
        <v>187</v>
      </c>
      <c r="B61" s="14" t="n">
        <v>46002</v>
      </c>
      <c r="C61" s="16" t="s">
        <v>254</v>
      </c>
      <c r="D61" s="7" t="n">
        <v>-1249.96</v>
      </c>
      <c r="E61" s="16" t="s">
        <v>193</v>
      </c>
      <c r="F61" s="7" t="n">
        <v>116373.21</v>
      </c>
      <c r="G61" s="16" t="s">
        <v>179</v>
      </c>
    </row>
    <row r="62" customFormat="false" ht="15" hidden="false" customHeight="false" outlineLevel="0" collapsed="false">
      <c r="A62" s="0" t="s">
        <v>187</v>
      </c>
      <c r="B62" s="14" t="n">
        <v>46002</v>
      </c>
      <c r="C62" s="16" t="s">
        <v>255</v>
      </c>
      <c r="D62" s="7" t="n">
        <v>-1533.71</v>
      </c>
      <c r="E62" s="16" t="s">
        <v>193</v>
      </c>
      <c r="F62" s="7" t="n">
        <v>117623.17</v>
      </c>
      <c r="G62" s="16" t="s">
        <v>179</v>
      </c>
    </row>
    <row r="63" customFormat="false" ht="15" hidden="false" customHeight="false" outlineLevel="0" collapsed="false">
      <c r="A63" s="0" t="s">
        <v>187</v>
      </c>
      <c r="B63" s="14" t="n">
        <v>46002</v>
      </c>
      <c r="C63" s="16" t="s">
        <v>256</v>
      </c>
      <c r="D63" s="7" t="n">
        <v>-56.97</v>
      </c>
      <c r="E63" s="16" t="s">
        <v>206</v>
      </c>
      <c r="F63" s="7" t="n">
        <v>119156.88</v>
      </c>
      <c r="G63" s="16" t="s">
        <v>144</v>
      </c>
    </row>
    <row r="64" customFormat="false" ht="15" hidden="false" customHeight="false" outlineLevel="0" collapsed="false">
      <c r="A64" s="0" t="s">
        <v>187</v>
      </c>
      <c r="B64" s="14" t="n">
        <v>46001</v>
      </c>
      <c r="C64" s="16" t="s">
        <v>257</v>
      </c>
      <c r="D64" s="7" t="n">
        <v>-500.71</v>
      </c>
      <c r="E64" s="16" t="s">
        <v>206</v>
      </c>
      <c r="F64" s="7" t="n">
        <v>119213.85</v>
      </c>
      <c r="G64" s="16" t="s">
        <v>67</v>
      </c>
    </row>
    <row r="65" customFormat="false" ht="15" hidden="false" customHeight="false" outlineLevel="0" collapsed="false">
      <c r="A65" s="0" t="s">
        <v>187</v>
      </c>
      <c r="B65" s="14" t="n">
        <v>46001</v>
      </c>
      <c r="C65" s="16" t="s">
        <v>258</v>
      </c>
      <c r="D65" s="7" t="n">
        <v>-28.27</v>
      </c>
      <c r="E65" s="16" t="s">
        <v>206</v>
      </c>
      <c r="F65" s="7" t="n">
        <v>119714.56</v>
      </c>
      <c r="G65" s="16" t="s">
        <v>182</v>
      </c>
    </row>
    <row r="66" customFormat="false" ht="15" hidden="false" customHeight="false" outlineLevel="0" collapsed="false">
      <c r="A66" s="0" t="s">
        <v>259</v>
      </c>
      <c r="B66" s="14" t="n">
        <v>46001</v>
      </c>
      <c r="C66" s="16" t="s">
        <v>260</v>
      </c>
      <c r="D66" s="7" t="n">
        <v>750</v>
      </c>
      <c r="E66" s="16" t="s">
        <v>261</v>
      </c>
      <c r="F66" s="7" t="n">
        <v>119742.83</v>
      </c>
      <c r="G66" s="16" t="s">
        <v>70</v>
      </c>
    </row>
    <row r="67" customFormat="false" ht="15" hidden="false" customHeight="false" outlineLevel="0" collapsed="false">
      <c r="A67" s="0" t="s">
        <v>187</v>
      </c>
      <c r="B67" s="14" t="n">
        <v>46000</v>
      </c>
      <c r="C67" s="16" t="s">
        <v>239</v>
      </c>
      <c r="D67" s="7" t="n">
        <v>-25</v>
      </c>
      <c r="E67" s="16" t="s">
        <v>189</v>
      </c>
      <c r="F67" s="7" t="n">
        <v>118992.83</v>
      </c>
      <c r="G67" s="16" t="s">
        <v>123</v>
      </c>
    </row>
    <row r="68" customFormat="false" ht="15" hidden="false" customHeight="false" outlineLevel="0" collapsed="false">
      <c r="A68" s="0" t="s">
        <v>187</v>
      </c>
      <c r="B68" s="14" t="n">
        <v>46000</v>
      </c>
      <c r="C68" s="16" t="s">
        <v>262</v>
      </c>
      <c r="D68" s="7" t="n">
        <v>-20</v>
      </c>
      <c r="E68" s="16" t="s">
        <v>193</v>
      </c>
      <c r="F68" s="7" t="n">
        <v>119042.83</v>
      </c>
      <c r="G68" s="16" t="s">
        <v>80</v>
      </c>
    </row>
    <row r="69" customFormat="false" ht="15" hidden="false" customHeight="false" outlineLevel="0" collapsed="false">
      <c r="A69" s="0" t="s">
        <v>187</v>
      </c>
      <c r="B69" s="14" t="n">
        <v>46000</v>
      </c>
      <c r="C69" s="16" t="s">
        <v>263</v>
      </c>
      <c r="D69" s="7" t="n">
        <v>-5000</v>
      </c>
      <c r="E69" s="16" t="s">
        <v>191</v>
      </c>
      <c r="F69" s="7" t="n">
        <v>119062.83</v>
      </c>
      <c r="G69" s="16" t="s">
        <v>38</v>
      </c>
    </row>
    <row r="70" customFormat="false" ht="15" hidden="false" customHeight="false" outlineLevel="0" collapsed="false">
      <c r="A70" s="0" t="s">
        <v>187</v>
      </c>
      <c r="B70" s="14" t="n">
        <v>46000</v>
      </c>
      <c r="C70" s="16" t="s">
        <v>264</v>
      </c>
      <c r="D70" s="7" t="n">
        <v>-2500</v>
      </c>
      <c r="E70" s="16" t="s">
        <v>191</v>
      </c>
      <c r="F70" s="7" t="n">
        <v>124062.83</v>
      </c>
      <c r="G70" s="16" t="s">
        <v>186</v>
      </c>
    </row>
    <row r="71" customFormat="false" ht="15" hidden="false" customHeight="false" outlineLevel="0" collapsed="false">
      <c r="A71" s="0" t="s">
        <v>187</v>
      </c>
      <c r="B71" s="14" t="n">
        <v>46000</v>
      </c>
      <c r="C71" s="16" t="s">
        <v>265</v>
      </c>
      <c r="D71" s="7" t="n">
        <v>-10000</v>
      </c>
      <c r="E71" s="16" t="s">
        <v>213</v>
      </c>
      <c r="F71" s="7" t="n">
        <v>126562.83</v>
      </c>
      <c r="G71" s="16" t="s">
        <v>98</v>
      </c>
    </row>
    <row r="72" customFormat="false" ht="15" hidden="false" customHeight="false" outlineLevel="0" collapsed="false">
      <c r="A72" s="0" t="s">
        <v>187</v>
      </c>
      <c r="B72" s="14" t="n">
        <v>46000</v>
      </c>
      <c r="C72" s="16" t="s">
        <v>266</v>
      </c>
      <c r="D72" s="7" t="n">
        <v>-813.75</v>
      </c>
      <c r="E72" s="16" t="s">
        <v>206</v>
      </c>
      <c r="F72" s="7" t="n">
        <v>136562.83</v>
      </c>
      <c r="G72" s="16" t="s">
        <v>75</v>
      </c>
    </row>
    <row r="73" customFormat="false" ht="15" hidden="false" customHeight="false" outlineLevel="0" collapsed="false">
      <c r="A73" s="0" t="s">
        <v>187</v>
      </c>
      <c r="B73" s="14" t="n">
        <v>45999</v>
      </c>
      <c r="C73" s="16" t="s">
        <v>239</v>
      </c>
      <c r="D73" s="7" t="n">
        <v>-25</v>
      </c>
      <c r="E73" s="16" t="s">
        <v>189</v>
      </c>
      <c r="F73" s="7" t="n">
        <v>137376.58</v>
      </c>
      <c r="G73" s="16" t="s">
        <v>123</v>
      </c>
    </row>
    <row r="74" customFormat="false" ht="15" hidden="false" customHeight="false" outlineLevel="0" collapsed="false">
      <c r="A74" s="0" t="s">
        <v>187</v>
      </c>
      <c r="B74" s="14" t="n">
        <v>45999</v>
      </c>
      <c r="C74" s="16" t="s">
        <v>267</v>
      </c>
      <c r="D74" s="7" t="n">
        <v>-100000</v>
      </c>
      <c r="E74" s="16" t="s">
        <v>191</v>
      </c>
      <c r="F74" s="7" t="n">
        <v>137401.58</v>
      </c>
      <c r="G74" s="16" t="s">
        <v>186</v>
      </c>
    </row>
    <row r="75" customFormat="false" ht="15" hidden="false" customHeight="false" outlineLevel="0" collapsed="false">
      <c r="A75" s="0" t="s">
        <v>187</v>
      </c>
      <c r="B75" s="14" t="n">
        <v>45999</v>
      </c>
      <c r="C75" s="16" t="s">
        <v>268</v>
      </c>
      <c r="D75" s="7" t="n">
        <v>-5000</v>
      </c>
      <c r="E75" s="16" t="s">
        <v>224</v>
      </c>
      <c r="F75" s="7" t="n">
        <v>237401.58</v>
      </c>
      <c r="G75" s="16" t="s">
        <v>90</v>
      </c>
    </row>
    <row r="76" customFormat="false" ht="15" hidden="false" customHeight="false" outlineLevel="0" collapsed="false">
      <c r="A76" s="0" t="s">
        <v>187</v>
      </c>
      <c r="B76" s="14" t="n">
        <v>45999</v>
      </c>
      <c r="C76" s="16" t="s">
        <v>269</v>
      </c>
      <c r="D76" s="7" t="n">
        <v>-6</v>
      </c>
      <c r="E76" s="16" t="s">
        <v>193</v>
      </c>
      <c r="F76" s="7" t="n">
        <v>242401.58</v>
      </c>
      <c r="G76" s="16" t="s">
        <v>80</v>
      </c>
    </row>
    <row r="77" customFormat="false" ht="15" hidden="false" customHeight="false" outlineLevel="0" collapsed="false">
      <c r="A77" s="0" t="s">
        <v>187</v>
      </c>
      <c r="B77" s="14" t="n">
        <v>45999</v>
      </c>
      <c r="C77" s="16" t="s">
        <v>270</v>
      </c>
      <c r="D77" s="7" t="n">
        <v>-1500</v>
      </c>
      <c r="E77" s="16" t="s">
        <v>197</v>
      </c>
      <c r="F77" s="7" t="n">
        <v>242407.58</v>
      </c>
      <c r="G77" s="16" t="s">
        <v>69</v>
      </c>
    </row>
    <row r="78" customFormat="false" ht="15" hidden="false" customHeight="false" outlineLevel="0" collapsed="false">
      <c r="A78" s="0" t="s">
        <v>187</v>
      </c>
      <c r="B78" s="14" t="n">
        <v>45999</v>
      </c>
      <c r="C78" s="16" t="s">
        <v>271</v>
      </c>
      <c r="D78" s="7" t="n">
        <v>-5000</v>
      </c>
      <c r="E78" s="16" t="s">
        <v>213</v>
      </c>
      <c r="F78" s="7" t="n">
        <v>243907.58</v>
      </c>
      <c r="G78" s="16" t="s">
        <v>96</v>
      </c>
    </row>
    <row r="79" customFormat="false" ht="15" hidden="false" customHeight="false" outlineLevel="0" collapsed="false">
      <c r="A79" s="0" t="s">
        <v>187</v>
      </c>
      <c r="B79" s="14" t="n">
        <v>45999</v>
      </c>
      <c r="C79" s="16" t="s">
        <v>272</v>
      </c>
      <c r="D79" s="7" t="n">
        <v>-1000</v>
      </c>
      <c r="E79" s="16" t="s">
        <v>213</v>
      </c>
      <c r="F79" s="7" t="n">
        <v>248907.58</v>
      </c>
      <c r="G79" s="16" t="s">
        <v>47</v>
      </c>
    </row>
    <row r="80" customFormat="false" ht="15" hidden="false" customHeight="false" outlineLevel="0" collapsed="false">
      <c r="A80" s="0" t="s">
        <v>187</v>
      </c>
      <c r="B80" s="14" t="n">
        <v>45999</v>
      </c>
      <c r="C80" s="16" t="s">
        <v>273</v>
      </c>
      <c r="D80" s="7" t="n">
        <v>-21.28</v>
      </c>
      <c r="E80" s="16" t="s">
        <v>206</v>
      </c>
      <c r="F80" s="7" t="n">
        <v>249907.58</v>
      </c>
      <c r="G80" s="16" t="s">
        <v>108</v>
      </c>
    </row>
    <row r="81" customFormat="false" ht="15" hidden="false" customHeight="false" outlineLevel="0" collapsed="false">
      <c r="A81" s="0" t="s">
        <v>187</v>
      </c>
      <c r="B81" s="14" t="n">
        <v>45999</v>
      </c>
      <c r="C81" s="16" t="s">
        <v>274</v>
      </c>
      <c r="D81" s="7" t="n">
        <v>-300</v>
      </c>
      <c r="E81" s="16" t="s">
        <v>206</v>
      </c>
      <c r="F81" s="7" t="n">
        <v>249928.86</v>
      </c>
      <c r="G81" s="16" t="s">
        <v>72</v>
      </c>
    </row>
    <row r="82" customFormat="false" ht="15" hidden="false" customHeight="false" outlineLevel="0" collapsed="false">
      <c r="A82" s="0" t="s">
        <v>187</v>
      </c>
      <c r="B82" s="14" t="n">
        <v>45999</v>
      </c>
      <c r="C82" s="16" t="s">
        <v>275</v>
      </c>
      <c r="D82" s="7" t="n">
        <v>-3000</v>
      </c>
      <c r="E82" s="16" t="s">
        <v>213</v>
      </c>
      <c r="F82" s="7" t="n">
        <v>250228.86</v>
      </c>
      <c r="G82" s="16" t="s">
        <v>96</v>
      </c>
    </row>
    <row r="83" customFormat="false" ht="15" hidden="false" customHeight="false" outlineLevel="0" collapsed="false">
      <c r="A83" s="0" t="s">
        <v>187</v>
      </c>
      <c r="B83" s="14" t="n">
        <v>45999</v>
      </c>
      <c r="C83" s="16" t="s">
        <v>276</v>
      </c>
      <c r="D83" s="7" t="n">
        <v>-180</v>
      </c>
      <c r="E83" s="16" t="s">
        <v>215</v>
      </c>
      <c r="F83" s="7" t="n">
        <v>253228.86</v>
      </c>
      <c r="G83" s="16" t="s">
        <v>87</v>
      </c>
    </row>
    <row r="84" customFormat="false" ht="15" hidden="false" customHeight="false" outlineLevel="0" collapsed="false">
      <c r="A84" s="0" t="s">
        <v>187</v>
      </c>
      <c r="B84" s="14" t="n">
        <v>45996</v>
      </c>
      <c r="C84" s="16" t="s">
        <v>188</v>
      </c>
      <c r="D84" s="7" t="n">
        <v>-5</v>
      </c>
      <c r="E84" s="16" t="s">
        <v>189</v>
      </c>
      <c r="F84" s="7" t="n">
        <v>253408.86</v>
      </c>
      <c r="G84" s="16" t="s">
        <v>65</v>
      </c>
    </row>
    <row r="85" customFormat="false" ht="15" hidden="false" customHeight="false" outlineLevel="0" collapsed="false">
      <c r="A85" s="0" t="s">
        <v>187</v>
      </c>
      <c r="B85" s="14" t="n">
        <v>45996</v>
      </c>
      <c r="C85" s="16" t="s">
        <v>277</v>
      </c>
      <c r="D85" s="7" t="n">
        <v>-15</v>
      </c>
      <c r="E85" s="16" t="s">
        <v>189</v>
      </c>
      <c r="F85" s="7" t="n">
        <v>253413.86</v>
      </c>
      <c r="G85" s="16" t="s">
        <v>123</v>
      </c>
    </row>
    <row r="86" customFormat="false" ht="15" hidden="false" customHeight="false" outlineLevel="0" collapsed="false">
      <c r="A86" s="0" t="s">
        <v>187</v>
      </c>
      <c r="B86" s="14" t="n">
        <v>45996</v>
      </c>
      <c r="C86" s="16" t="s">
        <v>278</v>
      </c>
      <c r="D86" s="7" t="n">
        <v>-750</v>
      </c>
      <c r="E86" s="16" t="s">
        <v>191</v>
      </c>
      <c r="F86" s="7" t="n">
        <v>253443.86</v>
      </c>
      <c r="G86" s="16" t="s">
        <v>65</v>
      </c>
    </row>
    <row r="87" customFormat="false" ht="15" hidden="false" customHeight="false" outlineLevel="0" collapsed="false">
      <c r="A87" s="0" t="s">
        <v>187</v>
      </c>
      <c r="B87" s="14" t="n">
        <v>45996</v>
      </c>
      <c r="C87" s="16" t="s">
        <v>279</v>
      </c>
      <c r="D87" s="7" t="n">
        <v>-42.37</v>
      </c>
      <c r="E87" s="16" t="s">
        <v>206</v>
      </c>
      <c r="F87" s="7" t="n">
        <v>254193.86</v>
      </c>
      <c r="G87" s="16" t="s">
        <v>118</v>
      </c>
    </row>
    <row r="88" customFormat="false" ht="15" hidden="false" customHeight="false" outlineLevel="0" collapsed="false">
      <c r="A88" s="0" t="s">
        <v>187</v>
      </c>
      <c r="B88" s="14" t="n">
        <v>45996</v>
      </c>
      <c r="C88" s="16" t="s">
        <v>280</v>
      </c>
      <c r="D88" s="7" t="n">
        <v>-38.99</v>
      </c>
      <c r="E88" s="16" t="s">
        <v>206</v>
      </c>
      <c r="F88" s="7" t="n">
        <v>254236.23</v>
      </c>
      <c r="G88" s="16" t="s">
        <v>144</v>
      </c>
    </row>
    <row r="89" customFormat="false" ht="15" hidden="false" customHeight="false" outlineLevel="0" collapsed="false">
      <c r="A89" s="0" t="s">
        <v>259</v>
      </c>
      <c r="B89" s="14" t="n">
        <v>45996</v>
      </c>
      <c r="C89" s="16" t="s">
        <v>281</v>
      </c>
      <c r="D89" s="7" t="n">
        <v>30000</v>
      </c>
      <c r="E89" s="16" t="s">
        <v>282</v>
      </c>
      <c r="F89" s="7" t="n">
        <v>254275.22</v>
      </c>
      <c r="G89" s="16" t="s">
        <v>177</v>
      </c>
    </row>
    <row r="90" customFormat="false" ht="15" hidden="false" customHeight="false" outlineLevel="0" collapsed="false">
      <c r="A90" s="0" t="s">
        <v>259</v>
      </c>
      <c r="B90" s="14" t="n">
        <v>45996</v>
      </c>
      <c r="C90" s="16" t="s">
        <v>283</v>
      </c>
      <c r="D90" s="7" t="n">
        <v>205000</v>
      </c>
      <c r="E90" s="16" t="s">
        <v>282</v>
      </c>
      <c r="F90" s="7" t="n">
        <v>224275.22</v>
      </c>
      <c r="G90" s="16" t="s">
        <v>177</v>
      </c>
    </row>
    <row r="91" customFormat="false" ht="15" hidden="false" customHeight="false" outlineLevel="0" collapsed="false">
      <c r="A91" s="0" t="s">
        <v>187</v>
      </c>
      <c r="B91" s="14" t="n">
        <v>45995</v>
      </c>
      <c r="C91" s="16" t="s">
        <v>284</v>
      </c>
      <c r="D91" s="7" t="n">
        <v>-750</v>
      </c>
      <c r="E91" s="16" t="s">
        <v>197</v>
      </c>
      <c r="F91" s="7" t="n">
        <v>19275.22</v>
      </c>
      <c r="G91" s="16" t="s">
        <v>70</v>
      </c>
    </row>
    <row r="92" customFormat="false" ht="15" hidden="false" customHeight="false" outlineLevel="0" collapsed="false">
      <c r="A92" s="0" t="s">
        <v>187</v>
      </c>
      <c r="B92" s="14" t="n">
        <v>45995</v>
      </c>
      <c r="C92" s="16" t="s">
        <v>285</v>
      </c>
      <c r="D92" s="7" t="n">
        <v>-5000</v>
      </c>
      <c r="E92" s="16" t="s">
        <v>213</v>
      </c>
      <c r="F92" s="7" t="n">
        <v>20025.22</v>
      </c>
      <c r="G92" s="16" t="s">
        <v>96</v>
      </c>
    </row>
    <row r="93" customFormat="false" ht="15" hidden="false" customHeight="false" outlineLevel="0" collapsed="false">
      <c r="A93" s="0" t="s">
        <v>187</v>
      </c>
      <c r="B93" s="14" t="n">
        <v>45995</v>
      </c>
      <c r="C93" s="16" t="s">
        <v>286</v>
      </c>
      <c r="D93" s="7" t="n">
        <v>-10.78</v>
      </c>
      <c r="E93" s="16" t="s">
        <v>206</v>
      </c>
      <c r="F93" s="7" t="n">
        <v>25025.22</v>
      </c>
      <c r="G93" s="16" t="s">
        <v>116</v>
      </c>
    </row>
    <row r="94" customFormat="false" ht="15" hidden="false" customHeight="false" outlineLevel="0" collapsed="false">
      <c r="A94" s="0" t="s">
        <v>259</v>
      </c>
      <c r="B94" s="14" t="n">
        <v>45995</v>
      </c>
      <c r="C94" s="16" t="s">
        <v>287</v>
      </c>
      <c r="D94" s="7" t="n">
        <v>20000</v>
      </c>
      <c r="E94" s="16" t="s">
        <v>213</v>
      </c>
      <c r="F94" s="7" t="n">
        <v>25036</v>
      </c>
      <c r="G94" s="16" t="s">
        <v>42</v>
      </c>
    </row>
    <row r="95" customFormat="false" ht="15" hidden="false" customHeight="false" outlineLevel="0" collapsed="false">
      <c r="A95" s="0" t="s">
        <v>187</v>
      </c>
      <c r="B95" s="14" t="n">
        <v>45994</v>
      </c>
      <c r="C95" s="16" t="s">
        <v>288</v>
      </c>
      <c r="D95" s="7" t="n">
        <v>-500</v>
      </c>
      <c r="E95" s="16" t="s">
        <v>215</v>
      </c>
      <c r="F95" s="7" t="n">
        <v>5036</v>
      </c>
      <c r="G95" s="16" t="s">
        <v>91</v>
      </c>
    </row>
    <row r="96" customFormat="false" ht="15" hidden="false" customHeight="false" outlineLevel="0" collapsed="false">
      <c r="A96" s="0" t="s">
        <v>187</v>
      </c>
      <c r="B96" s="14" t="n">
        <v>45994</v>
      </c>
      <c r="C96" s="16" t="s">
        <v>289</v>
      </c>
      <c r="D96" s="7" t="n">
        <v>-2000</v>
      </c>
      <c r="E96" s="16" t="s">
        <v>213</v>
      </c>
      <c r="F96" s="7" t="n">
        <v>5536</v>
      </c>
      <c r="G96" s="16" t="s">
        <v>96</v>
      </c>
    </row>
    <row r="97" customFormat="false" ht="15" hidden="false" customHeight="false" outlineLevel="0" collapsed="false">
      <c r="A97" s="0" t="s">
        <v>187</v>
      </c>
      <c r="B97" s="14" t="n">
        <v>45994</v>
      </c>
      <c r="C97" s="16" t="s">
        <v>290</v>
      </c>
      <c r="D97" s="7" t="n">
        <v>-12.99</v>
      </c>
      <c r="E97" s="16" t="s">
        <v>206</v>
      </c>
      <c r="F97" s="7" t="n">
        <v>7536</v>
      </c>
      <c r="G97" s="16" t="s">
        <v>144</v>
      </c>
    </row>
    <row r="98" customFormat="false" ht="15" hidden="false" customHeight="false" outlineLevel="0" collapsed="false">
      <c r="A98" s="0" t="s">
        <v>187</v>
      </c>
      <c r="B98" s="14" t="n">
        <v>45994</v>
      </c>
      <c r="C98" s="16" t="s">
        <v>291</v>
      </c>
      <c r="D98" s="7" t="n">
        <v>-19.97</v>
      </c>
      <c r="E98" s="16" t="s">
        <v>206</v>
      </c>
      <c r="F98" s="7" t="n">
        <v>7548.99</v>
      </c>
      <c r="G98" s="16" t="s">
        <v>118</v>
      </c>
    </row>
    <row r="99" customFormat="false" ht="15" hidden="false" customHeight="false" outlineLevel="0" collapsed="false">
      <c r="A99" s="0" t="s">
        <v>187</v>
      </c>
      <c r="B99" s="14" t="n">
        <v>45994</v>
      </c>
      <c r="C99" s="16" t="s">
        <v>292</v>
      </c>
      <c r="D99" s="7" t="n">
        <v>-101.99</v>
      </c>
      <c r="E99" s="16" t="s">
        <v>206</v>
      </c>
      <c r="F99" s="7" t="n">
        <v>7568.96</v>
      </c>
      <c r="G99" s="16" t="s">
        <v>144</v>
      </c>
    </row>
    <row r="100" customFormat="false" ht="15" hidden="false" customHeight="false" outlineLevel="0" collapsed="false">
      <c r="A100" s="0" t="s">
        <v>187</v>
      </c>
      <c r="B100" s="14" t="n">
        <v>45993</v>
      </c>
      <c r="C100" s="16" t="s">
        <v>293</v>
      </c>
      <c r="D100" s="7" t="n">
        <v>-444.36</v>
      </c>
      <c r="E100" s="16" t="s">
        <v>193</v>
      </c>
      <c r="F100" s="7" t="n">
        <v>7670.95</v>
      </c>
      <c r="G100" s="16" t="s">
        <v>145</v>
      </c>
    </row>
    <row r="101" customFormat="false" ht="15" hidden="false" customHeight="false" outlineLevel="0" collapsed="false">
      <c r="A101" s="0" t="s">
        <v>187</v>
      </c>
      <c r="B101" s="14" t="n">
        <v>45993</v>
      </c>
      <c r="C101" s="16" t="s">
        <v>294</v>
      </c>
      <c r="D101" s="7" t="n">
        <v>-1000</v>
      </c>
      <c r="E101" s="16" t="s">
        <v>193</v>
      </c>
      <c r="F101" s="7" t="n">
        <v>8115.31</v>
      </c>
      <c r="G101" s="16" t="s">
        <v>80</v>
      </c>
    </row>
    <row r="102" customFormat="false" ht="15" hidden="false" customHeight="false" outlineLevel="0" collapsed="false">
      <c r="A102" s="0" t="s">
        <v>187</v>
      </c>
      <c r="B102" s="14" t="n">
        <v>45993</v>
      </c>
      <c r="C102" s="16" t="s">
        <v>295</v>
      </c>
      <c r="D102" s="7" t="n">
        <v>-152.62</v>
      </c>
      <c r="E102" s="16" t="s">
        <v>206</v>
      </c>
      <c r="F102" s="7" t="n">
        <v>9115.31</v>
      </c>
      <c r="G102" s="16" t="s">
        <v>67</v>
      </c>
    </row>
    <row r="103" customFormat="false" ht="15" hidden="false" customHeight="false" outlineLevel="0" collapsed="false">
      <c r="A103" s="0" t="s">
        <v>187</v>
      </c>
      <c r="B103" s="14" t="n">
        <v>45993</v>
      </c>
      <c r="C103" s="16" t="s">
        <v>296</v>
      </c>
      <c r="D103" s="7" t="n">
        <v>-15.99</v>
      </c>
      <c r="E103" s="16" t="s">
        <v>206</v>
      </c>
      <c r="F103" s="7" t="n">
        <v>9267.93</v>
      </c>
      <c r="G103" s="16" t="s">
        <v>144</v>
      </c>
    </row>
    <row r="104" customFormat="false" ht="15" hidden="false" customHeight="false" outlineLevel="0" collapsed="false">
      <c r="A104" s="0" t="s">
        <v>187</v>
      </c>
      <c r="B104" s="14" t="n">
        <v>45993</v>
      </c>
      <c r="C104" s="16" t="s">
        <v>297</v>
      </c>
      <c r="D104" s="7" t="n">
        <v>-1225</v>
      </c>
      <c r="E104" s="16" t="s">
        <v>206</v>
      </c>
      <c r="F104" s="7" t="n">
        <v>9283.92</v>
      </c>
      <c r="G104" s="16" t="s">
        <v>75</v>
      </c>
    </row>
    <row r="105" customFormat="false" ht="15" hidden="false" customHeight="false" outlineLevel="0" collapsed="false">
      <c r="A105" s="0" t="s">
        <v>187</v>
      </c>
      <c r="B105" s="14" t="n">
        <v>45993</v>
      </c>
      <c r="C105" s="16" t="s">
        <v>298</v>
      </c>
      <c r="D105" s="7" t="n">
        <v>-12.99</v>
      </c>
      <c r="E105" s="16" t="s">
        <v>206</v>
      </c>
      <c r="F105" s="7" t="n">
        <v>10508.92</v>
      </c>
      <c r="G105" s="16" t="s">
        <v>144</v>
      </c>
    </row>
    <row r="106" customFormat="false" ht="15" hidden="false" customHeight="false" outlineLevel="0" collapsed="false">
      <c r="A106" s="0" t="s">
        <v>187</v>
      </c>
      <c r="B106" s="14" t="n">
        <v>45993</v>
      </c>
      <c r="C106" s="16" t="s">
        <v>299</v>
      </c>
      <c r="D106" s="7" t="n">
        <v>-16.8</v>
      </c>
      <c r="E106" s="16" t="s">
        <v>206</v>
      </c>
      <c r="F106" s="7" t="n">
        <v>10521.91</v>
      </c>
      <c r="G106" s="16" t="s">
        <v>144</v>
      </c>
    </row>
    <row r="107" customFormat="false" ht="15" hidden="false" customHeight="false" outlineLevel="0" collapsed="false">
      <c r="A107" s="0" t="s">
        <v>187</v>
      </c>
      <c r="B107" s="14" t="n">
        <v>45992</v>
      </c>
      <c r="C107" s="16" t="s">
        <v>300</v>
      </c>
      <c r="D107" s="7" t="n">
        <v>-20</v>
      </c>
      <c r="E107" s="16" t="s">
        <v>189</v>
      </c>
      <c r="F107" s="7" t="n">
        <v>10538.71</v>
      </c>
      <c r="G107" s="16" t="s">
        <v>110</v>
      </c>
    </row>
    <row r="108" customFormat="false" ht="15" hidden="false" customHeight="false" outlineLevel="0" collapsed="false">
      <c r="A108" s="0" t="s">
        <v>187</v>
      </c>
      <c r="B108" s="14" t="n">
        <v>45992</v>
      </c>
      <c r="C108" s="16" t="s">
        <v>301</v>
      </c>
      <c r="D108" s="7" t="n">
        <v>-7100</v>
      </c>
      <c r="E108" s="16" t="s">
        <v>208</v>
      </c>
      <c r="F108" s="7" t="n">
        <v>10558.71</v>
      </c>
      <c r="G108" s="16" t="s">
        <v>134</v>
      </c>
    </row>
    <row r="109" customFormat="false" ht="15" hidden="false" customHeight="false" outlineLevel="0" collapsed="false">
      <c r="A109" s="0" t="s">
        <v>187</v>
      </c>
      <c r="B109" s="14" t="n">
        <v>45992</v>
      </c>
      <c r="C109" s="16" t="s">
        <v>302</v>
      </c>
      <c r="D109" s="7" t="n">
        <v>-1399.78</v>
      </c>
      <c r="E109" s="16" t="s">
        <v>208</v>
      </c>
      <c r="F109" s="7" t="n">
        <v>17658.71</v>
      </c>
      <c r="G109" s="16" t="s">
        <v>180</v>
      </c>
    </row>
    <row r="110" customFormat="false" ht="15" hidden="false" customHeight="false" outlineLevel="0" collapsed="false">
      <c r="A110" s="0" t="s">
        <v>187</v>
      </c>
      <c r="B110" s="14" t="n">
        <v>45992</v>
      </c>
      <c r="C110" s="16" t="s">
        <v>303</v>
      </c>
      <c r="D110" s="7" t="n">
        <v>-500</v>
      </c>
      <c r="E110" s="16" t="s">
        <v>208</v>
      </c>
      <c r="F110" s="7" t="n">
        <v>19058.49</v>
      </c>
      <c r="G110" s="16" t="s">
        <v>180</v>
      </c>
    </row>
    <row r="111" customFormat="false" ht="15" hidden="false" customHeight="false" outlineLevel="0" collapsed="false">
      <c r="A111" s="0" t="s">
        <v>187</v>
      </c>
      <c r="B111" s="14" t="n">
        <v>45992</v>
      </c>
      <c r="C111" s="16" t="s">
        <v>304</v>
      </c>
      <c r="D111" s="7" t="n">
        <v>-700</v>
      </c>
      <c r="E111" s="16" t="s">
        <v>208</v>
      </c>
      <c r="F111" s="7" t="n">
        <v>19558.49</v>
      </c>
      <c r="G111" s="16" t="s">
        <v>180</v>
      </c>
    </row>
    <row r="112" customFormat="false" ht="15" hidden="false" customHeight="false" outlineLevel="0" collapsed="false">
      <c r="A112" s="0" t="s">
        <v>187</v>
      </c>
      <c r="B112" s="14" t="n">
        <v>45992</v>
      </c>
      <c r="C112" s="16" t="s">
        <v>305</v>
      </c>
      <c r="D112" s="7" t="n">
        <v>-1500</v>
      </c>
      <c r="E112" s="16" t="s">
        <v>197</v>
      </c>
      <c r="F112" s="7" t="n">
        <v>20258.49</v>
      </c>
      <c r="G112" s="16" t="s">
        <v>69</v>
      </c>
    </row>
    <row r="113" customFormat="false" ht="15" hidden="false" customHeight="false" outlineLevel="0" collapsed="false">
      <c r="A113" s="0" t="s">
        <v>187</v>
      </c>
      <c r="B113" s="14" t="n">
        <v>45992</v>
      </c>
      <c r="C113" s="16" t="s">
        <v>306</v>
      </c>
      <c r="D113" s="7" t="n">
        <v>-619.87</v>
      </c>
      <c r="E113" s="16" t="s">
        <v>193</v>
      </c>
      <c r="F113" s="7" t="n">
        <v>21758.49</v>
      </c>
      <c r="G113" s="16" t="s">
        <v>181</v>
      </c>
    </row>
    <row r="114" customFormat="false" ht="15" hidden="false" customHeight="false" outlineLevel="0" collapsed="false">
      <c r="A114" s="0" t="s">
        <v>187</v>
      </c>
      <c r="B114" s="14" t="n">
        <v>45992</v>
      </c>
      <c r="C114" s="16" t="s">
        <v>307</v>
      </c>
      <c r="D114" s="7" t="n">
        <v>-870.54</v>
      </c>
      <c r="E114" s="16" t="s">
        <v>193</v>
      </c>
      <c r="F114" s="7" t="n">
        <v>22378.36</v>
      </c>
      <c r="G114" s="16" t="s">
        <v>184</v>
      </c>
    </row>
    <row r="115" customFormat="false" ht="15" hidden="false" customHeight="false" outlineLevel="0" collapsed="false">
      <c r="A115" s="0" t="s">
        <v>187</v>
      </c>
      <c r="B115" s="14" t="n">
        <v>45992</v>
      </c>
      <c r="C115" s="16" t="s">
        <v>308</v>
      </c>
      <c r="D115" s="7" t="n">
        <v>-3000</v>
      </c>
      <c r="E115" s="16" t="s">
        <v>213</v>
      </c>
      <c r="F115" s="7" t="n">
        <v>23248.9</v>
      </c>
      <c r="G115" s="16" t="s">
        <v>96</v>
      </c>
    </row>
    <row r="116" customFormat="false" ht="15" hidden="false" customHeight="false" outlineLevel="0" collapsed="false">
      <c r="A116" s="0" t="s">
        <v>187</v>
      </c>
      <c r="B116" s="14" t="n">
        <v>45992</v>
      </c>
      <c r="C116" s="16" t="s">
        <v>309</v>
      </c>
      <c r="D116" s="7" t="n">
        <v>-1000</v>
      </c>
      <c r="E116" s="16" t="s">
        <v>213</v>
      </c>
      <c r="F116" s="7" t="n">
        <v>26248.9</v>
      </c>
      <c r="G116" s="16" t="s">
        <v>97</v>
      </c>
    </row>
    <row r="117" customFormat="false" ht="15" hidden="false" customHeight="false" outlineLevel="0" collapsed="false">
      <c r="A117" s="0" t="s">
        <v>187</v>
      </c>
      <c r="B117" s="14" t="n">
        <v>45992</v>
      </c>
      <c r="C117" s="16" t="s">
        <v>310</v>
      </c>
      <c r="D117" s="7" t="n">
        <v>-753.28</v>
      </c>
      <c r="E117" s="16" t="s">
        <v>193</v>
      </c>
      <c r="F117" s="7" t="n">
        <v>27248.9</v>
      </c>
      <c r="G117" s="16" t="s">
        <v>181</v>
      </c>
    </row>
    <row r="118" customFormat="false" ht="15" hidden="false" customHeight="false" outlineLevel="0" collapsed="false">
      <c r="A118" s="0" t="s">
        <v>187</v>
      </c>
      <c r="B118" s="14" t="n">
        <v>45992</v>
      </c>
      <c r="C118" s="16" t="s">
        <v>311</v>
      </c>
      <c r="D118" s="7" t="n">
        <v>-2524</v>
      </c>
      <c r="E118" s="16" t="s">
        <v>193</v>
      </c>
      <c r="F118" s="7" t="n">
        <v>28002.18</v>
      </c>
      <c r="G118" s="16" t="s">
        <v>103</v>
      </c>
    </row>
    <row r="119" customFormat="false" ht="15" hidden="false" customHeight="false" outlineLevel="0" collapsed="false">
      <c r="A119" s="0" t="s">
        <v>187</v>
      </c>
      <c r="B119" s="14" t="n">
        <v>45992</v>
      </c>
      <c r="C119" s="16" t="s">
        <v>312</v>
      </c>
      <c r="D119" s="7" t="n">
        <v>-190</v>
      </c>
      <c r="E119" s="16" t="s">
        <v>206</v>
      </c>
      <c r="F119" s="7" t="n">
        <v>30526.18</v>
      </c>
      <c r="G119" s="16" t="s">
        <v>183</v>
      </c>
    </row>
    <row r="120" customFormat="false" ht="15" hidden="false" customHeight="false" outlineLevel="0" collapsed="false">
      <c r="A120" s="0" t="s">
        <v>187</v>
      </c>
      <c r="B120" s="14" t="n">
        <v>45992</v>
      </c>
      <c r="C120" s="16" t="s">
        <v>313</v>
      </c>
      <c r="D120" s="7" t="n">
        <v>-251.76</v>
      </c>
      <c r="E120" s="16" t="s">
        <v>206</v>
      </c>
      <c r="F120" s="7" t="n">
        <v>30716.18</v>
      </c>
      <c r="G120" s="16" t="s">
        <v>67</v>
      </c>
    </row>
    <row r="121" customFormat="false" ht="15" hidden="false" customHeight="false" outlineLevel="0" collapsed="false">
      <c r="A121" s="0" t="s">
        <v>259</v>
      </c>
      <c r="B121" s="14" t="n">
        <v>45992</v>
      </c>
      <c r="C121" s="16" t="s">
        <v>314</v>
      </c>
      <c r="D121" s="7" t="n">
        <v>10000</v>
      </c>
      <c r="E121" s="16" t="s">
        <v>213</v>
      </c>
      <c r="F121" s="7" t="n">
        <v>30967.94</v>
      </c>
      <c r="G121" s="16" t="s">
        <v>42</v>
      </c>
    </row>
    <row r="122" customFormat="false" ht="15" hidden="false" customHeight="false" outlineLevel="0" collapsed="false">
      <c r="A122" s="0" t="s">
        <v>259</v>
      </c>
      <c r="B122" s="14" t="n">
        <v>45992</v>
      </c>
      <c r="C122" s="16" t="s">
        <v>315</v>
      </c>
      <c r="D122" s="7" t="n">
        <v>20000</v>
      </c>
      <c r="E122" s="16" t="s">
        <v>213</v>
      </c>
      <c r="F122" s="7" t="n">
        <v>20967.94</v>
      </c>
      <c r="G122" s="16" t="s">
        <v>42</v>
      </c>
    </row>
    <row r="123" customFormat="false" ht="15" hidden="false" customHeight="false" outlineLevel="0" collapsed="false">
      <c r="A123" s="0" t="s">
        <v>187</v>
      </c>
      <c r="B123" s="14" t="n">
        <v>45989</v>
      </c>
      <c r="C123" s="16" t="s">
        <v>316</v>
      </c>
      <c r="D123" s="7" t="n">
        <v>-3</v>
      </c>
      <c r="E123" s="16" t="s">
        <v>189</v>
      </c>
      <c r="F123" s="7" t="n">
        <v>967.94</v>
      </c>
      <c r="G123" s="16" t="s">
        <v>110</v>
      </c>
    </row>
    <row r="124" customFormat="false" ht="15" hidden="false" customHeight="false" outlineLevel="0" collapsed="false">
      <c r="A124" s="0" t="s">
        <v>187</v>
      </c>
      <c r="B124" s="14" t="n">
        <v>45989</v>
      </c>
      <c r="C124" s="16" t="s">
        <v>317</v>
      </c>
      <c r="D124" s="7" t="n">
        <v>-20.84</v>
      </c>
      <c r="E124" s="16" t="s">
        <v>206</v>
      </c>
      <c r="F124" s="7" t="n">
        <v>970.94</v>
      </c>
      <c r="G124" s="16" t="s">
        <v>183</v>
      </c>
    </row>
    <row r="125" customFormat="false" ht="15" hidden="false" customHeight="false" outlineLevel="0" collapsed="false">
      <c r="A125" s="0" t="s">
        <v>187</v>
      </c>
      <c r="B125" s="14" t="n">
        <v>45989</v>
      </c>
      <c r="C125" s="16" t="s">
        <v>318</v>
      </c>
      <c r="D125" s="7" t="n">
        <v>-102.95</v>
      </c>
      <c r="E125" s="16" t="s">
        <v>319</v>
      </c>
      <c r="F125" s="7" t="n">
        <v>991.78</v>
      </c>
      <c r="G125" s="16" t="s">
        <v>149</v>
      </c>
    </row>
    <row r="126" customFormat="false" ht="15" hidden="false" customHeight="false" outlineLevel="0" collapsed="false">
      <c r="A126" s="0" t="s">
        <v>187</v>
      </c>
      <c r="B126" s="14" t="n">
        <v>45989</v>
      </c>
      <c r="C126" s="16" t="s">
        <v>320</v>
      </c>
      <c r="D126" s="7" t="n">
        <v>-12.5</v>
      </c>
      <c r="E126" s="16" t="s">
        <v>193</v>
      </c>
      <c r="F126" s="7" t="n">
        <v>1094.73</v>
      </c>
      <c r="G126" s="16" t="s">
        <v>142</v>
      </c>
    </row>
    <row r="127" customFormat="false" ht="15" hidden="false" customHeight="false" outlineLevel="0" collapsed="false">
      <c r="A127" s="0" t="s">
        <v>187</v>
      </c>
      <c r="B127" s="14" t="n">
        <v>45989</v>
      </c>
      <c r="C127" s="16" t="s">
        <v>321</v>
      </c>
      <c r="D127" s="7" t="n">
        <v>-22.92</v>
      </c>
      <c r="E127" s="16" t="s">
        <v>193</v>
      </c>
      <c r="F127" s="7" t="n">
        <v>1107.23</v>
      </c>
      <c r="G127" s="16" t="s">
        <v>142</v>
      </c>
    </row>
    <row r="128" customFormat="false" ht="15" hidden="false" customHeight="false" outlineLevel="0" collapsed="false">
      <c r="A128" s="0" t="s">
        <v>187</v>
      </c>
      <c r="B128" s="14" t="n">
        <v>45989</v>
      </c>
      <c r="C128" s="16" t="s">
        <v>322</v>
      </c>
      <c r="D128" s="7" t="n">
        <v>-121.21</v>
      </c>
      <c r="E128" s="16" t="s">
        <v>193</v>
      </c>
      <c r="F128" s="7" t="n">
        <v>1130.15</v>
      </c>
      <c r="G128" s="16" t="s">
        <v>122</v>
      </c>
    </row>
    <row r="129" customFormat="false" ht="15" hidden="false" customHeight="false" outlineLevel="0" collapsed="false">
      <c r="A129" s="0" t="s">
        <v>187</v>
      </c>
      <c r="B129" s="14" t="n">
        <v>45989</v>
      </c>
      <c r="C129" s="16" t="s">
        <v>323</v>
      </c>
      <c r="D129" s="7" t="n">
        <v>-203.09</v>
      </c>
      <c r="E129" s="16" t="s">
        <v>206</v>
      </c>
      <c r="F129" s="7" t="n">
        <v>1251.36</v>
      </c>
      <c r="G129" s="16" t="s">
        <v>182</v>
      </c>
    </row>
    <row r="130" customFormat="false" ht="15" hidden="false" customHeight="false" outlineLevel="0" collapsed="false">
      <c r="A130" s="0" t="s">
        <v>187</v>
      </c>
      <c r="B130" s="14" t="n">
        <v>45989</v>
      </c>
      <c r="C130" s="16" t="s">
        <v>324</v>
      </c>
      <c r="D130" s="7" t="n">
        <v>-18.49</v>
      </c>
      <c r="E130" s="16" t="s">
        <v>206</v>
      </c>
      <c r="F130" s="7" t="n">
        <v>1454.45</v>
      </c>
      <c r="G130" s="16" t="s">
        <v>144</v>
      </c>
    </row>
    <row r="131" customFormat="false" ht="15" hidden="false" customHeight="false" outlineLevel="0" collapsed="false">
      <c r="A131" s="0" t="s">
        <v>187</v>
      </c>
      <c r="B131" s="14" t="n">
        <v>45989</v>
      </c>
      <c r="C131" s="16" t="s">
        <v>325</v>
      </c>
      <c r="D131" s="7" t="n">
        <v>-9.99</v>
      </c>
      <c r="E131" s="16" t="s">
        <v>206</v>
      </c>
      <c r="F131" s="7" t="n">
        <v>1472.94</v>
      </c>
      <c r="G131" s="16" t="s">
        <v>144</v>
      </c>
    </row>
    <row r="132" customFormat="false" ht="15" hidden="false" customHeight="false" outlineLevel="0" collapsed="false">
      <c r="A132" s="0" t="s">
        <v>187</v>
      </c>
      <c r="B132" s="14" t="n">
        <v>45989</v>
      </c>
      <c r="C132" s="16" t="s">
        <v>326</v>
      </c>
      <c r="D132" s="7" t="n">
        <v>-39</v>
      </c>
      <c r="E132" s="16" t="s">
        <v>206</v>
      </c>
      <c r="F132" s="7" t="n">
        <v>1482.93</v>
      </c>
      <c r="G132" s="16" t="s">
        <v>144</v>
      </c>
    </row>
    <row r="133" customFormat="false" ht="15" hidden="false" customHeight="false" outlineLevel="0" collapsed="false">
      <c r="A133" s="0" t="s">
        <v>187</v>
      </c>
      <c r="B133" s="14" t="n">
        <v>45989</v>
      </c>
      <c r="C133" s="16" t="s">
        <v>327</v>
      </c>
      <c r="D133" s="7" t="n">
        <v>-36.54</v>
      </c>
      <c r="E133" s="16" t="s">
        <v>206</v>
      </c>
      <c r="F133" s="7" t="n">
        <v>1521.93</v>
      </c>
      <c r="G133" s="16" t="s">
        <v>182</v>
      </c>
    </row>
    <row r="134" customFormat="false" ht="15" hidden="false" customHeight="false" outlineLevel="0" collapsed="false">
      <c r="A134" s="0" t="s">
        <v>187</v>
      </c>
      <c r="B134" s="14" t="n">
        <v>45987</v>
      </c>
      <c r="C134" s="16" t="s">
        <v>328</v>
      </c>
      <c r="D134" s="7" t="n">
        <v>-20.51</v>
      </c>
      <c r="E134" s="16" t="s">
        <v>206</v>
      </c>
      <c r="F134" s="7" t="n">
        <v>1558.47</v>
      </c>
      <c r="G134" s="16" t="s">
        <v>144</v>
      </c>
    </row>
    <row r="135" customFormat="false" ht="15" hidden="false" customHeight="false" outlineLevel="0" collapsed="false">
      <c r="A135" s="0" t="s">
        <v>187</v>
      </c>
      <c r="B135" s="14" t="n">
        <v>45987</v>
      </c>
      <c r="C135" s="16" t="s">
        <v>329</v>
      </c>
      <c r="D135" s="7" t="n">
        <v>-60</v>
      </c>
      <c r="E135" s="16" t="s">
        <v>215</v>
      </c>
      <c r="F135" s="7" t="n">
        <v>1578.98</v>
      </c>
      <c r="G135" s="16" t="s">
        <v>93</v>
      </c>
    </row>
    <row r="136" customFormat="false" ht="15" hidden="false" customHeight="false" outlineLevel="0" collapsed="false">
      <c r="A136" s="0" t="s">
        <v>187</v>
      </c>
      <c r="B136" s="14" t="n">
        <v>45987</v>
      </c>
      <c r="C136" s="16" t="s">
        <v>330</v>
      </c>
      <c r="D136" s="7" t="n">
        <v>-16</v>
      </c>
      <c r="E136" s="16" t="s">
        <v>206</v>
      </c>
      <c r="F136" s="7" t="n">
        <v>1638.98</v>
      </c>
      <c r="G136" s="16" t="s">
        <v>144</v>
      </c>
    </row>
    <row r="137" customFormat="false" ht="15" hidden="false" customHeight="false" outlineLevel="0" collapsed="false">
      <c r="A137" s="0" t="s">
        <v>187</v>
      </c>
      <c r="B137" s="14" t="n">
        <v>45986</v>
      </c>
      <c r="C137" s="16" t="s">
        <v>331</v>
      </c>
      <c r="D137" s="7" t="n">
        <v>-1000</v>
      </c>
      <c r="E137" s="16" t="s">
        <v>193</v>
      </c>
      <c r="F137" s="7" t="n">
        <v>1654.98</v>
      </c>
      <c r="G137" s="16" t="s">
        <v>80</v>
      </c>
    </row>
    <row r="138" customFormat="false" ht="15" hidden="false" customHeight="false" outlineLevel="0" collapsed="false">
      <c r="A138" s="0" t="s">
        <v>187</v>
      </c>
      <c r="B138" s="14" t="n">
        <v>45986</v>
      </c>
      <c r="C138" s="16" t="s">
        <v>332</v>
      </c>
      <c r="D138" s="7" t="n">
        <v>-150</v>
      </c>
      <c r="E138" s="16" t="s">
        <v>215</v>
      </c>
      <c r="F138" s="7" t="n">
        <v>2654.98</v>
      </c>
      <c r="G138" s="16" t="s">
        <v>87</v>
      </c>
    </row>
    <row r="139" customFormat="false" ht="15" hidden="false" customHeight="false" outlineLevel="0" collapsed="false">
      <c r="A139" s="0" t="s">
        <v>187</v>
      </c>
      <c r="B139" s="14" t="n">
        <v>45986</v>
      </c>
      <c r="C139" s="16" t="s">
        <v>333</v>
      </c>
      <c r="D139" s="7" t="n">
        <v>-200</v>
      </c>
      <c r="E139" s="16" t="s">
        <v>215</v>
      </c>
      <c r="F139" s="7" t="n">
        <v>2804.98</v>
      </c>
      <c r="G139" s="16" t="s">
        <v>86</v>
      </c>
    </row>
    <row r="140" customFormat="false" ht="15" hidden="false" customHeight="false" outlineLevel="0" collapsed="false">
      <c r="A140" s="0" t="s">
        <v>187</v>
      </c>
      <c r="B140" s="14" t="n">
        <v>45986</v>
      </c>
      <c r="C140" s="16" t="s">
        <v>334</v>
      </c>
      <c r="D140" s="7" t="n">
        <v>-12.99</v>
      </c>
      <c r="E140" s="16" t="s">
        <v>206</v>
      </c>
      <c r="F140" s="7" t="n">
        <v>3004.98</v>
      </c>
      <c r="G140" s="16" t="s">
        <v>114</v>
      </c>
    </row>
    <row r="141" customFormat="false" ht="15" hidden="false" customHeight="false" outlineLevel="0" collapsed="false">
      <c r="A141" s="0" t="s">
        <v>187</v>
      </c>
      <c r="B141" s="14" t="n">
        <v>45986</v>
      </c>
      <c r="C141" s="16" t="s">
        <v>335</v>
      </c>
      <c r="D141" s="7" t="n">
        <v>-227.5</v>
      </c>
      <c r="E141" s="16" t="s">
        <v>206</v>
      </c>
      <c r="F141" s="7" t="n">
        <v>3017.97</v>
      </c>
      <c r="G141" s="16" t="s">
        <v>75</v>
      </c>
    </row>
    <row r="142" customFormat="false" ht="15" hidden="false" customHeight="false" outlineLevel="0" collapsed="false">
      <c r="A142" s="0" t="s">
        <v>187</v>
      </c>
      <c r="B142" s="14" t="n">
        <v>45986</v>
      </c>
      <c r="C142" s="16" t="s">
        <v>336</v>
      </c>
      <c r="D142" s="7" t="n">
        <v>-250</v>
      </c>
      <c r="E142" s="16" t="s">
        <v>206</v>
      </c>
      <c r="F142" s="7" t="n">
        <v>3245.47</v>
      </c>
      <c r="G142" s="16" t="s">
        <v>144</v>
      </c>
    </row>
    <row r="143" customFormat="false" ht="15" hidden="false" customHeight="false" outlineLevel="0" collapsed="false">
      <c r="A143" s="0" t="s">
        <v>187</v>
      </c>
      <c r="B143" s="14" t="n">
        <v>45985</v>
      </c>
      <c r="C143" s="16" t="s">
        <v>337</v>
      </c>
      <c r="D143" s="7" t="n">
        <v>-50</v>
      </c>
      <c r="E143" s="16" t="s">
        <v>193</v>
      </c>
      <c r="F143" s="7" t="n">
        <v>3495.47</v>
      </c>
      <c r="G143" s="16" t="s">
        <v>80</v>
      </c>
    </row>
    <row r="144" customFormat="false" ht="15" hidden="false" customHeight="false" outlineLevel="0" collapsed="false">
      <c r="A144" s="0" t="s">
        <v>187</v>
      </c>
      <c r="B144" s="14" t="n">
        <v>45985</v>
      </c>
      <c r="C144" s="16" t="s">
        <v>338</v>
      </c>
      <c r="D144" s="7" t="n">
        <v>-150</v>
      </c>
      <c r="E144" s="16" t="s">
        <v>193</v>
      </c>
      <c r="F144" s="7" t="n">
        <v>3545.47</v>
      </c>
      <c r="G144" s="16" t="s">
        <v>80</v>
      </c>
    </row>
    <row r="145" customFormat="false" ht="15" hidden="false" customHeight="false" outlineLevel="0" collapsed="false">
      <c r="A145" s="0" t="s">
        <v>187</v>
      </c>
      <c r="B145" s="14" t="n">
        <v>45985</v>
      </c>
      <c r="C145" s="16" t="s">
        <v>339</v>
      </c>
      <c r="D145" s="7" t="n">
        <v>-1500</v>
      </c>
      <c r="E145" s="16" t="s">
        <v>197</v>
      </c>
      <c r="F145" s="7" t="n">
        <v>3695.47</v>
      </c>
      <c r="G145" s="16" t="s">
        <v>69</v>
      </c>
    </row>
    <row r="146" customFormat="false" ht="15" hidden="false" customHeight="false" outlineLevel="0" collapsed="false">
      <c r="A146" s="0" t="s">
        <v>187</v>
      </c>
      <c r="B146" s="14" t="n">
        <v>45985</v>
      </c>
      <c r="C146" s="16" t="s">
        <v>340</v>
      </c>
      <c r="D146" s="7" t="n">
        <v>-20</v>
      </c>
      <c r="E146" s="16" t="s">
        <v>193</v>
      </c>
      <c r="F146" s="7" t="n">
        <v>5195.47</v>
      </c>
      <c r="G146" s="16" t="s">
        <v>80</v>
      </c>
    </row>
    <row r="147" customFormat="false" ht="15" hidden="false" customHeight="false" outlineLevel="0" collapsed="false">
      <c r="A147" s="0" t="s">
        <v>187</v>
      </c>
      <c r="B147" s="14" t="n">
        <v>45985</v>
      </c>
      <c r="C147" s="16" t="s">
        <v>341</v>
      </c>
      <c r="D147" s="7" t="n">
        <v>-650.56</v>
      </c>
      <c r="E147" s="16" t="s">
        <v>193</v>
      </c>
      <c r="F147" s="7" t="n">
        <v>5215.47</v>
      </c>
      <c r="G147" s="16" t="s">
        <v>80</v>
      </c>
    </row>
    <row r="148" customFormat="false" ht="15" hidden="false" customHeight="false" outlineLevel="0" collapsed="false">
      <c r="A148" s="0" t="s">
        <v>187</v>
      </c>
      <c r="B148" s="14" t="n">
        <v>45985</v>
      </c>
      <c r="C148" s="16" t="s">
        <v>342</v>
      </c>
      <c r="D148" s="7" t="n">
        <v>-9.99</v>
      </c>
      <c r="E148" s="16" t="s">
        <v>206</v>
      </c>
      <c r="F148" s="7" t="n">
        <v>5866.03</v>
      </c>
      <c r="G148" s="16" t="s">
        <v>144</v>
      </c>
    </row>
    <row r="149" customFormat="false" ht="15" hidden="false" customHeight="false" outlineLevel="0" collapsed="false">
      <c r="A149" s="0" t="s">
        <v>187</v>
      </c>
      <c r="B149" s="14" t="n">
        <v>45985</v>
      </c>
      <c r="C149" s="16" t="s">
        <v>342</v>
      </c>
      <c r="D149" s="7" t="n">
        <v>-8.99</v>
      </c>
      <c r="E149" s="16" t="s">
        <v>206</v>
      </c>
      <c r="F149" s="7" t="n">
        <v>5876.02</v>
      </c>
      <c r="G149" s="16" t="s">
        <v>144</v>
      </c>
    </row>
    <row r="150" customFormat="false" ht="15" hidden="false" customHeight="false" outlineLevel="0" collapsed="false">
      <c r="A150" s="0" t="s">
        <v>187</v>
      </c>
      <c r="B150" s="14" t="n">
        <v>45985</v>
      </c>
      <c r="C150" s="16" t="s">
        <v>343</v>
      </c>
      <c r="D150" s="7" t="n">
        <v>-17.95</v>
      </c>
      <c r="E150" s="16" t="s">
        <v>206</v>
      </c>
      <c r="F150" s="7" t="n">
        <v>5885.01</v>
      </c>
      <c r="G150" s="16" t="s">
        <v>144</v>
      </c>
    </row>
    <row r="151" customFormat="false" ht="15" hidden="false" customHeight="false" outlineLevel="0" collapsed="false">
      <c r="A151" s="0" t="s">
        <v>187</v>
      </c>
      <c r="B151" s="14" t="n">
        <v>45985</v>
      </c>
      <c r="C151" s="16" t="s">
        <v>344</v>
      </c>
      <c r="D151" s="7" t="n">
        <v>-4</v>
      </c>
      <c r="E151" s="16" t="s">
        <v>206</v>
      </c>
      <c r="F151" s="7" t="n">
        <v>5902.96</v>
      </c>
      <c r="G151" s="16" t="s">
        <v>179</v>
      </c>
    </row>
    <row r="152" customFormat="false" ht="15" hidden="false" customHeight="false" outlineLevel="0" collapsed="false">
      <c r="A152" s="0" t="s">
        <v>187</v>
      </c>
      <c r="B152" s="14" t="n">
        <v>45985</v>
      </c>
      <c r="C152" s="16" t="s">
        <v>345</v>
      </c>
      <c r="D152" s="7" t="n">
        <v>-42.79</v>
      </c>
      <c r="E152" s="16" t="s">
        <v>206</v>
      </c>
      <c r="F152" s="7" t="n">
        <v>5906.96</v>
      </c>
      <c r="G152" s="16" t="s">
        <v>182</v>
      </c>
    </row>
    <row r="153" customFormat="false" ht="15" hidden="false" customHeight="false" outlineLevel="0" collapsed="false">
      <c r="A153" s="0" t="s">
        <v>187</v>
      </c>
      <c r="B153" s="14" t="n">
        <v>45985</v>
      </c>
      <c r="C153" s="16" t="s">
        <v>346</v>
      </c>
      <c r="D153" s="7" t="n">
        <v>-30</v>
      </c>
      <c r="E153" s="16" t="s">
        <v>206</v>
      </c>
      <c r="F153" s="7" t="n">
        <v>5949.75</v>
      </c>
      <c r="G153" s="16" t="s">
        <v>144</v>
      </c>
    </row>
    <row r="154" customFormat="false" ht="15" hidden="false" customHeight="false" outlineLevel="0" collapsed="false">
      <c r="A154" s="0" t="s">
        <v>187</v>
      </c>
      <c r="B154" s="14" t="n">
        <v>45982</v>
      </c>
      <c r="C154" s="16" t="s">
        <v>347</v>
      </c>
      <c r="D154" s="7" t="n">
        <v>-75</v>
      </c>
      <c r="E154" s="16" t="s">
        <v>193</v>
      </c>
      <c r="F154" s="7" t="n">
        <v>5979.75</v>
      </c>
      <c r="G154" s="16" t="s">
        <v>80</v>
      </c>
    </row>
    <row r="155" customFormat="false" ht="15" hidden="false" customHeight="false" outlineLevel="0" collapsed="false">
      <c r="A155" s="0" t="s">
        <v>187</v>
      </c>
      <c r="B155" s="14" t="n">
        <v>45982</v>
      </c>
      <c r="C155" s="16" t="s">
        <v>348</v>
      </c>
      <c r="D155" s="7" t="n">
        <v>-250</v>
      </c>
      <c r="E155" s="16" t="s">
        <v>193</v>
      </c>
      <c r="F155" s="7" t="n">
        <v>6054.75</v>
      </c>
      <c r="G155" s="16" t="s">
        <v>80</v>
      </c>
    </row>
    <row r="156" customFormat="false" ht="15" hidden="false" customHeight="false" outlineLevel="0" collapsed="false">
      <c r="A156" s="0" t="s">
        <v>187</v>
      </c>
      <c r="B156" s="14" t="n">
        <v>45982</v>
      </c>
      <c r="C156" s="16" t="s">
        <v>349</v>
      </c>
      <c r="D156" s="7" t="n">
        <v>-5000</v>
      </c>
      <c r="E156" s="16" t="s">
        <v>213</v>
      </c>
      <c r="F156" s="7" t="n">
        <v>6304.75</v>
      </c>
      <c r="G156" s="16" t="s">
        <v>96</v>
      </c>
    </row>
    <row r="157" customFormat="false" ht="15" hidden="false" customHeight="false" outlineLevel="0" collapsed="false">
      <c r="A157" s="0" t="s">
        <v>187</v>
      </c>
      <c r="B157" s="14" t="n">
        <v>45982</v>
      </c>
      <c r="C157" s="16" t="s">
        <v>350</v>
      </c>
      <c r="D157" s="7" t="n">
        <v>-1000</v>
      </c>
      <c r="E157" s="16" t="s">
        <v>213</v>
      </c>
      <c r="F157" s="7" t="n">
        <v>11304.75</v>
      </c>
      <c r="G157" s="16" t="s">
        <v>185</v>
      </c>
    </row>
    <row r="158" customFormat="false" ht="15" hidden="false" customHeight="false" outlineLevel="0" collapsed="false">
      <c r="A158" s="0" t="s">
        <v>187</v>
      </c>
      <c r="B158" s="14" t="n">
        <v>45982</v>
      </c>
      <c r="C158" s="16" t="s">
        <v>351</v>
      </c>
      <c r="D158" s="7" t="n">
        <v>-44</v>
      </c>
      <c r="E158" s="16" t="s">
        <v>215</v>
      </c>
      <c r="F158" s="7" t="n">
        <v>12304.75</v>
      </c>
      <c r="G158" s="16" t="s">
        <v>120</v>
      </c>
    </row>
    <row r="159" customFormat="false" ht="15" hidden="false" customHeight="false" outlineLevel="0" collapsed="false">
      <c r="A159" s="0" t="s">
        <v>187</v>
      </c>
      <c r="B159" s="14" t="n">
        <v>45982</v>
      </c>
      <c r="C159" s="16" t="s">
        <v>352</v>
      </c>
      <c r="D159" s="7" t="n">
        <v>-88.79</v>
      </c>
      <c r="E159" s="16" t="s">
        <v>193</v>
      </c>
      <c r="F159" s="7" t="n">
        <v>12348.75</v>
      </c>
      <c r="G159" s="16" t="s">
        <v>134</v>
      </c>
    </row>
    <row r="160" customFormat="false" ht="15" hidden="false" customHeight="false" outlineLevel="0" collapsed="false">
      <c r="A160" s="0" t="s">
        <v>187</v>
      </c>
      <c r="B160" s="14" t="n">
        <v>45982</v>
      </c>
      <c r="C160" s="16" t="s">
        <v>353</v>
      </c>
      <c r="D160" s="7" t="n">
        <v>-331.54</v>
      </c>
      <c r="E160" s="16" t="s">
        <v>193</v>
      </c>
      <c r="F160" s="7" t="n">
        <v>12437.54</v>
      </c>
      <c r="G160" s="16" t="s">
        <v>148</v>
      </c>
    </row>
    <row r="161" customFormat="false" ht="15" hidden="false" customHeight="false" outlineLevel="0" collapsed="false">
      <c r="A161" s="0" t="s">
        <v>187</v>
      </c>
      <c r="B161" s="14" t="n">
        <v>45982</v>
      </c>
      <c r="C161" s="16" t="s">
        <v>354</v>
      </c>
      <c r="D161" s="7" t="n">
        <v>-250</v>
      </c>
      <c r="E161" s="16" t="s">
        <v>206</v>
      </c>
      <c r="F161" s="7" t="n">
        <v>12769.08</v>
      </c>
      <c r="G161" s="16" t="s">
        <v>72</v>
      </c>
    </row>
    <row r="162" customFormat="false" ht="15" hidden="false" customHeight="false" outlineLevel="0" collapsed="false">
      <c r="A162" s="0" t="s">
        <v>187</v>
      </c>
      <c r="B162" s="14" t="n">
        <v>45982</v>
      </c>
      <c r="C162" s="16" t="s">
        <v>355</v>
      </c>
      <c r="D162" s="7" t="n">
        <v>-26.89</v>
      </c>
      <c r="E162" s="16" t="s">
        <v>206</v>
      </c>
      <c r="F162" s="7" t="n">
        <v>13019.08</v>
      </c>
      <c r="G162" s="16" t="s">
        <v>137</v>
      </c>
    </row>
    <row r="163" customFormat="false" ht="15" hidden="false" customHeight="false" outlineLevel="0" collapsed="false">
      <c r="A163" s="0" t="s">
        <v>259</v>
      </c>
      <c r="B163" s="14" t="n">
        <v>45982</v>
      </c>
      <c r="C163" s="16" t="s">
        <v>356</v>
      </c>
      <c r="D163" s="7" t="n">
        <v>10000</v>
      </c>
      <c r="E163" s="16" t="s">
        <v>213</v>
      </c>
      <c r="F163" s="7" t="n">
        <v>13045.97</v>
      </c>
      <c r="G163" s="16" t="s">
        <v>42</v>
      </c>
    </row>
    <row r="164" customFormat="false" ht="15" hidden="false" customHeight="false" outlineLevel="0" collapsed="false">
      <c r="A164" s="0" t="s">
        <v>187</v>
      </c>
      <c r="B164" s="14" t="n">
        <v>45981</v>
      </c>
      <c r="C164" s="16" t="s">
        <v>188</v>
      </c>
      <c r="D164" s="7" t="n">
        <v>-5</v>
      </c>
      <c r="E164" s="16" t="s">
        <v>189</v>
      </c>
      <c r="F164" s="7" t="n">
        <v>3045.97</v>
      </c>
      <c r="G164" s="16" t="s">
        <v>65</v>
      </c>
    </row>
    <row r="165" customFormat="false" ht="15" hidden="false" customHeight="false" outlineLevel="0" collapsed="false">
      <c r="A165" s="0" t="s">
        <v>187</v>
      </c>
      <c r="B165" s="14" t="n">
        <v>45981</v>
      </c>
      <c r="C165" s="16" t="s">
        <v>357</v>
      </c>
      <c r="D165" s="7" t="n">
        <v>-125</v>
      </c>
      <c r="E165" s="16" t="s">
        <v>193</v>
      </c>
      <c r="F165" s="7" t="n">
        <v>3050.97</v>
      </c>
      <c r="G165" s="16" t="s">
        <v>80</v>
      </c>
    </row>
    <row r="166" customFormat="false" ht="15" hidden="false" customHeight="false" outlineLevel="0" collapsed="false">
      <c r="A166" s="0" t="s">
        <v>187</v>
      </c>
      <c r="B166" s="14" t="n">
        <v>45981</v>
      </c>
      <c r="C166" s="16" t="s">
        <v>358</v>
      </c>
      <c r="D166" s="7" t="n">
        <v>-150</v>
      </c>
      <c r="E166" s="16" t="s">
        <v>193</v>
      </c>
      <c r="F166" s="7" t="n">
        <v>3175.97</v>
      </c>
      <c r="G166" s="16" t="s">
        <v>80</v>
      </c>
    </row>
    <row r="167" customFormat="false" ht="15" hidden="false" customHeight="false" outlineLevel="0" collapsed="false">
      <c r="A167" s="0" t="s">
        <v>187</v>
      </c>
      <c r="B167" s="14" t="n">
        <v>45981</v>
      </c>
      <c r="C167" s="16" t="s">
        <v>359</v>
      </c>
      <c r="D167" s="7" t="n">
        <v>-2000</v>
      </c>
      <c r="E167" s="16" t="s">
        <v>213</v>
      </c>
      <c r="F167" s="7" t="n">
        <v>3325.97</v>
      </c>
      <c r="G167" s="16" t="s">
        <v>96</v>
      </c>
    </row>
    <row r="168" customFormat="false" ht="15" hidden="false" customHeight="false" outlineLevel="0" collapsed="false">
      <c r="A168" s="0" t="s">
        <v>187</v>
      </c>
      <c r="B168" s="14" t="n">
        <v>45981</v>
      </c>
      <c r="C168" s="16" t="s">
        <v>360</v>
      </c>
      <c r="D168" s="7" t="n">
        <v>-95</v>
      </c>
      <c r="E168" s="16" t="s">
        <v>193</v>
      </c>
      <c r="F168" s="7" t="n">
        <v>5325.97</v>
      </c>
      <c r="G168" s="16" t="s">
        <v>101</v>
      </c>
    </row>
    <row r="169" customFormat="false" ht="15" hidden="false" customHeight="false" outlineLevel="0" collapsed="false">
      <c r="A169" s="0" t="s">
        <v>187</v>
      </c>
      <c r="B169" s="14" t="n">
        <v>45981</v>
      </c>
      <c r="C169" s="16" t="s">
        <v>361</v>
      </c>
      <c r="D169" s="7" t="n">
        <v>-750</v>
      </c>
      <c r="E169" s="16" t="s">
        <v>191</v>
      </c>
      <c r="F169" s="7" t="n">
        <v>5420.97</v>
      </c>
      <c r="G169" s="16" t="s">
        <v>65</v>
      </c>
    </row>
    <row r="170" customFormat="false" ht="15" hidden="false" customHeight="false" outlineLevel="0" collapsed="false">
      <c r="A170" s="0" t="s">
        <v>187</v>
      </c>
      <c r="B170" s="14" t="n">
        <v>45981</v>
      </c>
      <c r="C170" s="16" t="s">
        <v>362</v>
      </c>
      <c r="D170" s="7" t="n">
        <v>-2000</v>
      </c>
      <c r="E170" s="16" t="s">
        <v>213</v>
      </c>
      <c r="F170" s="7" t="n">
        <v>6170.97</v>
      </c>
      <c r="G170" s="16" t="s">
        <v>96</v>
      </c>
    </row>
    <row r="171" customFormat="false" ht="15" hidden="false" customHeight="false" outlineLevel="0" collapsed="false">
      <c r="A171" s="0" t="s">
        <v>187</v>
      </c>
      <c r="B171" s="14" t="n">
        <v>45981</v>
      </c>
      <c r="C171" s="16" t="s">
        <v>363</v>
      </c>
      <c r="D171" s="7" t="n">
        <v>-1900</v>
      </c>
      <c r="E171" s="16" t="s">
        <v>208</v>
      </c>
      <c r="F171" s="7" t="n">
        <v>8170.97</v>
      </c>
      <c r="G171" s="16" t="s">
        <v>111</v>
      </c>
    </row>
    <row r="172" customFormat="false" ht="15" hidden="false" customHeight="false" outlineLevel="0" collapsed="false">
      <c r="A172" s="0" t="s">
        <v>187</v>
      </c>
      <c r="B172" s="14" t="n">
        <v>45981</v>
      </c>
      <c r="C172" s="16" t="s">
        <v>364</v>
      </c>
      <c r="D172" s="7" t="n">
        <v>-12.99</v>
      </c>
      <c r="E172" s="16" t="s">
        <v>206</v>
      </c>
      <c r="F172" s="7" t="n">
        <v>10070.97</v>
      </c>
      <c r="G172" s="16" t="s">
        <v>144</v>
      </c>
    </row>
    <row r="173" customFormat="false" ht="15" hidden="false" customHeight="false" outlineLevel="0" collapsed="false">
      <c r="A173" s="0" t="s">
        <v>187</v>
      </c>
      <c r="B173" s="14" t="n">
        <v>45981</v>
      </c>
      <c r="C173" s="16" t="s">
        <v>365</v>
      </c>
      <c r="D173" s="7" t="n">
        <v>-15</v>
      </c>
      <c r="E173" s="16" t="s">
        <v>206</v>
      </c>
      <c r="F173" s="7" t="n">
        <v>10083.96</v>
      </c>
      <c r="G173" s="16" t="s">
        <v>144</v>
      </c>
    </row>
    <row r="174" customFormat="false" ht="15" hidden="false" customHeight="false" outlineLevel="0" collapsed="false">
      <c r="A174" s="0" t="s">
        <v>187</v>
      </c>
      <c r="B174" s="14" t="n">
        <v>45981</v>
      </c>
      <c r="C174" s="16" t="s">
        <v>366</v>
      </c>
      <c r="D174" s="7" t="n">
        <v>-90.83</v>
      </c>
      <c r="E174" s="16" t="s">
        <v>206</v>
      </c>
      <c r="F174" s="7" t="n">
        <v>10098.96</v>
      </c>
      <c r="G174" s="16" t="s">
        <v>182</v>
      </c>
    </row>
    <row r="175" customFormat="false" ht="15" hidden="false" customHeight="false" outlineLevel="0" collapsed="false">
      <c r="A175" s="0" t="s">
        <v>187</v>
      </c>
      <c r="B175" s="14" t="n">
        <v>45981</v>
      </c>
      <c r="C175" s="16" t="s">
        <v>367</v>
      </c>
      <c r="D175" s="7" t="n">
        <v>-533.4</v>
      </c>
      <c r="E175" s="16" t="s">
        <v>206</v>
      </c>
      <c r="F175" s="7" t="n">
        <v>10189.79</v>
      </c>
      <c r="G175" s="16" t="s">
        <v>67</v>
      </c>
    </row>
    <row r="176" customFormat="false" ht="15" hidden="false" customHeight="false" outlineLevel="0" collapsed="false">
      <c r="A176" s="0" t="s">
        <v>187</v>
      </c>
      <c r="B176" s="14" t="n">
        <v>45980</v>
      </c>
      <c r="C176" s="16" t="s">
        <v>368</v>
      </c>
      <c r="D176" s="7" t="n">
        <v>-100</v>
      </c>
      <c r="E176" s="16" t="s">
        <v>215</v>
      </c>
      <c r="F176" s="7" t="n">
        <v>10723.19</v>
      </c>
      <c r="G176" s="16" t="s">
        <v>93</v>
      </c>
    </row>
    <row r="177" customFormat="false" ht="15" hidden="false" customHeight="false" outlineLevel="0" collapsed="false">
      <c r="A177" s="0" t="s">
        <v>187</v>
      </c>
      <c r="B177" s="14" t="n">
        <v>45980</v>
      </c>
      <c r="C177" s="16" t="s">
        <v>369</v>
      </c>
      <c r="D177" s="7" t="n">
        <v>-8.99</v>
      </c>
      <c r="E177" s="16" t="s">
        <v>206</v>
      </c>
      <c r="F177" s="7" t="n">
        <v>10823.19</v>
      </c>
      <c r="G177" s="16" t="s">
        <v>144</v>
      </c>
    </row>
    <row r="178" customFormat="false" ht="15" hidden="false" customHeight="false" outlineLevel="0" collapsed="false">
      <c r="A178" s="0" t="s">
        <v>187</v>
      </c>
      <c r="B178" s="14" t="n">
        <v>45980</v>
      </c>
      <c r="C178" s="16" t="s">
        <v>370</v>
      </c>
      <c r="D178" s="7" t="n">
        <v>-21.98</v>
      </c>
      <c r="E178" s="16" t="s">
        <v>206</v>
      </c>
      <c r="F178" s="7" t="n">
        <v>10832.18</v>
      </c>
      <c r="G178" s="16" t="s">
        <v>118</v>
      </c>
    </row>
    <row r="179" customFormat="false" ht="15" hidden="false" customHeight="false" outlineLevel="0" collapsed="false">
      <c r="A179" s="0" t="s">
        <v>187</v>
      </c>
      <c r="B179" s="14" t="n">
        <v>45980</v>
      </c>
      <c r="C179" s="16" t="s">
        <v>371</v>
      </c>
      <c r="D179" s="7" t="n">
        <v>-15.98</v>
      </c>
      <c r="E179" s="16" t="s">
        <v>206</v>
      </c>
      <c r="F179" s="7" t="n">
        <v>10854.16</v>
      </c>
      <c r="G179" s="16" t="s">
        <v>118</v>
      </c>
    </row>
    <row r="180" customFormat="false" ht="15" hidden="false" customHeight="false" outlineLevel="0" collapsed="false">
      <c r="A180" s="0" t="s">
        <v>187</v>
      </c>
      <c r="B180" s="14" t="n">
        <v>45979</v>
      </c>
      <c r="C180" s="16" t="s">
        <v>372</v>
      </c>
      <c r="D180" s="7" t="n">
        <v>-1000</v>
      </c>
      <c r="E180" s="16" t="s">
        <v>224</v>
      </c>
      <c r="F180" s="7" t="n">
        <v>10870.14</v>
      </c>
      <c r="G180" s="16" t="s">
        <v>90</v>
      </c>
    </row>
    <row r="181" customFormat="false" ht="15" hidden="false" customHeight="false" outlineLevel="0" collapsed="false">
      <c r="A181" s="0" t="s">
        <v>187</v>
      </c>
      <c r="B181" s="14" t="n">
        <v>45979</v>
      </c>
      <c r="C181" s="16" t="s">
        <v>373</v>
      </c>
      <c r="D181" s="7" t="n">
        <v>-290</v>
      </c>
      <c r="E181" s="16" t="s">
        <v>215</v>
      </c>
      <c r="F181" s="7" t="n">
        <v>11870.14</v>
      </c>
      <c r="G181" s="16" t="s">
        <v>86</v>
      </c>
    </row>
    <row r="182" customFormat="false" ht="15" hidden="false" customHeight="false" outlineLevel="0" collapsed="false">
      <c r="A182" s="0" t="s">
        <v>187</v>
      </c>
      <c r="B182" s="14" t="n">
        <v>45979</v>
      </c>
      <c r="C182" s="16" t="s">
        <v>374</v>
      </c>
      <c r="D182" s="7" t="n">
        <v>-550</v>
      </c>
      <c r="E182" s="16" t="s">
        <v>215</v>
      </c>
      <c r="F182" s="7" t="n">
        <v>12160.14</v>
      </c>
      <c r="G182" s="16" t="s">
        <v>86</v>
      </c>
    </row>
    <row r="183" customFormat="false" ht="15" hidden="false" customHeight="false" outlineLevel="0" collapsed="false">
      <c r="A183" s="0" t="s">
        <v>187</v>
      </c>
      <c r="B183" s="14" t="n">
        <v>45979</v>
      </c>
      <c r="C183" s="16" t="s">
        <v>375</v>
      </c>
      <c r="D183" s="7" t="n">
        <v>-104.01</v>
      </c>
      <c r="E183" s="16" t="s">
        <v>193</v>
      </c>
      <c r="F183" s="7" t="n">
        <v>12710.14</v>
      </c>
      <c r="G183" s="16" t="s">
        <v>114</v>
      </c>
    </row>
    <row r="184" customFormat="false" ht="15" hidden="false" customHeight="false" outlineLevel="0" collapsed="false">
      <c r="A184" s="0" t="s">
        <v>187</v>
      </c>
      <c r="B184" s="14" t="n">
        <v>45979</v>
      </c>
      <c r="C184" s="16" t="s">
        <v>376</v>
      </c>
      <c r="D184" s="7" t="n">
        <v>-2380.98</v>
      </c>
      <c r="E184" s="16" t="s">
        <v>193</v>
      </c>
      <c r="F184" s="7" t="n">
        <v>12814.15</v>
      </c>
      <c r="G184" s="16" t="s">
        <v>184</v>
      </c>
    </row>
    <row r="185" customFormat="false" ht="15" hidden="false" customHeight="false" outlineLevel="0" collapsed="false">
      <c r="A185" s="0" t="s">
        <v>187</v>
      </c>
      <c r="B185" s="14" t="n">
        <v>45979</v>
      </c>
      <c r="C185" s="16" t="s">
        <v>377</v>
      </c>
      <c r="D185" s="7" t="n">
        <v>-9.99</v>
      </c>
      <c r="E185" s="16" t="s">
        <v>206</v>
      </c>
      <c r="F185" s="7" t="n">
        <v>15195.13</v>
      </c>
      <c r="G185" s="16" t="s">
        <v>144</v>
      </c>
    </row>
    <row r="186" customFormat="false" ht="15" hidden="false" customHeight="false" outlineLevel="0" collapsed="false">
      <c r="A186" s="0" t="s">
        <v>187</v>
      </c>
      <c r="B186" s="14" t="n">
        <v>45979</v>
      </c>
      <c r="C186" s="16" t="s">
        <v>378</v>
      </c>
      <c r="D186" s="7" t="n">
        <v>-227.5</v>
      </c>
      <c r="E186" s="16" t="s">
        <v>206</v>
      </c>
      <c r="F186" s="7" t="n">
        <v>15205.12</v>
      </c>
      <c r="G186" s="16" t="s">
        <v>75</v>
      </c>
    </row>
    <row r="187" customFormat="false" ht="15" hidden="false" customHeight="false" outlineLevel="0" collapsed="false">
      <c r="A187" s="0" t="s">
        <v>187</v>
      </c>
      <c r="B187" s="14" t="n">
        <v>45978</v>
      </c>
      <c r="C187" s="16" t="s">
        <v>379</v>
      </c>
      <c r="D187" s="7" t="n">
        <v>-1500</v>
      </c>
      <c r="E187" s="16" t="s">
        <v>193</v>
      </c>
      <c r="F187" s="7" t="n">
        <v>15432.62</v>
      </c>
      <c r="G187" s="16" t="s">
        <v>80</v>
      </c>
    </row>
    <row r="188" customFormat="false" ht="15" hidden="false" customHeight="false" outlineLevel="0" collapsed="false">
      <c r="A188" s="0" t="s">
        <v>187</v>
      </c>
      <c r="B188" s="14" t="n">
        <v>45978</v>
      </c>
      <c r="C188" s="16" t="s">
        <v>380</v>
      </c>
      <c r="D188" s="7" t="n">
        <v>-4000</v>
      </c>
      <c r="E188" s="16" t="s">
        <v>215</v>
      </c>
      <c r="F188" s="7" t="n">
        <v>16932.62</v>
      </c>
      <c r="G188" s="16" t="s">
        <v>86</v>
      </c>
    </row>
    <row r="189" customFormat="false" ht="15" hidden="false" customHeight="false" outlineLevel="0" collapsed="false">
      <c r="A189" s="0" t="s">
        <v>187</v>
      </c>
      <c r="B189" s="14" t="n">
        <v>45978</v>
      </c>
      <c r="C189" s="16" t="s">
        <v>381</v>
      </c>
      <c r="D189" s="7" t="n">
        <v>-2000</v>
      </c>
      <c r="E189" s="16" t="s">
        <v>213</v>
      </c>
      <c r="F189" s="7" t="n">
        <v>20932.62</v>
      </c>
      <c r="G189" s="16" t="s">
        <v>96</v>
      </c>
    </row>
    <row r="190" customFormat="false" ht="15" hidden="false" customHeight="false" outlineLevel="0" collapsed="false">
      <c r="A190" s="0" t="s">
        <v>187</v>
      </c>
      <c r="B190" s="14" t="n">
        <v>45978</v>
      </c>
      <c r="C190" s="16" t="s">
        <v>382</v>
      </c>
      <c r="D190" s="7" t="n">
        <v>-5000</v>
      </c>
      <c r="E190" s="16" t="s">
        <v>213</v>
      </c>
      <c r="F190" s="7" t="n">
        <v>22932.62</v>
      </c>
      <c r="G190" s="16" t="s">
        <v>98</v>
      </c>
    </row>
    <row r="191" customFormat="false" ht="15" hidden="false" customHeight="false" outlineLevel="0" collapsed="false">
      <c r="A191" s="0" t="s">
        <v>187</v>
      </c>
      <c r="B191" s="14" t="n">
        <v>45978</v>
      </c>
      <c r="C191" s="16" t="s">
        <v>383</v>
      </c>
      <c r="D191" s="7" t="n">
        <v>-100</v>
      </c>
      <c r="E191" s="16" t="s">
        <v>208</v>
      </c>
      <c r="F191" s="7" t="n">
        <v>27932.62</v>
      </c>
      <c r="G191" s="16" t="s">
        <v>180</v>
      </c>
    </row>
    <row r="192" customFormat="false" ht="15" hidden="false" customHeight="false" outlineLevel="0" collapsed="false">
      <c r="A192" s="0" t="s">
        <v>187</v>
      </c>
      <c r="B192" s="14" t="n">
        <v>45978</v>
      </c>
      <c r="C192" s="16" t="s">
        <v>384</v>
      </c>
      <c r="D192" s="7" t="n">
        <v>-100</v>
      </c>
      <c r="E192" s="16" t="s">
        <v>208</v>
      </c>
      <c r="F192" s="7" t="n">
        <v>28032.62</v>
      </c>
      <c r="G192" s="16" t="s">
        <v>180</v>
      </c>
    </row>
    <row r="193" customFormat="false" ht="15" hidden="false" customHeight="false" outlineLevel="0" collapsed="false">
      <c r="A193" s="0" t="s">
        <v>187</v>
      </c>
      <c r="B193" s="14" t="n">
        <v>45978</v>
      </c>
      <c r="C193" s="16" t="s">
        <v>385</v>
      </c>
      <c r="D193" s="7" t="n">
        <v>-1500</v>
      </c>
      <c r="E193" s="16" t="s">
        <v>197</v>
      </c>
      <c r="F193" s="7" t="n">
        <v>28132.62</v>
      </c>
      <c r="G193" s="16" t="s">
        <v>69</v>
      </c>
    </row>
    <row r="194" customFormat="false" ht="15" hidden="false" customHeight="false" outlineLevel="0" collapsed="false">
      <c r="A194" s="0" t="s">
        <v>187</v>
      </c>
      <c r="B194" s="14" t="n">
        <v>45978</v>
      </c>
      <c r="C194" s="16" t="s">
        <v>377</v>
      </c>
      <c r="D194" s="7" t="n">
        <v>-11</v>
      </c>
      <c r="E194" s="16" t="s">
        <v>206</v>
      </c>
      <c r="F194" s="7" t="n">
        <v>29632.62</v>
      </c>
      <c r="G194" s="16" t="s">
        <v>144</v>
      </c>
    </row>
    <row r="195" customFormat="false" ht="15" hidden="false" customHeight="false" outlineLevel="0" collapsed="false">
      <c r="A195" s="0" t="s">
        <v>187</v>
      </c>
      <c r="B195" s="14" t="n">
        <v>45978</v>
      </c>
      <c r="C195" s="16" t="s">
        <v>386</v>
      </c>
      <c r="D195" s="7" t="n">
        <v>-100</v>
      </c>
      <c r="E195" s="16" t="s">
        <v>215</v>
      </c>
      <c r="F195" s="7" t="n">
        <v>29643.62</v>
      </c>
      <c r="G195" s="16" t="s">
        <v>87</v>
      </c>
    </row>
    <row r="196" customFormat="false" ht="15" hidden="false" customHeight="false" outlineLevel="0" collapsed="false">
      <c r="A196" s="0" t="s">
        <v>187</v>
      </c>
      <c r="B196" s="14" t="n">
        <v>45978</v>
      </c>
      <c r="C196" s="16" t="s">
        <v>387</v>
      </c>
      <c r="D196" s="7" t="n">
        <v>-500</v>
      </c>
      <c r="E196" s="16" t="s">
        <v>213</v>
      </c>
      <c r="F196" s="7" t="n">
        <v>29743.62</v>
      </c>
      <c r="G196" s="16" t="s">
        <v>47</v>
      </c>
    </row>
    <row r="197" customFormat="false" ht="15" hidden="false" customHeight="false" outlineLevel="0" collapsed="false">
      <c r="A197" s="0" t="s">
        <v>187</v>
      </c>
      <c r="B197" s="14" t="n">
        <v>45978</v>
      </c>
      <c r="C197" s="16" t="s">
        <v>388</v>
      </c>
      <c r="D197" s="7" t="n">
        <v>-0.01</v>
      </c>
      <c r="E197" s="16" t="s">
        <v>206</v>
      </c>
      <c r="F197" s="7" t="n">
        <v>30243.62</v>
      </c>
      <c r="G197" s="16" t="s">
        <v>182</v>
      </c>
    </row>
    <row r="198" customFormat="false" ht="15" hidden="false" customHeight="false" outlineLevel="0" collapsed="false">
      <c r="A198" s="0" t="s">
        <v>187</v>
      </c>
      <c r="B198" s="14" t="n">
        <v>45978</v>
      </c>
      <c r="C198" s="16" t="s">
        <v>389</v>
      </c>
      <c r="D198" s="7" t="n">
        <v>-309</v>
      </c>
      <c r="E198" s="16" t="s">
        <v>206</v>
      </c>
      <c r="F198" s="7" t="n">
        <v>30243.63</v>
      </c>
      <c r="G198" s="16" t="s">
        <v>183</v>
      </c>
    </row>
    <row r="199" customFormat="false" ht="15" hidden="false" customHeight="false" outlineLevel="0" collapsed="false">
      <c r="A199" s="0" t="s">
        <v>187</v>
      </c>
      <c r="B199" s="14" t="n">
        <v>45978</v>
      </c>
      <c r="C199" s="16" t="s">
        <v>390</v>
      </c>
      <c r="D199" s="7" t="n">
        <v>-8.99</v>
      </c>
      <c r="E199" s="16" t="s">
        <v>206</v>
      </c>
      <c r="F199" s="7" t="n">
        <v>30552.63</v>
      </c>
      <c r="G199" s="16" t="s">
        <v>144</v>
      </c>
    </row>
    <row r="200" customFormat="false" ht="15" hidden="false" customHeight="false" outlineLevel="0" collapsed="false">
      <c r="A200" s="0" t="s">
        <v>187</v>
      </c>
      <c r="B200" s="14" t="n">
        <v>45978</v>
      </c>
      <c r="C200" s="16" t="s">
        <v>391</v>
      </c>
      <c r="D200" s="7" t="n">
        <v>-69.99</v>
      </c>
      <c r="E200" s="16" t="s">
        <v>206</v>
      </c>
      <c r="F200" s="7" t="n">
        <v>30561.62</v>
      </c>
      <c r="G200" s="16" t="s">
        <v>67</v>
      </c>
    </row>
    <row r="201" customFormat="false" ht="15" hidden="false" customHeight="false" outlineLevel="0" collapsed="false">
      <c r="A201" s="0" t="s">
        <v>187</v>
      </c>
      <c r="B201" s="14" t="n">
        <v>45978</v>
      </c>
      <c r="C201" s="16" t="s">
        <v>391</v>
      </c>
      <c r="D201" s="7" t="n">
        <v>-89.99</v>
      </c>
      <c r="E201" s="16" t="s">
        <v>206</v>
      </c>
      <c r="F201" s="7" t="n">
        <v>30631.61</v>
      </c>
      <c r="G201" s="16" t="s">
        <v>67</v>
      </c>
    </row>
    <row r="202" customFormat="false" ht="15" hidden="false" customHeight="false" outlineLevel="0" collapsed="false">
      <c r="A202" s="0" t="s">
        <v>187</v>
      </c>
      <c r="B202" s="14" t="n">
        <v>45978</v>
      </c>
      <c r="C202" s="16" t="s">
        <v>392</v>
      </c>
      <c r="D202" s="7" t="n">
        <v>-5.99</v>
      </c>
      <c r="E202" s="16" t="s">
        <v>206</v>
      </c>
      <c r="F202" s="7" t="n">
        <v>30721.6</v>
      </c>
      <c r="G202" s="16" t="s">
        <v>144</v>
      </c>
    </row>
    <row r="203" customFormat="false" ht="15" hidden="false" customHeight="false" outlineLevel="0" collapsed="false">
      <c r="A203" s="0" t="s">
        <v>187</v>
      </c>
      <c r="B203" s="14" t="n">
        <v>45978</v>
      </c>
      <c r="C203" s="16" t="s">
        <v>388</v>
      </c>
      <c r="D203" s="7" t="n">
        <v>-107.37</v>
      </c>
      <c r="E203" s="16" t="s">
        <v>206</v>
      </c>
      <c r="F203" s="7" t="n">
        <v>30727.59</v>
      </c>
      <c r="G203" s="16" t="s">
        <v>182</v>
      </c>
    </row>
    <row r="204" customFormat="false" ht="15" hidden="false" customHeight="false" outlineLevel="0" collapsed="false">
      <c r="A204" s="0" t="s">
        <v>187</v>
      </c>
      <c r="B204" s="14" t="n">
        <v>45978</v>
      </c>
      <c r="C204" s="16" t="s">
        <v>393</v>
      </c>
      <c r="D204" s="7" t="n">
        <v>-1.99</v>
      </c>
      <c r="E204" s="16" t="s">
        <v>206</v>
      </c>
      <c r="F204" s="7" t="n">
        <v>30834.96</v>
      </c>
      <c r="G204" s="16" t="s">
        <v>144</v>
      </c>
    </row>
    <row r="205" customFormat="false" ht="15" hidden="false" customHeight="false" outlineLevel="0" collapsed="false">
      <c r="A205" s="0" t="s">
        <v>187</v>
      </c>
      <c r="B205" s="14" t="n">
        <v>45978</v>
      </c>
      <c r="C205" s="16" t="s">
        <v>394</v>
      </c>
      <c r="D205" s="7" t="n">
        <v>-10.99</v>
      </c>
      <c r="E205" s="16" t="s">
        <v>206</v>
      </c>
      <c r="F205" s="7" t="n">
        <v>30836.95</v>
      </c>
      <c r="G205" s="16" t="s">
        <v>144</v>
      </c>
    </row>
    <row r="206" customFormat="false" ht="15" hidden="false" customHeight="false" outlineLevel="0" collapsed="false">
      <c r="A206" s="0" t="s">
        <v>187</v>
      </c>
      <c r="B206" s="14" t="n">
        <v>45978</v>
      </c>
      <c r="C206" s="16" t="s">
        <v>392</v>
      </c>
      <c r="D206" s="7" t="n">
        <v>-69.99</v>
      </c>
      <c r="E206" s="16" t="s">
        <v>206</v>
      </c>
      <c r="F206" s="7" t="n">
        <v>30847.94</v>
      </c>
      <c r="G206" s="16" t="s">
        <v>144</v>
      </c>
    </row>
    <row r="207" customFormat="false" ht="15" hidden="false" customHeight="false" outlineLevel="0" collapsed="false">
      <c r="A207" s="0" t="s">
        <v>187</v>
      </c>
      <c r="B207" s="14" t="n">
        <v>45978</v>
      </c>
      <c r="C207" s="16" t="s">
        <v>395</v>
      </c>
      <c r="D207" s="7" t="n">
        <v>-31.88</v>
      </c>
      <c r="E207" s="16" t="s">
        <v>206</v>
      </c>
      <c r="F207" s="7" t="n">
        <v>30917.93</v>
      </c>
      <c r="G207" s="16" t="s">
        <v>182</v>
      </c>
    </row>
    <row r="208" customFormat="false" ht="15" hidden="false" customHeight="false" outlineLevel="0" collapsed="false">
      <c r="A208" s="0" t="s">
        <v>187</v>
      </c>
      <c r="B208" s="14" t="n">
        <v>45978</v>
      </c>
      <c r="C208" s="16" t="s">
        <v>396</v>
      </c>
      <c r="D208" s="7" t="n">
        <v>-54.02</v>
      </c>
      <c r="E208" s="16" t="s">
        <v>206</v>
      </c>
      <c r="F208" s="7" t="n">
        <v>30949.81</v>
      </c>
      <c r="G208" s="16" t="s">
        <v>182</v>
      </c>
    </row>
    <row r="209" customFormat="false" ht="15" hidden="false" customHeight="false" outlineLevel="0" collapsed="false">
      <c r="A209" s="0" t="s">
        <v>259</v>
      </c>
      <c r="B209" s="14" t="n">
        <v>45978</v>
      </c>
      <c r="C209" s="16" t="s">
        <v>397</v>
      </c>
      <c r="D209" s="7" t="n">
        <v>10000</v>
      </c>
      <c r="E209" s="16" t="s">
        <v>213</v>
      </c>
      <c r="F209" s="7" t="n">
        <v>31003.83</v>
      </c>
      <c r="G209" s="16" t="s">
        <v>42</v>
      </c>
    </row>
    <row r="210" customFormat="false" ht="15" hidden="false" customHeight="false" outlineLevel="0" collapsed="false">
      <c r="A210" s="0" t="s">
        <v>259</v>
      </c>
      <c r="B210" s="14" t="n">
        <v>45978</v>
      </c>
      <c r="C210" s="16" t="s">
        <v>398</v>
      </c>
      <c r="D210" s="7" t="n">
        <v>15000</v>
      </c>
      <c r="E210" s="16" t="s">
        <v>213</v>
      </c>
      <c r="F210" s="7" t="n">
        <v>21003.83</v>
      </c>
      <c r="G210" s="16" t="s">
        <v>42</v>
      </c>
    </row>
    <row r="211" customFormat="false" ht="15" hidden="false" customHeight="false" outlineLevel="0" collapsed="false">
      <c r="A211" s="0" t="s">
        <v>187</v>
      </c>
      <c r="B211" s="14" t="n">
        <v>45975</v>
      </c>
      <c r="C211" s="16" t="s">
        <v>399</v>
      </c>
      <c r="D211" s="7" t="n">
        <v>-17.99</v>
      </c>
      <c r="E211" s="16" t="s">
        <v>206</v>
      </c>
      <c r="F211" s="7" t="n">
        <v>6003.83</v>
      </c>
      <c r="G211" s="16" t="s">
        <v>144</v>
      </c>
    </row>
    <row r="212" customFormat="false" ht="15" hidden="false" customHeight="false" outlineLevel="0" collapsed="false">
      <c r="A212" s="0" t="s">
        <v>187</v>
      </c>
      <c r="B212" s="14" t="n">
        <v>45974</v>
      </c>
      <c r="C212" s="16" t="s">
        <v>400</v>
      </c>
      <c r="D212" s="7" t="n">
        <v>-125</v>
      </c>
      <c r="E212" s="16" t="s">
        <v>193</v>
      </c>
      <c r="F212" s="7" t="n">
        <v>6021.82</v>
      </c>
      <c r="G212" s="16" t="s">
        <v>80</v>
      </c>
    </row>
    <row r="213" customFormat="false" ht="15" hidden="false" customHeight="false" outlineLevel="0" collapsed="false">
      <c r="A213" s="0" t="s">
        <v>187</v>
      </c>
      <c r="B213" s="14" t="n">
        <v>45974</v>
      </c>
      <c r="C213" s="16" t="s">
        <v>401</v>
      </c>
      <c r="D213" s="7" t="n">
        <v>-2000</v>
      </c>
      <c r="E213" s="16" t="s">
        <v>213</v>
      </c>
      <c r="F213" s="7" t="n">
        <v>6146.82</v>
      </c>
      <c r="G213" s="16" t="s">
        <v>96</v>
      </c>
    </row>
    <row r="214" customFormat="false" ht="15" hidden="false" customHeight="false" outlineLevel="0" collapsed="false">
      <c r="A214" s="0" t="s">
        <v>187</v>
      </c>
      <c r="B214" s="14" t="n">
        <v>45974</v>
      </c>
      <c r="C214" s="16" t="s">
        <v>402</v>
      </c>
      <c r="D214" s="7" t="n">
        <v>-200</v>
      </c>
      <c r="E214" s="16" t="s">
        <v>215</v>
      </c>
      <c r="F214" s="7" t="n">
        <v>8146.82</v>
      </c>
      <c r="G214" s="16" t="s">
        <v>87</v>
      </c>
    </row>
    <row r="215" customFormat="false" ht="15" hidden="false" customHeight="false" outlineLevel="0" collapsed="false">
      <c r="A215" s="0" t="s">
        <v>187</v>
      </c>
      <c r="B215" s="14" t="n">
        <v>45974</v>
      </c>
      <c r="C215" s="16" t="s">
        <v>403</v>
      </c>
      <c r="D215" s="7" t="n">
        <v>-18.99</v>
      </c>
      <c r="E215" s="16" t="s">
        <v>206</v>
      </c>
      <c r="F215" s="7" t="n">
        <v>8346.82</v>
      </c>
      <c r="G215" s="16" t="s">
        <v>144</v>
      </c>
    </row>
    <row r="216" customFormat="false" ht="15" hidden="false" customHeight="false" outlineLevel="0" collapsed="false">
      <c r="A216" s="0" t="s">
        <v>187</v>
      </c>
      <c r="B216" s="14" t="n">
        <v>45973</v>
      </c>
      <c r="C216" s="16" t="s">
        <v>404</v>
      </c>
      <c r="D216" s="7" t="n">
        <v>-5</v>
      </c>
      <c r="E216" s="16" t="s">
        <v>193</v>
      </c>
      <c r="F216" s="7" t="n">
        <v>8365.81</v>
      </c>
      <c r="G216" s="16" t="s">
        <v>80</v>
      </c>
    </row>
    <row r="217" customFormat="false" ht="15" hidden="false" customHeight="false" outlineLevel="0" collapsed="false">
      <c r="A217" s="0" t="s">
        <v>187</v>
      </c>
      <c r="B217" s="14" t="n">
        <v>45973</v>
      </c>
      <c r="C217" s="16" t="s">
        <v>405</v>
      </c>
      <c r="D217" s="7" t="n">
        <v>-1533.71</v>
      </c>
      <c r="E217" s="16" t="s">
        <v>193</v>
      </c>
      <c r="F217" s="7" t="n">
        <v>8370.81</v>
      </c>
      <c r="G217" s="16" t="s">
        <v>179</v>
      </c>
    </row>
    <row r="218" customFormat="false" ht="15" hidden="false" customHeight="false" outlineLevel="0" collapsed="false">
      <c r="A218" s="0" t="s">
        <v>187</v>
      </c>
      <c r="B218" s="14" t="n">
        <v>45973</v>
      </c>
      <c r="C218" s="16" t="s">
        <v>406</v>
      </c>
      <c r="D218" s="7" t="n">
        <v>-11.99</v>
      </c>
      <c r="E218" s="16" t="s">
        <v>206</v>
      </c>
      <c r="F218" s="7" t="n">
        <v>9904.52</v>
      </c>
      <c r="G218" s="16" t="s">
        <v>144</v>
      </c>
    </row>
    <row r="219" customFormat="false" ht="15" hidden="false" customHeight="false" outlineLevel="0" collapsed="false">
      <c r="A219" s="0" t="s">
        <v>187</v>
      </c>
      <c r="B219" s="14" t="n">
        <v>45973</v>
      </c>
      <c r="C219" s="16" t="s">
        <v>407</v>
      </c>
      <c r="D219" s="7" t="n">
        <v>-1249.96</v>
      </c>
      <c r="E219" s="16" t="s">
        <v>193</v>
      </c>
      <c r="F219" s="7" t="n">
        <v>9916.51</v>
      </c>
      <c r="G219" s="16" t="s">
        <v>179</v>
      </c>
    </row>
    <row r="220" customFormat="false" ht="15" hidden="false" customHeight="false" outlineLevel="0" collapsed="false">
      <c r="A220" s="0" t="s">
        <v>187</v>
      </c>
      <c r="B220" s="14" t="n">
        <v>45973</v>
      </c>
      <c r="C220" s="16" t="s">
        <v>408</v>
      </c>
      <c r="D220" s="7" t="n">
        <v>-56.97</v>
      </c>
      <c r="E220" s="16" t="s">
        <v>206</v>
      </c>
      <c r="F220" s="7" t="n">
        <v>11166.47</v>
      </c>
      <c r="G220" s="16" t="s">
        <v>144</v>
      </c>
    </row>
    <row r="221" customFormat="false" ht="15" hidden="false" customHeight="false" outlineLevel="0" collapsed="false">
      <c r="A221" s="0" t="s">
        <v>187</v>
      </c>
      <c r="B221" s="14" t="n">
        <v>45973</v>
      </c>
      <c r="C221" s="16" t="s">
        <v>409</v>
      </c>
      <c r="D221" s="7" t="n">
        <v>-103.91</v>
      </c>
      <c r="E221" s="16" t="s">
        <v>206</v>
      </c>
      <c r="F221" s="7" t="n">
        <v>11223.44</v>
      </c>
      <c r="G221" s="16" t="s">
        <v>182</v>
      </c>
    </row>
    <row r="222" customFormat="false" ht="15" hidden="false" customHeight="false" outlineLevel="0" collapsed="false">
      <c r="A222" s="0" t="s">
        <v>187</v>
      </c>
      <c r="B222" s="14" t="n">
        <v>45973</v>
      </c>
      <c r="C222" s="16" t="s">
        <v>410</v>
      </c>
      <c r="D222" s="7" t="n">
        <v>-105</v>
      </c>
      <c r="E222" s="16" t="s">
        <v>206</v>
      </c>
      <c r="F222" s="7" t="n">
        <v>11327.35</v>
      </c>
      <c r="G222" s="16" t="s">
        <v>75</v>
      </c>
    </row>
    <row r="223" customFormat="false" ht="15" hidden="false" customHeight="false" outlineLevel="0" collapsed="false">
      <c r="A223" s="0" t="s">
        <v>187</v>
      </c>
      <c r="B223" s="14" t="n">
        <v>45971</v>
      </c>
      <c r="C223" s="16" t="s">
        <v>411</v>
      </c>
      <c r="D223" s="7" t="n">
        <v>-20</v>
      </c>
      <c r="E223" s="16" t="s">
        <v>193</v>
      </c>
      <c r="F223" s="7" t="n">
        <v>11432.35</v>
      </c>
      <c r="G223" s="16" t="s">
        <v>80</v>
      </c>
    </row>
    <row r="224" customFormat="false" ht="15" hidden="false" customHeight="false" outlineLevel="0" collapsed="false">
      <c r="A224" s="0" t="s">
        <v>187</v>
      </c>
      <c r="B224" s="14" t="n">
        <v>45971</v>
      </c>
      <c r="C224" s="16" t="s">
        <v>412</v>
      </c>
      <c r="D224" s="7" t="n">
        <v>-250</v>
      </c>
      <c r="E224" s="16" t="s">
        <v>215</v>
      </c>
      <c r="F224" s="7" t="n">
        <v>11452.35</v>
      </c>
      <c r="G224" s="16" t="s">
        <v>87</v>
      </c>
    </row>
    <row r="225" customFormat="false" ht="15" hidden="false" customHeight="false" outlineLevel="0" collapsed="false">
      <c r="A225" s="0" t="s">
        <v>187</v>
      </c>
      <c r="B225" s="14" t="n">
        <v>45971</v>
      </c>
      <c r="C225" s="16" t="s">
        <v>413</v>
      </c>
      <c r="D225" s="7" t="n">
        <v>-309</v>
      </c>
      <c r="E225" s="16" t="s">
        <v>206</v>
      </c>
      <c r="F225" s="7" t="n">
        <v>11702.35</v>
      </c>
      <c r="G225" s="16" t="s">
        <v>183</v>
      </c>
    </row>
    <row r="226" customFormat="false" ht="15" hidden="false" customHeight="false" outlineLevel="0" collapsed="false">
      <c r="A226" s="0" t="s">
        <v>187</v>
      </c>
      <c r="B226" s="14" t="n">
        <v>45971</v>
      </c>
      <c r="C226" s="16" t="s">
        <v>414</v>
      </c>
      <c r="D226" s="7" t="n">
        <v>-500</v>
      </c>
      <c r="E226" s="16" t="s">
        <v>215</v>
      </c>
      <c r="F226" s="7" t="n">
        <v>12011.35</v>
      </c>
      <c r="G226" s="16" t="s">
        <v>91</v>
      </c>
    </row>
    <row r="227" customFormat="false" ht="15" hidden="false" customHeight="false" outlineLevel="0" collapsed="false">
      <c r="A227" s="0" t="s">
        <v>187</v>
      </c>
      <c r="B227" s="14" t="n">
        <v>45971</v>
      </c>
      <c r="C227" s="16" t="s">
        <v>415</v>
      </c>
      <c r="D227" s="7" t="n">
        <v>-2000</v>
      </c>
      <c r="E227" s="16" t="s">
        <v>213</v>
      </c>
      <c r="F227" s="7" t="n">
        <v>12511.35</v>
      </c>
      <c r="G227" s="16" t="s">
        <v>96</v>
      </c>
    </row>
    <row r="228" customFormat="false" ht="15" hidden="false" customHeight="false" outlineLevel="0" collapsed="false">
      <c r="A228" s="0" t="s">
        <v>187</v>
      </c>
      <c r="B228" s="14" t="n">
        <v>45971</v>
      </c>
      <c r="C228" s="16" t="s">
        <v>416</v>
      </c>
      <c r="D228" s="7" t="n">
        <v>-800</v>
      </c>
      <c r="E228" s="16" t="s">
        <v>215</v>
      </c>
      <c r="F228" s="7" t="n">
        <v>14511.35</v>
      </c>
      <c r="G228" s="16" t="s">
        <v>84</v>
      </c>
    </row>
    <row r="229" customFormat="false" ht="15" hidden="false" customHeight="false" outlineLevel="0" collapsed="false">
      <c r="A229" s="0" t="s">
        <v>187</v>
      </c>
      <c r="B229" s="14" t="n">
        <v>45971</v>
      </c>
      <c r="C229" s="16" t="s">
        <v>417</v>
      </c>
      <c r="D229" s="7" t="n">
        <v>-27.38</v>
      </c>
      <c r="E229" s="16" t="s">
        <v>206</v>
      </c>
      <c r="F229" s="7" t="n">
        <v>15311.35</v>
      </c>
      <c r="G229" s="16" t="s">
        <v>78</v>
      </c>
    </row>
    <row r="230" customFormat="false" ht="15" hidden="false" customHeight="false" outlineLevel="0" collapsed="false">
      <c r="A230" s="0" t="s">
        <v>187</v>
      </c>
      <c r="B230" s="14" t="n">
        <v>45971</v>
      </c>
      <c r="C230" s="16" t="s">
        <v>418</v>
      </c>
      <c r="D230" s="7" t="n">
        <v>-8.99</v>
      </c>
      <c r="E230" s="16" t="s">
        <v>206</v>
      </c>
      <c r="F230" s="7" t="n">
        <v>15338.73</v>
      </c>
      <c r="G230" s="16" t="s">
        <v>144</v>
      </c>
    </row>
    <row r="231" customFormat="false" ht="15" hidden="false" customHeight="false" outlineLevel="0" collapsed="false">
      <c r="A231" s="0" t="s">
        <v>187</v>
      </c>
      <c r="B231" s="14" t="n">
        <v>45971</v>
      </c>
      <c r="C231" s="16" t="s">
        <v>419</v>
      </c>
      <c r="D231" s="7" t="n">
        <v>-11.99</v>
      </c>
      <c r="E231" s="16" t="s">
        <v>206</v>
      </c>
      <c r="F231" s="7" t="n">
        <v>15347.72</v>
      </c>
      <c r="G231" s="16" t="s">
        <v>144</v>
      </c>
    </row>
    <row r="232" customFormat="false" ht="15" hidden="false" customHeight="false" outlineLevel="0" collapsed="false">
      <c r="A232" s="0" t="s">
        <v>187</v>
      </c>
      <c r="B232" s="14" t="n">
        <v>45971</v>
      </c>
      <c r="C232" s="16" t="s">
        <v>420</v>
      </c>
      <c r="D232" s="7" t="n">
        <v>-15</v>
      </c>
      <c r="E232" s="16" t="s">
        <v>193</v>
      </c>
      <c r="F232" s="7" t="n">
        <v>15359.71</v>
      </c>
      <c r="G232" s="16" t="s">
        <v>105</v>
      </c>
    </row>
    <row r="233" customFormat="false" ht="15" hidden="false" customHeight="false" outlineLevel="0" collapsed="false">
      <c r="A233" s="0" t="s">
        <v>187</v>
      </c>
      <c r="B233" s="14" t="n">
        <v>45971</v>
      </c>
      <c r="C233" s="16" t="s">
        <v>421</v>
      </c>
      <c r="D233" s="7" t="n">
        <v>-57.95</v>
      </c>
      <c r="E233" s="16" t="s">
        <v>206</v>
      </c>
      <c r="F233" s="7" t="n">
        <v>15374.71</v>
      </c>
      <c r="G233" s="16" t="s">
        <v>182</v>
      </c>
    </row>
    <row r="234" customFormat="false" ht="15" hidden="false" customHeight="false" outlineLevel="0" collapsed="false">
      <c r="A234" s="0" t="s">
        <v>187</v>
      </c>
      <c r="B234" s="14" t="n">
        <v>45971</v>
      </c>
      <c r="C234" s="16" t="s">
        <v>422</v>
      </c>
      <c r="D234" s="7" t="n">
        <v>-119.88</v>
      </c>
      <c r="E234" s="16" t="s">
        <v>206</v>
      </c>
      <c r="F234" s="7" t="n">
        <v>15432.66</v>
      </c>
      <c r="G234" s="16" t="s">
        <v>144</v>
      </c>
    </row>
    <row r="235" customFormat="false" ht="15" hidden="false" customHeight="false" outlineLevel="0" collapsed="false">
      <c r="A235" s="0" t="s">
        <v>187</v>
      </c>
      <c r="B235" s="14" t="n">
        <v>45971</v>
      </c>
      <c r="C235" s="16" t="s">
        <v>423</v>
      </c>
      <c r="D235" s="7" t="n">
        <v>-21.28</v>
      </c>
      <c r="E235" s="16" t="s">
        <v>206</v>
      </c>
      <c r="F235" s="7" t="n">
        <v>15552.54</v>
      </c>
      <c r="G235" s="16" t="s">
        <v>108</v>
      </c>
    </row>
    <row r="236" customFormat="false" ht="15" hidden="false" customHeight="false" outlineLevel="0" collapsed="false">
      <c r="A236" s="0" t="s">
        <v>187</v>
      </c>
      <c r="B236" s="14" t="n">
        <v>45971</v>
      </c>
      <c r="C236" s="16" t="s">
        <v>424</v>
      </c>
      <c r="D236" s="7" t="n">
        <v>-100</v>
      </c>
      <c r="E236" s="16" t="s">
        <v>206</v>
      </c>
      <c r="F236" s="7" t="n">
        <v>15573.82</v>
      </c>
      <c r="G236" s="16" t="s">
        <v>144</v>
      </c>
    </row>
    <row r="237" customFormat="false" ht="15" hidden="false" customHeight="false" outlineLevel="0" collapsed="false">
      <c r="A237" s="0" t="s">
        <v>187</v>
      </c>
      <c r="B237" s="14" t="n">
        <v>45968</v>
      </c>
      <c r="C237" s="16" t="s">
        <v>425</v>
      </c>
      <c r="D237" s="7" t="n">
        <v>-1500</v>
      </c>
      <c r="E237" s="16" t="s">
        <v>197</v>
      </c>
      <c r="F237" s="7" t="n">
        <v>15673.82</v>
      </c>
      <c r="G237" s="16" t="s">
        <v>69</v>
      </c>
    </row>
    <row r="238" customFormat="false" ht="15" hidden="false" customHeight="false" outlineLevel="0" collapsed="false">
      <c r="A238" s="0" t="s">
        <v>187</v>
      </c>
      <c r="B238" s="14" t="n">
        <v>45968</v>
      </c>
      <c r="C238" s="16" t="s">
        <v>426</v>
      </c>
      <c r="D238" s="7" t="n">
        <v>-24.98</v>
      </c>
      <c r="E238" s="16" t="s">
        <v>206</v>
      </c>
      <c r="F238" s="7" t="n">
        <v>17173.82</v>
      </c>
      <c r="G238" s="16" t="s">
        <v>179</v>
      </c>
    </row>
    <row r="239" customFormat="false" ht="15" hidden="false" customHeight="false" outlineLevel="0" collapsed="false">
      <c r="A239" s="0" t="s">
        <v>187</v>
      </c>
      <c r="B239" s="14" t="n">
        <v>45968</v>
      </c>
      <c r="C239" s="16" t="s">
        <v>426</v>
      </c>
      <c r="D239" s="7" t="n">
        <v>-9.97</v>
      </c>
      <c r="E239" s="16" t="s">
        <v>206</v>
      </c>
      <c r="F239" s="7" t="n">
        <v>17198.8</v>
      </c>
      <c r="G239" s="16" t="s">
        <v>179</v>
      </c>
    </row>
    <row r="240" customFormat="false" ht="15" hidden="false" customHeight="false" outlineLevel="0" collapsed="false">
      <c r="A240" s="0" t="s">
        <v>187</v>
      </c>
      <c r="B240" s="14" t="n">
        <v>45968</v>
      </c>
      <c r="C240" s="16" t="s">
        <v>426</v>
      </c>
      <c r="D240" s="7" t="n">
        <v>-66.46</v>
      </c>
      <c r="E240" s="16" t="s">
        <v>206</v>
      </c>
      <c r="F240" s="7" t="n">
        <v>17208.77</v>
      </c>
      <c r="G240" s="16" t="s">
        <v>179</v>
      </c>
    </row>
    <row r="241" customFormat="false" ht="15" hidden="false" customHeight="false" outlineLevel="0" collapsed="false">
      <c r="A241" s="0" t="s">
        <v>187</v>
      </c>
      <c r="B241" s="14" t="n">
        <v>45968</v>
      </c>
      <c r="C241" s="16" t="s">
        <v>426</v>
      </c>
      <c r="D241" s="7" t="n">
        <v>-9.57</v>
      </c>
      <c r="E241" s="16" t="s">
        <v>206</v>
      </c>
      <c r="F241" s="7" t="n">
        <v>17275.23</v>
      </c>
      <c r="G241" s="16" t="s">
        <v>179</v>
      </c>
    </row>
    <row r="242" customFormat="false" ht="15" hidden="false" customHeight="false" outlineLevel="0" collapsed="false">
      <c r="A242" s="0" t="s">
        <v>187</v>
      </c>
      <c r="B242" s="14" t="n">
        <v>45967</v>
      </c>
      <c r="C242" s="16" t="s">
        <v>188</v>
      </c>
      <c r="D242" s="7" t="n">
        <v>-5</v>
      </c>
      <c r="E242" s="16" t="s">
        <v>189</v>
      </c>
      <c r="F242" s="7" t="n">
        <v>17284.8</v>
      </c>
      <c r="G242" s="16" t="s">
        <v>65</v>
      </c>
    </row>
    <row r="243" customFormat="false" ht="15" hidden="false" customHeight="false" outlineLevel="0" collapsed="false">
      <c r="A243" s="0" t="s">
        <v>187</v>
      </c>
      <c r="B243" s="14" t="n">
        <v>45967</v>
      </c>
      <c r="C243" s="16" t="s">
        <v>427</v>
      </c>
      <c r="D243" s="7" t="n">
        <v>-100</v>
      </c>
      <c r="E243" s="16" t="s">
        <v>193</v>
      </c>
      <c r="F243" s="7" t="n">
        <v>17289.8</v>
      </c>
      <c r="G243" s="16" t="s">
        <v>80</v>
      </c>
    </row>
    <row r="244" customFormat="false" ht="15" hidden="false" customHeight="false" outlineLevel="0" collapsed="false">
      <c r="A244" s="0" t="s">
        <v>187</v>
      </c>
      <c r="B244" s="14" t="n">
        <v>45967</v>
      </c>
      <c r="C244" s="16" t="s">
        <v>428</v>
      </c>
      <c r="D244" s="7" t="n">
        <v>-150</v>
      </c>
      <c r="E244" s="16" t="s">
        <v>193</v>
      </c>
      <c r="F244" s="7" t="n">
        <v>17389.8</v>
      </c>
      <c r="G244" s="16" t="s">
        <v>80</v>
      </c>
    </row>
    <row r="245" customFormat="false" ht="15" hidden="false" customHeight="false" outlineLevel="0" collapsed="false">
      <c r="A245" s="0" t="s">
        <v>187</v>
      </c>
      <c r="B245" s="14" t="n">
        <v>45967</v>
      </c>
      <c r="C245" s="16" t="s">
        <v>429</v>
      </c>
      <c r="D245" s="7" t="n">
        <v>-1500</v>
      </c>
      <c r="E245" s="16" t="s">
        <v>193</v>
      </c>
      <c r="F245" s="7" t="n">
        <v>17539.8</v>
      </c>
      <c r="G245" s="16" t="s">
        <v>80</v>
      </c>
    </row>
    <row r="246" customFormat="false" ht="15" hidden="false" customHeight="false" outlineLevel="0" collapsed="false">
      <c r="A246" s="0" t="s">
        <v>187</v>
      </c>
      <c r="B246" s="14" t="n">
        <v>45967</v>
      </c>
      <c r="C246" s="16" t="s">
        <v>430</v>
      </c>
      <c r="D246" s="7" t="n">
        <v>-250</v>
      </c>
      <c r="E246" s="16" t="s">
        <v>215</v>
      </c>
      <c r="F246" s="7" t="n">
        <v>19039.8</v>
      </c>
      <c r="G246" s="16" t="s">
        <v>87</v>
      </c>
    </row>
    <row r="247" customFormat="false" ht="15" hidden="false" customHeight="false" outlineLevel="0" collapsed="false">
      <c r="A247" s="0" t="s">
        <v>187</v>
      </c>
      <c r="B247" s="14" t="n">
        <v>45967</v>
      </c>
      <c r="C247" s="16" t="s">
        <v>431</v>
      </c>
      <c r="D247" s="7" t="n">
        <v>-750</v>
      </c>
      <c r="E247" s="16" t="s">
        <v>191</v>
      </c>
      <c r="F247" s="7" t="n">
        <v>19289.8</v>
      </c>
      <c r="G247" s="16" t="s">
        <v>65</v>
      </c>
    </row>
    <row r="248" customFormat="false" ht="15" hidden="false" customHeight="false" outlineLevel="0" collapsed="false">
      <c r="A248" s="0" t="s">
        <v>187</v>
      </c>
      <c r="B248" s="14" t="n">
        <v>45967</v>
      </c>
      <c r="C248" s="16" t="s">
        <v>432</v>
      </c>
      <c r="D248" s="7" t="n">
        <v>-5</v>
      </c>
      <c r="E248" s="16" t="s">
        <v>206</v>
      </c>
      <c r="F248" s="7" t="n">
        <v>20039.8</v>
      </c>
      <c r="G248" s="16" t="s">
        <v>144</v>
      </c>
    </row>
    <row r="249" customFormat="false" ht="15" hidden="false" customHeight="false" outlineLevel="0" collapsed="false">
      <c r="A249" s="0" t="s">
        <v>187</v>
      </c>
      <c r="B249" s="14" t="n">
        <v>45967</v>
      </c>
      <c r="C249" s="16" t="s">
        <v>433</v>
      </c>
      <c r="D249" s="7" t="n">
        <v>-29.99</v>
      </c>
      <c r="E249" s="16" t="s">
        <v>206</v>
      </c>
      <c r="F249" s="7" t="n">
        <v>20044.8</v>
      </c>
      <c r="G249" s="16" t="s">
        <v>144</v>
      </c>
    </row>
    <row r="250" customFormat="false" ht="15" hidden="false" customHeight="false" outlineLevel="0" collapsed="false">
      <c r="A250" s="0" t="s">
        <v>187</v>
      </c>
      <c r="B250" s="14" t="n">
        <v>45966</v>
      </c>
      <c r="C250" s="16" t="s">
        <v>434</v>
      </c>
      <c r="D250" s="7" t="n">
        <v>-150</v>
      </c>
      <c r="E250" s="16" t="s">
        <v>193</v>
      </c>
      <c r="F250" s="7" t="n">
        <v>20074.79</v>
      </c>
      <c r="G250" s="16" t="s">
        <v>80</v>
      </c>
    </row>
    <row r="251" customFormat="false" ht="15" hidden="false" customHeight="false" outlineLevel="0" collapsed="false">
      <c r="A251" s="0" t="s">
        <v>187</v>
      </c>
      <c r="B251" s="14" t="n">
        <v>45966</v>
      </c>
      <c r="C251" s="16" t="s">
        <v>435</v>
      </c>
      <c r="D251" s="7" t="n">
        <v>-500</v>
      </c>
      <c r="E251" s="16" t="s">
        <v>193</v>
      </c>
      <c r="F251" s="7" t="n">
        <v>20224.79</v>
      </c>
      <c r="G251" s="16" t="s">
        <v>80</v>
      </c>
    </row>
    <row r="252" customFormat="false" ht="15" hidden="false" customHeight="false" outlineLevel="0" collapsed="false">
      <c r="A252" s="0" t="s">
        <v>187</v>
      </c>
      <c r="B252" s="14" t="n">
        <v>45966</v>
      </c>
      <c r="C252" s="16" t="s">
        <v>436</v>
      </c>
      <c r="D252" s="7" t="n">
        <v>-5000</v>
      </c>
      <c r="E252" s="16" t="s">
        <v>213</v>
      </c>
      <c r="F252" s="7" t="n">
        <v>20724.79</v>
      </c>
      <c r="G252" s="16" t="s">
        <v>96</v>
      </c>
    </row>
    <row r="253" customFormat="false" ht="15" hidden="false" customHeight="false" outlineLevel="0" collapsed="false">
      <c r="A253" s="0" t="s">
        <v>187</v>
      </c>
      <c r="B253" s="14" t="n">
        <v>45966</v>
      </c>
      <c r="C253" s="16" t="s">
        <v>437</v>
      </c>
      <c r="D253" s="7" t="n">
        <v>-29.99</v>
      </c>
      <c r="E253" s="16" t="s">
        <v>206</v>
      </c>
      <c r="F253" s="7" t="n">
        <v>25724.79</v>
      </c>
      <c r="G253" s="16" t="s">
        <v>75</v>
      </c>
    </row>
    <row r="254" customFormat="false" ht="15" hidden="false" customHeight="false" outlineLevel="0" collapsed="false">
      <c r="A254" s="0" t="s">
        <v>187</v>
      </c>
      <c r="B254" s="14" t="n">
        <v>45966</v>
      </c>
      <c r="C254" s="16" t="s">
        <v>438</v>
      </c>
      <c r="D254" s="7" t="n">
        <v>-150</v>
      </c>
      <c r="E254" s="16" t="s">
        <v>193</v>
      </c>
      <c r="F254" s="7" t="n">
        <v>25754.78</v>
      </c>
      <c r="G254" s="16" t="s">
        <v>80</v>
      </c>
    </row>
    <row r="255" customFormat="false" ht="15" hidden="false" customHeight="false" outlineLevel="0" collapsed="false">
      <c r="A255" s="0" t="s">
        <v>259</v>
      </c>
      <c r="B255" s="14" t="n">
        <v>45966</v>
      </c>
      <c r="C255" s="16" t="s">
        <v>439</v>
      </c>
      <c r="D255" s="7" t="n">
        <v>10000</v>
      </c>
      <c r="E255" s="16" t="s">
        <v>213</v>
      </c>
      <c r="F255" s="7" t="n">
        <v>25904.78</v>
      </c>
      <c r="G255" s="16" t="s">
        <v>42</v>
      </c>
    </row>
    <row r="256" customFormat="false" ht="15" hidden="false" customHeight="false" outlineLevel="0" collapsed="false">
      <c r="A256" s="0" t="s">
        <v>187</v>
      </c>
      <c r="B256" s="14" t="n">
        <v>45965</v>
      </c>
      <c r="C256" s="16" t="s">
        <v>440</v>
      </c>
      <c r="D256" s="7" t="n">
        <v>-321.83</v>
      </c>
      <c r="E256" s="16" t="s">
        <v>206</v>
      </c>
      <c r="F256" s="7" t="n">
        <v>15904.78</v>
      </c>
      <c r="G256" s="16" t="s">
        <v>67</v>
      </c>
    </row>
    <row r="257" customFormat="false" ht="15" hidden="false" customHeight="false" outlineLevel="0" collapsed="false">
      <c r="A257" s="0" t="s">
        <v>187</v>
      </c>
      <c r="B257" s="14" t="n">
        <v>45965</v>
      </c>
      <c r="C257" s="16" t="s">
        <v>441</v>
      </c>
      <c r="D257" s="7" t="n">
        <v>-157.5</v>
      </c>
      <c r="E257" s="16" t="s">
        <v>206</v>
      </c>
      <c r="F257" s="7" t="n">
        <v>16226.61</v>
      </c>
      <c r="G257" s="16" t="s">
        <v>75</v>
      </c>
    </row>
    <row r="258" customFormat="false" ht="15" hidden="false" customHeight="false" outlineLevel="0" collapsed="false">
      <c r="A258" s="0" t="s">
        <v>187</v>
      </c>
      <c r="B258" s="14" t="n">
        <v>45965</v>
      </c>
      <c r="C258" s="16" t="s">
        <v>442</v>
      </c>
      <c r="D258" s="7" t="n">
        <v>-300</v>
      </c>
      <c r="E258" s="16" t="s">
        <v>206</v>
      </c>
      <c r="F258" s="7" t="n">
        <v>16384.11</v>
      </c>
      <c r="G258" s="16" t="s">
        <v>121</v>
      </c>
    </row>
    <row r="259" customFormat="false" ht="15" hidden="false" customHeight="false" outlineLevel="0" collapsed="false">
      <c r="A259" s="0" t="s">
        <v>187</v>
      </c>
      <c r="B259" s="14" t="n">
        <v>45965</v>
      </c>
      <c r="C259" s="16" t="s">
        <v>443</v>
      </c>
      <c r="D259" s="7" t="n">
        <v>-10.78</v>
      </c>
      <c r="E259" s="16" t="s">
        <v>206</v>
      </c>
      <c r="F259" s="7" t="n">
        <v>16684.11</v>
      </c>
      <c r="G259" s="16" t="s">
        <v>116</v>
      </c>
    </row>
    <row r="260" customFormat="false" ht="15" hidden="false" customHeight="false" outlineLevel="0" collapsed="false">
      <c r="A260" s="0" t="s">
        <v>187</v>
      </c>
      <c r="B260" s="14" t="n">
        <v>45965</v>
      </c>
      <c r="C260" s="16" t="s">
        <v>444</v>
      </c>
      <c r="D260" s="7" t="n">
        <v>-38.99</v>
      </c>
      <c r="E260" s="16" t="s">
        <v>206</v>
      </c>
      <c r="F260" s="7" t="n">
        <v>16694.89</v>
      </c>
      <c r="G260" s="16" t="s">
        <v>144</v>
      </c>
    </row>
    <row r="261" customFormat="false" ht="15" hidden="false" customHeight="false" outlineLevel="0" collapsed="false">
      <c r="A261" s="0" t="s">
        <v>187</v>
      </c>
      <c r="B261" s="14" t="n">
        <v>45964</v>
      </c>
      <c r="C261" s="16" t="s">
        <v>445</v>
      </c>
      <c r="D261" s="7" t="n">
        <v>-0.3</v>
      </c>
      <c r="E261" s="16" t="s">
        <v>189</v>
      </c>
      <c r="F261" s="7" t="n">
        <v>16733.88</v>
      </c>
      <c r="G261" s="16" t="s">
        <v>110</v>
      </c>
    </row>
    <row r="262" customFormat="false" ht="15" hidden="false" customHeight="false" outlineLevel="0" collapsed="false">
      <c r="A262" s="0" t="s">
        <v>187</v>
      </c>
      <c r="B262" s="14" t="n">
        <v>45964</v>
      </c>
      <c r="C262" s="16" t="s">
        <v>446</v>
      </c>
      <c r="D262" s="7" t="n">
        <v>-25</v>
      </c>
      <c r="E262" s="16" t="s">
        <v>189</v>
      </c>
      <c r="F262" s="7" t="n">
        <v>16734.18</v>
      </c>
      <c r="G262" s="16" t="s">
        <v>110</v>
      </c>
    </row>
    <row r="263" customFormat="false" ht="15" hidden="false" customHeight="false" outlineLevel="0" collapsed="false">
      <c r="A263" s="0" t="s">
        <v>187</v>
      </c>
      <c r="B263" s="14" t="n">
        <v>45964</v>
      </c>
      <c r="C263" s="16" t="s">
        <v>447</v>
      </c>
      <c r="D263" s="7" t="n">
        <v>-25</v>
      </c>
      <c r="E263" s="16" t="s">
        <v>189</v>
      </c>
      <c r="F263" s="7" t="n">
        <v>16759.18</v>
      </c>
      <c r="G263" s="16" t="s">
        <v>110</v>
      </c>
    </row>
    <row r="264" customFormat="false" ht="15" hidden="false" customHeight="false" outlineLevel="0" collapsed="false">
      <c r="A264" s="0" t="s">
        <v>187</v>
      </c>
      <c r="B264" s="14" t="n">
        <v>45964</v>
      </c>
      <c r="C264" s="16" t="s">
        <v>448</v>
      </c>
      <c r="D264" s="7" t="n">
        <v>-1250</v>
      </c>
      <c r="E264" s="16" t="s">
        <v>193</v>
      </c>
      <c r="F264" s="7" t="n">
        <v>16784.18</v>
      </c>
      <c r="G264" s="16" t="s">
        <v>80</v>
      </c>
    </row>
    <row r="265" customFormat="false" ht="15" hidden="false" customHeight="false" outlineLevel="0" collapsed="false">
      <c r="A265" s="0" t="s">
        <v>187</v>
      </c>
      <c r="B265" s="14" t="n">
        <v>45964</v>
      </c>
      <c r="C265" s="16" t="s">
        <v>449</v>
      </c>
      <c r="D265" s="7" t="n">
        <v>-3000</v>
      </c>
      <c r="E265" s="16" t="s">
        <v>213</v>
      </c>
      <c r="F265" s="7" t="n">
        <v>18034.18</v>
      </c>
      <c r="G265" s="16" t="s">
        <v>96</v>
      </c>
    </row>
    <row r="266" customFormat="false" ht="15" hidden="false" customHeight="false" outlineLevel="0" collapsed="false">
      <c r="A266" s="0" t="s">
        <v>187</v>
      </c>
      <c r="B266" s="14" t="n">
        <v>45964</v>
      </c>
      <c r="C266" s="16" t="s">
        <v>450</v>
      </c>
      <c r="D266" s="7" t="n">
        <v>-1500</v>
      </c>
      <c r="E266" s="16" t="s">
        <v>197</v>
      </c>
      <c r="F266" s="7" t="n">
        <v>21034.18</v>
      </c>
      <c r="G266" s="16" t="s">
        <v>69</v>
      </c>
    </row>
    <row r="267" customFormat="false" ht="15" hidden="false" customHeight="false" outlineLevel="0" collapsed="false">
      <c r="A267" s="0" t="s">
        <v>187</v>
      </c>
      <c r="B267" s="14" t="n">
        <v>45964</v>
      </c>
      <c r="C267" s="16" t="s">
        <v>444</v>
      </c>
      <c r="D267" s="7" t="n">
        <v>-12.99</v>
      </c>
      <c r="E267" s="16" t="s">
        <v>206</v>
      </c>
      <c r="F267" s="7" t="n">
        <v>22534.18</v>
      </c>
      <c r="G267" s="16" t="s">
        <v>144</v>
      </c>
    </row>
    <row r="268" customFormat="false" ht="15" hidden="false" customHeight="false" outlineLevel="0" collapsed="false">
      <c r="A268" s="0" t="s">
        <v>187</v>
      </c>
      <c r="B268" s="14" t="n">
        <v>45964</v>
      </c>
      <c r="C268" s="16" t="s">
        <v>451</v>
      </c>
      <c r="D268" s="7" t="n">
        <v>-101.99</v>
      </c>
      <c r="E268" s="16" t="s">
        <v>206</v>
      </c>
      <c r="F268" s="7" t="n">
        <v>22547.17</v>
      </c>
      <c r="G268" s="16" t="s">
        <v>144</v>
      </c>
    </row>
    <row r="269" customFormat="false" ht="15" hidden="false" customHeight="false" outlineLevel="0" collapsed="false">
      <c r="A269" s="0" t="s">
        <v>187</v>
      </c>
      <c r="B269" s="14" t="n">
        <v>45964</v>
      </c>
      <c r="C269" s="16" t="s">
        <v>452</v>
      </c>
      <c r="D269" s="7" t="n">
        <v>-8.99</v>
      </c>
      <c r="E269" s="16" t="s">
        <v>206</v>
      </c>
      <c r="F269" s="7" t="n">
        <v>22649.16</v>
      </c>
      <c r="G269" s="16" t="s">
        <v>144</v>
      </c>
    </row>
    <row r="270" customFormat="false" ht="15" hidden="false" customHeight="false" outlineLevel="0" collapsed="false">
      <c r="A270" s="0" t="s">
        <v>187</v>
      </c>
      <c r="B270" s="14" t="n">
        <v>45964</v>
      </c>
      <c r="C270" s="16" t="s">
        <v>453</v>
      </c>
      <c r="D270" s="7" t="n">
        <v>-200</v>
      </c>
      <c r="E270" s="16" t="s">
        <v>206</v>
      </c>
      <c r="F270" s="7" t="n">
        <v>22658.15</v>
      </c>
      <c r="G270" s="16" t="s">
        <v>72</v>
      </c>
    </row>
    <row r="271" customFormat="false" ht="15" hidden="false" customHeight="false" outlineLevel="0" collapsed="false">
      <c r="A271" s="0" t="s">
        <v>187</v>
      </c>
      <c r="B271" s="14" t="n">
        <v>45964</v>
      </c>
      <c r="C271" s="16" t="s">
        <v>454</v>
      </c>
      <c r="D271" s="7" t="n">
        <v>-3000</v>
      </c>
      <c r="E271" s="16" t="s">
        <v>213</v>
      </c>
      <c r="F271" s="7" t="n">
        <v>22858.15</v>
      </c>
      <c r="G271" s="16" t="s">
        <v>96</v>
      </c>
    </row>
    <row r="272" customFormat="false" ht="15" hidden="false" customHeight="false" outlineLevel="0" collapsed="false">
      <c r="A272" s="0" t="s">
        <v>187</v>
      </c>
      <c r="B272" s="14" t="n">
        <v>45964</v>
      </c>
      <c r="C272" s="16" t="s">
        <v>455</v>
      </c>
      <c r="D272" s="7" t="n">
        <v>-12.99</v>
      </c>
      <c r="E272" s="16" t="s">
        <v>206</v>
      </c>
      <c r="F272" s="7" t="n">
        <v>25858.15</v>
      </c>
      <c r="G272" s="16" t="s">
        <v>144</v>
      </c>
    </row>
    <row r="273" customFormat="false" ht="15" hidden="false" customHeight="false" outlineLevel="0" collapsed="false">
      <c r="A273" s="0" t="s">
        <v>187</v>
      </c>
      <c r="B273" s="14" t="n">
        <v>45964</v>
      </c>
      <c r="C273" s="16" t="s">
        <v>456</v>
      </c>
      <c r="D273" s="7" t="n">
        <v>-16.8</v>
      </c>
      <c r="E273" s="16" t="s">
        <v>206</v>
      </c>
      <c r="F273" s="7" t="n">
        <v>25871.14</v>
      </c>
      <c r="G273" s="16" t="s">
        <v>144</v>
      </c>
    </row>
    <row r="274" customFormat="false" ht="15" hidden="false" customHeight="false" outlineLevel="0" collapsed="false">
      <c r="A274" s="0" t="s">
        <v>187</v>
      </c>
      <c r="B274" s="14" t="n">
        <v>45964</v>
      </c>
      <c r="C274" s="16" t="s">
        <v>452</v>
      </c>
      <c r="D274" s="7" t="n">
        <v>-15.99</v>
      </c>
      <c r="E274" s="16" t="s">
        <v>206</v>
      </c>
      <c r="F274" s="7" t="n">
        <v>25887.94</v>
      </c>
      <c r="G274" s="16" t="s">
        <v>144</v>
      </c>
    </row>
    <row r="275" customFormat="false" ht="15" hidden="false" customHeight="false" outlineLevel="0" collapsed="false">
      <c r="A275" s="0" t="s">
        <v>187</v>
      </c>
      <c r="B275" s="14" t="n">
        <v>45964</v>
      </c>
      <c r="C275" s="16" t="s">
        <v>457</v>
      </c>
      <c r="D275" s="7" t="n">
        <v>-870.54</v>
      </c>
      <c r="E275" s="16" t="s">
        <v>193</v>
      </c>
      <c r="F275" s="7" t="n">
        <v>25903.93</v>
      </c>
      <c r="G275" s="16" t="s">
        <v>184</v>
      </c>
    </row>
    <row r="276" customFormat="false" ht="15" hidden="false" customHeight="false" outlineLevel="0" collapsed="false">
      <c r="A276" s="0" t="s">
        <v>259</v>
      </c>
      <c r="B276" s="14" t="n">
        <v>45964</v>
      </c>
      <c r="C276" s="16" t="s">
        <v>458</v>
      </c>
      <c r="D276" s="7" t="n">
        <v>20000</v>
      </c>
      <c r="E276" s="16" t="s">
        <v>213</v>
      </c>
      <c r="F276" s="7" t="n">
        <v>26774.47</v>
      </c>
      <c r="G276" s="16" t="s">
        <v>42</v>
      </c>
    </row>
    <row r="277" customFormat="false" ht="15" hidden="false" customHeight="false" outlineLevel="0" collapsed="false">
      <c r="A277" s="0" t="s">
        <v>187</v>
      </c>
      <c r="B277" s="14" t="n">
        <v>45961</v>
      </c>
      <c r="C277" s="16" t="s">
        <v>459</v>
      </c>
      <c r="D277" s="7" t="n">
        <v>-1000</v>
      </c>
      <c r="E277" s="16" t="s">
        <v>213</v>
      </c>
      <c r="F277" s="7" t="n">
        <v>6774.47</v>
      </c>
      <c r="G277" s="16" t="s">
        <v>96</v>
      </c>
    </row>
    <row r="278" customFormat="false" ht="15" hidden="false" customHeight="false" outlineLevel="0" collapsed="false">
      <c r="A278" s="0" t="s">
        <v>187</v>
      </c>
      <c r="B278" s="14" t="n">
        <v>45961</v>
      </c>
      <c r="C278" s="16" t="s">
        <v>460</v>
      </c>
      <c r="D278" s="7" t="n">
        <v>-500</v>
      </c>
      <c r="E278" s="16" t="s">
        <v>213</v>
      </c>
      <c r="F278" s="7" t="n">
        <v>7774.47</v>
      </c>
      <c r="G278" s="16" t="s">
        <v>97</v>
      </c>
    </row>
    <row r="279" customFormat="false" ht="15" hidden="false" customHeight="false" outlineLevel="0" collapsed="false">
      <c r="A279" s="0" t="s">
        <v>187</v>
      </c>
      <c r="B279" s="14" t="n">
        <v>45961</v>
      </c>
      <c r="C279" s="16" t="s">
        <v>461</v>
      </c>
      <c r="D279" s="7" t="n">
        <v>-619.87</v>
      </c>
      <c r="E279" s="16" t="s">
        <v>193</v>
      </c>
      <c r="F279" s="7" t="n">
        <v>8274.47</v>
      </c>
      <c r="G279" s="16" t="s">
        <v>181</v>
      </c>
    </row>
    <row r="280" customFormat="false" ht="15" hidden="false" customHeight="false" outlineLevel="0" collapsed="false">
      <c r="A280" s="0" t="s">
        <v>187</v>
      </c>
      <c r="B280" s="14" t="n">
        <v>45961</v>
      </c>
      <c r="C280" s="16" t="s">
        <v>462</v>
      </c>
      <c r="D280" s="7" t="n">
        <v>-18.99</v>
      </c>
      <c r="E280" s="16" t="s">
        <v>206</v>
      </c>
      <c r="F280" s="7" t="n">
        <v>8894.34</v>
      </c>
      <c r="G280" s="16" t="s">
        <v>144</v>
      </c>
    </row>
    <row r="281" customFormat="false" ht="15" hidden="false" customHeight="false" outlineLevel="0" collapsed="false">
      <c r="A281" s="0" t="s">
        <v>187</v>
      </c>
      <c r="B281" s="14" t="n">
        <v>45960</v>
      </c>
      <c r="C281" s="16" t="s">
        <v>463</v>
      </c>
      <c r="D281" s="7" t="n">
        <v>-2524</v>
      </c>
      <c r="E281" s="16" t="s">
        <v>193</v>
      </c>
      <c r="F281" s="7" t="n">
        <v>8913.33</v>
      </c>
      <c r="G281" s="16" t="s">
        <v>103</v>
      </c>
    </row>
    <row r="282" customFormat="false" ht="15" hidden="false" customHeight="false" outlineLevel="0" collapsed="false">
      <c r="A282" s="0" t="s">
        <v>187</v>
      </c>
      <c r="B282" s="14" t="n">
        <v>45959</v>
      </c>
      <c r="C282" s="16" t="s">
        <v>464</v>
      </c>
      <c r="D282" s="7" t="n">
        <v>-12</v>
      </c>
      <c r="E282" s="16" t="s">
        <v>193</v>
      </c>
      <c r="F282" s="7" t="n">
        <v>11437.33</v>
      </c>
      <c r="G282" s="16" t="s">
        <v>80</v>
      </c>
    </row>
    <row r="283" customFormat="false" ht="15" hidden="false" customHeight="false" outlineLevel="0" collapsed="false">
      <c r="A283" s="0" t="s">
        <v>187</v>
      </c>
      <c r="B283" s="14" t="n">
        <v>45959</v>
      </c>
      <c r="C283" s="16" t="s">
        <v>465</v>
      </c>
      <c r="D283" s="7" t="n">
        <v>-494.92</v>
      </c>
      <c r="E283" s="16" t="s">
        <v>193</v>
      </c>
      <c r="F283" s="7" t="n">
        <v>11449.33</v>
      </c>
      <c r="G283" s="16" t="s">
        <v>145</v>
      </c>
    </row>
    <row r="284" customFormat="false" ht="15" hidden="false" customHeight="false" outlineLevel="0" collapsed="false">
      <c r="A284" s="0" t="s">
        <v>187</v>
      </c>
      <c r="B284" s="14" t="n">
        <v>45959</v>
      </c>
      <c r="C284" s="16" t="s">
        <v>466</v>
      </c>
      <c r="D284" s="7" t="n">
        <v>-753.28</v>
      </c>
      <c r="E284" s="16" t="s">
        <v>193</v>
      </c>
      <c r="F284" s="7" t="n">
        <v>11944.25</v>
      </c>
      <c r="G284" s="16" t="s">
        <v>181</v>
      </c>
    </row>
    <row r="285" customFormat="false" ht="15" hidden="false" customHeight="false" outlineLevel="0" collapsed="false">
      <c r="A285" s="0" t="s">
        <v>187</v>
      </c>
      <c r="B285" s="14" t="n">
        <v>45959</v>
      </c>
      <c r="C285" s="16" t="s">
        <v>467</v>
      </c>
      <c r="D285" s="7" t="n">
        <v>-16</v>
      </c>
      <c r="E285" s="16" t="s">
        <v>206</v>
      </c>
      <c r="F285" s="7" t="n">
        <v>12697.53</v>
      </c>
      <c r="G285" s="16" t="s">
        <v>144</v>
      </c>
    </row>
    <row r="286" customFormat="false" ht="15" hidden="false" customHeight="false" outlineLevel="0" collapsed="false">
      <c r="A286" s="0" t="s">
        <v>187</v>
      </c>
      <c r="B286" s="14" t="n">
        <v>45958</v>
      </c>
      <c r="C286" s="16" t="s">
        <v>468</v>
      </c>
      <c r="D286" s="7" t="n">
        <v>-7010</v>
      </c>
      <c r="E286" s="16" t="s">
        <v>208</v>
      </c>
      <c r="F286" s="7" t="n">
        <v>12713.53</v>
      </c>
      <c r="G286" s="16" t="s">
        <v>134</v>
      </c>
    </row>
    <row r="287" customFormat="false" ht="15" hidden="false" customHeight="false" outlineLevel="0" collapsed="false">
      <c r="A287" s="0" t="s">
        <v>187</v>
      </c>
      <c r="B287" s="14" t="n">
        <v>45958</v>
      </c>
      <c r="C287" s="16" t="s">
        <v>469</v>
      </c>
      <c r="D287" s="7" t="n">
        <v>-412</v>
      </c>
      <c r="E287" s="16" t="s">
        <v>208</v>
      </c>
      <c r="F287" s="7" t="n">
        <v>19723.53</v>
      </c>
      <c r="G287" s="16" t="s">
        <v>180</v>
      </c>
    </row>
    <row r="288" customFormat="false" ht="15" hidden="false" customHeight="false" outlineLevel="0" collapsed="false">
      <c r="A288" s="0" t="s">
        <v>187</v>
      </c>
      <c r="B288" s="14" t="n">
        <v>45958</v>
      </c>
      <c r="C288" s="16" t="s">
        <v>470</v>
      </c>
      <c r="D288" s="7" t="n">
        <v>-1399.78</v>
      </c>
      <c r="E288" s="16" t="s">
        <v>208</v>
      </c>
      <c r="F288" s="7" t="n">
        <v>20135.53</v>
      </c>
      <c r="G288" s="16" t="s">
        <v>180</v>
      </c>
    </row>
    <row r="289" customFormat="false" ht="15" hidden="false" customHeight="false" outlineLevel="0" collapsed="false">
      <c r="A289" s="0" t="s">
        <v>187</v>
      </c>
      <c r="B289" s="14" t="n">
        <v>45958</v>
      </c>
      <c r="C289" s="16" t="s">
        <v>471</v>
      </c>
      <c r="D289" s="7" t="n">
        <v>-612</v>
      </c>
      <c r="E289" s="16" t="s">
        <v>208</v>
      </c>
      <c r="F289" s="7" t="n">
        <v>21535.31</v>
      </c>
      <c r="G289" s="16" t="s">
        <v>180</v>
      </c>
    </row>
    <row r="290" customFormat="false" ht="15" hidden="false" customHeight="false" outlineLevel="0" collapsed="false">
      <c r="A290" s="0" t="s">
        <v>187</v>
      </c>
      <c r="B290" s="14" t="n">
        <v>45958</v>
      </c>
      <c r="C290" s="16" t="s">
        <v>472</v>
      </c>
      <c r="D290" s="7" t="n">
        <v>-1000</v>
      </c>
      <c r="E290" s="16" t="s">
        <v>213</v>
      </c>
      <c r="F290" s="7" t="n">
        <v>22147.31</v>
      </c>
      <c r="G290" s="16" t="s">
        <v>97</v>
      </c>
    </row>
    <row r="291" customFormat="false" ht="15" hidden="false" customHeight="false" outlineLevel="0" collapsed="false">
      <c r="A291" s="0" t="s">
        <v>187</v>
      </c>
      <c r="B291" s="14" t="n">
        <v>45958</v>
      </c>
      <c r="C291" s="16" t="s">
        <v>473</v>
      </c>
      <c r="D291" s="7" t="n">
        <v>-3000</v>
      </c>
      <c r="E291" s="16" t="s">
        <v>213</v>
      </c>
      <c r="F291" s="7" t="n">
        <v>23147.31</v>
      </c>
      <c r="G291" s="16" t="s">
        <v>96</v>
      </c>
    </row>
    <row r="292" customFormat="false" ht="15" hidden="false" customHeight="false" outlineLevel="0" collapsed="false">
      <c r="A292" s="0" t="s">
        <v>187</v>
      </c>
      <c r="B292" s="14" t="n">
        <v>45958</v>
      </c>
      <c r="C292" s="16" t="s">
        <v>474</v>
      </c>
      <c r="D292" s="7" t="n">
        <v>-10000</v>
      </c>
      <c r="E292" s="16" t="s">
        <v>213</v>
      </c>
      <c r="F292" s="7" t="n">
        <v>26147.31</v>
      </c>
      <c r="G292" s="16" t="s">
        <v>98</v>
      </c>
    </row>
    <row r="293" customFormat="false" ht="15" hidden="false" customHeight="false" outlineLevel="0" collapsed="false">
      <c r="A293" s="0" t="s">
        <v>187</v>
      </c>
      <c r="B293" s="14" t="n">
        <v>45958</v>
      </c>
      <c r="C293" s="16" t="s">
        <v>475</v>
      </c>
      <c r="D293" s="7" t="n">
        <v>-300</v>
      </c>
      <c r="E293" s="16" t="s">
        <v>193</v>
      </c>
      <c r="F293" s="7" t="n">
        <v>36147.31</v>
      </c>
      <c r="G293" s="16" t="s">
        <v>80</v>
      </c>
    </row>
    <row r="294" customFormat="false" ht="15" hidden="false" customHeight="false" outlineLevel="0" collapsed="false">
      <c r="A294" s="0" t="s">
        <v>187</v>
      </c>
      <c r="B294" s="14" t="n">
        <v>45958</v>
      </c>
      <c r="C294" s="16" t="s">
        <v>476</v>
      </c>
      <c r="D294" s="7" t="n">
        <v>-12.5</v>
      </c>
      <c r="E294" s="16" t="s">
        <v>193</v>
      </c>
      <c r="F294" s="7" t="n">
        <v>36447.31</v>
      </c>
      <c r="G294" s="16" t="s">
        <v>142</v>
      </c>
    </row>
    <row r="295" customFormat="false" ht="15" hidden="false" customHeight="false" outlineLevel="0" collapsed="false">
      <c r="A295" s="0" t="s">
        <v>187</v>
      </c>
      <c r="B295" s="14" t="n">
        <v>45958</v>
      </c>
      <c r="C295" s="16" t="s">
        <v>477</v>
      </c>
      <c r="D295" s="7" t="n">
        <v>-22.92</v>
      </c>
      <c r="E295" s="16" t="s">
        <v>193</v>
      </c>
      <c r="F295" s="7" t="n">
        <v>36459.81</v>
      </c>
      <c r="G295" s="16" t="s">
        <v>142</v>
      </c>
    </row>
    <row r="296" customFormat="false" ht="15" hidden="false" customHeight="false" outlineLevel="0" collapsed="false">
      <c r="A296" s="0" t="s">
        <v>259</v>
      </c>
      <c r="B296" s="14" t="n">
        <v>45958</v>
      </c>
      <c r="C296" s="16" t="s">
        <v>478</v>
      </c>
      <c r="D296" s="7" t="n">
        <v>30000</v>
      </c>
      <c r="E296" s="16" t="s">
        <v>213</v>
      </c>
      <c r="F296" s="7" t="n">
        <v>36482.73</v>
      </c>
      <c r="G296" s="16" t="s">
        <v>42</v>
      </c>
    </row>
    <row r="297" customFormat="false" ht="15" hidden="false" customHeight="false" outlineLevel="0" collapsed="false">
      <c r="A297" s="0" t="s">
        <v>187</v>
      </c>
      <c r="B297" s="14" t="n">
        <v>45957</v>
      </c>
      <c r="C297" s="16" t="s">
        <v>479</v>
      </c>
      <c r="D297" s="7" t="n">
        <v>-177.41</v>
      </c>
      <c r="E297" s="16" t="s">
        <v>193</v>
      </c>
      <c r="F297" s="7" t="n">
        <v>6482.73</v>
      </c>
      <c r="G297" s="16" t="s">
        <v>101</v>
      </c>
    </row>
    <row r="298" customFormat="false" ht="15" hidden="false" customHeight="false" outlineLevel="0" collapsed="false">
      <c r="A298" s="0" t="s">
        <v>187</v>
      </c>
      <c r="B298" s="14" t="n">
        <v>45957</v>
      </c>
      <c r="C298" s="16" t="s">
        <v>480</v>
      </c>
      <c r="D298" s="7" t="n">
        <v>-1250</v>
      </c>
      <c r="E298" s="16" t="s">
        <v>224</v>
      </c>
      <c r="F298" s="7" t="n">
        <v>6660.14</v>
      </c>
      <c r="G298" s="16" t="s">
        <v>71</v>
      </c>
    </row>
    <row r="299" customFormat="false" ht="15" hidden="false" customHeight="false" outlineLevel="0" collapsed="false">
      <c r="A299" s="0" t="s">
        <v>187</v>
      </c>
      <c r="B299" s="14" t="n">
        <v>45957</v>
      </c>
      <c r="C299" s="16" t="s">
        <v>481</v>
      </c>
      <c r="D299" s="7" t="n">
        <v>-121.21</v>
      </c>
      <c r="E299" s="16" t="s">
        <v>193</v>
      </c>
      <c r="F299" s="7" t="n">
        <v>7910.14</v>
      </c>
      <c r="G299" s="16" t="s">
        <v>122</v>
      </c>
    </row>
    <row r="300" customFormat="false" ht="15" hidden="false" customHeight="false" outlineLevel="0" collapsed="false">
      <c r="A300" s="0" t="s">
        <v>187</v>
      </c>
      <c r="B300" s="14" t="n">
        <v>45957</v>
      </c>
      <c r="C300" s="16" t="s">
        <v>482</v>
      </c>
      <c r="D300" s="7" t="n">
        <v>-1500</v>
      </c>
      <c r="E300" s="16" t="s">
        <v>197</v>
      </c>
      <c r="F300" s="7" t="n">
        <v>8031.35</v>
      </c>
      <c r="G300" s="16" t="s">
        <v>69</v>
      </c>
    </row>
    <row r="301" customFormat="false" ht="15" hidden="false" customHeight="false" outlineLevel="0" collapsed="false">
      <c r="A301" s="0" t="s">
        <v>187</v>
      </c>
      <c r="B301" s="14" t="n">
        <v>45957</v>
      </c>
      <c r="C301" s="16" t="s">
        <v>483</v>
      </c>
      <c r="D301" s="7" t="n">
        <v>-8</v>
      </c>
      <c r="E301" s="16" t="s">
        <v>193</v>
      </c>
      <c r="F301" s="7" t="n">
        <v>9531.35</v>
      </c>
      <c r="G301" s="16" t="s">
        <v>80</v>
      </c>
    </row>
    <row r="302" customFormat="false" ht="15" hidden="false" customHeight="false" outlineLevel="0" collapsed="false">
      <c r="A302" s="0" t="s">
        <v>187</v>
      </c>
      <c r="B302" s="14" t="n">
        <v>45957</v>
      </c>
      <c r="C302" s="16" t="s">
        <v>484</v>
      </c>
      <c r="D302" s="7" t="n">
        <v>-16.99</v>
      </c>
      <c r="E302" s="16" t="s">
        <v>206</v>
      </c>
      <c r="F302" s="7" t="n">
        <v>9539.35</v>
      </c>
      <c r="G302" s="16" t="s">
        <v>144</v>
      </c>
    </row>
    <row r="303" customFormat="false" ht="15" hidden="false" customHeight="false" outlineLevel="0" collapsed="false">
      <c r="A303" s="0" t="s">
        <v>187</v>
      </c>
      <c r="B303" s="14" t="n">
        <v>45957</v>
      </c>
      <c r="C303" s="16" t="s">
        <v>485</v>
      </c>
      <c r="D303" s="7" t="n">
        <v>-2000</v>
      </c>
      <c r="E303" s="16" t="s">
        <v>213</v>
      </c>
      <c r="F303" s="7" t="n">
        <v>9556.34</v>
      </c>
      <c r="G303" s="16" t="s">
        <v>96</v>
      </c>
    </row>
    <row r="304" customFormat="false" ht="15" hidden="false" customHeight="false" outlineLevel="0" collapsed="false">
      <c r="A304" s="0" t="s">
        <v>187</v>
      </c>
      <c r="B304" s="14" t="n">
        <v>45957</v>
      </c>
      <c r="C304" s="16" t="s">
        <v>484</v>
      </c>
      <c r="D304" s="7" t="n">
        <v>-9.99</v>
      </c>
      <c r="E304" s="16" t="s">
        <v>206</v>
      </c>
      <c r="F304" s="7" t="n">
        <v>11556.34</v>
      </c>
      <c r="G304" s="16" t="s">
        <v>144</v>
      </c>
    </row>
    <row r="305" customFormat="false" ht="15" hidden="false" customHeight="false" outlineLevel="0" collapsed="false">
      <c r="A305" s="0" t="s">
        <v>187</v>
      </c>
      <c r="B305" s="14" t="n">
        <v>45957</v>
      </c>
      <c r="C305" s="16" t="s">
        <v>486</v>
      </c>
      <c r="D305" s="7" t="n">
        <v>-20.51</v>
      </c>
      <c r="E305" s="16" t="s">
        <v>206</v>
      </c>
      <c r="F305" s="7" t="n">
        <v>11566.33</v>
      </c>
      <c r="G305" s="16" t="s">
        <v>144</v>
      </c>
    </row>
    <row r="306" customFormat="false" ht="15" hidden="false" customHeight="false" outlineLevel="0" collapsed="false">
      <c r="A306" s="0" t="s">
        <v>187</v>
      </c>
      <c r="B306" s="14" t="n">
        <v>45957</v>
      </c>
      <c r="C306" s="16" t="s">
        <v>487</v>
      </c>
      <c r="D306" s="7" t="n">
        <v>-8.99</v>
      </c>
      <c r="E306" s="16" t="s">
        <v>206</v>
      </c>
      <c r="F306" s="7" t="n">
        <v>11586.84</v>
      </c>
      <c r="G306" s="16" t="s">
        <v>144</v>
      </c>
    </row>
    <row r="307" customFormat="false" ht="15" hidden="false" customHeight="false" outlineLevel="0" collapsed="false">
      <c r="A307" s="0" t="s">
        <v>187</v>
      </c>
      <c r="B307" s="14" t="n">
        <v>45957</v>
      </c>
      <c r="C307" s="16" t="s">
        <v>488</v>
      </c>
      <c r="D307" s="7" t="n">
        <v>-250</v>
      </c>
      <c r="E307" s="16" t="s">
        <v>215</v>
      </c>
      <c r="F307" s="7" t="n">
        <v>11595.83</v>
      </c>
      <c r="G307" s="16" t="s">
        <v>86</v>
      </c>
    </row>
    <row r="308" customFormat="false" ht="15" hidden="false" customHeight="false" outlineLevel="0" collapsed="false">
      <c r="A308" s="0" t="s">
        <v>187</v>
      </c>
      <c r="B308" s="14" t="n">
        <v>45957</v>
      </c>
      <c r="C308" s="16" t="s">
        <v>489</v>
      </c>
      <c r="D308" s="7" t="n">
        <v>-12.99</v>
      </c>
      <c r="E308" s="16" t="s">
        <v>206</v>
      </c>
      <c r="F308" s="7" t="n">
        <v>11845.83</v>
      </c>
      <c r="G308" s="16" t="s">
        <v>114</v>
      </c>
    </row>
    <row r="309" customFormat="false" ht="15" hidden="false" customHeight="false" outlineLevel="0" collapsed="false">
      <c r="A309" s="0" t="s">
        <v>187</v>
      </c>
      <c r="B309" s="14" t="n">
        <v>45954</v>
      </c>
      <c r="C309" s="16" t="s">
        <v>490</v>
      </c>
      <c r="D309" s="7" t="n">
        <v>-3000</v>
      </c>
      <c r="E309" s="16" t="s">
        <v>213</v>
      </c>
      <c r="F309" s="7" t="n">
        <v>11858.82</v>
      </c>
      <c r="G309" s="16" t="s">
        <v>96</v>
      </c>
    </row>
    <row r="310" customFormat="false" ht="15" hidden="false" customHeight="false" outlineLevel="0" collapsed="false">
      <c r="A310" s="0" t="s">
        <v>187</v>
      </c>
      <c r="B310" s="14" t="n">
        <v>45954</v>
      </c>
      <c r="C310" s="16" t="s">
        <v>491</v>
      </c>
      <c r="D310" s="7" t="n">
        <v>-9.99</v>
      </c>
      <c r="E310" s="16" t="s">
        <v>206</v>
      </c>
      <c r="F310" s="7" t="n">
        <v>14858.82</v>
      </c>
      <c r="G310" s="16" t="s">
        <v>144</v>
      </c>
    </row>
    <row r="311" customFormat="false" ht="15" hidden="false" customHeight="false" outlineLevel="0" collapsed="false">
      <c r="A311" s="0" t="s">
        <v>187</v>
      </c>
      <c r="B311" s="14" t="n">
        <v>45954</v>
      </c>
      <c r="C311" s="16" t="s">
        <v>492</v>
      </c>
      <c r="D311" s="7" t="n">
        <v>-17.95</v>
      </c>
      <c r="E311" s="16" t="s">
        <v>206</v>
      </c>
      <c r="F311" s="7" t="n">
        <v>14868.81</v>
      </c>
      <c r="G311" s="16" t="s">
        <v>144</v>
      </c>
    </row>
    <row r="312" customFormat="false" ht="15" hidden="false" customHeight="false" outlineLevel="0" collapsed="false">
      <c r="A312" s="0" t="s">
        <v>187</v>
      </c>
      <c r="B312" s="14" t="n">
        <v>45954</v>
      </c>
      <c r="C312" s="16" t="s">
        <v>493</v>
      </c>
      <c r="D312" s="7" t="n">
        <v>-232</v>
      </c>
      <c r="E312" s="16" t="s">
        <v>206</v>
      </c>
      <c r="F312" s="7" t="n">
        <v>14886.76</v>
      </c>
      <c r="G312" s="16" t="s">
        <v>67</v>
      </c>
    </row>
    <row r="313" customFormat="false" ht="15" hidden="false" customHeight="false" outlineLevel="0" collapsed="false">
      <c r="A313" s="0" t="s">
        <v>187</v>
      </c>
      <c r="B313" s="14" t="n">
        <v>45953</v>
      </c>
      <c r="C313" s="16" t="s">
        <v>188</v>
      </c>
      <c r="D313" s="7" t="n">
        <v>-5</v>
      </c>
      <c r="E313" s="16" t="s">
        <v>189</v>
      </c>
      <c r="F313" s="7" t="n">
        <v>15118.76</v>
      </c>
      <c r="G313" s="16" t="s">
        <v>65</v>
      </c>
    </row>
    <row r="314" customFormat="false" ht="15" hidden="false" customHeight="false" outlineLevel="0" collapsed="false">
      <c r="A314" s="0" t="s">
        <v>187</v>
      </c>
      <c r="B314" s="14" t="n">
        <v>45953</v>
      </c>
      <c r="C314" s="16" t="s">
        <v>494</v>
      </c>
      <c r="D314" s="7" t="n">
        <v>-750</v>
      </c>
      <c r="E314" s="16" t="s">
        <v>191</v>
      </c>
      <c r="F314" s="7" t="n">
        <v>15123.76</v>
      </c>
      <c r="G314" s="16" t="s">
        <v>65</v>
      </c>
    </row>
    <row r="315" customFormat="false" ht="15" hidden="false" customHeight="false" outlineLevel="0" collapsed="false">
      <c r="A315" s="0" t="s">
        <v>187</v>
      </c>
      <c r="B315" s="14" t="n">
        <v>45953</v>
      </c>
      <c r="C315" s="16" t="s">
        <v>495</v>
      </c>
      <c r="D315" s="7" t="n">
        <v>-8.99</v>
      </c>
      <c r="E315" s="16" t="s">
        <v>206</v>
      </c>
      <c r="F315" s="7" t="n">
        <v>15873.76</v>
      </c>
      <c r="G315" s="16" t="s">
        <v>144</v>
      </c>
    </row>
    <row r="316" customFormat="false" ht="15" hidden="false" customHeight="false" outlineLevel="0" collapsed="false">
      <c r="A316" s="0" t="s">
        <v>187</v>
      </c>
      <c r="B316" s="14" t="n">
        <v>45952</v>
      </c>
      <c r="C316" s="16" t="s">
        <v>496</v>
      </c>
      <c r="D316" s="7" t="n">
        <v>-900</v>
      </c>
      <c r="E316" s="16" t="s">
        <v>193</v>
      </c>
      <c r="F316" s="7" t="n">
        <v>15882.75</v>
      </c>
      <c r="G316" s="16" t="s">
        <v>80</v>
      </c>
    </row>
    <row r="317" customFormat="false" ht="15" hidden="false" customHeight="false" outlineLevel="0" collapsed="false">
      <c r="A317" s="0" t="s">
        <v>187</v>
      </c>
      <c r="B317" s="14" t="n">
        <v>45951</v>
      </c>
      <c r="C317" s="16" t="s">
        <v>497</v>
      </c>
      <c r="D317" s="7" t="n">
        <v>-150</v>
      </c>
      <c r="E317" s="16" t="s">
        <v>193</v>
      </c>
      <c r="F317" s="7" t="n">
        <v>16782.75</v>
      </c>
      <c r="G317" s="16" t="s">
        <v>80</v>
      </c>
    </row>
    <row r="318" customFormat="false" ht="15" hidden="false" customHeight="false" outlineLevel="0" collapsed="false">
      <c r="A318" s="0" t="s">
        <v>187</v>
      </c>
      <c r="B318" s="14" t="n">
        <v>45951</v>
      </c>
      <c r="C318" s="16" t="s">
        <v>498</v>
      </c>
      <c r="D318" s="7" t="n">
        <v>-331.54</v>
      </c>
      <c r="E318" s="16" t="s">
        <v>193</v>
      </c>
      <c r="F318" s="7" t="n">
        <v>16932.75</v>
      </c>
      <c r="G318" s="16" t="s">
        <v>148</v>
      </c>
    </row>
    <row r="319" customFormat="false" ht="15" hidden="false" customHeight="false" outlineLevel="0" collapsed="false">
      <c r="A319" s="0" t="s">
        <v>187</v>
      </c>
      <c r="B319" s="14" t="n">
        <v>45951</v>
      </c>
      <c r="C319" s="16" t="s">
        <v>499</v>
      </c>
      <c r="D319" s="7" t="n">
        <v>-166.25</v>
      </c>
      <c r="E319" s="16" t="s">
        <v>206</v>
      </c>
      <c r="F319" s="7" t="n">
        <v>17264.29</v>
      </c>
      <c r="G319" s="16" t="s">
        <v>75</v>
      </c>
    </row>
    <row r="320" customFormat="false" ht="15" hidden="false" customHeight="false" outlineLevel="0" collapsed="false">
      <c r="A320" s="0" t="s">
        <v>187</v>
      </c>
      <c r="B320" s="14" t="n">
        <v>45951</v>
      </c>
      <c r="C320" s="16" t="s">
        <v>500</v>
      </c>
      <c r="D320" s="7" t="n">
        <v>-26.89</v>
      </c>
      <c r="E320" s="16" t="s">
        <v>206</v>
      </c>
      <c r="F320" s="7" t="n">
        <v>17430.54</v>
      </c>
      <c r="G320" s="16" t="s">
        <v>144</v>
      </c>
    </row>
    <row r="321" customFormat="false" ht="15" hidden="false" customHeight="false" outlineLevel="0" collapsed="false">
      <c r="A321" s="0" t="s">
        <v>187</v>
      </c>
      <c r="B321" s="14" t="n">
        <v>45950</v>
      </c>
      <c r="C321" s="16" t="s">
        <v>501</v>
      </c>
      <c r="D321" s="7" t="n">
        <v>-1500</v>
      </c>
      <c r="E321" s="16" t="s">
        <v>197</v>
      </c>
      <c r="F321" s="7" t="n">
        <v>17457.43</v>
      </c>
      <c r="G321" s="16" t="s">
        <v>69</v>
      </c>
    </row>
    <row r="322" customFormat="false" ht="15" hidden="false" customHeight="false" outlineLevel="0" collapsed="false">
      <c r="A322" s="0" t="s">
        <v>187</v>
      </c>
      <c r="B322" s="14" t="n">
        <v>45950</v>
      </c>
      <c r="C322" s="16" t="s">
        <v>502</v>
      </c>
      <c r="D322" s="7" t="n">
        <v>-1000</v>
      </c>
      <c r="E322" s="16" t="s">
        <v>193</v>
      </c>
      <c r="F322" s="7" t="n">
        <v>18957.43</v>
      </c>
      <c r="G322" s="16" t="s">
        <v>80</v>
      </c>
    </row>
    <row r="323" customFormat="false" ht="15" hidden="false" customHeight="false" outlineLevel="0" collapsed="false">
      <c r="A323" s="0" t="s">
        <v>187</v>
      </c>
      <c r="B323" s="14" t="n">
        <v>45950</v>
      </c>
      <c r="C323" s="16" t="s">
        <v>503</v>
      </c>
      <c r="D323" s="7" t="n">
        <v>-715</v>
      </c>
      <c r="E323" s="16" t="s">
        <v>215</v>
      </c>
      <c r="F323" s="7" t="n">
        <v>19957.43</v>
      </c>
      <c r="G323" s="16" t="s">
        <v>86</v>
      </c>
    </row>
    <row r="324" customFormat="false" ht="15" hidden="false" customHeight="false" outlineLevel="0" collapsed="false">
      <c r="A324" s="0" t="s">
        <v>187</v>
      </c>
      <c r="B324" s="14" t="n">
        <v>45950</v>
      </c>
      <c r="C324" s="16" t="s">
        <v>504</v>
      </c>
      <c r="D324" s="7" t="n">
        <v>-200</v>
      </c>
      <c r="E324" s="16" t="s">
        <v>213</v>
      </c>
      <c r="F324" s="7" t="n">
        <v>20672.43</v>
      </c>
      <c r="G324" s="16" t="s">
        <v>97</v>
      </c>
    </row>
    <row r="325" customFormat="false" ht="15" hidden="false" customHeight="false" outlineLevel="0" collapsed="false">
      <c r="A325" s="0" t="s">
        <v>187</v>
      </c>
      <c r="B325" s="14" t="n">
        <v>45950</v>
      </c>
      <c r="C325" s="16" t="s">
        <v>505</v>
      </c>
      <c r="D325" s="7" t="n">
        <v>-300</v>
      </c>
      <c r="E325" s="16" t="s">
        <v>213</v>
      </c>
      <c r="F325" s="7" t="n">
        <v>20872.43</v>
      </c>
      <c r="G325" s="16" t="s">
        <v>97</v>
      </c>
    </row>
    <row r="326" customFormat="false" ht="15" hidden="false" customHeight="false" outlineLevel="0" collapsed="false">
      <c r="A326" s="0" t="s">
        <v>187</v>
      </c>
      <c r="B326" s="14" t="n">
        <v>45950</v>
      </c>
      <c r="C326" s="16" t="s">
        <v>506</v>
      </c>
      <c r="D326" s="7" t="n">
        <v>-3000</v>
      </c>
      <c r="E326" s="16" t="s">
        <v>213</v>
      </c>
      <c r="F326" s="7" t="n">
        <v>21172.43</v>
      </c>
      <c r="G326" s="16" t="s">
        <v>96</v>
      </c>
    </row>
    <row r="327" customFormat="false" ht="15" hidden="false" customHeight="false" outlineLevel="0" collapsed="false">
      <c r="A327" s="0" t="s">
        <v>187</v>
      </c>
      <c r="B327" s="14" t="n">
        <v>45950</v>
      </c>
      <c r="C327" s="16" t="s">
        <v>507</v>
      </c>
      <c r="D327" s="7" t="n">
        <v>-12.99</v>
      </c>
      <c r="E327" s="16" t="s">
        <v>206</v>
      </c>
      <c r="F327" s="7" t="n">
        <v>24172.43</v>
      </c>
      <c r="G327" s="16" t="s">
        <v>144</v>
      </c>
    </row>
    <row r="328" customFormat="false" ht="15" hidden="false" customHeight="false" outlineLevel="0" collapsed="false">
      <c r="A328" s="0" t="s">
        <v>187</v>
      </c>
      <c r="B328" s="14" t="n">
        <v>45950</v>
      </c>
      <c r="C328" s="16" t="s">
        <v>508</v>
      </c>
      <c r="D328" s="7" t="n">
        <v>-15</v>
      </c>
      <c r="E328" s="16" t="s">
        <v>206</v>
      </c>
      <c r="F328" s="7" t="n">
        <v>24185.42</v>
      </c>
      <c r="G328" s="16" t="s">
        <v>144</v>
      </c>
    </row>
    <row r="329" customFormat="false" ht="15" hidden="false" customHeight="false" outlineLevel="0" collapsed="false">
      <c r="A329" s="0" t="s">
        <v>187</v>
      </c>
      <c r="B329" s="14" t="n">
        <v>45950</v>
      </c>
      <c r="C329" s="16" t="s">
        <v>509</v>
      </c>
      <c r="D329" s="7" t="n">
        <v>-8.99</v>
      </c>
      <c r="E329" s="16" t="s">
        <v>206</v>
      </c>
      <c r="F329" s="7" t="n">
        <v>24200.42</v>
      </c>
      <c r="G329" s="16" t="s">
        <v>144</v>
      </c>
    </row>
    <row r="330" customFormat="false" ht="15" hidden="false" customHeight="false" outlineLevel="0" collapsed="false">
      <c r="A330" s="0" t="s">
        <v>187</v>
      </c>
      <c r="B330" s="14" t="n">
        <v>45950</v>
      </c>
      <c r="C330" s="16" t="s">
        <v>510</v>
      </c>
      <c r="D330" s="7" t="n">
        <v>-21.98</v>
      </c>
      <c r="E330" s="16" t="s">
        <v>206</v>
      </c>
      <c r="F330" s="7" t="n">
        <v>24209.41</v>
      </c>
      <c r="G330" s="16" t="s">
        <v>118</v>
      </c>
    </row>
    <row r="331" customFormat="false" ht="15" hidden="false" customHeight="false" outlineLevel="0" collapsed="false">
      <c r="A331" s="0" t="s">
        <v>187</v>
      </c>
      <c r="B331" s="14" t="n">
        <v>45950</v>
      </c>
      <c r="C331" s="16" t="s">
        <v>511</v>
      </c>
      <c r="D331" s="7" t="n">
        <v>-15.98</v>
      </c>
      <c r="E331" s="16" t="s">
        <v>206</v>
      </c>
      <c r="F331" s="7" t="n">
        <v>24231.39</v>
      </c>
      <c r="G331" s="16" t="s">
        <v>118</v>
      </c>
    </row>
    <row r="332" customFormat="false" ht="15" hidden="false" customHeight="false" outlineLevel="0" collapsed="false">
      <c r="A332" s="0" t="s">
        <v>187</v>
      </c>
      <c r="B332" s="14" t="n">
        <v>45950</v>
      </c>
      <c r="C332" s="16" t="s">
        <v>512</v>
      </c>
      <c r="D332" s="7" t="n">
        <v>-11</v>
      </c>
      <c r="E332" s="16" t="s">
        <v>206</v>
      </c>
      <c r="F332" s="7" t="n">
        <v>24247.37</v>
      </c>
      <c r="G332" s="16" t="s">
        <v>144</v>
      </c>
    </row>
    <row r="333" customFormat="false" ht="15" hidden="false" customHeight="false" outlineLevel="0" collapsed="false">
      <c r="A333" s="0" t="s">
        <v>187</v>
      </c>
      <c r="B333" s="14" t="n">
        <v>45950</v>
      </c>
      <c r="C333" s="16" t="s">
        <v>513</v>
      </c>
      <c r="D333" s="7" t="n">
        <v>-350</v>
      </c>
      <c r="E333" s="16" t="s">
        <v>206</v>
      </c>
      <c r="F333" s="7" t="n">
        <v>24258.37</v>
      </c>
      <c r="G333" s="16" t="s">
        <v>72</v>
      </c>
    </row>
    <row r="334" customFormat="false" ht="15" hidden="false" customHeight="false" outlineLevel="0" collapsed="false">
      <c r="A334" s="0" t="s">
        <v>187</v>
      </c>
      <c r="B334" s="14" t="n">
        <v>45950</v>
      </c>
      <c r="C334" s="16" t="s">
        <v>512</v>
      </c>
      <c r="D334" s="7" t="n">
        <v>-9.99</v>
      </c>
      <c r="E334" s="16" t="s">
        <v>206</v>
      </c>
      <c r="F334" s="7" t="n">
        <v>24608.37</v>
      </c>
      <c r="G334" s="16" t="s">
        <v>144</v>
      </c>
    </row>
    <row r="335" customFormat="false" ht="15" hidden="false" customHeight="false" outlineLevel="0" collapsed="false">
      <c r="A335" s="0" t="s">
        <v>187</v>
      </c>
      <c r="B335" s="14" t="n">
        <v>45947</v>
      </c>
      <c r="C335" s="16" t="s">
        <v>514</v>
      </c>
      <c r="D335" s="7" t="n">
        <v>-1500</v>
      </c>
      <c r="E335" s="16" t="s">
        <v>193</v>
      </c>
      <c r="F335" s="7" t="n">
        <v>24618.36</v>
      </c>
      <c r="G335" s="16" t="s">
        <v>80</v>
      </c>
    </row>
    <row r="336" customFormat="false" ht="15" hidden="false" customHeight="false" outlineLevel="0" collapsed="false">
      <c r="A336" s="0" t="s">
        <v>187</v>
      </c>
      <c r="B336" s="14" t="n">
        <v>45947</v>
      </c>
      <c r="C336" s="16" t="s">
        <v>515</v>
      </c>
      <c r="D336" s="7" t="n">
        <v>-400</v>
      </c>
      <c r="E336" s="16" t="s">
        <v>224</v>
      </c>
      <c r="F336" s="7" t="n">
        <v>26118.36</v>
      </c>
      <c r="G336" s="16" t="s">
        <v>85</v>
      </c>
    </row>
    <row r="337" customFormat="false" ht="15" hidden="false" customHeight="false" outlineLevel="0" collapsed="false">
      <c r="A337" s="0" t="s">
        <v>187</v>
      </c>
      <c r="B337" s="14" t="n">
        <v>45947</v>
      </c>
      <c r="C337" s="16" t="s">
        <v>516</v>
      </c>
      <c r="D337" s="7" t="n">
        <v>-165</v>
      </c>
      <c r="E337" s="16" t="s">
        <v>206</v>
      </c>
      <c r="F337" s="7" t="n">
        <v>26518.36</v>
      </c>
      <c r="G337" s="16" t="s">
        <v>78</v>
      </c>
    </row>
    <row r="338" customFormat="false" ht="15" hidden="false" customHeight="false" outlineLevel="0" collapsed="false">
      <c r="A338" s="0" t="s">
        <v>187</v>
      </c>
      <c r="B338" s="14" t="n">
        <v>45947</v>
      </c>
      <c r="C338" s="16" t="s">
        <v>517</v>
      </c>
      <c r="D338" s="7" t="n">
        <v>-69.99</v>
      </c>
      <c r="E338" s="16" t="s">
        <v>206</v>
      </c>
      <c r="F338" s="7" t="n">
        <v>26683.36</v>
      </c>
      <c r="G338" s="16" t="s">
        <v>67</v>
      </c>
    </row>
    <row r="339" customFormat="false" ht="15" hidden="false" customHeight="false" outlineLevel="0" collapsed="false">
      <c r="A339" s="0" t="s">
        <v>187</v>
      </c>
      <c r="B339" s="14" t="n">
        <v>45947</v>
      </c>
      <c r="C339" s="16" t="s">
        <v>517</v>
      </c>
      <c r="D339" s="7" t="n">
        <v>-89.99</v>
      </c>
      <c r="E339" s="16" t="s">
        <v>206</v>
      </c>
      <c r="F339" s="7" t="n">
        <v>26753.35</v>
      </c>
      <c r="G339" s="16" t="s">
        <v>67</v>
      </c>
    </row>
    <row r="340" customFormat="false" ht="15" hidden="false" customHeight="false" outlineLevel="0" collapsed="false">
      <c r="A340" s="0" t="s">
        <v>187</v>
      </c>
      <c r="B340" s="14" t="n">
        <v>45946</v>
      </c>
      <c r="C340" s="16" t="s">
        <v>518</v>
      </c>
      <c r="D340" s="7" t="n">
        <v>-150</v>
      </c>
      <c r="E340" s="16" t="s">
        <v>193</v>
      </c>
      <c r="F340" s="7" t="n">
        <v>26843.34</v>
      </c>
      <c r="G340" s="16" t="s">
        <v>80</v>
      </c>
    </row>
    <row r="341" customFormat="false" ht="15" hidden="false" customHeight="false" outlineLevel="0" collapsed="false">
      <c r="A341" s="0" t="s">
        <v>187</v>
      </c>
      <c r="B341" s="14" t="n">
        <v>45946</v>
      </c>
      <c r="C341" s="16" t="s">
        <v>519</v>
      </c>
      <c r="D341" s="7" t="n">
        <v>-100</v>
      </c>
      <c r="E341" s="16" t="s">
        <v>215</v>
      </c>
      <c r="F341" s="7" t="n">
        <v>26993.34</v>
      </c>
      <c r="G341" s="16" t="s">
        <v>87</v>
      </c>
    </row>
    <row r="342" customFormat="false" ht="15" hidden="false" customHeight="false" outlineLevel="0" collapsed="false">
      <c r="A342" s="0" t="s">
        <v>187</v>
      </c>
      <c r="B342" s="14" t="n">
        <v>45946</v>
      </c>
      <c r="C342" s="16" t="s">
        <v>520</v>
      </c>
      <c r="D342" s="7" t="n">
        <v>-150</v>
      </c>
      <c r="E342" s="16" t="s">
        <v>215</v>
      </c>
      <c r="F342" s="7" t="n">
        <v>27093.34</v>
      </c>
      <c r="G342" s="16" t="s">
        <v>87</v>
      </c>
    </row>
    <row r="343" customFormat="false" ht="15" hidden="false" customHeight="false" outlineLevel="0" collapsed="false">
      <c r="A343" s="0" t="s">
        <v>187</v>
      </c>
      <c r="B343" s="14" t="n">
        <v>45946</v>
      </c>
      <c r="C343" s="16" t="s">
        <v>521</v>
      </c>
      <c r="D343" s="7" t="n">
        <v>-3000</v>
      </c>
      <c r="E343" s="16" t="s">
        <v>213</v>
      </c>
      <c r="F343" s="7" t="n">
        <v>27243.34</v>
      </c>
      <c r="G343" s="16" t="s">
        <v>96</v>
      </c>
    </row>
    <row r="344" customFormat="false" ht="15" hidden="false" customHeight="false" outlineLevel="0" collapsed="false">
      <c r="A344" s="0" t="s">
        <v>187</v>
      </c>
      <c r="B344" s="14" t="n">
        <v>45946</v>
      </c>
      <c r="C344" s="16" t="s">
        <v>522</v>
      </c>
      <c r="D344" s="7" t="n">
        <v>-104.01</v>
      </c>
      <c r="E344" s="16" t="s">
        <v>193</v>
      </c>
      <c r="F344" s="7" t="n">
        <v>30243.34</v>
      </c>
      <c r="G344" s="16" t="s">
        <v>114</v>
      </c>
    </row>
    <row r="345" customFormat="false" ht="15" hidden="false" customHeight="false" outlineLevel="0" collapsed="false">
      <c r="A345" s="0" t="s">
        <v>187</v>
      </c>
      <c r="B345" s="14" t="n">
        <v>45946</v>
      </c>
      <c r="C345" s="16" t="s">
        <v>523</v>
      </c>
      <c r="D345" s="7" t="n">
        <v>-5.99</v>
      </c>
      <c r="E345" s="16" t="s">
        <v>206</v>
      </c>
      <c r="F345" s="7" t="n">
        <v>30347.35</v>
      </c>
      <c r="G345" s="16" t="s">
        <v>144</v>
      </c>
    </row>
    <row r="346" customFormat="false" ht="15" hidden="false" customHeight="false" outlineLevel="0" collapsed="false">
      <c r="A346" s="0" t="s">
        <v>187</v>
      </c>
      <c r="B346" s="14" t="n">
        <v>45946</v>
      </c>
      <c r="C346" s="16" t="s">
        <v>524</v>
      </c>
      <c r="D346" s="7" t="n">
        <v>-53.19</v>
      </c>
      <c r="E346" s="16" t="s">
        <v>206</v>
      </c>
      <c r="F346" s="7" t="n">
        <v>30353.34</v>
      </c>
      <c r="G346" s="16" t="s">
        <v>179</v>
      </c>
    </row>
    <row r="347" customFormat="false" ht="15" hidden="false" customHeight="false" outlineLevel="0" collapsed="false">
      <c r="A347" s="0" t="s">
        <v>187</v>
      </c>
      <c r="B347" s="14" t="n">
        <v>45945</v>
      </c>
      <c r="C347" s="16" t="s">
        <v>525</v>
      </c>
      <c r="D347" s="7" t="n">
        <v>-8.99</v>
      </c>
      <c r="E347" s="16" t="s">
        <v>206</v>
      </c>
      <c r="F347" s="7" t="n">
        <v>30406.53</v>
      </c>
      <c r="G347" s="16" t="s">
        <v>144</v>
      </c>
    </row>
    <row r="348" customFormat="false" ht="15" hidden="false" customHeight="false" outlineLevel="0" collapsed="false">
      <c r="A348" s="0" t="s">
        <v>187</v>
      </c>
      <c r="B348" s="14" t="n">
        <v>45945</v>
      </c>
      <c r="C348" s="16" t="s">
        <v>526</v>
      </c>
      <c r="D348" s="7" t="n">
        <v>-1.99</v>
      </c>
      <c r="E348" s="16" t="s">
        <v>206</v>
      </c>
      <c r="F348" s="7" t="n">
        <v>30415.52</v>
      </c>
      <c r="G348" s="16" t="s">
        <v>144</v>
      </c>
    </row>
    <row r="349" customFormat="false" ht="15" hidden="false" customHeight="false" outlineLevel="0" collapsed="false">
      <c r="A349" s="0" t="s">
        <v>187</v>
      </c>
      <c r="B349" s="14" t="n">
        <v>45945</v>
      </c>
      <c r="C349" s="16" t="s">
        <v>527</v>
      </c>
      <c r="D349" s="7" t="n">
        <v>-10.99</v>
      </c>
      <c r="E349" s="16" t="s">
        <v>206</v>
      </c>
      <c r="F349" s="7" t="n">
        <v>30417.51</v>
      </c>
      <c r="G349" s="16" t="s">
        <v>144</v>
      </c>
    </row>
    <row r="350" customFormat="false" ht="15" hidden="false" customHeight="false" outlineLevel="0" collapsed="false">
      <c r="A350" s="0" t="s">
        <v>187</v>
      </c>
      <c r="B350" s="14" t="n">
        <v>45944</v>
      </c>
      <c r="C350" s="16" t="s">
        <v>528</v>
      </c>
      <c r="D350" s="7" t="n">
        <v>-2000</v>
      </c>
      <c r="E350" s="16" t="s">
        <v>213</v>
      </c>
      <c r="F350" s="7" t="n">
        <v>30428.5</v>
      </c>
      <c r="G350" s="16" t="s">
        <v>96</v>
      </c>
    </row>
    <row r="351" customFormat="false" ht="15" hidden="false" customHeight="false" outlineLevel="0" collapsed="false">
      <c r="A351" s="0" t="s">
        <v>187</v>
      </c>
      <c r="B351" s="14" t="n">
        <v>45944</v>
      </c>
      <c r="C351" s="16" t="s">
        <v>529</v>
      </c>
      <c r="D351" s="7" t="n">
        <v>-90</v>
      </c>
      <c r="E351" s="16" t="s">
        <v>193</v>
      </c>
      <c r="F351" s="7" t="n">
        <v>32428.5</v>
      </c>
      <c r="G351" s="16" t="s">
        <v>80</v>
      </c>
    </row>
    <row r="352" customFormat="false" ht="15" hidden="false" customHeight="false" outlineLevel="0" collapsed="false">
      <c r="A352" s="0" t="s">
        <v>187</v>
      </c>
      <c r="B352" s="14" t="n">
        <v>45944</v>
      </c>
      <c r="C352" s="16" t="s">
        <v>530</v>
      </c>
      <c r="D352" s="7" t="n">
        <v>-125</v>
      </c>
      <c r="E352" s="16" t="s">
        <v>193</v>
      </c>
      <c r="F352" s="7" t="n">
        <v>32518.5</v>
      </c>
      <c r="G352" s="16" t="s">
        <v>80</v>
      </c>
    </row>
    <row r="353" customFormat="false" ht="15" hidden="false" customHeight="false" outlineLevel="0" collapsed="false">
      <c r="A353" s="0" t="s">
        <v>187</v>
      </c>
      <c r="B353" s="14" t="n">
        <v>45944</v>
      </c>
      <c r="C353" s="16" t="s">
        <v>531</v>
      </c>
      <c r="D353" s="7" t="n">
        <v>-200</v>
      </c>
      <c r="E353" s="16" t="s">
        <v>193</v>
      </c>
      <c r="F353" s="7" t="n">
        <v>32643.5</v>
      </c>
      <c r="G353" s="16" t="s">
        <v>80</v>
      </c>
    </row>
    <row r="354" customFormat="false" ht="15" hidden="false" customHeight="false" outlineLevel="0" collapsed="false">
      <c r="A354" s="0" t="s">
        <v>187</v>
      </c>
      <c r="B354" s="14" t="n">
        <v>45944</v>
      </c>
      <c r="C354" s="16" t="s">
        <v>532</v>
      </c>
      <c r="D354" s="7" t="n">
        <v>-150</v>
      </c>
      <c r="E354" s="16" t="s">
        <v>215</v>
      </c>
      <c r="F354" s="7" t="n">
        <v>32843.5</v>
      </c>
      <c r="G354" s="16" t="s">
        <v>86</v>
      </c>
    </row>
    <row r="355" customFormat="false" ht="15" hidden="false" customHeight="false" outlineLevel="0" collapsed="false">
      <c r="A355" s="0" t="s">
        <v>187</v>
      </c>
      <c r="B355" s="14" t="n">
        <v>45944</v>
      </c>
      <c r="C355" s="16" t="s">
        <v>533</v>
      </c>
      <c r="D355" s="7" t="n">
        <v>-650</v>
      </c>
      <c r="E355" s="16" t="s">
        <v>215</v>
      </c>
      <c r="F355" s="7" t="n">
        <v>32993.5</v>
      </c>
      <c r="G355" s="16" t="s">
        <v>86</v>
      </c>
    </row>
    <row r="356" customFormat="false" ht="15" hidden="false" customHeight="false" outlineLevel="0" collapsed="false">
      <c r="A356" s="0" t="s">
        <v>187</v>
      </c>
      <c r="B356" s="14" t="n">
        <v>45944</v>
      </c>
      <c r="C356" s="16" t="s">
        <v>534</v>
      </c>
      <c r="D356" s="7" t="n">
        <v>-1500</v>
      </c>
      <c r="E356" s="16" t="s">
        <v>215</v>
      </c>
      <c r="F356" s="7" t="n">
        <v>33643.5</v>
      </c>
      <c r="G356" s="16" t="s">
        <v>86</v>
      </c>
    </row>
    <row r="357" customFormat="false" ht="15" hidden="false" customHeight="false" outlineLevel="0" collapsed="false">
      <c r="A357" s="0" t="s">
        <v>187</v>
      </c>
      <c r="B357" s="14" t="n">
        <v>45944</v>
      </c>
      <c r="C357" s="16" t="s">
        <v>535</v>
      </c>
      <c r="D357" s="7" t="n">
        <v>-2000</v>
      </c>
      <c r="E357" s="16" t="s">
        <v>213</v>
      </c>
      <c r="F357" s="7" t="n">
        <v>35143.5</v>
      </c>
      <c r="G357" s="16" t="s">
        <v>96</v>
      </c>
    </row>
    <row r="358" customFormat="false" ht="15" hidden="false" customHeight="false" outlineLevel="0" collapsed="false">
      <c r="A358" s="0" t="s">
        <v>187</v>
      </c>
      <c r="B358" s="14" t="n">
        <v>45944</v>
      </c>
      <c r="C358" s="16" t="s">
        <v>536</v>
      </c>
      <c r="D358" s="7" t="n">
        <v>-150</v>
      </c>
      <c r="E358" s="16" t="s">
        <v>215</v>
      </c>
      <c r="F358" s="7" t="n">
        <v>37143.5</v>
      </c>
      <c r="G358" s="16" t="s">
        <v>87</v>
      </c>
    </row>
    <row r="359" customFormat="false" ht="15" hidden="false" customHeight="false" outlineLevel="0" collapsed="false">
      <c r="A359" s="0" t="s">
        <v>187</v>
      </c>
      <c r="B359" s="14" t="n">
        <v>45944</v>
      </c>
      <c r="C359" s="16" t="s">
        <v>537</v>
      </c>
      <c r="D359" s="7" t="n">
        <v>-635</v>
      </c>
      <c r="E359" s="16" t="s">
        <v>215</v>
      </c>
      <c r="F359" s="7" t="n">
        <v>37293.5</v>
      </c>
      <c r="G359" s="16" t="s">
        <v>86</v>
      </c>
    </row>
    <row r="360" customFormat="false" ht="15" hidden="false" customHeight="false" outlineLevel="0" collapsed="false">
      <c r="A360" s="0" t="s">
        <v>187</v>
      </c>
      <c r="B360" s="14" t="n">
        <v>45944</v>
      </c>
      <c r="C360" s="16" t="s">
        <v>538</v>
      </c>
      <c r="D360" s="7" t="n">
        <v>-9.49</v>
      </c>
      <c r="E360" s="16" t="s">
        <v>206</v>
      </c>
      <c r="F360" s="7" t="n">
        <v>37928.5</v>
      </c>
      <c r="G360" s="16" t="s">
        <v>179</v>
      </c>
    </row>
    <row r="361" customFormat="false" ht="15" hidden="false" customHeight="false" outlineLevel="0" collapsed="false">
      <c r="A361" s="0" t="s">
        <v>187</v>
      </c>
      <c r="B361" s="14" t="n">
        <v>45944</v>
      </c>
      <c r="C361" s="16" t="s">
        <v>538</v>
      </c>
      <c r="D361" s="7" t="n">
        <v>-5</v>
      </c>
      <c r="E361" s="16" t="s">
        <v>206</v>
      </c>
      <c r="F361" s="7" t="n">
        <v>37937.99</v>
      </c>
      <c r="G361" s="16" t="s">
        <v>179</v>
      </c>
    </row>
    <row r="362" customFormat="false" ht="15" hidden="false" customHeight="false" outlineLevel="0" collapsed="false">
      <c r="A362" s="0" t="s">
        <v>187</v>
      </c>
      <c r="B362" s="14" t="n">
        <v>45944</v>
      </c>
      <c r="C362" s="16" t="s">
        <v>539</v>
      </c>
      <c r="D362" s="7" t="n">
        <v>-18.99</v>
      </c>
      <c r="E362" s="16" t="s">
        <v>206</v>
      </c>
      <c r="F362" s="7" t="n">
        <v>37942.99</v>
      </c>
      <c r="G362" s="16" t="s">
        <v>144</v>
      </c>
    </row>
    <row r="363" customFormat="false" ht="15" hidden="false" customHeight="false" outlineLevel="0" collapsed="false">
      <c r="A363" s="0" t="s">
        <v>187</v>
      </c>
      <c r="B363" s="14" t="n">
        <v>45944</v>
      </c>
      <c r="C363" s="16" t="s">
        <v>540</v>
      </c>
      <c r="D363" s="7" t="n">
        <v>-11.99</v>
      </c>
      <c r="E363" s="16" t="s">
        <v>206</v>
      </c>
      <c r="F363" s="7" t="n">
        <v>37961.98</v>
      </c>
      <c r="G363" s="16" t="s">
        <v>144</v>
      </c>
    </row>
    <row r="364" customFormat="false" ht="15" hidden="false" customHeight="false" outlineLevel="0" collapsed="false">
      <c r="A364" s="0" t="s">
        <v>187</v>
      </c>
      <c r="B364" s="14" t="n">
        <v>45944</v>
      </c>
      <c r="C364" s="16" t="s">
        <v>541</v>
      </c>
      <c r="D364" s="7" t="n">
        <v>-17.99</v>
      </c>
      <c r="E364" s="16" t="s">
        <v>206</v>
      </c>
      <c r="F364" s="7" t="n">
        <v>37973.97</v>
      </c>
      <c r="G364" s="16" t="s">
        <v>144</v>
      </c>
    </row>
    <row r="365" customFormat="false" ht="15" hidden="false" customHeight="false" outlineLevel="0" collapsed="false">
      <c r="A365" s="0" t="s">
        <v>187</v>
      </c>
      <c r="B365" s="14" t="n">
        <v>45944</v>
      </c>
      <c r="C365" s="16" t="s">
        <v>542</v>
      </c>
      <c r="D365" s="7" t="n">
        <v>-171.21</v>
      </c>
      <c r="E365" s="16" t="s">
        <v>193</v>
      </c>
      <c r="F365" s="7" t="n">
        <v>37991.96</v>
      </c>
      <c r="G365" s="16" t="s">
        <v>142</v>
      </c>
    </row>
    <row r="366" customFormat="false" ht="15" hidden="false" customHeight="false" outlineLevel="0" collapsed="false">
      <c r="A366" s="0" t="s">
        <v>187</v>
      </c>
      <c r="B366" s="14" t="n">
        <v>45944</v>
      </c>
      <c r="C366" s="16" t="s">
        <v>543</v>
      </c>
      <c r="D366" s="7" t="n">
        <v>-1249.96</v>
      </c>
      <c r="E366" s="16" t="s">
        <v>193</v>
      </c>
      <c r="F366" s="7" t="n">
        <v>38163.17</v>
      </c>
      <c r="G366" s="16" t="s">
        <v>179</v>
      </c>
    </row>
    <row r="367" customFormat="false" ht="15" hidden="false" customHeight="false" outlineLevel="0" collapsed="false">
      <c r="A367" s="0" t="s">
        <v>187</v>
      </c>
      <c r="B367" s="14" t="n">
        <v>45944</v>
      </c>
      <c r="C367" s="16" t="s">
        <v>544</v>
      </c>
      <c r="D367" s="7" t="n">
        <v>-1533.71</v>
      </c>
      <c r="E367" s="16" t="s">
        <v>193</v>
      </c>
      <c r="F367" s="7" t="n">
        <v>39413.13</v>
      </c>
      <c r="G367" s="16" t="s">
        <v>179</v>
      </c>
    </row>
    <row r="368" customFormat="false" ht="15" hidden="false" customHeight="false" outlineLevel="0" collapsed="false">
      <c r="A368" s="0" t="s">
        <v>187</v>
      </c>
      <c r="B368" s="14" t="n">
        <v>45944</v>
      </c>
      <c r="C368" s="16" t="s">
        <v>545</v>
      </c>
      <c r="D368" s="7" t="n">
        <v>-53.97</v>
      </c>
      <c r="E368" s="16" t="s">
        <v>206</v>
      </c>
      <c r="F368" s="7" t="n">
        <v>40946.84</v>
      </c>
      <c r="G368" s="16" t="s">
        <v>144</v>
      </c>
    </row>
    <row r="369" customFormat="false" ht="15" hidden="false" customHeight="false" outlineLevel="0" collapsed="false">
      <c r="A369" s="0" t="s">
        <v>187</v>
      </c>
      <c r="B369" s="14" t="n">
        <v>45944</v>
      </c>
      <c r="C369" s="16" t="s">
        <v>546</v>
      </c>
      <c r="D369" s="7" t="n">
        <v>-99.99</v>
      </c>
      <c r="E369" s="16" t="s">
        <v>206</v>
      </c>
      <c r="F369" s="7" t="n">
        <v>41000.81</v>
      </c>
      <c r="G369" s="16" t="s">
        <v>78</v>
      </c>
    </row>
    <row r="370" customFormat="false" ht="15" hidden="false" customHeight="false" outlineLevel="0" collapsed="false">
      <c r="A370" s="0" t="s">
        <v>259</v>
      </c>
      <c r="B370" s="14" t="n">
        <v>45944</v>
      </c>
      <c r="C370" s="16" t="s">
        <v>547</v>
      </c>
      <c r="D370" s="7" t="n">
        <v>30000</v>
      </c>
      <c r="E370" s="16" t="s">
        <v>213</v>
      </c>
      <c r="F370" s="7" t="n">
        <v>41100.8</v>
      </c>
      <c r="G370" s="16" t="s">
        <v>42</v>
      </c>
    </row>
    <row r="371" customFormat="false" ht="15" hidden="false" customHeight="false" outlineLevel="0" collapsed="false">
      <c r="A371" s="0" t="s">
        <v>187</v>
      </c>
      <c r="B371" s="14" t="n">
        <v>45940</v>
      </c>
      <c r="C371" s="16" t="s">
        <v>548</v>
      </c>
      <c r="D371" s="7" t="n">
        <v>-1500</v>
      </c>
      <c r="E371" s="16" t="s">
        <v>197</v>
      </c>
      <c r="F371" s="7" t="n">
        <v>11100.8</v>
      </c>
      <c r="G371" s="16" t="s">
        <v>69</v>
      </c>
    </row>
    <row r="372" customFormat="false" ht="15" hidden="false" customHeight="false" outlineLevel="0" collapsed="false">
      <c r="A372" s="0" t="s">
        <v>187</v>
      </c>
      <c r="B372" s="14" t="n">
        <v>45940</v>
      </c>
      <c r="C372" s="16" t="s">
        <v>549</v>
      </c>
      <c r="D372" s="7" t="n">
        <v>-19.99</v>
      </c>
      <c r="E372" s="16" t="s">
        <v>206</v>
      </c>
      <c r="F372" s="7" t="n">
        <v>12600.8</v>
      </c>
      <c r="G372" s="16" t="s">
        <v>78</v>
      </c>
    </row>
    <row r="373" customFormat="false" ht="15" hidden="false" customHeight="false" outlineLevel="0" collapsed="false">
      <c r="A373" s="0" t="s">
        <v>187</v>
      </c>
      <c r="B373" s="14" t="n">
        <v>45940</v>
      </c>
      <c r="C373" s="16" t="s">
        <v>550</v>
      </c>
      <c r="D373" s="7" t="n">
        <v>-19.89</v>
      </c>
      <c r="E373" s="16" t="s">
        <v>206</v>
      </c>
      <c r="F373" s="7" t="n">
        <v>12620.79</v>
      </c>
      <c r="G373" s="16" t="s">
        <v>179</v>
      </c>
    </row>
    <row r="374" customFormat="false" ht="15" hidden="false" customHeight="false" outlineLevel="0" collapsed="false">
      <c r="A374" s="0" t="s">
        <v>187</v>
      </c>
      <c r="B374" s="14" t="n">
        <v>45940</v>
      </c>
      <c r="C374" s="16" t="s">
        <v>551</v>
      </c>
      <c r="D374" s="7" t="n">
        <v>-11.99</v>
      </c>
      <c r="E374" s="16" t="s">
        <v>206</v>
      </c>
      <c r="F374" s="7" t="n">
        <v>12640.68</v>
      </c>
      <c r="G374" s="16" t="s">
        <v>144</v>
      </c>
    </row>
    <row r="375" customFormat="false" ht="15" hidden="false" customHeight="false" outlineLevel="0" collapsed="false">
      <c r="A375" s="0" t="s">
        <v>187</v>
      </c>
      <c r="B375" s="14" t="n">
        <v>45939</v>
      </c>
      <c r="C375" s="16" t="s">
        <v>188</v>
      </c>
      <c r="D375" s="7" t="n">
        <v>-5</v>
      </c>
      <c r="E375" s="16" t="s">
        <v>189</v>
      </c>
      <c r="F375" s="7" t="n">
        <v>12652.67</v>
      </c>
      <c r="G375" s="16" t="s">
        <v>65</v>
      </c>
    </row>
    <row r="376" customFormat="false" ht="15" hidden="false" customHeight="false" outlineLevel="0" collapsed="false">
      <c r="A376" s="0" t="s">
        <v>187</v>
      </c>
      <c r="B376" s="14" t="n">
        <v>45939</v>
      </c>
      <c r="C376" s="16" t="s">
        <v>552</v>
      </c>
      <c r="D376" s="7" t="n">
        <v>-1000</v>
      </c>
      <c r="E376" s="16" t="s">
        <v>213</v>
      </c>
      <c r="F376" s="7" t="n">
        <v>12657.67</v>
      </c>
      <c r="G376" s="16" t="s">
        <v>96</v>
      </c>
    </row>
    <row r="377" customFormat="false" ht="15" hidden="false" customHeight="false" outlineLevel="0" collapsed="false">
      <c r="A377" s="0" t="s">
        <v>187</v>
      </c>
      <c r="B377" s="14" t="n">
        <v>45939</v>
      </c>
      <c r="C377" s="16" t="s">
        <v>553</v>
      </c>
      <c r="D377" s="7" t="n">
        <v>-675</v>
      </c>
      <c r="E377" s="16" t="s">
        <v>215</v>
      </c>
      <c r="F377" s="7" t="n">
        <v>13657.67</v>
      </c>
      <c r="G377" s="16" t="s">
        <v>86</v>
      </c>
    </row>
    <row r="378" customFormat="false" ht="15" hidden="false" customHeight="false" outlineLevel="0" collapsed="false">
      <c r="A378" s="0" t="s">
        <v>187</v>
      </c>
      <c r="B378" s="14" t="n">
        <v>45939</v>
      </c>
      <c r="C378" s="16" t="s">
        <v>554</v>
      </c>
      <c r="D378" s="7" t="n">
        <v>-700</v>
      </c>
      <c r="E378" s="16" t="s">
        <v>215</v>
      </c>
      <c r="F378" s="7" t="n">
        <v>14332.67</v>
      </c>
      <c r="G378" s="16" t="s">
        <v>86</v>
      </c>
    </row>
    <row r="379" customFormat="false" ht="15" hidden="false" customHeight="false" outlineLevel="0" collapsed="false">
      <c r="A379" s="0" t="s">
        <v>187</v>
      </c>
      <c r="B379" s="14" t="n">
        <v>45939</v>
      </c>
      <c r="C379" s="16" t="s">
        <v>555</v>
      </c>
      <c r="D379" s="7" t="n">
        <v>-3000</v>
      </c>
      <c r="E379" s="16" t="s">
        <v>213</v>
      </c>
      <c r="F379" s="7" t="n">
        <v>15032.67</v>
      </c>
      <c r="G379" s="16" t="s">
        <v>96</v>
      </c>
    </row>
    <row r="380" customFormat="false" ht="15" hidden="false" customHeight="false" outlineLevel="0" collapsed="false">
      <c r="A380" s="0" t="s">
        <v>187</v>
      </c>
      <c r="B380" s="14" t="n">
        <v>45939</v>
      </c>
      <c r="C380" s="16" t="s">
        <v>556</v>
      </c>
      <c r="D380" s="7" t="n">
        <v>-750</v>
      </c>
      <c r="E380" s="16" t="s">
        <v>191</v>
      </c>
      <c r="F380" s="7" t="n">
        <v>18032.67</v>
      </c>
      <c r="G380" s="16" t="s">
        <v>65</v>
      </c>
    </row>
    <row r="381" customFormat="false" ht="15" hidden="false" customHeight="false" outlineLevel="0" collapsed="false">
      <c r="A381" s="0" t="s">
        <v>187</v>
      </c>
      <c r="B381" s="14" t="n">
        <v>45938</v>
      </c>
      <c r="C381" s="16" t="s">
        <v>557</v>
      </c>
      <c r="D381" s="7" t="n">
        <v>-1250</v>
      </c>
      <c r="E381" s="16" t="s">
        <v>193</v>
      </c>
      <c r="F381" s="7" t="n">
        <v>18782.67</v>
      </c>
      <c r="G381" s="16" t="s">
        <v>80</v>
      </c>
    </row>
    <row r="382" customFormat="false" ht="15" hidden="false" customHeight="false" outlineLevel="0" collapsed="false">
      <c r="A382" s="0" t="s">
        <v>187</v>
      </c>
      <c r="B382" s="14" t="n">
        <v>45938</v>
      </c>
      <c r="C382" s="16" t="s">
        <v>558</v>
      </c>
      <c r="D382" s="7" t="n">
        <v>-625</v>
      </c>
      <c r="E382" s="16" t="s">
        <v>193</v>
      </c>
      <c r="F382" s="7" t="n">
        <v>20032.67</v>
      </c>
      <c r="G382" s="16" t="s">
        <v>80</v>
      </c>
    </row>
    <row r="383" customFormat="false" ht="15" hidden="false" customHeight="false" outlineLevel="0" collapsed="false">
      <c r="A383" s="0" t="s">
        <v>187</v>
      </c>
      <c r="B383" s="14" t="n">
        <v>45938</v>
      </c>
      <c r="C383" s="16" t="s">
        <v>559</v>
      </c>
      <c r="D383" s="7" t="n">
        <v>-8.99</v>
      </c>
      <c r="E383" s="16" t="s">
        <v>206</v>
      </c>
      <c r="F383" s="7" t="n">
        <v>20657.67</v>
      </c>
      <c r="G383" s="16" t="s">
        <v>144</v>
      </c>
    </row>
    <row r="384" customFormat="false" ht="15" hidden="false" customHeight="false" outlineLevel="0" collapsed="false">
      <c r="A384" s="0" t="s">
        <v>187</v>
      </c>
      <c r="B384" s="14" t="n">
        <v>45938</v>
      </c>
      <c r="C384" s="16" t="s">
        <v>560</v>
      </c>
      <c r="D384" s="7" t="n">
        <v>-21.28</v>
      </c>
      <c r="E384" s="16" t="s">
        <v>206</v>
      </c>
      <c r="F384" s="7" t="n">
        <v>20666.66</v>
      </c>
      <c r="G384" s="16" t="s">
        <v>108</v>
      </c>
    </row>
    <row r="385" customFormat="false" ht="15" hidden="false" customHeight="false" outlineLevel="0" collapsed="false">
      <c r="A385" s="0" t="s">
        <v>187</v>
      </c>
      <c r="B385" s="14" t="n">
        <v>45937</v>
      </c>
      <c r="C385" s="16" t="s">
        <v>561</v>
      </c>
      <c r="D385" s="7" t="n">
        <v>-55.3</v>
      </c>
      <c r="E385" s="16" t="s">
        <v>206</v>
      </c>
      <c r="F385" s="7" t="n">
        <v>20687.94</v>
      </c>
      <c r="G385" s="16" t="s">
        <v>182</v>
      </c>
    </row>
    <row r="386" customFormat="false" ht="15" hidden="false" customHeight="false" outlineLevel="0" collapsed="false">
      <c r="A386" s="0" t="s">
        <v>187</v>
      </c>
      <c r="B386" s="14" t="n">
        <v>45937</v>
      </c>
      <c r="C386" s="16" t="s">
        <v>562</v>
      </c>
      <c r="D386" s="7" t="n">
        <v>-43.74</v>
      </c>
      <c r="E386" s="16" t="s">
        <v>206</v>
      </c>
      <c r="F386" s="7" t="n">
        <v>20743.24</v>
      </c>
      <c r="G386" s="16" t="s">
        <v>137</v>
      </c>
    </row>
    <row r="387" customFormat="false" ht="15" hidden="false" customHeight="false" outlineLevel="0" collapsed="false">
      <c r="A387" s="0" t="s">
        <v>187</v>
      </c>
      <c r="B387" s="14" t="n">
        <v>45936</v>
      </c>
      <c r="C387" s="16" t="s">
        <v>563</v>
      </c>
      <c r="D387" s="7" t="n">
        <v>-2000</v>
      </c>
      <c r="E387" s="16" t="s">
        <v>213</v>
      </c>
      <c r="F387" s="7" t="n">
        <v>20786.98</v>
      </c>
      <c r="G387" s="16" t="s">
        <v>185</v>
      </c>
    </row>
    <row r="388" customFormat="false" ht="15" hidden="false" customHeight="false" outlineLevel="0" collapsed="false">
      <c r="A388" s="0" t="s">
        <v>187</v>
      </c>
      <c r="B388" s="14" t="n">
        <v>45936</v>
      </c>
      <c r="C388" s="16" t="s">
        <v>564</v>
      </c>
      <c r="D388" s="7" t="n">
        <v>-1500</v>
      </c>
      <c r="E388" s="16" t="s">
        <v>197</v>
      </c>
      <c r="F388" s="7" t="n">
        <v>22786.98</v>
      </c>
      <c r="G388" s="16" t="s">
        <v>69</v>
      </c>
    </row>
    <row r="389" customFormat="false" ht="15" hidden="false" customHeight="false" outlineLevel="0" collapsed="false">
      <c r="A389" s="0" t="s">
        <v>187</v>
      </c>
      <c r="B389" s="14" t="n">
        <v>45936</v>
      </c>
      <c r="C389" s="16" t="s">
        <v>565</v>
      </c>
      <c r="D389" s="7" t="n">
        <v>-20</v>
      </c>
      <c r="E389" s="16" t="s">
        <v>193</v>
      </c>
      <c r="F389" s="7" t="n">
        <v>24286.98</v>
      </c>
      <c r="G389" s="16" t="s">
        <v>80</v>
      </c>
    </row>
    <row r="390" customFormat="false" ht="15" hidden="false" customHeight="false" outlineLevel="0" collapsed="false">
      <c r="A390" s="0" t="s">
        <v>187</v>
      </c>
      <c r="B390" s="14" t="n">
        <v>45936</v>
      </c>
      <c r="C390" s="16" t="s">
        <v>566</v>
      </c>
      <c r="D390" s="7" t="n">
        <v>-1250</v>
      </c>
      <c r="E390" s="16" t="s">
        <v>193</v>
      </c>
      <c r="F390" s="7" t="n">
        <v>24306.98</v>
      </c>
      <c r="G390" s="16" t="s">
        <v>80</v>
      </c>
    </row>
    <row r="391" customFormat="false" ht="15" hidden="false" customHeight="false" outlineLevel="0" collapsed="false">
      <c r="A391" s="0" t="s">
        <v>187</v>
      </c>
      <c r="B391" s="14" t="n">
        <v>45936</v>
      </c>
      <c r="C391" s="16" t="s">
        <v>567</v>
      </c>
      <c r="D391" s="7" t="n">
        <v>-750</v>
      </c>
      <c r="E391" s="16" t="s">
        <v>215</v>
      </c>
      <c r="F391" s="7" t="n">
        <v>25556.98</v>
      </c>
      <c r="G391" s="16" t="s">
        <v>86</v>
      </c>
    </row>
    <row r="392" customFormat="false" ht="15" hidden="false" customHeight="false" outlineLevel="0" collapsed="false">
      <c r="A392" s="0" t="s">
        <v>187</v>
      </c>
      <c r="B392" s="14" t="n">
        <v>45936</v>
      </c>
      <c r="C392" s="16" t="s">
        <v>568</v>
      </c>
      <c r="D392" s="7" t="n">
        <v>-5</v>
      </c>
      <c r="E392" s="16" t="s">
        <v>206</v>
      </c>
      <c r="F392" s="7" t="n">
        <v>26306.98</v>
      </c>
      <c r="G392" s="16" t="s">
        <v>144</v>
      </c>
    </row>
    <row r="393" customFormat="false" ht="15" hidden="false" customHeight="false" outlineLevel="0" collapsed="false">
      <c r="A393" s="0" t="s">
        <v>187</v>
      </c>
      <c r="B393" s="14" t="n">
        <v>45936</v>
      </c>
      <c r="C393" s="16" t="s">
        <v>568</v>
      </c>
      <c r="D393" s="7" t="n">
        <v>-29.99</v>
      </c>
      <c r="E393" s="16" t="s">
        <v>206</v>
      </c>
      <c r="F393" s="7" t="n">
        <v>26311.98</v>
      </c>
      <c r="G393" s="16" t="s">
        <v>144</v>
      </c>
    </row>
    <row r="394" customFormat="false" ht="15" hidden="false" customHeight="false" outlineLevel="0" collapsed="false">
      <c r="A394" s="0" t="s">
        <v>187</v>
      </c>
      <c r="B394" s="14" t="n">
        <v>45936</v>
      </c>
      <c r="C394" s="16" t="s">
        <v>569</v>
      </c>
      <c r="D394" s="7" t="n">
        <v>-300</v>
      </c>
      <c r="E394" s="16" t="s">
        <v>206</v>
      </c>
      <c r="F394" s="7" t="n">
        <v>26341.97</v>
      </c>
      <c r="G394" s="16" t="s">
        <v>121</v>
      </c>
    </row>
    <row r="395" customFormat="false" ht="15" hidden="false" customHeight="false" outlineLevel="0" collapsed="false">
      <c r="A395" s="0" t="s">
        <v>187</v>
      </c>
      <c r="B395" s="14" t="n">
        <v>45936</v>
      </c>
      <c r="C395" s="16" t="s">
        <v>570</v>
      </c>
      <c r="D395" s="7" t="n">
        <v>-10.78</v>
      </c>
      <c r="E395" s="16" t="s">
        <v>206</v>
      </c>
      <c r="F395" s="7" t="n">
        <v>26641.97</v>
      </c>
      <c r="G395" s="16" t="s">
        <v>116</v>
      </c>
    </row>
    <row r="396" customFormat="false" ht="15" hidden="false" customHeight="false" outlineLevel="0" collapsed="false">
      <c r="A396" s="0" t="s">
        <v>187</v>
      </c>
      <c r="B396" s="14" t="n">
        <v>45936</v>
      </c>
      <c r="C396" s="16" t="s">
        <v>571</v>
      </c>
      <c r="D396" s="7" t="n">
        <v>-38.99</v>
      </c>
      <c r="E396" s="16" t="s">
        <v>206</v>
      </c>
      <c r="F396" s="7" t="n">
        <v>26652.75</v>
      </c>
      <c r="G396" s="16" t="s">
        <v>144</v>
      </c>
    </row>
    <row r="397" customFormat="false" ht="15" hidden="false" customHeight="false" outlineLevel="0" collapsed="false">
      <c r="A397" s="0" t="s">
        <v>187</v>
      </c>
      <c r="B397" s="14" t="n">
        <v>45936</v>
      </c>
      <c r="C397" s="16" t="s">
        <v>572</v>
      </c>
      <c r="D397" s="7" t="n">
        <v>-101.99</v>
      </c>
      <c r="E397" s="16" t="s">
        <v>206</v>
      </c>
      <c r="F397" s="7" t="n">
        <v>26691.74</v>
      </c>
      <c r="G397" s="16" t="s">
        <v>144</v>
      </c>
    </row>
    <row r="398" customFormat="false" ht="15" hidden="false" customHeight="false" outlineLevel="0" collapsed="false">
      <c r="A398" s="0" t="s">
        <v>187</v>
      </c>
      <c r="B398" s="14" t="n">
        <v>45933</v>
      </c>
      <c r="C398" s="16" t="s">
        <v>573</v>
      </c>
      <c r="D398" s="7" t="n">
        <v>-100</v>
      </c>
      <c r="E398" s="16" t="s">
        <v>213</v>
      </c>
      <c r="F398" s="7" t="n">
        <v>26793.73</v>
      </c>
      <c r="G398" s="16" t="s">
        <v>60</v>
      </c>
    </row>
    <row r="399" customFormat="false" ht="15" hidden="false" customHeight="false" outlineLevel="0" collapsed="false">
      <c r="A399" s="0" t="s">
        <v>187</v>
      </c>
      <c r="B399" s="14" t="n">
        <v>45933</v>
      </c>
      <c r="C399" s="16" t="s">
        <v>574</v>
      </c>
      <c r="D399" s="7" t="n">
        <v>-200</v>
      </c>
      <c r="E399" s="16" t="s">
        <v>213</v>
      </c>
      <c r="F399" s="7" t="n">
        <v>26893.73</v>
      </c>
      <c r="G399" s="16" t="s">
        <v>59</v>
      </c>
    </row>
    <row r="400" customFormat="false" ht="15" hidden="false" customHeight="false" outlineLevel="0" collapsed="false">
      <c r="A400" s="0" t="s">
        <v>187</v>
      </c>
      <c r="B400" s="14" t="n">
        <v>45933</v>
      </c>
      <c r="C400" s="16" t="s">
        <v>575</v>
      </c>
      <c r="D400" s="7" t="n">
        <v>-100</v>
      </c>
      <c r="E400" s="16" t="s">
        <v>215</v>
      </c>
      <c r="F400" s="7" t="n">
        <v>27093.73</v>
      </c>
      <c r="G400" s="16" t="s">
        <v>87</v>
      </c>
    </row>
    <row r="401" customFormat="false" ht="15" hidden="false" customHeight="false" outlineLevel="0" collapsed="false">
      <c r="A401" s="0" t="s">
        <v>187</v>
      </c>
      <c r="B401" s="14" t="n">
        <v>45933</v>
      </c>
      <c r="C401" s="16" t="s">
        <v>576</v>
      </c>
      <c r="D401" s="7" t="n">
        <v>-800</v>
      </c>
      <c r="E401" s="16" t="s">
        <v>215</v>
      </c>
      <c r="F401" s="7" t="n">
        <v>27193.73</v>
      </c>
      <c r="G401" s="16" t="s">
        <v>84</v>
      </c>
    </row>
    <row r="402" customFormat="false" ht="15" hidden="false" customHeight="false" outlineLevel="0" collapsed="false">
      <c r="A402" s="0" t="s">
        <v>187</v>
      </c>
      <c r="B402" s="14" t="n">
        <v>45933</v>
      </c>
      <c r="C402" s="16" t="s">
        <v>577</v>
      </c>
      <c r="D402" s="7" t="n">
        <v>-50</v>
      </c>
      <c r="E402" s="16" t="s">
        <v>193</v>
      </c>
      <c r="F402" s="7" t="n">
        <v>27993.73</v>
      </c>
      <c r="G402" s="16" t="s">
        <v>80</v>
      </c>
    </row>
    <row r="403" customFormat="false" ht="15" hidden="false" customHeight="false" outlineLevel="0" collapsed="false">
      <c r="A403" s="0" t="s">
        <v>187</v>
      </c>
      <c r="B403" s="14" t="n">
        <v>45933</v>
      </c>
      <c r="C403" s="16" t="s">
        <v>578</v>
      </c>
      <c r="D403" s="7" t="n">
        <v>-23.2</v>
      </c>
      <c r="E403" s="16" t="s">
        <v>193</v>
      </c>
      <c r="F403" s="7" t="n">
        <v>28043.73</v>
      </c>
      <c r="G403" s="16" t="s">
        <v>114</v>
      </c>
    </row>
    <row r="404" customFormat="false" ht="15" hidden="false" customHeight="false" outlineLevel="0" collapsed="false">
      <c r="A404" s="0" t="s">
        <v>187</v>
      </c>
      <c r="B404" s="14" t="n">
        <v>45933</v>
      </c>
      <c r="C404" s="16" t="s">
        <v>579</v>
      </c>
      <c r="D404" s="7" t="n">
        <v>-12.99</v>
      </c>
      <c r="E404" s="16" t="s">
        <v>206</v>
      </c>
      <c r="F404" s="7" t="n">
        <v>28066.93</v>
      </c>
      <c r="G404" s="16" t="s">
        <v>144</v>
      </c>
    </row>
    <row r="405" customFormat="false" ht="15" hidden="false" customHeight="false" outlineLevel="0" collapsed="false">
      <c r="A405" s="0" t="s">
        <v>187</v>
      </c>
      <c r="B405" s="14" t="n">
        <v>45932</v>
      </c>
      <c r="C405" s="16" t="s">
        <v>580</v>
      </c>
      <c r="D405" s="7" t="n">
        <v>-135</v>
      </c>
      <c r="E405" s="16" t="s">
        <v>193</v>
      </c>
      <c r="F405" s="7" t="n">
        <v>28079.92</v>
      </c>
      <c r="G405" s="16" t="s">
        <v>80</v>
      </c>
    </row>
    <row r="406" customFormat="false" ht="15" hidden="false" customHeight="false" outlineLevel="0" collapsed="false">
      <c r="A406" s="0" t="s">
        <v>187</v>
      </c>
      <c r="B406" s="14" t="n">
        <v>45932</v>
      </c>
      <c r="C406" s="16" t="s">
        <v>581</v>
      </c>
      <c r="D406" s="7" t="n">
        <v>-235</v>
      </c>
      <c r="E406" s="16" t="s">
        <v>193</v>
      </c>
      <c r="F406" s="7" t="n">
        <v>28214.92</v>
      </c>
      <c r="G406" s="16" t="s">
        <v>80</v>
      </c>
    </row>
    <row r="407" customFormat="false" ht="15" hidden="false" customHeight="false" outlineLevel="0" collapsed="false">
      <c r="A407" s="0" t="s">
        <v>187</v>
      </c>
      <c r="B407" s="14" t="n">
        <v>45932</v>
      </c>
      <c r="C407" s="16" t="s">
        <v>582</v>
      </c>
      <c r="D407" s="7" t="n">
        <v>-3000</v>
      </c>
      <c r="E407" s="16" t="s">
        <v>213</v>
      </c>
      <c r="F407" s="7" t="n">
        <v>28449.92</v>
      </c>
      <c r="G407" s="16" t="s">
        <v>96</v>
      </c>
    </row>
    <row r="408" customFormat="false" ht="15" hidden="false" customHeight="false" outlineLevel="0" collapsed="false">
      <c r="A408" s="0" t="s">
        <v>187</v>
      </c>
      <c r="B408" s="14" t="n">
        <v>45932</v>
      </c>
      <c r="C408" s="16" t="s">
        <v>583</v>
      </c>
      <c r="D408" s="7" t="n">
        <v>-217.74</v>
      </c>
      <c r="E408" s="16" t="s">
        <v>206</v>
      </c>
      <c r="F408" s="7" t="n">
        <v>31449.92</v>
      </c>
      <c r="G408" s="16" t="s">
        <v>67</v>
      </c>
    </row>
    <row r="409" customFormat="false" ht="15" hidden="false" customHeight="false" outlineLevel="0" collapsed="false">
      <c r="A409" s="0" t="s">
        <v>187</v>
      </c>
      <c r="B409" s="14" t="n">
        <v>45932</v>
      </c>
      <c r="C409" s="16" t="s">
        <v>584</v>
      </c>
      <c r="D409" s="7" t="n">
        <v>-15.99</v>
      </c>
      <c r="E409" s="16" t="s">
        <v>206</v>
      </c>
      <c r="F409" s="7" t="n">
        <v>31667.66</v>
      </c>
      <c r="G409" s="16" t="s">
        <v>144</v>
      </c>
    </row>
    <row r="410" customFormat="false" ht="15" hidden="false" customHeight="false" outlineLevel="0" collapsed="false">
      <c r="A410" s="0" t="s">
        <v>187</v>
      </c>
      <c r="B410" s="14" t="n">
        <v>45932</v>
      </c>
      <c r="C410" s="16" t="s">
        <v>585</v>
      </c>
      <c r="D410" s="7" t="n">
        <v>-10.99</v>
      </c>
      <c r="E410" s="16" t="s">
        <v>206</v>
      </c>
      <c r="F410" s="7" t="n">
        <v>31683.65</v>
      </c>
      <c r="G410" s="16" t="s">
        <v>144</v>
      </c>
    </row>
    <row r="411" customFormat="false" ht="15" hidden="false" customHeight="false" outlineLevel="0" collapsed="false">
      <c r="A411" s="0" t="s">
        <v>187</v>
      </c>
      <c r="B411" s="14" t="n">
        <v>45932</v>
      </c>
      <c r="C411" s="16" t="s">
        <v>586</v>
      </c>
      <c r="D411" s="7" t="n">
        <v>-16.8</v>
      </c>
      <c r="E411" s="16" t="s">
        <v>206</v>
      </c>
      <c r="F411" s="7" t="n">
        <v>31694.64</v>
      </c>
      <c r="G411" s="16" t="s">
        <v>144</v>
      </c>
    </row>
    <row r="412" customFormat="false" ht="15" hidden="false" customHeight="false" outlineLevel="0" collapsed="false">
      <c r="A412" s="0" t="s">
        <v>187</v>
      </c>
      <c r="B412" s="14" t="n">
        <v>45932</v>
      </c>
      <c r="C412" s="16" t="s">
        <v>587</v>
      </c>
      <c r="D412" s="7" t="n">
        <v>-27.16</v>
      </c>
      <c r="E412" s="16" t="s">
        <v>206</v>
      </c>
      <c r="F412" s="7" t="n">
        <v>31711.44</v>
      </c>
      <c r="G412" s="16" t="s">
        <v>144</v>
      </c>
    </row>
    <row r="413" customFormat="false" ht="15" hidden="false" customHeight="false" outlineLevel="0" collapsed="false">
      <c r="A413" s="0" t="s">
        <v>187</v>
      </c>
      <c r="B413" s="14" t="n">
        <v>45931</v>
      </c>
      <c r="C413" s="16" t="s">
        <v>588</v>
      </c>
      <c r="D413" s="7" t="n">
        <v>-0.6</v>
      </c>
      <c r="E413" s="16" t="s">
        <v>189</v>
      </c>
      <c r="F413" s="7" t="n">
        <v>31738.6</v>
      </c>
      <c r="G413" s="16" t="s">
        <v>110</v>
      </c>
    </row>
    <row r="414" customFormat="false" ht="15" hidden="false" customHeight="false" outlineLevel="0" collapsed="false">
      <c r="A414" s="0" t="s">
        <v>187</v>
      </c>
      <c r="B414" s="14" t="n">
        <v>45931</v>
      </c>
      <c r="C414" s="16" t="s">
        <v>300</v>
      </c>
      <c r="D414" s="7" t="n">
        <v>-20</v>
      </c>
      <c r="E414" s="16" t="s">
        <v>189</v>
      </c>
      <c r="F414" s="7" t="n">
        <v>31739.2</v>
      </c>
      <c r="G414" s="16" t="s">
        <v>110</v>
      </c>
    </row>
    <row r="415" customFormat="false" ht="15" hidden="false" customHeight="false" outlineLevel="0" collapsed="false">
      <c r="A415" s="0" t="s">
        <v>187</v>
      </c>
      <c r="B415" s="14" t="n">
        <v>45931</v>
      </c>
      <c r="C415" s="16" t="s">
        <v>589</v>
      </c>
      <c r="D415" s="7" t="n">
        <v>-35</v>
      </c>
      <c r="E415" s="16" t="s">
        <v>189</v>
      </c>
      <c r="F415" s="7" t="n">
        <v>31759.2</v>
      </c>
      <c r="G415" s="16" t="s">
        <v>123</v>
      </c>
    </row>
    <row r="416" customFormat="false" ht="15" hidden="false" customHeight="false" outlineLevel="0" collapsed="false">
      <c r="A416" s="0" t="s">
        <v>187</v>
      </c>
      <c r="B416" s="14" t="n">
        <v>45931</v>
      </c>
      <c r="C416" s="16" t="s">
        <v>590</v>
      </c>
      <c r="D416" s="7" t="n">
        <v>-150</v>
      </c>
      <c r="E416" s="16" t="s">
        <v>193</v>
      </c>
      <c r="F416" s="7" t="n">
        <v>31794.2</v>
      </c>
      <c r="G416" s="16" t="s">
        <v>80</v>
      </c>
    </row>
    <row r="417" customFormat="false" ht="15" hidden="false" customHeight="false" outlineLevel="0" collapsed="false">
      <c r="A417" s="0" t="s">
        <v>187</v>
      </c>
      <c r="B417" s="14" t="n">
        <v>45931</v>
      </c>
      <c r="C417" s="16" t="s">
        <v>591</v>
      </c>
      <c r="D417" s="7" t="n">
        <v>-25000</v>
      </c>
      <c r="E417" s="16" t="s">
        <v>191</v>
      </c>
      <c r="F417" s="7" t="n">
        <v>31944.2</v>
      </c>
      <c r="G417" s="16" t="s">
        <v>177</v>
      </c>
    </row>
    <row r="418" customFormat="false" ht="15" hidden="false" customHeight="false" outlineLevel="0" collapsed="false">
      <c r="A418" s="0" t="s">
        <v>187</v>
      </c>
      <c r="B418" s="14" t="n">
        <v>45931</v>
      </c>
      <c r="C418" s="16" t="s">
        <v>592</v>
      </c>
      <c r="D418" s="7" t="n">
        <v>-500.6</v>
      </c>
      <c r="E418" s="16" t="s">
        <v>193</v>
      </c>
      <c r="F418" s="7" t="n">
        <v>56944.2</v>
      </c>
      <c r="G418" s="16" t="s">
        <v>145</v>
      </c>
    </row>
    <row r="419" customFormat="false" ht="15" hidden="false" customHeight="false" outlineLevel="0" collapsed="false">
      <c r="A419" s="0" t="s">
        <v>187</v>
      </c>
      <c r="B419" s="14" t="n">
        <v>45931</v>
      </c>
      <c r="C419" s="16" t="s">
        <v>593</v>
      </c>
      <c r="D419" s="7" t="n">
        <v>-150</v>
      </c>
      <c r="E419" s="16" t="s">
        <v>193</v>
      </c>
      <c r="F419" s="7" t="n">
        <v>57444.8</v>
      </c>
      <c r="G419" s="16" t="s">
        <v>80</v>
      </c>
    </row>
    <row r="420" customFormat="false" ht="15" hidden="false" customHeight="false" outlineLevel="0" collapsed="false">
      <c r="A420" s="0" t="s">
        <v>187</v>
      </c>
      <c r="B420" s="14" t="n">
        <v>45931</v>
      </c>
      <c r="C420" s="16" t="s">
        <v>594</v>
      </c>
      <c r="D420" s="7" t="n">
        <v>-619.87</v>
      </c>
      <c r="E420" s="16" t="s">
        <v>193</v>
      </c>
      <c r="F420" s="7" t="n">
        <v>57594.8</v>
      </c>
      <c r="G420" s="16" t="s">
        <v>181</v>
      </c>
    </row>
    <row r="421" customFormat="false" ht="15" hidden="false" customHeight="false" outlineLevel="0" collapsed="false">
      <c r="A421" s="0" t="s">
        <v>187</v>
      </c>
      <c r="B421" s="14" t="n">
        <v>45931</v>
      </c>
      <c r="C421" s="16" t="s">
        <v>595</v>
      </c>
      <c r="D421" s="7" t="n">
        <v>-870.55</v>
      </c>
      <c r="E421" s="16" t="s">
        <v>193</v>
      </c>
      <c r="F421" s="7" t="n">
        <v>58214.67</v>
      </c>
      <c r="G421" s="16" t="s">
        <v>184</v>
      </c>
    </row>
    <row r="422" customFormat="false" ht="15" hidden="false" customHeight="false" outlineLevel="0" collapsed="false">
      <c r="A422" s="0" t="s">
        <v>187</v>
      </c>
      <c r="B422" s="14" t="n">
        <v>45931</v>
      </c>
      <c r="C422" s="16" t="s">
        <v>596</v>
      </c>
      <c r="D422" s="7" t="n">
        <v>-525</v>
      </c>
      <c r="E422" s="16" t="s">
        <v>215</v>
      </c>
      <c r="F422" s="7" t="n">
        <v>59085.22</v>
      </c>
      <c r="G422" s="16" t="s">
        <v>86</v>
      </c>
    </row>
    <row r="423" customFormat="false" ht="15" hidden="false" customHeight="false" outlineLevel="0" collapsed="false">
      <c r="A423" s="0" t="s">
        <v>187</v>
      </c>
      <c r="B423" s="14" t="n">
        <v>45931</v>
      </c>
      <c r="C423" s="16" t="s">
        <v>597</v>
      </c>
      <c r="D423" s="7" t="n">
        <v>-16</v>
      </c>
      <c r="E423" s="16" t="s">
        <v>206</v>
      </c>
      <c r="F423" s="7" t="n">
        <v>59610.22</v>
      </c>
      <c r="G423" s="16" t="s">
        <v>144</v>
      </c>
    </row>
    <row r="424" customFormat="false" ht="15" hidden="false" customHeight="false" outlineLevel="0" collapsed="false">
      <c r="A424" s="0" t="s">
        <v>187</v>
      </c>
      <c r="B424" s="14" t="n">
        <v>45931</v>
      </c>
      <c r="C424" s="16" t="s">
        <v>598</v>
      </c>
      <c r="D424" s="7" t="n">
        <v>-8.99</v>
      </c>
      <c r="E424" s="16" t="s">
        <v>206</v>
      </c>
      <c r="F424" s="7" t="n">
        <v>59626.22</v>
      </c>
      <c r="G424" s="16" t="s">
        <v>144</v>
      </c>
    </row>
    <row r="425" customFormat="false" ht="15" hidden="false" customHeight="false" outlineLevel="0" collapsed="false">
      <c r="A425" s="0" t="s">
        <v>187</v>
      </c>
      <c r="B425" s="14" t="n">
        <v>45931</v>
      </c>
      <c r="C425" s="16" t="s">
        <v>599</v>
      </c>
      <c r="D425" s="7" t="n">
        <v>-20.05</v>
      </c>
      <c r="E425" s="16" t="s">
        <v>206</v>
      </c>
      <c r="F425" s="7" t="n">
        <v>59635.21</v>
      </c>
      <c r="G425" s="16" t="s">
        <v>183</v>
      </c>
    </row>
    <row r="426" customFormat="false" ht="15" hidden="false" customHeight="false" outlineLevel="0" collapsed="false">
      <c r="A426" s="0" t="s">
        <v>259</v>
      </c>
      <c r="B426" s="14" t="n">
        <v>45931</v>
      </c>
      <c r="C426" s="16" t="s">
        <v>600</v>
      </c>
      <c r="D426" s="7" t="n">
        <v>25000</v>
      </c>
      <c r="E426" s="16" t="s">
        <v>213</v>
      </c>
      <c r="F426" s="7" t="n">
        <v>59655.26</v>
      </c>
      <c r="G426" s="16" t="s">
        <v>42</v>
      </c>
    </row>
    <row r="427" customFormat="false" ht="15" hidden="false" customHeight="false" outlineLevel="0" collapsed="false">
      <c r="A427" s="0" t="s">
        <v>187</v>
      </c>
      <c r="B427" s="14" t="n">
        <v>45930</v>
      </c>
      <c r="C427" s="16" t="s">
        <v>601</v>
      </c>
      <c r="D427" s="7" t="n">
        <v>-265</v>
      </c>
      <c r="E427" s="16" t="s">
        <v>193</v>
      </c>
      <c r="F427" s="7" t="n">
        <v>34655.26</v>
      </c>
      <c r="G427" s="16" t="s">
        <v>80</v>
      </c>
    </row>
    <row r="428" customFormat="false" ht="15" hidden="false" customHeight="false" outlineLevel="0" collapsed="false">
      <c r="A428" s="0" t="s">
        <v>187</v>
      </c>
      <c r="B428" s="14" t="n">
        <v>45930</v>
      </c>
      <c r="C428" s="16" t="s">
        <v>602</v>
      </c>
      <c r="D428" s="7" t="n">
        <v>-5000</v>
      </c>
      <c r="E428" s="16" t="s">
        <v>213</v>
      </c>
      <c r="F428" s="7" t="n">
        <v>34920.26</v>
      </c>
      <c r="G428" s="16" t="s">
        <v>44</v>
      </c>
    </row>
    <row r="429" customFormat="false" ht="15" hidden="false" customHeight="false" outlineLevel="0" collapsed="false">
      <c r="A429" s="0" t="s">
        <v>187</v>
      </c>
      <c r="B429" s="14" t="n">
        <v>45930</v>
      </c>
      <c r="C429" s="16" t="s">
        <v>603</v>
      </c>
      <c r="D429" s="7" t="n">
        <v>-2524</v>
      </c>
      <c r="E429" s="16" t="s">
        <v>193</v>
      </c>
      <c r="F429" s="7" t="n">
        <v>39920.26</v>
      </c>
      <c r="G429" s="16" t="s">
        <v>103</v>
      </c>
    </row>
    <row r="430" customFormat="false" ht="15" hidden="false" customHeight="false" outlineLevel="0" collapsed="false">
      <c r="A430" s="0" t="s">
        <v>187</v>
      </c>
      <c r="B430" s="14" t="n">
        <v>45930</v>
      </c>
      <c r="C430" s="16" t="s">
        <v>604</v>
      </c>
      <c r="D430" s="7" t="n">
        <v>-186.29</v>
      </c>
      <c r="E430" s="16" t="s">
        <v>206</v>
      </c>
      <c r="F430" s="7" t="n">
        <v>42444.26</v>
      </c>
      <c r="G430" s="16" t="s">
        <v>139</v>
      </c>
    </row>
    <row r="431" customFormat="false" ht="15" hidden="false" customHeight="false" outlineLevel="0" collapsed="false">
      <c r="A431" s="0" t="s">
        <v>187</v>
      </c>
      <c r="B431" s="14" t="n">
        <v>45930</v>
      </c>
      <c r="C431" s="16" t="s">
        <v>604</v>
      </c>
      <c r="D431" s="7" t="n">
        <v>-158.03</v>
      </c>
      <c r="E431" s="16" t="s">
        <v>206</v>
      </c>
      <c r="F431" s="7" t="n">
        <v>42630.55</v>
      </c>
      <c r="G431" s="16" t="s">
        <v>139</v>
      </c>
    </row>
    <row r="432" customFormat="false" ht="15" hidden="false" customHeight="false" outlineLevel="0" collapsed="false">
      <c r="A432" s="0" t="s">
        <v>187</v>
      </c>
      <c r="B432" s="14" t="n">
        <v>45929</v>
      </c>
      <c r="C432" s="16" t="s">
        <v>605</v>
      </c>
      <c r="D432" s="7" t="n">
        <v>-12000</v>
      </c>
      <c r="E432" s="16" t="s">
        <v>213</v>
      </c>
      <c r="F432" s="7" t="n">
        <v>42788.58</v>
      </c>
      <c r="G432" s="16" t="s">
        <v>47</v>
      </c>
    </row>
    <row r="433" customFormat="false" ht="15" hidden="false" customHeight="false" outlineLevel="0" collapsed="false">
      <c r="A433" s="0" t="s">
        <v>187</v>
      </c>
      <c r="B433" s="14" t="n">
        <v>45929</v>
      </c>
      <c r="C433" s="16" t="s">
        <v>606</v>
      </c>
      <c r="D433" s="7" t="n">
        <v>-1500</v>
      </c>
      <c r="E433" s="16" t="s">
        <v>197</v>
      </c>
      <c r="F433" s="7" t="n">
        <v>54788.58</v>
      </c>
      <c r="G433" s="16" t="s">
        <v>69</v>
      </c>
    </row>
    <row r="434" customFormat="false" ht="15" hidden="false" customHeight="false" outlineLevel="0" collapsed="false">
      <c r="A434" s="0" t="s">
        <v>187</v>
      </c>
      <c r="B434" s="14" t="n">
        <v>45929</v>
      </c>
      <c r="C434" s="16" t="s">
        <v>607</v>
      </c>
      <c r="D434" s="7" t="n">
        <v>-10</v>
      </c>
      <c r="E434" s="16" t="s">
        <v>193</v>
      </c>
      <c r="F434" s="7" t="n">
        <v>56288.58</v>
      </c>
      <c r="G434" s="16" t="s">
        <v>80</v>
      </c>
    </row>
    <row r="435" customFormat="false" ht="15" hidden="false" customHeight="false" outlineLevel="0" collapsed="false">
      <c r="A435" s="0" t="s">
        <v>187</v>
      </c>
      <c r="B435" s="14" t="n">
        <v>45929</v>
      </c>
      <c r="C435" s="16" t="s">
        <v>608</v>
      </c>
      <c r="D435" s="7" t="n">
        <v>-12.5</v>
      </c>
      <c r="E435" s="16" t="s">
        <v>193</v>
      </c>
      <c r="F435" s="7" t="n">
        <v>56298.58</v>
      </c>
      <c r="G435" s="16" t="s">
        <v>142</v>
      </c>
    </row>
    <row r="436" customFormat="false" ht="15" hidden="false" customHeight="false" outlineLevel="0" collapsed="false">
      <c r="A436" s="0" t="s">
        <v>187</v>
      </c>
      <c r="B436" s="14" t="n">
        <v>45929</v>
      </c>
      <c r="C436" s="16" t="s">
        <v>609</v>
      </c>
      <c r="D436" s="7" t="n">
        <v>-22.92</v>
      </c>
      <c r="E436" s="16" t="s">
        <v>193</v>
      </c>
      <c r="F436" s="7" t="n">
        <v>56311.08</v>
      </c>
      <c r="G436" s="16" t="s">
        <v>142</v>
      </c>
    </row>
    <row r="437" customFormat="false" ht="15" hidden="false" customHeight="false" outlineLevel="0" collapsed="false">
      <c r="A437" s="0" t="s">
        <v>187</v>
      </c>
      <c r="B437" s="14" t="n">
        <v>45929</v>
      </c>
      <c r="C437" s="16" t="s">
        <v>610</v>
      </c>
      <c r="D437" s="7" t="n">
        <v>-40</v>
      </c>
      <c r="E437" s="16" t="s">
        <v>193</v>
      </c>
      <c r="F437" s="7" t="n">
        <v>56334</v>
      </c>
      <c r="G437" s="16" t="s">
        <v>80</v>
      </c>
    </row>
    <row r="438" customFormat="false" ht="15" hidden="false" customHeight="false" outlineLevel="0" collapsed="false">
      <c r="A438" s="0" t="s">
        <v>187</v>
      </c>
      <c r="B438" s="14" t="n">
        <v>45929</v>
      </c>
      <c r="C438" s="16" t="s">
        <v>611</v>
      </c>
      <c r="D438" s="7" t="n">
        <v>-121.21</v>
      </c>
      <c r="E438" s="16" t="s">
        <v>193</v>
      </c>
      <c r="F438" s="7" t="n">
        <v>56374</v>
      </c>
      <c r="G438" s="16" t="s">
        <v>122</v>
      </c>
    </row>
    <row r="439" customFormat="false" ht="15" hidden="false" customHeight="false" outlineLevel="0" collapsed="false">
      <c r="A439" s="0" t="s">
        <v>187</v>
      </c>
      <c r="B439" s="14" t="n">
        <v>45929</v>
      </c>
      <c r="C439" s="16" t="s">
        <v>612</v>
      </c>
      <c r="D439" s="7" t="n">
        <v>-176.36</v>
      </c>
      <c r="E439" s="16" t="s">
        <v>193</v>
      </c>
      <c r="F439" s="7" t="n">
        <v>56495.21</v>
      </c>
      <c r="G439" s="16" t="s">
        <v>101</v>
      </c>
    </row>
    <row r="440" customFormat="false" ht="15" hidden="false" customHeight="false" outlineLevel="0" collapsed="false">
      <c r="A440" s="0" t="s">
        <v>187</v>
      </c>
      <c r="B440" s="14" t="n">
        <v>45929</v>
      </c>
      <c r="C440" s="16" t="s">
        <v>613</v>
      </c>
      <c r="D440" s="7" t="n">
        <v>-750</v>
      </c>
      <c r="E440" s="16" t="s">
        <v>193</v>
      </c>
      <c r="F440" s="7" t="n">
        <v>56671.57</v>
      </c>
      <c r="G440" s="16" t="s">
        <v>80</v>
      </c>
    </row>
    <row r="441" customFormat="false" ht="15" hidden="false" customHeight="false" outlineLevel="0" collapsed="false">
      <c r="A441" s="0" t="s">
        <v>187</v>
      </c>
      <c r="B441" s="14" t="n">
        <v>45929</v>
      </c>
      <c r="C441" s="16" t="s">
        <v>614</v>
      </c>
      <c r="D441" s="7" t="n">
        <v>-1135.38</v>
      </c>
      <c r="E441" s="16" t="s">
        <v>193</v>
      </c>
      <c r="F441" s="7" t="n">
        <v>57421.57</v>
      </c>
      <c r="G441" s="16" t="s">
        <v>181</v>
      </c>
    </row>
    <row r="442" customFormat="false" ht="15" hidden="false" customHeight="false" outlineLevel="0" collapsed="false">
      <c r="A442" s="0" t="s">
        <v>187</v>
      </c>
      <c r="B442" s="14" t="n">
        <v>45929</v>
      </c>
      <c r="C442" s="16" t="s">
        <v>615</v>
      </c>
      <c r="D442" s="7" t="n">
        <v>-875</v>
      </c>
      <c r="E442" s="16" t="s">
        <v>215</v>
      </c>
      <c r="F442" s="7" t="n">
        <v>58556.95</v>
      </c>
      <c r="G442" s="16" t="s">
        <v>86</v>
      </c>
    </row>
    <row r="443" customFormat="false" ht="15" hidden="false" customHeight="false" outlineLevel="0" collapsed="false">
      <c r="A443" s="0" t="s">
        <v>187</v>
      </c>
      <c r="B443" s="14" t="n">
        <v>45929</v>
      </c>
      <c r="C443" s="16" t="s">
        <v>616</v>
      </c>
      <c r="D443" s="7" t="n">
        <v>-18.99</v>
      </c>
      <c r="E443" s="16" t="s">
        <v>206</v>
      </c>
      <c r="F443" s="7" t="n">
        <v>59431.95</v>
      </c>
      <c r="G443" s="16" t="s">
        <v>144</v>
      </c>
    </row>
    <row r="444" customFormat="false" ht="15" hidden="false" customHeight="false" outlineLevel="0" collapsed="false">
      <c r="A444" s="0" t="s">
        <v>187</v>
      </c>
      <c r="B444" s="14" t="n">
        <v>45929</v>
      </c>
      <c r="C444" s="16" t="s">
        <v>617</v>
      </c>
      <c r="D444" s="7" t="n">
        <v>-95.27</v>
      </c>
      <c r="E444" s="16" t="s">
        <v>206</v>
      </c>
      <c r="F444" s="7" t="n">
        <v>59450.94</v>
      </c>
      <c r="G444" s="16" t="s">
        <v>182</v>
      </c>
    </row>
    <row r="445" customFormat="false" ht="15" hidden="false" customHeight="false" outlineLevel="0" collapsed="false">
      <c r="A445" s="0" t="s">
        <v>187</v>
      </c>
      <c r="B445" s="14" t="n">
        <v>45929</v>
      </c>
      <c r="C445" s="16" t="s">
        <v>616</v>
      </c>
      <c r="D445" s="7" t="n">
        <v>-16.99</v>
      </c>
      <c r="E445" s="16" t="s">
        <v>206</v>
      </c>
      <c r="F445" s="7" t="n">
        <v>59546.21</v>
      </c>
      <c r="G445" s="16" t="s">
        <v>144</v>
      </c>
    </row>
    <row r="446" customFormat="false" ht="15" hidden="false" customHeight="false" outlineLevel="0" collapsed="false">
      <c r="A446" s="0" t="s">
        <v>187</v>
      </c>
      <c r="B446" s="14" t="n">
        <v>45929</v>
      </c>
      <c r="C446" s="16" t="s">
        <v>616</v>
      </c>
      <c r="D446" s="7" t="n">
        <v>-9.99</v>
      </c>
      <c r="E446" s="16" t="s">
        <v>206</v>
      </c>
      <c r="F446" s="7" t="n">
        <v>59563.2</v>
      </c>
      <c r="G446" s="16" t="s">
        <v>144</v>
      </c>
    </row>
    <row r="447" customFormat="false" ht="15" hidden="false" customHeight="false" outlineLevel="0" collapsed="false">
      <c r="A447" s="0" t="s">
        <v>187</v>
      </c>
      <c r="B447" s="14" t="n">
        <v>45926</v>
      </c>
      <c r="C447" s="16" t="s">
        <v>618</v>
      </c>
      <c r="D447" s="7" t="n">
        <v>-100</v>
      </c>
      <c r="E447" s="16" t="s">
        <v>215</v>
      </c>
      <c r="F447" s="7" t="n">
        <v>59573.19</v>
      </c>
      <c r="G447" s="16" t="s">
        <v>87</v>
      </c>
    </row>
    <row r="448" customFormat="false" ht="15" hidden="false" customHeight="false" outlineLevel="0" collapsed="false">
      <c r="A448" s="0" t="s">
        <v>187</v>
      </c>
      <c r="B448" s="14" t="n">
        <v>45926</v>
      </c>
      <c r="C448" s="16" t="s">
        <v>619</v>
      </c>
      <c r="D448" s="7" t="n">
        <v>-2000</v>
      </c>
      <c r="E448" s="16" t="s">
        <v>213</v>
      </c>
      <c r="F448" s="7" t="n">
        <v>59673.19</v>
      </c>
      <c r="G448" s="16" t="s">
        <v>98</v>
      </c>
    </row>
    <row r="449" customFormat="false" ht="15" hidden="false" customHeight="false" outlineLevel="0" collapsed="false">
      <c r="A449" s="0" t="s">
        <v>187</v>
      </c>
      <c r="B449" s="14" t="n">
        <v>45926</v>
      </c>
      <c r="C449" s="16" t="s">
        <v>620</v>
      </c>
      <c r="D449" s="7" t="n">
        <v>-10000</v>
      </c>
      <c r="E449" s="16" t="s">
        <v>213</v>
      </c>
      <c r="F449" s="7" t="n">
        <v>61673.19</v>
      </c>
      <c r="G449" s="16" t="s">
        <v>96</v>
      </c>
    </row>
    <row r="450" customFormat="false" ht="15" hidden="false" customHeight="false" outlineLevel="0" collapsed="false">
      <c r="A450" s="0" t="s">
        <v>187</v>
      </c>
      <c r="B450" s="14" t="n">
        <v>45926</v>
      </c>
      <c r="C450" s="16" t="s">
        <v>621</v>
      </c>
      <c r="D450" s="7" t="n">
        <v>-412</v>
      </c>
      <c r="E450" s="16" t="s">
        <v>208</v>
      </c>
      <c r="F450" s="7" t="n">
        <v>71673.19</v>
      </c>
      <c r="G450" s="16" t="s">
        <v>180</v>
      </c>
    </row>
    <row r="451" customFormat="false" ht="15" hidden="false" customHeight="false" outlineLevel="0" collapsed="false">
      <c r="A451" s="0" t="s">
        <v>187</v>
      </c>
      <c r="B451" s="14" t="n">
        <v>45926</v>
      </c>
      <c r="C451" s="16" t="s">
        <v>622</v>
      </c>
      <c r="D451" s="7" t="n">
        <v>-1399.78</v>
      </c>
      <c r="E451" s="16" t="s">
        <v>208</v>
      </c>
      <c r="F451" s="7" t="n">
        <v>72085.19</v>
      </c>
      <c r="G451" s="16" t="s">
        <v>180</v>
      </c>
    </row>
    <row r="452" customFormat="false" ht="15" hidden="false" customHeight="false" outlineLevel="0" collapsed="false">
      <c r="A452" s="0" t="s">
        <v>187</v>
      </c>
      <c r="B452" s="14" t="n">
        <v>45926</v>
      </c>
      <c r="C452" s="16" t="s">
        <v>623</v>
      </c>
      <c r="D452" s="7" t="n">
        <v>-7010</v>
      </c>
      <c r="E452" s="16" t="s">
        <v>208</v>
      </c>
      <c r="F452" s="7" t="n">
        <v>73484.97</v>
      </c>
      <c r="G452" s="16" t="s">
        <v>134</v>
      </c>
    </row>
    <row r="453" customFormat="false" ht="15" hidden="false" customHeight="false" outlineLevel="0" collapsed="false">
      <c r="A453" s="0" t="s">
        <v>187</v>
      </c>
      <c r="B453" s="14" t="n">
        <v>45926</v>
      </c>
      <c r="C453" s="16" t="s">
        <v>624</v>
      </c>
      <c r="D453" s="7" t="n">
        <v>-612</v>
      </c>
      <c r="E453" s="16" t="s">
        <v>208</v>
      </c>
      <c r="F453" s="7" t="n">
        <v>80494.97</v>
      </c>
      <c r="G453" s="16" t="s">
        <v>180</v>
      </c>
    </row>
    <row r="454" customFormat="false" ht="15" hidden="false" customHeight="false" outlineLevel="0" collapsed="false">
      <c r="A454" s="0" t="s">
        <v>187</v>
      </c>
      <c r="B454" s="14" t="n">
        <v>45926</v>
      </c>
      <c r="C454" s="16" t="s">
        <v>625</v>
      </c>
      <c r="D454" s="7" t="n">
        <v>-2000</v>
      </c>
      <c r="E454" s="16" t="s">
        <v>213</v>
      </c>
      <c r="F454" s="7" t="n">
        <v>81106.97</v>
      </c>
      <c r="G454" s="16" t="s">
        <v>96</v>
      </c>
    </row>
    <row r="455" customFormat="false" ht="15" hidden="false" customHeight="false" outlineLevel="0" collapsed="false">
      <c r="A455" s="0" t="s">
        <v>187</v>
      </c>
      <c r="B455" s="14" t="n">
        <v>45926</v>
      </c>
      <c r="C455" s="16" t="s">
        <v>626</v>
      </c>
      <c r="D455" s="7" t="n">
        <v>-850</v>
      </c>
      <c r="E455" s="16" t="s">
        <v>215</v>
      </c>
      <c r="F455" s="7" t="n">
        <v>83106.97</v>
      </c>
      <c r="G455" s="16" t="s">
        <v>86</v>
      </c>
    </row>
    <row r="456" customFormat="false" ht="15" hidden="false" customHeight="false" outlineLevel="0" collapsed="false">
      <c r="A456" s="0" t="s">
        <v>187</v>
      </c>
      <c r="B456" s="14" t="n">
        <v>45926</v>
      </c>
      <c r="C456" s="16" t="s">
        <v>627</v>
      </c>
      <c r="D456" s="7" t="n">
        <v>-17.27</v>
      </c>
      <c r="E456" s="16" t="s">
        <v>206</v>
      </c>
      <c r="F456" s="7" t="n">
        <v>83956.97</v>
      </c>
      <c r="G456" s="16" t="s">
        <v>144</v>
      </c>
    </row>
    <row r="457" customFormat="false" ht="15" hidden="false" customHeight="false" outlineLevel="0" collapsed="false">
      <c r="A457" s="0" t="s">
        <v>187</v>
      </c>
      <c r="B457" s="14" t="n">
        <v>45926</v>
      </c>
      <c r="C457" s="16" t="s">
        <v>628</v>
      </c>
      <c r="D457" s="7" t="n">
        <v>-57.28</v>
      </c>
      <c r="E457" s="16" t="s">
        <v>206</v>
      </c>
      <c r="F457" s="7" t="n">
        <v>83974.24</v>
      </c>
      <c r="G457" s="16" t="s">
        <v>182</v>
      </c>
    </row>
    <row r="458" customFormat="false" ht="15" hidden="false" customHeight="false" outlineLevel="0" collapsed="false">
      <c r="A458" s="0" t="s">
        <v>187</v>
      </c>
      <c r="B458" s="14" t="n">
        <v>45925</v>
      </c>
      <c r="C458" s="16" t="s">
        <v>188</v>
      </c>
      <c r="D458" s="7" t="n">
        <v>-5</v>
      </c>
      <c r="E458" s="16" t="s">
        <v>189</v>
      </c>
      <c r="F458" s="7" t="n">
        <v>84031.52</v>
      </c>
      <c r="G458" s="16" t="s">
        <v>65</v>
      </c>
    </row>
    <row r="459" customFormat="false" ht="15" hidden="false" customHeight="false" outlineLevel="0" collapsed="false">
      <c r="A459" s="0" t="s">
        <v>187</v>
      </c>
      <c r="B459" s="14" t="n">
        <v>45925</v>
      </c>
      <c r="C459" s="16" t="s">
        <v>629</v>
      </c>
      <c r="D459" s="7" t="n">
        <v>-15</v>
      </c>
      <c r="E459" s="16" t="s">
        <v>193</v>
      </c>
      <c r="F459" s="7" t="n">
        <v>84036.52</v>
      </c>
      <c r="G459" s="16" t="s">
        <v>80</v>
      </c>
    </row>
    <row r="460" customFormat="false" ht="15" hidden="false" customHeight="false" outlineLevel="0" collapsed="false">
      <c r="A460" s="0" t="s">
        <v>187</v>
      </c>
      <c r="B460" s="14" t="n">
        <v>45925</v>
      </c>
      <c r="C460" s="16" t="s">
        <v>630</v>
      </c>
      <c r="D460" s="7" t="n">
        <v>-135</v>
      </c>
      <c r="E460" s="16" t="s">
        <v>193</v>
      </c>
      <c r="F460" s="7" t="n">
        <v>84051.52</v>
      </c>
      <c r="G460" s="16" t="s">
        <v>80</v>
      </c>
    </row>
    <row r="461" customFormat="false" ht="15" hidden="false" customHeight="false" outlineLevel="0" collapsed="false">
      <c r="A461" s="0" t="s">
        <v>187</v>
      </c>
      <c r="B461" s="14" t="n">
        <v>45925</v>
      </c>
      <c r="C461" s="16" t="s">
        <v>631</v>
      </c>
      <c r="D461" s="7" t="n">
        <v>-750</v>
      </c>
      <c r="E461" s="16" t="s">
        <v>191</v>
      </c>
      <c r="F461" s="7" t="n">
        <v>84186.52</v>
      </c>
      <c r="G461" s="16" t="s">
        <v>65</v>
      </c>
    </row>
    <row r="462" customFormat="false" ht="15" hidden="false" customHeight="false" outlineLevel="0" collapsed="false">
      <c r="A462" s="0" t="s">
        <v>187</v>
      </c>
      <c r="B462" s="14" t="n">
        <v>45925</v>
      </c>
      <c r="C462" s="16" t="s">
        <v>632</v>
      </c>
      <c r="D462" s="7" t="n">
        <v>-12.99</v>
      </c>
      <c r="E462" s="16" t="s">
        <v>206</v>
      </c>
      <c r="F462" s="7" t="n">
        <v>84936.52</v>
      </c>
      <c r="G462" s="16" t="s">
        <v>114</v>
      </c>
    </row>
    <row r="463" customFormat="false" ht="15" hidden="false" customHeight="false" outlineLevel="0" collapsed="false">
      <c r="A463" s="0" t="s">
        <v>187</v>
      </c>
      <c r="B463" s="14" t="n">
        <v>45925</v>
      </c>
      <c r="C463" s="16" t="s">
        <v>633</v>
      </c>
      <c r="D463" s="7" t="n">
        <v>-8.99</v>
      </c>
      <c r="E463" s="16" t="s">
        <v>206</v>
      </c>
      <c r="F463" s="7" t="n">
        <v>84949.51</v>
      </c>
      <c r="G463" s="16" t="s">
        <v>144</v>
      </c>
    </row>
    <row r="464" customFormat="false" ht="15" hidden="false" customHeight="false" outlineLevel="0" collapsed="false">
      <c r="A464" s="0" t="s">
        <v>187</v>
      </c>
      <c r="B464" s="14" t="n">
        <v>45925</v>
      </c>
      <c r="C464" s="16" t="s">
        <v>634</v>
      </c>
      <c r="D464" s="7" t="n">
        <v>-232</v>
      </c>
      <c r="E464" s="16" t="s">
        <v>206</v>
      </c>
      <c r="F464" s="7" t="n">
        <v>84958.5</v>
      </c>
      <c r="G464" s="16" t="s">
        <v>67</v>
      </c>
    </row>
    <row r="465" customFormat="false" ht="15" hidden="false" customHeight="false" outlineLevel="0" collapsed="false">
      <c r="A465" s="0" t="s">
        <v>187</v>
      </c>
      <c r="B465" s="14" t="n">
        <v>45924</v>
      </c>
      <c r="C465" s="16" t="s">
        <v>635</v>
      </c>
      <c r="D465" s="7" t="n">
        <v>-9.99</v>
      </c>
      <c r="E465" s="16" t="s">
        <v>206</v>
      </c>
      <c r="F465" s="7" t="n">
        <v>85190.5</v>
      </c>
      <c r="G465" s="16" t="s">
        <v>144</v>
      </c>
    </row>
    <row r="466" customFormat="false" ht="15" hidden="false" customHeight="false" outlineLevel="0" collapsed="false">
      <c r="A466" s="0" t="s">
        <v>187</v>
      </c>
      <c r="B466" s="14" t="n">
        <v>45923</v>
      </c>
      <c r="C466" s="16" t="s">
        <v>239</v>
      </c>
      <c r="D466" s="7" t="n">
        <v>-25</v>
      </c>
      <c r="E466" s="16" t="s">
        <v>189</v>
      </c>
      <c r="F466" s="7" t="n">
        <v>85200.49</v>
      </c>
      <c r="G466" s="16" t="s">
        <v>123</v>
      </c>
    </row>
    <row r="467" customFormat="false" ht="15" hidden="false" customHeight="false" outlineLevel="0" collapsed="false">
      <c r="A467" s="0" t="s">
        <v>187</v>
      </c>
      <c r="B467" s="14" t="n">
        <v>45923</v>
      </c>
      <c r="C467" s="16" t="s">
        <v>636</v>
      </c>
      <c r="D467" s="7" t="n">
        <v>-2000</v>
      </c>
      <c r="E467" s="16" t="s">
        <v>213</v>
      </c>
      <c r="F467" s="7" t="n">
        <v>85250.49</v>
      </c>
      <c r="G467" s="16" t="s">
        <v>96</v>
      </c>
    </row>
    <row r="468" customFormat="false" ht="15" hidden="false" customHeight="false" outlineLevel="0" collapsed="false">
      <c r="A468" s="0" t="s">
        <v>187</v>
      </c>
      <c r="B468" s="14" t="n">
        <v>45923</v>
      </c>
      <c r="C468" s="16" t="s">
        <v>637</v>
      </c>
      <c r="D468" s="7" t="n">
        <v>-150</v>
      </c>
      <c r="E468" s="16" t="s">
        <v>193</v>
      </c>
      <c r="F468" s="7" t="n">
        <v>87250.49</v>
      </c>
      <c r="G468" s="16" t="s">
        <v>80</v>
      </c>
    </row>
    <row r="469" customFormat="false" ht="15" hidden="false" customHeight="false" outlineLevel="0" collapsed="false">
      <c r="A469" s="0" t="s">
        <v>187</v>
      </c>
      <c r="B469" s="14" t="n">
        <v>45923</v>
      </c>
      <c r="C469" s="16" t="s">
        <v>638</v>
      </c>
      <c r="D469" s="7" t="n">
        <v>-20000</v>
      </c>
      <c r="E469" s="16" t="s">
        <v>191</v>
      </c>
      <c r="F469" s="7" t="n">
        <v>87400.49</v>
      </c>
      <c r="G469" s="16" t="s">
        <v>17</v>
      </c>
    </row>
    <row r="470" customFormat="false" ht="15" hidden="false" customHeight="false" outlineLevel="0" collapsed="false">
      <c r="A470" s="0" t="s">
        <v>187</v>
      </c>
      <c r="B470" s="14" t="n">
        <v>45923</v>
      </c>
      <c r="C470" s="16" t="s">
        <v>639</v>
      </c>
      <c r="D470" s="7" t="n">
        <v>-20000</v>
      </c>
      <c r="E470" s="16" t="s">
        <v>191</v>
      </c>
      <c r="F470" s="7" t="n">
        <v>107400.49</v>
      </c>
      <c r="G470" s="16" t="s">
        <v>17</v>
      </c>
    </row>
    <row r="471" customFormat="false" ht="15" hidden="false" customHeight="false" outlineLevel="0" collapsed="false">
      <c r="A471" s="0" t="s">
        <v>187</v>
      </c>
      <c r="B471" s="14" t="n">
        <v>45923</v>
      </c>
      <c r="C471" s="16" t="s">
        <v>640</v>
      </c>
      <c r="D471" s="7" t="n">
        <v>-135</v>
      </c>
      <c r="E471" s="16" t="s">
        <v>193</v>
      </c>
      <c r="F471" s="7" t="n">
        <v>127400.49</v>
      </c>
      <c r="G471" s="16" t="s">
        <v>80</v>
      </c>
    </row>
    <row r="472" customFormat="false" ht="15" hidden="false" customHeight="false" outlineLevel="0" collapsed="false">
      <c r="A472" s="0" t="s">
        <v>187</v>
      </c>
      <c r="B472" s="14" t="n">
        <v>45923</v>
      </c>
      <c r="C472" s="16" t="s">
        <v>641</v>
      </c>
      <c r="D472" s="7" t="n">
        <v>-5</v>
      </c>
      <c r="E472" s="16" t="s">
        <v>193</v>
      </c>
      <c r="F472" s="7" t="n">
        <v>127535.49</v>
      </c>
      <c r="G472" s="16" t="s">
        <v>141</v>
      </c>
    </row>
    <row r="473" customFormat="false" ht="15" hidden="false" customHeight="false" outlineLevel="0" collapsed="false">
      <c r="A473" s="0" t="s">
        <v>187</v>
      </c>
      <c r="B473" s="14" t="n">
        <v>45923</v>
      </c>
      <c r="C473" s="16" t="s">
        <v>642</v>
      </c>
      <c r="D473" s="7" t="n">
        <v>-331.54</v>
      </c>
      <c r="E473" s="16" t="s">
        <v>193</v>
      </c>
      <c r="F473" s="7" t="n">
        <v>127540.49</v>
      </c>
      <c r="G473" s="16" t="s">
        <v>148</v>
      </c>
    </row>
    <row r="474" customFormat="false" ht="15" hidden="false" customHeight="false" outlineLevel="0" collapsed="false">
      <c r="A474" s="0" t="s">
        <v>187</v>
      </c>
      <c r="B474" s="14" t="n">
        <v>45923</v>
      </c>
      <c r="C474" s="16" t="s">
        <v>643</v>
      </c>
      <c r="D474" s="7" t="n">
        <v>-1000</v>
      </c>
      <c r="E474" s="16" t="s">
        <v>193</v>
      </c>
      <c r="F474" s="7" t="n">
        <v>127872.03</v>
      </c>
      <c r="G474" s="16" t="s">
        <v>141</v>
      </c>
    </row>
    <row r="475" customFormat="false" ht="15" hidden="false" customHeight="false" outlineLevel="0" collapsed="false">
      <c r="A475" s="0" t="s">
        <v>187</v>
      </c>
      <c r="B475" s="14" t="n">
        <v>45923</v>
      </c>
      <c r="C475" s="16" t="s">
        <v>644</v>
      </c>
      <c r="D475" s="7" t="n">
        <v>-100</v>
      </c>
      <c r="E475" s="16" t="s">
        <v>206</v>
      </c>
      <c r="F475" s="7" t="n">
        <v>128872.03</v>
      </c>
      <c r="G475" s="16" t="s">
        <v>137</v>
      </c>
    </row>
    <row r="476" customFormat="false" ht="15" hidden="false" customHeight="false" outlineLevel="0" collapsed="false">
      <c r="A476" s="0" t="s">
        <v>187</v>
      </c>
      <c r="B476" s="14" t="n">
        <v>45923</v>
      </c>
      <c r="C476" s="16" t="s">
        <v>645</v>
      </c>
      <c r="D476" s="7" t="n">
        <v>-603.75</v>
      </c>
      <c r="E476" s="16" t="s">
        <v>206</v>
      </c>
      <c r="F476" s="7" t="n">
        <v>128972.03</v>
      </c>
      <c r="G476" s="16" t="s">
        <v>75</v>
      </c>
    </row>
    <row r="477" customFormat="false" ht="15" hidden="false" customHeight="false" outlineLevel="0" collapsed="false">
      <c r="A477" s="0" t="s">
        <v>187</v>
      </c>
      <c r="B477" s="14" t="n">
        <v>45922</v>
      </c>
      <c r="C477" s="16" t="s">
        <v>646</v>
      </c>
      <c r="D477" s="7" t="n">
        <v>-5000</v>
      </c>
      <c r="E477" s="16" t="s">
        <v>213</v>
      </c>
      <c r="F477" s="7" t="n">
        <v>129575.78</v>
      </c>
      <c r="G477" s="16" t="s">
        <v>96</v>
      </c>
    </row>
    <row r="478" customFormat="false" ht="15" hidden="false" customHeight="false" outlineLevel="0" collapsed="false">
      <c r="A478" s="0" t="s">
        <v>187</v>
      </c>
      <c r="B478" s="14" t="n">
        <v>45922</v>
      </c>
      <c r="C478" s="16" t="s">
        <v>647</v>
      </c>
      <c r="D478" s="7" t="n">
        <v>-75000</v>
      </c>
      <c r="E478" s="16" t="s">
        <v>213</v>
      </c>
      <c r="F478" s="7" t="n">
        <v>134575.78</v>
      </c>
      <c r="G478" s="16" t="s">
        <v>47</v>
      </c>
    </row>
    <row r="479" customFormat="false" ht="15" hidden="false" customHeight="false" outlineLevel="0" collapsed="false">
      <c r="A479" s="0" t="s">
        <v>187</v>
      </c>
      <c r="B479" s="14" t="n">
        <v>45922</v>
      </c>
      <c r="C479" s="16" t="s">
        <v>648</v>
      </c>
      <c r="D479" s="7" t="n">
        <v>-1500</v>
      </c>
      <c r="E479" s="16" t="s">
        <v>197</v>
      </c>
      <c r="F479" s="7" t="n">
        <v>209575.78</v>
      </c>
      <c r="G479" s="16" t="s">
        <v>69</v>
      </c>
    </row>
    <row r="480" customFormat="false" ht="15" hidden="false" customHeight="false" outlineLevel="0" collapsed="false">
      <c r="A480" s="0" t="s">
        <v>187</v>
      </c>
      <c r="B480" s="14" t="n">
        <v>45922</v>
      </c>
      <c r="C480" s="16" t="s">
        <v>649</v>
      </c>
      <c r="D480" s="7" t="n">
        <v>-17.95</v>
      </c>
      <c r="E480" s="16" t="s">
        <v>206</v>
      </c>
      <c r="F480" s="7" t="n">
        <v>211075.78</v>
      </c>
      <c r="G480" s="16" t="s">
        <v>144</v>
      </c>
    </row>
    <row r="481" customFormat="false" ht="15" hidden="false" customHeight="false" outlineLevel="0" collapsed="false">
      <c r="A481" s="0" t="s">
        <v>187</v>
      </c>
      <c r="B481" s="14" t="n">
        <v>45922</v>
      </c>
      <c r="C481" s="16" t="s">
        <v>650</v>
      </c>
      <c r="D481" s="7" t="n">
        <v>-100</v>
      </c>
      <c r="E481" s="16" t="s">
        <v>193</v>
      </c>
      <c r="F481" s="7" t="n">
        <v>211093.73</v>
      </c>
      <c r="G481" s="16" t="s">
        <v>80</v>
      </c>
    </row>
    <row r="482" customFormat="false" ht="15" hidden="false" customHeight="false" outlineLevel="0" collapsed="false">
      <c r="A482" s="0" t="s">
        <v>187</v>
      </c>
      <c r="B482" s="14" t="n">
        <v>45922</v>
      </c>
      <c r="C482" s="16" t="s">
        <v>651</v>
      </c>
      <c r="D482" s="7" t="n">
        <v>-150</v>
      </c>
      <c r="E482" s="16" t="s">
        <v>193</v>
      </c>
      <c r="F482" s="7" t="n">
        <v>211193.73</v>
      </c>
      <c r="G482" s="16" t="s">
        <v>80</v>
      </c>
    </row>
    <row r="483" customFormat="false" ht="15" hidden="false" customHeight="false" outlineLevel="0" collapsed="false">
      <c r="A483" s="0" t="s">
        <v>187</v>
      </c>
      <c r="B483" s="14" t="n">
        <v>45922</v>
      </c>
      <c r="C483" s="16" t="s">
        <v>652</v>
      </c>
      <c r="D483" s="7" t="n">
        <v>-250</v>
      </c>
      <c r="E483" s="16" t="s">
        <v>193</v>
      </c>
      <c r="F483" s="7" t="n">
        <v>211343.73</v>
      </c>
      <c r="G483" s="16" t="s">
        <v>80</v>
      </c>
    </row>
    <row r="484" customFormat="false" ht="15" hidden="false" customHeight="false" outlineLevel="0" collapsed="false">
      <c r="A484" s="0" t="s">
        <v>187</v>
      </c>
      <c r="B484" s="14" t="n">
        <v>45922</v>
      </c>
      <c r="C484" s="16" t="s">
        <v>653</v>
      </c>
      <c r="D484" s="7" t="n">
        <v>-1000</v>
      </c>
      <c r="E484" s="16" t="s">
        <v>213</v>
      </c>
      <c r="F484" s="7" t="n">
        <v>211593.73</v>
      </c>
      <c r="G484" s="16" t="s">
        <v>96</v>
      </c>
    </row>
    <row r="485" customFormat="false" ht="15" hidden="false" customHeight="false" outlineLevel="0" collapsed="false">
      <c r="A485" s="0" t="s">
        <v>187</v>
      </c>
      <c r="B485" s="14" t="n">
        <v>45922</v>
      </c>
      <c r="C485" s="16" t="s">
        <v>654</v>
      </c>
      <c r="D485" s="7" t="n">
        <v>-0.33</v>
      </c>
      <c r="E485" s="16" t="s">
        <v>206</v>
      </c>
      <c r="F485" s="7" t="n">
        <v>212593.73</v>
      </c>
      <c r="G485" s="16" t="s">
        <v>144</v>
      </c>
    </row>
    <row r="486" customFormat="false" ht="15" hidden="false" customHeight="false" outlineLevel="0" collapsed="false">
      <c r="A486" s="0" t="s">
        <v>187</v>
      </c>
      <c r="B486" s="14" t="n">
        <v>45922</v>
      </c>
      <c r="C486" s="16" t="s">
        <v>655</v>
      </c>
      <c r="D486" s="7" t="n">
        <v>-612</v>
      </c>
      <c r="E486" s="16" t="s">
        <v>208</v>
      </c>
      <c r="F486" s="7" t="n">
        <v>212594.06</v>
      </c>
      <c r="G486" s="16" t="s">
        <v>180</v>
      </c>
    </row>
    <row r="487" customFormat="false" ht="15" hidden="false" customHeight="false" outlineLevel="0" collapsed="false">
      <c r="A487" s="0" t="s">
        <v>187</v>
      </c>
      <c r="B487" s="14" t="n">
        <v>45922</v>
      </c>
      <c r="C487" s="16" t="s">
        <v>656</v>
      </c>
      <c r="D487" s="7" t="n">
        <v>-2000</v>
      </c>
      <c r="E487" s="16" t="s">
        <v>213</v>
      </c>
      <c r="F487" s="7" t="n">
        <v>213206.06</v>
      </c>
      <c r="G487" s="16" t="s">
        <v>96</v>
      </c>
    </row>
    <row r="488" customFormat="false" ht="15" hidden="false" customHeight="false" outlineLevel="0" collapsed="false">
      <c r="A488" s="0" t="s">
        <v>187</v>
      </c>
      <c r="B488" s="14" t="n">
        <v>45922</v>
      </c>
      <c r="C488" s="16" t="s">
        <v>657</v>
      </c>
      <c r="D488" s="7" t="n">
        <v>-11</v>
      </c>
      <c r="E488" s="16" t="s">
        <v>206</v>
      </c>
      <c r="F488" s="7" t="n">
        <v>215206.06</v>
      </c>
      <c r="G488" s="16" t="s">
        <v>144</v>
      </c>
    </row>
    <row r="489" customFormat="false" ht="15" hidden="false" customHeight="false" outlineLevel="0" collapsed="false">
      <c r="A489" s="0" t="s">
        <v>187</v>
      </c>
      <c r="B489" s="14" t="n">
        <v>45922</v>
      </c>
      <c r="C489" s="16" t="s">
        <v>657</v>
      </c>
      <c r="D489" s="7" t="n">
        <v>-9.99</v>
      </c>
      <c r="E489" s="16" t="s">
        <v>206</v>
      </c>
      <c r="F489" s="7" t="n">
        <v>215217.06</v>
      </c>
      <c r="G489" s="16" t="s">
        <v>144</v>
      </c>
    </row>
    <row r="490" customFormat="false" ht="15" hidden="false" customHeight="false" outlineLevel="0" collapsed="false">
      <c r="A490" s="0" t="s">
        <v>187</v>
      </c>
      <c r="B490" s="14" t="n">
        <v>45922</v>
      </c>
      <c r="C490" s="16" t="s">
        <v>658</v>
      </c>
      <c r="D490" s="7" t="n">
        <v>-26.89</v>
      </c>
      <c r="E490" s="16" t="s">
        <v>206</v>
      </c>
      <c r="F490" s="7" t="n">
        <v>215227.05</v>
      </c>
      <c r="G490" s="16" t="s">
        <v>144</v>
      </c>
    </row>
    <row r="491" customFormat="false" ht="15" hidden="false" customHeight="false" outlineLevel="0" collapsed="false">
      <c r="A491" s="0" t="s">
        <v>187</v>
      </c>
      <c r="B491" s="14" t="n">
        <v>45922</v>
      </c>
      <c r="C491" s="16" t="s">
        <v>659</v>
      </c>
      <c r="D491" s="7" t="n">
        <v>-15</v>
      </c>
      <c r="E491" s="16" t="s">
        <v>206</v>
      </c>
      <c r="F491" s="7" t="n">
        <v>215253.94</v>
      </c>
      <c r="G491" s="16" t="s">
        <v>144</v>
      </c>
    </row>
    <row r="492" customFormat="false" ht="15" hidden="false" customHeight="false" outlineLevel="0" collapsed="false">
      <c r="A492" s="0" t="s">
        <v>259</v>
      </c>
      <c r="B492" s="14" t="n">
        <v>45922</v>
      </c>
      <c r="C492" s="16" t="s">
        <v>660</v>
      </c>
      <c r="D492" s="7" t="n">
        <v>40000</v>
      </c>
      <c r="E492" s="16" t="s">
        <v>282</v>
      </c>
      <c r="F492" s="7" t="n">
        <v>215268.94</v>
      </c>
      <c r="G492" s="16" t="s">
        <v>18</v>
      </c>
    </row>
    <row r="493" customFormat="false" ht="15" hidden="false" customHeight="false" outlineLevel="0" collapsed="false">
      <c r="A493" s="0" t="s">
        <v>187</v>
      </c>
      <c r="B493" s="14" t="n">
        <v>45919</v>
      </c>
      <c r="C493" s="16" t="s">
        <v>277</v>
      </c>
      <c r="D493" s="7" t="n">
        <v>-15</v>
      </c>
      <c r="E493" s="16" t="s">
        <v>189</v>
      </c>
      <c r="F493" s="7" t="n">
        <v>175268.94</v>
      </c>
      <c r="G493" s="16" t="s">
        <v>123</v>
      </c>
    </row>
    <row r="494" customFormat="false" ht="15" hidden="false" customHeight="false" outlineLevel="0" collapsed="false">
      <c r="A494" s="0" t="s">
        <v>187</v>
      </c>
      <c r="B494" s="14" t="n">
        <v>45919</v>
      </c>
      <c r="C494" s="16" t="s">
        <v>661</v>
      </c>
      <c r="D494" s="7" t="n">
        <v>-150</v>
      </c>
      <c r="E494" s="16" t="s">
        <v>193</v>
      </c>
      <c r="F494" s="7" t="n">
        <v>175298.94</v>
      </c>
      <c r="G494" s="16" t="s">
        <v>80</v>
      </c>
    </row>
    <row r="495" customFormat="false" ht="15" hidden="false" customHeight="false" outlineLevel="0" collapsed="false">
      <c r="A495" s="0" t="s">
        <v>187</v>
      </c>
      <c r="B495" s="14" t="n">
        <v>45919</v>
      </c>
      <c r="C495" s="16" t="s">
        <v>662</v>
      </c>
      <c r="D495" s="7" t="n">
        <v>-7.99</v>
      </c>
      <c r="E495" s="16" t="s">
        <v>206</v>
      </c>
      <c r="F495" s="7" t="n">
        <v>175448.94</v>
      </c>
      <c r="G495" s="16" t="s">
        <v>144</v>
      </c>
    </row>
    <row r="496" customFormat="false" ht="15" hidden="false" customHeight="false" outlineLevel="0" collapsed="false">
      <c r="A496" s="0" t="s">
        <v>187</v>
      </c>
      <c r="B496" s="14" t="n">
        <v>45919</v>
      </c>
      <c r="C496" s="16" t="s">
        <v>663</v>
      </c>
      <c r="D496" s="7" t="n">
        <v>-21.98</v>
      </c>
      <c r="E496" s="16" t="s">
        <v>206</v>
      </c>
      <c r="F496" s="7" t="n">
        <v>175456.93</v>
      </c>
      <c r="G496" s="16" t="s">
        <v>118</v>
      </c>
    </row>
    <row r="497" customFormat="false" ht="15" hidden="false" customHeight="false" outlineLevel="0" collapsed="false">
      <c r="A497" s="0" t="s">
        <v>187</v>
      </c>
      <c r="B497" s="14" t="n">
        <v>45919</v>
      </c>
      <c r="C497" s="16" t="s">
        <v>664</v>
      </c>
      <c r="D497" s="7" t="n">
        <v>-15.98</v>
      </c>
      <c r="E497" s="16" t="s">
        <v>206</v>
      </c>
      <c r="F497" s="7" t="n">
        <v>175478.91</v>
      </c>
      <c r="G497" s="16" t="s">
        <v>118</v>
      </c>
    </row>
    <row r="498" customFormat="false" ht="15" hidden="false" customHeight="false" outlineLevel="0" collapsed="false">
      <c r="A498" s="0" t="s">
        <v>259</v>
      </c>
      <c r="B498" s="14" t="n">
        <v>45919</v>
      </c>
      <c r="C498" s="16" t="s">
        <v>665</v>
      </c>
      <c r="D498" s="7" t="n">
        <v>40000</v>
      </c>
      <c r="E498" s="16" t="s">
        <v>282</v>
      </c>
      <c r="F498" s="7" t="n">
        <v>175494.89</v>
      </c>
      <c r="G498" s="16" t="s">
        <v>25</v>
      </c>
    </row>
    <row r="499" customFormat="false" ht="15" hidden="false" customHeight="false" outlineLevel="0" collapsed="false">
      <c r="A499" s="0" t="s">
        <v>259</v>
      </c>
      <c r="B499" s="14" t="n">
        <v>45919</v>
      </c>
      <c r="C499" s="16" t="s">
        <v>666</v>
      </c>
      <c r="D499" s="7" t="n">
        <v>69000</v>
      </c>
      <c r="E499" s="16" t="s">
        <v>282</v>
      </c>
      <c r="F499" s="7" t="n">
        <v>135494.89</v>
      </c>
      <c r="G499" s="16" t="s">
        <v>26</v>
      </c>
    </row>
    <row r="500" customFormat="false" ht="15" hidden="false" customHeight="false" outlineLevel="0" collapsed="false">
      <c r="A500" s="0" t="s">
        <v>187</v>
      </c>
      <c r="B500" s="14" t="n">
        <v>45918</v>
      </c>
      <c r="C500" s="16" t="s">
        <v>667</v>
      </c>
      <c r="D500" s="7" t="n">
        <v>-2000</v>
      </c>
      <c r="E500" s="16" t="s">
        <v>213</v>
      </c>
      <c r="F500" s="7" t="n">
        <v>66494.89</v>
      </c>
      <c r="G500" s="16" t="s">
        <v>96</v>
      </c>
    </row>
    <row r="501" customFormat="false" ht="15" hidden="false" customHeight="false" outlineLevel="0" collapsed="false">
      <c r="A501" s="0" t="s">
        <v>187</v>
      </c>
      <c r="B501" s="14" t="n">
        <v>45918</v>
      </c>
      <c r="C501" s="16" t="s">
        <v>668</v>
      </c>
      <c r="D501" s="7" t="n">
        <v>-9.99</v>
      </c>
      <c r="E501" s="16" t="s">
        <v>206</v>
      </c>
      <c r="F501" s="7" t="n">
        <v>68494.89</v>
      </c>
      <c r="G501" s="16" t="s">
        <v>144</v>
      </c>
    </row>
    <row r="502" customFormat="false" ht="15" hidden="false" customHeight="false" outlineLevel="0" collapsed="false">
      <c r="A502" s="0" t="s">
        <v>187</v>
      </c>
      <c r="B502" s="14" t="n">
        <v>45918</v>
      </c>
      <c r="C502" s="16" t="s">
        <v>669</v>
      </c>
      <c r="D502" s="7" t="n">
        <v>-250</v>
      </c>
      <c r="E502" s="16" t="s">
        <v>206</v>
      </c>
      <c r="F502" s="7" t="n">
        <v>68504.88</v>
      </c>
      <c r="G502" s="16" t="s">
        <v>143</v>
      </c>
    </row>
    <row r="503" customFormat="false" ht="15" hidden="false" customHeight="false" outlineLevel="0" collapsed="false">
      <c r="A503" s="0" t="s">
        <v>187</v>
      </c>
      <c r="B503" s="14" t="n">
        <v>45918</v>
      </c>
      <c r="C503" s="16" t="s">
        <v>670</v>
      </c>
      <c r="D503" s="7" t="n">
        <v>-2</v>
      </c>
      <c r="E503" s="16" t="s">
        <v>206</v>
      </c>
      <c r="F503" s="7" t="n">
        <v>68754.88</v>
      </c>
      <c r="G503" s="16" t="s">
        <v>143</v>
      </c>
    </row>
    <row r="504" customFormat="false" ht="15" hidden="false" customHeight="false" outlineLevel="0" collapsed="false">
      <c r="A504" s="0" t="s">
        <v>187</v>
      </c>
      <c r="B504" s="14" t="n">
        <v>45918</v>
      </c>
      <c r="C504" s="16" t="s">
        <v>671</v>
      </c>
      <c r="D504" s="7" t="n">
        <v>-100</v>
      </c>
      <c r="E504" s="16" t="s">
        <v>206</v>
      </c>
      <c r="F504" s="7" t="n">
        <v>68756.88</v>
      </c>
      <c r="G504" s="16" t="s">
        <v>72</v>
      </c>
    </row>
    <row r="505" customFormat="false" ht="15" hidden="false" customHeight="false" outlineLevel="0" collapsed="false">
      <c r="A505" s="0" t="s">
        <v>187</v>
      </c>
      <c r="B505" s="14" t="n">
        <v>45917</v>
      </c>
      <c r="C505" s="16" t="s">
        <v>672</v>
      </c>
      <c r="D505" s="7" t="n">
        <v>-50</v>
      </c>
      <c r="E505" s="16" t="s">
        <v>193</v>
      </c>
      <c r="F505" s="7" t="n">
        <v>68856.88</v>
      </c>
      <c r="G505" s="16" t="s">
        <v>80</v>
      </c>
    </row>
    <row r="506" customFormat="false" ht="15" hidden="false" customHeight="false" outlineLevel="0" collapsed="false">
      <c r="A506" s="0" t="s">
        <v>187</v>
      </c>
      <c r="B506" s="14" t="n">
        <v>45917</v>
      </c>
      <c r="C506" s="16" t="s">
        <v>673</v>
      </c>
      <c r="D506" s="7" t="n">
        <v>-60</v>
      </c>
      <c r="E506" s="16" t="s">
        <v>193</v>
      </c>
      <c r="F506" s="7" t="n">
        <v>68906.88</v>
      </c>
      <c r="G506" s="16" t="s">
        <v>80</v>
      </c>
    </row>
    <row r="507" customFormat="false" ht="15" hidden="false" customHeight="false" outlineLevel="0" collapsed="false">
      <c r="A507" s="0" t="s">
        <v>187</v>
      </c>
      <c r="B507" s="14" t="n">
        <v>45917</v>
      </c>
      <c r="C507" s="16" t="s">
        <v>674</v>
      </c>
      <c r="D507" s="7" t="n">
        <v>-69.99</v>
      </c>
      <c r="E507" s="16" t="s">
        <v>206</v>
      </c>
      <c r="F507" s="7" t="n">
        <v>68966.88</v>
      </c>
      <c r="G507" s="16" t="s">
        <v>67</v>
      </c>
    </row>
    <row r="508" customFormat="false" ht="15" hidden="false" customHeight="false" outlineLevel="0" collapsed="false">
      <c r="A508" s="0" t="s">
        <v>187</v>
      </c>
      <c r="B508" s="14" t="n">
        <v>45917</v>
      </c>
      <c r="C508" s="16" t="s">
        <v>674</v>
      </c>
      <c r="D508" s="7" t="n">
        <v>-89.99</v>
      </c>
      <c r="E508" s="16" t="s">
        <v>206</v>
      </c>
      <c r="F508" s="7" t="n">
        <v>69036.87</v>
      </c>
      <c r="G508" s="16" t="s">
        <v>67</v>
      </c>
    </row>
    <row r="509" customFormat="false" ht="15" hidden="false" customHeight="false" outlineLevel="0" collapsed="false">
      <c r="A509" s="0" t="s">
        <v>187</v>
      </c>
      <c r="B509" s="14" t="n">
        <v>45916</v>
      </c>
      <c r="C509" s="16" t="s">
        <v>277</v>
      </c>
      <c r="D509" s="7" t="n">
        <v>-15</v>
      </c>
      <c r="E509" s="16" t="s">
        <v>189</v>
      </c>
      <c r="F509" s="7" t="n">
        <v>69126.86</v>
      </c>
      <c r="G509" s="16" t="s">
        <v>123</v>
      </c>
    </row>
    <row r="510" customFormat="false" ht="15" hidden="false" customHeight="false" outlineLevel="0" collapsed="false">
      <c r="A510" s="0" t="s">
        <v>187</v>
      </c>
      <c r="B510" s="14" t="n">
        <v>45916</v>
      </c>
      <c r="C510" s="16" t="s">
        <v>675</v>
      </c>
      <c r="D510" s="7" t="n">
        <v>-1630.12</v>
      </c>
      <c r="E510" s="16" t="s">
        <v>208</v>
      </c>
      <c r="F510" s="7" t="n">
        <v>69141.86</v>
      </c>
      <c r="G510" s="16" t="s">
        <v>111</v>
      </c>
    </row>
    <row r="511" customFormat="false" ht="15" hidden="false" customHeight="false" outlineLevel="0" collapsed="false">
      <c r="A511" s="0" t="s">
        <v>187</v>
      </c>
      <c r="B511" s="14" t="n">
        <v>45916</v>
      </c>
      <c r="C511" s="16" t="s">
        <v>676</v>
      </c>
      <c r="D511" s="7" t="n">
        <v>-104.01</v>
      </c>
      <c r="E511" s="16" t="s">
        <v>193</v>
      </c>
      <c r="F511" s="7" t="n">
        <v>70771.98</v>
      </c>
      <c r="G511" s="16" t="s">
        <v>114</v>
      </c>
    </row>
    <row r="512" customFormat="false" ht="15" hidden="false" customHeight="false" outlineLevel="0" collapsed="false">
      <c r="A512" s="0" t="s">
        <v>187</v>
      </c>
      <c r="B512" s="14" t="n">
        <v>45916</v>
      </c>
      <c r="C512" s="16" t="s">
        <v>677</v>
      </c>
      <c r="D512" s="7" t="n">
        <v>-2000</v>
      </c>
      <c r="E512" s="16" t="s">
        <v>213</v>
      </c>
      <c r="F512" s="7" t="n">
        <v>70875.99</v>
      </c>
      <c r="G512" s="16" t="s">
        <v>96</v>
      </c>
    </row>
    <row r="513" customFormat="false" ht="15" hidden="false" customHeight="false" outlineLevel="0" collapsed="false">
      <c r="A513" s="0" t="s">
        <v>187</v>
      </c>
      <c r="B513" s="14" t="n">
        <v>45916</v>
      </c>
      <c r="C513" s="16" t="s">
        <v>678</v>
      </c>
      <c r="D513" s="7" t="n">
        <v>-5.99</v>
      </c>
      <c r="E513" s="16" t="s">
        <v>206</v>
      </c>
      <c r="F513" s="7" t="n">
        <v>72875.99</v>
      </c>
      <c r="G513" s="16" t="s">
        <v>144</v>
      </c>
    </row>
    <row r="514" customFormat="false" ht="15" hidden="false" customHeight="false" outlineLevel="0" collapsed="false">
      <c r="A514" s="0" t="s">
        <v>259</v>
      </c>
      <c r="B514" s="14" t="n">
        <v>45916</v>
      </c>
      <c r="C514" s="16" t="s">
        <v>679</v>
      </c>
      <c r="D514" s="7" t="n">
        <v>42500</v>
      </c>
      <c r="E514" s="16" t="s">
        <v>282</v>
      </c>
      <c r="F514" s="7" t="n">
        <v>72881.98</v>
      </c>
      <c r="G514" s="16" t="s">
        <v>24</v>
      </c>
    </row>
    <row r="515" customFormat="false" ht="15" hidden="false" customHeight="false" outlineLevel="0" collapsed="false">
      <c r="A515" s="0" t="s">
        <v>187</v>
      </c>
      <c r="B515" s="14" t="n">
        <v>45915</v>
      </c>
      <c r="C515" s="16" t="s">
        <v>680</v>
      </c>
      <c r="D515" s="7" t="n">
        <v>-393.75</v>
      </c>
      <c r="E515" s="16" t="s">
        <v>206</v>
      </c>
      <c r="F515" s="7" t="n">
        <v>30381.98</v>
      </c>
      <c r="G515" s="16" t="s">
        <v>75</v>
      </c>
    </row>
    <row r="516" customFormat="false" ht="15" hidden="false" customHeight="false" outlineLevel="0" collapsed="false">
      <c r="A516" s="0" t="s">
        <v>187</v>
      </c>
      <c r="B516" s="14" t="n">
        <v>45915</v>
      </c>
      <c r="C516" s="16" t="s">
        <v>681</v>
      </c>
      <c r="D516" s="7" t="n">
        <v>-1500</v>
      </c>
      <c r="E516" s="16" t="s">
        <v>197</v>
      </c>
      <c r="F516" s="7" t="n">
        <v>30775.73</v>
      </c>
      <c r="G516" s="16" t="s">
        <v>69</v>
      </c>
    </row>
    <row r="517" customFormat="false" ht="15" hidden="false" customHeight="false" outlineLevel="0" collapsed="false">
      <c r="A517" s="0" t="s">
        <v>187</v>
      </c>
      <c r="B517" s="14" t="n">
        <v>45915</v>
      </c>
      <c r="C517" s="16" t="s">
        <v>682</v>
      </c>
      <c r="D517" s="7" t="n">
        <v>-150</v>
      </c>
      <c r="E517" s="16" t="s">
        <v>193</v>
      </c>
      <c r="F517" s="7" t="n">
        <v>32275.73</v>
      </c>
      <c r="G517" s="16" t="s">
        <v>80</v>
      </c>
    </row>
    <row r="518" customFormat="false" ht="15" hidden="false" customHeight="false" outlineLevel="0" collapsed="false">
      <c r="A518" s="0" t="s">
        <v>187</v>
      </c>
      <c r="B518" s="14" t="n">
        <v>45915</v>
      </c>
      <c r="C518" s="16" t="s">
        <v>683</v>
      </c>
      <c r="D518" s="7" t="n">
        <v>-3000</v>
      </c>
      <c r="E518" s="16" t="s">
        <v>213</v>
      </c>
      <c r="F518" s="7" t="n">
        <v>32425.73</v>
      </c>
      <c r="G518" s="16" t="s">
        <v>96</v>
      </c>
    </row>
    <row r="519" customFormat="false" ht="15" hidden="false" customHeight="false" outlineLevel="0" collapsed="false">
      <c r="A519" s="0" t="s">
        <v>187</v>
      </c>
      <c r="B519" s="14" t="n">
        <v>45915</v>
      </c>
      <c r="C519" s="16" t="s">
        <v>684</v>
      </c>
      <c r="D519" s="7" t="n">
        <v>-8.99</v>
      </c>
      <c r="E519" s="16" t="s">
        <v>206</v>
      </c>
      <c r="F519" s="7" t="n">
        <v>35425.73</v>
      </c>
      <c r="G519" s="16" t="s">
        <v>144</v>
      </c>
    </row>
    <row r="520" customFormat="false" ht="15" hidden="false" customHeight="false" outlineLevel="0" collapsed="false">
      <c r="A520" s="0" t="s">
        <v>187</v>
      </c>
      <c r="B520" s="14" t="n">
        <v>45915</v>
      </c>
      <c r="C520" s="16" t="s">
        <v>685</v>
      </c>
      <c r="D520" s="7" t="n">
        <v>-1.99</v>
      </c>
      <c r="E520" s="16" t="s">
        <v>206</v>
      </c>
      <c r="F520" s="7" t="n">
        <v>35434.72</v>
      </c>
      <c r="G520" s="16" t="s">
        <v>144</v>
      </c>
    </row>
    <row r="521" customFormat="false" ht="15" hidden="false" customHeight="false" outlineLevel="0" collapsed="false">
      <c r="A521" s="0" t="s">
        <v>187</v>
      </c>
      <c r="B521" s="14" t="n">
        <v>45915</v>
      </c>
      <c r="C521" s="16" t="s">
        <v>686</v>
      </c>
      <c r="D521" s="7" t="n">
        <v>-10.99</v>
      </c>
      <c r="E521" s="16" t="s">
        <v>206</v>
      </c>
      <c r="F521" s="7" t="n">
        <v>35436.71</v>
      </c>
      <c r="G521" s="16" t="s">
        <v>144</v>
      </c>
    </row>
    <row r="522" customFormat="false" ht="15" hidden="false" customHeight="false" outlineLevel="0" collapsed="false">
      <c r="A522" s="0" t="s">
        <v>187</v>
      </c>
      <c r="B522" s="14" t="n">
        <v>45915</v>
      </c>
      <c r="C522" s="16" t="s">
        <v>687</v>
      </c>
      <c r="D522" s="7" t="n">
        <v>-17.99</v>
      </c>
      <c r="E522" s="16" t="s">
        <v>206</v>
      </c>
      <c r="F522" s="7" t="n">
        <v>35447.7</v>
      </c>
      <c r="G522" s="16" t="s">
        <v>144</v>
      </c>
    </row>
    <row r="523" customFormat="false" ht="15" hidden="false" customHeight="false" outlineLevel="0" collapsed="false">
      <c r="A523" s="0" t="s">
        <v>187</v>
      </c>
      <c r="B523" s="14" t="n">
        <v>45915</v>
      </c>
      <c r="C523" s="16" t="s">
        <v>688</v>
      </c>
      <c r="D523" s="7" t="n">
        <v>-18.99</v>
      </c>
      <c r="E523" s="16" t="s">
        <v>206</v>
      </c>
      <c r="F523" s="7" t="n">
        <v>35465.69</v>
      </c>
      <c r="G523" s="16" t="s">
        <v>144</v>
      </c>
    </row>
    <row r="524" customFormat="false" ht="15" hidden="false" customHeight="false" outlineLevel="0" collapsed="false">
      <c r="A524" s="0" t="s">
        <v>259</v>
      </c>
      <c r="B524" s="14" t="n">
        <v>45915</v>
      </c>
      <c r="C524" s="16" t="s">
        <v>689</v>
      </c>
      <c r="D524" s="7" t="n">
        <v>30000</v>
      </c>
      <c r="E524" s="16" t="s">
        <v>213</v>
      </c>
      <c r="F524" s="7" t="n">
        <v>35484.68</v>
      </c>
      <c r="G524" s="16" t="s">
        <v>42</v>
      </c>
    </row>
    <row r="525" customFormat="false" ht="15" hidden="false" customHeight="false" outlineLevel="0" collapsed="false">
      <c r="A525" s="0" t="s">
        <v>187</v>
      </c>
      <c r="B525" s="14" t="n">
        <v>45912</v>
      </c>
      <c r="C525" s="16" t="s">
        <v>690</v>
      </c>
      <c r="D525" s="7" t="n">
        <v>-80</v>
      </c>
      <c r="E525" s="16" t="s">
        <v>193</v>
      </c>
      <c r="F525" s="7" t="n">
        <v>5484.68</v>
      </c>
      <c r="G525" s="16" t="s">
        <v>80</v>
      </c>
    </row>
    <row r="526" customFormat="false" ht="15" hidden="false" customHeight="false" outlineLevel="0" collapsed="false">
      <c r="A526" s="0" t="s">
        <v>187</v>
      </c>
      <c r="B526" s="14" t="n">
        <v>45912</v>
      </c>
      <c r="C526" s="16" t="s">
        <v>691</v>
      </c>
      <c r="D526" s="7" t="n">
        <v>-2500</v>
      </c>
      <c r="E526" s="16" t="s">
        <v>193</v>
      </c>
      <c r="F526" s="7" t="n">
        <v>5564.68</v>
      </c>
      <c r="G526" s="16" t="s">
        <v>80</v>
      </c>
    </row>
    <row r="527" customFormat="false" ht="15" hidden="false" customHeight="false" outlineLevel="0" collapsed="false">
      <c r="A527" s="0" t="s">
        <v>187</v>
      </c>
      <c r="B527" s="14" t="n">
        <v>45912</v>
      </c>
      <c r="C527" s="16" t="s">
        <v>692</v>
      </c>
      <c r="D527" s="7" t="n">
        <v>-3000</v>
      </c>
      <c r="E527" s="16" t="s">
        <v>213</v>
      </c>
      <c r="F527" s="7" t="n">
        <v>8064.68</v>
      </c>
      <c r="G527" s="16" t="s">
        <v>52</v>
      </c>
    </row>
    <row r="528" customFormat="false" ht="15" hidden="false" customHeight="false" outlineLevel="0" collapsed="false">
      <c r="A528" s="0" t="s">
        <v>187</v>
      </c>
      <c r="B528" s="14" t="n">
        <v>45912</v>
      </c>
      <c r="C528" s="16" t="s">
        <v>693</v>
      </c>
      <c r="D528" s="7" t="n">
        <v>-20</v>
      </c>
      <c r="E528" s="16" t="s">
        <v>193</v>
      </c>
      <c r="F528" s="7" t="n">
        <v>11064.68</v>
      </c>
      <c r="G528" s="16" t="s">
        <v>80</v>
      </c>
    </row>
    <row r="529" customFormat="false" ht="15" hidden="false" customHeight="false" outlineLevel="0" collapsed="false">
      <c r="A529" s="0" t="s">
        <v>187</v>
      </c>
      <c r="B529" s="14" t="n">
        <v>45912</v>
      </c>
      <c r="C529" s="16" t="s">
        <v>694</v>
      </c>
      <c r="D529" s="7" t="n">
        <v>-150</v>
      </c>
      <c r="E529" s="16" t="s">
        <v>215</v>
      </c>
      <c r="F529" s="7" t="n">
        <v>11084.68</v>
      </c>
      <c r="G529" s="16" t="s">
        <v>87</v>
      </c>
    </row>
    <row r="530" customFormat="false" ht="15" hidden="false" customHeight="false" outlineLevel="0" collapsed="false">
      <c r="A530" s="0" t="s">
        <v>187</v>
      </c>
      <c r="B530" s="14" t="n">
        <v>45912</v>
      </c>
      <c r="C530" s="16" t="s">
        <v>695</v>
      </c>
      <c r="D530" s="7" t="n">
        <v>-11.99</v>
      </c>
      <c r="E530" s="16" t="s">
        <v>206</v>
      </c>
      <c r="F530" s="7" t="n">
        <v>11234.68</v>
      </c>
      <c r="G530" s="16" t="s">
        <v>144</v>
      </c>
    </row>
    <row r="531" customFormat="false" ht="15" hidden="false" customHeight="false" outlineLevel="0" collapsed="false">
      <c r="A531" s="0" t="s">
        <v>187</v>
      </c>
      <c r="B531" s="14" t="n">
        <v>45911</v>
      </c>
      <c r="C531" s="16" t="s">
        <v>188</v>
      </c>
      <c r="D531" s="7" t="n">
        <v>-5</v>
      </c>
      <c r="E531" s="16" t="s">
        <v>189</v>
      </c>
      <c r="F531" s="7" t="n">
        <v>11246.67</v>
      </c>
      <c r="G531" s="16" t="s">
        <v>65</v>
      </c>
    </row>
    <row r="532" customFormat="false" ht="15" hidden="false" customHeight="false" outlineLevel="0" collapsed="false">
      <c r="A532" s="0" t="s">
        <v>187</v>
      </c>
      <c r="B532" s="14" t="n">
        <v>45911</v>
      </c>
      <c r="C532" s="16" t="s">
        <v>696</v>
      </c>
      <c r="D532" s="7" t="n">
        <v>-135</v>
      </c>
      <c r="E532" s="16" t="s">
        <v>193</v>
      </c>
      <c r="F532" s="7" t="n">
        <v>11251.67</v>
      </c>
      <c r="G532" s="16" t="s">
        <v>80</v>
      </c>
    </row>
    <row r="533" customFormat="false" ht="15" hidden="false" customHeight="false" outlineLevel="0" collapsed="false">
      <c r="A533" s="0" t="s">
        <v>187</v>
      </c>
      <c r="B533" s="14" t="n">
        <v>45911</v>
      </c>
      <c r="C533" s="16" t="s">
        <v>697</v>
      </c>
      <c r="D533" s="7" t="n">
        <v>-750</v>
      </c>
      <c r="E533" s="16" t="s">
        <v>191</v>
      </c>
      <c r="F533" s="7" t="n">
        <v>11386.67</v>
      </c>
      <c r="G533" s="16" t="s">
        <v>65</v>
      </c>
    </row>
    <row r="534" customFormat="false" ht="15" hidden="false" customHeight="false" outlineLevel="0" collapsed="false">
      <c r="A534" s="0" t="s">
        <v>187</v>
      </c>
      <c r="B534" s="14" t="n">
        <v>45911</v>
      </c>
      <c r="C534" s="16" t="s">
        <v>698</v>
      </c>
      <c r="D534" s="7" t="n">
        <v>-1249.96</v>
      </c>
      <c r="E534" s="16" t="s">
        <v>193</v>
      </c>
      <c r="F534" s="7" t="n">
        <v>12136.67</v>
      </c>
      <c r="G534" s="16" t="s">
        <v>179</v>
      </c>
    </row>
    <row r="535" customFormat="false" ht="15" hidden="false" customHeight="false" outlineLevel="0" collapsed="false">
      <c r="A535" s="0" t="s">
        <v>187</v>
      </c>
      <c r="B535" s="14" t="n">
        <v>45911</v>
      </c>
      <c r="C535" s="16" t="s">
        <v>699</v>
      </c>
      <c r="D535" s="7" t="n">
        <v>-1533.71</v>
      </c>
      <c r="E535" s="16" t="s">
        <v>193</v>
      </c>
      <c r="F535" s="7" t="n">
        <v>13386.63</v>
      </c>
      <c r="G535" s="16" t="s">
        <v>179</v>
      </c>
    </row>
    <row r="536" customFormat="false" ht="15" hidden="false" customHeight="false" outlineLevel="0" collapsed="false">
      <c r="A536" s="0" t="s">
        <v>187</v>
      </c>
      <c r="B536" s="14" t="n">
        <v>45911</v>
      </c>
      <c r="C536" s="16" t="s">
        <v>700</v>
      </c>
      <c r="D536" s="7" t="n">
        <v>-53.97</v>
      </c>
      <c r="E536" s="16" t="s">
        <v>206</v>
      </c>
      <c r="F536" s="7" t="n">
        <v>14920.34</v>
      </c>
      <c r="G536" s="16" t="s">
        <v>144</v>
      </c>
    </row>
    <row r="537" customFormat="false" ht="15" hidden="false" customHeight="false" outlineLevel="0" collapsed="false">
      <c r="A537" s="0" t="s">
        <v>187</v>
      </c>
      <c r="B537" s="14" t="n">
        <v>45910</v>
      </c>
      <c r="C537" s="16" t="s">
        <v>701</v>
      </c>
      <c r="D537" s="7" t="n">
        <v>-0.85</v>
      </c>
      <c r="E537" s="16" t="s">
        <v>189</v>
      </c>
      <c r="F537" s="7" t="n">
        <v>14974.31</v>
      </c>
      <c r="G537" s="16" t="s">
        <v>110</v>
      </c>
    </row>
    <row r="538" customFormat="false" ht="15" hidden="false" customHeight="false" outlineLevel="0" collapsed="false">
      <c r="A538" s="0" t="s">
        <v>187</v>
      </c>
      <c r="B538" s="14" t="n">
        <v>45910</v>
      </c>
      <c r="C538" s="16" t="s">
        <v>702</v>
      </c>
      <c r="D538" s="7" t="n">
        <v>-1.19</v>
      </c>
      <c r="E538" s="16" t="s">
        <v>189</v>
      </c>
      <c r="F538" s="7" t="n">
        <v>14975.16</v>
      </c>
      <c r="G538" s="16" t="s">
        <v>110</v>
      </c>
    </row>
    <row r="539" customFormat="false" ht="15" hidden="false" customHeight="false" outlineLevel="0" collapsed="false">
      <c r="A539" s="0" t="s">
        <v>187</v>
      </c>
      <c r="B539" s="14" t="n">
        <v>45910</v>
      </c>
      <c r="C539" s="16" t="s">
        <v>703</v>
      </c>
      <c r="D539" s="7" t="n">
        <v>-1.48</v>
      </c>
      <c r="E539" s="16" t="s">
        <v>189</v>
      </c>
      <c r="F539" s="7" t="n">
        <v>14976.35</v>
      </c>
      <c r="G539" s="16" t="s">
        <v>110</v>
      </c>
    </row>
    <row r="540" customFormat="false" ht="15" hidden="false" customHeight="false" outlineLevel="0" collapsed="false">
      <c r="A540" s="0" t="s">
        <v>187</v>
      </c>
      <c r="B540" s="14" t="n">
        <v>45910</v>
      </c>
      <c r="C540" s="16" t="s">
        <v>704</v>
      </c>
      <c r="D540" s="7" t="n">
        <v>-1.83</v>
      </c>
      <c r="E540" s="16" t="s">
        <v>189</v>
      </c>
      <c r="F540" s="7" t="n">
        <v>14977.83</v>
      </c>
      <c r="G540" s="16" t="s">
        <v>110</v>
      </c>
    </row>
    <row r="541" customFormat="false" ht="15" hidden="false" customHeight="false" outlineLevel="0" collapsed="false">
      <c r="A541" s="0" t="s">
        <v>187</v>
      </c>
      <c r="B541" s="14" t="n">
        <v>45910</v>
      </c>
      <c r="C541" s="16" t="s">
        <v>705</v>
      </c>
      <c r="D541" s="7" t="n">
        <v>-11.99</v>
      </c>
      <c r="E541" s="16" t="s">
        <v>206</v>
      </c>
      <c r="F541" s="7" t="n">
        <v>14979.66</v>
      </c>
      <c r="G541" s="16" t="s">
        <v>144</v>
      </c>
    </row>
    <row r="542" customFormat="false" ht="15" hidden="false" customHeight="false" outlineLevel="0" collapsed="false">
      <c r="A542" s="0" t="s">
        <v>187</v>
      </c>
      <c r="B542" s="14" t="n">
        <v>45910</v>
      </c>
      <c r="C542" s="16" t="s">
        <v>706</v>
      </c>
      <c r="D542" s="7" t="n">
        <v>-61.21</v>
      </c>
      <c r="E542" s="16" t="s">
        <v>206</v>
      </c>
      <c r="F542" s="7" t="n">
        <v>14991.65</v>
      </c>
      <c r="G542" s="16" t="s">
        <v>127</v>
      </c>
    </row>
    <row r="543" customFormat="false" ht="15" hidden="false" customHeight="false" outlineLevel="0" collapsed="false">
      <c r="A543" s="0" t="s">
        <v>187</v>
      </c>
      <c r="B543" s="14" t="n">
        <v>45910</v>
      </c>
      <c r="C543" s="16" t="s">
        <v>707</v>
      </c>
      <c r="D543" s="7" t="n">
        <v>-49.58</v>
      </c>
      <c r="E543" s="16" t="s">
        <v>206</v>
      </c>
      <c r="F543" s="7" t="n">
        <v>15052.86</v>
      </c>
      <c r="G543" s="16" t="s">
        <v>127</v>
      </c>
    </row>
    <row r="544" customFormat="false" ht="15" hidden="false" customHeight="false" outlineLevel="0" collapsed="false">
      <c r="A544" s="0" t="s">
        <v>187</v>
      </c>
      <c r="B544" s="14" t="n">
        <v>45910</v>
      </c>
      <c r="C544" s="16" t="s">
        <v>708</v>
      </c>
      <c r="D544" s="7" t="n">
        <v>-39.75</v>
      </c>
      <c r="E544" s="16" t="s">
        <v>206</v>
      </c>
      <c r="F544" s="7" t="n">
        <v>15102.44</v>
      </c>
      <c r="G544" s="16" t="s">
        <v>127</v>
      </c>
    </row>
    <row r="545" customFormat="false" ht="15" hidden="false" customHeight="false" outlineLevel="0" collapsed="false">
      <c r="A545" s="0" t="s">
        <v>187</v>
      </c>
      <c r="B545" s="14" t="n">
        <v>45910</v>
      </c>
      <c r="C545" s="16" t="s">
        <v>709</v>
      </c>
      <c r="D545" s="7" t="n">
        <v>-28.64</v>
      </c>
      <c r="E545" s="16" t="s">
        <v>206</v>
      </c>
      <c r="F545" s="7" t="n">
        <v>15142.19</v>
      </c>
      <c r="G545" s="16" t="s">
        <v>127</v>
      </c>
    </row>
    <row r="546" customFormat="false" ht="15" hidden="false" customHeight="false" outlineLevel="0" collapsed="false">
      <c r="A546" s="0" t="s">
        <v>187</v>
      </c>
      <c r="B546" s="14" t="n">
        <v>45909</v>
      </c>
      <c r="C546" s="16" t="s">
        <v>710</v>
      </c>
      <c r="D546" s="7" t="n">
        <v>-0.03</v>
      </c>
      <c r="E546" s="16" t="s">
        <v>189</v>
      </c>
      <c r="F546" s="7" t="n">
        <v>15170.83</v>
      </c>
      <c r="G546" s="16" t="s">
        <v>127</v>
      </c>
    </row>
    <row r="547" customFormat="false" ht="15" hidden="false" customHeight="false" outlineLevel="0" collapsed="false">
      <c r="A547" s="0" t="s">
        <v>187</v>
      </c>
      <c r="B547" s="14" t="n">
        <v>45909</v>
      </c>
      <c r="C547" s="16" t="s">
        <v>711</v>
      </c>
      <c r="D547" s="7" t="n">
        <v>-1.66</v>
      </c>
      <c r="E547" s="16" t="s">
        <v>189</v>
      </c>
      <c r="F547" s="7" t="n">
        <v>15170.86</v>
      </c>
      <c r="G547" s="16" t="s">
        <v>127</v>
      </c>
    </row>
    <row r="548" customFormat="false" ht="15" hidden="false" customHeight="false" outlineLevel="0" collapsed="false">
      <c r="A548" s="0" t="s">
        <v>187</v>
      </c>
      <c r="B548" s="14" t="n">
        <v>45909</v>
      </c>
      <c r="C548" s="16" t="s">
        <v>712</v>
      </c>
      <c r="D548" s="7" t="n">
        <v>-2000</v>
      </c>
      <c r="E548" s="16" t="s">
        <v>213</v>
      </c>
      <c r="F548" s="7" t="n">
        <v>15172.52</v>
      </c>
      <c r="G548" s="16" t="s">
        <v>96</v>
      </c>
    </row>
    <row r="549" customFormat="false" ht="15" hidden="false" customHeight="false" outlineLevel="0" collapsed="false">
      <c r="A549" s="0" t="s">
        <v>187</v>
      </c>
      <c r="B549" s="14" t="n">
        <v>45909</v>
      </c>
      <c r="C549" s="16" t="s">
        <v>713</v>
      </c>
      <c r="D549" s="7" t="n">
        <v>-55.64</v>
      </c>
      <c r="E549" s="16" t="s">
        <v>206</v>
      </c>
      <c r="F549" s="7" t="n">
        <v>17172.52</v>
      </c>
      <c r="G549" s="16" t="s">
        <v>127</v>
      </c>
    </row>
    <row r="550" customFormat="false" ht="15" hidden="false" customHeight="false" outlineLevel="0" collapsed="false">
      <c r="A550" s="0" t="s">
        <v>187</v>
      </c>
      <c r="B550" s="14" t="n">
        <v>45909</v>
      </c>
      <c r="C550" s="16" t="s">
        <v>714</v>
      </c>
      <c r="D550" s="7" t="n">
        <v>-463.75</v>
      </c>
      <c r="E550" s="16" t="s">
        <v>206</v>
      </c>
      <c r="F550" s="7" t="n">
        <v>17228.16</v>
      </c>
      <c r="G550" s="16" t="s">
        <v>127</v>
      </c>
    </row>
    <row r="551" customFormat="false" ht="15" hidden="false" customHeight="false" outlineLevel="0" collapsed="false">
      <c r="A551" s="0" t="s">
        <v>187</v>
      </c>
      <c r="B551" s="14" t="n">
        <v>45909</v>
      </c>
      <c r="C551" s="16" t="s">
        <v>715</v>
      </c>
      <c r="D551" s="7" t="n">
        <v>-1.23</v>
      </c>
      <c r="E551" s="16" t="s">
        <v>206</v>
      </c>
      <c r="F551" s="7" t="n">
        <v>17691.91</v>
      </c>
      <c r="G551" s="16" t="s">
        <v>127</v>
      </c>
    </row>
    <row r="552" customFormat="false" ht="15" hidden="false" customHeight="false" outlineLevel="0" collapsed="false">
      <c r="A552" s="0" t="s">
        <v>187</v>
      </c>
      <c r="B552" s="14" t="n">
        <v>45908</v>
      </c>
      <c r="C552" s="16" t="s">
        <v>710</v>
      </c>
      <c r="D552" s="7" t="n">
        <v>-0.04</v>
      </c>
      <c r="E552" s="16" t="s">
        <v>189</v>
      </c>
      <c r="F552" s="7" t="n">
        <v>17693.14</v>
      </c>
      <c r="G552" s="16" t="s">
        <v>127</v>
      </c>
    </row>
    <row r="553" customFormat="false" ht="15" hidden="false" customHeight="false" outlineLevel="0" collapsed="false">
      <c r="A553" s="0" t="s">
        <v>187</v>
      </c>
      <c r="B553" s="14" t="n">
        <v>45908</v>
      </c>
      <c r="C553" s="16" t="s">
        <v>716</v>
      </c>
      <c r="D553" s="7" t="n">
        <v>-0.14</v>
      </c>
      <c r="E553" s="16" t="s">
        <v>189</v>
      </c>
      <c r="F553" s="7" t="n">
        <v>17693.18</v>
      </c>
      <c r="G553" s="16" t="s">
        <v>127</v>
      </c>
    </row>
    <row r="554" customFormat="false" ht="15" hidden="false" customHeight="false" outlineLevel="0" collapsed="false">
      <c r="A554" s="0" t="s">
        <v>187</v>
      </c>
      <c r="B554" s="14" t="n">
        <v>45908</v>
      </c>
      <c r="C554" s="16" t="s">
        <v>717</v>
      </c>
      <c r="D554" s="7" t="n">
        <v>-0.18</v>
      </c>
      <c r="E554" s="16" t="s">
        <v>189</v>
      </c>
      <c r="F554" s="7" t="n">
        <v>17693.32</v>
      </c>
      <c r="G554" s="16" t="s">
        <v>127</v>
      </c>
    </row>
    <row r="555" customFormat="false" ht="15" hidden="false" customHeight="false" outlineLevel="0" collapsed="false">
      <c r="A555" s="0" t="s">
        <v>187</v>
      </c>
      <c r="B555" s="14" t="n">
        <v>45908</v>
      </c>
      <c r="C555" s="16" t="s">
        <v>718</v>
      </c>
      <c r="D555" s="7" t="n">
        <v>-0.87</v>
      </c>
      <c r="E555" s="16" t="s">
        <v>189</v>
      </c>
      <c r="F555" s="7" t="n">
        <v>17693.5</v>
      </c>
      <c r="G555" s="16" t="s">
        <v>127</v>
      </c>
    </row>
    <row r="556" customFormat="false" ht="15" hidden="false" customHeight="false" outlineLevel="0" collapsed="false">
      <c r="A556" s="0" t="s">
        <v>187</v>
      </c>
      <c r="B556" s="14" t="n">
        <v>45908</v>
      </c>
      <c r="C556" s="16" t="s">
        <v>719</v>
      </c>
      <c r="D556" s="7" t="n">
        <v>-4.47</v>
      </c>
      <c r="E556" s="16" t="s">
        <v>189</v>
      </c>
      <c r="F556" s="7" t="n">
        <v>17694.37</v>
      </c>
      <c r="G556" s="16" t="s">
        <v>127</v>
      </c>
    </row>
    <row r="557" customFormat="false" ht="15" hidden="false" customHeight="false" outlineLevel="0" collapsed="false">
      <c r="A557" s="0" t="s">
        <v>187</v>
      </c>
      <c r="B557" s="14" t="n">
        <v>45908</v>
      </c>
      <c r="C557" s="16" t="s">
        <v>720</v>
      </c>
      <c r="D557" s="7" t="n">
        <v>-1500</v>
      </c>
      <c r="E557" s="16" t="s">
        <v>197</v>
      </c>
      <c r="F557" s="7" t="n">
        <v>17698.84</v>
      </c>
      <c r="G557" s="16" t="s">
        <v>69</v>
      </c>
    </row>
    <row r="558" customFormat="false" ht="15" hidden="false" customHeight="false" outlineLevel="0" collapsed="false">
      <c r="A558" s="0" t="s">
        <v>187</v>
      </c>
      <c r="B558" s="14" t="n">
        <v>45908</v>
      </c>
      <c r="C558" s="16" t="s">
        <v>721</v>
      </c>
      <c r="D558" s="7" t="n">
        <v>-20</v>
      </c>
      <c r="E558" s="16" t="s">
        <v>193</v>
      </c>
      <c r="F558" s="7" t="n">
        <v>19198.84</v>
      </c>
      <c r="G558" s="16" t="s">
        <v>80</v>
      </c>
    </row>
    <row r="559" customFormat="false" ht="15" hidden="false" customHeight="false" outlineLevel="0" collapsed="false">
      <c r="A559" s="0" t="s">
        <v>187</v>
      </c>
      <c r="B559" s="14" t="n">
        <v>45908</v>
      </c>
      <c r="C559" s="16" t="s">
        <v>722</v>
      </c>
      <c r="D559" s="7" t="n">
        <v>-8.99</v>
      </c>
      <c r="E559" s="16" t="s">
        <v>206</v>
      </c>
      <c r="F559" s="7" t="n">
        <v>19218.84</v>
      </c>
      <c r="G559" s="16" t="s">
        <v>144</v>
      </c>
    </row>
    <row r="560" customFormat="false" ht="15" hidden="false" customHeight="false" outlineLevel="0" collapsed="false">
      <c r="A560" s="0" t="s">
        <v>187</v>
      </c>
      <c r="B560" s="14" t="n">
        <v>45908</v>
      </c>
      <c r="C560" s="16" t="s">
        <v>723</v>
      </c>
      <c r="D560" s="7" t="n">
        <v>-260</v>
      </c>
      <c r="E560" s="16" t="s">
        <v>206</v>
      </c>
      <c r="F560" s="7" t="n">
        <v>19227.83</v>
      </c>
      <c r="G560" s="16" t="s">
        <v>72</v>
      </c>
    </row>
    <row r="561" customFormat="false" ht="15" hidden="false" customHeight="false" outlineLevel="0" collapsed="false">
      <c r="A561" s="0" t="s">
        <v>187</v>
      </c>
      <c r="B561" s="14" t="n">
        <v>45908</v>
      </c>
      <c r="C561" s="16" t="s">
        <v>724</v>
      </c>
      <c r="D561" s="7" t="n">
        <v>-30.77</v>
      </c>
      <c r="E561" s="16" t="s">
        <v>206</v>
      </c>
      <c r="F561" s="7" t="n">
        <v>19487.83</v>
      </c>
      <c r="G561" s="16" t="s">
        <v>179</v>
      </c>
    </row>
    <row r="562" customFormat="false" ht="15" hidden="false" customHeight="false" outlineLevel="0" collapsed="false">
      <c r="A562" s="0" t="s">
        <v>187</v>
      </c>
      <c r="B562" s="14" t="n">
        <v>45908</v>
      </c>
      <c r="C562" s="16" t="s">
        <v>724</v>
      </c>
      <c r="D562" s="7" t="n">
        <v>-6</v>
      </c>
      <c r="E562" s="16" t="s">
        <v>206</v>
      </c>
      <c r="F562" s="7" t="n">
        <v>19518.6</v>
      </c>
      <c r="G562" s="16" t="s">
        <v>179</v>
      </c>
    </row>
    <row r="563" customFormat="false" ht="15" hidden="false" customHeight="false" outlineLevel="0" collapsed="false">
      <c r="A563" s="0" t="s">
        <v>187</v>
      </c>
      <c r="B563" s="14" t="n">
        <v>45908</v>
      </c>
      <c r="C563" s="16" t="s">
        <v>725</v>
      </c>
      <c r="D563" s="7" t="n">
        <v>-5</v>
      </c>
      <c r="E563" s="16" t="s">
        <v>206</v>
      </c>
      <c r="F563" s="7" t="n">
        <v>19524.6</v>
      </c>
      <c r="G563" s="16" t="s">
        <v>144</v>
      </c>
    </row>
    <row r="564" customFormat="false" ht="15" hidden="false" customHeight="false" outlineLevel="0" collapsed="false">
      <c r="A564" s="0" t="s">
        <v>187</v>
      </c>
      <c r="B564" s="14" t="n">
        <v>45908</v>
      </c>
      <c r="C564" s="16" t="s">
        <v>726</v>
      </c>
      <c r="D564" s="7" t="n">
        <v>-1.62</v>
      </c>
      <c r="E564" s="16" t="s">
        <v>206</v>
      </c>
      <c r="F564" s="7" t="n">
        <v>19529.6</v>
      </c>
      <c r="G564" s="16" t="s">
        <v>127</v>
      </c>
    </row>
    <row r="565" customFormat="false" ht="15" hidden="false" customHeight="false" outlineLevel="0" collapsed="false">
      <c r="A565" s="0" t="s">
        <v>187</v>
      </c>
      <c r="B565" s="14" t="n">
        <v>45908</v>
      </c>
      <c r="C565" s="16" t="s">
        <v>727</v>
      </c>
      <c r="D565" s="7" t="n">
        <v>-149.17</v>
      </c>
      <c r="E565" s="16" t="s">
        <v>206</v>
      </c>
      <c r="F565" s="7" t="n">
        <v>19531.22</v>
      </c>
      <c r="G565" s="16" t="s">
        <v>127</v>
      </c>
    </row>
    <row r="566" customFormat="false" ht="15" hidden="false" customHeight="false" outlineLevel="0" collapsed="false">
      <c r="A566" s="0" t="s">
        <v>187</v>
      </c>
      <c r="B566" s="14" t="n">
        <v>45908</v>
      </c>
      <c r="C566" s="16" t="s">
        <v>728</v>
      </c>
      <c r="D566" s="7" t="n">
        <v>-29.27</v>
      </c>
      <c r="E566" s="16" t="s">
        <v>206</v>
      </c>
      <c r="F566" s="7" t="n">
        <v>19680.39</v>
      </c>
      <c r="G566" s="16" t="s">
        <v>127</v>
      </c>
    </row>
    <row r="567" customFormat="false" ht="15" hidden="false" customHeight="false" outlineLevel="0" collapsed="false">
      <c r="A567" s="0" t="s">
        <v>187</v>
      </c>
      <c r="B567" s="14" t="n">
        <v>45908</v>
      </c>
      <c r="C567" s="16" t="s">
        <v>729</v>
      </c>
      <c r="D567" s="7" t="n">
        <v>-6.33</v>
      </c>
      <c r="E567" s="16" t="s">
        <v>206</v>
      </c>
      <c r="F567" s="7" t="n">
        <v>19709.66</v>
      </c>
      <c r="G567" s="16" t="s">
        <v>127</v>
      </c>
    </row>
    <row r="568" customFormat="false" ht="15" hidden="false" customHeight="false" outlineLevel="0" collapsed="false">
      <c r="A568" s="0" t="s">
        <v>187</v>
      </c>
      <c r="B568" s="14" t="n">
        <v>45908</v>
      </c>
      <c r="C568" s="16" t="s">
        <v>730</v>
      </c>
      <c r="D568" s="7" t="n">
        <v>-4.95</v>
      </c>
      <c r="E568" s="16" t="s">
        <v>206</v>
      </c>
      <c r="F568" s="7" t="n">
        <v>19715.99</v>
      </c>
      <c r="G568" s="16" t="s">
        <v>127</v>
      </c>
    </row>
    <row r="569" customFormat="false" ht="15" hidden="false" customHeight="false" outlineLevel="0" collapsed="false">
      <c r="A569" s="0" t="s">
        <v>187</v>
      </c>
      <c r="B569" s="14" t="n">
        <v>45908</v>
      </c>
      <c r="C569" s="16" t="s">
        <v>731</v>
      </c>
      <c r="D569" s="7" t="n">
        <v>-29.99</v>
      </c>
      <c r="E569" s="16" t="s">
        <v>206</v>
      </c>
      <c r="F569" s="7" t="n">
        <v>19720.94</v>
      </c>
      <c r="G569" s="16" t="s">
        <v>144</v>
      </c>
    </row>
    <row r="570" customFormat="false" ht="15" hidden="false" customHeight="false" outlineLevel="0" collapsed="false">
      <c r="A570" s="0" t="s">
        <v>187</v>
      </c>
      <c r="B570" s="14" t="n">
        <v>45905</v>
      </c>
      <c r="C570" s="16" t="s">
        <v>732</v>
      </c>
      <c r="D570" s="7" t="n">
        <v>-0.17</v>
      </c>
      <c r="E570" s="16" t="s">
        <v>189</v>
      </c>
      <c r="F570" s="7" t="n">
        <v>19750.93</v>
      </c>
      <c r="G570" s="16" t="s">
        <v>127</v>
      </c>
    </row>
    <row r="571" customFormat="false" ht="15" hidden="false" customHeight="false" outlineLevel="0" collapsed="false">
      <c r="A571" s="0" t="s">
        <v>187</v>
      </c>
      <c r="B571" s="14" t="n">
        <v>45905</v>
      </c>
      <c r="C571" s="16" t="s">
        <v>733</v>
      </c>
      <c r="D571" s="7" t="n">
        <v>-0.29</v>
      </c>
      <c r="E571" s="16" t="s">
        <v>189</v>
      </c>
      <c r="F571" s="7" t="n">
        <v>19751.1</v>
      </c>
      <c r="G571" s="16" t="s">
        <v>127</v>
      </c>
    </row>
    <row r="572" customFormat="false" ht="15" hidden="false" customHeight="false" outlineLevel="0" collapsed="false">
      <c r="A572" s="0" t="s">
        <v>187</v>
      </c>
      <c r="B572" s="14" t="n">
        <v>45905</v>
      </c>
      <c r="C572" s="16" t="s">
        <v>734</v>
      </c>
      <c r="D572" s="7" t="n">
        <v>-1.82</v>
      </c>
      <c r="E572" s="16" t="s">
        <v>189</v>
      </c>
      <c r="F572" s="7" t="n">
        <v>19751.39</v>
      </c>
      <c r="G572" s="16" t="s">
        <v>127</v>
      </c>
    </row>
    <row r="573" customFormat="false" ht="15" hidden="false" customHeight="false" outlineLevel="0" collapsed="false">
      <c r="A573" s="0" t="s">
        <v>187</v>
      </c>
      <c r="B573" s="14" t="n">
        <v>45905</v>
      </c>
      <c r="C573" s="16" t="s">
        <v>239</v>
      </c>
      <c r="D573" s="7" t="n">
        <v>-25</v>
      </c>
      <c r="E573" s="16" t="s">
        <v>189</v>
      </c>
      <c r="F573" s="7" t="n">
        <v>19753.21</v>
      </c>
      <c r="G573" s="16" t="s">
        <v>123</v>
      </c>
    </row>
    <row r="574" customFormat="false" ht="15" hidden="false" customHeight="false" outlineLevel="0" collapsed="false">
      <c r="A574" s="0" t="s">
        <v>187</v>
      </c>
      <c r="B574" s="14" t="n">
        <v>45905</v>
      </c>
      <c r="C574" s="16" t="s">
        <v>735</v>
      </c>
      <c r="D574" s="7" t="n">
        <v>-1000</v>
      </c>
      <c r="E574" s="16" t="s">
        <v>213</v>
      </c>
      <c r="F574" s="7" t="n">
        <v>19778.21</v>
      </c>
      <c r="G574" s="16" t="s">
        <v>96</v>
      </c>
    </row>
    <row r="575" customFormat="false" ht="15" hidden="false" customHeight="false" outlineLevel="0" collapsed="false">
      <c r="A575" s="0" t="s">
        <v>187</v>
      </c>
      <c r="B575" s="14" t="n">
        <v>45905</v>
      </c>
      <c r="C575" s="16" t="s">
        <v>736</v>
      </c>
      <c r="D575" s="7" t="n">
        <v>-500.55</v>
      </c>
      <c r="E575" s="16" t="s">
        <v>206</v>
      </c>
      <c r="F575" s="7" t="n">
        <v>20778.21</v>
      </c>
      <c r="G575" s="16" t="s">
        <v>67</v>
      </c>
    </row>
    <row r="576" customFormat="false" ht="15" hidden="false" customHeight="false" outlineLevel="0" collapsed="false">
      <c r="A576" s="0" t="s">
        <v>187</v>
      </c>
      <c r="B576" s="14" t="n">
        <v>45905</v>
      </c>
      <c r="C576" s="16" t="s">
        <v>737</v>
      </c>
      <c r="D576" s="7" t="n">
        <v>-42637</v>
      </c>
      <c r="E576" s="16" t="s">
        <v>191</v>
      </c>
      <c r="F576" s="7" t="n">
        <v>21278.76</v>
      </c>
      <c r="G576" s="16" t="s">
        <v>36</v>
      </c>
    </row>
    <row r="577" customFormat="false" ht="15" hidden="false" customHeight="false" outlineLevel="0" collapsed="false">
      <c r="A577" s="0" t="s">
        <v>187</v>
      </c>
      <c r="B577" s="14" t="n">
        <v>45905</v>
      </c>
      <c r="C577" s="16" t="s">
        <v>738</v>
      </c>
      <c r="D577" s="7" t="n">
        <v>-60.94</v>
      </c>
      <c r="E577" s="16" t="s">
        <v>206</v>
      </c>
      <c r="F577" s="7" t="n">
        <v>63915.76</v>
      </c>
      <c r="G577" s="16" t="s">
        <v>127</v>
      </c>
    </row>
    <row r="578" customFormat="false" ht="15" hidden="false" customHeight="false" outlineLevel="0" collapsed="false">
      <c r="A578" s="0" t="s">
        <v>187</v>
      </c>
      <c r="B578" s="14" t="n">
        <v>45905</v>
      </c>
      <c r="C578" s="16" t="s">
        <v>739</v>
      </c>
      <c r="D578" s="7" t="n">
        <v>-9.69</v>
      </c>
      <c r="E578" s="16" t="s">
        <v>206</v>
      </c>
      <c r="F578" s="7" t="n">
        <v>63976.7</v>
      </c>
      <c r="G578" s="16" t="s">
        <v>127</v>
      </c>
    </row>
    <row r="579" customFormat="false" ht="15" hidden="false" customHeight="false" outlineLevel="0" collapsed="false">
      <c r="A579" s="0" t="s">
        <v>187</v>
      </c>
      <c r="B579" s="14" t="n">
        <v>45905</v>
      </c>
      <c r="C579" s="16" t="s">
        <v>740</v>
      </c>
      <c r="D579" s="7" t="n">
        <v>-5.68</v>
      </c>
      <c r="E579" s="16" t="s">
        <v>206</v>
      </c>
      <c r="F579" s="7" t="n">
        <v>63986.39</v>
      </c>
      <c r="G579" s="16" t="s">
        <v>127</v>
      </c>
    </row>
    <row r="580" customFormat="false" ht="15" hidden="false" customHeight="false" outlineLevel="0" collapsed="false">
      <c r="A580" s="0" t="s">
        <v>187</v>
      </c>
      <c r="B580" s="14" t="n">
        <v>45905</v>
      </c>
      <c r="C580" s="16" t="s">
        <v>741</v>
      </c>
      <c r="D580" s="7" t="n">
        <v>-38.99</v>
      </c>
      <c r="E580" s="16" t="s">
        <v>206</v>
      </c>
      <c r="F580" s="7" t="n">
        <v>63992.07</v>
      </c>
      <c r="G580" s="16" t="s">
        <v>144</v>
      </c>
    </row>
    <row r="581" customFormat="false" ht="15" hidden="false" customHeight="false" outlineLevel="0" collapsed="false">
      <c r="A581" s="0" t="s">
        <v>259</v>
      </c>
      <c r="B581" s="14" t="n">
        <v>45905</v>
      </c>
      <c r="C581" s="16" t="s">
        <v>742</v>
      </c>
      <c r="D581" s="7" t="n">
        <v>20000</v>
      </c>
      <c r="E581" s="16" t="s">
        <v>213</v>
      </c>
      <c r="F581" s="7" t="n">
        <v>64031.06</v>
      </c>
      <c r="G581" s="16" t="s">
        <v>42</v>
      </c>
    </row>
    <row r="582" customFormat="false" ht="15" hidden="false" customHeight="false" outlineLevel="0" collapsed="false">
      <c r="A582" s="0" t="s">
        <v>187</v>
      </c>
      <c r="B582" s="14" t="n">
        <v>45904</v>
      </c>
      <c r="C582" s="16" t="s">
        <v>239</v>
      </c>
      <c r="D582" s="7" t="n">
        <v>-25</v>
      </c>
      <c r="E582" s="16" t="s">
        <v>189</v>
      </c>
      <c r="F582" s="7" t="n">
        <v>44031.06</v>
      </c>
      <c r="G582" s="16" t="s">
        <v>123</v>
      </c>
    </row>
    <row r="583" customFormat="false" ht="15" hidden="false" customHeight="false" outlineLevel="0" collapsed="false">
      <c r="A583" s="0" t="s">
        <v>187</v>
      </c>
      <c r="B583" s="14" t="n">
        <v>45904</v>
      </c>
      <c r="C583" s="16" t="s">
        <v>743</v>
      </c>
      <c r="D583" s="7" t="n">
        <v>-99487</v>
      </c>
      <c r="E583" s="16" t="s">
        <v>191</v>
      </c>
      <c r="F583" s="7" t="n">
        <v>44056.06</v>
      </c>
      <c r="G583" s="16" t="s">
        <v>37</v>
      </c>
    </row>
    <row r="584" customFormat="false" ht="15" hidden="false" customHeight="false" outlineLevel="0" collapsed="false">
      <c r="A584" s="0" t="s">
        <v>187</v>
      </c>
      <c r="B584" s="14" t="n">
        <v>45904</v>
      </c>
      <c r="C584" s="16" t="s">
        <v>744</v>
      </c>
      <c r="D584" s="7" t="n">
        <v>-200</v>
      </c>
      <c r="E584" s="16" t="s">
        <v>206</v>
      </c>
      <c r="F584" s="7" t="n">
        <v>143543.06</v>
      </c>
      <c r="G584" s="16" t="s">
        <v>183</v>
      </c>
    </row>
    <row r="585" customFormat="false" ht="15" hidden="false" customHeight="false" outlineLevel="0" collapsed="false">
      <c r="A585" s="0" t="s">
        <v>187</v>
      </c>
      <c r="B585" s="14" t="n">
        <v>45904</v>
      </c>
      <c r="C585" s="16" t="s">
        <v>745</v>
      </c>
      <c r="D585" s="7" t="n">
        <v>-300</v>
      </c>
      <c r="E585" s="16" t="s">
        <v>206</v>
      </c>
      <c r="F585" s="7" t="n">
        <v>143743.06</v>
      </c>
      <c r="G585" s="16" t="s">
        <v>121</v>
      </c>
    </row>
    <row r="586" customFormat="false" ht="15" hidden="false" customHeight="false" outlineLevel="0" collapsed="false">
      <c r="A586" s="0" t="s">
        <v>187</v>
      </c>
      <c r="B586" s="14" t="n">
        <v>45904</v>
      </c>
      <c r="C586" s="16" t="s">
        <v>746</v>
      </c>
      <c r="D586" s="7" t="n">
        <v>-10.78</v>
      </c>
      <c r="E586" s="16" t="s">
        <v>206</v>
      </c>
      <c r="F586" s="7" t="n">
        <v>144043.06</v>
      </c>
      <c r="G586" s="16" t="s">
        <v>116</v>
      </c>
    </row>
    <row r="587" customFormat="false" ht="15" hidden="false" customHeight="false" outlineLevel="0" collapsed="false">
      <c r="A587" s="0" t="s">
        <v>187</v>
      </c>
      <c r="B587" s="14" t="n">
        <v>45903</v>
      </c>
      <c r="C587" s="16" t="s">
        <v>747</v>
      </c>
      <c r="D587" s="7" t="n">
        <v>-0.11</v>
      </c>
      <c r="E587" s="16" t="s">
        <v>189</v>
      </c>
      <c r="F587" s="7" t="n">
        <v>144053.84</v>
      </c>
      <c r="G587" s="16" t="s">
        <v>110</v>
      </c>
    </row>
    <row r="588" customFormat="false" ht="15" hidden="false" customHeight="false" outlineLevel="0" collapsed="false">
      <c r="A588" s="0" t="s">
        <v>187</v>
      </c>
      <c r="B588" s="14" t="n">
        <v>45903</v>
      </c>
      <c r="C588" s="16" t="s">
        <v>748</v>
      </c>
      <c r="D588" s="7" t="n">
        <v>-0.42</v>
      </c>
      <c r="E588" s="16" t="s">
        <v>189</v>
      </c>
      <c r="F588" s="7" t="n">
        <v>144053.95</v>
      </c>
      <c r="G588" s="16" t="s">
        <v>110</v>
      </c>
    </row>
    <row r="589" customFormat="false" ht="15" hidden="false" customHeight="false" outlineLevel="0" collapsed="false">
      <c r="A589" s="0" t="s">
        <v>187</v>
      </c>
      <c r="B589" s="14" t="n">
        <v>45903</v>
      </c>
      <c r="C589" s="16" t="s">
        <v>749</v>
      </c>
      <c r="D589" s="7" t="n">
        <v>-2.33</v>
      </c>
      <c r="E589" s="16" t="s">
        <v>189</v>
      </c>
      <c r="F589" s="7" t="n">
        <v>144054.37</v>
      </c>
      <c r="G589" s="16" t="s">
        <v>110</v>
      </c>
    </row>
    <row r="590" customFormat="false" ht="15" hidden="false" customHeight="false" outlineLevel="0" collapsed="false">
      <c r="A590" s="0" t="s">
        <v>187</v>
      </c>
      <c r="B590" s="14" t="n">
        <v>45903</v>
      </c>
      <c r="C590" s="16" t="s">
        <v>750</v>
      </c>
      <c r="D590" s="7" t="n">
        <v>-3000</v>
      </c>
      <c r="E590" s="16" t="s">
        <v>213</v>
      </c>
      <c r="F590" s="7" t="n">
        <v>144056.7</v>
      </c>
      <c r="G590" s="16" t="s">
        <v>96</v>
      </c>
    </row>
    <row r="591" customFormat="false" ht="15" hidden="false" customHeight="false" outlineLevel="0" collapsed="false">
      <c r="A591" s="0" t="s">
        <v>187</v>
      </c>
      <c r="B591" s="14" t="n">
        <v>45903</v>
      </c>
      <c r="C591" s="16" t="s">
        <v>751</v>
      </c>
      <c r="D591" s="7" t="n">
        <v>-2000</v>
      </c>
      <c r="E591" s="16" t="s">
        <v>213</v>
      </c>
      <c r="F591" s="7" t="n">
        <v>147056.7</v>
      </c>
      <c r="G591" s="16" t="s">
        <v>185</v>
      </c>
    </row>
    <row r="592" customFormat="false" ht="15" hidden="false" customHeight="false" outlineLevel="0" collapsed="false">
      <c r="A592" s="0" t="s">
        <v>187</v>
      </c>
      <c r="B592" s="14" t="n">
        <v>45903</v>
      </c>
      <c r="C592" s="16" t="s">
        <v>752</v>
      </c>
      <c r="D592" s="7" t="n">
        <v>-77.94</v>
      </c>
      <c r="E592" s="16" t="s">
        <v>206</v>
      </c>
      <c r="F592" s="7" t="n">
        <v>149056.7</v>
      </c>
      <c r="G592" s="16" t="s">
        <v>127</v>
      </c>
    </row>
    <row r="593" customFormat="false" ht="15" hidden="false" customHeight="false" outlineLevel="0" collapsed="false">
      <c r="A593" s="0" t="s">
        <v>187</v>
      </c>
      <c r="B593" s="14" t="n">
        <v>45903</v>
      </c>
      <c r="C593" s="16" t="s">
        <v>753</v>
      </c>
      <c r="D593" s="7" t="n">
        <v>-12.99</v>
      </c>
      <c r="E593" s="16" t="s">
        <v>206</v>
      </c>
      <c r="F593" s="7" t="n">
        <v>149134.64</v>
      </c>
      <c r="G593" s="16" t="s">
        <v>144</v>
      </c>
    </row>
    <row r="594" customFormat="false" ht="15" hidden="false" customHeight="false" outlineLevel="0" collapsed="false">
      <c r="A594" s="0" t="s">
        <v>187</v>
      </c>
      <c r="B594" s="14" t="n">
        <v>45903</v>
      </c>
      <c r="C594" s="16" t="s">
        <v>754</v>
      </c>
      <c r="D594" s="7" t="n">
        <v>-101.99</v>
      </c>
      <c r="E594" s="16" t="s">
        <v>206</v>
      </c>
      <c r="F594" s="7" t="n">
        <v>149147.63</v>
      </c>
      <c r="G594" s="16" t="s">
        <v>144</v>
      </c>
    </row>
    <row r="595" customFormat="false" ht="15" hidden="false" customHeight="false" outlineLevel="0" collapsed="false">
      <c r="A595" s="0" t="s">
        <v>187</v>
      </c>
      <c r="B595" s="14" t="n">
        <v>45903</v>
      </c>
      <c r="C595" s="16" t="s">
        <v>755</v>
      </c>
      <c r="D595" s="7" t="n">
        <v>-1000</v>
      </c>
      <c r="E595" s="16" t="s">
        <v>206</v>
      </c>
      <c r="F595" s="7" t="n">
        <v>149249.62</v>
      </c>
      <c r="G595" s="16" t="s">
        <v>183</v>
      </c>
    </row>
    <row r="596" customFormat="false" ht="15" hidden="false" customHeight="false" outlineLevel="0" collapsed="false">
      <c r="A596" s="0" t="s">
        <v>187</v>
      </c>
      <c r="B596" s="14" t="n">
        <v>45903</v>
      </c>
      <c r="C596" s="16" t="s">
        <v>756</v>
      </c>
      <c r="D596" s="7" t="n">
        <v>-16</v>
      </c>
      <c r="E596" s="16" t="s">
        <v>206</v>
      </c>
      <c r="F596" s="7" t="n">
        <v>150249.62</v>
      </c>
      <c r="G596" s="16" t="s">
        <v>144</v>
      </c>
    </row>
    <row r="597" customFormat="false" ht="15" hidden="false" customHeight="false" outlineLevel="0" collapsed="false">
      <c r="A597" s="0" t="s">
        <v>187</v>
      </c>
      <c r="B597" s="14" t="n">
        <v>45903</v>
      </c>
      <c r="C597" s="16" t="s">
        <v>757</v>
      </c>
      <c r="D597" s="7" t="n">
        <v>-3.98</v>
      </c>
      <c r="E597" s="16" t="s">
        <v>206</v>
      </c>
      <c r="F597" s="7" t="n">
        <v>150265.62</v>
      </c>
      <c r="G597" s="16" t="s">
        <v>127</v>
      </c>
    </row>
    <row r="598" customFormat="false" ht="15" hidden="false" customHeight="false" outlineLevel="0" collapsed="false">
      <c r="A598" s="0" t="s">
        <v>187</v>
      </c>
      <c r="B598" s="14" t="n">
        <v>45903</v>
      </c>
      <c r="C598" s="16" t="s">
        <v>758</v>
      </c>
      <c r="D598" s="7" t="n">
        <v>-14.32</v>
      </c>
      <c r="E598" s="16" t="s">
        <v>206</v>
      </c>
      <c r="F598" s="7" t="n">
        <v>150269.6</v>
      </c>
      <c r="G598" s="16" t="s">
        <v>127</v>
      </c>
    </row>
    <row r="599" customFormat="false" ht="15" hidden="false" customHeight="false" outlineLevel="0" collapsed="false">
      <c r="A599" s="0" t="s">
        <v>187</v>
      </c>
      <c r="B599" s="14" t="n">
        <v>45902</v>
      </c>
      <c r="C599" s="16" t="s">
        <v>759</v>
      </c>
      <c r="D599" s="7" t="n">
        <v>-0.04</v>
      </c>
      <c r="E599" s="16" t="s">
        <v>189</v>
      </c>
      <c r="F599" s="7" t="n">
        <v>150283.92</v>
      </c>
      <c r="G599" s="16" t="s">
        <v>127</v>
      </c>
    </row>
    <row r="600" customFormat="false" ht="15" hidden="false" customHeight="false" outlineLevel="0" collapsed="false">
      <c r="A600" s="0" t="s">
        <v>187</v>
      </c>
      <c r="B600" s="14" t="n">
        <v>45902</v>
      </c>
      <c r="C600" s="16" t="s">
        <v>748</v>
      </c>
      <c r="D600" s="7" t="n">
        <v>-0.59</v>
      </c>
      <c r="E600" s="16" t="s">
        <v>189</v>
      </c>
      <c r="F600" s="7" t="n">
        <v>150283.96</v>
      </c>
      <c r="G600" s="16" t="s">
        <v>127</v>
      </c>
    </row>
    <row r="601" customFormat="false" ht="15" hidden="false" customHeight="false" outlineLevel="0" collapsed="false">
      <c r="A601" s="0" t="s">
        <v>187</v>
      </c>
      <c r="B601" s="14" t="n">
        <v>45902</v>
      </c>
      <c r="C601" s="16" t="s">
        <v>760</v>
      </c>
      <c r="D601" s="7" t="n">
        <v>-0.6</v>
      </c>
      <c r="E601" s="16" t="s">
        <v>189</v>
      </c>
      <c r="F601" s="7" t="n">
        <v>150284.55</v>
      </c>
      <c r="G601" s="16" t="s">
        <v>110</v>
      </c>
    </row>
    <row r="602" customFormat="false" ht="15" hidden="false" customHeight="false" outlineLevel="0" collapsed="false">
      <c r="A602" s="0" t="s">
        <v>187</v>
      </c>
      <c r="B602" s="14" t="n">
        <v>45902</v>
      </c>
      <c r="C602" s="16" t="s">
        <v>761</v>
      </c>
      <c r="D602" s="7" t="n">
        <v>-0.67</v>
      </c>
      <c r="E602" s="16" t="s">
        <v>189</v>
      </c>
      <c r="F602" s="7" t="n">
        <v>150285.15</v>
      </c>
      <c r="G602" s="16" t="s">
        <v>127</v>
      </c>
    </row>
    <row r="603" customFormat="false" ht="15" hidden="false" customHeight="false" outlineLevel="0" collapsed="false">
      <c r="A603" s="0" t="s">
        <v>187</v>
      </c>
      <c r="B603" s="14" t="n">
        <v>45902</v>
      </c>
      <c r="C603" s="16" t="s">
        <v>762</v>
      </c>
      <c r="D603" s="7" t="n">
        <v>-1.11</v>
      </c>
      <c r="E603" s="16" t="s">
        <v>189</v>
      </c>
      <c r="F603" s="7" t="n">
        <v>150285.82</v>
      </c>
      <c r="G603" s="16" t="s">
        <v>127</v>
      </c>
    </row>
    <row r="604" customFormat="false" ht="15" hidden="false" customHeight="false" outlineLevel="0" collapsed="false">
      <c r="A604" s="0" t="s">
        <v>187</v>
      </c>
      <c r="B604" s="14" t="n">
        <v>45902</v>
      </c>
      <c r="C604" s="16" t="s">
        <v>748</v>
      </c>
      <c r="D604" s="7" t="n">
        <v>-1.55</v>
      </c>
      <c r="E604" s="16" t="s">
        <v>189</v>
      </c>
      <c r="F604" s="7" t="n">
        <v>150286.93</v>
      </c>
      <c r="G604" s="16" t="s">
        <v>127</v>
      </c>
    </row>
    <row r="605" customFormat="false" ht="15" hidden="false" customHeight="false" outlineLevel="0" collapsed="false">
      <c r="A605" s="0" t="s">
        <v>187</v>
      </c>
      <c r="B605" s="14" t="n">
        <v>45902</v>
      </c>
      <c r="C605" s="16" t="s">
        <v>316</v>
      </c>
      <c r="D605" s="7" t="n">
        <v>-5</v>
      </c>
      <c r="E605" s="16" t="s">
        <v>189</v>
      </c>
      <c r="F605" s="7" t="n">
        <v>150288.48</v>
      </c>
      <c r="G605" s="16" t="s">
        <v>127</v>
      </c>
    </row>
    <row r="606" customFormat="false" ht="15" hidden="false" customHeight="false" outlineLevel="0" collapsed="false">
      <c r="A606" s="0" t="s">
        <v>187</v>
      </c>
      <c r="B606" s="14" t="n">
        <v>45902</v>
      </c>
      <c r="C606" s="16" t="s">
        <v>277</v>
      </c>
      <c r="D606" s="7" t="n">
        <v>-15</v>
      </c>
      <c r="E606" s="16" t="s">
        <v>189</v>
      </c>
      <c r="F606" s="7" t="n">
        <v>150298.48</v>
      </c>
      <c r="G606" s="16" t="s">
        <v>123</v>
      </c>
    </row>
    <row r="607" customFormat="false" ht="15" hidden="false" customHeight="false" outlineLevel="0" collapsed="false">
      <c r="A607" s="0" t="s">
        <v>187</v>
      </c>
      <c r="B607" s="14" t="n">
        <v>45902</v>
      </c>
      <c r="C607" s="16" t="s">
        <v>446</v>
      </c>
      <c r="D607" s="7" t="n">
        <v>-25</v>
      </c>
      <c r="E607" s="16" t="s">
        <v>189</v>
      </c>
      <c r="F607" s="7" t="n">
        <v>150313.48</v>
      </c>
      <c r="G607" s="16" t="s">
        <v>110</v>
      </c>
    </row>
    <row r="608" customFormat="false" ht="15" hidden="false" customHeight="false" outlineLevel="0" collapsed="false">
      <c r="A608" s="0" t="s">
        <v>187</v>
      </c>
      <c r="B608" s="14" t="n">
        <v>45902</v>
      </c>
      <c r="C608" s="16" t="s">
        <v>763</v>
      </c>
      <c r="D608" s="7" t="n">
        <v>-207.8</v>
      </c>
      <c r="E608" s="16" t="s">
        <v>319</v>
      </c>
      <c r="F608" s="7" t="n">
        <v>150338.48</v>
      </c>
      <c r="G608" s="16" t="s">
        <v>127</v>
      </c>
    </row>
    <row r="609" customFormat="false" ht="15" hidden="false" customHeight="false" outlineLevel="0" collapsed="false">
      <c r="A609" s="0" t="s">
        <v>187</v>
      </c>
      <c r="B609" s="14" t="n">
        <v>45902</v>
      </c>
      <c r="C609" s="16" t="s">
        <v>764</v>
      </c>
      <c r="D609" s="7" t="n">
        <v>-184.27</v>
      </c>
      <c r="E609" s="16" t="s">
        <v>206</v>
      </c>
      <c r="F609" s="7" t="n">
        <v>150546.28</v>
      </c>
      <c r="G609" s="16" t="s">
        <v>67</v>
      </c>
    </row>
    <row r="610" customFormat="false" ht="15" hidden="false" customHeight="false" outlineLevel="0" collapsed="false">
      <c r="A610" s="0" t="s">
        <v>187</v>
      </c>
      <c r="B610" s="14" t="n">
        <v>45902</v>
      </c>
      <c r="C610" s="16" t="s">
        <v>765</v>
      </c>
      <c r="D610" s="7" t="n">
        <v>-619.57</v>
      </c>
      <c r="E610" s="16" t="s">
        <v>193</v>
      </c>
      <c r="F610" s="7" t="n">
        <v>150730.55</v>
      </c>
      <c r="G610" s="16" t="s">
        <v>181</v>
      </c>
    </row>
    <row r="611" customFormat="false" ht="15" hidden="false" customHeight="false" outlineLevel="0" collapsed="false">
      <c r="A611" s="0" t="s">
        <v>187</v>
      </c>
      <c r="B611" s="14" t="n">
        <v>45902</v>
      </c>
      <c r="C611" s="16" t="s">
        <v>766</v>
      </c>
      <c r="D611" s="7" t="n">
        <v>-870.54</v>
      </c>
      <c r="E611" s="16" t="s">
        <v>193</v>
      </c>
      <c r="F611" s="7" t="n">
        <v>151350.12</v>
      </c>
      <c r="G611" s="16" t="s">
        <v>184</v>
      </c>
    </row>
    <row r="612" customFormat="false" ht="15" hidden="false" customHeight="false" outlineLevel="0" collapsed="false">
      <c r="A612" s="0" t="s">
        <v>187</v>
      </c>
      <c r="B612" s="14" t="n">
        <v>45902</v>
      </c>
      <c r="C612" s="16" t="s">
        <v>767</v>
      </c>
      <c r="D612" s="7" t="n">
        <v>-1250</v>
      </c>
      <c r="E612" s="16" t="s">
        <v>193</v>
      </c>
      <c r="F612" s="7" t="n">
        <v>152220.66</v>
      </c>
      <c r="G612" s="16" t="s">
        <v>80</v>
      </c>
    </row>
    <row r="613" customFormat="false" ht="15" hidden="false" customHeight="false" outlineLevel="0" collapsed="false">
      <c r="A613" s="0" t="s">
        <v>187</v>
      </c>
      <c r="B613" s="14" t="n">
        <v>45902</v>
      </c>
      <c r="C613" s="16" t="s">
        <v>768</v>
      </c>
      <c r="D613" s="7" t="n">
        <v>-37.18</v>
      </c>
      <c r="E613" s="16" t="s">
        <v>206</v>
      </c>
      <c r="F613" s="7" t="n">
        <v>153470.66</v>
      </c>
      <c r="G613" s="16" t="s">
        <v>127</v>
      </c>
    </row>
    <row r="614" customFormat="false" ht="15" hidden="false" customHeight="false" outlineLevel="0" collapsed="false">
      <c r="A614" s="0" t="s">
        <v>187</v>
      </c>
      <c r="B614" s="14" t="n">
        <v>45902</v>
      </c>
      <c r="C614" s="16" t="s">
        <v>769</v>
      </c>
      <c r="D614" s="7" t="n">
        <v>-200</v>
      </c>
      <c r="E614" s="16" t="s">
        <v>206</v>
      </c>
      <c r="F614" s="7" t="n">
        <v>153507.84</v>
      </c>
      <c r="G614" s="16" t="s">
        <v>78</v>
      </c>
    </row>
    <row r="615" customFormat="false" ht="15" hidden="false" customHeight="false" outlineLevel="0" collapsed="false">
      <c r="A615" s="0" t="s">
        <v>187</v>
      </c>
      <c r="B615" s="14" t="n">
        <v>45902</v>
      </c>
      <c r="C615" s="16" t="s">
        <v>770</v>
      </c>
      <c r="D615" s="7" t="n">
        <v>-8.99</v>
      </c>
      <c r="E615" s="16" t="s">
        <v>206</v>
      </c>
      <c r="F615" s="7" t="n">
        <v>153707.84</v>
      </c>
      <c r="G615" s="16" t="s">
        <v>144</v>
      </c>
    </row>
    <row r="616" customFormat="false" ht="15" hidden="false" customHeight="false" outlineLevel="0" collapsed="false">
      <c r="A616" s="0" t="s">
        <v>187</v>
      </c>
      <c r="B616" s="14" t="n">
        <v>45902</v>
      </c>
      <c r="C616" s="16" t="s">
        <v>771</v>
      </c>
      <c r="D616" s="7" t="n">
        <v>-1.33</v>
      </c>
      <c r="E616" s="16" t="s">
        <v>206</v>
      </c>
      <c r="F616" s="7" t="n">
        <v>153716.83</v>
      </c>
      <c r="G616" s="16" t="s">
        <v>143</v>
      </c>
    </row>
    <row r="617" customFormat="false" ht="15" hidden="false" customHeight="false" outlineLevel="0" collapsed="false">
      <c r="A617" s="0" t="s">
        <v>187</v>
      </c>
      <c r="B617" s="14" t="n">
        <v>45902</v>
      </c>
      <c r="C617" s="16" t="s">
        <v>772</v>
      </c>
      <c r="D617" s="7" t="n">
        <v>-800</v>
      </c>
      <c r="E617" s="16" t="s">
        <v>215</v>
      </c>
      <c r="F617" s="7" t="n">
        <v>153718.16</v>
      </c>
      <c r="G617" s="16" t="s">
        <v>84</v>
      </c>
    </row>
    <row r="618" customFormat="false" ht="15" hidden="false" customHeight="false" outlineLevel="0" collapsed="false">
      <c r="A618" s="0" t="s">
        <v>187</v>
      </c>
      <c r="B618" s="14" t="n">
        <v>45902</v>
      </c>
      <c r="C618" s="16" t="s">
        <v>773</v>
      </c>
      <c r="D618" s="7" t="n">
        <v>-367.5</v>
      </c>
      <c r="E618" s="16" t="s">
        <v>206</v>
      </c>
      <c r="F618" s="7" t="n">
        <v>154518.16</v>
      </c>
      <c r="G618" s="16" t="s">
        <v>75</v>
      </c>
    </row>
    <row r="619" customFormat="false" ht="15" hidden="false" customHeight="false" outlineLevel="0" collapsed="false">
      <c r="A619" s="0" t="s">
        <v>187</v>
      </c>
      <c r="B619" s="14" t="n">
        <v>45902</v>
      </c>
      <c r="C619" s="16" t="s">
        <v>774</v>
      </c>
      <c r="D619" s="7" t="n">
        <v>-18.99</v>
      </c>
      <c r="E619" s="16" t="s">
        <v>206</v>
      </c>
      <c r="F619" s="7" t="n">
        <v>154885.66</v>
      </c>
      <c r="G619" s="16" t="s">
        <v>144</v>
      </c>
    </row>
    <row r="620" customFormat="false" ht="15" hidden="false" customHeight="false" outlineLevel="0" collapsed="false">
      <c r="A620" s="0" t="s">
        <v>187</v>
      </c>
      <c r="B620" s="14" t="n">
        <v>45902</v>
      </c>
      <c r="C620" s="16" t="s">
        <v>775</v>
      </c>
      <c r="D620" s="7" t="n">
        <v>-16.8</v>
      </c>
      <c r="E620" s="16" t="s">
        <v>206</v>
      </c>
      <c r="F620" s="7" t="n">
        <v>154904.65</v>
      </c>
      <c r="G620" s="16" t="s">
        <v>144</v>
      </c>
    </row>
    <row r="621" customFormat="false" ht="15" hidden="false" customHeight="false" outlineLevel="0" collapsed="false">
      <c r="A621" s="0" t="s">
        <v>187</v>
      </c>
      <c r="B621" s="14" t="n">
        <v>45902</v>
      </c>
      <c r="C621" s="16" t="s">
        <v>776</v>
      </c>
      <c r="D621" s="7" t="n">
        <v>-2000</v>
      </c>
      <c r="E621" s="16" t="s">
        <v>213</v>
      </c>
      <c r="F621" s="7" t="n">
        <v>154921.45</v>
      </c>
      <c r="G621" s="16" t="s">
        <v>96</v>
      </c>
    </row>
    <row r="622" customFormat="false" ht="15" hidden="false" customHeight="false" outlineLevel="0" collapsed="false">
      <c r="A622" s="0" t="s">
        <v>187</v>
      </c>
      <c r="B622" s="14" t="n">
        <v>45902</v>
      </c>
      <c r="C622" s="16" t="s">
        <v>777</v>
      </c>
      <c r="D622" s="7" t="n">
        <v>-3000</v>
      </c>
      <c r="E622" s="16" t="s">
        <v>213</v>
      </c>
      <c r="F622" s="7" t="n">
        <v>156921.45</v>
      </c>
      <c r="G622" s="16" t="s">
        <v>96</v>
      </c>
    </row>
    <row r="623" customFormat="false" ht="15" hidden="false" customHeight="false" outlineLevel="0" collapsed="false">
      <c r="A623" s="0" t="s">
        <v>187</v>
      </c>
      <c r="B623" s="14" t="n">
        <v>45902</v>
      </c>
      <c r="C623" s="16" t="s">
        <v>778</v>
      </c>
      <c r="D623" s="7" t="n">
        <v>-51.71</v>
      </c>
      <c r="E623" s="16" t="s">
        <v>206</v>
      </c>
      <c r="F623" s="7" t="n">
        <v>159921.45</v>
      </c>
      <c r="G623" s="16" t="s">
        <v>127</v>
      </c>
    </row>
    <row r="624" customFormat="false" ht="15" hidden="false" customHeight="false" outlineLevel="0" collapsed="false">
      <c r="A624" s="0" t="s">
        <v>187</v>
      </c>
      <c r="B624" s="14" t="n">
        <v>45902</v>
      </c>
      <c r="C624" s="16" t="s">
        <v>779</v>
      </c>
      <c r="D624" s="7" t="n">
        <v>-407.8</v>
      </c>
      <c r="E624" s="16" t="s">
        <v>319</v>
      </c>
      <c r="F624" s="7" t="n">
        <v>159973.16</v>
      </c>
      <c r="G624" s="16" t="s">
        <v>127</v>
      </c>
    </row>
    <row r="625" customFormat="false" ht="15" hidden="false" customHeight="false" outlineLevel="0" collapsed="false">
      <c r="A625" s="0" t="s">
        <v>187</v>
      </c>
      <c r="B625" s="14" t="n">
        <v>45902</v>
      </c>
      <c r="C625" s="16" t="s">
        <v>780</v>
      </c>
      <c r="D625" s="7" t="n">
        <v>-22.48</v>
      </c>
      <c r="E625" s="16" t="s">
        <v>206</v>
      </c>
      <c r="F625" s="7" t="n">
        <v>160380.96</v>
      </c>
      <c r="G625" s="16" t="s">
        <v>127</v>
      </c>
    </row>
    <row r="626" customFormat="false" ht="15" hidden="false" customHeight="false" outlineLevel="0" collapsed="false">
      <c r="A626" s="0" t="s">
        <v>187</v>
      </c>
      <c r="B626" s="14" t="n">
        <v>45902</v>
      </c>
      <c r="C626" s="16" t="s">
        <v>781</v>
      </c>
      <c r="D626" s="7" t="n">
        <v>-19.89</v>
      </c>
      <c r="E626" s="16" t="s">
        <v>206</v>
      </c>
      <c r="F626" s="7" t="n">
        <v>160403.44</v>
      </c>
      <c r="G626" s="16" t="s">
        <v>127</v>
      </c>
    </row>
    <row r="627" customFormat="false" ht="15" hidden="false" customHeight="false" outlineLevel="0" collapsed="false">
      <c r="A627" s="0" t="s">
        <v>187</v>
      </c>
      <c r="B627" s="14" t="n">
        <v>45902</v>
      </c>
      <c r="C627" s="16" t="s">
        <v>782</v>
      </c>
      <c r="D627" s="7" t="n">
        <v>-1.63</v>
      </c>
      <c r="E627" s="16" t="s">
        <v>206</v>
      </c>
      <c r="F627" s="7" t="n">
        <v>160423.33</v>
      </c>
      <c r="G627" s="16" t="s">
        <v>127</v>
      </c>
    </row>
    <row r="628" customFormat="false" ht="15" hidden="false" customHeight="false" outlineLevel="0" collapsed="false">
      <c r="A628" s="0" t="s">
        <v>187</v>
      </c>
      <c r="B628" s="14" t="n">
        <v>45902</v>
      </c>
      <c r="C628" s="16" t="s">
        <v>783</v>
      </c>
      <c r="D628" s="7" t="n">
        <v>-200</v>
      </c>
      <c r="E628" s="16" t="s">
        <v>206</v>
      </c>
      <c r="F628" s="7" t="n">
        <v>160424.96</v>
      </c>
      <c r="G628" s="16" t="s">
        <v>127</v>
      </c>
    </row>
    <row r="629" customFormat="false" ht="15" hidden="false" customHeight="false" outlineLevel="0" collapsed="false">
      <c r="A629" s="0" t="s">
        <v>187</v>
      </c>
      <c r="B629" s="14" t="n">
        <v>45902</v>
      </c>
      <c r="C629" s="16" t="s">
        <v>784</v>
      </c>
      <c r="D629" s="7" t="n">
        <v>-15.99</v>
      </c>
      <c r="E629" s="16" t="s">
        <v>206</v>
      </c>
      <c r="F629" s="7" t="n">
        <v>160624.96</v>
      </c>
      <c r="G629" s="16" t="s">
        <v>144</v>
      </c>
    </row>
    <row r="630" customFormat="false" ht="15" hidden="false" customHeight="false" outlineLevel="0" collapsed="false">
      <c r="A630" s="0" t="s">
        <v>187</v>
      </c>
      <c r="B630" s="14" t="n">
        <v>45902</v>
      </c>
      <c r="C630" s="16" t="s">
        <v>784</v>
      </c>
      <c r="D630" s="7" t="n">
        <v>-18.99</v>
      </c>
      <c r="E630" s="16" t="s">
        <v>206</v>
      </c>
      <c r="F630" s="7" t="n">
        <v>160640.95</v>
      </c>
      <c r="G630" s="16" t="s">
        <v>144</v>
      </c>
    </row>
    <row r="631" customFormat="false" ht="15" hidden="false" customHeight="false" outlineLevel="0" collapsed="false">
      <c r="A631" s="0" t="s">
        <v>187</v>
      </c>
      <c r="B631" s="14" t="n">
        <v>45902</v>
      </c>
      <c r="C631" s="16" t="s">
        <v>785</v>
      </c>
      <c r="D631" s="7" t="n">
        <v>-2524</v>
      </c>
      <c r="E631" s="16" t="s">
        <v>193</v>
      </c>
      <c r="F631" s="7" t="n">
        <v>160659.94</v>
      </c>
      <c r="G631" s="16" t="s">
        <v>103</v>
      </c>
    </row>
    <row r="632" customFormat="false" ht="15" hidden="false" customHeight="false" outlineLevel="0" collapsed="false">
      <c r="A632" s="0" t="s">
        <v>187</v>
      </c>
      <c r="B632" s="14" t="n">
        <v>45902</v>
      </c>
      <c r="C632" s="16" t="s">
        <v>786</v>
      </c>
      <c r="D632" s="7" t="n">
        <v>-1286.55</v>
      </c>
      <c r="E632" s="16" t="s">
        <v>206</v>
      </c>
      <c r="F632" s="7" t="n">
        <v>163183.94</v>
      </c>
      <c r="G632" s="16" t="s">
        <v>78</v>
      </c>
    </row>
    <row r="633" customFormat="false" ht="15" hidden="false" customHeight="false" outlineLevel="0" collapsed="false">
      <c r="A633" s="0" t="s">
        <v>187</v>
      </c>
      <c r="B633" s="14" t="n">
        <v>45902</v>
      </c>
      <c r="C633" s="16" t="s">
        <v>787</v>
      </c>
      <c r="D633" s="7" t="n">
        <v>-7010</v>
      </c>
      <c r="E633" s="16" t="s">
        <v>208</v>
      </c>
      <c r="F633" s="7" t="n">
        <v>164470.49</v>
      </c>
      <c r="G633" s="16" t="s">
        <v>134</v>
      </c>
    </row>
    <row r="634" customFormat="false" ht="15" hidden="false" customHeight="false" outlineLevel="0" collapsed="false">
      <c r="A634" s="0" t="s">
        <v>187</v>
      </c>
      <c r="B634" s="14" t="n">
        <v>45902</v>
      </c>
      <c r="C634" s="16" t="s">
        <v>788</v>
      </c>
      <c r="D634" s="7" t="n">
        <v>-389.7</v>
      </c>
      <c r="E634" s="16" t="s">
        <v>206</v>
      </c>
      <c r="F634" s="7" t="n">
        <v>171480.49</v>
      </c>
      <c r="G634" s="16" t="s">
        <v>67</v>
      </c>
    </row>
    <row r="635" customFormat="false" ht="15" hidden="false" customHeight="false" outlineLevel="0" collapsed="false">
      <c r="A635" s="0" t="s">
        <v>259</v>
      </c>
      <c r="B635" s="14" t="n">
        <v>45902</v>
      </c>
      <c r="C635" s="16" t="s">
        <v>789</v>
      </c>
      <c r="D635" s="7" t="n">
        <v>145125</v>
      </c>
      <c r="E635" s="16" t="s">
        <v>282</v>
      </c>
      <c r="F635" s="7" t="n">
        <v>171870.19</v>
      </c>
      <c r="G635" s="16" t="s">
        <v>39</v>
      </c>
    </row>
    <row r="636" customFormat="false" ht="15" hidden="false" customHeight="false" outlineLevel="0" collapsed="false">
      <c r="A636" s="0" t="s">
        <v>187</v>
      </c>
      <c r="B636" s="14" t="n">
        <v>45898</v>
      </c>
      <c r="C636" s="16" t="s">
        <v>790</v>
      </c>
      <c r="D636" s="7" t="n">
        <v>-1000</v>
      </c>
      <c r="E636" s="16" t="s">
        <v>213</v>
      </c>
      <c r="F636" s="7" t="n">
        <v>26745.19</v>
      </c>
      <c r="G636" s="16" t="s">
        <v>97</v>
      </c>
    </row>
    <row r="637" customFormat="false" ht="15" hidden="false" customHeight="false" outlineLevel="0" collapsed="false">
      <c r="A637" s="0" t="s">
        <v>187</v>
      </c>
      <c r="B637" s="14" t="n">
        <v>45898</v>
      </c>
      <c r="C637" s="16" t="s">
        <v>791</v>
      </c>
      <c r="D637" s="7" t="n">
        <v>-10000</v>
      </c>
      <c r="E637" s="16" t="s">
        <v>213</v>
      </c>
      <c r="F637" s="7" t="n">
        <v>27745.19</v>
      </c>
      <c r="G637" s="16" t="s">
        <v>98</v>
      </c>
    </row>
    <row r="638" customFormat="false" ht="15" hidden="false" customHeight="false" outlineLevel="0" collapsed="false">
      <c r="A638" s="0" t="s">
        <v>187</v>
      </c>
      <c r="B638" s="14" t="n">
        <v>45898</v>
      </c>
      <c r="C638" s="16" t="s">
        <v>792</v>
      </c>
      <c r="D638" s="7" t="n">
        <v>-837.28</v>
      </c>
      <c r="E638" s="16" t="s">
        <v>193</v>
      </c>
      <c r="F638" s="7" t="n">
        <v>37745.19</v>
      </c>
      <c r="G638" s="16" t="s">
        <v>145</v>
      </c>
    </row>
    <row r="639" customFormat="false" ht="15" hidden="false" customHeight="false" outlineLevel="0" collapsed="false">
      <c r="A639" s="0" t="s">
        <v>187</v>
      </c>
      <c r="B639" s="14" t="n">
        <v>45898</v>
      </c>
      <c r="C639" s="16" t="s">
        <v>793</v>
      </c>
      <c r="D639" s="7" t="n">
        <v>-1500</v>
      </c>
      <c r="E639" s="16" t="s">
        <v>197</v>
      </c>
      <c r="F639" s="7" t="n">
        <v>38582.47</v>
      </c>
      <c r="G639" s="16" t="s">
        <v>69</v>
      </c>
    </row>
    <row r="640" customFormat="false" ht="15" hidden="false" customHeight="false" outlineLevel="0" collapsed="false">
      <c r="A640" s="0" t="s">
        <v>187</v>
      </c>
      <c r="B640" s="14" t="n">
        <v>45898</v>
      </c>
      <c r="C640" s="16" t="s">
        <v>794</v>
      </c>
      <c r="D640" s="7" t="n">
        <v>-437.28</v>
      </c>
      <c r="E640" s="16" t="s">
        <v>193</v>
      </c>
      <c r="F640" s="7" t="n">
        <v>40082.47</v>
      </c>
      <c r="G640" s="16" t="s">
        <v>181</v>
      </c>
    </row>
    <row r="641" customFormat="false" ht="15" hidden="false" customHeight="false" outlineLevel="0" collapsed="false">
      <c r="A641" s="0" t="s">
        <v>187</v>
      </c>
      <c r="B641" s="14" t="n">
        <v>45898</v>
      </c>
      <c r="C641" s="16" t="s">
        <v>795</v>
      </c>
      <c r="D641" s="7" t="n">
        <v>-199.99</v>
      </c>
      <c r="E641" s="16" t="s">
        <v>206</v>
      </c>
      <c r="F641" s="7" t="n">
        <v>40519.75</v>
      </c>
      <c r="G641" s="16" t="s">
        <v>144</v>
      </c>
    </row>
    <row r="642" customFormat="false" ht="15" hidden="false" customHeight="false" outlineLevel="0" collapsed="false">
      <c r="A642" s="0" t="s">
        <v>187</v>
      </c>
      <c r="B642" s="14" t="n">
        <v>45898</v>
      </c>
      <c r="C642" s="16" t="s">
        <v>796</v>
      </c>
      <c r="D642" s="7" t="n">
        <v>-10.96</v>
      </c>
      <c r="E642" s="16" t="s">
        <v>206</v>
      </c>
      <c r="F642" s="7" t="n">
        <v>40719.74</v>
      </c>
      <c r="G642" s="16" t="s">
        <v>183</v>
      </c>
    </row>
    <row r="643" customFormat="false" ht="15" hidden="false" customHeight="false" outlineLevel="0" collapsed="false">
      <c r="A643" s="0" t="s">
        <v>187</v>
      </c>
      <c r="B643" s="14" t="n">
        <v>45898</v>
      </c>
      <c r="C643" s="16" t="s">
        <v>797</v>
      </c>
      <c r="D643" s="7" t="n">
        <v>-22.02</v>
      </c>
      <c r="E643" s="16" t="s">
        <v>206</v>
      </c>
      <c r="F643" s="7" t="n">
        <v>40730.7</v>
      </c>
      <c r="G643" s="16" t="s">
        <v>179</v>
      </c>
    </row>
    <row r="644" customFormat="false" ht="15" hidden="false" customHeight="false" outlineLevel="0" collapsed="false">
      <c r="A644" s="0" t="s">
        <v>187</v>
      </c>
      <c r="B644" s="14" t="n">
        <v>45898</v>
      </c>
      <c r="C644" s="16" t="s">
        <v>797</v>
      </c>
      <c r="D644" s="7" t="n">
        <v>-4</v>
      </c>
      <c r="E644" s="16" t="s">
        <v>206</v>
      </c>
      <c r="F644" s="7" t="n">
        <v>40752.72</v>
      </c>
      <c r="G644" s="16" t="s">
        <v>179</v>
      </c>
    </row>
    <row r="645" customFormat="false" ht="15" hidden="false" customHeight="false" outlineLevel="0" collapsed="false">
      <c r="A645" s="0" t="s">
        <v>187</v>
      </c>
      <c r="B645" s="14" t="n">
        <v>45898</v>
      </c>
      <c r="C645" s="16" t="s">
        <v>798</v>
      </c>
      <c r="D645" s="7" t="n">
        <v>-36.12</v>
      </c>
      <c r="E645" s="16" t="s">
        <v>206</v>
      </c>
      <c r="F645" s="7" t="n">
        <v>40756.72</v>
      </c>
      <c r="G645" s="16" t="s">
        <v>182</v>
      </c>
    </row>
    <row r="646" customFormat="false" ht="15" hidden="false" customHeight="false" outlineLevel="0" collapsed="false">
      <c r="A646" s="0" t="s">
        <v>187</v>
      </c>
      <c r="B646" s="14" t="n">
        <v>45898</v>
      </c>
      <c r="C646" s="16" t="s">
        <v>799</v>
      </c>
      <c r="D646" s="7" t="n">
        <v>-97.39</v>
      </c>
      <c r="E646" s="16" t="s">
        <v>206</v>
      </c>
      <c r="F646" s="7" t="n">
        <v>40792.84</v>
      </c>
      <c r="G646" s="16" t="s">
        <v>182</v>
      </c>
    </row>
    <row r="647" customFormat="false" ht="15" hidden="false" customHeight="false" outlineLevel="0" collapsed="false">
      <c r="A647" s="0" t="s">
        <v>259</v>
      </c>
      <c r="B647" s="14" t="n">
        <v>45898</v>
      </c>
      <c r="C647" s="16" t="s">
        <v>800</v>
      </c>
      <c r="D647" s="7" t="n">
        <v>30000</v>
      </c>
      <c r="E647" s="16" t="s">
        <v>213</v>
      </c>
      <c r="F647" s="7" t="n">
        <v>40890.23</v>
      </c>
      <c r="G647" s="16" t="s">
        <v>42</v>
      </c>
    </row>
    <row r="648" customFormat="false" ht="15" hidden="false" customHeight="false" outlineLevel="0" collapsed="false">
      <c r="A648" s="0" t="s">
        <v>187</v>
      </c>
      <c r="B648" s="14" t="n">
        <v>45897</v>
      </c>
      <c r="C648" s="16" t="s">
        <v>188</v>
      </c>
      <c r="D648" s="7" t="n">
        <v>-5</v>
      </c>
      <c r="E648" s="16" t="s">
        <v>189</v>
      </c>
      <c r="F648" s="7" t="n">
        <v>10890.23</v>
      </c>
      <c r="G648" s="16" t="s">
        <v>65</v>
      </c>
    </row>
    <row r="649" customFormat="false" ht="15" hidden="false" customHeight="false" outlineLevel="0" collapsed="false">
      <c r="A649" s="0" t="s">
        <v>187</v>
      </c>
      <c r="B649" s="14" t="n">
        <v>45897</v>
      </c>
      <c r="C649" s="16" t="s">
        <v>801</v>
      </c>
      <c r="D649" s="7" t="n">
        <v>-100</v>
      </c>
      <c r="E649" s="16" t="s">
        <v>215</v>
      </c>
      <c r="F649" s="7" t="n">
        <v>10895.23</v>
      </c>
      <c r="G649" s="16" t="s">
        <v>87</v>
      </c>
    </row>
    <row r="650" customFormat="false" ht="15" hidden="false" customHeight="false" outlineLevel="0" collapsed="false">
      <c r="A650" s="0" t="s">
        <v>187</v>
      </c>
      <c r="B650" s="14" t="n">
        <v>45897</v>
      </c>
      <c r="C650" s="16" t="s">
        <v>802</v>
      </c>
      <c r="D650" s="7" t="n">
        <v>-250</v>
      </c>
      <c r="E650" s="16" t="s">
        <v>215</v>
      </c>
      <c r="F650" s="7" t="n">
        <v>10995.23</v>
      </c>
      <c r="G650" s="16" t="s">
        <v>81</v>
      </c>
    </row>
    <row r="651" customFormat="false" ht="15" hidden="false" customHeight="false" outlineLevel="0" collapsed="false">
      <c r="A651" s="0" t="s">
        <v>187</v>
      </c>
      <c r="B651" s="14" t="n">
        <v>45897</v>
      </c>
      <c r="C651" s="16" t="s">
        <v>803</v>
      </c>
      <c r="D651" s="7" t="n">
        <v>-4000</v>
      </c>
      <c r="E651" s="16" t="s">
        <v>213</v>
      </c>
      <c r="F651" s="7" t="n">
        <v>11245.23</v>
      </c>
      <c r="G651" s="16" t="s">
        <v>96</v>
      </c>
    </row>
    <row r="652" customFormat="false" ht="15" hidden="false" customHeight="false" outlineLevel="0" collapsed="false">
      <c r="A652" s="0" t="s">
        <v>187</v>
      </c>
      <c r="B652" s="14" t="n">
        <v>45897</v>
      </c>
      <c r="C652" s="16" t="s">
        <v>804</v>
      </c>
      <c r="D652" s="7" t="n">
        <v>-12.5</v>
      </c>
      <c r="E652" s="16" t="s">
        <v>193</v>
      </c>
      <c r="F652" s="7" t="n">
        <v>15245.23</v>
      </c>
      <c r="G652" s="16" t="s">
        <v>142</v>
      </c>
    </row>
    <row r="653" customFormat="false" ht="15" hidden="false" customHeight="false" outlineLevel="0" collapsed="false">
      <c r="A653" s="0" t="s">
        <v>187</v>
      </c>
      <c r="B653" s="14" t="n">
        <v>45897</v>
      </c>
      <c r="C653" s="16" t="s">
        <v>805</v>
      </c>
      <c r="D653" s="7" t="n">
        <v>-22.92</v>
      </c>
      <c r="E653" s="16" t="s">
        <v>193</v>
      </c>
      <c r="F653" s="7" t="n">
        <v>15257.73</v>
      </c>
      <c r="G653" s="16" t="s">
        <v>142</v>
      </c>
    </row>
    <row r="654" customFormat="false" ht="15" hidden="false" customHeight="false" outlineLevel="0" collapsed="false">
      <c r="A654" s="0" t="s">
        <v>187</v>
      </c>
      <c r="B654" s="14" t="n">
        <v>45897</v>
      </c>
      <c r="C654" s="16" t="s">
        <v>806</v>
      </c>
      <c r="D654" s="7" t="n">
        <v>-750</v>
      </c>
      <c r="E654" s="16" t="s">
        <v>191</v>
      </c>
      <c r="F654" s="7" t="n">
        <v>15280.65</v>
      </c>
      <c r="G654" s="16" t="s">
        <v>65</v>
      </c>
    </row>
    <row r="655" customFormat="false" ht="15" hidden="false" customHeight="false" outlineLevel="0" collapsed="false">
      <c r="A655" s="0" t="s">
        <v>187</v>
      </c>
      <c r="B655" s="14" t="n">
        <v>45897</v>
      </c>
      <c r="C655" s="16" t="s">
        <v>807</v>
      </c>
      <c r="D655" s="7" t="n">
        <v>-2.25</v>
      </c>
      <c r="E655" s="16" t="s">
        <v>206</v>
      </c>
      <c r="F655" s="7" t="n">
        <v>16030.65</v>
      </c>
      <c r="G655" s="16" t="s">
        <v>179</v>
      </c>
    </row>
    <row r="656" customFormat="false" ht="15" hidden="false" customHeight="false" outlineLevel="0" collapsed="false">
      <c r="A656" s="0" t="s">
        <v>187</v>
      </c>
      <c r="B656" s="14" t="n">
        <v>45897</v>
      </c>
      <c r="C656" s="16" t="s">
        <v>808</v>
      </c>
      <c r="D656" s="7" t="n">
        <v>-7.3</v>
      </c>
      <c r="E656" s="16" t="s">
        <v>206</v>
      </c>
      <c r="F656" s="7" t="n">
        <v>16032.9</v>
      </c>
      <c r="G656" s="16" t="s">
        <v>182</v>
      </c>
    </row>
    <row r="657" customFormat="false" ht="15" hidden="false" customHeight="false" outlineLevel="0" collapsed="false">
      <c r="A657" s="0" t="s">
        <v>187</v>
      </c>
      <c r="B657" s="14" t="n">
        <v>45896</v>
      </c>
      <c r="C657" s="16" t="s">
        <v>809</v>
      </c>
      <c r="D657" s="7" t="n">
        <v>-1500</v>
      </c>
      <c r="E657" s="16" t="s">
        <v>215</v>
      </c>
      <c r="F657" s="7" t="n">
        <v>16040.2</v>
      </c>
      <c r="G657" s="16" t="s">
        <v>86</v>
      </c>
    </row>
    <row r="658" customFormat="false" ht="15" hidden="false" customHeight="false" outlineLevel="0" collapsed="false">
      <c r="A658" s="0" t="s">
        <v>187</v>
      </c>
      <c r="B658" s="14" t="n">
        <v>45896</v>
      </c>
      <c r="C658" s="16" t="s">
        <v>810</v>
      </c>
      <c r="D658" s="7" t="n">
        <v>-250</v>
      </c>
      <c r="E658" s="16" t="s">
        <v>215</v>
      </c>
      <c r="F658" s="7" t="n">
        <v>17540.2</v>
      </c>
      <c r="G658" s="16" t="s">
        <v>87</v>
      </c>
    </row>
    <row r="659" customFormat="false" ht="15" hidden="false" customHeight="false" outlineLevel="0" collapsed="false">
      <c r="A659" s="0" t="s">
        <v>187</v>
      </c>
      <c r="B659" s="14" t="n">
        <v>45896</v>
      </c>
      <c r="C659" s="16" t="s">
        <v>811</v>
      </c>
      <c r="D659" s="7" t="n">
        <v>-121.21</v>
      </c>
      <c r="E659" s="16" t="s">
        <v>193</v>
      </c>
      <c r="F659" s="7" t="n">
        <v>17790.2</v>
      </c>
      <c r="G659" s="16" t="s">
        <v>122</v>
      </c>
    </row>
    <row r="660" customFormat="false" ht="15" hidden="false" customHeight="false" outlineLevel="0" collapsed="false">
      <c r="A660" s="0" t="s">
        <v>187</v>
      </c>
      <c r="B660" s="14" t="n">
        <v>45896</v>
      </c>
      <c r="C660" s="16" t="s">
        <v>812</v>
      </c>
      <c r="D660" s="7" t="n">
        <v>-1</v>
      </c>
      <c r="E660" s="16" t="s">
        <v>193</v>
      </c>
      <c r="F660" s="7" t="n">
        <v>17911.41</v>
      </c>
      <c r="G660" s="16" t="s">
        <v>80</v>
      </c>
    </row>
    <row r="661" customFormat="false" ht="15" hidden="false" customHeight="false" outlineLevel="0" collapsed="false">
      <c r="A661" s="0" t="s">
        <v>187</v>
      </c>
      <c r="B661" s="14" t="n">
        <v>45896</v>
      </c>
      <c r="C661" s="16" t="s">
        <v>813</v>
      </c>
      <c r="D661" s="7" t="n">
        <v>-1</v>
      </c>
      <c r="E661" s="16" t="s">
        <v>193</v>
      </c>
      <c r="F661" s="7" t="n">
        <v>17912.41</v>
      </c>
      <c r="G661" s="16" t="s">
        <v>80</v>
      </c>
    </row>
    <row r="662" customFormat="false" ht="15" hidden="false" customHeight="false" outlineLevel="0" collapsed="false">
      <c r="A662" s="0" t="s">
        <v>187</v>
      </c>
      <c r="B662" s="14" t="n">
        <v>45896</v>
      </c>
      <c r="C662" s="16" t="s">
        <v>814</v>
      </c>
      <c r="D662" s="7" t="n">
        <v>-1</v>
      </c>
      <c r="E662" s="16" t="s">
        <v>193</v>
      </c>
      <c r="F662" s="7" t="n">
        <v>17913.41</v>
      </c>
      <c r="G662" s="16" t="s">
        <v>80</v>
      </c>
    </row>
    <row r="663" customFormat="false" ht="15" hidden="false" customHeight="false" outlineLevel="0" collapsed="false">
      <c r="A663" s="0" t="s">
        <v>187</v>
      </c>
      <c r="B663" s="14" t="n">
        <v>45896</v>
      </c>
      <c r="C663" s="16" t="s">
        <v>815</v>
      </c>
      <c r="D663" s="7" t="n">
        <v>-1</v>
      </c>
      <c r="E663" s="16" t="s">
        <v>193</v>
      </c>
      <c r="F663" s="7" t="n">
        <v>17914.41</v>
      </c>
      <c r="G663" s="16" t="s">
        <v>80</v>
      </c>
    </row>
    <row r="664" customFormat="false" ht="15" hidden="false" customHeight="false" outlineLevel="0" collapsed="false">
      <c r="A664" s="0" t="s">
        <v>187</v>
      </c>
      <c r="B664" s="14" t="n">
        <v>45896</v>
      </c>
      <c r="C664" s="16" t="s">
        <v>816</v>
      </c>
      <c r="D664" s="7" t="n">
        <v>-1</v>
      </c>
      <c r="E664" s="16" t="s">
        <v>193</v>
      </c>
      <c r="F664" s="7" t="n">
        <v>17915.41</v>
      </c>
      <c r="G664" s="16" t="s">
        <v>80</v>
      </c>
    </row>
    <row r="665" customFormat="false" ht="15" hidden="false" customHeight="false" outlineLevel="0" collapsed="false">
      <c r="A665" s="0" t="s">
        <v>187</v>
      </c>
      <c r="B665" s="14" t="n">
        <v>45896</v>
      </c>
      <c r="C665" s="16" t="s">
        <v>817</v>
      </c>
      <c r="D665" s="7" t="n">
        <v>-1</v>
      </c>
      <c r="E665" s="16" t="s">
        <v>193</v>
      </c>
      <c r="F665" s="7" t="n">
        <v>17916.41</v>
      </c>
      <c r="G665" s="16" t="s">
        <v>80</v>
      </c>
    </row>
    <row r="666" customFormat="false" ht="15" hidden="false" customHeight="false" outlineLevel="0" collapsed="false">
      <c r="A666" s="0" t="s">
        <v>187</v>
      </c>
      <c r="B666" s="14" t="n">
        <v>45896</v>
      </c>
      <c r="C666" s="16" t="s">
        <v>818</v>
      </c>
      <c r="D666" s="7" t="n">
        <v>-1</v>
      </c>
      <c r="E666" s="16" t="s">
        <v>193</v>
      </c>
      <c r="F666" s="7" t="n">
        <v>17917.41</v>
      </c>
      <c r="G666" s="16" t="s">
        <v>80</v>
      </c>
    </row>
    <row r="667" customFormat="false" ht="15" hidden="false" customHeight="false" outlineLevel="0" collapsed="false">
      <c r="A667" s="0" t="s">
        <v>187</v>
      </c>
      <c r="B667" s="14" t="n">
        <v>45896</v>
      </c>
      <c r="C667" s="16" t="s">
        <v>819</v>
      </c>
      <c r="D667" s="7" t="n">
        <v>-25</v>
      </c>
      <c r="E667" s="16" t="s">
        <v>193</v>
      </c>
      <c r="F667" s="7" t="n">
        <v>17918.41</v>
      </c>
      <c r="G667" s="16" t="s">
        <v>80</v>
      </c>
    </row>
    <row r="668" customFormat="false" ht="15" hidden="false" customHeight="false" outlineLevel="0" collapsed="false">
      <c r="A668" s="0" t="s">
        <v>187</v>
      </c>
      <c r="B668" s="14" t="n">
        <v>45896</v>
      </c>
      <c r="C668" s="16" t="s">
        <v>820</v>
      </c>
      <c r="D668" s="7" t="n">
        <v>-125</v>
      </c>
      <c r="E668" s="16" t="s">
        <v>193</v>
      </c>
      <c r="F668" s="7" t="n">
        <v>17943.41</v>
      </c>
      <c r="G668" s="16" t="s">
        <v>80</v>
      </c>
    </row>
    <row r="669" customFormat="false" ht="15" hidden="false" customHeight="false" outlineLevel="0" collapsed="false">
      <c r="A669" s="0" t="s">
        <v>187</v>
      </c>
      <c r="B669" s="14" t="n">
        <v>45896</v>
      </c>
      <c r="C669" s="16" t="s">
        <v>821</v>
      </c>
      <c r="D669" s="7" t="n">
        <v>-16.99</v>
      </c>
      <c r="E669" s="16" t="s">
        <v>206</v>
      </c>
      <c r="F669" s="7" t="n">
        <v>18068.41</v>
      </c>
      <c r="G669" s="16" t="s">
        <v>144</v>
      </c>
    </row>
    <row r="670" customFormat="false" ht="15" hidden="false" customHeight="false" outlineLevel="0" collapsed="false">
      <c r="A670" s="0" t="s">
        <v>187</v>
      </c>
      <c r="B670" s="14" t="n">
        <v>45896</v>
      </c>
      <c r="C670" s="16" t="s">
        <v>821</v>
      </c>
      <c r="D670" s="7" t="n">
        <v>-9.99</v>
      </c>
      <c r="E670" s="16" t="s">
        <v>206</v>
      </c>
      <c r="F670" s="7" t="n">
        <v>18085.4</v>
      </c>
      <c r="G670" s="16" t="s">
        <v>144</v>
      </c>
    </row>
    <row r="671" customFormat="false" ht="15" hidden="false" customHeight="false" outlineLevel="0" collapsed="false">
      <c r="A671" s="0" t="s">
        <v>187</v>
      </c>
      <c r="B671" s="14" t="n">
        <v>45896</v>
      </c>
      <c r="C671" s="16" t="s">
        <v>822</v>
      </c>
      <c r="D671" s="7" t="n">
        <v>-360.8</v>
      </c>
      <c r="E671" s="16" t="s">
        <v>206</v>
      </c>
      <c r="F671" s="7" t="n">
        <v>18095.39</v>
      </c>
      <c r="G671" s="16" t="s">
        <v>67</v>
      </c>
    </row>
    <row r="672" customFormat="false" ht="15" hidden="false" customHeight="false" outlineLevel="0" collapsed="false">
      <c r="A672" s="0" t="s">
        <v>187</v>
      </c>
      <c r="B672" s="14" t="n">
        <v>45895</v>
      </c>
      <c r="C672" s="16" t="s">
        <v>823</v>
      </c>
      <c r="D672" s="7" t="n">
        <v>-2000</v>
      </c>
      <c r="E672" s="16" t="s">
        <v>213</v>
      </c>
      <c r="F672" s="7" t="n">
        <v>18456.19</v>
      </c>
      <c r="G672" s="16" t="s">
        <v>96</v>
      </c>
    </row>
    <row r="673" customFormat="false" ht="15" hidden="false" customHeight="false" outlineLevel="0" collapsed="false">
      <c r="A673" s="0" t="s">
        <v>187</v>
      </c>
      <c r="B673" s="14" t="n">
        <v>45895</v>
      </c>
      <c r="C673" s="16" t="s">
        <v>824</v>
      </c>
      <c r="D673" s="7" t="n">
        <v>-17.27</v>
      </c>
      <c r="E673" s="16" t="s">
        <v>206</v>
      </c>
      <c r="F673" s="7" t="n">
        <v>20456.19</v>
      </c>
      <c r="G673" s="16" t="s">
        <v>144</v>
      </c>
    </row>
    <row r="674" customFormat="false" ht="15" hidden="false" customHeight="false" outlineLevel="0" collapsed="false">
      <c r="A674" s="0" t="s">
        <v>187</v>
      </c>
      <c r="B674" s="14" t="n">
        <v>45895</v>
      </c>
      <c r="C674" s="16" t="s">
        <v>825</v>
      </c>
      <c r="D674" s="7" t="n">
        <v>-252</v>
      </c>
      <c r="E674" s="16" t="s">
        <v>206</v>
      </c>
      <c r="F674" s="7" t="n">
        <v>20473.46</v>
      </c>
      <c r="G674" s="16" t="s">
        <v>112</v>
      </c>
    </row>
    <row r="675" customFormat="false" ht="15" hidden="false" customHeight="false" outlineLevel="0" collapsed="false">
      <c r="A675" s="0" t="s">
        <v>187</v>
      </c>
      <c r="B675" s="14" t="n">
        <v>45895</v>
      </c>
      <c r="C675" s="16" t="s">
        <v>826</v>
      </c>
      <c r="D675" s="7" t="n">
        <v>-8.99</v>
      </c>
      <c r="E675" s="16" t="s">
        <v>206</v>
      </c>
      <c r="F675" s="7" t="n">
        <v>20725.46</v>
      </c>
      <c r="G675" s="16" t="s">
        <v>144</v>
      </c>
    </row>
    <row r="676" customFormat="false" ht="15" hidden="false" customHeight="false" outlineLevel="0" collapsed="false">
      <c r="A676" s="0" t="s">
        <v>187</v>
      </c>
      <c r="B676" s="14" t="n">
        <v>45895</v>
      </c>
      <c r="C676" s="16" t="s">
        <v>827</v>
      </c>
      <c r="D676" s="7" t="n">
        <v>-498.75</v>
      </c>
      <c r="E676" s="16" t="s">
        <v>206</v>
      </c>
      <c r="F676" s="7" t="n">
        <v>20734.45</v>
      </c>
      <c r="G676" s="16" t="s">
        <v>75</v>
      </c>
    </row>
    <row r="677" customFormat="false" ht="15" hidden="false" customHeight="false" outlineLevel="0" collapsed="false">
      <c r="A677" s="0" t="s">
        <v>187</v>
      </c>
      <c r="B677" s="14" t="n">
        <v>45894</v>
      </c>
      <c r="C677" s="16" t="s">
        <v>828</v>
      </c>
      <c r="D677" s="7" t="n">
        <v>-1500</v>
      </c>
      <c r="E677" s="16" t="s">
        <v>197</v>
      </c>
      <c r="F677" s="7" t="n">
        <v>21233.2</v>
      </c>
      <c r="G677" s="16" t="s">
        <v>69</v>
      </c>
    </row>
    <row r="678" customFormat="false" ht="15" hidden="false" customHeight="false" outlineLevel="0" collapsed="false">
      <c r="A678" s="0" t="s">
        <v>187</v>
      </c>
      <c r="B678" s="14" t="n">
        <v>45894</v>
      </c>
      <c r="C678" s="16" t="s">
        <v>829</v>
      </c>
      <c r="D678" s="7" t="n">
        <v>-1250</v>
      </c>
      <c r="E678" s="16" t="s">
        <v>193</v>
      </c>
      <c r="F678" s="7" t="n">
        <v>22733.2</v>
      </c>
      <c r="G678" s="16" t="s">
        <v>80</v>
      </c>
    </row>
    <row r="679" customFormat="false" ht="15" hidden="false" customHeight="false" outlineLevel="0" collapsed="false">
      <c r="A679" s="0" t="s">
        <v>187</v>
      </c>
      <c r="B679" s="14" t="n">
        <v>45894</v>
      </c>
      <c r="C679" s="16" t="s">
        <v>830</v>
      </c>
      <c r="D679" s="7" t="n">
        <v>-12.99</v>
      </c>
      <c r="E679" s="16" t="s">
        <v>206</v>
      </c>
      <c r="F679" s="7" t="n">
        <v>23983.2</v>
      </c>
      <c r="G679" s="16" t="s">
        <v>114</v>
      </c>
    </row>
    <row r="680" customFormat="false" ht="15" hidden="false" customHeight="false" outlineLevel="0" collapsed="false">
      <c r="A680" s="0" t="s">
        <v>187</v>
      </c>
      <c r="B680" s="14" t="n">
        <v>45894</v>
      </c>
      <c r="C680" s="16" t="s">
        <v>831</v>
      </c>
      <c r="D680" s="7" t="n">
        <v>-5000</v>
      </c>
      <c r="E680" s="16" t="s">
        <v>213</v>
      </c>
      <c r="F680" s="7" t="n">
        <v>23996.19</v>
      </c>
      <c r="G680" s="16" t="s">
        <v>96</v>
      </c>
    </row>
    <row r="681" customFormat="false" ht="15" hidden="false" customHeight="false" outlineLevel="0" collapsed="false">
      <c r="A681" s="0" t="s">
        <v>187</v>
      </c>
      <c r="B681" s="14" t="n">
        <v>45894</v>
      </c>
      <c r="C681" s="16" t="s">
        <v>832</v>
      </c>
      <c r="D681" s="7" t="n">
        <v>-9.99</v>
      </c>
      <c r="E681" s="16" t="s">
        <v>206</v>
      </c>
      <c r="F681" s="7" t="n">
        <v>28996.19</v>
      </c>
      <c r="G681" s="16" t="s">
        <v>144</v>
      </c>
    </row>
    <row r="682" customFormat="false" ht="15" hidden="false" customHeight="false" outlineLevel="0" collapsed="false">
      <c r="A682" s="0" t="s">
        <v>187</v>
      </c>
      <c r="B682" s="14" t="n">
        <v>45894</v>
      </c>
      <c r="C682" s="16" t="s">
        <v>833</v>
      </c>
      <c r="D682" s="7" t="n">
        <v>-21.28</v>
      </c>
      <c r="E682" s="16" t="s">
        <v>206</v>
      </c>
      <c r="F682" s="7" t="n">
        <v>29006.18</v>
      </c>
      <c r="G682" s="16" t="s">
        <v>108</v>
      </c>
    </row>
    <row r="683" customFormat="false" ht="15" hidden="false" customHeight="false" outlineLevel="0" collapsed="false">
      <c r="A683" s="0" t="s">
        <v>187</v>
      </c>
      <c r="B683" s="14" t="n">
        <v>45894</v>
      </c>
      <c r="C683" s="16" t="s">
        <v>834</v>
      </c>
      <c r="D683" s="7" t="n">
        <v>-60.6</v>
      </c>
      <c r="E683" s="16" t="s">
        <v>206</v>
      </c>
      <c r="F683" s="7" t="n">
        <v>29027.46</v>
      </c>
      <c r="G683" s="16" t="s">
        <v>182</v>
      </c>
    </row>
    <row r="684" customFormat="false" ht="15" hidden="false" customHeight="false" outlineLevel="0" collapsed="false">
      <c r="A684" s="0" t="s">
        <v>187</v>
      </c>
      <c r="B684" s="14" t="n">
        <v>45891</v>
      </c>
      <c r="C684" s="16" t="s">
        <v>835</v>
      </c>
      <c r="D684" s="7" t="n">
        <v>-6.31</v>
      </c>
      <c r="E684" s="16" t="s">
        <v>206</v>
      </c>
      <c r="F684" s="7" t="n">
        <v>29088.06</v>
      </c>
      <c r="G684" s="16" t="s">
        <v>144</v>
      </c>
    </row>
    <row r="685" customFormat="false" ht="15" hidden="false" customHeight="false" outlineLevel="0" collapsed="false">
      <c r="A685" s="0" t="s">
        <v>187</v>
      </c>
      <c r="B685" s="14" t="n">
        <v>45891</v>
      </c>
      <c r="C685" s="16" t="s">
        <v>836</v>
      </c>
      <c r="D685" s="7" t="n">
        <v>-17.95</v>
      </c>
      <c r="E685" s="16" t="s">
        <v>206</v>
      </c>
      <c r="F685" s="7" t="n">
        <v>29094.37</v>
      </c>
      <c r="G685" s="16" t="s">
        <v>144</v>
      </c>
    </row>
    <row r="686" customFormat="false" ht="15" hidden="false" customHeight="false" outlineLevel="0" collapsed="false">
      <c r="A686" s="0" t="s">
        <v>187</v>
      </c>
      <c r="B686" s="14" t="n">
        <v>45891</v>
      </c>
      <c r="C686" s="16" t="s">
        <v>837</v>
      </c>
      <c r="D686" s="7" t="n">
        <v>-150</v>
      </c>
      <c r="E686" s="16" t="s">
        <v>215</v>
      </c>
      <c r="F686" s="7" t="n">
        <v>29112.32</v>
      </c>
      <c r="G686" s="16" t="s">
        <v>87</v>
      </c>
    </row>
    <row r="687" customFormat="false" ht="15" hidden="false" customHeight="false" outlineLevel="0" collapsed="false">
      <c r="A687" s="0" t="s">
        <v>187</v>
      </c>
      <c r="B687" s="14" t="n">
        <v>45891</v>
      </c>
      <c r="C687" s="16" t="s">
        <v>838</v>
      </c>
      <c r="D687" s="7" t="n">
        <v>-2000</v>
      </c>
      <c r="E687" s="16" t="s">
        <v>213</v>
      </c>
      <c r="F687" s="7" t="n">
        <v>29262.32</v>
      </c>
      <c r="G687" s="16" t="s">
        <v>96</v>
      </c>
    </row>
    <row r="688" customFormat="false" ht="15" hidden="false" customHeight="false" outlineLevel="0" collapsed="false">
      <c r="A688" s="0" t="s">
        <v>187</v>
      </c>
      <c r="B688" s="14" t="n">
        <v>45891</v>
      </c>
      <c r="C688" s="16" t="s">
        <v>839</v>
      </c>
      <c r="D688" s="7" t="n">
        <v>-13.96</v>
      </c>
      <c r="E688" s="16" t="s">
        <v>206</v>
      </c>
      <c r="F688" s="7" t="n">
        <v>31262.32</v>
      </c>
      <c r="G688" s="16" t="s">
        <v>179</v>
      </c>
    </row>
    <row r="689" customFormat="false" ht="15" hidden="false" customHeight="false" outlineLevel="0" collapsed="false">
      <c r="A689" s="0" t="s">
        <v>187</v>
      </c>
      <c r="B689" s="14" t="n">
        <v>45891</v>
      </c>
      <c r="C689" s="16" t="s">
        <v>839</v>
      </c>
      <c r="D689" s="7" t="n">
        <v>-12.48</v>
      </c>
      <c r="E689" s="16" t="s">
        <v>206</v>
      </c>
      <c r="F689" s="7" t="n">
        <v>31276.28</v>
      </c>
      <c r="G689" s="16" t="s">
        <v>179</v>
      </c>
    </row>
    <row r="690" customFormat="false" ht="15" hidden="false" customHeight="false" outlineLevel="0" collapsed="false">
      <c r="A690" s="0" t="s">
        <v>187</v>
      </c>
      <c r="B690" s="14" t="n">
        <v>45891</v>
      </c>
      <c r="C690" s="16" t="s">
        <v>839</v>
      </c>
      <c r="D690" s="7" t="n">
        <v>-72.24</v>
      </c>
      <c r="E690" s="16" t="s">
        <v>206</v>
      </c>
      <c r="F690" s="7" t="n">
        <v>31288.76</v>
      </c>
      <c r="G690" s="16" t="s">
        <v>179</v>
      </c>
    </row>
    <row r="691" customFormat="false" ht="15" hidden="false" customHeight="false" outlineLevel="0" collapsed="false">
      <c r="A691" s="0" t="s">
        <v>187</v>
      </c>
      <c r="B691" s="14" t="n">
        <v>45891</v>
      </c>
      <c r="C691" s="16" t="s">
        <v>839</v>
      </c>
      <c r="D691" s="7" t="n">
        <v>-4</v>
      </c>
      <c r="E691" s="16" t="s">
        <v>206</v>
      </c>
      <c r="F691" s="7" t="n">
        <v>31361</v>
      </c>
      <c r="G691" s="16" t="s">
        <v>179</v>
      </c>
    </row>
    <row r="692" customFormat="false" ht="15" hidden="false" customHeight="false" outlineLevel="0" collapsed="false">
      <c r="A692" s="0" t="s">
        <v>187</v>
      </c>
      <c r="B692" s="14" t="n">
        <v>45890</v>
      </c>
      <c r="C692" s="16" t="s">
        <v>840</v>
      </c>
      <c r="D692" s="7" t="n">
        <v>-250</v>
      </c>
      <c r="E692" s="16" t="s">
        <v>193</v>
      </c>
      <c r="F692" s="7" t="n">
        <v>31365</v>
      </c>
      <c r="G692" s="16" t="s">
        <v>80</v>
      </c>
    </row>
    <row r="693" customFormat="false" ht="15" hidden="false" customHeight="false" outlineLevel="0" collapsed="false">
      <c r="A693" s="0" t="s">
        <v>187</v>
      </c>
      <c r="B693" s="14" t="n">
        <v>45890</v>
      </c>
      <c r="C693" s="16" t="s">
        <v>841</v>
      </c>
      <c r="D693" s="7" t="n">
        <v>-150</v>
      </c>
      <c r="E693" s="16" t="s">
        <v>193</v>
      </c>
      <c r="F693" s="7" t="n">
        <v>31615</v>
      </c>
      <c r="G693" s="16" t="s">
        <v>80</v>
      </c>
    </row>
    <row r="694" customFormat="false" ht="15" hidden="false" customHeight="false" outlineLevel="0" collapsed="false">
      <c r="A694" s="0" t="s">
        <v>187</v>
      </c>
      <c r="B694" s="14" t="n">
        <v>45890</v>
      </c>
      <c r="C694" s="16" t="s">
        <v>842</v>
      </c>
      <c r="D694" s="7" t="n">
        <v>-331.54</v>
      </c>
      <c r="E694" s="16" t="s">
        <v>193</v>
      </c>
      <c r="F694" s="7" t="n">
        <v>31765</v>
      </c>
      <c r="G694" s="16" t="s">
        <v>148</v>
      </c>
    </row>
    <row r="695" customFormat="false" ht="15" hidden="false" customHeight="false" outlineLevel="0" collapsed="false">
      <c r="A695" s="0" t="s">
        <v>187</v>
      </c>
      <c r="B695" s="14" t="n">
        <v>45890</v>
      </c>
      <c r="C695" s="16" t="s">
        <v>843</v>
      </c>
      <c r="D695" s="7" t="n">
        <v>-8.99</v>
      </c>
      <c r="E695" s="16" t="s">
        <v>206</v>
      </c>
      <c r="F695" s="7" t="n">
        <v>32096.54</v>
      </c>
      <c r="G695" s="16" t="s">
        <v>144</v>
      </c>
    </row>
    <row r="696" customFormat="false" ht="15" hidden="false" customHeight="false" outlineLevel="0" collapsed="false">
      <c r="A696" s="0" t="s">
        <v>187</v>
      </c>
      <c r="B696" s="14" t="n">
        <v>45890</v>
      </c>
      <c r="C696" s="16" t="s">
        <v>844</v>
      </c>
      <c r="D696" s="7" t="n">
        <v>-26.89</v>
      </c>
      <c r="E696" s="16" t="s">
        <v>206</v>
      </c>
      <c r="F696" s="7" t="n">
        <v>32105.53</v>
      </c>
      <c r="G696" s="16" t="s">
        <v>144</v>
      </c>
    </row>
    <row r="697" customFormat="false" ht="15" hidden="false" customHeight="false" outlineLevel="0" collapsed="false">
      <c r="A697" s="0" t="s">
        <v>187</v>
      </c>
      <c r="B697" s="14" t="n">
        <v>45889</v>
      </c>
      <c r="C697" s="16" t="s">
        <v>845</v>
      </c>
      <c r="D697" s="7" t="n">
        <v>-150</v>
      </c>
      <c r="E697" s="16" t="s">
        <v>215</v>
      </c>
      <c r="F697" s="7" t="n">
        <v>32132.42</v>
      </c>
      <c r="G697" s="16" t="s">
        <v>87</v>
      </c>
    </row>
    <row r="698" customFormat="false" ht="15" hidden="false" customHeight="false" outlineLevel="0" collapsed="false">
      <c r="A698" s="0" t="s">
        <v>187</v>
      </c>
      <c r="B698" s="14" t="n">
        <v>45889</v>
      </c>
      <c r="C698" s="16" t="s">
        <v>846</v>
      </c>
      <c r="D698" s="7" t="n">
        <v>-3000</v>
      </c>
      <c r="E698" s="16" t="s">
        <v>213</v>
      </c>
      <c r="F698" s="7" t="n">
        <v>32282.42</v>
      </c>
      <c r="G698" s="16" t="s">
        <v>96</v>
      </c>
    </row>
    <row r="699" customFormat="false" ht="15" hidden="false" customHeight="false" outlineLevel="0" collapsed="false">
      <c r="A699" s="0" t="s">
        <v>187</v>
      </c>
      <c r="B699" s="14" t="n">
        <v>45889</v>
      </c>
      <c r="C699" s="16" t="s">
        <v>847</v>
      </c>
      <c r="D699" s="7" t="n">
        <v>-9.99</v>
      </c>
      <c r="E699" s="16" t="s">
        <v>206</v>
      </c>
      <c r="F699" s="7" t="n">
        <v>35282.42</v>
      </c>
      <c r="G699" s="16" t="s">
        <v>144</v>
      </c>
    </row>
    <row r="700" customFormat="false" ht="15" hidden="false" customHeight="false" outlineLevel="0" collapsed="false">
      <c r="A700" s="0" t="s">
        <v>187</v>
      </c>
      <c r="B700" s="14" t="n">
        <v>45889</v>
      </c>
      <c r="C700" s="16" t="s">
        <v>848</v>
      </c>
      <c r="D700" s="7" t="n">
        <v>-15</v>
      </c>
      <c r="E700" s="16" t="s">
        <v>206</v>
      </c>
      <c r="F700" s="7" t="n">
        <v>35292.41</v>
      </c>
      <c r="G700" s="16" t="s">
        <v>144</v>
      </c>
    </row>
    <row r="701" customFormat="false" ht="15" hidden="false" customHeight="false" outlineLevel="0" collapsed="false">
      <c r="A701" s="0" t="s">
        <v>187</v>
      </c>
      <c r="B701" s="14" t="n">
        <v>45888</v>
      </c>
      <c r="C701" s="16" t="s">
        <v>849</v>
      </c>
      <c r="D701" s="7" t="n">
        <v>-7.99</v>
      </c>
      <c r="E701" s="16" t="s">
        <v>206</v>
      </c>
      <c r="F701" s="7" t="n">
        <v>35307.41</v>
      </c>
      <c r="G701" s="16" t="s">
        <v>144</v>
      </c>
    </row>
    <row r="702" customFormat="false" ht="15" hidden="false" customHeight="false" outlineLevel="0" collapsed="false">
      <c r="A702" s="0" t="s">
        <v>187</v>
      </c>
      <c r="B702" s="14" t="n">
        <v>45888</v>
      </c>
      <c r="C702" s="16" t="s">
        <v>850</v>
      </c>
      <c r="D702" s="7" t="n">
        <v>-700</v>
      </c>
      <c r="E702" s="16" t="s">
        <v>206</v>
      </c>
      <c r="F702" s="7" t="n">
        <v>35315.4</v>
      </c>
      <c r="G702" s="16" t="s">
        <v>75</v>
      </c>
    </row>
    <row r="703" customFormat="false" ht="15" hidden="false" customHeight="false" outlineLevel="0" collapsed="false">
      <c r="A703" s="0" t="s">
        <v>187</v>
      </c>
      <c r="B703" s="14" t="n">
        <v>45888</v>
      </c>
      <c r="C703" s="16" t="s">
        <v>851</v>
      </c>
      <c r="D703" s="7" t="n">
        <v>-21.98</v>
      </c>
      <c r="E703" s="16" t="s">
        <v>206</v>
      </c>
      <c r="F703" s="7" t="n">
        <v>36015.4</v>
      </c>
      <c r="G703" s="16" t="s">
        <v>118</v>
      </c>
    </row>
    <row r="704" customFormat="false" ht="15" hidden="false" customHeight="false" outlineLevel="0" collapsed="false">
      <c r="A704" s="0" t="s">
        <v>187</v>
      </c>
      <c r="B704" s="14" t="n">
        <v>45888</v>
      </c>
      <c r="C704" s="16" t="s">
        <v>852</v>
      </c>
      <c r="D704" s="7" t="n">
        <v>-15.98</v>
      </c>
      <c r="E704" s="16" t="s">
        <v>206</v>
      </c>
      <c r="F704" s="7" t="n">
        <v>36037.38</v>
      </c>
      <c r="G704" s="16" t="s">
        <v>118</v>
      </c>
    </row>
    <row r="705" customFormat="false" ht="15" hidden="false" customHeight="false" outlineLevel="0" collapsed="false">
      <c r="A705" s="0" t="s">
        <v>187</v>
      </c>
      <c r="B705" s="14" t="n">
        <v>45887</v>
      </c>
      <c r="C705" s="16" t="s">
        <v>853</v>
      </c>
      <c r="D705" s="7" t="n">
        <v>-1000</v>
      </c>
      <c r="E705" s="16" t="s">
        <v>213</v>
      </c>
      <c r="F705" s="7" t="n">
        <v>36053.36</v>
      </c>
      <c r="G705" s="16" t="s">
        <v>96</v>
      </c>
    </row>
    <row r="706" customFormat="false" ht="15" hidden="false" customHeight="false" outlineLevel="0" collapsed="false">
      <c r="A706" s="0" t="s">
        <v>187</v>
      </c>
      <c r="B706" s="14" t="n">
        <v>45887</v>
      </c>
      <c r="C706" s="16" t="s">
        <v>854</v>
      </c>
      <c r="D706" s="7" t="n">
        <v>-150</v>
      </c>
      <c r="E706" s="16" t="s">
        <v>193</v>
      </c>
      <c r="F706" s="7" t="n">
        <v>37053.36</v>
      </c>
      <c r="G706" s="16" t="s">
        <v>80</v>
      </c>
    </row>
    <row r="707" customFormat="false" ht="15" hidden="false" customHeight="false" outlineLevel="0" collapsed="false">
      <c r="A707" s="0" t="s">
        <v>187</v>
      </c>
      <c r="B707" s="14" t="n">
        <v>45887</v>
      </c>
      <c r="C707" s="16" t="s">
        <v>855</v>
      </c>
      <c r="D707" s="7" t="n">
        <v>-1500</v>
      </c>
      <c r="E707" s="16" t="s">
        <v>197</v>
      </c>
      <c r="F707" s="7" t="n">
        <v>37203.36</v>
      </c>
      <c r="G707" s="16" t="s">
        <v>69</v>
      </c>
    </row>
    <row r="708" customFormat="false" ht="15" hidden="false" customHeight="false" outlineLevel="0" collapsed="false">
      <c r="A708" s="0" t="s">
        <v>187</v>
      </c>
      <c r="B708" s="14" t="n">
        <v>45887</v>
      </c>
      <c r="C708" s="16" t="s">
        <v>856</v>
      </c>
      <c r="D708" s="7" t="n">
        <v>-1250</v>
      </c>
      <c r="E708" s="16" t="s">
        <v>193</v>
      </c>
      <c r="F708" s="7" t="n">
        <v>38703.36</v>
      </c>
      <c r="G708" s="16" t="s">
        <v>80</v>
      </c>
    </row>
    <row r="709" customFormat="false" ht="15" hidden="false" customHeight="false" outlineLevel="0" collapsed="false">
      <c r="A709" s="0" t="s">
        <v>187</v>
      </c>
      <c r="B709" s="14" t="n">
        <v>45887</v>
      </c>
      <c r="C709" s="16" t="s">
        <v>857</v>
      </c>
      <c r="D709" s="7" t="n">
        <v>-9.99</v>
      </c>
      <c r="E709" s="16" t="s">
        <v>206</v>
      </c>
      <c r="F709" s="7" t="n">
        <v>39953.36</v>
      </c>
      <c r="G709" s="16" t="s">
        <v>144</v>
      </c>
    </row>
    <row r="710" customFormat="false" ht="15" hidden="false" customHeight="false" outlineLevel="0" collapsed="false">
      <c r="A710" s="0" t="s">
        <v>187</v>
      </c>
      <c r="B710" s="14" t="n">
        <v>45887</v>
      </c>
      <c r="C710" s="16" t="s">
        <v>858</v>
      </c>
      <c r="D710" s="7" t="n">
        <v>-11</v>
      </c>
      <c r="E710" s="16" t="s">
        <v>206</v>
      </c>
      <c r="F710" s="7" t="n">
        <v>39963.35</v>
      </c>
      <c r="G710" s="16" t="s">
        <v>144</v>
      </c>
    </row>
    <row r="711" customFormat="false" ht="15" hidden="false" customHeight="false" outlineLevel="0" collapsed="false">
      <c r="A711" s="0" t="s">
        <v>187</v>
      </c>
      <c r="B711" s="14" t="n">
        <v>45887</v>
      </c>
      <c r="C711" s="16" t="s">
        <v>859</v>
      </c>
      <c r="D711" s="7" t="n">
        <v>-104.01</v>
      </c>
      <c r="E711" s="16" t="s">
        <v>193</v>
      </c>
      <c r="F711" s="7" t="n">
        <v>39974.35</v>
      </c>
      <c r="G711" s="16" t="s">
        <v>114</v>
      </c>
    </row>
    <row r="712" customFormat="false" ht="15" hidden="false" customHeight="false" outlineLevel="0" collapsed="false">
      <c r="A712" s="0" t="s">
        <v>187</v>
      </c>
      <c r="B712" s="14" t="n">
        <v>45887</v>
      </c>
      <c r="C712" s="16" t="s">
        <v>858</v>
      </c>
      <c r="D712" s="7" t="n">
        <v>-5.99</v>
      </c>
      <c r="E712" s="16" t="s">
        <v>206</v>
      </c>
      <c r="F712" s="7" t="n">
        <v>40078.36</v>
      </c>
      <c r="G712" s="16" t="s">
        <v>144</v>
      </c>
    </row>
    <row r="713" customFormat="false" ht="15" hidden="false" customHeight="false" outlineLevel="0" collapsed="false">
      <c r="A713" s="0" t="s">
        <v>187</v>
      </c>
      <c r="B713" s="14" t="n">
        <v>45887</v>
      </c>
      <c r="C713" s="16" t="s">
        <v>860</v>
      </c>
      <c r="D713" s="7" t="n">
        <v>-69.99</v>
      </c>
      <c r="E713" s="16" t="s">
        <v>206</v>
      </c>
      <c r="F713" s="7" t="n">
        <v>40084.35</v>
      </c>
      <c r="G713" s="16" t="s">
        <v>67</v>
      </c>
    </row>
    <row r="714" customFormat="false" ht="15" hidden="false" customHeight="false" outlineLevel="0" collapsed="false">
      <c r="A714" s="0" t="s">
        <v>187</v>
      </c>
      <c r="B714" s="14" t="n">
        <v>45887</v>
      </c>
      <c r="C714" s="16" t="s">
        <v>860</v>
      </c>
      <c r="D714" s="7" t="n">
        <v>-89.99</v>
      </c>
      <c r="E714" s="16" t="s">
        <v>206</v>
      </c>
      <c r="F714" s="7" t="n">
        <v>40154.34</v>
      </c>
      <c r="G714" s="16" t="s">
        <v>67</v>
      </c>
    </row>
    <row r="715" customFormat="false" ht="15" hidden="false" customHeight="false" outlineLevel="0" collapsed="false">
      <c r="A715" s="0" t="s">
        <v>187</v>
      </c>
      <c r="B715" s="14" t="n">
        <v>45884</v>
      </c>
      <c r="C715" s="16" t="s">
        <v>861</v>
      </c>
      <c r="D715" s="7" t="n">
        <v>-550</v>
      </c>
      <c r="E715" s="16" t="s">
        <v>193</v>
      </c>
      <c r="F715" s="7" t="n">
        <v>40244.33</v>
      </c>
      <c r="G715" s="16" t="s">
        <v>80</v>
      </c>
    </row>
    <row r="716" customFormat="false" ht="15" hidden="false" customHeight="false" outlineLevel="0" collapsed="false">
      <c r="A716" s="0" t="s">
        <v>187</v>
      </c>
      <c r="B716" s="14" t="n">
        <v>45884</v>
      </c>
      <c r="C716" s="16" t="s">
        <v>862</v>
      </c>
      <c r="D716" s="7" t="n">
        <v>-199</v>
      </c>
      <c r="E716" s="16" t="s">
        <v>206</v>
      </c>
      <c r="F716" s="7" t="n">
        <v>40794.33</v>
      </c>
      <c r="G716" s="16" t="s">
        <v>183</v>
      </c>
    </row>
    <row r="717" customFormat="false" ht="15" hidden="false" customHeight="false" outlineLevel="0" collapsed="false">
      <c r="A717" s="0" t="s">
        <v>187</v>
      </c>
      <c r="B717" s="14" t="n">
        <v>45884</v>
      </c>
      <c r="C717" s="16" t="s">
        <v>863</v>
      </c>
      <c r="D717" s="7" t="n">
        <v>-60</v>
      </c>
      <c r="E717" s="16" t="s">
        <v>206</v>
      </c>
      <c r="F717" s="7" t="n">
        <v>40993.33</v>
      </c>
      <c r="G717" s="16" t="s">
        <v>72</v>
      </c>
    </row>
    <row r="718" customFormat="false" ht="15" hidden="false" customHeight="false" outlineLevel="0" collapsed="false">
      <c r="A718" s="0" t="s">
        <v>187</v>
      </c>
      <c r="B718" s="14" t="n">
        <v>45884</v>
      </c>
      <c r="C718" s="16" t="s">
        <v>864</v>
      </c>
      <c r="D718" s="7" t="n">
        <v>-1.99</v>
      </c>
      <c r="E718" s="16" t="s">
        <v>206</v>
      </c>
      <c r="F718" s="7" t="n">
        <v>41053.33</v>
      </c>
      <c r="G718" s="16" t="s">
        <v>144</v>
      </c>
    </row>
    <row r="719" customFormat="false" ht="15" hidden="false" customHeight="false" outlineLevel="0" collapsed="false">
      <c r="A719" s="0" t="s">
        <v>187</v>
      </c>
      <c r="B719" s="14" t="n">
        <v>45884</v>
      </c>
      <c r="C719" s="16" t="s">
        <v>865</v>
      </c>
      <c r="D719" s="7" t="n">
        <v>-10.99</v>
      </c>
      <c r="E719" s="16" t="s">
        <v>206</v>
      </c>
      <c r="F719" s="7" t="n">
        <v>41055.32</v>
      </c>
      <c r="G719" s="16" t="s">
        <v>144</v>
      </c>
    </row>
    <row r="720" customFormat="false" ht="15" hidden="false" customHeight="false" outlineLevel="0" collapsed="false">
      <c r="A720" s="0" t="s">
        <v>187</v>
      </c>
      <c r="B720" s="14" t="n">
        <v>45883</v>
      </c>
      <c r="C720" s="16" t="s">
        <v>188</v>
      </c>
      <c r="D720" s="7" t="n">
        <v>-5</v>
      </c>
      <c r="E720" s="16" t="s">
        <v>189</v>
      </c>
      <c r="F720" s="7" t="n">
        <v>41066.31</v>
      </c>
      <c r="G720" s="16" t="s">
        <v>65</v>
      </c>
    </row>
    <row r="721" customFormat="false" ht="15" hidden="false" customHeight="false" outlineLevel="0" collapsed="false">
      <c r="A721" s="0" t="s">
        <v>187</v>
      </c>
      <c r="B721" s="14" t="n">
        <v>45883</v>
      </c>
      <c r="C721" s="16" t="s">
        <v>866</v>
      </c>
      <c r="D721" s="7" t="n">
        <v>-1000</v>
      </c>
      <c r="E721" s="16" t="s">
        <v>213</v>
      </c>
      <c r="F721" s="7" t="n">
        <v>41071.31</v>
      </c>
      <c r="G721" s="16" t="s">
        <v>52</v>
      </c>
    </row>
    <row r="722" customFormat="false" ht="15" hidden="false" customHeight="false" outlineLevel="0" collapsed="false">
      <c r="A722" s="0" t="s">
        <v>187</v>
      </c>
      <c r="B722" s="14" t="n">
        <v>45883</v>
      </c>
      <c r="C722" s="16" t="s">
        <v>867</v>
      </c>
      <c r="D722" s="7" t="n">
        <v>-750</v>
      </c>
      <c r="E722" s="16" t="s">
        <v>191</v>
      </c>
      <c r="F722" s="7" t="n">
        <v>42071.31</v>
      </c>
      <c r="G722" s="16" t="s">
        <v>65</v>
      </c>
    </row>
    <row r="723" customFormat="false" ht="15" hidden="false" customHeight="false" outlineLevel="0" collapsed="false">
      <c r="A723" s="0" t="s">
        <v>187</v>
      </c>
      <c r="B723" s="14" t="n">
        <v>45883</v>
      </c>
      <c r="C723" s="16" t="s">
        <v>865</v>
      </c>
      <c r="D723" s="7" t="n">
        <v>-17.99</v>
      </c>
      <c r="E723" s="16" t="s">
        <v>206</v>
      </c>
      <c r="F723" s="7" t="n">
        <v>42821.31</v>
      </c>
      <c r="G723" s="16" t="s">
        <v>144</v>
      </c>
    </row>
    <row r="724" customFormat="false" ht="15" hidden="false" customHeight="false" outlineLevel="0" collapsed="false">
      <c r="A724" s="0" t="s">
        <v>187</v>
      </c>
      <c r="B724" s="14" t="n">
        <v>45882</v>
      </c>
      <c r="C724" s="16" t="s">
        <v>868</v>
      </c>
      <c r="D724" s="7" t="n">
        <v>-150</v>
      </c>
      <c r="E724" s="16" t="s">
        <v>215</v>
      </c>
      <c r="F724" s="7" t="n">
        <v>42839.3</v>
      </c>
      <c r="G724" s="16" t="s">
        <v>87</v>
      </c>
    </row>
    <row r="725" customFormat="false" ht="15" hidden="false" customHeight="false" outlineLevel="0" collapsed="false">
      <c r="A725" s="0" t="s">
        <v>187</v>
      </c>
      <c r="B725" s="14" t="n">
        <v>45882</v>
      </c>
      <c r="C725" s="16" t="s">
        <v>869</v>
      </c>
      <c r="D725" s="7" t="n">
        <v>-2000</v>
      </c>
      <c r="E725" s="16" t="s">
        <v>213</v>
      </c>
      <c r="F725" s="7" t="n">
        <v>42989.3</v>
      </c>
      <c r="G725" s="16" t="s">
        <v>185</v>
      </c>
    </row>
    <row r="726" customFormat="false" ht="15" hidden="false" customHeight="false" outlineLevel="0" collapsed="false">
      <c r="A726" s="0" t="s">
        <v>187</v>
      </c>
      <c r="B726" s="14" t="n">
        <v>45882</v>
      </c>
      <c r="C726" s="16" t="s">
        <v>870</v>
      </c>
      <c r="D726" s="7" t="n">
        <v>-1399.78</v>
      </c>
      <c r="E726" s="16" t="s">
        <v>208</v>
      </c>
      <c r="F726" s="7" t="n">
        <v>44989.3</v>
      </c>
      <c r="G726" s="16" t="s">
        <v>180</v>
      </c>
    </row>
    <row r="727" customFormat="false" ht="15" hidden="false" customHeight="false" outlineLevel="0" collapsed="false">
      <c r="A727" s="0" t="s">
        <v>187</v>
      </c>
      <c r="B727" s="14" t="n">
        <v>45882</v>
      </c>
      <c r="C727" s="16" t="s">
        <v>871</v>
      </c>
      <c r="D727" s="7" t="n">
        <v>-412</v>
      </c>
      <c r="E727" s="16" t="s">
        <v>208</v>
      </c>
      <c r="F727" s="7" t="n">
        <v>46389.08</v>
      </c>
      <c r="G727" s="16" t="s">
        <v>180</v>
      </c>
    </row>
    <row r="728" customFormat="false" ht="15" hidden="false" customHeight="false" outlineLevel="0" collapsed="false">
      <c r="A728" s="0" t="s">
        <v>187</v>
      </c>
      <c r="B728" s="14" t="n">
        <v>45882</v>
      </c>
      <c r="C728" s="16" t="s">
        <v>872</v>
      </c>
      <c r="D728" s="7" t="n">
        <v>-18.99</v>
      </c>
      <c r="E728" s="16" t="s">
        <v>206</v>
      </c>
      <c r="F728" s="7" t="n">
        <v>46801.08</v>
      </c>
      <c r="G728" s="16" t="s">
        <v>144</v>
      </c>
    </row>
    <row r="729" customFormat="false" ht="15" hidden="false" customHeight="false" outlineLevel="0" collapsed="false">
      <c r="A729" s="0" t="s">
        <v>187</v>
      </c>
      <c r="B729" s="14" t="n">
        <v>45881</v>
      </c>
      <c r="C729" s="16" t="s">
        <v>873</v>
      </c>
      <c r="D729" s="7" t="n">
        <v>-1250</v>
      </c>
      <c r="E729" s="16" t="s">
        <v>193</v>
      </c>
      <c r="F729" s="7" t="n">
        <v>46820.07</v>
      </c>
      <c r="G729" s="16" t="s">
        <v>80</v>
      </c>
    </row>
    <row r="730" customFormat="false" ht="15" hidden="false" customHeight="false" outlineLevel="0" collapsed="false">
      <c r="A730" s="0" t="s">
        <v>187</v>
      </c>
      <c r="B730" s="14" t="n">
        <v>45881</v>
      </c>
      <c r="C730" s="16" t="s">
        <v>874</v>
      </c>
      <c r="D730" s="7" t="n">
        <v>-5000</v>
      </c>
      <c r="E730" s="16" t="s">
        <v>213</v>
      </c>
      <c r="F730" s="7" t="n">
        <v>48070.07</v>
      </c>
      <c r="G730" s="16" t="s">
        <v>96</v>
      </c>
    </row>
    <row r="731" customFormat="false" ht="15" hidden="false" customHeight="false" outlineLevel="0" collapsed="false">
      <c r="A731" s="0" t="s">
        <v>187</v>
      </c>
      <c r="B731" s="14" t="n">
        <v>45881</v>
      </c>
      <c r="C731" s="16" t="s">
        <v>875</v>
      </c>
      <c r="D731" s="7" t="n">
        <v>-300</v>
      </c>
      <c r="E731" s="16" t="s">
        <v>215</v>
      </c>
      <c r="F731" s="7" t="n">
        <v>53070.07</v>
      </c>
      <c r="G731" s="16" t="s">
        <v>87</v>
      </c>
    </row>
    <row r="732" customFormat="false" ht="15" hidden="false" customHeight="false" outlineLevel="0" collapsed="false">
      <c r="A732" s="0" t="s">
        <v>187</v>
      </c>
      <c r="B732" s="14" t="n">
        <v>45881</v>
      </c>
      <c r="C732" s="16" t="s">
        <v>876</v>
      </c>
      <c r="D732" s="7" t="n">
        <v>-1533.71</v>
      </c>
      <c r="E732" s="16" t="s">
        <v>193</v>
      </c>
      <c r="F732" s="7" t="n">
        <v>53370.07</v>
      </c>
      <c r="G732" s="16" t="s">
        <v>179</v>
      </c>
    </row>
    <row r="733" customFormat="false" ht="15" hidden="false" customHeight="false" outlineLevel="0" collapsed="false">
      <c r="A733" s="0" t="s">
        <v>187</v>
      </c>
      <c r="B733" s="14" t="n">
        <v>45881</v>
      </c>
      <c r="C733" s="16" t="s">
        <v>877</v>
      </c>
      <c r="D733" s="7" t="n">
        <v>-11.99</v>
      </c>
      <c r="E733" s="16" t="s">
        <v>206</v>
      </c>
      <c r="F733" s="7" t="n">
        <v>54903.78</v>
      </c>
      <c r="G733" s="16" t="s">
        <v>144</v>
      </c>
    </row>
    <row r="734" customFormat="false" ht="15" hidden="false" customHeight="false" outlineLevel="0" collapsed="false">
      <c r="A734" s="0" t="s">
        <v>187</v>
      </c>
      <c r="B734" s="14" t="n">
        <v>45881</v>
      </c>
      <c r="C734" s="16" t="s">
        <v>878</v>
      </c>
      <c r="D734" s="7" t="n">
        <v>-6.54</v>
      </c>
      <c r="E734" s="16" t="s">
        <v>206</v>
      </c>
      <c r="F734" s="7" t="n">
        <v>54915.77</v>
      </c>
      <c r="G734" s="16" t="s">
        <v>128</v>
      </c>
    </row>
    <row r="735" customFormat="false" ht="15" hidden="false" customHeight="false" outlineLevel="0" collapsed="false">
      <c r="A735" s="0" t="s">
        <v>187</v>
      </c>
      <c r="B735" s="14" t="n">
        <v>45881</v>
      </c>
      <c r="C735" s="16" t="s">
        <v>879</v>
      </c>
      <c r="D735" s="7" t="n">
        <v>-236.25</v>
      </c>
      <c r="E735" s="16" t="s">
        <v>206</v>
      </c>
      <c r="F735" s="7" t="n">
        <v>54922.31</v>
      </c>
      <c r="G735" s="16" t="s">
        <v>75</v>
      </c>
    </row>
    <row r="736" customFormat="false" ht="15" hidden="false" customHeight="false" outlineLevel="0" collapsed="false">
      <c r="A736" s="0" t="s">
        <v>187</v>
      </c>
      <c r="B736" s="14" t="n">
        <v>45880</v>
      </c>
      <c r="C736" s="16" t="s">
        <v>880</v>
      </c>
      <c r="D736" s="7" t="n">
        <v>-1500</v>
      </c>
      <c r="E736" s="16" t="s">
        <v>197</v>
      </c>
      <c r="F736" s="7" t="n">
        <v>55158.56</v>
      </c>
      <c r="G736" s="16" t="s">
        <v>69</v>
      </c>
    </row>
    <row r="737" customFormat="false" ht="15" hidden="false" customHeight="false" outlineLevel="0" collapsed="false">
      <c r="A737" s="0" t="s">
        <v>187</v>
      </c>
      <c r="B737" s="14" t="n">
        <v>45880</v>
      </c>
      <c r="C737" s="16" t="s">
        <v>881</v>
      </c>
      <c r="D737" s="7" t="n">
        <v>-53.97</v>
      </c>
      <c r="E737" s="16" t="s">
        <v>206</v>
      </c>
      <c r="F737" s="7" t="n">
        <v>56658.56</v>
      </c>
      <c r="G737" s="16" t="s">
        <v>144</v>
      </c>
    </row>
    <row r="738" customFormat="false" ht="15" hidden="false" customHeight="false" outlineLevel="0" collapsed="false">
      <c r="A738" s="0" t="s">
        <v>187</v>
      </c>
      <c r="B738" s="14" t="n">
        <v>45880</v>
      </c>
      <c r="C738" s="16" t="s">
        <v>882</v>
      </c>
      <c r="D738" s="7" t="n">
        <v>-1249.96</v>
      </c>
      <c r="E738" s="16" t="s">
        <v>193</v>
      </c>
      <c r="F738" s="7" t="n">
        <v>56712.53</v>
      </c>
      <c r="G738" s="16" t="s">
        <v>179</v>
      </c>
    </row>
    <row r="739" customFormat="false" ht="15" hidden="false" customHeight="false" outlineLevel="0" collapsed="false">
      <c r="A739" s="0" t="s">
        <v>187</v>
      </c>
      <c r="B739" s="14" t="n">
        <v>45880</v>
      </c>
      <c r="C739" s="16" t="s">
        <v>883</v>
      </c>
      <c r="D739" s="7" t="n">
        <v>-8.99</v>
      </c>
      <c r="E739" s="16" t="s">
        <v>206</v>
      </c>
      <c r="F739" s="7" t="n">
        <v>57962.49</v>
      </c>
      <c r="G739" s="16" t="s">
        <v>144</v>
      </c>
    </row>
    <row r="740" customFormat="false" ht="15" hidden="false" customHeight="false" outlineLevel="0" collapsed="false">
      <c r="A740" s="0" t="s">
        <v>187</v>
      </c>
      <c r="B740" s="14" t="n">
        <v>45880</v>
      </c>
      <c r="C740" s="16" t="s">
        <v>883</v>
      </c>
      <c r="D740" s="7" t="n">
        <v>-11.99</v>
      </c>
      <c r="E740" s="16" t="s">
        <v>206</v>
      </c>
      <c r="F740" s="7" t="n">
        <v>57971.48</v>
      </c>
      <c r="G740" s="16" t="s">
        <v>144</v>
      </c>
    </row>
    <row r="741" customFormat="false" ht="15" hidden="false" customHeight="false" outlineLevel="0" collapsed="false">
      <c r="A741" s="0" t="s">
        <v>187</v>
      </c>
      <c r="B741" s="14" t="n">
        <v>45877</v>
      </c>
      <c r="C741" s="16" t="s">
        <v>884</v>
      </c>
      <c r="D741" s="7" t="n">
        <v>-1000</v>
      </c>
      <c r="E741" s="16" t="s">
        <v>215</v>
      </c>
      <c r="F741" s="7" t="n">
        <v>57983.47</v>
      </c>
      <c r="G741" s="16" t="s">
        <v>86</v>
      </c>
    </row>
    <row r="742" customFormat="false" ht="15" hidden="false" customHeight="false" outlineLevel="0" collapsed="false">
      <c r="A742" s="0" t="s">
        <v>187</v>
      </c>
      <c r="B742" s="14" t="n">
        <v>45877</v>
      </c>
      <c r="C742" s="16" t="s">
        <v>885</v>
      </c>
      <c r="D742" s="7" t="n">
        <v>-5</v>
      </c>
      <c r="E742" s="16" t="s">
        <v>206</v>
      </c>
      <c r="F742" s="7" t="n">
        <v>58983.47</v>
      </c>
      <c r="G742" s="16" t="s">
        <v>144</v>
      </c>
    </row>
    <row r="743" customFormat="false" ht="15" hidden="false" customHeight="false" outlineLevel="0" collapsed="false">
      <c r="A743" s="0" t="s">
        <v>187</v>
      </c>
      <c r="B743" s="14" t="n">
        <v>45876</v>
      </c>
      <c r="C743" s="16" t="s">
        <v>886</v>
      </c>
      <c r="D743" s="7" t="n">
        <v>-1487.44</v>
      </c>
      <c r="E743" s="16" t="s">
        <v>206</v>
      </c>
      <c r="F743" s="7" t="n">
        <v>58988.47</v>
      </c>
      <c r="G743" s="16" t="s">
        <v>112</v>
      </c>
    </row>
    <row r="744" customFormat="false" ht="15" hidden="false" customHeight="false" outlineLevel="0" collapsed="false">
      <c r="A744" s="0" t="s">
        <v>187</v>
      </c>
      <c r="B744" s="14" t="n">
        <v>45876</v>
      </c>
      <c r="C744" s="16" t="s">
        <v>887</v>
      </c>
      <c r="D744" s="7" t="n">
        <v>-240</v>
      </c>
      <c r="E744" s="16" t="s">
        <v>206</v>
      </c>
      <c r="F744" s="7" t="n">
        <v>60475.91</v>
      </c>
      <c r="G744" s="16" t="s">
        <v>72</v>
      </c>
    </row>
    <row r="745" customFormat="false" ht="15" hidden="false" customHeight="false" outlineLevel="0" collapsed="false">
      <c r="A745" s="0" t="s">
        <v>187</v>
      </c>
      <c r="B745" s="14" t="n">
        <v>45875</v>
      </c>
      <c r="C745" s="16" t="s">
        <v>888</v>
      </c>
      <c r="D745" s="7" t="n">
        <v>-12.75</v>
      </c>
      <c r="E745" s="16" t="s">
        <v>206</v>
      </c>
      <c r="F745" s="7" t="n">
        <v>60715.91</v>
      </c>
      <c r="G745" s="16" t="s">
        <v>182</v>
      </c>
    </row>
    <row r="746" customFormat="false" ht="15" hidden="false" customHeight="false" outlineLevel="0" collapsed="false">
      <c r="A746" s="0" t="s">
        <v>187</v>
      </c>
      <c r="B746" s="14" t="n">
        <v>45875</v>
      </c>
      <c r="C746" s="16" t="s">
        <v>889</v>
      </c>
      <c r="D746" s="7" t="n">
        <v>-16</v>
      </c>
      <c r="E746" s="16" t="s">
        <v>206</v>
      </c>
      <c r="F746" s="7" t="n">
        <v>60728.66</v>
      </c>
      <c r="G746" s="16" t="s">
        <v>144</v>
      </c>
    </row>
    <row r="747" customFormat="false" ht="15" hidden="false" customHeight="false" outlineLevel="0" collapsed="false">
      <c r="A747" s="0" t="s">
        <v>187</v>
      </c>
      <c r="B747" s="14" t="n">
        <v>45875</v>
      </c>
      <c r="C747" s="16" t="s">
        <v>890</v>
      </c>
      <c r="D747" s="7" t="n">
        <v>-29.99</v>
      </c>
      <c r="E747" s="16" t="s">
        <v>206</v>
      </c>
      <c r="F747" s="7" t="n">
        <v>60744.66</v>
      </c>
      <c r="G747" s="16" t="s">
        <v>144</v>
      </c>
    </row>
    <row r="748" customFormat="false" ht="15" hidden="false" customHeight="false" outlineLevel="0" collapsed="false">
      <c r="A748" s="0" t="s">
        <v>187</v>
      </c>
      <c r="B748" s="14" t="n">
        <v>45874</v>
      </c>
      <c r="C748" s="16" t="s">
        <v>239</v>
      </c>
      <c r="D748" s="7" t="n">
        <v>-25</v>
      </c>
      <c r="E748" s="16" t="s">
        <v>189</v>
      </c>
      <c r="F748" s="7" t="n">
        <v>60774.65</v>
      </c>
      <c r="G748" s="16" t="s">
        <v>123</v>
      </c>
    </row>
    <row r="749" customFormat="false" ht="15" hidden="false" customHeight="false" outlineLevel="0" collapsed="false">
      <c r="A749" s="0" t="s">
        <v>187</v>
      </c>
      <c r="B749" s="14" t="n">
        <v>45874</v>
      </c>
      <c r="C749" s="16" t="s">
        <v>891</v>
      </c>
      <c r="D749" s="7" t="n">
        <v>-250</v>
      </c>
      <c r="E749" s="16" t="s">
        <v>193</v>
      </c>
      <c r="F749" s="7" t="n">
        <v>60824.65</v>
      </c>
      <c r="G749" s="16" t="s">
        <v>80</v>
      </c>
    </row>
    <row r="750" customFormat="false" ht="15" hidden="false" customHeight="false" outlineLevel="0" collapsed="false">
      <c r="A750" s="0" t="s">
        <v>187</v>
      </c>
      <c r="B750" s="14" t="n">
        <v>45874</v>
      </c>
      <c r="C750" s="16" t="s">
        <v>892</v>
      </c>
      <c r="D750" s="7" t="n">
        <v>-59500</v>
      </c>
      <c r="E750" s="16" t="s">
        <v>191</v>
      </c>
      <c r="F750" s="7" t="n">
        <v>61074.65</v>
      </c>
      <c r="G750" s="16" t="s">
        <v>37</v>
      </c>
    </row>
    <row r="751" customFormat="false" ht="15" hidden="false" customHeight="false" outlineLevel="0" collapsed="false">
      <c r="A751" s="0" t="s">
        <v>187</v>
      </c>
      <c r="B751" s="14" t="n">
        <v>45874</v>
      </c>
      <c r="C751" s="16" t="s">
        <v>893</v>
      </c>
      <c r="D751" s="7" t="n">
        <v>-299.14</v>
      </c>
      <c r="E751" s="16" t="s">
        <v>193</v>
      </c>
      <c r="F751" s="7" t="n">
        <v>120574.65</v>
      </c>
      <c r="G751" s="16" t="s">
        <v>101</v>
      </c>
    </row>
    <row r="752" customFormat="false" ht="15" hidden="false" customHeight="false" outlineLevel="0" collapsed="false">
      <c r="A752" s="0" t="s">
        <v>187</v>
      </c>
      <c r="B752" s="14" t="n">
        <v>45874</v>
      </c>
      <c r="C752" s="16" t="s">
        <v>894</v>
      </c>
      <c r="D752" s="7" t="n">
        <v>-25500</v>
      </c>
      <c r="E752" s="16" t="s">
        <v>191</v>
      </c>
      <c r="F752" s="7" t="n">
        <v>120873.79</v>
      </c>
      <c r="G752" s="16" t="s">
        <v>36</v>
      </c>
    </row>
    <row r="753" customFormat="false" ht="15" hidden="false" customHeight="false" outlineLevel="0" collapsed="false">
      <c r="A753" s="0" t="s">
        <v>187</v>
      </c>
      <c r="B753" s="14" t="n">
        <v>45874</v>
      </c>
      <c r="C753" s="16" t="s">
        <v>895</v>
      </c>
      <c r="D753" s="7" t="n">
        <v>-11</v>
      </c>
      <c r="E753" s="16" t="s">
        <v>206</v>
      </c>
      <c r="F753" s="7" t="n">
        <v>146373.79</v>
      </c>
      <c r="G753" s="16" t="s">
        <v>178</v>
      </c>
    </row>
    <row r="754" customFormat="false" ht="15" hidden="false" customHeight="false" outlineLevel="0" collapsed="false">
      <c r="A754" s="0" t="s">
        <v>187</v>
      </c>
      <c r="B754" s="14" t="n">
        <v>45874</v>
      </c>
      <c r="C754" s="16" t="s">
        <v>896</v>
      </c>
      <c r="D754" s="7" t="n">
        <v>-139.64</v>
      </c>
      <c r="E754" s="16" t="s">
        <v>206</v>
      </c>
      <c r="F754" s="7" t="n">
        <v>146384.79</v>
      </c>
      <c r="G754" s="16" t="s">
        <v>178</v>
      </c>
    </row>
    <row r="755" customFormat="false" ht="15" hidden="false" customHeight="false" outlineLevel="0" collapsed="false">
      <c r="A755" s="0" t="s">
        <v>187</v>
      </c>
      <c r="B755" s="14" t="n">
        <v>45874</v>
      </c>
      <c r="C755" s="16" t="s">
        <v>897</v>
      </c>
      <c r="D755" s="7" t="n">
        <v>-708.75</v>
      </c>
      <c r="E755" s="16" t="s">
        <v>206</v>
      </c>
      <c r="F755" s="7" t="n">
        <v>146524.43</v>
      </c>
      <c r="G755" s="16" t="s">
        <v>75</v>
      </c>
    </row>
    <row r="756" customFormat="false" ht="15" hidden="false" customHeight="false" outlineLevel="0" collapsed="false">
      <c r="A756" s="0" t="s">
        <v>187</v>
      </c>
      <c r="B756" s="14" t="n">
        <v>45873</v>
      </c>
      <c r="C756" s="16" t="s">
        <v>898</v>
      </c>
      <c r="D756" s="7" t="n">
        <v>-800</v>
      </c>
      <c r="E756" s="16" t="s">
        <v>215</v>
      </c>
      <c r="F756" s="7" t="n">
        <v>147233.18</v>
      </c>
      <c r="G756" s="16" t="s">
        <v>84</v>
      </c>
    </row>
    <row r="757" customFormat="false" ht="15" hidden="false" customHeight="false" outlineLevel="0" collapsed="false">
      <c r="A757" s="0" t="s">
        <v>187</v>
      </c>
      <c r="B757" s="14" t="n">
        <v>45873</v>
      </c>
      <c r="C757" s="16" t="s">
        <v>899</v>
      </c>
      <c r="D757" s="7" t="n">
        <v>-10</v>
      </c>
      <c r="E757" s="16" t="s">
        <v>193</v>
      </c>
      <c r="F757" s="7" t="n">
        <v>148033.18</v>
      </c>
      <c r="G757" s="16" t="s">
        <v>80</v>
      </c>
    </row>
    <row r="758" customFormat="false" ht="15" hidden="false" customHeight="false" outlineLevel="0" collapsed="false">
      <c r="A758" s="0" t="s">
        <v>187</v>
      </c>
      <c r="B758" s="14" t="n">
        <v>45873</v>
      </c>
      <c r="C758" s="16" t="s">
        <v>900</v>
      </c>
      <c r="D758" s="7" t="n">
        <v>-10</v>
      </c>
      <c r="E758" s="16" t="s">
        <v>193</v>
      </c>
      <c r="F758" s="7" t="n">
        <v>148043.18</v>
      </c>
      <c r="G758" s="16" t="s">
        <v>80</v>
      </c>
    </row>
    <row r="759" customFormat="false" ht="15" hidden="false" customHeight="false" outlineLevel="0" collapsed="false">
      <c r="A759" s="0" t="s">
        <v>187</v>
      </c>
      <c r="B759" s="14" t="n">
        <v>45873</v>
      </c>
      <c r="C759" s="16" t="s">
        <v>901</v>
      </c>
      <c r="D759" s="7" t="n">
        <v>-10</v>
      </c>
      <c r="E759" s="16" t="s">
        <v>193</v>
      </c>
      <c r="F759" s="7" t="n">
        <v>148053.18</v>
      </c>
      <c r="G759" s="16" t="s">
        <v>80</v>
      </c>
    </row>
    <row r="760" customFormat="false" ht="15" hidden="false" customHeight="false" outlineLevel="0" collapsed="false">
      <c r="A760" s="0" t="s">
        <v>187</v>
      </c>
      <c r="B760" s="14" t="n">
        <v>45873</v>
      </c>
      <c r="C760" s="16" t="s">
        <v>902</v>
      </c>
      <c r="D760" s="7" t="n">
        <v>-1500</v>
      </c>
      <c r="E760" s="16" t="s">
        <v>197</v>
      </c>
      <c r="F760" s="7" t="n">
        <v>148063.18</v>
      </c>
      <c r="G760" s="16" t="s">
        <v>69</v>
      </c>
    </row>
    <row r="761" customFormat="false" ht="15" hidden="false" customHeight="false" outlineLevel="0" collapsed="false">
      <c r="A761" s="0" t="s">
        <v>187</v>
      </c>
      <c r="B761" s="14" t="n">
        <v>45873</v>
      </c>
      <c r="C761" s="16" t="s">
        <v>903</v>
      </c>
      <c r="D761" s="7" t="n">
        <v>-10</v>
      </c>
      <c r="E761" s="16" t="s">
        <v>193</v>
      </c>
      <c r="F761" s="7" t="n">
        <v>149563.18</v>
      </c>
      <c r="G761" s="16" t="s">
        <v>80</v>
      </c>
    </row>
    <row r="762" customFormat="false" ht="15" hidden="false" customHeight="false" outlineLevel="0" collapsed="false">
      <c r="A762" s="0" t="s">
        <v>187</v>
      </c>
      <c r="B762" s="14" t="n">
        <v>45873</v>
      </c>
      <c r="C762" s="16" t="s">
        <v>904</v>
      </c>
      <c r="D762" s="7" t="n">
        <v>-1250</v>
      </c>
      <c r="E762" s="16" t="s">
        <v>193</v>
      </c>
      <c r="F762" s="7" t="n">
        <v>149573.18</v>
      </c>
      <c r="G762" s="16" t="s">
        <v>80</v>
      </c>
    </row>
    <row r="763" customFormat="false" ht="15" hidden="false" customHeight="false" outlineLevel="0" collapsed="false">
      <c r="A763" s="0" t="s">
        <v>187</v>
      </c>
      <c r="B763" s="14" t="n">
        <v>45873</v>
      </c>
      <c r="C763" s="16" t="s">
        <v>905</v>
      </c>
      <c r="D763" s="7" t="n">
        <v>-6.98</v>
      </c>
      <c r="E763" s="16" t="s">
        <v>206</v>
      </c>
      <c r="F763" s="7" t="n">
        <v>150823.18</v>
      </c>
      <c r="G763" s="16" t="s">
        <v>137</v>
      </c>
    </row>
    <row r="764" customFormat="false" ht="15" hidden="false" customHeight="false" outlineLevel="0" collapsed="false">
      <c r="A764" s="0" t="s">
        <v>187</v>
      </c>
      <c r="B764" s="14" t="n">
        <v>45873</v>
      </c>
      <c r="C764" s="16" t="s">
        <v>906</v>
      </c>
      <c r="D764" s="7" t="n">
        <v>-10.88</v>
      </c>
      <c r="E764" s="16" t="s">
        <v>206</v>
      </c>
      <c r="F764" s="7" t="n">
        <v>150830.16</v>
      </c>
      <c r="G764" s="16" t="s">
        <v>179</v>
      </c>
    </row>
    <row r="765" customFormat="false" ht="15" hidden="false" customHeight="false" outlineLevel="0" collapsed="false">
      <c r="A765" s="0" t="s">
        <v>187</v>
      </c>
      <c r="B765" s="14" t="n">
        <v>45873</v>
      </c>
      <c r="C765" s="16" t="s">
        <v>907</v>
      </c>
      <c r="D765" s="7" t="n">
        <v>-54.13</v>
      </c>
      <c r="E765" s="16" t="s">
        <v>206</v>
      </c>
      <c r="F765" s="7" t="n">
        <v>150841.04</v>
      </c>
      <c r="G765" s="16" t="s">
        <v>137</v>
      </c>
    </row>
    <row r="766" customFormat="false" ht="15" hidden="false" customHeight="false" outlineLevel="0" collapsed="false">
      <c r="A766" s="0" t="s">
        <v>187</v>
      </c>
      <c r="B766" s="14" t="n">
        <v>45873</v>
      </c>
      <c r="C766" s="16" t="s">
        <v>908</v>
      </c>
      <c r="D766" s="7" t="n">
        <v>-300</v>
      </c>
      <c r="E766" s="16" t="s">
        <v>206</v>
      </c>
      <c r="F766" s="7" t="n">
        <v>150895.17</v>
      </c>
      <c r="G766" s="16" t="s">
        <v>121</v>
      </c>
    </row>
    <row r="767" customFormat="false" ht="15" hidden="false" customHeight="false" outlineLevel="0" collapsed="false">
      <c r="A767" s="0" t="s">
        <v>187</v>
      </c>
      <c r="B767" s="14" t="n">
        <v>45873</v>
      </c>
      <c r="C767" s="16" t="s">
        <v>909</v>
      </c>
      <c r="D767" s="7" t="n">
        <v>-10.78</v>
      </c>
      <c r="E767" s="16" t="s">
        <v>206</v>
      </c>
      <c r="F767" s="7" t="n">
        <v>151195.17</v>
      </c>
      <c r="G767" s="16" t="s">
        <v>116</v>
      </c>
    </row>
    <row r="768" customFormat="false" ht="15" hidden="false" customHeight="false" outlineLevel="0" collapsed="false">
      <c r="A768" s="0" t="s">
        <v>187</v>
      </c>
      <c r="B768" s="14" t="n">
        <v>45873</v>
      </c>
      <c r="C768" s="16" t="s">
        <v>910</v>
      </c>
      <c r="D768" s="7" t="n">
        <v>-8.99</v>
      </c>
      <c r="E768" s="16" t="s">
        <v>206</v>
      </c>
      <c r="F768" s="7" t="n">
        <v>151205.95</v>
      </c>
      <c r="G768" s="16" t="s">
        <v>144</v>
      </c>
    </row>
    <row r="769" customFormat="false" ht="15" hidden="false" customHeight="false" outlineLevel="0" collapsed="false">
      <c r="A769" s="0" t="s">
        <v>187</v>
      </c>
      <c r="B769" s="14" t="n">
        <v>45873</v>
      </c>
      <c r="C769" s="16" t="s">
        <v>910</v>
      </c>
      <c r="D769" s="7" t="n">
        <v>-12.99</v>
      </c>
      <c r="E769" s="16" t="s">
        <v>206</v>
      </c>
      <c r="F769" s="7" t="n">
        <v>151214.94</v>
      </c>
      <c r="G769" s="16" t="s">
        <v>144</v>
      </c>
    </row>
    <row r="770" customFormat="false" ht="15" hidden="false" customHeight="false" outlineLevel="0" collapsed="false">
      <c r="A770" s="0" t="s">
        <v>187</v>
      </c>
      <c r="B770" s="14" t="n">
        <v>45873</v>
      </c>
      <c r="C770" s="16" t="s">
        <v>911</v>
      </c>
      <c r="D770" s="7" t="n">
        <v>-2000</v>
      </c>
      <c r="E770" s="16" t="s">
        <v>213</v>
      </c>
      <c r="F770" s="7" t="n">
        <v>151227.93</v>
      </c>
      <c r="G770" s="16" t="s">
        <v>97</v>
      </c>
    </row>
    <row r="771" customFormat="false" ht="15" hidden="false" customHeight="false" outlineLevel="0" collapsed="false">
      <c r="A771" s="0" t="s">
        <v>187</v>
      </c>
      <c r="B771" s="14" t="n">
        <v>45873</v>
      </c>
      <c r="C771" s="16" t="s">
        <v>912</v>
      </c>
      <c r="D771" s="7" t="n">
        <v>-101.99</v>
      </c>
      <c r="E771" s="16" t="s">
        <v>206</v>
      </c>
      <c r="F771" s="7" t="n">
        <v>153227.93</v>
      </c>
      <c r="G771" s="16" t="s">
        <v>144</v>
      </c>
    </row>
    <row r="772" customFormat="false" ht="15" hidden="false" customHeight="false" outlineLevel="0" collapsed="false">
      <c r="A772" s="0" t="s">
        <v>187</v>
      </c>
      <c r="B772" s="14" t="n">
        <v>45873</v>
      </c>
      <c r="C772" s="16" t="s">
        <v>913</v>
      </c>
      <c r="D772" s="7" t="n">
        <v>-375.4</v>
      </c>
      <c r="E772" s="16" t="s">
        <v>206</v>
      </c>
      <c r="F772" s="7" t="n">
        <v>153329.92</v>
      </c>
      <c r="G772" s="16" t="s">
        <v>67</v>
      </c>
    </row>
    <row r="773" customFormat="false" ht="15" hidden="false" customHeight="false" outlineLevel="0" collapsed="false">
      <c r="A773" s="0" t="s">
        <v>187</v>
      </c>
      <c r="B773" s="14" t="n">
        <v>45873</v>
      </c>
      <c r="C773" s="16" t="s">
        <v>910</v>
      </c>
      <c r="D773" s="7" t="n">
        <v>-3.99</v>
      </c>
      <c r="E773" s="16" t="s">
        <v>206</v>
      </c>
      <c r="F773" s="7" t="n">
        <v>153705.32</v>
      </c>
      <c r="G773" s="16" t="s">
        <v>144</v>
      </c>
    </row>
    <row r="774" customFormat="false" ht="15" hidden="false" customHeight="false" outlineLevel="0" collapsed="false">
      <c r="A774" s="0" t="s">
        <v>187</v>
      </c>
      <c r="B774" s="14" t="n">
        <v>45873</v>
      </c>
      <c r="C774" s="16" t="s">
        <v>914</v>
      </c>
      <c r="D774" s="7" t="n">
        <v>-15.99</v>
      </c>
      <c r="E774" s="16" t="s">
        <v>206</v>
      </c>
      <c r="F774" s="7" t="n">
        <v>153709.31</v>
      </c>
      <c r="G774" s="16" t="s">
        <v>144</v>
      </c>
    </row>
    <row r="775" customFormat="false" ht="15" hidden="false" customHeight="false" outlineLevel="0" collapsed="false">
      <c r="A775" s="0" t="s">
        <v>187</v>
      </c>
      <c r="B775" s="14" t="n">
        <v>45873</v>
      </c>
      <c r="C775" s="16" t="s">
        <v>915</v>
      </c>
      <c r="D775" s="7" t="n">
        <v>-18.99</v>
      </c>
      <c r="E775" s="16" t="s">
        <v>206</v>
      </c>
      <c r="F775" s="7" t="n">
        <v>153725.3</v>
      </c>
      <c r="G775" s="16" t="s">
        <v>144</v>
      </c>
    </row>
    <row r="776" customFormat="false" ht="15" hidden="false" customHeight="false" outlineLevel="0" collapsed="false">
      <c r="A776" s="0" t="s">
        <v>187</v>
      </c>
      <c r="B776" s="14" t="n">
        <v>45873</v>
      </c>
      <c r="C776" s="16" t="s">
        <v>916</v>
      </c>
      <c r="D776" s="7" t="n">
        <v>-16.17</v>
      </c>
      <c r="E776" s="16" t="s">
        <v>206</v>
      </c>
      <c r="F776" s="7" t="n">
        <v>153744.29</v>
      </c>
      <c r="G776" s="16" t="s">
        <v>144</v>
      </c>
    </row>
    <row r="777" customFormat="false" ht="15" hidden="false" customHeight="false" outlineLevel="0" collapsed="false">
      <c r="A777" s="0" t="s">
        <v>187</v>
      </c>
      <c r="B777" s="14" t="n">
        <v>45870</v>
      </c>
      <c r="C777" s="16" t="s">
        <v>917</v>
      </c>
      <c r="D777" s="7" t="n">
        <v>-1.5</v>
      </c>
      <c r="E777" s="16" t="s">
        <v>189</v>
      </c>
      <c r="F777" s="7" t="n">
        <v>153760.46</v>
      </c>
      <c r="G777" s="16" t="s">
        <v>110</v>
      </c>
    </row>
    <row r="778" customFormat="false" ht="15" hidden="false" customHeight="false" outlineLevel="0" collapsed="false">
      <c r="A778" s="0" t="s">
        <v>187</v>
      </c>
      <c r="B778" s="14" t="n">
        <v>45870</v>
      </c>
      <c r="C778" s="16" t="s">
        <v>446</v>
      </c>
      <c r="D778" s="7" t="n">
        <v>-25</v>
      </c>
      <c r="E778" s="16" t="s">
        <v>189</v>
      </c>
      <c r="F778" s="7" t="n">
        <v>153761.96</v>
      </c>
      <c r="G778" s="16" t="s">
        <v>110</v>
      </c>
    </row>
    <row r="779" customFormat="false" ht="15" hidden="false" customHeight="false" outlineLevel="0" collapsed="false">
      <c r="A779" s="0" t="s">
        <v>187</v>
      </c>
      <c r="B779" s="14" t="n">
        <v>45870</v>
      </c>
      <c r="C779" s="16" t="s">
        <v>447</v>
      </c>
      <c r="D779" s="7" t="n">
        <v>-25</v>
      </c>
      <c r="E779" s="16" t="s">
        <v>189</v>
      </c>
      <c r="F779" s="7" t="n">
        <v>153786.96</v>
      </c>
      <c r="G779" s="16" t="s">
        <v>110</v>
      </c>
    </row>
    <row r="780" customFormat="false" ht="15" hidden="false" customHeight="false" outlineLevel="0" collapsed="false">
      <c r="A780" s="0" t="s">
        <v>187</v>
      </c>
      <c r="B780" s="14" t="n">
        <v>45870</v>
      </c>
      <c r="C780" s="16" t="s">
        <v>918</v>
      </c>
      <c r="D780" s="7" t="n">
        <v>-20</v>
      </c>
      <c r="E780" s="16" t="s">
        <v>193</v>
      </c>
      <c r="F780" s="7" t="n">
        <v>153811.96</v>
      </c>
      <c r="G780" s="16" t="s">
        <v>80</v>
      </c>
    </row>
    <row r="781" customFormat="false" ht="15" hidden="false" customHeight="false" outlineLevel="0" collapsed="false">
      <c r="A781" s="0" t="s">
        <v>187</v>
      </c>
      <c r="B781" s="14" t="n">
        <v>45870</v>
      </c>
      <c r="C781" s="16" t="s">
        <v>919</v>
      </c>
      <c r="D781" s="7" t="n">
        <v>-50</v>
      </c>
      <c r="E781" s="16" t="s">
        <v>193</v>
      </c>
      <c r="F781" s="7" t="n">
        <v>153831.96</v>
      </c>
      <c r="G781" s="16" t="s">
        <v>80</v>
      </c>
    </row>
    <row r="782" customFormat="false" ht="15" hidden="false" customHeight="false" outlineLevel="0" collapsed="false">
      <c r="A782" s="0" t="s">
        <v>187</v>
      </c>
      <c r="B782" s="14" t="n">
        <v>45870</v>
      </c>
      <c r="C782" s="16" t="s">
        <v>920</v>
      </c>
      <c r="D782" s="7" t="n">
        <v>-60</v>
      </c>
      <c r="E782" s="16" t="s">
        <v>193</v>
      </c>
      <c r="F782" s="7" t="n">
        <v>153881.96</v>
      </c>
      <c r="G782" s="16" t="s">
        <v>80</v>
      </c>
    </row>
    <row r="783" customFormat="false" ht="15" hidden="false" customHeight="false" outlineLevel="0" collapsed="false">
      <c r="A783" s="0" t="s">
        <v>187</v>
      </c>
      <c r="B783" s="14" t="n">
        <v>45870</v>
      </c>
      <c r="C783" s="16" t="s">
        <v>921</v>
      </c>
      <c r="D783" s="7" t="n">
        <v>-1250</v>
      </c>
      <c r="E783" s="16" t="s">
        <v>193</v>
      </c>
      <c r="F783" s="7" t="n">
        <v>153941.96</v>
      </c>
      <c r="G783" s="16" t="s">
        <v>80</v>
      </c>
    </row>
    <row r="784" customFormat="false" ht="15" hidden="false" customHeight="false" outlineLevel="0" collapsed="false">
      <c r="A784" s="0" t="s">
        <v>187</v>
      </c>
      <c r="B784" s="14" t="n">
        <v>45870</v>
      </c>
      <c r="C784" s="16" t="s">
        <v>922</v>
      </c>
      <c r="D784" s="7" t="n">
        <v>-870.55</v>
      </c>
      <c r="E784" s="16" t="s">
        <v>193</v>
      </c>
      <c r="F784" s="7" t="n">
        <v>155191.96</v>
      </c>
      <c r="G784" s="16" t="s">
        <v>184</v>
      </c>
    </row>
    <row r="785" customFormat="false" ht="15" hidden="false" customHeight="false" outlineLevel="0" collapsed="false">
      <c r="A785" s="0" t="s">
        <v>187</v>
      </c>
      <c r="B785" s="14" t="n">
        <v>45869</v>
      </c>
      <c r="C785" s="16" t="s">
        <v>188</v>
      </c>
      <c r="D785" s="7" t="n">
        <v>-5</v>
      </c>
      <c r="E785" s="16" t="s">
        <v>189</v>
      </c>
      <c r="F785" s="7" t="n">
        <v>156062.51</v>
      </c>
      <c r="G785" s="16" t="s">
        <v>65</v>
      </c>
    </row>
    <row r="786" customFormat="false" ht="15" hidden="false" customHeight="false" outlineLevel="0" collapsed="false">
      <c r="A786" s="0" t="s">
        <v>187</v>
      </c>
      <c r="B786" s="14" t="n">
        <v>45869</v>
      </c>
      <c r="C786" s="16" t="s">
        <v>923</v>
      </c>
      <c r="D786" s="7" t="n">
        <v>-524.5</v>
      </c>
      <c r="E786" s="16" t="s">
        <v>193</v>
      </c>
      <c r="F786" s="7" t="n">
        <v>156067.51</v>
      </c>
      <c r="G786" s="16" t="s">
        <v>145</v>
      </c>
    </row>
    <row r="787" customFormat="false" ht="15" hidden="false" customHeight="false" outlineLevel="0" collapsed="false">
      <c r="A787" s="0" t="s">
        <v>187</v>
      </c>
      <c r="B787" s="14" t="n">
        <v>45869</v>
      </c>
      <c r="C787" s="16" t="s">
        <v>924</v>
      </c>
      <c r="D787" s="7" t="n">
        <v>-689</v>
      </c>
      <c r="E787" s="16" t="s">
        <v>193</v>
      </c>
      <c r="F787" s="7" t="n">
        <v>156592.01</v>
      </c>
      <c r="G787" s="16" t="s">
        <v>181</v>
      </c>
    </row>
    <row r="788" customFormat="false" ht="15" hidden="false" customHeight="false" outlineLevel="0" collapsed="false">
      <c r="A788" s="0" t="s">
        <v>187</v>
      </c>
      <c r="B788" s="14" t="n">
        <v>45869</v>
      </c>
      <c r="C788" s="16" t="s">
        <v>925</v>
      </c>
      <c r="D788" s="7" t="n">
        <v>-750</v>
      </c>
      <c r="E788" s="16" t="s">
        <v>191</v>
      </c>
      <c r="F788" s="7" t="n">
        <v>157281.01</v>
      </c>
      <c r="G788" s="16" t="s">
        <v>65</v>
      </c>
    </row>
    <row r="789" customFormat="false" ht="15" hidden="false" customHeight="false" outlineLevel="0" collapsed="false">
      <c r="A789" s="0" t="s">
        <v>187</v>
      </c>
      <c r="B789" s="14" t="n">
        <v>45869</v>
      </c>
      <c r="C789" s="16" t="s">
        <v>926</v>
      </c>
      <c r="D789" s="7" t="n">
        <v>-103</v>
      </c>
      <c r="E789" s="16" t="s">
        <v>206</v>
      </c>
      <c r="F789" s="7" t="n">
        <v>158031.01</v>
      </c>
      <c r="G789" s="16" t="s">
        <v>117</v>
      </c>
    </row>
    <row r="790" customFormat="false" ht="15" hidden="false" customHeight="false" outlineLevel="0" collapsed="false">
      <c r="A790" s="0" t="s">
        <v>187</v>
      </c>
      <c r="B790" s="14" t="n">
        <v>45869</v>
      </c>
      <c r="C790" s="16" t="s">
        <v>927</v>
      </c>
      <c r="D790" s="7" t="n">
        <v>-7010</v>
      </c>
      <c r="E790" s="16" t="s">
        <v>208</v>
      </c>
      <c r="F790" s="7" t="n">
        <v>158134.01</v>
      </c>
      <c r="G790" s="16" t="s">
        <v>134</v>
      </c>
    </row>
    <row r="791" customFormat="false" ht="15" hidden="false" customHeight="false" outlineLevel="0" collapsed="false">
      <c r="A791" s="0" t="s">
        <v>187</v>
      </c>
      <c r="B791" s="14" t="n">
        <v>45869</v>
      </c>
      <c r="C791" s="16" t="s">
        <v>928</v>
      </c>
      <c r="D791" s="7" t="n">
        <v>-412</v>
      </c>
      <c r="E791" s="16" t="s">
        <v>208</v>
      </c>
      <c r="F791" s="7" t="n">
        <v>165144.01</v>
      </c>
      <c r="G791" s="16" t="s">
        <v>180</v>
      </c>
    </row>
    <row r="792" customFormat="false" ht="15" hidden="false" customHeight="false" outlineLevel="0" collapsed="false">
      <c r="A792" s="0" t="s">
        <v>187</v>
      </c>
      <c r="B792" s="14" t="n">
        <v>45869</v>
      </c>
      <c r="C792" s="16" t="s">
        <v>929</v>
      </c>
      <c r="D792" s="7" t="n">
        <v>-18.99</v>
      </c>
      <c r="E792" s="16" t="s">
        <v>206</v>
      </c>
      <c r="F792" s="7" t="n">
        <v>165556.01</v>
      </c>
      <c r="G792" s="16" t="s">
        <v>144</v>
      </c>
    </row>
    <row r="793" customFormat="false" ht="15" hidden="false" customHeight="false" outlineLevel="0" collapsed="false">
      <c r="A793" s="0" t="s">
        <v>187</v>
      </c>
      <c r="B793" s="14" t="n">
        <v>45868</v>
      </c>
      <c r="C793" s="16" t="s">
        <v>930</v>
      </c>
      <c r="D793" s="7" t="n">
        <v>-200</v>
      </c>
      <c r="E793" s="16" t="s">
        <v>224</v>
      </c>
      <c r="F793" s="7" t="n">
        <v>165575</v>
      </c>
      <c r="G793" s="16" t="s">
        <v>85</v>
      </c>
    </row>
    <row r="794" customFormat="false" ht="15" hidden="false" customHeight="false" outlineLevel="0" collapsed="false">
      <c r="A794" s="0" t="s">
        <v>187</v>
      </c>
      <c r="B794" s="14" t="n">
        <v>45868</v>
      </c>
      <c r="C794" s="16" t="s">
        <v>931</v>
      </c>
      <c r="D794" s="7" t="n">
        <v>-30</v>
      </c>
      <c r="E794" s="16" t="s">
        <v>193</v>
      </c>
      <c r="F794" s="7" t="n">
        <v>165775</v>
      </c>
      <c r="G794" s="16" t="s">
        <v>80</v>
      </c>
    </row>
    <row r="795" customFormat="false" ht="15" hidden="false" customHeight="false" outlineLevel="0" collapsed="false">
      <c r="A795" s="0" t="s">
        <v>187</v>
      </c>
      <c r="B795" s="14" t="n">
        <v>45868</v>
      </c>
      <c r="C795" s="16" t="s">
        <v>932</v>
      </c>
      <c r="D795" s="7" t="n">
        <v>-2524</v>
      </c>
      <c r="E795" s="16" t="s">
        <v>193</v>
      </c>
      <c r="F795" s="7" t="n">
        <v>165805</v>
      </c>
      <c r="G795" s="16" t="s">
        <v>103</v>
      </c>
    </row>
    <row r="796" customFormat="false" ht="15" hidden="false" customHeight="false" outlineLevel="0" collapsed="false">
      <c r="A796" s="0" t="s">
        <v>187</v>
      </c>
      <c r="B796" s="14" t="n">
        <v>45868</v>
      </c>
      <c r="C796" s="16" t="s">
        <v>933</v>
      </c>
      <c r="D796" s="7" t="n">
        <v>-10000</v>
      </c>
      <c r="E796" s="16" t="s">
        <v>213</v>
      </c>
      <c r="F796" s="7" t="n">
        <v>168329</v>
      </c>
      <c r="G796" s="16" t="s">
        <v>96</v>
      </c>
    </row>
    <row r="797" customFormat="false" ht="15" hidden="false" customHeight="false" outlineLevel="0" collapsed="false">
      <c r="A797" s="0" t="s">
        <v>187</v>
      </c>
      <c r="B797" s="14" t="n">
        <v>45867</v>
      </c>
      <c r="C797" s="16" t="s">
        <v>934</v>
      </c>
      <c r="D797" s="7" t="n">
        <v>-150</v>
      </c>
      <c r="E797" s="16" t="s">
        <v>215</v>
      </c>
      <c r="F797" s="7" t="n">
        <v>178329</v>
      </c>
      <c r="G797" s="16" t="s">
        <v>87</v>
      </c>
    </row>
    <row r="798" customFormat="false" ht="15" hidden="false" customHeight="false" outlineLevel="0" collapsed="false">
      <c r="A798" s="0" t="s">
        <v>187</v>
      </c>
      <c r="B798" s="14" t="n">
        <v>45867</v>
      </c>
      <c r="C798" s="16" t="s">
        <v>935</v>
      </c>
      <c r="D798" s="7" t="n">
        <v>-438.84</v>
      </c>
      <c r="E798" s="16" t="s">
        <v>193</v>
      </c>
      <c r="F798" s="7" t="n">
        <v>178479</v>
      </c>
      <c r="G798" s="16" t="s">
        <v>181</v>
      </c>
    </row>
    <row r="799" customFormat="false" ht="15" hidden="false" customHeight="false" outlineLevel="0" collapsed="false">
      <c r="A799" s="0" t="s">
        <v>187</v>
      </c>
      <c r="B799" s="14" t="n">
        <v>45867</v>
      </c>
      <c r="C799" s="16" t="s">
        <v>936</v>
      </c>
      <c r="D799" s="7" t="n">
        <v>-1592.5</v>
      </c>
      <c r="E799" s="16" t="s">
        <v>206</v>
      </c>
      <c r="F799" s="7" t="n">
        <v>178917.84</v>
      </c>
      <c r="G799" s="16" t="s">
        <v>75</v>
      </c>
    </row>
    <row r="800" customFormat="false" ht="15" hidden="false" customHeight="false" outlineLevel="0" collapsed="false">
      <c r="A800" s="0" t="s">
        <v>259</v>
      </c>
      <c r="B800" s="14" t="n">
        <v>45867</v>
      </c>
      <c r="C800" s="16" t="s">
        <v>937</v>
      </c>
      <c r="D800" s="7" t="n">
        <v>170000</v>
      </c>
      <c r="E800" s="16" t="s">
        <v>282</v>
      </c>
      <c r="F800" s="7" t="n">
        <v>180510.34</v>
      </c>
      <c r="G800" s="16" t="s">
        <v>39</v>
      </c>
    </row>
    <row r="801" customFormat="false" ht="15" hidden="false" customHeight="false" outlineLevel="0" collapsed="false">
      <c r="A801" s="0" t="s">
        <v>187</v>
      </c>
      <c r="B801" s="14" t="n">
        <v>45866</v>
      </c>
      <c r="C801" s="16" t="s">
        <v>938</v>
      </c>
      <c r="D801" s="7" t="n">
        <v>-3000</v>
      </c>
      <c r="E801" s="16" t="s">
        <v>213</v>
      </c>
      <c r="F801" s="7" t="n">
        <v>10510.34</v>
      </c>
      <c r="G801" s="16" t="s">
        <v>96</v>
      </c>
    </row>
    <row r="802" customFormat="false" ht="15" hidden="false" customHeight="false" outlineLevel="0" collapsed="false">
      <c r="A802" s="0" t="s">
        <v>187</v>
      </c>
      <c r="B802" s="14" t="n">
        <v>45866</v>
      </c>
      <c r="C802" s="16" t="s">
        <v>939</v>
      </c>
      <c r="D802" s="7" t="n">
        <v>-1500</v>
      </c>
      <c r="E802" s="16" t="s">
        <v>197</v>
      </c>
      <c r="F802" s="7" t="n">
        <v>13510.34</v>
      </c>
      <c r="G802" s="16" t="s">
        <v>69</v>
      </c>
    </row>
    <row r="803" customFormat="false" ht="15" hidden="false" customHeight="false" outlineLevel="0" collapsed="false">
      <c r="A803" s="0" t="s">
        <v>187</v>
      </c>
      <c r="B803" s="14" t="n">
        <v>45866</v>
      </c>
      <c r="C803" s="16" t="s">
        <v>940</v>
      </c>
      <c r="D803" s="7" t="n">
        <v>-12.5</v>
      </c>
      <c r="E803" s="16" t="s">
        <v>193</v>
      </c>
      <c r="F803" s="7" t="n">
        <v>15010.34</v>
      </c>
      <c r="G803" s="16" t="s">
        <v>142</v>
      </c>
    </row>
    <row r="804" customFormat="false" ht="15" hidden="false" customHeight="false" outlineLevel="0" collapsed="false">
      <c r="A804" s="0" t="s">
        <v>187</v>
      </c>
      <c r="B804" s="14" t="n">
        <v>45866</v>
      </c>
      <c r="C804" s="16" t="s">
        <v>941</v>
      </c>
      <c r="D804" s="7" t="n">
        <v>-22.92</v>
      </c>
      <c r="E804" s="16" t="s">
        <v>193</v>
      </c>
      <c r="F804" s="7" t="n">
        <v>15022.84</v>
      </c>
      <c r="G804" s="16" t="s">
        <v>142</v>
      </c>
    </row>
    <row r="805" customFormat="false" ht="15" hidden="false" customHeight="false" outlineLevel="0" collapsed="false">
      <c r="A805" s="0" t="s">
        <v>187</v>
      </c>
      <c r="B805" s="14" t="n">
        <v>45866</v>
      </c>
      <c r="C805" s="16" t="s">
        <v>942</v>
      </c>
      <c r="D805" s="7" t="n">
        <v>-121.21</v>
      </c>
      <c r="E805" s="16" t="s">
        <v>193</v>
      </c>
      <c r="F805" s="7" t="n">
        <v>15045.76</v>
      </c>
      <c r="G805" s="16" t="s">
        <v>122</v>
      </c>
    </row>
    <row r="806" customFormat="false" ht="15" hidden="false" customHeight="false" outlineLevel="0" collapsed="false">
      <c r="A806" s="0" t="s">
        <v>187</v>
      </c>
      <c r="B806" s="14" t="n">
        <v>45866</v>
      </c>
      <c r="C806" s="16" t="s">
        <v>943</v>
      </c>
      <c r="D806" s="7" t="n">
        <v>-1000</v>
      </c>
      <c r="E806" s="16" t="s">
        <v>215</v>
      </c>
      <c r="F806" s="7" t="n">
        <v>15166.97</v>
      </c>
      <c r="G806" s="16" t="s">
        <v>69</v>
      </c>
    </row>
    <row r="807" customFormat="false" ht="15" hidden="false" customHeight="false" outlineLevel="0" collapsed="false">
      <c r="A807" s="0" t="s">
        <v>187</v>
      </c>
      <c r="B807" s="14" t="n">
        <v>45866</v>
      </c>
      <c r="C807" s="16" t="s">
        <v>944</v>
      </c>
      <c r="D807" s="7" t="n">
        <v>-16.99</v>
      </c>
      <c r="E807" s="16" t="s">
        <v>206</v>
      </c>
      <c r="F807" s="7" t="n">
        <v>16166.97</v>
      </c>
      <c r="G807" s="16" t="s">
        <v>144</v>
      </c>
    </row>
    <row r="808" customFormat="false" ht="15" hidden="false" customHeight="false" outlineLevel="0" collapsed="false">
      <c r="A808" s="0" t="s">
        <v>187</v>
      </c>
      <c r="B808" s="14" t="n">
        <v>45866</v>
      </c>
      <c r="C808" s="16" t="s">
        <v>945</v>
      </c>
      <c r="D808" s="7" t="n">
        <v>-100</v>
      </c>
      <c r="E808" s="16" t="s">
        <v>215</v>
      </c>
      <c r="F808" s="7" t="n">
        <v>16183.96</v>
      </c>
      <c r="G808" s="16" t="s">
        <v>87</v>
      </c>
    </row>
    <row r="809" customFormat="false" ht="15" hidden="false" customHeight="false" outlineLevel="0" collapsed="false">
      <c r="A809" s="0" t="s">
        <v>187</v>
      </c>
      <c r="B809" s="14" t="n">
        <v>45866</v>
      </c>
      <c r="C809" s="16" t="s">
        <v>946</v>
      </c>
      <c r="D809" s="7" t="n">
        <v>-2000</v>
      </c>
      <c r="E809" s="16" t="s">
        <v>213</v>
      </c>
      <c r="F809" s="7" t="n">
        <v>16283.96</v>
      </c>
      <c r="G809" s="16" t="s">
        <v>96</v>
      </c>
    </row>
    <row r="810" customFormat="false" ht="15" hidden="false" customHeight="false" outlineLevel="0" collapsed="false">
      <c r="A810" s="0" t="s">
        <v>187</v>
      </c>
      <c r="B810" s="14" t="n">
        <v>45866</v>
      </c>
      <c r="C810" s="16" t="s">
        <v>944</v>
      </c>
      <c r="D810" s="7" t="n">
        <v>-8.99</v>
      </c>
      <c r="E810" s="16" t="s">
        <v>206</v>
      </c>
      <c r="F810" s="7" t="n">
        <v>18283.96</v>
      </c>
      <c r="G810" s="16" t="s">
        <v>144</v>
      </c>
    </row>
    <row r="811" customFormat="false" ht="15" hidden="false" customHeight="false" outlineLevel="0" collapsed="false">
      <c r="A811" s="0" t="s">
        <v>187</v>
      </c>
      <c r="B811" s="14" t="n">
        <v>45866</v>
      </c>
      <c r="C811" s="16" t="s">
        <v>944</v>
      </c>
      <c r="D811" s="7" t="n">
        <v>-9.99</v>
      </c>
      <c r="E811" s="16" t="s">
        <v>206</v>
      </c>
      <c r="F811" s="7" t="n">
        <v>18292.95</v>
      </c>
      <c r="G811" s="16" t="s">
        <v>144</v>
      </c>
    </row>
    <row r="812" customFormat="false" ht="15" hidden="false" customHeight="false" outlineLevel="0" collapsed="false">
      <c r="A812" s="0" t="s">
        <v>187</v>
      </c>
      <c r="B812" s="14" t="n">
        <v>45866</v>
      </c>
      <c r="C812" s="16" t="s">
        <v>947</v>
      </c>
      <c r="D812" s="7" t="n">
        <v>-17.27</v>
      </c>
      <c r="E812" s="16" t="s">
        <v>206</v>
      </c>
      <c r="F812" s="7" t="n">
        <v>18302.94</v>
      </c>
      <c r="G812" s="16" t="s">
        <v>144</v>
      </c>
    </row>
    <row r="813" customFormat="false" ht="15" hidden="false" customHeight="false" outlineLevel="0" collapsed="false">
      <c r="A813" s="0" t="s">
        <v>187</v>
      </c>
      <c r="B813" s="14" t="n">
        <v>45866</v>
      </c>
      <c r="C813" s="16" t="s">
        <v>948</v>
      </c>
      <c r="D813" s="7" t="n">
        <v>-510</v>
      </c>
      <c r="E813" s="16" t="s">
        <v>206</v>
      </c>
      <c r="F813" s="7" t="n">
        <v>18320.21</v>
      </c>
      <c r="G813" s="16" t="s">
        <v>67</v>
      </c>
    </row>
    <row r="814" customFormat="false" ht="15" hidden="false" customHeight="false" outlineLevel="0" collapsed="false">
      <c r="A814" s="0" t="s">
        <v>187</v>
      </c>
      <c r="B814" s="14" t="n">
        <v>45866</v>
      </c>
      <c r="C814" s="16" t="s">
        <v>949</v>
      </c>
      <c r="D814" s="7" t="n">
        <v>-1300</v>
      </c>
      <c r="E814" s="16" t="s">
        <v>215</v>
      </c>
      <c r="F814" s="7" t="n">
        <v>18830.21</v>
      </c>
      <c r="G814" s="16" t="s">
        <v>93</v>
      </c>
    </row>
    <row r="815" customFormat="false" ht="15" hidden="false" customHeight="false" outlineLevel="0" collapsed="false">
      <c r="A815" s="0" t="s">
        <v>187</v>
      </c>
      <c r="B815" s="14" t="n">
        <v>45863</v>
      </c>
      <c r="C815" s="16" t="s">
        <v>950</v>
      </c>
      <c r="D815" s="7" t="n">
        <v>-15000</v>
      </c>
      <c r="E815" s="16" t="s">
        <v>213</v>
      </c>
      <c r="F815" s="7" t="n">
        <v>20130.21</v>
      </c>
      <c r="G815" s="16" t="s">
        <v>98</v>
      </c>
    </row>
    <row r="816" customFormat="false" ht="15" hidden="false" customHeight="false" outlineLevel="0" collapsed="false">
      <c r="A816" s="0" t="s">
        <v>187</v>
      </c>
      <c r="B816" s="14" t="n">
        <v>45863</v>
      </c>
      <c r="C816" s="16" t="s">
        <v>951</v>
      </c>
      <c r="D816" s="7" t="n">
        <v>-1000</v>
      </c>
      <c r="E816" s="16" t="s">
        <v>213</v>
      </c>
      <c r="F816" s="7" t="n">
        <v>35130.21</v>
      </c>
      <c r="G816" s="16" t="s">
        <v>97</v>
      </c>
    </row>
    <row r="817" customFormat="false" ht="15" hidden="false" customHeight="false" outlineLevel="0" collapsed="false">
      <c r="A817" s="0" t="s">
        <v>187</v>
      </c>
      <c r="B817" s="14" t="n">
        <v>45863</v>
      </c>
      <c r="C817" s="16" t="s">
        <v>952</v>
      </c>
      <c r="D817" s="7" t="n">
        <v>-12.99</v>
      </c>
      <c r="E817" s="16" t="s">
        <v>206</v>
      </c>
      <c r="F817" s="7" t="n">
        <v>36130.21</v>
      </c>
      <c r="G817" s="16" t="s">
        <v>114</v>
      </c>
    </row>
    <row r="818" customFormat="false" ht="15" hidden="false" customHeight="false" outlineLevel="0" collapsed="false">
      <c r="A818" s="0" t="s">
        <v>259</v>
      </c>
      <c r="B818" s="14" t="n">
        <v>45863</v>
      </c>
      <c r="C818" s="16" t="s">
        <v>953</v>
      </c>
      <c r="D818" s="7" t="n">
        <v>20000</v>
      </c>
      <c r="E818" s="16" t="s">
        <v>213</v>
      </c>
      <c r="F818" s="7" t="n">
        <v>36143.2</v>
      </c>
      <c r="G818" s="16" t="s">
        <v>42</v>
      </c>
    </row>
    <row r="819" customFormat="false" ht="15" hidden="false" customHeight="false" outlineLevel="0" collapsed="false">
      <c r="A819" s="0" t="s">
        <v>187</v>
      </c>
      <c r="B819" s="14" t="n">
        <v>45862</v>
      </c>
      <c r="C819" s="16" t="s">
        <v>954</v>
      </c>
      <c r="D819" s="7" t="n">
        <v>-2000</v>
      </c>
      <c r="E819" s="16" t="s">
        <v>213</v>
      </c>
      <c r="F819" s="7" t="n">
        <v>16143.2</v>
      </c>
      <c r="G819" s="16" t="s">
        <v>96</v>
      </c>
    </row>
    <row r="820" customFormat="false" ht="15" hidden="false" customHeight="false" outlineLevel="0" collapsed="false">
      <c r="A820" s="0" t="s">
        <v>187</v>
      </c>
      <c r="B820" s="14" t="n">
        <v>45862</v>
      </c>
      <c r="C820" s="16" t="s">
        <v>955</v>
      </c>
      <c r="D820" s="7" t="n">
        <v>-9.99</v>
      </c>
      <c r="E820" s="16" t="s">
        <v>206</v>
      </c>
      <c r="F820" s="7" t="n">
        <v>18143.2</v>
      </c>
      <c r="G820" s="16" t="s">
        <v>144</v>
      </c>
    </row>
    <row r="821" customFormat="false" ht="15" hidden="false" customHeight="false" outlineLevel="0" collapsed="false">
      <c r="A821" s="0" t="s">
        <v>187</v>
      </c>
      <c r="B821" s="14" t="n">
        <v>45862</v>
      </c>
      <c r="C821" s="16" t="s">
        <v>955</v>
      </c>
      <c r="D821" s="7" t="n">
        <v>-8.99</v>
      </c>
      <c r="E821" s="16" t="s">
        <v>206</v>
      </c>
      <c r="F821" s="7" t="n">
        <v>18153.19</v>
      </c>
      <c r="G821" s="16" t="s">
        <v>144</v>
      </c>
    </row>
    <row r="822" customFormat="false" ht="15" hidden="false" customHeight="false" outlineLevel="0" collapsed="false">
      <c r="A822" s="0" t="s">
        <v>187</v>
      </c>
      <c r="B822" s="14" t="n">
        <v>45861</v>
      </c>
      <c r="C822" s="16" t="s">
        <v>956</v>
      </c>
      <c r="D822" s="7" t="n">
        <v>-120</v>
      </c>
      <c r="E822" s="16" t="s">
        <v>193</v>
      </c>
      <c r="F822" s="7" t="n">
        <v>18162.18</v>
      </c>
      <c r="G822" s="16" t="s">
        <v>80</v>
      </c>
    </row>
    <row r="823" customFormat="false" ht="15" hidden="false" customHeight="false" outlineLevel="0" collapsed="false">
      <c r="A823" s="0" t="s">
        <v>187</v>
      </c>
      <c r="B823" s="14" t="n">
        <v>45861</v>
      </c>
      <c r="C823" s="16" t="s">
        <v>957</v>
      </c>
      <c r="D823" s="7" t="n">
        <v>-21.28</v>
      </c>
      <c r="E823" s="16" t="s">
        <v>206</v>
      </c>
      <c r="F823" s="7" t="n">
        <v>18282.18</v>
      </c>
      <c r="G823" s="16" t="s">
        <v>108</v>
      </c>
    </row>
    <row r="824" customFormat="false" ht="15" hidden="false" customHeight="false" outlineLevel="0" collapsed="false">
      <c r="A824" s="0" t="s">
        <v>187</v>
      </c>
      <c r="B824" s="14" t="n">
        <v>45860</v>
      </c>
      <c r="C824" s="16" t="s">
        <v>958</v>
      </c>
      <c r="D824" s="7" t="n">
        <v>-3000</v>
      </c>
      <c r="E824" s="16" t="s">
        <v>213</v>
      </c>
      <c r="F824" s="7" t="n">
        <v>18303.46</v>
      </c>
      <c r="G824" s="16" t="s">
        <v>96</v>
      </c>
    </row>
    <row r="825" customFormat="false" ht="15" hidden="false" customHeight="false" outlineLevel="0" collapsed="false">
      <c r="A825" s="0" t="s">
        <v>187</v>
      </c>
      <c r="B825" s="14" t="n">
        <v>45860</v>
      </c>
      <c r="C825" s="16" t="s">
        <v>959</v>
      </c>
      <c r="D825" s="7" t="n">
        <v>-519.81</v>
      </c>
      <c r="E825" s="16" t="s">
        <v>206</v>
      </c>
      <c r="F825" s="7" t="n">
        <v>21303.46</v>
      </c>
      <c r="G825" s="16" t="s">
        <v>67</v>
      </c>
    </row>
    <row r="826" customFormat="false" ht="15" hidden="false" customHeight="false" outlineLevel="0" collapsed="false">
      <c r="A826" s="0" t="s">
        <v>187</v>
      </c>
      <c r="B826" s="14" t="n">
        <v>45860</v>
      </c>
      <c r="C826" s="16" t="s">
        <v>960</v>
      </c>
      <c r="D826" s="7" t="n">
        <v>-6.31</v>
      </c>
      <c r="E826" s="16" t="s">
        <v>206</v>
      </c>
      <c r="F826" s="7" t="n">
        <v>21823.27</v>
      </c>
      <c r="G826" s="16" t="s">
        <v>144</v>
      </c>
    </row>
    <row r="827" customFormat="false" ht="15" hidden="false" customHeight="false" outlineLevel="0" collapsed="false">
      <c r="A827" s="0" t="s">
        <v>187</v>
      </c>
      <c r="B827" s="14" t="n">
        <v>45860</v>
      </c>
      <c r="C827" s="16" t="s">
        <v>961</v>
      </c>
      <c r="D827" s="7" t="n">
        <v>-1</v>
      </c>
      <c r="E827" s="16" t="s">
        <v>193</v>
      </c>
      <c r="F827" s="7" t="n">
        <v>21829.58</v>
      </c>
      <c r="G827" s="16" t="s">
        <v>80</v>
      </c>
    </row>
    <row r="828" customFormat="false" ht="15" hidden="false" customHeight="false" outlineLevel="0" collapsed="false">
      <c r="A828" s="0" t="s">
        <v>187</v>
      </c>
      <c r="B828" s="14" t="n">
        <v>45860</v>
      </c>
      <c r="C828" s="16" t="s">
        <v>962</v>
      </c>
      <c r="D828" s="7" t="n">
        <v>-400</v>
      </c>
      <c r="E828" s="16" t="s">
        <v>193</v>
      </c>
      <c r="F828" s="7" t="n">
        <v>21830.58</v>
      </c>
      <c r="G828" s="16" t="s">
        <v>80</v>
      </c>
    </row>
    <row r="829" customFormat="false" ht="15" hidden="false" customHeight="false" outlineLevel="0" collapsed="false">
      <c r="A829" s="0" t="s">
        <v>187</v>
      </c>
      <c r="B829" s="14" t="n">
        <v>45860</v>
      </c>
      <c r="C829" s="16" t="s">
        <v>963</v>
      </c>
      <c r="D829" s="7" t="n">
        <v>-331.54</v>
      </c>
      <c r="E829" s="16" t="s">
        <v>193</v>
      </c>
      <c r="F829" s="7" t="n">
        <v>22230.58</v>
      </c>
      <c r="G829" s="16" t="s">
        <v>148</v>
      </c>
    </row>
    <row r="830" customFormat="false" ht="15" hidden="false" customHeight="false" outlineLevel="0" collapsed="false">
      <c r="A830" s="0" t="s">
        <v>187</v>
      </c>
      <c r="B830" s="14" t="n">
        <v>45860</v>
      </c>
      <c r="C830" s="16" t="s">
        <v>964</v>
      </c>
      <c r="D830" s="7" t="n">
        <v>-17.95</v>
      </c>
      <c r="E830" s="16" t="s">
        <v>206</v>
      </c>
      <c r="F830" s="7" t="n">
        <v>22562.12</v>
      </c>
      <c r="G830" s="16" t="s">
        <v>144</v>
      </c>
    </row>
    <row r="831" customFormat="false" ht="15" hidden="false" customHeight="false" outlineLevel="0" collapsed="false">
      <c r="A831" s="0" t="s">
        <v>187</v>
      </c>
      <c r="B831" s="14" t="n">
        <v>45860</v>
      </c>
      <c r="C831" s="16" t="s">
        <v>965</v>
      </c>
      <c r="D831" s="7" t="n">
        <v>-708.75</v>
      </c>
      <c r="E831" s="16" t="s">
        <v>206</v>
      </c>
      <c r="F831" s="7" t="n">
        <v>22580.07</v>
      </c>
      <c r="G831" s="16" t="s">
        <v>75</v>
      </c>
    </row>
    <row r="832" customFormat="false" ht="15" hidden="false" customHeight="false" outlineLevel="0" collapsed="false">
      <c r="A832" s="0" t="s">
        <v>259</v>
      </c>
      <c r="B832" s="14" t="n">
        <v>45860</v>
      </c>
      <c r="C832" s="16" t="s">
        <v>966</v>
      </c>
      <c r="D832" s="7" t="n">
        <v>20000</v>
      </c>
      <c r="E832" s="16" t="s">
        <v>213</v>
      </c>
      <c r="F832" s="7" t="n">
        <v>23288.82</v>
      </c>
      <c r="G832" s="16" t="s">
        <v>42</v>
      </c>
    </row>
    <row r="833" customFormat="false" ht="15" hidden="false" customHeight="false" outlineLevel="0" collapsed="false">
      <c r="A833" s="0" t="s">
        <v>187</v>
      </c>
      <c r="B833" s="14" t="n">
        <v>45859</v>
      </c>
      <c r="C833" s="16" t="s">
        <v>967</v>
      </c>
      <c r="D833" s="7" t="n">
        <v>-1500</v>
      </c>
      <c r="E833" s="16" t="s">
        <v>197</v>
      </c>
      <c r="F833" s="7" t="n">
        <v>3288.82</v>
      </c>
      <c r="G833" s="16" t="s">
        <v>69</v>
      </c>
    </row>
    <row r="834" customFormat="false" ht="15" hidden="false" customHeight="false" outlineLevel="0" collapsed="false">
      <c r="A834" s="0" t="s">
        <v>187</v>
      </c>
      <c r="B834" s="14" t="n">
        <v>45859</v>
      </c>
      <c r="C834" s="16" t="s">
        <v>968</v>
      </c>
      <c r="D834" s="7" t="n">
        <v>-1</v>
      </c>
      <c r="E834" s="16" t="s">
        <v>193</v>
      </c>
      <c r="F834" s="7" t="n">
        <v>4788.82</v>
      </c>
      <c r="G834" s="16" t="s">
        <v>80</v>
      </c>
    </row>
    <row r="835" customFormat="false" ht="15" hidden="false" customHeight="false" outlineLevel="0" collapsed="false">
      <c r="A835" s="0" t="s">
        <v>187</v>
      </c>
      <c r="B835" s="14" t="n">
        <v>45859</v>
      </c>
      <c r="C835" s="16" t="s">
        <v>969</v>
      </c>
      <c r="D835" s="7" t="n">
        <v>-10</v>
      </c>
      <c r="E835" s="16" t="s">
        <v>193</v>
      </c>
      <c r="F835" s="7" t="n">
        <v>4789.82</v>
      </c>
      <c r="G835" s="16" t="s">
        <v>80</v>
      </c>
    </row>
    <row r="836" customFormat="false" ht="15" hidden="false" customHeight="false" outlineLevel="0" collapsed="false">
      <c r="A836" s="0" t="s">
        <v>187</v>
      </c>
      <c r="B836" s="14" t="n">
        <v>45859</v>
      </c>
      <c r="C836" s="16" t="s">
        <v>970</v>
      </c>
      <c r="D836" s="7" t="n">
        <v>-20</v>
      </c>
      <c r="E836" s="16" t="s">
        <v>193</v>
      </c>
      <c r="F836" s="7" t="n">
        <v>4799.82</v>
      </c>
      <c r="G836" s="16" t="s">
        <v>80</v>
      </c>
    </row>
    <row r="837" customFormat="false" ht="15" hidden="false" customHeight="false" outlineLevel="0" collapsed="false">
      <c r="A837" s="0" t="s">
        <v>187</v>
      </c>
      <c r="B837" s="14" t="n">
        <v>45859</v>
      </c>
      <c r="C837" s="16" t="s">
        <v>971</v>
      </c>
      <c r="D837" s="7" t="n">
        <v>-1000</v>
      </c>
      <c r="E837" s="16" t="s">
        <v>193</v>
      </c>
      <c r="F837" s="7" t="n">
        <v>4819.82</v>
      </c>
      <c r="G837" s="16" t="s">
        <v>80</v>
      </c>
    </row>
    <row r="838" customFormat="false" ht="15" hidden="false" customHeight="false" outlineLevel="0" collapsed="false">
      <c r="A838" s="0" t="s">
        <v>187</v>
      </c>
      <c r="B838" s="14" t="n">
        <v>45859</v>
      </c>
      <c r="C838" s="16" t="s">
        <v>972</v>
      </c>
      <c r="D838" s="7" t="n">
        <v>-1250</v>
      </c>
      <c r="E838" s="16" t="s">
        <v>193</v>
      </c>
      <c r="F838" s="7" t="n">
        <v>5819.82</v>
      </c>
      <c r="G838" s="16" t="s">
        <v>80</v>
      </c>
    </row>
    <row r="839" customFormat="false" ht="15" hidden="false" customHeight="false" outlineLevel="0" collapsed="false">
      <c r="A839" s="0" t="s">
        <v>187</v>
      </c>
      <c r="B839" s="14" t="n">
        <v>45859</v>
      </c>
      <c r="C839" s="16" t="s">
        <v>973</v>
      </c>
      <c r="D839" s="7" t="n">
        <v>-2000</v>
      </c>
      <c r="E839" s="16" t="s">
        <v>213</v>
      </c>
      <c r="F839" s="7" t="n">
        <v>7069.82</v>
      </c>
      <c r="G839" s="16" t="s">
        <v>96</v>
      </c>
    </row>
    <row r="840" customFormat="false" ht="15" hidden="false" customHeight="false" outlineLevel="0" collapsed="false">
      <c r="A840" s="0" t="s">
        <v>187</v>
      </c>
      <c r="B840" s="14" t="n">
        <v>45859</v>
      </c>
      <c r="C840" s="16" t="s">
        <v>974</v>
      </c>
      <c r="D840" s="7" t="n">
        <v>-6.03</v>
      </c>
      <c r="E840" s="16" t="s">
        <v>206</v>
      </c>
      <c r="F840" s="7" t="n">
        <v>9069.82</v>
      </c>
      <c r="G840" s="16" t="s">
        <v>179</v>
      </c>
    </row>
    <row r="841" customFormat="false" ht="15" hidden="false" customHeight="false" outlineLevel="0" collapsed="false">
      <c r="A841" s="0" t="s">
        <v>187</v>
      </c>
      <c r="B841" s="14" t="n">
        <v>45859</v>
      </c>
      <c r="C841" s="16" t="s">
        <v>975</v>
      </c>
      <c r="D841" s="7" t="n">
        <v>-9.99</v>
      </c>
      <c r="E841" s="16" t="s">
        <v>206</v>
      </c>
      <c r="F841" s="7" t="n">
        <v>9075.85</v>
      </c>
      <c r="G841" s="16" t="s">
        <v>144</v>
      </c>
    </row>
    <row r="842" customFormat="false" ht="15" hidden="false" customHeight="false" outlineLevel="0" collapsed="false">
      <c r="A842" s="0" t="s">
        <v>187</v>
      </c>
      <c r="B842" s="14" t="n">
        <v>45859</v>
      </c>
      <c r="C842" s="16" t="s">
        <v>976</v>
      </c>
      <c r="D842" s="7" t="n">
        <v>-26.89</v>
      </c>
      <c r="E842" s="16" t="s">
        <v>206</v>
      </c>
      <c r="F842" s="7" t="n">
        <v>9085.84</v>
      </c>
      <c r="G842" s="16" t="s">
        <v>144</v>
      </c>
    </row>
    <row r="843" customFormat="false" ht="15" hidden="false" customHeight="false" outlineLevel="0" collapsed="false">
      <c r="A843" s="0" t="s">
        <v>187</v>
      </c>
      <c r="B843" s="14" t="n">
        <v>45859</v>
      </c>
      <c r="C843" s="16" t="s">
        <v>975</v>
      </c>
      <c r="D843" s="7" t="n">
        <v>-3.99</v>
      </c>
      <c r="E843" s="16" t="s">
        <v>206</v>
      </c>
      <c r="F843" s="7" t="n">
        <v>9112.73</v>
      </c>
      <c r="G843" s="16" t="s">
        <v>144</v>
      </c>
    </row>
    <row r="844" customFormat="false" ht="15" hidden="false" customHeight="false" outlineLevel="0" collapsed="false">
      <c r="A844" s="0" t="s">
        <v>187</v>
      </c>
      <c r="B844" s="14" t="n">
        <v>45859</v>
      </c>
      <c r="C844" s="16" t="s">
        <v>977</v>
      </c>
      <c r="D844" s="7" t="n">
        <v>-15</v>
      </c>
      <c r="E844" s="16" t="s">
        <v>206</v>
      </c>
      <c r="F844" s="7" t="n">
        <v>9116.72</v>
      </c>
      <c r="G844" s="16" t="s">
        <v>144</v>
      </c>
    </row>
    <row r="845" customFormat="false" ht="15" hidden="false" customHeight="false" outlineLevel="0" collapsed="false">
      <c r="A845" s="0" t="s">
        <v>187</v>
      </c>
      <c r="B845" s="14" t="n">
        <v>45859</v>
      </c>
      <c r="C845" s="16" t="s">
        <v>978</v>
      </c>
      <c r="D845" s="7" t="n">
        <v>-11.25</v>
      </c>
      <c r="E845" s="16" t="s">
        <v>206</v>
      </c>
      <c r="F845" s="7" t="n">
        <v>9131.72</v>
      </c>
      <c r="G845" s="16" t="s">
        <v>144</v>
      </c>
    </row>
    <row r="846" customFormat="false" ht="15" hidden="false" customHeight="false" outlineLevel="0" collapsed="false">
      <c r="A846" s="0" t="s">
        <v>187</v>
      </c>
      <c r="B846" s="14" t="n">
        <v>45859</v>
      </c>
      <c r="C846" s="16" t="s">
        <v>979</v>
      </c>
      <c r="D846" s="7" t="n">
        <v>-7.99</v>
      </c>
      <c r="E846" s="16" t="s">
        <v>206</v>
      </c>
      <c r="F846" s="7" t="n">
        <v>9142.97</v>
      </c>
      <c r="G846" s="16" t="s">
        <v>144</v>
      </c>
    </row>
    <row r="847" customFormat="false" ht="15" hidden="false" customHeight="false" outlineLevel="0" collapsed="false">
      <c r="A847" s="0" t="s">
        <v>187</v>
      </c>
      <c r="B847" s="14" t="n">
        <v>45859</v>
      </c>
      <c r="C847" s="16" t="s">
        <v>980</v>
      </c>
      <c r="D847" s="7" t="n">
        <v>-21.98</v>
      </c>
      <c r="E847" s="16" t="s">
        <v>206</v>
      </c>
      <c r="F847" s="7" t="n">
        <v>9150.96</v>
      </c>
      <c r="G847" s="16" t="s">
        <v>118</v>
      </c>
    </row>
    <row r="848" customFormat="false" ht="15" hidden="false" customHeight="false" outlineLevel="0" collapsed="false">
      <c r="A848" s="0" t="s">
        <v>187</v>
      </c>
      <c r="B848" s="14" t="n">
        <v>45859</v>
      </c>
      <c r="C848" s="16" t="s">
        <v>981</v>
      </c>
      <c r="D848" s="7" t="n">
        <v>-15.98</v>
      </c>
      <c r="E848" s="16" t="s">
        <v>206</v>
      </c>
      <c r="F848" s="7" t="n">
        <v>9172.94</v>
      </c>
      <c r="G848" s="16" t="s">
        <v>118</v>
      </c>
    </row>
    <row r="849" customFormat="false" ht="15" hidden="false" customHeight="false" outlineLevel="0" collapsed="false">
      <c r="A849" s="0" t="s">
        <v>187</v>
      </c>
      <c r="B849" s="14" t="n">
        <v>45859</v>
      </c>
      <c r="C849" s="16" t="s">
        <v>982</v>
      </c>
      <c r="D849" s="7" t="n">
        <v>-89.18</v>
      </c>
      <c r="E849" s="16" t="s">
        <v>206</v>
      </c>
      <c r="F849" s="7" t="n">
        <v>9188.92</v>
      </c>
      <c r="G849" s="16" t="s">
        <v>118</v>
      </c>
    </row>
    <row r="850" customFormat="false" ht="15" hidden="false" customHeight="false" outlineLevel="0" collapsed="false">
      <c r="A850" s="0" t="s">
        <v>187</v>
      </c>
      <c r="B850" s="14" t="n">
        <v>45856</v>
      </c>
      <c r="C850" s="16" t="s">
        <v>983</v>
      </c>
      <c r="D850" s="7" t="n">
        <v>-120</v>
      </c>
      <c r="E850" s="16" t="s">
        <v>193</v>
      </c>
      <c r="F850" s="7" t="n">
        <v>9278.1</v>
      </c>
      <c r="G850" s="16" t="s">
        <v>80</v>
      </c>
    </row>
    <row r="851" customFormat="false" ht="15" hidden="false" customHeight="false" outlineLevel="0" collapsed="false">
      <c r="A851" s="0" t="s">
        <v>187</v>
      </c>
      <c r="B851" s="14" t="n">
        <v>45856</v>
      </c>
      <c r="C851" s="16" t="s">
        <v>984</v>
      </c>
      <c r="D851" s="7" t="n">
        <v>-750</v>
      </c>
      <c r="E851" s="16" t="s">
        <v>215</v>
      </c>
      <c r="F851" s="7" t="n">
        <v>9398.1</v>
      </c>
      <c r="G851" s="16" t="s">
        <v>86</v>
      </c>
    </row>
    <row r="852" customFormat="false" ht="15" hidden="false" customHeight="false" outlineLevel="0" collapsed="false">
      <c r="A852" s="0" t="s">
        <v>187</v>
      </c>
      <c r="B852" s="14" t="n">
        <v>45856</v>
      </c>
      <c r="C852" s="16" t="s">
        <v>985</v>
      </c>
      <c r="D852" s="7" t="n">
        <v>-1399.78</v>
      </c>
      <c r="E852" s="16" t="s">
        <v>208</v>
      </c>
      <c r="F852" s="7" t="n">
        <v>10148.1</v>
      </c>
      <c r="G852" s="16" t="s">
        <v>180</v>
      </c>
    </row>
    <row r="853" customFormat="false" ht="15" hidden="false" customHeight="false" outlineLevel="0" collapsed="false">
      <c r="A853" s="0" t="s">
        <v>187</v>
      </c>
      <c r="B853" s="14" t="n">
        <v>45856</v>
      </c>
      <c r="C853" s="16" t="s">
        <v>986</v>
      </c>
      <c r="D853" s="7" t="n">
        <v>-1781</v>
      </c>
      <c r="E853" s="16" t="s">
        <v>208</v>
      </c>
      <c r="F853" s="7" t="n">
        <v>11547.88</v>
      </c>
      <c r="G853" s="16" t="s">
        <v>111</v>
      </c>
    </row>
    <row r="854" customFormat="false" ht="15" hidden="false" customHeight="false" outlineLevel="0" collapsed="false">
      <c r="A854" s="0" t="s">
        <v>187</v>
      </c>
      <c r="B854" s="14" t="n">
        <v>45856</v>
      </c>
      <c r="C854" s="16" t="s">
        <v>987</v>
      </c>
      <c r="D854" s="7" t="n">
        <v>-2000</v>
      </c>
      <c r="E854" s="16" t="s">
        <v>213</v>
      </c>
      <c r="F854" s="7" t="n">
        <v>13328.88</v>
      </c>
      <c r="G854" s="16" t="s">
        <v>96</v>
      </c>
    </row>
    <row r="855" customFormat="false" ht="15" hidden="false" customHeight="false" outlineLevel="0" collapsed="false">
      <c r="A855" s="0" t="s">
        <v>187</v>
      </c>
      <c r="B855" s="14" t="n">
        <v>45856</v>
      </c>
      <c r="C855" s="16" t="s">
        <v>988</v>
      </c>
      <c r="D855" s="7" t="n">
        <v>-1373.57</v>
      </c>
      <c r="E855" s="16" t="s">
        <v>193</v>
      </c>
      <c r="F855" s="7" t="n">
        <v>15328.88</v>
      </c>
      <c r="G855" s="16" t="s">
        <v>101</v>
      </c>
    </row>
    <row r="856" customFormat="false" ht="15" hidden="false" customHeight="false" outlineLevel="0" collapsed="false">
      <c r="A856" s="0" t="s">
        <v>187</v>
      </c>
      <c r="B856" s="14" t="n">
        <v>45856</v>
      </c>
      <c r="C856" s="16" t="s">
        <v>989</v>
      </c>
      <c r="D856" s="7" t="n">
        <v>-1.25</v>
      </c>
      <c r="E856" s="16" t="s">
        <v>206</v>
      </c>
      <c r="F856" s="7" t="n">
        <v>16702.45</v>
      </c>
      <c r="G856" s="16" t="s">
        <v>179</v>
      </c>
    </row>
    <row r="857" customFormat="false" ht="15" hidden="false" customHeight="false" outlineLevel="0" collapsed="false">
      <c r="A857" s="0" t="s">
        <v>187</v>
      </c>
      <c r="B857" s="14" t="n">
        <v>45856</v>
      </c>
      <c r="C857" s="16" t="s">
        <v>990</v>
      </c>
      <c r="D857" s="7" t="n">
        <v>-7.79</v>
      </c>
      <c r="E857" s="16" t="s">
        <v>206</v>
      </c>
      <c r="F857" s="7" t="n">
        <v>16704.95</v>
      </c>
      <c r="G857" s="16" t="s">
        <v>182</v>
      </c>
    </row>
    <row r="858" customFormat="false" ht="15" hidden="false" customHeight="false" outlineLevel="0" collapsed="false">
      <c r="A858" s="0" t="s">
        <v>187</v>
      </c>
      <c r="B858" s="14" t="n">
        <v>45856</v>
      </c>
      <c r="C858" s="16" t="s">
        <v>990</v>
      </c>
      <c r="D858" s="7" t="n">
        <v>-86.76</v>
      </c>
      <c r="E858" s="16" t="s">
        <v>206</v>
      </c>
      <c r="F858" s="7" t="n">
        <v>16712.74</v>
      </c>
      <c r="G858" s="16" t="s">
        <v>182</v>
      </c>
    </row>
    <row r="859" customFormat="false" ht="15" hidden="false" customHeight="false" outlineLevel="0" collapsed="false">
      <c r="A859" s="0" t="s">
        <v>187</v>
      </c>
      <c r="B859" s="14" t="n">
        <v>45856</v>
      </c>
      <c r="C859" s="16" t="s">
        <v>991</v>
      </c>
      <c r="D859" s="7" t="n">
        <v>-9.99</v>
      </c>
      <c r="E859" s="16" t="s">
        <v>206</v>
      </c>
      <c r="F859" s="7" t="n">
        <v>16799.5</v>
      </c>
      <c r="G859" s="16" t="s">
        <v>144</v>
      </c>
    </row>
    <row r="860" customFormat="false" ht="15" hidden="false" customHeight="false" outlineLevel="0" collapsed="false">
      <c r="A860" s="0" t="s">
        <v>187</v>
      </c>
      <c r="B860" s="14" t="n">
        <v>45856</v>
      </c>
      <c r="C860" s="16" t="s">
        <v>992</v>
      </c>
      <c r="D860" s="7" t="n">
        <v>15.35</v>
      </c>
      <c r="E860" s="16" t="s">
        <v>206</v>
      </c>
      <c r="F860" s="7" t="n">
        <v>16809.49</v>
      </c>
      <c r="G860" s="16" t="s">
        <v>183</v>
      </c>
    </row>
    <row r="861" customFormat="false" ht="15" hidden="false" customHeight="false" outlineLevel="0" collapsed="false">
      <c r="A861" s="0" t="s">
        <v>187</v>
      </c>
      <c r="B861" s="14" t="n">
        <v>45855</v>
      </c>
      <c r="C861" s="16" t="s">
        <v>188</v>
      </c>
      <c r="D861" s="7" t="n">
        <v>-5</v>
      </c>
      <c r="E861" s="16" t="s">
        <v>189</v>
      </c>
      <c r="F861" s="7" t="n">
        <v>16794.14</v>
      </c>
      <c r="G861" s="16" t="s">
        <v>65</v>
      </c>
    </row>
    <row r="862" customFormat="false" ht="15" hidden="false" customHeight="false" outlineLevel="0" collapsed="false">
      <c r="A862" s="0" t="s">
        <v>187</v>
      </c>
      <c r="B862" s="14" t="n">
        <v>45855</v>
      </c>
      <c r="C862" s="16" t="s">
        <v>993</v>
      </c>
      <c r="D862" s="7" t="n">
        <v>-505.8</v>
      </c>
      <c r="E862" s="16" t="s">
        <v>206</v>
      </c>
      <c r="F862" s="7" t="n">
        <v>16799.14</v>
      </c>
      <c r="G862" s="16" t="s">
        <v>67</v>
      </c>
    </row>
    <row r="863" customFormat="false" ht="15" hidden="false" customHeight="false" outlineLevel="0" collapsed="false">
      <c r="A863" s="0" t="s">
        <v>187</v>
      </c>
      <c r="B863" s="14" t="n">
        <v>45855</v>
      </c>
      <c r="C863" s="16" t="s">
        <v>994</v>
      </c>
      <c r="D863" s="7" t="n">
        <v>-150</v>
      </c>
      <c r="E863" s="16" t="s">
        <v>224</v>
      </c>
      <c r="F863" s="7" t="n">
        <v>17304.94</v>
      </c>
      <c r="G863" s="16" t="s">
        <v>93</v>
      </c>
    </row>
    <row r="864" customFormat="false" ht="15" hidden="false" customHeight="false" outlineLevel="0" collapsed="false">
      <c r="A864" s="0" t="s">
        <v>187</v>
      </c>
      <c r="B864" s="14" t="n">
        <v>45855</v>
      </c>
      <c r="C864" s="16" t="s">
        <v>995</v>
      </c>
      <c r="D864" s="7" t="n">
        <v>-750</v>
      </c>
      <c r="E864" s="16" t="s">
        <v>191</v>
      </c>
      <c r="F864" s="7" t="n">
        <v>17454.94</v>
      </c>
      <c r="G864" s="16" t="s">
        <v>65</v>
      </c>
    </row>
    <row r="865" customFormat="false" ht="15" hidden="false" customHeight="false" outlineLevel="0" collapsed="false">
      <c r="A865" s="0" t="s">
        <v>187</v>
      </c>
      <c r="B865" s="14" t="n">
        <v>45855</v>
      </c>
      <c r="C865" s="16" t="s">
        <v>996</v>
      </c>
      <c r="D865" s="7" t="n">
        <v>-1025</v>
      </c>
      <c r="E865" s="16" t="s">
        <v>215</v>
      </c>
      <c r="F865" s="7" t="n">
        <v>18204.94</v>
      </c>
      <c r="G865" s="16" t="s">
        <v>86</v>
      </c>
    </row>
    <row r="866" customFormat="false" ht="15" hidden="false" customHeight="false" outlineLevel="0" collapsed="false">
      <c r="A866" s="0" t="s">
        <v>187</v>
      </c>
      <c r="B866" s="14" t="n">
        <v>45855</v>
      </c>
      <c r="C866" s="16" t="s">
        <v>997</v>
      </c>
      <c r="D866" s="7" t="n">
        <v>-100</v>
      </c>
      <c r="E866" s="16" t="s">
        <v>215</v>
      </c>
      <c r="F866" s="7" t="n">
        <v>19229.94</v>
      </c>
      <c r="G866" s="16" t="s">
        <v>87</v>
      </c>
    </row>
    <row r="867" customFormat="false" ht="15" hidden="false" customHeight="false" outlineLevel="0" collapsed="false">
      <c r="A867" s="0" t="s">
        <v>187</v>
      </c>
      <c r="B867" s="14" t="n">
        <v>45855</v>
      </c>
      <c r="C867" s="16" t="s">
        <v>998</v>
      </c>
      <c r="D867" s="7" t="n">
        <v>-200</v>
      </c>
      <c r="E867" s="16" t="s">
        <v>224</v>
      </c>
      <c r="F867" s="7" t="n">
        <v>19329.94</v>
      </c>
      <c r="G867" s="16" t="s">
        <v>93</v>
      </c>
    </row>
    <row r="868" customFormat="false" ht="15" hidden="false" customHeight="false" outlineLevel="0" collapsed="false">
      <c r="A868" s="0" t="s">
        <v>187</v>
      </c>
      <c r="B868" s="14" t="n">
        <v>45855</v>
      </c>
      <c r="C868" s="16" t="s">
        <v>992</v>
      </c>
      <c r="D868" s="7" t="n">
        <v>-21.94</v>
      </c>
      <c r="E868" s="16" t="s">
        <v>206</v>
      </c>
      <c r="F868" s="7" t="n">
        <v>19529.94</v>
      </c>
      <c r="G868" s="16" t="s">
        <v>183</v>
      </c>
    </row>
    <row r="869" customFormat="false" ht="15" hidden="false" customHeight="false" outlineLevel="0" collapsed="false">
      <c r="A869" s="0" t="s">
        <v>187</v>
      </c>
      <c r="B869" s="14" t="n">
        <v>45855</v>
      </c>
      <c r="C869" s="16" t="s">
        <v>992</v>
      </c>
      <c r="D869" s="7" t="n">
        <v>-15.35</v>
      </c>
      <c r="E869" s="16" t="s">
        <v>206</v>
      </c>
      <c r="F869" s="7" t="n">
        <v>19551.88</v>
      </c>
      <c r="G869" s="16" t="s">
        <v>183</v>
      </c>
    </row>
    <row r="870" customFormat="false" ht="15" hidden="false" customHeight="false" outlineLevel="0" collapsed="false">
      <c r="A870" s="0" t="s">
        <v>187</v>
      </c>
      <c r="B870" s="14" t="n">
        <v>45855</v>
      </c>
      <c r="C870" s="16" t="s">
        <v>999</v>
      </c>
      <c r="D870" s="7" t="n">
        <v>-90.22</v>
      </c>
      <c r="E870" s="16" t="s">
        <v>206</v>
      </c>
      <c r="F870" s="7" t="n">
        <v>19567.23</v>
      </c>
      <c r="G870" s="16" t="s">
        <v>182</v>
      </c>
    </row>
    <row r="871" customFormat="false" ht="15" hidden="false" customHeight="false" outlineLevel="0" collapsed="false">
      <c r="A871" s="0" t="s">
        <v>187</v>
      </c>
      <c r="B871" s="14" t="n">
        <v>45855</v>
      </c>
      <c r="C871" s="16" t="s">
        <v>1000</v>
      </c>
      <c r="D871" s="7" t="n">
        <v>-2.1</v>
      </c>
      <c r="E871" s="16" t="s">
        <v>206</v>
      </c>
      <c r="F871" s="7" t="n">
        <v>19657.45</v>
      </c>
      <c r="G871" s="16" t="s">
        <v>182</v>
      </c>
    </row>
    <row r="872" customFormat="false" ht="15" hidden="false" customHeight="false" outlineLevel="0" collapsed="false">
      <c r="A872" s="0" t="s">
        <v>187</v>
      </c>
      <c r="B872" s="14" t="n">
        <v>45855</v>
      </c>
      <c r="C872" s="16" t="s">
        <v>1001</v>
      </c>
      <c r="D872" s="7" t="n">
        <v>-11</v>
      </c>
      <c r="E872" s="16" t="s">
        <v>206</v>
      </c>
      <c r="F872" s="7" t="n">
        <v>19659.55</v>
      </c>
      <c r="G872" s="16" t="s">
        <v>144</v>
      </c>
    </row>
    <row r="873" customFormat="false" ht="15" hidden="false" customHeight="false" outlineLevel="0" collapsed="false">
      <c r="A873" s="0" t="s">
        <v>187</v>
      </c>
      <c r="B873" s="14" t="n">
        <v>45855</v>
      </c>
      <c r="C873" s="16" t="s">
        <v>1002</v>
      </c>
      <c r="D873" s="7" t="n">
        <v>-69.99</v>
      </c>
      <c r="E873" s="16" t="s">
        <v>206</v>
      </c>
      <c r="F873" s="7" t="n">
        <v>19670.55</v>
      </c>
      <c r="G873" s="16" t="s">
        <v>67</v>
      </c>
    </row>
    <row r="874" customFormat="false" ht="15" hidden="false" customHeight="false" outlineLevel="0" collapsed="false">
      <c r="A874" s="0" t="s">
        <v>187</v>
      </c>
      <c r="B874" s="14" t="n">
        <v>45854</v>
      </c>
      <c r="C874" s="16" t="s">
        <v>1003</v>
      </c>
      <c r="D874" s="7" t="n">
        <v>-104.01</v>
      </c>
      <c r="E874" s="16" t="s">
        <v>193</v>
      </c>
      <c r="F874" s="7" t="n">
        <v>19740.54</v>
      </c>
      <c r="G874" s="16" t="s">
        <v>114</v>
      </c>
    </row>
    <row r="875" customFormat="false" ht="15" hidden="false" customHeight="false" outlineLevel="0" collapsed="false">
      <c r="A875" s="0" t="s">
        <v>187</v>
      </c>
      <c r="B875" s="14" t="n">
        <v>45854</v>
      </c>
      <c r="C875" s="16" t="s">
        <v>1004</v>
      </c>
      <c r="D875" s="7" t="n">
        <v>-77.24</v>
      </c>
      <c r="E875" s="16" t="s">
        <v>206</v>
      </c>
      <c r="F875" s="7" t="n">
        <v>19844.55</v>
      </c>
      <c r="G875" s="16" t="s">
        <v>179</v>
      </c>
    </row>
    <row r="876" customFormat="false" ht="15" hidden="false" customHeight="false" outlineLevel="0" collapsed="false">
      <c r="A876" s="0" t="s">
        <v>187</v>
      </c>
      <c r="B876" s="14" t="n">
        <v>45854</v>
      </c>
      <c r="C876" s="16" t="s">
        <v>1005</v>
      </c>
      <c r="D876" s="7" t="n">
        <v>-99.78</v>
      </c>
      <c r="E876" s="16" t="s">
        <v>206</v>
      </c>
      <c r="F876" s="7" t="n">
        <v>19921.79</v>
      </c>
      <c r="G876" s="16" t="s">
        <v>182</v>
      </c>
    </row>
    <row r="877" customFormat="false" ht="15" hidden="false" customHeight="false" outlineLevel="0" collapsed="false">
      <c r="A877" s="0" t="s">
        <v>187</v>
      </c>
      <c r="B877" s="14" t="n">
        <v>45854</v>
      </c>
      <c r="C877" s="16" t="s">
        <v>1006</v>
      </c>
      <c r="D877" s="7" t="n">
        <v>-26.19</v>
      </c>
      <c r="E877" s="16" t="s">
        <v>206</v>
      </c>
      <c r="F877" s="7" t="n">
        <v>20021.57</v>
      </c>
      <c r="G877" s="16" t="s">
        <v>137</v>
      </c>
    </row>
    <row r="878" customFormat="false" ht="15" hidden="false" customHeight="false" outlineLevel="0" collapsed="false">
      <c r="A878" s="0" t="s">
        <v>187</v>
      </c>
      <c r="B878" s="14" t="n">
        <v>45854</v>
      </c>
      <c r="C878" s="16" t="s">
        <v>1006</v>
      </c>
      <c r="D878" s="7" t="n">
        <v>-19.96</v>
      </c>
      <c r="E878" s="16" t="s">
        <v>206</v>
      </c>
      <c r="F878" s="7" t="n">
        <v>20047.76</v>
      </c>
      <c r="G878" s="16" t="s">
        <v>137</v>
      </c>
    </row>
    <row r="879" customFormat="false" ht="15" hidden="false" customHeight="false" outlineLevel="0" collapsed="false">
      <c r="A879" s="0" t="s">
        <v>187</v>
      </c>
      <c r="B879" s="14" t="n">
        <v>45854</v>
      </c>
      <c r="C879" s="16" t="s">
        <v>1007</v>
      </c>
      <c r="D879" s="7" t="n">
        <v>-39.92</v>
      </c>
      <c r="E879" s="16" t="s">
        <v>206</v>
      </c>
      <c r="F879" s="7" t="n">
        <v>20067.72</v>
      </c>
      <c r="G879" s="16" t="s">
        <v>137</v>
      </c>
    </row>
    <row r="880" customFormat="false" ht="15" hidden="false" customHeight="false" outlineLevel="0" collapsed="false">
      <c r="A880" s="0" t="s">
        <v>187</v>
      </c>
      <c r="B880" s="14" t="n">
        <v>45854</v>
      </c>
      <c r="C880" s="16" t="s">
        <v>1008</v>
      </c>
      <c r="D880" s="7" t="n">
        <v>-104</v>
      </c>
      <c r="E880" s="16" t="s">
        <v>206</v>
      </c>
      <c r="F880" s="7" t="n">
        <v>20107.64</v>
      </c>
      <c r="G880" s="16" t="s">
        <v>183</v>
      </c>
    </row>
    <row r="881" customFormat="false" ht="15" hidden="false" customHeight="false" outlineLevel="0" collapsed="false">
      <c r="A881" s="0" t="s">
        <v>187</v>
      </c>
      <c r="B881" s="14" t="n">
        <v>45854</v>
      </c>
      <c r="C881" s="16" t="s">
        <v>1009</v>
      </c>
      <c r="D881" s="7" t="n">
        <v>-5.99</v>
      </c>
      <c r="E881" s="16" t="s">
        <v>206</v>
      </c>
      <c r="F881" s="7" t="n">
        <v>20211.64</v>
      </c>
      <c r="G881" s="16" t="s">
        <v>144</v>
      </c>
    </row>
    <row r="882" customFormat="false" ht="15" hidden="false" customHeight="false" outlineLevel="0" collapsed="false">
      <c r="A882" s="0" t="s">
        <v>187</v>
      </c>
      <c r="B882" s="14" t="n">
        <v>45854</v>
      </c>
      <c r="C882" s="16" t="s">
        <v>1010</v>
      </c>
      <c r="D882" s="7" t="n">
        <v>-29.22</v>
      </c>
      <c r="E882" s="16" t="s">
        <v>206</v>
      </c>
      <c r="F882" s="7" t="n">
        <v>20217.63</v>
      </c>
      <c r="G882" s="16" t="s">
        <v>182</v>
      </c>
    </row>
    <row r="883" customFormat="false" ht="15" hidden="false" customHeight="false" outlineLevel="0" collapsed="false">
      <c r="A883" s="0" t="s">
        <v>187</v>
      </c>
      <c r="B883" s="14" t="n">
        <v>45854</v>
      </c>
      <c r="C883" s="16" t="s">
        <v>1010</v>
      </c>
      <c r="D883" s="7" t="n">
        <v>-39.44</v>
      </c>
      <c r="E883" s="16" t="s">
        <v>206</v>
      </c>
      <c r="F883" s="7" t="n">
        <v>20246.85</v>
      </c>
      <c r="G883" s="16" t="s">
        <v>182</v>
      </c>
    </row>
    <row r="884" customFormat="false" ht="15" hidden="false" customHeight="false" outlineLevel="0" collapsed="false">
      <c r="A884" s="0" t="s">
        <v>187</v>
      </c>
      <c r="B884" s="14" t="n">
        <v>45854</v>
      </c>
      <c r="C884" s="16" t="s">
        <v>1011</v>
      </c>
      <c r="D884" s="7" t="n">
        <v>-15.9</v>
      </c>
      <c r="E884" s="16" t="s">
        <v>206</v>
      </c>
      <c r="F884" s="7" t="n">
        <v>20286.29</v>
      </c>
      <c r="G884" s="16" t="s">
        <v>182</v>
      </c>
    </row>
    <row r="885" customFormat="false" ht="15" hidden="false" customHeight="false" outlineLevel="0" collapsed="false">
      <c r="A885" s="0" t="s">
        <v>259</v>
      </c>
      <c r="B885" s="14" t="n">
        <v>45854</v>
      </c>
      <c r="C885" s="16" t="s">
        <v>1012</v>
      </c>
      <c r="D885" s="7" t="n">
        <v>20000</v>
      </c>
      <c r="E885" s="16" t="s">
        <v>213</v>
      </c>
      <c r="F885" s="7" t="n">
        <v>20302.19</v>
      </c>
      <c r="G885" s="16" t="s">
        <v>42</v>
      </c>
    </row>
    <row r="886" customFormat="false" ht="15" hidden="false" customHeight="false" outlineLevel="0" collapsed="false">
      <c r="A886" s="0" t="s">
        <v>187</v>
      </c>
      <c r="B886" s="14" t="n">
        <v>45853</v>
      </c>
      <c r="C886" s="16" t="s">
        <v>1013</v>
      </c>
      <c r="D886" s="7" t="n">
        <v>-199</v>
      </c>
      <c r="E886" s="16" t="s">
        <v>206</v>
      </c>
      <c r="F886" s="7" t="n">
        <v>302.19</v>
      </c>
      <c r="G886" s="16" t="s">
        <v>183</v>
      </c>
    </row>
    <row r="887" customFormat="false" ht="15" hidden="false" customHeight="false" outlineLevel="0" collapsed="false">
      <c r="A887" s="0" t="s">
        <v>187</v>
      </c>
      <c r="B887" s="14" t="n">
        <v>45853</v>
      </c>
      <c r="C887" s="16" t="s">
        <v>1014</v>
      </c>
      <c r="D887" s="7" t="n">
        <v>-248.05</v>
      </c>
      <c r="E887" s="16" t="s">
        <v>206</v>
      </c>
      <c r="F887" s="7" t="n">
        <v>501.19</v>
      </c>
      <c r="G887" s="16" t="s">
        <v>182</v>
      </c>
    </row>
    <row r="888" customFormat="false" ht="15" hidden="false" customHeight="false" outlineLevel="0" collapsed="false">
      <c r="A888" s="0" t="s">
        <v>187</v>
      </c>
      <c r="B888" s="14" t="n">
        <v>45853</v>
      </c>
      <c r="C888" s="16" t="s">
        <v>1015</v>
      </c>
      <c r="D888" s="7" t="n">
        <v>-8.99</v>
      </c>
      <c r="E888" s="16" t="s">
        <v>206</v>
      </c>
      <c r="F888" s="7" t="n">
        <v>749.24</v>
      </c>
      <c r="G888" s="16" t="s">
        <v>144</v>
      </c>
    </row>
    <row r="889" customFormat="false" ht="15" hidden="false" customHeight="false" outlineLevel="0" collapsed="false">
      <c r="A889" s="0" t="s">
        <v>187</v>
      </c>
      <c r="B889" s="14" t="n">
        <v>45853</v>
      </c>
      <c r="C889" s="16" t="s">
        <v>1016</v>
      </c>
      <c r="D889" s="7" t="n">
        <v>-1.99</v>
      </c>
      <c r="E889" s="16" t="s">
        <v>206</v>
      </c>
      <c r="F889" s="7" t="n">
        <v>758.23</v>
      </c>
      <c r="G889" s="16" t="s">
        <v>144</v>
      </c>
    </row>
    <row r="890" customFormat="false" ht="15" hidden="false" customHeight="false" outlineLevel="0" collapsed="false">
      <c r="A890" s="0" t="s">
        <v>187</v>
      </c>
      <c r="B890" s="14" t="n">
        <v>45853</v>
      </c>
      <c r="C890" s="16" t="s">
        <v>1017</v>
      </c>
      <c r="D890" s="7" t="n">
        <v>-1225</v>
      </c>
      <c r="E890" s="16" t="s">
        <v>206</v>
      </c>
      <c r="F890" s="7" t="n">
        <v>760.22</v>
      </c>
      <c r="G890" s="16" t="s">
        <v>75</v>
      </c>
    </row>
    <row r="891" customFormat="false" ht="15" hidden="false" customHeight="false" outlineLevel="0" collapsed="false">
      <c r="A891" s="0" t="s">
        <v>187</v>
      </c>
      <c r="B891" s="14" t="n">
        <v>45853</v>
      </c>
      <c r="C891" s="16" t="s">
        <v>1018</v>
      </c>
      <c r="D891" s="7" t="n">
        <v>-10.99</v>
      </c>
      <c r="E891" s="16" t="s">
        <v>206</v>
      </c>
      <c r="F891" s="7" t="n">
        <v>1985.22</v>
      </c>
      <c r="G891" s="16" t="s">
        <v>144</v>
      </c>
    </row>
    <row r="892" customFormat="false" ht="15" hidden="false" customHeight="false" outlineLevel="0" collapsed="false">
      <c r="A892" s="0" t="s">
        <v>187</v>
      </c>
      <c r="B892" s="14" t="n">
        <v>45852</v>
      </c>
      <c r="C892" s="16" t="s">
        <v>1019</v>
      </c>
      <c r="D892" s="7" t="n">
        <v>-1250</v>
      </c>
      <c r="E892" s="16" t="s">
        <v>193</v>
      </c>
      <c r="F892" s="7" t="n">
        <v>1996.21</v>
      </c>
      <c r="G892" s="16" t="s">
        <v>80</v>
      </c>
    </row>
    <row r="893" customFormat="false" ht="15" hidden="false" customHeight="false" outlineLevel="0" collapsed="false">
      <c r="A893" s="0" t="s">
        <v>187</v>
      </c>
      <c r="B893" s="14" t="n">
        <v>45852</v>
      </c>
      <c r="C893" s="16" t="s">
        <v>1020</v>
      </c>
      <c r="D893" s="7" t="n">
        <v>-1500</v>
      </c>
      <c r="E893" s="16" t="s">
        <v>197</v>
      </c>
      <c r="F893" s="7" t="n">
        <v>3246.21</v>
      </c>
      <c r="G893" s="16" t="s">
        <v>69</v>
      </c>
    </row>
    <row r="894" customFormat="false" ht="15" hidden="false" customHeight="false" outlineLevel="0" collapsed="false">
      <c r="A894" s="0" t="s">
        <v>187</v>
      </c>
      <c r="B894" s="14" t="n">
        <v>45852</v>
      </c>
      <c r="C894" s="16" t="s">
        <v>1021</v>
      </c>
      <c r="D894" s="7" t="n">
        <v>-600</v>
      </c>
      <c r="E894" s="16" t="s">
        <v>215</v>
      </c>
      <c r="F894" s="7" t="n">
        <v>4746.21</v>
      </c>
      <c r="G894" s="16" t="s">
        <v>86</v>
      </c>
    </row>
    <row r="895" customFormat="false" ht="15" hidden="false" customHeight="false" outlineLevel="0" collapsed="false">
      <c r="A895" s="0" t="s">
        <v>187</v>
      </c>
      <c r="B895" s="14" t="n">
        <v>45852</v>
      </c>
      <c r="C895" s="16" t="s">
        <v>1022</v>
      </c>
      <c r="D895" s="7" t="n">
        <v>-150</v>
      </c>
      <c r="E895" s="16" t="s">
        <v>215</v>
      </c>
      <c r="F895" s="7" t="n">
        <v>5346.21</v>
      </c>
      <c r="G895" s="16" t="s">
        <v>87</v>
      </c>
    </row>
    <row r="896" customFormat="false" ht="15" hidden="false" customHeight="false" outlineLevel="0" collapsed="false">
      <c r="A896" s="0" t="s">
        <v>187</v>
      </c>
      <c r="B896" s="14" t="n">
        <v>45852</v>
      </c>
      <c r="C896" s="16" t="s">
        <v>1023</v>
      </c>
      <c r="D896" s="7" t="n">
        <v>-3000</v>
      </c>
      <c r="E896" s="16" t="s">
        <v>213</v>
      </c>
      <c r="F896" s="7" t="n">
        <v>5496.21</v>
      </c>
      <c r="G896" s="16" t="s">
        <v>96</v>
      </c>
    </row>
    <row r="897" customFormat="false" ht="15" hidden="false" customHeight="false" outlineLevel="0" collapsed="false">
      <c r="A897" s="0" t="s">
        <v>187</v>
      </c>
      <c r="B897" s="14" t="n">
        <v>45852</v>
      </c>
      <c r="C897" s="16" t="s">
        <v>1024</v>
      </c>
      <c r="D897" s="7" t="n">
        <v>-200</v>
      </c>
      <c r="E897" s="16" t="s">
        <v>206</v>
      </c>
      <c r="F897" s="7" t="n">
        <v>8496.21</v>
      </c>
      <c r="G897" s="16" t="s">
        <v>72</v>
      </c>
    </row>
    <row r="898" customFormat="false" ht="15" hidden="false" customHeight="false" outlineLevel="0" collapsed="false">
      <c r="A898" s="0" t="s">
        <v>187</v>
      </c>
      <c r="B898" s="14" t="n">
        <v>45852</v>
      </c>
      <c r="C898" s="16" t="s">
        <v>1025</v>
      </c>
      <c r="D898" s="7" t="n">
        <v>-15.7</v>
      </c>
      <c r="E898" s="16" t="s">
        <v>206</v>
      </c>
      <c r="F898" s="7" t="n">
        <v>8696.21</v>
      </c>
      <c r="G898" s="16" t="s">
        <v>129</v>
      </c>
    </row>
    <row r="899" customFormat="false" ht="15" hidden="false" customHeight="false" outlineLevel="0" collapsed="false">
      <c r="A899" s="0" t="s">
        <v>187</v>
      </c>
      <c r="B899" s="14" t="n">
        <v>45852</v>
      </c>
      <c r="C899" s="16" t="s">
        <v>1026</v>
      </c>
      <c r="D899" s="7" t="n">
        <v>-195.12</v>
      </c>
      <c r="E899" s="16" t="s">
        <v>206</v>
      </c>
      <c r="F899" s="7" t="n">
        <v>8711.91</v>
      </c>
      <c r="G899" s="16" t="s">
        <v>129</v>
      </c>
    </row>
    <row r="900" customFormat="false" ht="15" hidden="false" customHeight="false" outlineLevel="0" collapsed="false">
      <c r="A900" s="0" t="s">
        <v>187</v>
      </c>
      <c r="B900" s="14" t="n">
        <v>45852</v>
      </c>
      <c r="C900" s="16" t="s">
        <v>1027</v>
      </c>
      <c r="D900" s="7" t="n">
        <v>-9.9</v>
      </c>
      <c r="E900" s="16" t="s">
        <v>206</v>
      </c>
      <c r="F900" s="7" t="n">
        <v>8907.03</v>
      </c>
      <c r="G900" s="16" t="s">
        <v>129</v>
      </c>
    </row>
    <row r="901" customFormat="false" ht="15" hidden="false" customHeight="false" outlineLevel="0" collapsed="false">
      <c r="A901" s="0" t="s">
        <v>187</v>
      </c>
      <c r="B901" s="14" t="n">
        <v>45852</v>
      </c>
      <c r="C901" s="16" t="s">
        <v>1028</v>
      </c>
      <c r="D901" s="7" t="n">
        <v>-31.49</v>
      </c>
      <c r="E901" s="16" t="s">
        <v>206</v>
      </c>
      <c r="F901" s="7" t="n">
        <v>8916.93</v>
      </c>
      <c r="G901" s="16" t="s">
        <v>129</v>
      </c>
    </row>
    <row r="902" customFormat="false" ht="15" hidden="false" customHeight="false" outlineLevel="0" collapsed="false">
      <c r="A902" s="0" t="s">
        <v>187</v>
      </c>
      <c r="B902" s="14" t="n">
        <v>45852</v>
      </c>
      <c r="C902" s="16" t="s">
        <v>1029</v>
      </c>
      <c r="D902" s="7" t="n">
        <v>-6.31</v>
      </c>
      <c r="E902" s="16" t="s">
        <v>206</v>
      </c>
      <c r="F902" s="7" t="n">
        <v>8948.42</v>
      </c>
      <c r="G902" s="16" t="s">
        <v>144</v>
      </c>
    </row>
    <row r="903" customFormat="false" ht="15" hidden="false" customHeight="false" outlineLevel="0" collapsed="false">
      <c r="A903" s="0" t="s">
        <v>187</v>
      </c>
      <c r="B903" s="14" t="n">
        <v>45852</v>
      </c>
      <c r="C903" s="16" t="s">
        <v>1030</v>
      </c>
      <c r="D903" s="7" t="n">
        <v>-17.99</v>
      </c>
      <c r="E903" s="16" t="s">
        <v>206</v>
      </c>
      <c r="F903" s="7" t="n">
        <v>8954.73</v>
      </c>
      <c r="G903" s="16" t="s">
        <v>144</v>
      </c>
    </row>
    <row r="904" customFormat="false" ht="15" hidden="false" customHeight="false" outlineLevel="0" collapsed="false">
      <c r="A904" s="0" t="s">
        <v>187</v>
      </c>
      <c r="B904" s="14" t="n">
        <v>45852</v>
      </c>
      <c r="C904" s="16" t="s">
        <v>1031</v>
      </c>
      <c r="D904" s="7" t="n">
        <v>-18.99</v>
      </c>
      <c r="E904" s="16" t="s">
        <v>206</v>
      </c>
      <c r="F904" s="7" t="n">
        <v>8972.72</v>
      </c>
      <c r="G904" s="16" t="s">
        <v>144</v>
      </c>
    </row>
    <row r="905" customFormat="false" ht="15" hidden="false" customHeight="false" outlineLevel="0" collapsed="false">
      <c r="A905" s="0" t="s">
        <v>187</v>
      </c>
      <c r="B905" s="14" t="n">
        <v>45852</v>
      </c>
      <c r="C905" s="16" t="s">
        <v>1032</v>
      </c>
      <c r="D905" s="7" t="n">
        <v>-11.99</v>
      </c>
      <c r="E905" s="16" t="s">
        <v>206</v>
      </c>
      <c r="F905" s="7" t="n">
        <v>8991.71</v>
      </c>
      <c r="G905" s="16" t="s">
        <v>144</v>
      </c>
    </row>
    <row r="906" customFormat="false" ht="15" hidden="false" customHeight="false" outlineLevel="0" collapsed="false">
      <c r="A906" s="0" t="s">
        <v>187</v>
      </c>
      <c r="B906" s="14" t="n">
        <v>45852</v>
      </c>
      <c r="C906" s="16" t="s">
        <v>1033</v>
      </c>
      <c r="D906" s="7" t="n">
        <v>-119.49</v>
      </c>
      <c r="E906" s="16" t="s">
        <v>206</v>
      </c>
      <c r="F906" s="7" t="n">
        <v>9003.7</v>
      </c>
      <c r="G906" s="16" t="s">
        <v>129</v>
      </c>
    </row>
    <row r="907" customFormat="false" ht="15" hidden="false" customHeight="false" outlineLevel="0" collapsed="false">
      <c r="A907" s="0" t="s">
        <v>187</v>
      </c>
      <c r="B907" s="14" t="n">
        <v>45852</v>
      </c>
      <c r="C907" s="16" t="s">
        <v>1034</v>
      </c>
      <c r="D907" s="7" t="n">
        <v>-23.06</v>
      </c>
      <c r="E907" s="16" t="s">
        <v>206</v>
      </c>
      <c r="F907" s="7" t="n">
        <v>9123.19</v>
      </c>
      <c r="G907" s="16" t="s">
        <v>129</v>
      </c>
    </row>
    <row r="908" customFormat="false" ht="15" hidden="false" customHeight="false" outlineLevel="0" collapsed="false">
      <c r="A908" s="0" t="s">
        <v>187</v>
      </c>
      <c r="B908" s="14" t="n">
        <v>45849</v>
      </c>
      <c r="C908" s="16" t="s">
        <v>1035</v>
      </c>
      <c r="D908" s="7" t="n">
        <v>-2000</v>
      </c>
      <c r="E908" s="16" t="s">
        <v>213</v>
      </c>
      <c r="F908" s="7" t="n">
        <v>9146.25</v>
      </c>
      <c r="G908" s="16" t="s">
        <v>185</v>
      </c>
    </row>
    <row r="909" customFormat="false" ht="15" hidden="false" customHeight="false" outlineLevel="0" collapsed="false">
      <c r="A909" s="0" t="s">
        <v>187</v>
      </c>
      <c r="B909" s="14" t="n">
        <v>45849</v>
      </c>
      <c r="C909" s="16" t="s">
        <v>1036</v>
      </c>
      <c r="D909" s="7" t="n">
        <v>-171.21</v>
      </c>
      <c r="E909" s="16" t="s">
        <v>193</v>
      </c>
      <c r="F909" s="7" t="n">
        <v>11146.25</v>
      </c>
      <c r="G909" s="16" t="s">
        <v>142</v>
      </c>
    </row>
    <row r="910" customFormat="false" ht="15" hidden="false" customHeight="false" outlineLevel="0" collapsed="false">
      <c r="A910" s="0" t="s">
        <v>187</v>
      </c>
      <c r="B910" s="14" t="n">
        <v>45849</v>
      </c>
      <c r="C910" s="16" t="s">
        <v>1037</v>
      </c>
      <c r="D910" s="7" t="n">
        <v>-1249.96</v>
      </c>
      <c r="E910" s="16" t="s">
        <v>193</v>
      </c>
      <c r="F910" s="7" t="n">
        <v>11317.46</v>
      </c>
      <c r="G910" s="16" t="s">
        <v>179</v>
      </c>
    </row>
    <row r="911" customFormat="false" ht="15" hidden="false" customHeight="false" outlineLevel="0" collapsed="false">
      <c r="A911" s="0" t="s">
        <v>187</v>
      </c>
      <c r="B911" s="14" t="n">
        <v>45849</v>
      </c>
      <c r="C911" s="16" t="s">
        <v>1038</v>
      </c>
      <c r="D911" s="7" t="n">
        <v>-1533.71</v>
      </c>
      <c r="E911" s="16" t="s">
        <v>193</v>
      </c>
      <c r="F911" s="7" t="n">
        <v>12567.42</v>
      </c>
      <c r="G911" s="16" t="s">
        <v>179</v>
      </c>
    </row>
    <row r="912" customFormat="false" ht="15" hidden="false" customHeight="false" outlineLevel="0" collapsed="false">
      <c r="A912" s="0" t="s">
        <v>187</v>
      </c>
      <c r="B912" s="14" t="n">
        <v>45849</v>
      </c>
      <c r="C912" s="16" t="s">
        <v>1039</v>
      </c>
      <c r="D912" s="7" t="n">
        <v>-53.97</v>
      </c>
      <c r="E912" s="16" t="s">
        <v>206</v>
      </c>
      <c r="F912" s="7" t="n">
        <v>14101.13</v>
      </c>
      <c r="G912" s="16" t="s">
        <v>144</v>
      </c>
    </row>
    <row r="913" customFormat="false" ht="15" hidden="false" customHeight="false" outlineLevel="0" collapsed="false">
      <c r="A913" s="0" t="s">
        <v>187</v>
      </c>
      <c r="B913" s="14" t="n">
        <v>45849</v>
      </c>
      <c r="C913" s="16" t="s">
        <v>1040</v>
      </c>
      <c r="D913" s="7" t="n">
        <v>-510</v>
      </c>
      <c r="E913" s="16" t="s">
        <v>206</v>
      </c>
      <c r="F913" s="7" t="n">
        <v>14155.1</v>
      </c>
      <c r="G913" s="16" t="s">
        <v>67</v>
      </c>
    </row>
    <row r="914" customFormat="false" ht="15" hidden="false" customHeight="false" outlineLevel="0" collapsed="false">
      <c r="A914" s="0" t="s">
        <v>187</v>
      </c>
      <c r="B914" s="14" t="n">
        <v>45848</v>
      </c>
      <c r="C914" s="16" t="s">
        <v>1041</v>
      </c>
      <c r="D914" s="7" t="n">
        <v>-524.27</v>
      </c>
      <c r="E914" s="16" t="s">
        <v>206</v>
      </c>
      <c r="F914" s="7" t="n">
        <v>14665.1</v>
      </c>
      <c r="G914" s="16" t="s">
        <v>67</v>
      </c>
    </row>
    <row r="915" customFormat="false" ht="15" hidden="false" customHeight="false" outlineLevel="0" collapsed="false">
      <c r="A915" s="0" t="s">
        <v>187</v>
      </c>
      <c r="B915" s="14" t="n">
        <v>45848</v>
      </c>
      <c r="C915" s="16" t="s">
        <v>1042</v>
      </c>
      <c r="D915" s="7" t="n">
        <v>-11.99</v>
      </c>
      <c r="E915" s="16" t="s">
        <v>206</v>
      </c>
      <c r="F915" s="7" t="n">
        <v>15189.37</v>
      </c>
      <c r="G915" s="16" t="s">
        <v>144</v>
      </c>
    </row>
    <row r="916" customFormat="false" ht="15" hidden="false" customHeight="false" outlineLevel="0" collapsed="false">
      <c r="A916" s="0" t="s">
        <v>187</v>
      </c>
      <c r="B916" s="14" t="n">
        <v>45847</v>
      </c>
      <c r="C916" s="16" t="s">
        <v>1043</v>
      </c>
      <c r="D916" s="7" t="n">
        <v>-100</v>
      </c>
      <c r="E916" s="16" t="s">
        <v>193</v>
      </c>
      <c r="F916" s="7" t="n">
        <v>15201.36</v>
      </c>
      <c r="G916" s="16" t="s">
        <v>80</v>
      </c>
    </row>
    <row r="917" customFormat="false" ht="15" hidden="false" customHeight="false" outlineLevel="0" collapsed="false">
      <c r="A917" s="0" t="s">
        <v>187</v>
      </c>
      <c r="B917" s="14" t="n">
        <v>45847</v>
      </c>
      <c r="C917" s="16" t="s">
        <v>1044</v>
      </c>
      <c r="D917" s="7" t="n">
        <v>-120</v>
      </c>
      <c r="E917" s="16" t="s">
        <v>193</v>
      </c>
      <c r="F917" s="7" t="n">
        <v>15301.36</v>
      </c>
      <c r="G917" s="16" t="s">
        <v>80</v>
      </c>
    </row>
    <row r="918" customFormat="false" ht="15" hidden="false" customHeight="false" outlineLevel="0" collapsed="false">
      <c r="A918" s="0" t="s">
        <v>187</v>
      </c>
      <c r="B918" s="14" t="n">
        <v>45847</v>
      </c>
      <c r="C918" s="16" t="s">
        <v>1045</v>
      </c>
      <c r="D918" s="7" t="n">
        <v>-50</v>
      </c>
      <c r="E918" s="16" t="s">
        <v>193</v>
      </c>
      <c r="F918" s="7" t="n">
        <v>15421.36</v>
      </c>
      <c r="G918" s="16" t="s">
        <v>80</v>
      </c>
    </row>
    <row r="919" customFormat="false" ht="15" hidden="false" customHeight="false" outlineLevel="0" collapsed="false">
      <c r="A919" s="0" t="s">
        <v>187</v>
      </c>
      <c r="B919" s="14" t="n">
        <v>45847</v>
      </c>
      <c r="C919" s="16" t="s">
        <v>1046</v>
      </c>
      <c r="D919" s="7" t="n">
        <v>-16</v>
      </c>
      <c r="E919" s="16" t="s">
        <v>206</v>
      </c>
      <c r="F919" s="7" t="n">
        <v>15471.36</v>
      </c>
      <c r="G919" s="16" t="s">
        <v>144</v>
      </c>
    </row>
    <row r="920" customFormat="false" ht="15" hidden="false" customHeight="false" outlineLevel="0" collapsed="false">
      <c r="A920" s="0" t="s">
        <v>187</v>
      </c>
      <c r="B920" s="14" t="n">
        <v>45847</v>
      </c>
      <c r="C920" s="16" t="s">
        <v>1047</v>
      </c>
      <c r="D920" s="7" t="n">
        <v>-2.74</v>
      </c>
      <c r="E920" s="16" t="s">
        <v>206</v>
      </c>
      <c r="F920" s="7" t="n">
        <v>15487.36</v>
      </c>
      <c r="G920" s="16" t="s">
        <v>182</v>
      </c>
    </row>
    <row r="921" customFormat="false" ht="15" hidden="false" customHeight="false" outlineLevel="0" collapsed="false">
      <c r="A921" s="0" t="s">
        <v>187</v>
      </c>
      <c r="B921" s="14" t="n">
        <v>45846</v>
      </c>
      <c r="C921" s="16" t="s">
        <v>1048</v>
      </c>
      <c r="D921" s="7" t="n">
        <v>-1250</v>
      </c>
      <c r="E921" s="16" t="s">
        <v>193</v>
      </c>
      <c r="F921" s="7" t="n">
        <v>15490.1</v>
      </c>
      <c r="G921" s="16" t="s">
        <v>80</v>
      </c>
    </row>
    <row r="922" customFormat="false" ht="15" hidden="false" customHeight="false" outlineLevel="0" collapsed="false">
      <c r="A922" s="0" t="s">
        <v>187</v>
      </c>
      <c r="B922" s="14" t="n">
        <v>45846</v>
      </c>
      <c r="C922" s="16" t="s">
        <v>1049</v>
      </c>
      <c r="D922" s="7" t="n">
        <v>-130</v>
      </c>
      <c r="E922" s="16" t="s">
        <v>193</v>
      </c>
      <c r="F922" s="7" t="n">
        <v>16740.1</v>
      </c>
      <c r="G922" s="16" t="s">
        <v>80</v>
      </c>
    </row>
    <row r="923" customFormat="false" ht="15" hidden="false" customHeight="false" outlineLevel="0" collapsed="false">
      <c r="A923" s="0" t="s">
        <v>187</v>
      </c>
      <c r="B923" s="14" t="n">
        <v>45846</v>
      </c>
      <c r="C923" s="16" t="s">
        <v>1050</v>
      </c>
      <c r="D923" s="7" t="n">
        <v>-6.57</v>
      </c>
      <c r="E923" s="16" t="s">
        <v>206</v>
      </c>
      <c r="F923" s="7" t="n">
        <v>16870.1</v>
      </c>
      <c r="G923" s="16" t="s">
        <v>182</v>
      </c>
    </row>
    <row r="924" customFormat="false" ht="15" hidden="false" customHeight="false" outlineLevel="0" collapsed="false">
      <c r="A924" s="0" t="s">
        <v>187</v>
      </c>
      <c r="B924" s="14" t="n">
        <v>45846</v>
      </c>
      <c r="C924" s="16" t="s">
        <v>1051</v>
      </c>
      <c r="D924" s="7" t="n">
        <v>-8.99</v>
      </c>
      <c r="E924" s="16" t="s">
        <v>206</v>
      </c>
      <c r="F924" s="7" t="n">
        <v>16876.67</v>
      </c>
      <c r="G924" s="16" t="s">
        <v>144</v>
      </c>
    </row>
    <row r="925" customFormat="false" ht="15" hidden="false" customHeight="false" outlineLevel="0" collapsed="false">
      <c r="A925" s="0" t="s">
        <v>187</v>
      </c>
      <c r="B925" s="14" t="n">
        <v>45846</v>
      </c>
      <c r="C925" s="16" t="s">
        <v>1052</v>
      </c>
      <c r="D925" s="7" t="n">
        <v>-210</v>
      </c>
      <c r="E925" s="16" t="s">
        <v>206</v>
      </c>
      <c r="F925" s="7" t="n">
        <v>16885.66</v>
      </c>
      <c r="G925" s="16" t="s">
        <v>75</v>
      </c>
    </row>
    <row r="926" customFormat="false" ht="15" hidden="false" customHeight="false" outlineLevel="0" collapsed="false">
      <c r="A926" s="0" t="s">
        <v>187</v>
      </c>
      <c r="B926" s="14" t="n">
        <v>45845</v>
      </c>
      <c r="C926" s="16" t="s">
        <v>1053</v>
      </c>
      <c r="D926" s="7" t="n">
        <v>-1500</v>
      </c>
      <c r="E926" s="16" t="s">
        <v>197</v>
      </c>
      <c r="F926" s="7" t="n">
        <v>17095.66</v>
      </c>
      <c r="G926" s="16" t="s">
        <v>69</v>
      </c>
    </row>
    <row r="927" customFormat="false" ht="15" hidden="false" customHeight="false" outlineLevel="0" collapsed="false">
      <c r="A927" s="0" t="s">
        <v>187</v>
      </c>
      <c r="B927" s="14" t="n">
        <v>45845</v>
      </c>
      <c r="C927" s="16" t="s">
        <v>1054</v>
      </c>
      <c r="D927" s="7" t="n">
        <v>-3000</v>
      </c>
      <c r="E927" s="16" t="s">
        <v>197</v>
      </c>
      <c r="F927" s="7" t="n">
        <v>18595.66</v>
      </c>
      <c r="G927" s="16" t="s">
        <v>69</v>
      </c>
    </row>
    <row r="928" customFormat="false" ht="15" hidden="false" customHeight="false" outlineLevel="0" collapsed="false">
      <c r="A928" s="0" t="s">
        <v>187</v>
      </c>
      <c r="B928" s="14" t="n">
        <v>45845</v>
      </c>
      <c r="C928" s="16" t="s">
        <v>1055</v>
      </c>
      <c r="D928" s="7" t="n">
        <v>-1213</v>
      </c>
      <c r="E928" s="16" t="s">
        <v>215</v>
      </c>
      <c r="F928" s="7" t="n">
        <v>21595.66</v>
      </c>
      <c r="G928" s="16" t="s">
        <v>86</v>
      </c>
    </row>
    <row r="929" customFormat="false" ht="15" hidden="false" customHeight="false" outlineLevel="0" collapsed="false">
      <c r="A929" s="0" t="s">
        <v>187</v>
      </c>
      <c r="B929" s="14" t="n">
        <v>45845</v>
      </c>
      <c r="C929" s="16" t="s">
        <v>1056</v>
      </c>
      <c r="D929" s="7" t="n">
        <v>-800</v>
      </c>
      <c r="E929" s="16" t="s">
        <v>215</v>
      </c>
      <c r="F929" s="7" t="n">
        <v>22808.66</v>
      </c>
      <c r="G929" s="16" t="s">
        <v>84</v>
      </c>
    </row>
    <row r="930" customFormat="false" ht="15" hidden="false" customHeight="false" outlineLevel="0" collapsed="false">
      <c r="A930" s="0" t="s">
        <v>187</v>
      </c>
      <c r="B930" s="14" t="n">
        <v>45845</v>
      </c>
      <c r="C930" s="16" t="s">
        <v>1057</v>
      </c>
      <c r="D930" s="7" t="n">
        <v>-2000</v>
      </c>
      <c r="E930" s="16" t="s">
        <v>213</v>
      </c>
      <c r="F930" s="7" t="n">
        <v>23608.66</v>
      </c>
      <c r="G930" s="16" t="s">
        <v>96</v>
      </c>
    </row>
    <row r="931" customFormat="false" ht="15" hidden="false" customHeight="false" outlineLevel="0" collapsed="false">
      <c r="A931" s="0" t="s">
        <v>187</v>
      </c>
      <c r="B931" s="14" t="n">
        <v>45845</v>
      </c>
      <c r="C931" s="16" t="s">
        <v>1058</v>
      </c>
      <c r="D931" s="7" t="n">
        <v>-5</v>
      </c>
      <c r="E931" s="16" t="s">
        <v>206</v>
      </c>
      <c r="F931" s="7" t="n">
        <v>25608.66</v>
      </c>
      <c r="G931" s="16" t="s">
        <v>144</v>
      </c>
    </row>
    <row r="932" customFormat="false" ht="15" hidden="false" customHeight="false" outlineLevel="0" collapsed="false">
      <c r="A932" s="0" t="s">
        <v>187</v>
      </c>
      <c r="B932" s="14" t="n">
        <v>45845</v>
      </c>
      <c r="C932" s="16" t="s">
        <v>1059</v>
      </c>
      <c r="D932" s="7" t="n">
        <v>-100</v>
      </c>
      <c r="E932" s="16" t="s">
        <v>215</v>
      </c>
      <c r="F932" s="7" t="n">
        <v>25613.66</v>
      </c>
      <c r="G932" s="16" t="s">
        <v>87</v>
      </c>
    </row>
    <row r="933" customFormat="false" ht="15" hidden="false" customHeight="false" outlineLevel="0" collapsed="false">
      <c r="A933" s="0" t="s">
        <v>187</v>
      </c>
      <c r="B933" s="14" t="n">
        <v>45845</v>
      </c>
      <c r="C933" s="16" t="s">
        <v>1060</v>
      </c>
      <c r="D933" s="7" t="n">
        <v>-670</v>
      </c>
      <c r="E933" s="16" t="s">
        <v>215</v>
      </c>
      <c r="F933" s="7" t="n">
        <v>25713.66</v>
      </c>
      <c r="G933" s="16" t="s">
        <v>86</v>
      </c>
    </row>
    <row r="934" customFormat="false" ht="15" hidden="false" customHeight="false" outlineLevel="0" collapsed="false">
      <c r="A934" s="0" t="s">
        <v>187</v>
      </c>
      <c r="B934" s="14" t="n">
        <v>45845</v>
      </c>
      <c r="C934" s="16" t="s">
        <v>1061</v>
      </c>
      <c r="D934" s="7" t="n">
        <v>-1000</v>
      </c>
      <c r="E934" s="16" t="s">
        <v>213</v>
      </c>
      <c r="F934" s="7" t="n">
        <v>26383.66</v>
      </c>
      <c r="G934" s="16" t="s">
        <v>61</v>
      </c>
    </row>
    <row r="935" customFormat="false" ht="15" hidden="false" customHeight="false" outlineLevel="0" collapsed="false">
      <c r="A935" s="0" t="s">
        <v>187</v>
      </c>
      <c r="B935" s="14" t="n">
        <v>45845</v>
      </c>
      <c r="C935" s="16" t="s">
        <v>1058</v>
      </c>
      <c r="D935" s="7" t="n">
        <v>-29.99</v>
      </c>
      <c r="E935" s="16" t="s">
        <v>206</v>
      </c>
      <c r="F935" s="7" t="n">
        <v>27383.66</v>
      </c>
      <c r="G935" s="16" t="s">
        <v>144</v>
      </c>
    </row>
    <row r="936" customFormat="false" ht="15" hidden="false" customHeight="false" outlineLevel="0" collapsed="false">
      <c r="A936" s="0" t="s">
        <v>187</v>
      </c>
      <c r="B936" s="14" t="n">
        <v>45845</v>
      </c>
      <c r="C936" s="16" t="s">
        <v>1062</v>
      </c>
      <c r="D936" s="7" t="n">
        <v>-300</v>
      </c>
      <c r="E936" s="16" t="s">
        <v>206</v>
      </c>
      <c r="F936" s="7" t="n">
        <v>27413.65</v>
      </c>
      <c r="G936" s="16" t="s">
        <v>121</v>
      </c>
    </row>
    <row r="937" customFormat="false" ht="15" hidden="false" customHeight="false" outlineLevel="0" collapsed="false">
      <c r="A937" s="0" t="s">
        <v>187</v>
      </c>
      <c r="B937" s="14" t="n">
        <v>45845</v>
      </c>
      <c r="C937" s="16" t="s">
        <v>1063</v>
      </c>
      <c r="D937" s="7" t="n">
        <v>-10.78</v>
      </c>
      <c r="E937" s="16" t="s">
        <v>206</v>
      </c>
      <c r="F937" s="7" t="n">
        <v>27713.65</v>
      </c>
      <c r="G937" s="16" t="s">
        <v>116</v>
      </c>
    </row>
    <row r="938" customFormat="false" ht="15" hidden="false" customHeight="false" outlineLevel="0" collapsed="false">
      <c r="A938" s="0" t="s">
        <v>259</v>
      </c>
      <c r="B938" s="14" t="n">
        <v>45845</v>
      </c>
      <c r="C938" s="16" t="s">
        <v>1064</v>
      </c>
      <c r="D938" s="7" t="n">
        <v>20000</v>
      </c>
      <c r="E938" s="16" t="s">
        <v>213</v>
      </c>
      <c r="F938" s="7" t="n">
        <v>27724.43</v>
      </c>
      <c r="G938" s="16" t="s">
        <v>42</v>
      </c>
    </row>
    <row r="939" customFormat="false" ht="15" hidden="false" customHeight="false" outlineLevel="0" collapsed="false">
      <c r="A939" s="0" t="s">
        <v>187</v>
      </c>
      <c r="B939" s="14" t="n">
        <v>45841</v>
      </c>
      <c r="C939" s="16" t="s">
        <v>188</v>
      </c>
      <c r="D939" s="7" t="n">
        <v>-5</v>
      </c>
      <c r="E939" s="16" t="s">
        <v>189</v>
      </c>
      <c r="F939" s="7" t="n">
        <v>7724.43</v>
      </c>
      <c r="G939" s="16" t="s">
        <v>65</v>
      </c>
    </row>
    <row r="940" customFormat="false" ht="15" hidden="false" customHeight="false" outlineLevel="0" collapsed="false">
      <c r="A940" s="0" t="s">
        <v>187</v>
      </c>
      <c r="B940" s="14" t="n">
        <v>45841</v>
      </c>
      <c r="C940" s="16" t="s">
        <v>1065</v>
      </c>
      <c r="D940" s="7" t="n">
        <v>-750</v>
      </c>
      <c r="E940" s="16" t="s">
        <v>191</v>
      </c>
      <c r="F940" s="7" t="n">
        <v>7729.43</v>
      </c>
      <c r="G940" s="16" t="s">
        <v>65</v>
      </c>
    </row>
    <row r="941" customFormat="false" ht="15" hidden="false" customHeight="false" outlineLevel="0" collapsed="false">
      <c r="A941" s="0" t="s">
        <v>187</v>
      </c>
      <c r="B941" s="14" t="n">
        <v>45841</v>
      </c>
      <c r="C941" s="16" t="s">
        <v>1066</v>
      </c>
      <c r="D941" s="7" t="n">
        <v>-3.99</v>
      </c>
      <c r="E941" s="16" t="s">
        <v>206</v>
      </c>
      <c r="F941" s="7" t="n">
        <v>8479.43</v>
      </c>
      <c r="G941" s="16" t="s">
        <v>144</v>
      </c>
    </row>
    <row r="942" customFormat="false" ht="15" hidden="false" customHeight="false" outlineLevel="0" collapsed="false">
      <c r="A942" s="0" t="s">
        <v>187</v>
      </c>
      <c r="B942" s="14" t="n">
        <v>45841</v>
      </c>
      <c r="C942" s="16" t="s">
        <v>1066</v>
      </c>
      <c r="D942" s="7" t="n">
        <v>-12.99</v>
      </c>
      <c r="E942" s="16" t="s">
        <v>206</v>
      </c>
      <c r="F942" s="7" t="n">
        <v>8483.42</v>
      </c>
      <c r="G942" s="16" t="s">
        <v>144</v>
      </c>
    </row>
    <row r="943" customFormat="false" ht="15" hidden="false" customHeight="false" outlineLevel="0" collapsed="false">
      <c r="A943" s="0" t="s">
        <v>187</v>
      </c>
      <c r="B943" s="14" t="n">
        <v>45841</v>
      </c>
      <c r="C943" s="16" t="s">
        <v>1067</v>
      </c>
      <c r="D943" s="7" t="n">
        <v>-101.99</v>
      </c>
      <c r="E943" s="16" t="s">
        <v>206</v>
      </c>
      <c r="F943" s="7" t="n">
        <v>8496.41</v>
      </c>
      <c r="G943" s="16" t="s">
        <v>144</v>
      </c>
    </row>
    <row r="944" customFormat="false" ht="15" hidden="false" customHeight="false" outlineLevel="0" collapsed="false">
      <c r="A944" s="0" t="s">
        <v>187</v>
      </c>
      <c r="B944" s="14" t="n">
        <v>45840</v>
      </c>
      <c r="C944" s="16" t="s">
        <v>1068</v>
      </c>
      <c r="D944" s="7" t="n">
        <v>-520.14</v>
      </c>
      <c r="E944" s="16" t="s">
        <v>193</v>
      </c>
      <c r="F944" s="7" t="n">
        <v>8598.4</v>
      </c>
      <c r="G944" s="16" t="s">
        <v>145</v>
      </c>
    </row>
    <row r="945" customFormat="false" ht="15" hidden="false" customHeight="false" outlineLevel="0" collapsed="false">
      <c r="A945" s="0" t="s">
        <v>187</v>
      </c>
      <c r="B945" s="14" t="n">
        <v>45840</v>
      </c>
      <c r="C945" s="16" t="s">
        <v>1069</v>
      </c>
      <c r="D945" s="7" t="n">
        <v>-502.93</v>
      </c>
      <c r="E945" s="16" t="s">
        <v>206</v>
      </c>
      <c r="F945" s="7" t="n">
        <v>9118.54</v>
      </c>
      <c r="G945" s="16" t="s">
        <v>67</v>
      </c>
    </row>
    <row r="946" customFormat="false" ht="15" hidden="false" customHeight="false" outlineLevel="0" collapsed="false">
      <c r="A946" s="0" t="s">
        <v>187</v>
      </c>
      <c r="B946" s="14" t="n">
        <v>45840</v>
      </c>
      <c r="C946" s="16" t="s">
        <v>1070</v>
      </c>
      <c r="D946" s="7" t="n">
        <v>-12.45</v>
      </c>
      <c r="E946" s="16" t="s">
        <v>206</v>
      </c>
      <c r="F946" s="7" t="n">
        <v>9621.47</v>
      </c>
      <c r="G946" s="16" t="s">
        <v>67</v>
      </c>
    </row>
    <row r="947" customFormat="false" ht="15" hidden="false" customHeight="false" outlineLevel="0" collapsed="false">
      <c r="A947" s="0" t="s">
        <v>187</v>
      </c>
      <c r="B947" s="14" t="n">
        <v>45840</v>
      </c>
      <c r="C947" s="16" t="s">
        <v>1071</v>
      </c>
      <c r="D947" s="7" t="n">
        <v>-1399.78</v>
      </c>
      <c r="E947" s="16" t="s">
        <v>208</v>
      </c>
      <c r="F947" s="7" t="n">
        <v>9633.92</v>
      </c>
      <c r="G947" s="16" t="s">
        <v>180</v>
      </c>
    </row>
    <row r="948" customFormat="false" ht="15" hidden="false" customHeight="false" outlineLevel="0" collapsed="false">
      <c r="A948" s="0" t="s">
        <v>187</v>
      </c>
      <c r="B948" s="14" t="n">
        <v>45840</v>
      </c>
      <c r="C948" s="16" t="s">
        <v>1072</v>
      </c>
      <c r="D948" s="7" t="n">
        <v>-7010</v>
      </c>
      <c r="E948" s="16" t="s">
        <v>208</v>
      </c>
      <c r="F948" s="7" t="n">
        <v>11033.7</v>
      </c>
      <c r="G948" s="16" t="s">
        <v>134</v>
      </c>
    </row>
    <row r="949" customFormat="false" ht="15" hidden="false" customHeight="false" outlineLevel="0" collapsed="false">
      <c r="A949" s="0" t="s">
        <v>187</v>
      </c>
      <c r="B949" s="14" t="n">
        <v>45840</v>
      </c>
      <c r="C949" s="16" t="s">
        <v>1073</v>
      </c>
      <c r="D949" s="7" t="n">
        <v>-15.99</v>
      </c>
      <c r="E949" s="16" t="s">
        <v>206</v>
      </c>
      <c r="F949" s="7" t="n">
        <v>18043.7</v>
      </c>
      <c r="G949" s="16" t="s">
        <v>144</v>
      </c>
    </row>
    <row r="950" customFormat="false" ht="15" hidden="false" customHeight="false" outlineLevel="0" collapsed="false">
      <c r="A950" s="0" t="s">
        <v>187</v>
      </c>
      <c r="B950" s="14" t="n">
        <v>45840</v>
      </c>
      <c r="C950" s="16" t="s">
        <v>1074</v>
      </c>
      <c r="D950" s="7" t="n">
        <v>-18.99</v>
      </c>
      <c r="E950" s="16" t="s">
        <v>206</v>
      </c>
      <c r="F950" s="7" t="n">
        <v>18059.69</v>
      </c>
      <c r="G950" s="16" t="s">
        <v>144</v>
      </c>
    </row>
    <row r="951" customFormat="false" ht="15" hidden="false" customHeight="false" outlineLevel="0" collapsed="false">
      <c r="A951" s="0" t="s">
        <v>187</v>
      </c>
      <c r="B951" s="14" t="n">
        <v>45840</v>
      </c>
      <c r="C951" s="16" t="s">
        <v>1075</v>
      </c>
      <c r="D951" s="7" t="n">
        <v>-14.4</v>
      </c>
      <c r="E951" s="16" t="s">
        <v>206</v>
      </c>
      <c r="F951" s="7" t="n">
        <v>18078.68</v>
      </c>
      <c r="G951" s="16" t="s">
        <v>144</v>
      </c>
    </row>
    <row r="952" customFormat="false" ht="15" hidden="false" customHeight="false" outlineLevel="0" collapsed="false">
      <c r="A952" s="0" t="s">
        <v>187</v>
      </c>
      <c r="B952" s="14" t="n">
        <v>45840</v>
      </c>
      <c r="C952" s="16" t="s">
        <v>1076</v>
      </c>
      <c r="D952" s="7" t="n">
        <v>-27.16</v>
      </c>
      <c r="E952" s="16" t="s">
        <v>206</v>
      </c>
      <c r="F952" s="7" t="n">
        <v>18093.08</v>
      </c>
      <c r="G952" s="16" t="s">
        <v>137</v>
      </c>
    </row>
    <row r="953" customFormat="false" ht="15" hidden="false" customHeight="false" outlineLevel="0" collapsed="false">
      <c r="A953" s="0" t="s">
        <v>187</v>
      </c>
      <c r="B953" s="14" t="n">
        <v>45839</v>
      </c>
      <c r="C953" s="16" t="s">
        <v>760</v>
      </c>
      <c r="D953" s="7" t="n">
        <v>-0.6</v>
      </c>
      <c r="E953" s="16" t="s">
        <v>189</v>
      </c>
      <c r="F953" s="7" t="n">
        <v>18120.24</v>
      </c>
      <c r="G953" s="16" t="s">
        <v>110</v>
      </c>
    </row>
    <row r="954" customFormat="false" ht="15" hidden="false" customHeight="false" outlineLevel="0" collapsed="false">
      <c r="A954" s="0" t="s">
        <v>187</v>
      </c>
      <c r="B954" s="14" t="n">
        <v>45839</v>
      </c>
      <c r="C954" s="16" t="s">
        <v>446</v>
      </c>
      <c r="D954" s="7" t="n">
        <v>-25</v>
      </c>
      <c r="E954" s="16" t="s">
        <v>189</v>
      </c>
      <c r="F954" s="7" t="n">
        <v>18120.84</v>
      </c>
      <c r="G954" s="16" t="s">
        <v>110</v>
      </c>
    </row>
    <row r="955" customFormat="false" ht="15" hidden="false" customHeight="false" outlineLevel="0" collapsed="false">
      <c r="A955" s="0" t="s">
        <v>187</v>
      </c>
      <c r="B955" s="14" t="n">
        <v>45839</v>
      </c>
      <c r="C955" s="16" t="s">
        <v>1077</v>
      </c>
      <c r="D955" s="7" t="n">
        <v>-870.55</v>
      </c>
      <c r="E955" s="16" t="s">
        <v>193</v>
      </c>
      <c r="F955" s="7" t="n">
        <v>18145.84</v>
      </c>
      <c r="G955" s="16" t="s">
        <v>184</v>
      </c>
    </row>
    <row r="956" customFormat="false" ht="15" hidden="false" customHeight="false" outlineLevel="0" collapsed="false">
      <c r="A956" s="0" t="s">
        <v>187</v>
      </c>
      <c r="B956" s="14" t="n">
        <v>45839</v>
      </c>
      <c r="C956" s="16" t="s">
        <v>1078</v>
      </c>
      <c r="D956" s="7" t="n">
        <v>-824.4</v>
      </c>
      <c r="E956" s="16" t="s">
        <v>193</v>
      </c>
      <c r="F956" s="7" t="n">
        <v>19016.39</v>
      </c>
      <c r="G956" s="16" t="s">
        <v>181</v>
      </c>
    </row>
    <row r="957" customFormat="false" ht="15" hidden="false" customHeight="false" outlineLevel="0" collapsed="false">
      <c r="A957" s="0" t="s">
        <v>187</v>
      </c>
      <c r="B957" s="14" t="n">
        <v>45839</v>
      </c>
      <c r="C957" s="16" t="s">
        <v>1079</v>
      </c>
      <c r="D957" s="7" t="n">
        <v>-157.5</v>
      </c>
      <c r="E957" s="16" t="s">
        <v>206</v>
      </c>
      <c r="F957" s="7" t="n">
        <v>19840.79</v>
      </c>
      <c r="G957" s="16" t="s">
        <v>75</v>
      </c>
    </row>
    <row r="958" customFormat="false" ht="15" hidden="false" customHeight="false" outlineLevel="0" collapsed="false">
      <c r="A958" s="0" t="s">
        <v>187</v>
      </c>
      <c r="B958" s="14" t="n">
        <v>45839</v>
      </c>
      <c r="C958" s="16" t="s">
        <v>1080</v>
      </c>
      <c r="D958" s="7" t="n">
        <v>-8.99</v>
      </c>
      <c r="E958" s="16" t="s">
        <v>206</v>
      </c>
      <c r="F958" s="7" t="n">
        <v>19998.29</v>
      </c>
      <c r="G958" s="16" t="s">
        <v>144</v>
      </c>
    </row>
    <row r="959" customFormat="false" ht="15" hidden="false" customHeight="false" outlineLevel="0" collapsed="false">
      <c r="A959" s="0" t="s">
        <v>187</v>
      </c>
      <c r="B959" s="14" t="n">
        <v>45838</v>
      </c>
      <c r="C959" s="16" t="s">
        <v>1081</v>
      </c>
      <c r="D959" s="7" t="n">
        <v>-100</v>
      </c>
      <c r="E959" s="16" t="s">
        <v>193</v>
      </c>
      <c r="F959" s="7" t="n">
        <v>20007.28</v>
      </c>
      <c r="G959" s="16" t="s">
        <v>80</v>
      </c>
    </row>
    <row r="960" customFormat="false" ht="15" hidden="false" customHeight="false" outlineLevel="0" collapsed="false">
      <c r="A960" s="0" t="s">
        <v>187</v>
      </c>
      <c r="B960" s="14" t="n">
        <v>45838</v>
      </c>
      <c r="C960" s="16" t="s">
        <v>1082</v>
      </c>
      <c r="D960" s="7" t="n">
        <v>-120</v>
      </c>
      <c r="E960" s="16" t="s">
        <v>193</v>
      </c>
      <c r="F960" s="7" t="n">
        <v>20107.28</v>
      </c>
      <c r="G960" s="16" t="s">
        <v>80</v>
      </c>
    </row>
    <row r="961" customFormat="false" ht="15" hidden="false" customHeight="false" outlineLevel="0" collapsed="false">
      <c r="A961" s="0" t="s">
        <v>187</v>
      </c>
      <c r="B961" s="14" t="n">
        <v>45838</v>
      </c>
      <c r="C961" s="16" t="s">
        <v>1083</v>
      </c>
      <c r="D961" s="7" t="n">
        <v>-770.96</v>
      </c>
      <c r="E961" s="16" t="s">
        <v>193</v>
      </c>
      <c r="F961" s="7" t="n">
        <v>20227.28</v>
      </c>
      <c r="G961" s="16" t="s">
        <v>181</v>
      </c>
    </row>
    <row r="962" customFormat="false" ht="15" hidden="false" customHeight="false" outlineLevel="0" collapsed="false">
      <c r="A962" s="0" t="s">
        <v>187</v>
      </c>
      <c r="B962" s="14" t="n">
        <v>45838</v>
      </c>
      <c r="C962" s="16" t="s">
        <v>1084</v>
      </c>
      <c r="D962" s="7" t="n">
        <v>-1250</v>
      </c>
      <c r="E962" s="16" t="s">
        <v>193</v>
      </c>
      <c r="F962" s="7" t="n">
        <v>20998.24</v>
      </c>
      <c r="G962" s="16" t="s">
        <v>80</v>
      </c>
    </row>
    <row r="963" customFormat="false" ht="15" hidden="false" customHeight="false" outlineLevel="0" collapsed="false">
      <c r="A963" s="0" t="s">
        <v>187</v>
      </c>
      <c r="B963" s="14" t="n">
        <v>45838</v>
      </c>
      <c r="C963" s="16" t="s">
        <v>1085</v>
      </c>
      <c r="D963" s="7" t="n">
        <v>-40.2</v>
      </c>
      <c r="E963" s="16" t="s">
        <v>206</v>
      </c>
      <c r="F963" s="7" t="n">
        <v>22248.24</v>
      </c>
      <c r="G963" s="16" t="s">
        <v>179</v>
      </c>
    </row>
    <row r="964" customFormat="false" ht="15" hidden="false" customHeight="false" outlineLevel="0" collapsed="false">
      <c r="A964" s="0" t="s">
        <v>187</v>
      </c>
      <c r="B964" s="14" t="n">
        <v>45838</v>
      </c>
      <c r="C964" s="16" t="s">
        <v>1085</v>
      </c>
      <c r="D964" s="7" t="n">
        <v>-4.6</v>
      </c>
      <c r="E964" s="16" t="s">
        <v>206</v>
      </c>
      <c r="F964" s="7" t="n">
        <v>22288.44</v>
      </c>
      <c r="G964" s="16" t="s">
        <v>179</v>
      </c>
    </row>
    <row r="965" customFormat="false" ht="15" hidden="false" customHeight="false" outlineLevel="0" collapsed="false">
      <c r="A965" s="0" t="s">
        <v>187</v>
      </c>
      <c r="B965" s="14" t="n">
        <v>45838</v>
      </c>
      <c r="C965" s="16" t="s">
        <v>1085</v>
      </c>
      <c r="D965" s="7" t="n">
        <v>-46.03</v>
      </c>
      <c r="E965" s="16" t="s">
        <v>206</v>
      </c>
      <c r="F965" s="7" t="n">
        <v>22293.04</v>
      </c>
      <c r="G965" s="16" t="s">
        <v>179</v>
      </c>
    </row>
    <row r="966" customFormat="false" ht="15" hidden="false" customHeight="false" outlineLevel="0" collapsed="false">
      <c r="A966" s="0" t="s">
        <v>187</v>
      </c>
      <c r="B966" s="14" t="n">
        <v>45838</v>
      </c>
      <c r="C966" s="16" t="s">
        <v>1086</v>
      </c>
      <c r="D966" s="7" t="n">
        <v>-18.99</v>
      </c>
      <c r="E966" s="16" t="s">
        <v>206</v>
      </c>
      <c r="F966" s="7" t="n">
        <v>22339.07</v>
      </c>
      <c r="G966" s="16" t="s">
        <v>144</v>
      </c>
    </row>
    <row r="967" customFormat="false" ht="15" hidden="false" customHeight="false" outlineLevel="0" collapsed="false">
      <c r="A967" s="0" t="s">
        <v>187</v>
      </c>
      <c r="B967" s="14" t="n">
        <v>45838</v>
      </c>
      <c r="C967" s="16" t="s">
        <v>1087</v>
      </c>
      <c r="D967" s="7" t="n">
        <v>-12.5</v>
      </c>
      <c r="E967" s="16" t="s">
        <v>193</v>
      </c>
      <c r="F967" s="7" t="n">
        <v>22358.06</v>
      </c>
      <c r="G967" s="16" t="s">
        <v>142</v>
      </c>
    </row>
    <row r="968" customFormat="false" ht="15" hidden="false" customHeight="false" outlineLevel="0" collapsed="false">
      <c r="A968" s="0" t="s">
        <v>187</v>
      </c>
      <c r="B968" s="14" t="n">
        <v>45838</v>
      </c>
      <c r="C968" s="16" t="s">
        <v>1088</v>
      </c>
      <c r="D968" s="7" t="n">
        <v>-22.92</v>
      </c>
      <c r="E968" s="16" t="s">
        <v>193</v>
      </c>
      <c r="F968" s="7" t="n">
        <v>22370.56</v>
      </c>
      <c r="G968" s="16" t="s">
        <v>142</v>
      </c>
    </row>
    <row r="969" customFormat="false" ht="15" hidden="false" customHeight="false" outlineLevel="0" collapsed="false">
      <c r="A969" s="0" t="s">
        <v>187</v>
      </c>
      <c r="B969" s="14" t="n">
        <v>45838</v>
      </c>
      <c r="C969" s="16" t="s">
        <v>1089</v>
      </c>
      <c r="D969" s="7" t="n">
        <v>-2524</v>
      </c>
      <c r="E969" s="16" t="s">
        <v>193</v>
      </c>
      <c r="F969" s="7" t="n">
        <v>22393.48</v>
      </c>
      <c r="G969" s="16" t="s">
        <v>103</v>
      </c>
    </row>
    <row r="970" customFormat="false" ht="15" hidden="false" customHeight="false" outlineLevel="0" collapsed="false">
      <c r="A970" s="0" t="s">
        <v>187</v>
      </c>
      <c r="B970" s="14" t="n">
        <v>45838</v>
      </c>
      <c r="C970" s="16" t="s">
        <v>1090</v>
      </c>
      <c r="D970" s="7" t="n">
        <v>-60.6</v>
      </c>
      <c r="E970" s="16" t="s">
        <v>206</v>
      </c>
      <c r="F970" s="7" t="n">
        <v>24917.48</v>
      </c>
      <c r="G970" s="16" t="s">
        <v>182</v>
      </c>
    </row>
    <row r="971" customFormat="false" ht="15" hidden="false" customHeight="false" outlineLevel="0" collapsed="false">
      <c r="A971" s="0" t="s">
        <v>187</v>
      </c>
      <c r="B971" s="14" t="n">
        <v>45835</v>
      </c>
      <c r="C971" s="16" t="s">
        <v>1091</v>
      </c>
      <c r="D971" s="7" t="n">
        <v>-1492.91</v>
      </c>
      <c r="E971" s="16" t="s">
        <v>193</v>
      </c>
      <c r="F971" s="7" t="n">
        <v>24978.08</v>
      </c>
      <c r="G971" s="16" t="s">
        <v>101</v>
      </c>
    </row>
    <row r="972" customFormat="false" ht="15" hidden="false" customHeight="false" outlineLevel="0" collapsed="false">
      <c r="A972" s="0" t="s">
        <v>187</v>
      </c>
      <c r="B972" s="14" t="n">
        <v>45835</v>
      </c>
      <c r="C972" s="16" t="s">
        <v>1092</v>
      </c>
      <c r="D972" s="7" t="n">
        <v>-2829.37</v>
      </c>
      <c r="E972" s="16" t="s">
        <v>193</v>
      </c>
      <c r="F972" s="7" t="n">
        <v>26470.99</v>
      </c>
      <c r="G972" s="16" t="s">
        <v>101</v>
      </c>
    </row>
    <row r="973" customFormat="false" ht="15" hidden="false" customHeight="false" outlineLevel="0" collapsed="false">
      <c r="A973" s="0" t="s">
        <v>187</v>
      </c>
      <c r="B973" s="14" t="n">
        <v>45835</v>
      </c>
      <c r="C973" s="16" t="s">
        <v>1093</v>
      </c>
      <c r="D973" s="7" t="n">
        <v>-11124</v>
      </c>
      <c r="E973" s="16" t="s">
        <v>193</v>
      </c>
      <c r="F973" s="7" t="n">
        <v>29300.36</v>
      </c>
      <c r="G973" s="16" t="s">
        <v>101</v>
      </c>
    </row>
    <row r="974" customFormat="false" ht="15" hidden="false" customHeight="false" outlineLevel="0" collapsed="false">
      <c r="A974" s="0" t="s">
        <v>187</v>
      </c>
      <c r="B974" s="14" t="n">
        <v>45835</v>
      </c>
      <c r="C974" s="16" t="s">
        <v>1094</v>
      </c>
      <c r="D974" s="7" t="n">
        <v>-11337.06</v>
      </c>
      <c r="E974" s="16" t="s">
        <v>193</v>
      </c>
      <c r="F974" s="7" t="n">
        <v>40424.36</v>
      </c>
      <c r="G974" s="16" t="s">
        <v>101</v>
      </c>
    </row>
    <row r="975" customFormat="false" ht="15" hidden="false" customHeight="false" outlineLevel="0" collapsed="false">
      <c r="A975" s="0" t="s">
        <v>187</v>
      </c>
      <c r="B975" s="14" t="n">
        <v>45835</v>
      </c>
      <c r="C975" s="16" t="s">
        <v>1095</v>
      </c>
      <c r="D975" s="7" t="n">
        <v>-37008.7</v>
      </c>
      <c r="E975" s="16" t="s">
        <v>193</v>
      </c>
      <c r="F975" s="7" t="n">
        <v>51761.42</v>
      </c>
      <c r="G975" s="16" t="s">
        <v>101</v>
      </c>
    </row>
    <row r="976" customFormat="false" ht="15" hidden="false" customHeight="false" outlineLevel="0" collapsed="false">
      <c r="A976" s="0" t="s">
        <v>187</v>
      </c>
      <c r="B976" s="14" t="n">
        <v>45835</v>
      </c>
      <c r="C976" s="16" t="s">
        <v>1096</v>
      </c>
      <c r="D976" s="7" t="n">
        <v>-104.35</v>
      </c>
      <c r="E976" s="16" t="s">
        <v>193</v>
      </c>
      <c r="F976" s="7" t="n">
        <v>88770.12</v>
      </c>
      <c r="G976" s="16" t="s">
        <v>122</v>
      </c>
    </row>
    <row r="977" customFormat="false" ht="15" hidden="false" customHeight="false" outlineLevel="0" collapsed="false">
      <c r="A977" s="0" t="s">
        <v>187</v>
      </c>
      <c r="B977" s="14" t="n">
        <v>45835</v>
      </c>
      <c r="C977" s="16" t="s">
        <v>1097</v>
      </c>
      <c r="D977" s="7" t="n">
        <v>-7.96</v>
      </c>
      <c r="E977" s="16" t="s">
        <v>206</v>
      </c>
      <c r="F977" s="7" t="n">
        <v>88874.47</v>
      </c>
      <c r="G977" s="16" t="s">
        <v>179</v>
      </c>
    </row>
    <row r="978" customFormat="false" ht="15" hidden="false" customHeight="false" outlineLevel="0" collapsed="false">
      <c r="A978" s="0" t="s">
        <v>187</v>
      </c>
      <c r="B978" s="14" t="n">
        <v>45835</v>
      </c>
      <c r="C978" s="16" t="s">
        <v>1098</v>
      </c>
      <c r="D978" s="7" t="n">
        <v>-16.99</v>
      </c>
      <c r="E978" s="16" t="s">
        <v>206</v>
      </c>
      <c r="F978" s="7" t="n">
        <v>88882.43</v>
      </c>
      <c r="G978" s="16" t="s">
        <v>144</v>
      </c>
    </row>
    <row r="979" customFormat="false" ht="15" hidden="false" customHeight="false" outlineLevel="0" collapsed="false">
      <c r="A979" s="0" t="s">
        <v>187</v>
      </c>
      <c r="B979" s="14" t="n">
        <v>45835</v>
      </c>
      <c r="C979" s="16" t="s">
        <v>1099</v>
      </c>
      <c r="D979" s="7" t="n">
        <v>-51.75</v>
      </c>
      <c r="E979" s="16" t="s">
        <v>206</v>
      </c>
      <c r="F979" s="7" t="n">
        <v>88899.42</v>
      </c>
      <c r="G979" s="16" t="s">
        <v>179</v>
      </c>
    </row>
    <row r="980" customFormat="false" ht="15" hidden="false" customHeight="false" outlineLevel="0" collapsed="false">
      <c r="A980" s="0" t="s">
        <v>187</v>
      </c>
      <c r="B980" s="14" t="n">
        <v>45835</v>
      </c>
      <c r="C980" s="16" t="s">
        <v>1098</v>
      </c>
      <c r="D980" s="7" t="n">
        <v>-9.99</v>
      </c>
      <c r="E980" s="16" t="s">
        <v>206</v>
      </c>
      <c r="F980" s="7" t="n">
        <v>88951.17</v>
      </c>
      <c r="G980" s="16" t="s">
        <v>144</v>
      </c>
    </row>
    <row r="981" customFormat="false" ht="15" hidden="false" customHeight="false" outlineLevel="0" collapsed="false">
      <c r="A981" s="0" t="s">
        <v>187</v>
      </c>
      <c r="B981" s="14" t="n">
        <v>45834</v>
      </c>
      <c r="C981" s="16" t="s">
        <v>1100</v>
      </c>
      <c r="D981" s="7" t="n">
        <v>-1000</v>
      </c>
      <c r="E981" s="16" t="s">
        <v>213</v>
      </c>
      <c r="F981" s="7" t="n">
        <v>88961.16</v>
      </c>
      <c r="G981" s="16" t="s">
        <v>97</v>
      </c>
    </row>
    <row r="982" customFormat="false" ht="15" hidden="false" customHeight="false" outlineLevel="0" collapsed="false">
      <c r="A982" s="0" t="s">
        <v>187</v>
      </c>
      <c r="B982" s="14" t="n">
        <v>45834</v>
      </c>
      <c r="C982" s="16" t="s">
        <v>1101</v>
      </c>
      <c r="D982" s="7" t="n">
        <v>-5000</v>
      </c>
      <c r="E982" s="16" t="s">
        <v>213</v>
      </c>
      <c r="F982" s="7" t="n">
        <v>89961.16</v>
      </c>
      <c r="G982" s="16" t="s">
        <v>96</v>
      </c>
    </row>
    <row r="983" customFormat="false" ht="15" hidden="false" customHeight="false" outlineLevel="0" collapsed="false">
      <c r="A983" s="0" t="s">
        <v>187</v>
      </c>
      <c r="B983" s="14" t="n">
        <v>45834</v>
      </c>
      <c r="C983" s="16" t="s">
        <v>1102</v>
      </c>
      <c r="D983" s="7" t="n">
        <v>-8000</v>
      </c>
      <c r="E983" s="16" t="s">
        <v>213</v>
      </c>
      <c r="F983" s="7" t="n">
        <v>94961.16</v>
      </c>
      <c r="G983" s="16" t="s">
        <v>98</v>
      </c>
    </row>
    <row r="984" customFormat="false" ht="15" hidden="false" customHeight="false" outlineLevel="0" collapsed="false">
      <c r="A984" s="0" t="s">
        <v>187</v>
      </c>
      <c r="B984" s="14" t="n">
        <v>45834</v>
      </c>
      <c r="C984" s="16" t="s">
        <v>1103</v>
      </c>
      <c r="D984" s="7" t="n">
        <v>-200</v>
      </c>
      <c r="E984" s="16" t="s">
        <v>215</v>
      </c>
      <c r="F984" s="7" t="n">
        <v>102961.16</v>
      </c>
      <c r="G984" s="16" t="s">
        <v>87</v>
      </c>
    </row>
    <row r="985" customFormat="false" ht="15" hidden="false" customHeight="false" outlineLevel="0" collapsed="false">
      <c r="A985" s="0" t="s">
        <v>187</v>
      </c>
      <c r="B985" s="14" t="n">
        <v>45834</v>
      </c>
      <c r="C985" s="16" t="s">
        <v>1104</v>
      </c>
      <c r="D985" s="7" t="n">
        <v>-17.27</v>
      </c>
      <c r="E985" s="16" t="s">
        <v>206</v>
      </c>
      <c r="F985" s="7" t="n">
        <v>103161.16</v>
      </c>
      <c r="G985" s="16" t="s">
        <v>144</v>
      </c>
    </row>
    <row r="986" customFormat="false" ht="15" hidden="false" customHeight="false" outlineLevel="0" collapsed="false">
      <c r="A986" s="0" t="s">
        <v>187</v>
      </c>
      <c r="B986" s="14" t="n">
        <v>45834</v>
      </c>
      <c r="C986" s="16" t="s">
        <v>1105</v>
      </c>
      <c r="D986" s="7" t="n">
        <v>-53.06</v>
      </c>
      <c r="E986" s="16" t="s">
        <v>206</v>
      </c>
      <c r="F986" s="7" t="n">
        <v>103178.43</v>
      </c>
      <c r="G986" s="16" t="s">
        <v>179</v>
      </c>
    </row>
    <row r="987" customFormat="false" ht="15" hidden="false" customHeight="false" outlineLevel="0" collapsed="false">
      <c r="A987" s="0" t="s">
        <v>187</v>
      </c>
      <c r="B987" s="14" t="n">
        <v>45834</v>
      </c>
      <c r="C987" s="16" t="s">
        <v>1105</v>
      </c>
      <c r="D987" s="7" t="n">
        <v>-2</v>
      </c>
      <c r="E987" s="16" t="s">
        <v>206</v>
      </c>
      <c r="F987" s="7" t="n">
        <v>103231.49</v>
      </c>
      <c r="G987" s="16" t="s">
        <v>179</v>
      </c>
    </row>
    <row r="988" customFormat="false" ht="15" hidden="false" customHeight="false" outlineLevel="0" collapsed="false">
      <c r="A988" s="0" t="s">
        <v>187</v>
      </c>
      <c r="B988" s="14" t="n">
        <v>45834</v>
      </c>
      <c r="C988" s="16" t="s">
        <v>1106</v>
      </c>
      <c r="D988" s="7" t="n">
        <v>-8.99</v>
      </c>
      <c r="E988" s="16" t="s">
        <v>206</v>
      </c>
      <c r="F988" s="7" t="n">
        <v>103233.49</v>
      </c>
      <c r="G988" s="16" t="s">
        <v>144</v>
      </c>
    </row>
    <row r="989" customFormat="false" ht="15" hidden="false" customHeight="false" outlineLevel="0" collapsed="false">
      <c r="A989" s="0" t="s">
        <v>187</v>
      </c>
      <c r="B989" s="14" t="n">
        <v>45833</v>
      </c>
      <c r="C989" s="16" t="s">
        <v>239</v>
      </c>
      <c r="D989" s="7" t="n">
        <v>-25</v>
      </c>
      <c r="E989" s="16" t="s">
        <v>189</v>
      </c>
      <c r="F989" s="7" t="n">
        <v>103242.48</v>
      </c>
      <c r="G989" s="16" t="s">
        <v>123</v>
      </c>
    </row>
    <row r="990" customFormat="false" ht="15" hidden="false" customHeight="false" outlineLevel="0" collapsed="false">
      <c r="A990" s="0" t="s">
        <v>187</v>
      </c>
      <c r="B990" s="14" t="n">
        <v>45833</v>
      </c>
      <c r="C990" s="16" t="s">
        <v>1107</v>
      </c>
      <c r="D990" s="7" t="n">
        <v>-10000</v>
      </c>
      <c r="E990" s="16" t="s">
        <v>191</v>
      </c>
      <c r="F990" s="7" t="n">
        <v>103267.48</v>
      </c>
      <c r="G990" s="16" t="s">
        <v>68</v>
      </c>
    </row>
    <row r="991" customFormat="false" ht="15" hidden="false" customHeight="false" outlineLevel="0" collapsed="false">
      <c r="A991" s="0" t="s">
        <v>187</v>
      </c>
      <c r="B991" s="14" t="n">
        <v>45833</v>
      </c>
      <c r="C991" s="16" t="s">
        <v>1108</v>
      </c>
      <c r="D991" s="7" t="n">
        <v>-12.99</v>
      </c>
      <c r="E991" s="16" t="s">
        <v>206</v>
      </c>
      <c r="F991" s="7" t="n">
        <v>113267.48</v>
      </c>
      <c r="G991" s="16" t="s">
        <v>114</v>
      </c>
    </row>
    <row r="992" customFormat="false" ht="15" hidden="false" customHeight="false" outlineLevel="0" collapsed="false">
      <c r="A992" s="0" t="s">
        <v>187</v>
      </c>
      <c r="B992" s="14" t="n">
        <v>45832</v>
      </c>
      <c r="C992" s="16" t="s">
        <v>1109</v>
      </c>
      <c r="D992" s="7" t="n">
        <v>-500.27</v>
      </c>
      <c r="E992" s="16" t="s">
        <v>206</v>
      </c>
      <c r="F992" s="7" t="n">
        <v>113280.47</v>
      </c>
      <c r="G992" s="16" t="s">
        <v>67</v>
      </c>
    </row>
    <row r="993" customFormat="false" ht="15" hidden="false" customHeight="false" outlineLevel="0" collapsed="false">
      <c r="A993" s="0" t="s">
        <v>187</v>
      </c>
      <c r="B993" s="14" t="n">
        <v>45832</v>
      </c>
      <c r="C993" s="16" t="s">
        <v>1110</v>
      </c>
      <c r="D993" s="7" t="n">
        <v>-299</v>
      </c>
      <c r="E993" s="16" t="s">
        <v>206</v>
      </c>
      <c r="F993" s="7" t="n">
        <v>113780.74</v>
      </c>
      <c r="G993" s="16" t="s">
        <v>78</v>
      </c>
    </row>
    <row r="994" customFormat="false" ht="15" hidden="false" customHeight="false" outlineLevel="0" collapsed="false">
      <c r="A994" s="0" t="s">
        <v>187</v>
      </c>
      <c r="B994" s="14" t="n">
        <v>45832</v>
      </c>
      <c r="C994" s="16" t="s">
        <v>1111</v>
      </c>
      <c r="D994" s="7" t="n">
        <v>-813.75</v>
      </c>
      <c r="E994" s="16" t="s">
        <v>206</v>
      </c>
      <c r="F994" s="7" t="n">
        <v>114079.74</v>
      </c>
      <c r="G994" s="16" t="s">
        <v>75</v>
      </c>
    </row>
    <row r="995" customFormat="false" ht="15" hidden="false" customHeight="false" outlineLevel="0" collapsed="false">
      <c r="A995" s="0" t="s">
        <v>187</v>
      </c>
      <c r="B995" s="14" t="n">
        <v>45832</v>
      </c>
      <c r="C995" s="16" t="s">
        <v>1112</v>
      </c>
      <c r="D995" s="7" t="n">
        <v>-9.99</v>
      </c>
      <c r="E995" s="16" t="s">
        <v>206</v>
      </c>
      <c r="F995" s="7" t="n">
        <v>114893.49</v>
      </c>
      <c r="G995" s="16" t="s">
        <v>144</v>
      </c>
    </row>
    <row r="996" customFormat="false" ht="15" hidden="false" customHeight="false" outlineLevel="0" collapsed="false">
      <c r="A996" s="0" t="s">
        <v>187</v>
      </c>
      <c r="B996" s="14" t="n">
        <v>45832</v>
      </c>
      <c r="C996" s="16" t="s">
        <v>1113</v>
      </c>
      <c r="D996" s="7" t="n">
        <v>-500.6</v>
      </c>
      <c r="E996" s="16" t="s">
        <v>206</v>
      </c>
      <c r="F996" s="7" t="n">
        <v>114903.48</v>
      </c>
      <c r="G996" s="16" t="s">
        <v>67</v>
      </c>
    </row>
    <row r="997" customFormat="false" ht="15" hidden="false" customHeight="false" outlineLevel="0" collapsed="false">
      <c r="A997" s="0" t="s">
        <v>187</v>
      </c>
      <c r="B997" s="14" t="n">
        <v>45831</v>
      </c>
      <c r="C997" s="16" t="s">
        <v>277</v>
      </c>
      <c r="D997" s="7" t="n">
        <v>-15</v>
      </c>
      <c r="E997" s="16" t="s">
        <v>189</v>
      </c>
      <c r="F997" s="7" t="n">
        <v>115404.08</v>
      </c>
      <c r="G997" s="16" t="s">
        <v>123</v>
      </c>
    </row>
    <row r="998" customFormat="false" ht="15" hidden="false" customHeight="false" outlineLevel="0" collapsed="false">
      <c r="A998" s="0" t="s">
        <v>187</v>
      </c>
      <c r="B998" s="14" t="n">
        <v>45831</v>
      </c>
      <c r="C998" s="16" t="s">
        <v>1114</v>
      </c>
      <c r="D998" s="7" t="n">
        <v>-100</v>
      </c>
      <c r="E998" s="16" t="s">
        <v>193</v>
      </c>
      <c r="F998" s="7" t="n">
        <v>115419.08</v>
      </c>
      <c r="G998" s="16" t="s">
        <v>80</v>
      </c>
    </row>
    <row r="999" customFormat="false" ht="15" hidden="false" customHeight="false" outlineLevel="0" collapsed="false">
      <c r="A999" s="0" t="s">
        <v>187</v>
      </c>
      <c r="B999" s="14" t="n">
        <v>45831</v>
      </c>
      <c r="C999" s="16" t="s">
        <v>1115</v>
      </c>
      <c r="D999" s="7" t="n">
        <v>-150</v>
      </c>
      <c r="E999" s="16" t="s">
        <v>215</v>
      </c>
      <c r="F999" s="7" t="n">
        <v>115519.08</v>
      </c>
      <c r="G999" s="16" t="s">
        <v>87</v>
      </c>
    </row>
    <row r="1000" customFormat="false" ht="15" hidden="false" customHeight="false" outlineLevel="0" collapsed="false">
      <c r="A1000" s="0" t="s">
        <v>187</v>
      </c>
      <c r="B1000" s="14" t="n">
        <v>45831</v>
      </c>
      <c r="C1000" s="16" t="s">
        <v>1116</v>
      </c>
      <c r="D1000" s="7" t="n">
        <v>-100</v>
      </c>
      <c r="E1000" s="16" t="s">
        <v>215</v>
      </c>
      <c r="F1000" s="7" t="n">
        <v>115669.08</v>
      </c>
      <c r="G1000" s="16" t="s">
        <v>87</v>
      </c>
    </row>
    <row r="1001" customFormat="false" ht="15" hidden="false" customHeight="false" outlineLevel="0" collapsed="false">
      <c r="A1001" s="0" t="s">
        <v>187</v>
      </c>
      <c r="B1001" s="14" t="n">
        <v>45831</v>
      </c>
      <c r="C1001" s="16" t="s">
        <v>1117</v>
      </c>
      <c r="D1001" s="7" t="n">
        <v>-3000</v>
      </c>
      <c r="E1001" s="16" t="s">
        <v>213</v>
      </c>
      <c r="F1001" s="7" t="n">
        <v>115769.08</v>
      </c>
      <c r="G1001" s="16" t="s">
        <v>96</v>
      </c>
    </row>
    <row r="1002" customFormat="false" ht="15" hidden="false" customHeight="false" outlineLevel="0" collapsed="false">
      <c r="A1002" s="0" t="s">
        <v>187</v>
      </c>
      <c r="B1002" s="14" t="n">
        <v>45831</v>
      </c>
      <c r="C1002" s="16" t="s">
        <v>1118</v>
      </c>
      <c r="D1002" s="7" t="n">
        <v>-20</v>
      </c>
      <c r="E1002" s="16" t="s">
        <v>193</v>
      </c>
      <c r="F1002" s="7" t="n">
        <v>118769.08</v>
      </c>
      <c r="G1002" s="16" t="s">
        <v>80</v>
      </c>
    </row>
    <row r="1003" customFormat="false" ht="15" hidden="false" customHeight="false" outlineLevel="0" collapsed="false">
      <c r="A1003" s="0" t="s">
        <v>187</v>
      </c>
      <c r="B1003" s="14" t="n">
        <v>45831</v>
      </c>
      <c r="C1003" s="16" t="s">
        <v>1119</v>
      </c>
      <c r="D1003" s="7" t="n">
        <v>-1250</v>
      </c>
      <c r="E1003" s="16" t="s">
        <v>193</v>
      </c>
      <c r="F1003" s="7" t="n">
        <v>118789.08</v>
      </c>
      <c r="G1003" s="16" t="s">
        <v>80</v>
      </c>
    </row>
    <row r="1004" customFormat="false" ht="15" hidden="false" customHeight="false" outlineLevel="0" collapsed="false">
      <c r="A1004" s="0" t="s">
        <v>187</v>
      </c>
      <c r="B1004" s="14" t="n">
        <v>45831</v>
      </c>
      <c r="C1004" s="16" t="s">
        <v>1120</v>
      </c>
      <c r="D1004" s="7" t="n">
        <v>-331.54</v>
      </c>
      <c r="E1004" s="16" t="s">
        <v>193</v>
      </c>
      <c r="F1004" s="7" t="n">
        <v>120039.08</v>
      </c>
      <c r="G1004" s="16" t="s">
        <v>148</v>
      </c>
    </row>
    <row r="1005" customFormat="false" ht="15" hidden="false" customHeight="false" outlineLevel="0" collapsed="false">
      <c r="A1005" s="0" t="s">
        <v>187</v>
      </c>
      <c r="B1005" s="14" t="n">
        <v>45831</v>
      </c>
      <c r="C1005" s="16" t="s">
        <v>1121</v>
      </c>
      <c r="D1005" s="7" t="n">
        <v>-168</v>
      </c>
      <c r="E1005" s="16" t="s">
        <v>206</v>
      </c>
      <c r="F1005" s="7" t="n">
        <v>120370.62</v>
      </c>
      <c r="G1005" s="16" t="s">
        <v>115</v>
      </c>
    </row>
    <row r="1006" customFormat="false" ht="15" hidden="false" customHeight="false" outlineLevel="0" collapsed="false">
      <c r="A1006" s="0" t="s">
        <v>187</v>
      </c>
      <c r="B1006" s="14" t="n">
        <v>45831</v>
      </c>
      <c r="C1006" s="16" t="s">
        <v>1122</v>
      </c>
      <c r="D1006" s="7" t="n">
        <v>-3.99</v>
      </c>
      <c r="E1006" s="16" t="s">
        <v>206</v>
      </c>
      <c r="F1006" s="7" t="n">
        <v>120538.62</v>
      </c>
      <c r="G1006" s="16" t="s">
        <v>144</v>
      </c>
    </row>
    <row r="1007" customFormat="false" ht="15" hidden="false" customHeight="false" outlineLevel="0" collapsed="false">
      <c r="A1007" s="0" t="s">
        <v>187</v>
      </c>
      <c r="B1007" s="14" t="n">
        <v>45831</v>
      </c>
      <c r="C1007" s="16" t="s">
        <v>1123</v>
      </c>
      <c r="D1007" s="7" t="n">
        <v>-26.89</v>
      </c>
      <c r="E1007" s="16" t="s">
        <v>206</v>
      </c>
      <c r="F1007" s="7" t="n">
        <v>120542.61</v>
      </c>
      <c r="G1007" s="16" t="s">
        <v>144</v>
      </c>
    </row>
    <row r="1008" customFormat="false" ht="15" hidden="false" customHeight="false" outlineLevel="0" collapsed="false">
      <c r="A1008" s="0" t="s">
        <v>259</v>
      </c>
      <c r="B1008" s="14" t="n">
        <v>45831</v>
      </c>
      <c r="C1008" s="16" t="s">
        <v>1124</v>
      </c>
      <c r="D1008" s="7" t="n">
        <v>87850</v>
      </c>
      <c r="E1008" s="16" t="s">
        <v>282</v>
      </c>
      <c r="F1008" s="7" t="n">
        <v>120569.5</v>
      </c>
      <c r="G1008" s="16" t="s">
        <v>176</v>
      </c>
    </row>
    <row r="1009" customFormat="false" ht="15" hidden="false" customHeight="false" outlineLevel="0" collapsed="false">
      <c r="A1009" s="0" t="s">
        <v>187</v>
      </c>
      <c r="B1009" s="14" t="n">
        <v>45828</v>
      </c>
      <c r="C1009" s="16" t="s">
        <v>1125</v>
      </c>
      <c r="D1009" s="7" t="n">
        <v>-240</v>
      </c>
      <c r="E1009" s="16" t="s">
        <v>193</v>
      </c>
      <c r="F1009" s="7" t="n">
        <v>32719.5</v>
      </c>
      <c r="G1009" s="16" t="s">
        <v>80</v>
      </c>
    </row>
    <row r="1010" customFormat="false" ht="15" hidden="false" customHeight="false" outlineLevel="0" collapsed="false">
      <c r="A1010" s="0" t="s">
        <v>187</v>
      </c>
      <c r="B1010" s="14" t="n">
        <v>45828</v>
      </c>
      <c r="C1010" s="16" t="s">
        <v>1126</v>
      </c>
      <c r="D1010" s="7" t="n">
        <v>-3000</v>
      </c>
      <c r="E1010" s="16" t="s">
        <v>213</v>
      </c>
      <c r="F1010" s="7" t="n">
        <v>32959.5</v>
      </c>
      <c r="G1010" s="16" t="s">
        <v>96</v>
      </c>
    </row>
    <row r="1011" customFormat="false" ht="15" hidden="false" customHeight="false" outlineLevel="0" collapsed="false">
      <c r="A1011" s="0" t="s">
        <v>187</v>
      </c>
      <c r="B1011" s="14" t="n">
        <v>45828</v>
      </c>
      <c r="C1011" s="16" t="s">
        <v>1127</v>
      </c>
      <c r="D1011" s="7" t="n">
        <v>-100</v>
      </c>
      <c r="E1011" s="16" t="s">
        <v>215</v>
      </c>
      <c r="F1011" s="7" t="n">
        <v>35959.5</v>
      </c>
      <c r="G1011" s="16" t="s">
        <v>87</v>
      </c>
    </row>
    <row r="1012" customFormat="false" ht="15" hidden="false" customHeight="false" outlineLevel="0" collapsed="false">
      <c r="A1012" s="0" t="s">
        <v>187</v>
      </c>
      <c r="B1012" s="14" t="n">
        <v>45828</v>
      </c>
      <c r="C1012" s="16" t="s">
        <v>1128</v>
      </c>
      <c r="D1012" s="7" t="n">
        <v>-69</v>
      </c>
      <c r="E1012" s="16" t="s">
        <v>193</v>
      </c>
      <c r="F1012" s="7" t="n">
        <v>36059.5</v>
      </c>
      <c r="G1012" s="16" t="s">
        <v>80</v>
      </c>
    </row>
    <row r="1013" customFormat="false" ht="15" hidden="false" customHeight="false" outlineLevel="0" collapsed="false">
      <c r="A1013" s="0" t="s">
        <v>187</v>
      </c>
      <c r="B1013" s="14" t="n">
        <v>45828</v>
      </c>
      <c r="C1013" s="16" t="s">
        <v>1129</v>
      </c>
      <c r="D1013" s="7" t="n">
        <v>-100</v>
      </c>
      <c r="E1013" s="16" t="s">
        <v>193</v>
      </c>
      <c r="F1013" s="7" t="n">
        <v>36128.5</v>
      </c>
      <c r="G1013" s="16" t="s">
        <v>80</v>
      </c>
    </row>
    <row r="1014" customFormat="false" ht="15" hidden="false" customHeight="false" outlineLevel="0" collapsed="false">
      <c r="A1014" s="0" t="s">
        <v>187</v>
      </c>
      <c r="B1014" s="14" t="n">
        <v>45828</v>
      </c>
      <c r="C1014" s="16" t="s">
        <v>1130</v>
      </c>
      <c r="D1014" s="7" t="n">
        <v>-875</v>
      </c>
      <c r="E1014" s="16" t="s">
        <v>193</v>
      </c>
      <c r="F1014" s="7" t="n">
        <v>36228.5</v>
      </c>
      <c r="G1014" s="16" t="s">
        <v>80</v>
      </c>
    </row>
    <row r="1015" customFormat="false" ht="15" hidden="false" customHeight="false" outlineLevel="0" collapsed="false">
      <c r="A1015" s="0" t="s">
        <v>187</v>
      </c>
      <c r="B1015" s="14" t="n">
        <v>45828</v>
      </c>
      <c r="C1015" s="16" t="s">
        <v>1122</v>
      </c>
      <c r="D1015" s="7" t="n">
        <v>-9.99</v>
      </c>
      <c r="E1015" s="16" t="s">
        <v>206</v>
      </c>
      <c r="F1015" s="7" t="n">
        <v>37103.5</v>
      </c>
      <c r="G1015" s="16" t="s">
        <v>144</v>
      </c>
    </row>
    <row r="1016" customFormat="false" ht="15" hidden="false" customHeight="false" outlineLevel="0" collapsed="false">
      <c r="A1016" s="0" t="s">
        <v>187</v>
      </c>
      <c r="B1016" s="14" t="n">
        <v>45828</v>
      </c>
      <c r="C1016" s="16" t="s">
        <v>1131</v>
      </c>
      <c r="D1016" s="7" t="n">
        <v>-15</v>
      </c>
      <c r="E1016" s="16" t="s">
        <v>206</v>
      </c>
      <c r="F1016" s="7" t="n">
        <v>37113.49</v>
      </c>
      <c r="G1016" s="16" t="s">
        <v>144</v>
      </c>
    </row>
    <row r="1017" customFormat="false" ht="15" hidden="false" customHeight="false" outlineLevel="0" collapsed="false">
      <c r="A1017" s="0" t="s">
        <v>187</v>
      </c>
      <c r="B1017" s="14" t="n">
        <v>45828</v>
      </c>
      <c r="C1017" s="16" t="s">
        <v>1132</v>
      </c>
      <c r="D1017" s="7" t="n">
        <v>-7.99</v>
      </c>
      <c r="E1017" s="16" t="s">
        <v>206</v>
      </c>
      <c r="F1017" s="7" t="n">
        <v>37128.49</v>
      </c>
      <c r="G1017" s="16" t="s">
        <v>144</v>
      </c>
    </row>
    <row r="1018" customFormat="false" ht="15" hidden="false" customHeight="false" outlineLevel="0" collapsed="false">
      <c r="A1018" s="0" t="s">
        <v>187</v>
      </c>
      <c r="B1018" s="14" t="n">
        <v>45828</v>
      </c>
      <c r="C1018" s="16" t="s">
        <v>1133</v>
      </c>
      <c r="D1018" s="7" t="n">
        <v>-21.98</v>
      </c>
      <c r="E1018" s="16" t="s">
        <v>206</v>
      </c>
      <c r="F1018" s="7" t="n">
        <v>37136.48</v>
      </c>
      <c r="G1018" s="16" t="s">
        <v>118</v>
      </c>
    </row>
    <row r="1019" customFormat="false" ht="15" hidden="false" customHeight="false" outlineLevel="0" collapsed="false">
      <c r="A1019" s="0" t="s">
        <v>187</v>
      </c>
      <c r="B1019" s="14" t="n">
        <v>45826</v>
      </c>
      <c r="C1019" s="16" t="s">
        <v>188</v>
      </c>
      <c r="D1019" s="7" t="n">
        <v>-5</v>
      </c>
      <c r="E1019" s="16" t="s">
        <v>189</v>
      </c>
      <c r="F1019" s="7" t="n">
        <v>37158.46</v>
      </c>
      <c r="G1019" s="16" t="s">
        <v>65</v>
      </c>
    </row>
    <row r="1020" customFormat="false" ht="15" hidden="false" customHeight="false" outlineLevel="0" collapsed="false">
      <c r="A1020" s="0" t="s">
        <v>187</v>
      </c>
      <c r="B1020" s="14" t="n">
        <v>45826</v>
      </c>
      <c r="C1020" s="16" t="s">
        <v>1134</v>
      </c>
      <c r="D1020" s="7" t="n">
        <v>-750</v>
      </c>
      <c r="E1020" s="16" t="s">
        <v>191</v>
      </c>
      <c r="F1020" s="7" t="n">
        <v>37163.46</v>
      </c>
      <c r="G1020" s="16" t="s">
        <v>65</v>
      </c>
    </row>
    <row r="1021" customFormat="false" ht="15" hidden="false" customHeight="false" outlineLevel="0" collapsed="false">
      <c r="A1021" s="0" t="s">
        <v>187</v>
      </c>
      <c r="B1021" s="14" t="n">
        <v>45826</v>
      </c>
      <c r="C1021" s="16" t="s">
        <v>1135</v>
      </c>
      <c r="D1021" s="7" t="n">
        <v>-9.99</v>
      </c>
      <c r="E1021" s="16" t="s">
        <v>206</v>
      </c>
      <c r="F1021" s="7" t="n">
        <v>37913.46</v>
      </c>
      <c r="G1021" s="16" t="s">
        <v>144</v>
      </c>
    </row>
    <row r="1022" customFormat="false" ht="15" hidden="false" customHeight="false" outlineLevel="0" collapsed="false">
      <c r="A1022" s="0" t="s">
        <v>187</v>
      </c>
      <c r="B1022" s="14" t="n">
        <v>45825</v>
      </c>
      <c r="C1022" s="16" t="s">
        <v>1136</v>
      </c>
      <c r="D1022" s="7" t="n">
        <v>-505.61</v>
      </c>
      <c r="E1022" s="16" t="s">
        <v>206</v>
      </c>
      <c r="F1022" s="7" t="n">
        <v>37923.45</v>
      </c>
      <c r="G1022" s="16" t="s">
        <v>67</v>
      </c>
    </row>
    <row r="1023" customFormat="false" ht="15" hidden="false" customHeight="false" outlineLevel="0" collapsed="false">
      <c r="A1023" s="0" t="s">
        <v>187</v>
      </c>
      <c r="B1023" s="14" t="n">
        <v>45825</v>
      </c>
      <c r="C1023" s="16" t="s">
        <v>1137</v>
      </c>
      <c r="D1023" s="7" t="n">
        <v>-104.01</v>
      </c>
      <c r="E1023" s="16" t="s">
        <v>193</v>
      </c>
      <c r="F1023" s="7" t="n">
        <v>38429.06</v>
      </c>
      <c r="G1023" s="16" t="s">
        <v>114</v>
      </c>
    </row>
    <row r="1024" customFormat="false" ht="15" hidden="false" customHeight="false" outlineLevel="0" collapsed="false">
      <c r="A1024" s="0" t="s">
        <v>187</v>
      </c>
      <c r="B1024" s="14" t="n">
        <v>45825</v>
      </c>
      <c r="C1024" s="16" t="s">
        <v>1138</v>
      </c>
      <c r="D1024" s="7" t="n">
        <v>-262.5</v>
      </c>
      <c r="E1024" s="16" t="s">
        <v>206</v>
      </c>
      <c r="F1024" s="7" t="n">
        <v>38533.07</v>
      </c>
      <c r="G1024" s="16" t="s">
        <v>75</v>
      </c>
    </row>
    <row r="1025" customFormat="false" ht="15" hidden="false" customHeight="false" outlineLevel="0" collapsed="false">
      <c r="A1025" s="0" t="s">
        <v>187</v>
      </c>
      <c r="B1025" s="14" t="n">
        <v>45825</v>
      </c>
      <c r="C1025" s="16" t="s">
        <v>1139</v>
      </c>
      <c r="D1025" s="7" t="n">
        <v>-11</v>
      </c>
      <c r="E1025" s="16" t="s">
        <v>206</v>
      </c>
      <c r="F1025" s="7" t="n">
        <v>38795.57</v>
      </c>
      <c r="G1025" s="16" t="s">
        <v>144</v>
      </c>
    </row>
    <row r="1026" customFormat="false" ht="15" hidden="false" customHeight="false" outlineLevel="0" collapsed="false">
      <c r="A1026" s="0" t="s">
        <v>187</v>
      </c>
      <c r="B1026" s="14" t="n">
        <v>45825</v>
      </c>
      <c r="C1026" s="16" t="s">
        <v>1140</v>
      </c>
      <c r="D1026" s="7" t="n">
        <v>-69.99</v>
      </c>
      <c r="E1026" s="16" t="s">
        <v>206</v>
      </c>
      <c r="F1026" s="7" t="n">
        <v>38806.57</v>
      </c>
      <c r="G1026" s="16" t="s">
        <v>67</v>
      </c>
    </row>
    <row r="1027" customFormat="false" ht="15" hidden="false" customHeight="false" outlineLevel="0" collapsed="false">
      <c r="A1027" s="0" t="s">
        <v>187</v>
      </c>
      <c r="B1027" s="14" t="n">
        <v>45824</v>
      </c>
      <c r="C1027" s="16" t="s">
        <v>1141</v>
      </c>
      <c r="D1027" s="7" t="n">
        <v>-1</v>
      </c>
      <c r="E1027" s="16" t="s">
        <v>193</v>
      </c>
      <c r="F1027" s="7" t="n">
        <v>38876.56</v>
      </c>
      <c r="G1027" s="16" t="s">
        <v>80</v>
      </c>
    </row>
    <row r="1028" customFormat="false" ht="15" hidden="false" customHeight="false" outlineLevel="0" collapsed="false">
      <c r="A1028" s="0" t="s">
        <v>187</v>
      </c>
      <c r="B1028" s="14" t="n">
        <v>45824</v>
      </c>
      <c r="C1028" s="16" t="s">
        <v>1142</v>
      </c>
      <c r="D1028" s="7" t="n">
        <v>-10</v>
      </c>
      <c r="E1028" s="16" t="s">
        <v>193</v>
      </c>
      <c r="F1028" s="7" t="n">
        <v>38877.56</v>
      </c>
      <c r="G1028" s="16" t="s">
        <v>80</v>
      </c>
    </row>
    <row r="1029" customFormat="false" ht="15" hidden="false" customHeight="false" outlineLevel="0" collapsed="false">
      <c r="A1029" s="0" t="s">
        <v>187</v>
      </c>
      <c r="B1029" s="14" t="n">
        <v>45824</v>
      </c>
      <c r="C1029" s="16" t="s">
        <v>1143</v>
      </c>
      <c r="D1029" s="7" t="n">
        <v>-10</v>
      </c>
      <c r="E1029" s="16" t="s">
        <v>193</v>
      </c>
      <c r="F1029" s="7" t="n">
        <v>38887.56</v>
      </c>
      <c r="G1029" s="16" t="s">
        <v>80</v>
      </c>
    </row>
    <row r="1030" customFormat="false" ht="15" hidden="false" customHeight="false" outlineLevel="0" collapsed="false">
      <c r="A1030" s="0" t="s">
        <v>187</v>
      </c>
      <c r="B1030" s="14" t="n">
        <v>45824</v>
      </c>
      <c r="C1030" s="16" t="s">
        <v>1144</v>
      </c>
      <c r="D1030" s="7" t="n">
        <v>-12</v>
      </c>
      <c r="E1030" s="16" t="s">
        <v>193</v>
      </c>
      <c r="F1030" s="7" t="n">
        <v>38897.56</v>
      </c>
      <c r="G1030" s="16" t="s">
        <v>80</v>
      </c>
    </row>
    <row r="1031" customFormat="false" ht="15" hidden="false" customHeight="false" outlineLevel="0" collapsed="false">
      <c r="A1031" s="0" t="s">
        <v>187</v>
      </c>
      <c r="B1031" s="14" t="n">
        <v>45824</v>
      </c>
      <c r="C1031" s="16" t="s">
        <v>1145</v>
      </c>
      <c r="D1031" s="7" t="n">
        <v>-1250</v>
      </c>
      <c r="E1031" s="16" t="s">
        <v>193</v>
      </c>
      <c r="F1031" s="7" t="n">
        <v>38909.56</v>
      </c>
      <c r="G1031" s="16" t="s">
        <v>80</v>
      </c>
    </row>
    <row r="1032" customFormat="false" ht="15" hidden="false" customHeight="false" outlineLevel="0" collapsed="false">
      <c r="A1032" s="0" t="s">
        <v>187</v>
      </c>
      <c r="B1032" s="14" t="n">
        <v>45824</v>
      </c>
      <c r="C1032" s="16" t="s">
        <v>1146</v>
      </c>
      <c r="D1032" s="7" t="n">
        <v>-5.99</v>
      </c>
      <c r="E1032" s="16" t="s">
        <v>206</v>
      </c>
      <c r="F1032" s="7" t="n">
        <v>40159.56</v>
      </c>
      <c r="G1032" s="16" t="s">
        <v>144</v>
      </c>
    </row>
    <row r="1033" customFormat="false" ht="15" hidden="false" customHeight="false" outlineLevel="0" collapsed="false">
      <c r="A1033" s="0" t="s">
        <v>187</v>
      </c>
      <c r="B1033" s="14" t="n">
        <v>45824</v>
      </c>
      <c r="C1033" s="16" t="s">
        <v>1147</v>
      </c>
      <c r="D1033" s="7" t="n">
        <v>-199</v>
      </c>
      <c r="E1033" s="16" t="s">
        <v>206</v>
      </c>
      <c r="F1033" s="7" t="n">
        <v>40165.55</v>
      </c>
      <c r="G1033" s="16" t="s">
        <v>183</v>
      </c>
    </row>
    <row r="1034" customFormat="false" ht="15" hidden="false" customHeight="false" outlineLevel="0" collapsed="false">
      <c r="A1034" s="0" t="s">
        <v>187</v>
      </c>
      <c r="B1034" s="14" t="n">
        <v>45824</v>
      </c>
      <c r="C1034" s="16" t="s">
        <v>1148</v>
      </c>
      <c r="D1034" s="7" t="n">
        <v>-17.99</v>
      </c>
      <c r="E1034" s="16" t="s">
        <v>206</v>
      </c>
      <c r="F1034" s="7" t="n">
        <v>40364.55</v>
      </c>
      <c r="G1034" s="16" t="s">
        <v>144</v>
      </c>
    </row>
    <row r="1035" customFormat="false" ht="15" hidden="false" customHeight="false" outlineLevel="0" collapsed="false">
      <c r="A1035" s="0" t="s">
        <v>187</v>
      </c>
      <c r="B1035" s="14" t="n">
        <v>45824</v>
      </c>
      <c r="C1035" s="16" t="s">
        <v>1149</v>
      </c>
      <c r="D1035" s="7" t="n">
        <v>-8.99</v>
      </c>
      <c r="E1035" s="16" t="s">
        <v>206</v>
      </c>
      <c r="F1035" s="7" t="n">
        <v>40382.54</v>
      </c>
      <c r="G1035" s="16" t="s">
        <v>144</v>
      </c>
    </row>
    <row r="1036" customFormat="false" ht="15" hidden="false" customHeight="false" outlineLevel="0" collapsed="false">
      <c r="A1036" s="0" t="s">
        <v>187</v>
      </c>
      <c r="B1036" s="14" t="n">
        <v>45824</v>
      </c>
      <c r="C1036" s="16" t="s">
        <v>1150</v>
      </c>
      <c r="D1036" s="7" t="n">
        <v>-1.99</v>
      </c>
      <c r="E1036" s="16" t="s">
        <v>206</v>
      </c>
      <c r="F1036" s="7" t="n">
        <v>40391.53</v>
      </c>
      <c r="G1036" s="16" t="s">
        <v>144</v>
      </c>
    </row>
    <row r="1037" customFormat="false" ht="15" hidden="false" customHeight="false" outlineLevel="0" collapsed="false">
      <c r="A1037" s="0" t="s">
        <v>187</v>
      </c>
      <c r="B1037" s="14" t="n">
        <v>45824</v>
      </c>
      <c r="C1037" s="16" t="s">
        <v>1148</v>
      </c>
      <c r="D1037" s="7" t="n">
        <v>-10.99</v>
      </c>
      <c r="E1037" s="16" t="s">
        <v>206</v>
      </c>
      <c r="F1037" s="7" t="n">
        <v>40393.52</v>
      </c>
      <c r="G1037" s="16" t="s">
        <v>144</v>
      </c>
    </row>
    <row r="1038" customFormat="false" ht="15" hidden="false" customHeight="false" outlineLevel="0" collapsed="false">
      <c r="A1038" s="0" t="s">
        <v>187</v>
      </c>
      <c r="B1038" s="14" t="n">
        <v>45824</v>
      </c>
      <c r="C1038" s="16" t="s">
        <v>1151</v>
      </c>
      <c r="D1038" s="7" t="n">
        <v>-555.81</v>
      </c>
      <c r="E1038" s="16" t="s">
        <v>206</v>
      </c>
      <c r="F1038" s="7" t="n">
        <v>40404.51</v>
      </c>
      <c r="G1038" s="16" t="s">
        <v>67</v>
      </c>
    </row>
    <row r="1039" customFormat="false" ht="15" hidden="false" customHeight="false" outlineLevel="0" collapsed="false">
      <c r="A1039" s="0" t="s">
        <v>187</v>
      </c>
      <c r="B1039" s="14" t="n">
        <v>45821</v>
      </c>
      <c r="C1039" s="16" t="s">
        <v>1152</v>
      </c>
      <c r="D1039" s="7" t="n">
        <v>-5</v>
      </c>
      <c r="E1039" s="16" t="s">
        <v>189</v>
      </c>
      <c r="F1039" s="7" t="n">
        <v>40960.32</v>
      </c>
      <c r="G1039" s="16" t="s">
        <v>110</v>
      </c>
    </row>
    <row r="1040" customFormat="false" ht="15" hidden="false" customHeight="false" outlineLevel="0" collapsed="false">
      <c r="A1040" s="0" t="s">
        <v>187</v>
      </c>
      <c r="B1040" s="14" t="n">
        <v>45821</v>
      </c>
      <c r="C1040" s="16" t="s">
        <v>1153</v>
      </c>
      <c r="D1040" s="7" t="n">
        <v>-18.99</v>
      </c>
      <c r="E1040" s="16" t="s">
        <v>206</v>
      </c>
      <c r="F1040" s="7" t="n">
        <v>40965.32</v>
      </c>
      <c r="G1040" s="16" t="s">
        <v>144</v>
      </c>
    </row>
    <row r="1041" customFormat="false" ht="15" hidden="false" customHeight="false" outlineLevel="0" collapsed="false">
      <c r="A1041" s="0" t="s">
        <v>187</v>
      </c>
      <c r="B1041" s="14" t="n">
        <v>45820</v>
      </c>
      <c r="C1041" s="16" t="s">
        <v>1154</v>
      </c>
      <c r="D1041" s="7" t="n">
        <v>-511.19</v>
      </c>
      <c r="E1041" s="16" t="s">
        <v>206</v>
      </c>
      <c r="F1041" s="7" t="n">
        <v>40984.31</v>
      </c>
      <c r="G1041" s="16" t="s">
        <v>67</v>
      </c>
    </row>
    <row r="1042" customFormat="false" ht="15" hidden="false" customHeight="false" outlineLevel="0" collapsed="false">
      <c r="A1042" s="0" t="s">
        <v>187</v>
      </c>
      <c r="B1042" s="14" t="n">
        <v>45820</v>
      </c>
      <c r="C1042" s="16" t="s">
        <v>1155</v>
      </c>
      <c r="D1042" s="7" t="n">
        <v>-1350</v>
      </c>
      <c r="E1042" s="16" t="s">
        <v>215</v>
      </c>
      <c r="F1042" s="7" t="n">
        <v>41495.5</v>
      </c>
      <c r="G1042" s="16" t="s">
        <v>86</v>
      </c>
    </row>
    <row r="1043" customFormat="false" ht="15" hidden="false" customHeight="false" outlineLevel="0" collapsed="false">
      <c r="A1043" s="0" t="s">
        <v>187</v>
      </c>
      <c r="B1043" s="14" t="n">
        <v>45820</v>
      </c>
      <c r="C1043" s="16" t="s">
        <v>1156</v>
      </c>
      <c r="D1043" s="7" t="n">
        <v>-11.99</v>
      </c>
      <c r="E1043" s="16" t="s">
        <v>206</v>
      </c>
      <c r="F1043" s="7" t="n">
        <v>42845.5</v>
      </c>
      <c r="G1043" s="16" t="s">
        <v>144</v>
      </c>
    </row>
    <row r="1044" customFormat="false" ht="15" hidden="false" customHeight="false" outlineLevel="0" collapsed="false">
      <c r="A1044" s="0" t="s">
        <v>187</v>
      </c>
      <c r="B1044" s="14" t="n">
        <v>45819</v>
      </c>
      <c r="C1044" s="16" t="s">
        <v>1157</v>
      </c>
      <c r="D1044" s="7" t="n">
        <v>-5000</v>
      </c>
      <c r="E1044" s="16" t="s">
        <v>213</v>
      </c>
      <c r="F1044" s="7" t="n">
        <v>42857.49</v>
      </c>
      <c r="G1044" s="16" t="s">
        <v>96</v>
      </c>
    </row>
    <row r="1045" customFormat="false" ht="15" hidden="false" customHeight="false" outlineLevel="0" collapsed="false">
      <c r="A1045" s="0" t="s">
        <v>187</v>
      </c>
      <c r="B1045" s="14" t="n">
        <v>45819</v>
      </c>
      <c r="C1045" s="16" t="s">
        <v>1158</v>
      </c>
      <c r="D1045" s="7" t="n">
        <v>-23000</v>
      </c>
      <c r="E1045" s="16" t="s">
        <v>213</v>
      </c>
      <c r="F1045" s="7" t="n">
        <v>47857.49</v>
      </c>
      <c r="G1045" s="16" t="s">
        <v>98</v>
      </c>
    </row>
    <row r="1046" customFormat="false" ht="15" hidden="false" customHeight="false" outlineLevel="0" collapsed="false">
      <c r="A1046" s="0" t="s">
        <v>187</v>
      </c>
      <c r="B1046" s="14" t="n">
        <v>45819</v>
      </c>
      <c r="C1046" s="16" t="s">
        <v>1159</v>
      </c>
      <c r="D1046" s="7" t="n">
        <v>-1473.45</v>
      </c>
      <c r="E1046" s="16" t="s">
        <v>208</v>
      </c>
      <c r="F1046" s="7" t="n">
        <v>70857.49</v>
      </c>
      <c r="G1046" s="16" t="s">
        <v>111</v>
      </c>
    </row>
    <row r="1047" customFormat="false" ht="15" hidden="false" customHeight="false" outlineLevel="0" collapsed="false">
      <c r="A1047" s="0" t="s">
        <v>187</v>
      </c>
      <c r="B1047" s="14" t="n">
        <v>45819</v>
      </c>
      <c r="C1047" s="16" t="s">
        <v>1160</v>
      </c>
      <c r="D1047" s="7" t="n">
        <v>-1000</v>
      </c>
      <c r="E1047" s="16" t="s">
        <v>213</v>
      </c>
      <c r="F1047" s="7" t="n">
        <v>72330.94</v>
      </c>
      <c r="G1047" s="16" t="s">
        <v>185</v>
      </c>
    </row>
    <row r="1048" customFormat="false" ht="15" hidden="false" customHeight="false" outlineLevel="0" collapsed="false">
      <c r="A1048" s="0" t="s">
        <v>187</v>
      </c>
      <c r="B1048" s="14" t="n">
        <v>45819</v>
      </c>
      <c r="C1048" s="16" t="s">
        <v>1161</v>
      </c>
      <c r="D1048" s="7" t="n">
        <v>-1249.96</v>
      </c>
      <c r="E1048" s="16" t="s">
        <v>193</v>
      </c>
      <c r="F1048" s="7" t="n">
        <v>73330.94</v>
      </c>
      <c r="G1048" s="16" t="s">
        <v>179</v>
      </c>
    </row>
    <row r="1049" customFormat="false" ht="15" hidden="false" customHeight="false" outlineLevel="0" collapsed="false">
      <c r="A1049" s="0" t="s">
        <v>187</v>
      </c>
      <c r="B1049" s="14" t="n">
        <v>45819</v>
      </c>
      <c r="C1049" s="16" t="s">
        <v>1162</v>
      </c>
      <c r="D1049" s="7" t="n">
        <v>-1533.71</v>
      </c>
      <c r="E1049" s="16" t="s">
        <v>193</v>
      </c>
      <c r="F1049" s="7" t="n">
        <v>74580.9</v>
      </c>
      <c r="G1049" s="16" t="s">
        <v>179</v>
      </c>
    </row>
    <row r="1050" customFormat="false" ht="15" hidden="false" customHeight="false" outlineLevel="0" collapsed="false">
      <c r="A1050" s="0" t="s">
        <v>187</v>
      </c>
      <c r="B1050" s="14" t="n">
        <v>45819</v>
      </c>
      <c r="C1050" s="16" t="s">
        <v>1163</v>
      </c>
      <c r="D1050" s="7" t="n">
        <v>-270</v>
      </c>
      <c r="E1050" s="16" t="s">
        <v>206</v>
      </c>
      <c r="F1050" s="7" t="n">
        <v>76114.61</v>
      </c>
      <c r="G1050" s="16" t="s">
        <v>72</v>
      </c>
    </row>
    <row r="1051" customFormat="false" ht="15" hidden="false" customHeight="false" outlineLevel="0" collapsed="false">
      <c r="A1051" s="0" t="s">
        <v>187</v>
      </c>
      <c r="B1051" s="14" t="n">
        <v>45819</v>
      </c>
      <c r="C1051" s="16" t="s">
        <v>1164</v>
      </c>
      <c r="D1051" s="7" t="n">
        <v>-16</v>
      </c>
      <c r="E1051" s="16" t="s">
        <v>206</v>
      </c>
      <c r="F1051" s="7" t="n">
        <v>76384.61</v>
      </c>
      <c r="G1051" s="16" t="s">
        <v>144</v>
      </c>
    </row>
    <row r="1052" customFormat="false" ht="15" hidden="false" customHeight="false" outlineLevel="0" collapsed="false">
      <c r="A1052" s="0" t="s">
        <v>259</v>
      </c>
      <c r="B1052" s="14" t="n">
        <v>45819</v>
      </c>
      <c r="C1052" s="16" t="s">
        <v>1165</v>
      </c>
      <c r="D1052" s="7" t="n">
        <v>20000</v>
      </c>
      <c r="E1052" s="16" t="s">
        <v>213</v>
      </c>
      <c r="F1052" s="7" t="n">
        <v>76400.61</v>
      </c>
      <c r="G1052" s="16" t="s">
        <v>48</v>
      </c>
    </row>
    <row r="1053" customFormat="false" ht="15" hidden="false" customHeight="false" outlineLevel="0" collapsed="false">
      <c r="A1053" s="0" t="s">
        <v>259</v>
      </c>
      <c r="B1053" s="14" t="n">
        <v>45819</v>
      </c>
      <c r="C1053" s="16" t="s">
        <v>1166</v>
      </c>
      <c r="D1053" s="7" t="n">
        <v>43000</v>
      </c>
      <c r="E1053" s="16" t="s">
        <v>213</v>
      </c>
      <c r="F1053" s="7" t="n">
        <v>56400.61</v>
      </c>
      <c r="G1053" s="16" t="s">
        <v>42</v>
      </c>
    </row>
    <row r="1054" customFormat="false" ht="15" hidden="false" customHeight="false" outlineLevel="0" collapsed="false">
      <c r="A1054" s="0" t="s">
        <v>187</v>
      </c>
      <c r="B1054" s="14" t="n">
        <v>45818</v>
      </c>
      <c r="C1054" s="16" t="s">
        <v>1167</v>
      </c>
      <c r="D1054" s="7" t="n">
        <v>-500</v>
      </c>
      <c r="E1054" s="16" t="s">
        <v>213</v>
      </c>
      <c r="F1054" s="7" t="n">
        <v>13400.61</v>
      </c>
      <c r="G1054" s="16" t="s">
        <v>51</v>
      </c>
    </row>
    <row r="1055" customFormat="false" ht="15" hidden="false" customHeight="false" outlineLevel="0" collapsed="false">
      <c r="A1055" s="0" t="s">
        <v>187</v>
      </c>
      <c r="B1055" s="14" t="n">
        <v>45818</v>
      </c>
      <c r="C1055" s="16" t="s">
        <v>1168</v>
      </c>
      <c r="D1055" s="7" t="n">
        <v>-53.97</v>
      </c>
      <c r="E1055" s="16" t="s">
        <v>206</v>
      </c>
      <c r="F1055" s="7" t="n">
        <v>13900.61</v>
      </c>
      <c r="G1055" s="16" t="s">
        <v>144</v>
      </c>
    </row>
    <row r="1056" customFormat="false" ht="15" hidden="false" customHeight="false" outlineLevel="0" collapsed="false">
      <c r="A1056" s="0" t="s">
        <v>187</v>
      </c>
      <c r="B1056" s="14" t="n">
        <v>45818</v>
      </c>
      <c r="C1056" s="16" t="s">
        <v>1169</v>
      </c>
      <c r="D1056" s="7" t="n">
        <v>-40</v>
      </c>
      <c r="E1056" s="16" t="s">
        <v>206</v>
      </c>
      <c r="F1056" s="7" t="n">
        <v>13954.58</v>
      </c>
      <c r="G1056" s="16" t="s">
        <v>78</v>
      </c>
    </row>
    <row r="1057" customFormat="false" ht="15" hidden="false" customHeight="false" outlineLevel="0" collapsed="false">
      <c r="A1057" s="0" t="s">
        <v>187</v>
      </c>
      <c r="B1057" s="14" t="n">
        <v>45818</v>
      </c>
      <c r="C1057" s="16" t="s">
        <v>1170</v>
      </c>
      <c r="D1057" s="7" t="n">
        <v>-30</v>
      </c>
      <c r="E1057" s="16" t="s">
        <v>206</v>
      </c>
      <c r="F1057" s="7" t="n">
        <v>13994.58</v>
      </c>
      <c r="G1057" s="16" t="s">
        <v>72</v>
      </c>
    </row>
    <row r="1058" customFormat="false" ht="15" hidden="false" customHeight="false" outlineLevel="0" collapsed="false">
      <c r="A1058" s="0" t="s">
        <v>187</v>
      </c>
      <c r="B1058" s="14" t="n">
        <v>45818</v>
      </c>
      <c r="C1058" s="16" t="s">
        <v>1171</v>
      </c>
      <c r="D1058" s="7" t="n">
        <v>-1000</v>
      </c>
      <c r="E1058" s="16" t="s">
        <v>213</v>
      </c>
      <c r="F1058" s="7" t="n">
        <v>14024.58</v>
      </c>
      <c r="G1058" s="16" t="s">
        <v>96</v>
      </c>
    </row>
    <row r="1059" customFormat="false" ht="15" hidden="false" customHeight="false" outlineLevel="0" collapsed="false">
      <c r="A1059" s="0" t="s">
        <v>187</v>
      </c>
      <c r="B1059" s="14" t="n">
        <v>45818</v>
      </c>
      <c r="C1059" s="16" t="s">
        <v>1172</v>
      </c>
      <c r="D1059" s="7" t="n">
        <v>-500</v>
      </c>
      <c r="E1059" s="16" t="s">
        <v>215</v>
      </c>
      <c r="F1059" s="7" t="n">
        <v>15024.58</v>
      </c>
      <c r="G1059" s="16" t="s">
        <v>81</v>
      </c>
    </row>
    <row r="1060" customFormat="false" ht="15" hidden="false" customHeight="false" outlineLevel="0" collapsed="false">
      <c r="A1060" s="0" t="s">
        <v>187</v>
      </c>
      <c r="B1060" s="14" t="n">
        <v>45818</v>
      </c>
      <c r="C1060" s="16" t="s">
        <v>1173</v>
      </c>
      <c r="D1060" s="7" t="n">
        <v>-150</v>
      </c>
      <c r="E1060" s="16" t="s">
        <v>215</v>
      </c>
      <c r="F1060" s="7" t="n">
        <v>15524.58</v>
      </c>
      <c r="G1060" s="16" t="s">
        <v>87</v>
      </c>
    </row>
    <row r="1061" customFormat="false" ht="15" hidden="false" customHeight="false" outlineLevel="0" collapsed="false">
      <c r="A1061" s="0" t="s">
        <v>187</v>
      </c>
      <c r="B1061" s="14" t="n">
        <v>45818</v>
      </c>
      <c r="C1061" s="16" t="s">
        <v>1174</v>
      </c>
      <c r="D1061" s="7" t="n">
        <v>-175</v>
      </c>
      <c r="E1061" s="16" t="s">
        <v>215</v>
      </c>
      <c r="F1061" s="7" t="n">
        <v>15674.58</v>
      </c>
      <c r="G1061" s="16" t="s">
        <v>87</v>
      </c>
    </row>
    <row r="1062" customFormat="false" ht="15" hidden="false" customHeight="false" outlineLevel="0" collapsed="false">
      <c r="A1062" s="0" t="s">
        <v>187</v>
      </c>
      <c r="B1062" s="14" t="n">
        <v>45818</v>
      </c>
      <c r="C1062" s="16" t="s">
        <v>1175</v>
      </c>
      <c r="D1062" s="7" t="n">
        <v>-11.99</v>
      </c>
      <c r="E1062" s="16" t="s">
        <v>206</v>
      </c>
      <c r="F1062" s="7" t="n">
        <v>15849.58</v>
      </c>
      <c r="G1062" s="16" t="s">
        <v>144</v>
      </c>
    </row>
    <row r="1063" customFormat="false" ht="15" hidden="false" customHeight="false" outlineLevel="0" collapsed="false">
      <c r="A1063" s="0" t="s">
        <v>187</v>
      </c>
      <c r="B1063" s="14" t="n">
        <v>45817</v>
      </c>
      <c r="C1063" s="16" t="s">
        <v>1176</v>
      </c>
      <c r="D1063" s="7" t="n">
        <v>-1000</v>
      </c>
      <c r="E1063" s="16" t="s">
        <v>213</v>
      </c>
      <c r="F1063" s="7" t="n">
        <v>15861.57</v>
      </c>
      <c r="G1063" s="16" t="s">
        <v>96</v>
      </c>
    </row>
    <row r="1064" customFormat="false" ht="15" hidden="false" customHeight="false" outlineLevel="0" collapsed="false">
      <c r="A1064" s="0" t="s">
        <v>187</v>
      </c>
      <c r="B1064" s="14" t="n">
        <v>45817</v>
      </c>
      <c r="C1064" s="16" t="s">
        <v>1177</v>
      </c>
      <c r="D1064" s="7" t="n">
        <v>-700</v>
      </c>
      <c r="E1064" s="16" t="s">
        <v>213</v>
      </c>
      <c r="F1064" s="7" t="n">
        <v>16861.57</v>
      </c>
      <c r="G1064" s="16" t="s">
        <v>97</v>
      </c>
    </row>
    <row r="1065" customFormat="false" ht="15" hidden="false" customHeight="false" outlineLevel="0" collapsed="false">
      <c r="A1065" s="0" t="s">
        <v>187</v>
      </c>
      <c r="B1065" s="14" t="n">
        <v>45817</v>
      </c>
      <c r="C1065" s="16" t="s">
        <v>1178</v>
      </c>
      <c r="D1065" s="7" t="n">
        <v>-504.85</v>
      </c>
      <c r="E1065" s="16" t="s">
        <v>206</v>
      </c>
      <c r="F1065" s="7" t="n">
        <v>17561.57</v>
      </c>
      <c r="G1065" s="16" t="s">
        <v>67</v>
      </c>
    </row>
    <row r="1066" customFormat="false" ht="15" hidden="false" customHeight="false" outlineLevel="0" collapsed="false">
      <c r="A1066" s="0" t="s">
        <v>187</v>
      </c>
      <c r="B1066" s="14" t="n">
        <v>45817</v>
      </c>
      <c r="C1066" s="16" t="s">
        <v>1179</v>
      </c>
      <c r="D1066" s="7" t="n">
        <v>-120</v>
      </c>
      <c r="E1066" s="16" t="s">
        <v>193</v>
      </c>
      <c r="F1066" s="7" t="n">
        <v>18066.42</v>
      </c>
      <c r="G1066" s="16" t="s">
        <v>80</v>
      </c>
    </row>
    <row r="1067" customFormat="false" ht="15" hidden="false" customHeight="false" outlineLevel="0" collapsed="false">
      <c r="A1067" s="0" t="s">
        <v>187</v>
      </c>
      <c r="B1067" s="14" t="n">
        <v>45817</v>
      </c>
      <c r="C1067" s="16" t="s">
        <v>1180</v>
      </c>
      <c r="D1067" s="7" t="n">
        <v>-400</v>
      </c>
      <c r="E1067" s="16" t="s">
        <v>193</v>
      </c>
      <c r="F1067" s="7" t="n">
        <v>18186.42</v>
      </c>
      <c r="G1067" s="16" t="s">
        <v>80</v>
      </c>
    </row>
    <row r="1068" customFormat="false" ht="15" hidden="false" customHeight="false" outlineLevel="0" collapsed="false">
      <c r="A1068" s="0" t="s">
        <v>187</v>
      </c>
      <c r="B1068" s="14" t="n">
        <v>45817</v>
      </c>
      <c r="C1068" s="16" t="s">
        <v>1181</v>
      </c>
      <c r="D1068" s="7" t="n">
        <v>-1250</v>
      </c>
      <c r="E1068" s="16" t="s">
        <v>193</v>
      </c>
      <c r="F1068" s="7" t="n">
        <v>18586.42</v>
      </c>
      <c r="G1068" s="16" t="s">
        <v>80</v>
      </c>
    </row>
    <row r="1069" customFormat="false" ht="15" hidden="false" customHeight="false" outlineLevel="0" collapsed="false">
      <c r="A1069" s="0" t="s">
        <v>187</v>
      </c>
      <c r="B1069" s="14" t="n">
        <v>45817</v>
      </c>
      <c r="C1069" s="16" t="s">
        <v>1182</v>
      </c>
      <c r="D1069" s="7" t="n">
        <v>-8.99</v>
      </c>
      <c r="E1069" s="16" t="s">
        <v>206</v>
      </c>
      <c r="F1069" s="7" t="n">
        <v>19836.42</v>
      </c>
      <c r="G1069" s="16" t="s">
        <v>144</v>
      </c>
    </row>
    <row r="1070" customFormat="false" ht="15" hidden="false" customHeight="false" outlineLevel="0" collapsed="false">
      <c r="A1070" s="0" t="s">
        <v>187</v>
      </c>
      <c r="B1070" s="14" t="n">
        <v>45817</v>
      </c>
      <c r="C1070" s="16" t="s">
        <v>1182</v>
      </c>
      <c r="D1070" s="7" t="n">
        <v>-5</v>
      </c>
      <c r="E1070" s="16" t="s">
        <v>206</v>
      </c>
      <c r="F1070" s="7" t="n">
        <v>19845.41</v>
      </c>
      <c r="G1070" s="16" t="s">
        <v>144</v>
      </c>
    </row>
    <row r="1071" customFormat="false" ht="15" hidden="false" customHeight="false" outlineLevel="0" collapsed="false">
      <c r="A1071" s="0" t="s">
        <v>187</v>
      </c>
      <c r="B1071" s="14" t="n">
        <v>45817</v>
      </c>
      <c r="C1071" s="16" t="s">
        <v>1183</v>
      </c>
      <c r="D1071" s="7" t="n">
        <v>-567.4</v>
      </c>
      <c r="E1071" s="16" t="s">
        <v>206</v>
      </c>
      <c r="F1071" s="7" t="n">
        <v>19850.41</v>
      </c>
      <c r="G1071" s="16" t="s">
        <v>67</v>
      </c>
    </row>
    <row r="1072" customFormat="false" ht="15" hidden="false" customHeight="false" outlineLevel="0" collapsed="false">
      <c r="A1072" s="0" t="s">
        <v>187</v>
      </c>
      <c r="B1072" s="14" t="n">
        <v>45814</v>
      </c>
      <c r="C1072" s="16" t="s">
        <v>1184</v>
      </c>
      <c r="D1072" s="7" t="n">
        <v>-2000</v>
      </c>
      <c r="E1072" s="16" t="s">
        <v>213</v>
      </c>
      <c r="F1072" s="7" t="n">
        <v>20417.81</v>
      </c>
      <c r="G1072" s="16" t="s">
        <v>96</v>
      </c>
    </row>
    <row r="1073" customFormat="false" ht="15" hidden="false" customHeight="false" outlineLevel="0" collapsed="false">
      <c r="A1073" s="0" t="s">
        <v>187</v>
      </c>
      <c r="B1073" s="14" t="n">
        <v>45813</v>
      </c>
      <c r="C1073" s="16" t="s">
        <v>188</v>
      </c>
      <c r="D1073" s="7" t="n">
        <v>-5</v>
      </c>
      <c r="E1073" s="16" t="s">
        <v>189</v>
      </c>
      <c r="F1073" s="7" t="n">
        <v>22417.81</v>
      </c>
      <c r="G1073" s="16" t="s">
        <v>65</v>
      </c>
    </row>
    <row r="1074" customFormat="false" ht="15" hidden="false" customHeight="false" outlineLevel="0" collapsed="false">
      <c r="A1074" s="0" t="s">
        <v>187</v>
      </c>
      <c r="B1074" s="14" t="n">
        <v>45813</v>
      </c>
      <c r="C1074" s="16" t="s">
        <v>1185</v>
      </c>
      <c r="D1074" s="7" t="n">
        <v>-62</v>
      </c>
      <c r="E1074" s="16" t="s">
        <v>193</v>
      </c>
      <c r="F1074" s="7" t="n">
        <v>22422.81</v>
      </c>
      <c r="G1074" s="16" t="s">
        <v>80</v>
      </c>
    </row>
    <row r="1075" customFormat="false" ht="15" hidden="false" customHeight="false" outlineLevel="0" collapsed="false">
      <c r="A1075" s="0" t="s">
        <v>187</v>
      </c>
      <c r="B1075" s="14" t="n">
        <v>45813</v>
      </c>
      <c r="C1075" s="16" t="s">
        <v>1186</v>
      </c>
      <c r="D1075" s="7" t="n">
        <v>-501.44</v>
      </c>
      <c r="E1075" s="16" t="s">
        <v>206</v>
      </c>
      <c r="F1075" s="7" t="n">
        <v>22484.81</v>
      </c>
      <c r="G1075" s="16" t="s">
        <v>67</v>
      </c>
    </row>
    <row r="1076" customFormat="false" ht="15" hidden="false" customHeight="false" outlineLevel="0" collapsed="false">
      <c r="A1076" s="0" t="s">
        <v>187</v>
      </c>
      <c r="B1076" s="14" t="n">
        <v>45813</v>
      </c>
      <c r="C1076" s="16" t="s">
        <v>1187</v>
      </c>
      <c r="D1076" s="7" t="n">
        <v>-350</v>
      </c>
      <c r="E1076" s="16" t="s">
        <v>213</v>
      </c>
      <c r="F1076" s="7" t="n">
        <v>22986.25</v>
      </c>
      <c r="G1076" s="16" t="s">
        <v>97</v>
      </c>
    </row>
    <row r="1077" customFormat="false" ht="15" hidden="false" customHeight="false" outlineLevel="0" collapsed="false">
      <c r="A1077" s="0" t="s">
        <v>187</v>
      </c>
      <c r="B1077" s="14" t="n">
        <v>45813</v>
      </c>
      <c r="C1077" s="16" t="s">
        <v>1188</v>
      </c>
      <c r="D1077" s="7" t="n">
        <v>-2000</v>
      </c>
      <c r="E1077" s="16" t="s">
        <v>213</v>
      </c>
      <c r="F1077" s="7" t="n">
        <v>23336.25</v>
      </c>
      <c r="G1077" s="16" t="s">
        <v>96</v>
      </c>
    </row>
    <row r="1078" customFormat="false" ht="15" hidden="false" customHeight="false" outlineLevel="0" collapsed="false">
      <c r="A1078" s="0" t="s">
        <v>187</v>
      </c>
      <c r="B1078" s="14" t="n">
        <v>45813</v>
      </c>
      <c r="C1078" s="16" t="s">
        <v>1189</v>
      </c>
      <c r="D1078" s="7" t="n">
        <v>-750</v>
      </c>
      <c r="E1078" s="16" t="s">
        <v>191</v>
      </c>
      <c r="F1078" s="7" t="n">
        <v>25336.25</v>
      </c>
      <c r="G1078" s="16" t="s">
        <v>65</v>
      </c>
    </row>
    <row r="1079" customFormat="false" ht="15" hidden="false" customHeight="false" outlineLevel="0" collapsed="false">
      <c r="A1079" s="0" t="s">
        <v>187</v>
      </c>
      <c r="B1079" s="14" t="n">
        <v>45813</v>
      </c>
      <c r="C1079" s="16" t="s">
        <v>1190</v>
      </c>
      <c r="D1079" s="7" t="n">
        <v>-29.99</v>
      </c>
      <c r="E1079" s="16" t="s">
        <v>206</v>
      </c>
      <c r="F1079" s="7" t="n">
        <v>26086.25</v>
      </c>
      <c r="G1079" s="16" t="s">
        <v>144</v>
      </c>
    </row>
    <row r="1080" customFormat="false" ht="15" hidden="false" customHeight="false" outlineLevel="0" collapsed="false">
      <c r="A1080" s="0" t="s">
        <v>187</v>
      </c>
      <c r="B1080" s="14" t="n">
        <v>45812</v>
      </c>
      <c r="C1080" s="16" t="s">
        <v>1191</v>
      </c>
      <c r="D1080" s="7" t="n">
        <v>-11.2</v>
      </c>
      <c r="E1080" s="16" t="s">
        <v>206</v>
      </c>
      <c r="F1080" s="7" t="n">
        <v>26116.24</v>
      </c>
      <c r="G1080" s="16" t="s">
        <v>179</v>
      </c>
    </row>
    <row r="1081" customFormat="false" ht="15" hidden="false" customHeight="false" outlineLevel="0" collapsed="false">
      <c r="A1081" s="0" t="s">
        <v>187</v>
      </c>
      <c r="B1081" s="14" t="n">
        <v>45812</v>
      </c>
      <c r="C1081" s="16" t="s">
        <v>1191</v>
      </c>
      <c r="D1081" s="7" t="n">
        <v>-4.79</v>
      </c>
      <c r="E1081" s="16" t="s">
        <v>206</v>
      </c>
      <c r="F1081" s="7" t="n">
        <v>26127.44</v>
      </c>
      <c r="G1081" s="16" t="s">
        <v>179</v>
      </c>
    </row>
    <row r="1082" customFormat="false" ht="15" hidden="false" customHeight="false" outlineLevel="0" collapsed="false">
      <c r="A1082" s="0" t="s">
        <v>187</v>
      </c>
      <c r="B1082" s="14" t="n">
        <v>45812</v>
      </c>
      <c r="C1082" s="16" t="s">
        <v>1192</v>
      </c>
      <c r="D1082" s="7" t="n">
        <v>-31.96</v>
      </c>
      <c r="E1082" s="16" t="s">
        <v>206</v>
      </c>
      <c r="F1082" s="7" t="n">
        <v>26132.23</v>
      </c>
      <c r="G1082" s="16" t="s">
        <v>179</v>
      </c>
    </row>
    <row r="1083" customFormat="false" ht="15" hidden="false" customHeight="false" outlineLevel="0" collapsed="false">
      <c r="A1083" s="0" t="s">
        <v>187</v>
      </c>
      <c r="B1083" s="14" t="n">
        <v>45812</v>
      </c>
      <c r="C1083" s="16" t="s">
        <v>1193</v>
      </c>
      <c r="D1083" s="7" t="n">
        <v>-300</v>
      </c>
      <c r="E1083" s="16" t="s">
        <v>206</v>
      </c>
      <c r="F1083" s="7" t="n">
        <v>26164.19</v>
      </c>
      <c r="G1083" s="16" t="s">
        <v>121</v>
      </c>
    </row>
    <row r="1084" customFormat="false" ht="15" hidden="false" customHeight="false" outlineLevel="0" collapsed="false">
      <c r="A1084" s="0" t="s">
        <v>187</v>
      </c>
      <c r="B1084" s="14" t="n">
        <v>45812</v>
      </c>
      <c r="C1084" s="16" t="s">
        <v>1194</v>
      </c>
      <c r="D1084" s="7" t="n">
        <v>-10.78</v>
      </c>
      <c r="E1084" s="16" t="s">
        <v>206</v>
      </c>
      <c r="F1084" s="7" t="n">
        <v>26464.19</v>
      </c>
      <c r="G1084" s="16" t="s">
        <v>116</v>
      </c>
    </row>
    <row r="1085" customFormat="false" ht="15" hidden="false" customHeight="false" outlineLevel="0" collapsed="false">
      <c r="A1085" s="0" t="s">
        <v>187</v>
      </c>
      <c r="B1085" s="14" t="n">
        <v>45812</v>
      </c>
      <c r="C1085" s="16" t="s">
        <v>1195</v>
      </c>
      <c r="D1085" s="7" t="n">
        <v>-5.96</v>
      </c>
      <c r="E1085" s="16" t="s">
        <v>206</v>
      </c>
      <c r="F1085" s="7" t="n">
        <v>26474.97</v>
      </c>
      <c r="G1085" s="16" t="s">
        <v>78</v>
      </c>
    </row>
    <row r="1086" customFormat="false" ht="15" hidden="false" customHeight="false" outlineLevel="0" collapsed="false">
      <c r="A1086" s="0" t="s">
        <v>187</v>
      </c>
      <c r="B1086" s="14" t="n">
        <v>45811</v>
      </c>
      <c r="C1086" s="16" t="s">
        <v>1196</v>
      </c>
      <c r="D1086" s="7" t="n">
        <v>-3.99</v>
      </c>
      <c r="E1086" s="16" t="s">
        <v>206</v>
      </c>
      <c r="F1086" s="7" t="n">
        <v>26480.93</v>
      </c>
      <c r="G1086" s="16" t="s">
        <v>144</v>
      </c>
    </row>
    <row r="1087" customFormat="false" ht="15" hidden="false" customHeight="false" outlineLevel="0" collapsed="false">
      <c r="A1087" s="0" t="s">
        <v>187</v>
      </c>
      <c r="B1087" s="14" t="n">
        <v>45811</v>
      </c>
      <c r="C1087" s="16" t="s">
        <v>1196</v>
      </c>
      <c r="D1087" s="7" t="n">
        <v>-12.99</v>
      </c>
      <c r="E1087" s="16" t="s">
        <v>206</v>
      </c>
      <c r="F1087" s="7" t="n">
        <v>26484.92</v>
      </c>
      <c r="G1087" s="16" t="s">
        <v>144</v>
      </c>
    </row>
    <row r="1088" customFormat="false" ht="15" hidden="false" customHeight="false" outlineLevel="0" collapsed="false">
      <c r="A1088" s="0" t="s">
        <v>187</v>
      </c>
      <c r="B1088" s="14" t="n">
        <v>45811</v>
      </c>
      <c r="C1088" s="16" t="s">
        <v>1197</v>
      </c>
      <c r="D1088" s="7" t="n">
        <v>-17.5</v>
      </c>
      <c r="E1088" s="16" t="s">
        <v>206</v>
      </c>
      <c r="F1088" s="7" t="n">
        <v>26497.91</v>
      </c>
      <c r="G1088" s="16" t="s">
        <v>75</v>
      </c>
    </row>
    <row r="1089" customFormat="false" ht="15" hidden="false" customHeight="false" outlineLevel="0" collapsed="false">
      <c r="A1089" s="0" t="s">
        <v>187</v>
      </c>
      <c r="B1089" s="14" t="n">
        <v>45811</v>
      </c>
      <c r="C1089" s="16" t="s">
        <v>1198</v>
      </c>
      <c r="D1089" s="7" t="n">
        <v>-101.99</v>
      </c>
      <c r="E1089" s="16" t="s">
        <v>206</v>
      </c>
      <c r="F1089" s="7" t="n">
        <v>26515.41</v>
      </c>
      <c r="G1089" s="16" t="s">
        <v>144</v>
      </c>
    </row>
    <row r="1090" customFormat="false" ht="15" hidden="false" customHeight="false" outlineLevel="0" collapsed="false">
      <c r="A1090" s="0" t="s">
        <v>187</v>
      </c>
      <c r="B1090" s="14" t="n">
        <v>45810</v>
      </c>
      <c r="C1090" s="16" t="s">
        <v>1199</v>
      </c>
      <c r="D1090" s="7" t="n">
        <v>-10</v>
      </c>
      <c r="E1090" s="16" t="s">
        <v>189</v>
      </c>
      <c r="F1090" s="7" t="n">
        <v>26617.4</v>
      </c>
      <c r="G1090" s="16" t="s">
        <v>110</v>
      </c>
    </row>
    <row r="1091" customFormat="false" ht="15" hidden="false" customHeight="false" outlineLevel="0" collapsed="false">
      <c r="A1091" s="0" t="s">
        <v>187</v>
      </c>
      <c r="B1091" s="14" t="n">
        <v>45810</v>
      </c>
      <c r="C1091" s="16" t="s">
        <v>1200</v>
      </c>
      <c r="D1091" s="7" t="n">
        <v>-800</v>
      </c>
      <c r="E1091" s="16" t="s">
        <v>215</v>
      </c>
      <c r="F1091" s="7" t="n">
        <v>26627.4</v>
      </c>
      <c r="G1091" s="16" t="s">
        <v>84</v>
      </c>
    </row>
    <row r="1092" customFormat="false" ht="15" hidden="false" customHeight="false" outlineLevel="0" collapsed="false">
      <c r="A1092" s="0" t="s">
        <v>187</v>
      </c>
      <c r="B1092" s="14" t="n">
        <v>45810</v>
      </c>
      <c r="C1092" s="16" t="s">
        <v>1201</v>
      </c>
      <c r="D1092" s="7" t="n">
        <v>-1500</v>
      </c>
      <c r="E1092" s="16" t="s">
        <v>213</v>
      </c>
      <c r="F1092" s="7" t="n">
        <v>27427.4</v>
      </c>
      <c r="G1092" s="16" t="s">
        <v>97</v>
      </c>
    </row>
    <row r="1093" customFormat="false" ht="15" hidden="false" customHeight="false" outlineLevel="0" collapsed="false">
      <c r="A1093" s="0" t="s">
        <v>187</v>
      </c>
      <c r="B1093" s="14" t="n">
        <v>45810</v>
      </c>
      <c r="C1093" s="16" t="s">
        <v>1202</v>
      </c>
      <c r="D1093" s="7" t="n">
        <v>-596.31</v>
      </c>
      <c r="E1093" s="16" t="s">
        <v>193</v>
      </c>
      <c r="F1093" s="7" t="n">
        <v>28927.4</v>
      </c>
      <c r="G1093" s="16" t="s">
        <v>145</v>
      </c>
    </row>
    <row r="1094" customFormat="false" ht="15" hidden="false" customHeight="false" outlineLevel="0" collapsed="false">
      <c r="A1094" s="0" t="s">
        <v>187</v>
      </c>
      <c r="B1094" s="14" t="n">
        <v>45810</v>
      </c>
      <c r="C1094" s="16" t="s">
        <v>1203</v>
      </c>
      <c r="D1094" s="7" t="n">
        <v>-1000</v>
      </c>
      <c r="E1094" s="16" t="s">
        <v>213</v>
      </c>
      <c r="F1094" s="7" t="n">
        <v>29523.71</v>
      </c>
      <c r="G1094" s="16" t="s">
        <v>47</v>
      </c>
    </row>
    <row r="1095" customFormat="false" ht="15" hidden="false" customHeight="false" outlineLevel="0" collapsed="false">
      <c r="A1095" s="0" t="s">
        <v>187</v>
      </c>
      <c r="B1095" s="14" t="n">
        <v>45810</v>
      </c>
      <c r="C1095" s="16" t="s">
        <v>1204</v>
      </c>
      <c r="D1095" s="7" t="n">
        <v>-1000</v>
      </c>
      <c r="E1095" s="16" t="s">
        <v>213</v>
      </c>
      <c r="F1095" s="7" t="n">
        <v>30523.71</v>
      </c>
      <c r="G1095" s="16" t="s">
        <v>98</v>
      </c>
    </row>
    <row r="1096" customFormat="false" ht="15" hidden="false" customHeight="false" outlineLevel="0" collapsed="false">
      <c r="A1096" s="0" t="s">
        <v>187</v>
      </c>
      <c r="B1096" s="14" t="n">
        <v>45810</v>
      </c>
      <c r="C1096" s="16" t="s">
        <v>1205</v>
      </c>
      <c r="D1096" s="7" t="n">
        <v>-3000</v>
      </c>
      <c r="E1096" s="16" t="s">
        <v>213</v>
      </c>
      <c r="F1096" s="7" t="n">
        <v>31523.71</v>
      </c>
      <c r="G1096" s="16" t="s">
        <v>96</v>
      </c>
    </row>
    <row r="1097" customFormat="false" ht="15" hidden="false" customHeight="false" outlineLevel="0" collapsed="false">
      <c r="A1097" s="0" t="s">
        <v>187</v>
      </c>
      <c r="B1097" s="14" t="n">
        <v>45810</v>
      </c>
      <c r="C1097" s="16" t="s">
        <v>1206</v>
      </c>
      <c r="D1097" s="7" t="n">
        <v>-237.15</v>
      </c>
      <c r="E1097" s="16" t="s">
        <v>206</v>
      </c>
      <c r="F1097" s="7" t="n">
        <v>34523.71</v>
      </c>
      <c r="G1097" s="16" t="s">
        <v>67</v>
      </c>
    </row>
    <row r="1098" customFormat="false" ht="15" hidden="false" customHeight="false" outlineLevel="0" collapsed="false">
      <c r="A1098" s="0" t="s">
        <v>187</v>
      </c>
      <c r="B1098" s="14" t="n">
        <v>45810</v>
      </c>
      <c r="C1098" s="16" t="s">
        <v>1207</v>
      </c>
      <c r="D1098" s="7" t="n">
        <v>-870.55</v>
      </c>
      <c r="E1098" s="16" t="s">
        <v>193</v>
      </c>
      <c r="F1098" s="7" t="n">
        <v>34760.86</v>
      </c>
      <c r="G1098" s="16" t="s">
        <v>184</v>
      </c>
    </row>
    <row r="1099" customFormat="false" ht="15" hidden="false" customHeight="false" outlineLevel="0" collapsed="false">
      <c r="A1099" s="0" t="s">
        <v>187</v>
      </c>
      <c r="B1099" s="14" t="n">
        <v>45810</v>
      </c>
      <c r="C1099" s="16" t="s">
        <v>1208</v>
      </c>
      <c r="D1099" s="7" t="n">
        <v>-8.99</v>
      </c>
      <c r="E1099" s="16" t="s">
        <v>206</v>
      </c>
      <c r="F1099" s="7" t="n">
        <v>35631.41</v>
      </c>
      <c r="G1099" s="16" t="s">
        <v>144</v>
      </c>
    </row>
    <row r="1100" customFormat="false" ht="15" hidden="false" customHeight="false" outlineLevel="0" collapsed="false">
      <c r="A1100" s="0" t="s">
        <v>187</v>
      </c>
      <c r="B1100" s="14" t="n">
        <v>45810</v>
      </c>
      <c r="C1100" s="16" t="s">
        <v>1209</v>
      </c>
      <c r="D1100" s="7" t="n">
        <v>-14.4</v>
      </c>
      <c r="E1100" s="16" t="s">
        <v>206</v>
      </c>
      <c r="F1100" s="7" t="n">
        <v>35640.4</v>
      </c>
      <c r="G1100" s="16" t="s">
        <v>144</v>
      </c>
    </row>
    <row r="1101" customFormat="false" ht="15" hidden="false" customHeight="false" outlineLevel="0" collapsed="false">
      <c r="A1101" s="0" t="s">
        <v>187</v>
      </c>
      <c r="B1101" s="14" t="n">
        <v>45810</v>
      </c>
      <c r="C1101" s="16" t="s">
        <v>1210</v>
      </c>
      <c r="D1101" s="7" t="n">
        <v>-18.99</v>
      </c>
      <c r="E1101" s="16" t="s">
        <v>206</v>
      </c>
      <c r="F1101" s="7" t="n">
        <v>35654.8</v>
      </c>
      <c r="G1101" s="16" t="s">
        <v>144</v>
      </c>
    </row>
    <row r="1102" customFormat="false" ht="15" hidden="false" customHeight="false" outlineLevel="0" collapsed="false">
      <c r="A1102" s="0" t="s">
        <v>187</v>
      </c>
      <c r="B1102" s="14" t="n">
        <v>45810</v>
      </c>
      <c r="C1102" s="16" t="s">
        <v>1211</v>
      </c>
      <c r="D1102" s="7" t="n">
        <v>-1000</v>
      </c>
      <c r="E1102" s="16" t="s">
        <v>213</v>
      </c>
      <c r="F1102" s="7" t="n">
        <v>35673.79</v>
      </c>
      <c r="G1102" s="16" t="s">
        <v>47</v>
      </c>
    </row>
    <row r="1103" customFormat="false" ht="15" hidden="false" customHeight="false" outlineLevel="0" collapsed="false">
      <c r="A1103" s="0" t="s">
        <v>187</v>
      </c>
      <c r="B1103" s="14" t="n">
        <v>45810</v>
      </c>
      <c r="C1103" s="16" t="s">
        <v>1212</v>
      </c>
      <c r="D1103" s="7" t="n">
        <v>-500</v>
      </c>
      <c r="E1103" s="16" t="s">
        <v>213</v>
      </c>
      <c r="F1103" s="7" t="n">
        <v>36673.79</v>
      </c>
      <c r="G1103" s="16" t="s">
        <v>185</v>
      </c>
    </row>
    <row r="1104" customFormat="false" ht="15" hidden="false" customHeight="false" outlineLevel="0" collapsed="false">
      <c r="A1104" s="0" t="s">
        <v>187</v>
      </c>
      <c r="B1104" s="14" t="n">
        <v>45810</v>
      </c>
      <c r="C1104" s="16" t="s">
        <v>1213</v>
      </c>
      <c r="D1104" s="7" t="n">
        <v>-558.58</v>
      </c>
      <c r="E1104" s="16" t="s">
        <v>193</v>
      </c>
      <c r="F1104" s="7" t="n">
        <v>37173.79</v>
      </c>
      <c r="G1104" s="16" t="s">
        <v>181</v>
      </c>
    </row>
    <row r="1105" customFormat="false" ht="15" hidden="false" customHeight="false" outlineLevel="0" collapsed="false">
      <c r="A1105" s="0" t="s">
        <v>187</v>
      </c>
      <c r="B1105" s="14" t="n">
        <v>45810</v>
      </c>
      <c r="C1105" s="16" t="s">
        <v>1214</v>
      </c>
      <c r="D1105" s="7" t="n">
        <v>-15.99</v>
      </c>
      <c r="E1105" s="16" t="s">
        <v>206</v>
      </c>
      <c r="F1105" s="7" t="n">
        <v>37732.37</v>
      </c>
      <c r="G1105" s="16" t="s">
        <v>144</v>
      </c>
    </row>
    <row r="1106" customFormat="false" ht="15" hidden="false" customHeight="false" outlineLevel="0" collapsed="false">
      <c r="A1106" s="0" t="s">
        <v>187</v>
      </c>
      <c r="B1106" s="14" t="n">
        <v>45810</v>
      </c>
      <c r="C1106" s="16" t="s">
        <v>1215</v>
      </c>
      <c r="D1106" s="7" t="n">
        <v>-18.99</v>
      </c>
      <c r="E1106" s="16" t="s">
        <v>206</v>
      </c>
      <c r="F1106" s="7" t="n">
        <v>37748.36</v>
      </c>
      <c r="G1106" s="16" t="s">
        <v>144</v>
      </c>
    </row>
    <row r="1107" customFormat="false" ht="15" hidden="false" customHeight="false" outlineLevel="0" collapsed="false">
      <c r="A1107" s="0" t="s">
        <v>187</v>
      </c>
      <c r="B1107" s="14" t="n">
        <v>45810</v>
      </c>
      <c r="C1107" s="16" t="s">
        <v>1216</v>
      </c>
      <c r="D1107" s="7" t="n">
        <v>-547.03</v>
      </c>
      <c r="E1107" s="16" t="s">
        <v>206</v>
      </c>
      <c r="F1107" s="7" t="n">
        <v>37767.35</v>
      </c>
      <c r="G1107" s="16" t="s">
        <v>67</v>
      </c>
    </row>
    <row r="1108" customFormat="false" ht="15" hidden="false" customHeight="false" outlineLevel="0" collapsed="false">
      <c r="A1108" s="0" t="s">
        <v>259</v>
      </c>
      <c r="B1108" s="14" t="n">
        <v>45810</v>
      </c>
      <c r="C1108" s="16" t="s">
        <v>1217</v>
      </c>
      <c r="D1108" s="7" t="n">
        <v>20000</v>
      </c>
      <c r="E1108" s="16" t="s">
        <v>213</v>
      </c>
      <c r="F1108" s="7" t="n">
        <v>38314.38</v>
      </c>
      <c r="G1108" s="16" t="s">
        <v>42</v>
      </c>
    </row>
    <row r="1109" customFormat="false" ht="15" hidden="false" customHeight="false" outlineLevel="0" collapsed="false">
      <c r="A1109" s="0" t="s">
        <v>187</v>
      </c>
      <c r="B1109" s="14" t="n">
        <v>45807</v>
      </c>
      <c r="C1109" s="16" t="s">
        <v>1218</v>
      </c>
      <c r="D1109" s="7" t="n">
        <v>-500</v>
      </c>
      <c r="E1109" s="16" t="s">
        <v>213</v>
      </c>
      <c r="F1109" s="7" t="n">
        <v>18314.38</v>
      </c>
      <c r="G1109" s="16" t="s">
        <v>185</v>
      </c>
    </row>
    <row r="1110" customFormat="false" ht="15" hidden="false" customHeight="false" outlineLevel="0" collapsed="false">
      <c r="A1110" s="0" t="s">
        <v>187</v>
      </c>
      <c r="B1110" s="14" t="n">
        <v>45807</v>
      </c>
      <c r="C1110" s="16" t="s">
        <v>1219</v>
      </c>
      <c r="D1110" s="7" t="n">
        <v>-1250</v>
      </c>
      <c r="E1110" s="16" t="s">
        <v>193</v>
      </c>
      <c r="F1110" s="7" t="n">
        <v>18814.38</v>
      </c>
      <c r="G1110" s="16" t="s">
        <v>80</v>
      </c>
    </row>
    <row r="1111" customFormat="false" ht="15" hidden="false" customHeight="false" outlineLevel="0" collapsed="false">
      <c r="A1111" s="0" t="s">
        <v>187</v>
      </c>
      <c r="B1111" s="14" t="n">
        <v>45807</v>
      </c>
      <c r="C1111" s="16" t="s">
        <v>1220</v>
      </c>
      <c r="D1111" s="7" t="n">
        <v>-2524</v>
      </c>
      <c r="E1111" s="16" t="s">
        <v>193</v>
      </c>
      <c r="F1111" s="7" t="n">
        <v>20064.38</v>
      </c>
      <c r="G1111" s="16" t="s">
        <v>103</v>
      </c>
    </row>
    <row r="1112" customFormat="false" ht="15" hidden="false" customHeight="false" outlineLevel="0" collapsed="false">
      <c r="A1112" s="0" t="s">
        <v>187</v>
      </c>
      <c r="B1112" s="14" t="n">
        <v>45807</v>
      </c>
      <c r="C1112" s="16" t="s">
        <v>1221</v>
      </c>
      <c r="D1112" s="7" t="n">
        <v>-16.29</v>
      </c>
      <c r="E1112" s="16" t="s">
        <v>206</v>
      </c>
      <c r="F1112" s="7" t="n">
        <v>22588.38</v>
      </c>
      <c r="G1112" s="16" t="s">
        <v>179</v>
      </c>
    </row>
    <row r="1113" customFormat="false" ht="15" hidden="false" customHeight="false" outlineLevel="0" collapsed="false">
      <c r="A1113" s="0" t="s">
        <v>187</v>
      </c>
      <c r="B1113" s="14" t="n">
        <v>45806</v>
      </c>
      <c r="C1113" s="16" t="s">
        <v>1222</v>
      </c>
      <c r="D1113" s="7" t="n">
        <v>-20</v>
      </c>
      <c r="E1113" s="16" t="s">
        <v>193</v>
      </c>
      <c r="F1113" s="7" t="n">
        <v>22604.67</v>
      </c>
      <c r="G1113" s="16" t="s">
        <v>80</v>
      </c>
    </row>
    <row r="1114" customFormat="false" ht="15" hidden="false" customHeight="false" outlineLevel="0" collapsed="false">
      <c r="A1114" s="0" t="s">
        <v>187</v>
      </c>
      <c r="B1114" s="14" t="n">
        <v>45806</v>
      </c>
      <c r="C1114" s="16" t="s">
        <v>1223</v>
      </c>
      <c r="D1114" s="7" t="n">
        <v>-502.81</v>
      </c>
      <c r="E1114" s="16" t="s">
        <v>206</v>
      </c>
      <c r="F1114" s="7" t="n">
        <v>22624.67</v>
      </c>
      <c r="G1114" s="16" t="s">
        <v>67</v>
      </c>
    </row>
    <row r="1115" customFormat="false" ht="15" hidden="false" customHeight="false" outlineLevel="0" collapsed="false">
      <c r="A1115" s="0" t="s">
        <v>187</v>
      </c>
      <c r="B1115" s="14" t="n">
        <v>45806</v>
      </c>
      <c r="C1115" s="16" t="s">
        <v>1224</v>
      </c>
      <c r="D1115" s="7" t="n">
        <v>-770.98</v>
      </c>
      <c r="E1115" s="16" t="s">
        <v>193</v>
      </c>
      <c r="F1115" s="7" t="n">
        <v>23127.48</v>
      </c>
      <c r="G1115" s="16" t="s">
        <v>181</v>
      </c>
    </row>
    <row r="1116" customFormat="false" ht="15" hidden="false" customHeight="false" outlineLevel="0" collapsed="false">
      <c r="A1116" s="0" t="s">
        <v>187</v>
      </c>
      <c r="B1116" s="14" t="n">
        <v>45805</v>
      </c>
      <c r="C1116" s="16" t="s">
        <v>1225</v>
      </c>
      <c r="D1116" s="7" t="n">
        <v>-12.5</v>
      </c>
      <c r="E1116" s="16" t="s">
        <v>193</v>
      </c>
      <c r="F1116" s="7" t="n">
        <v>23898.46</v>
      </c>
      <c r="G1116" s="16" t="s">
        <v>142</v>
      </c>
    </row>
    <row r="1117" customFormat="false" ht="15" hidden="false" customHeight="false" outlineLevel="0" collapsed="false">
      <c r="A1117" s="0" t="s">
        <v>187</v>
      </c>
      <c r="B1117" s="14" t="n">
        <v>45805</v>
      </c>
      <c r="C1117" s="16" t="s">
        <v>1226</v>
      </c>
      <c r="D1117" s="7" t="n">
        <v>-22.92</v>
      </c>
      <c r="E1117" s="16" t="s">
        <v>193</v>
      </c>
      <c r="F1117" s="7" t="n">
        <v>23910.96</v>
      </c>
      <c r="G1117" s="16" t="s">
        <v>142</v>
      </c>
    </row>
    <row r="1118" customFormat="false" ht="15" hidden="false" customHeight="false" outlineLevel="0" collapsed="false">
      <c r="A1118" s="0" t="s">
        <v>187</v>
      </c>
      <c r="B1118" s="14" t="n">
        <v>45805</v>
      </c>
      <c r="C1118" s="16" t="s">
        <v>1227</v>
      </c>
      <c r="D1118" s="7" t="n">
        <v>-1000</v>
      </c>
      <c r="E1118" s="16" t="s">
        <v>193</v>
      </c>
      <c r="F1118" s="7" t="n">
        <v>23933.88</v>
      </c>
      <c r="G1118" s="16" t="s">
        <v>141</v>
      </c>
    </row>
    <row r="1119" customFormat="false" ht="15" hidden="false" customHeight="false" outlineLevel="0" collapsed="false">
      <c r="A1119" s="0" t="s">
        <v>187</v>
      </c>
      <c r="B1119" s="14" t="n">
        <v>45805</v>
      </c>
      <c r="C1119" s="16" t="s">
        <v>1228</v>
      </c>
      <c r="D1119" s="7" t="n">
        <v>-31.9</v>
      </c>
      <c r="E1119" s="16" t="s">
        <v>206</v>
      </c>
      <c r="F1119" s="7" t="n">
        <v>24933.88</v>
      </c>
      <c r="G1119" s="16" t="s">
        <v>183</v>
      </c>
    </row>
    <row r="1120" customFormat="false" ht="15" hidden="false" customHeight="false" outlineLevel="0" collapsed="false">
      <c r="A1120" s="0" t="s">
        <v>187</v>
      </c>
      <c r="B1120" s="14" t="n">
        <v>45804</v>
      </c>
      <c r="C1120" s="16" t="s">
        <v>1229</v>
      </c>
      <c r="D1120" s="7" t="n">
        <v>-200</v>
      </c>
      <c r="E1120" s="16" t="s">
        <v>193</v>
      </c>
      <c r="F1120" s="7" t="n">
        <v>24965.78</v>
      </c>
      <c r="G1120" s="16" t="s">
        <v>80</v>
      </c>
    </row>
    <row r="1121" customFormat="false" ht="15" hidden="false" customHeight="false" outlineLevel="0" collapsed="false">
      <c r="A1121" s="0" t="s">
        <v>187</v>
      </c>
      <c r="B1121" s="14" t="n">
        <v>45804</v>
      </c>
      <c r="C1121" s="16" t="s">
        <v>1230</v>
      </c>
      <c r="D1121" s="7" t="n">
        <v>-7010</v>
      </c>
      <c r="E1121" s="16" t="s">
        <v>208</v>
      </c>
      <c r="F1121" s="7" t="n">
        <v>25165.78</v>
      </c>
      <c r="G1121" s="16" t="s">
        <v>134</v>
      </c>
    </row>
    <row r="1122" customFormat="false" ht="15" hidden="false" customHeight="false" outlineLevel="0" collapsed="false">
      <c r="A1122" s="0" t="s">
        <v>187</v>
      </c>
      <c r="B1122" s="14" t="n">
        <v>45804</v>
      </c>
      <c r="C1122" s="16" t="s">
        <v>1231</v>
      </c>
      <c r="D1122" s="7" t="n">
        <v>-412</v>
      </c>
      <c r="E1122" s="16" t="s">
        <v>208</v>
      </c>
      <c r="F1122" s="7" t="n">
        <v>32175.78</v>
      </c>
      <c r="G1122" s="16" t="s">
        <v>180</v>
      </c>
    </row>
    <row r="1123" customFormat="false" ht="15" hidden="false" customHeight="false" outlineLevel="0" collapsed="false">
      <c r="A1123" s="0" t="s">
        <v>187</v>
      </c>
      <c r="B1123" s="14" t="n">
        <v>45804</v>
      </c>
      <c r="C1123" s="16" t="s">
        <v>1232</v>
      </c>
      <c r="D1123" s="7" t="n">
        <v>-5000</v>
      </c>
      <c r="E1123" s="16" t="s">
        <v>213</v>
      </c>
      <c r="F1123" s="7" t="n">
        <v>32587.78</v>
      </c>
      <c r="G1123" s="16" t="s">
        <v>96</v>
      </c>
    </row>
    <row r="1124" customFormat="false" ht="15" hidden="false" customHeight="false" outlineLevel="0" collapsed="false">
      <c r="A1124" s="0" t="s">
        <v>187</v>
      </c>
      <c r="B1124" s="14" t="n">
        <v>45804</v>
      </c>
      <c r="C1124" s="16" t="s">
        <v>1233</v>
      </c>
      <c r="D1124" s="7" t="n">
        <v>-1000</v>
      </c>
      <c r="E1124" s="16" t="s">
        <v>213</v>
      </c>
      <c r="F1124" s="7" t="n">
        <v>37587.78</v>
      </c>
      <c r="G1124" s="16" t="s">
        <v>97</v>
      </c>
    </row>
    <row r="1125" customFormat="false" ht="15" hidden="false" customHeight="false" outlineLevel="0" collapsed="false">
      <c r="A1125" s="0" t="s">
        <v>187</v>
      </c>
      <c r="B1125" s="14" t="n">
        <v>45804</v>
      </c>
      <c r="C1125" s="16" t="s">
        <v>1234</v>
      </c>
      <c r="D1125" s="7" t="n">
        <v>-8000</v>
      </c>
      <c r="E1125" s="16" t="s">
        <v>213</v>
      </c>
      <c r="F1125" s="7" t="n">
        <v>38587.78</v>
      </c>
      <c r="G1125" s="16" t="s">
        <v>98</v>
      </c>
    </row>
    <row r="1126" customFormat="false" ht="15" hidden="false" customHeight="false" outlineLevel="0" collapsed="false">
      <c r="A1126" s="0" t="s">
        <v>187</v>
      </c>
      <c r="B1126" s="14" t="n">
        <v>45804</v>
      </c>
      <c r="C1126" s="16" t="s">
        <v>1235</v>
      </c>
      <c r="D1126" s="7" t="n">
        <v>-5000</v>
      </c>
      <c r="E1126" s="16" t="s">
        <v>213</v>
      </c>
      <c r="F1126" s="7" t="n">
        <v>46587.78</v>
      </c>
      <c r="G1126" s="16" t="s">
        <v>52</v>
      </c>
    </row>
    <row r="1127" customFormat="false" ht="15" hidden="false" customHeight="false" outlineLevel="0" collapsed="false">
      <c r="A1127" s="0" t="s">
        <v>187</v>
      </c>
      <c r="B1127" s="14" t="n">
        <v>45804</v>
      </c>
      <c r="C1127" s="16" t="s">
        <v>1236</v>
      </c>
      <c r="D1127" s="7" t="n">
        <v>-104.35</v>
      </c>
      <c r="E1127" s="16" t="s">
        <v>193</v>
      </c>
      <c r="F1127" s="7" t="n">
        <v>51587.78</v>
      </c>
      <c r="G1127" s="16" t="s">
        <v>122</v>
      </c>
    </row>
    <row r="1128" customFormat="false" ht="15" hidden="false" customHeight="false" outlineLevel="0" collapsed="false">
      <c r="A1128" s="0" t="s">
        <v>187</v>
      </c>
      <c r="B1128" s="14" t="n">
        <v>45804</v>
      </c>
      <c r="C1128" s="16" t="s">
        <v>1237</v>
      </c>
      <c r="D1128" s="7" t="n">
        <v>-1200</v>
      </c>
      <c r="E1128" s="16" t="s">
        <v>193</v>
      </c>
      <c r="F1128" s="7" t="n">
        <v>51692.13</v>
      </c>
      <c r="G1128" s="16" t="s">
        <v>80</v>
      </c>
    </row>
    <row r="1129" customFormat="false" ht="15" hidden="false" customHeight="false" outlineLevel="0" collapsed="false">
      <c r="A1129" s="0" t="s">
        <v>187</v>
      </c>
      <c r="B1129" s="14" t="n">
        <v>45804</v>
      </c>
      <c r="C1129" s="16" t="s">
        <v>1238</v>
      </c>
      <c r="D1129" s="7" t="n">
        <v>-1250</v>
      </c>
      <c r="E1129" s="16" t="s">
        <v>193</v>
      </c>
      <c r="F1129" s="7" t="n">
        <v>52892.13</v>
      </c>
      <c r="G1129" s="16" t="s">
        <v>80</v>
      </c>
    </row>
    <row r="1130" customFormat="false" ht="15" hidden="false" customHeight="false" outlineLevel="0" collapsed="false">
      <c r="A1130" s="0" t="s">
        <v>187</v>
      </c>
      <c r="B1130" s="14" t="n">
        <v>45804</v>
      </c>
      <c r="C1130" s="16" t="s">
        <v>1239</v>
      </c>
      <c r="D1130" s="7" t="n">
        <v>-16.99</v>
      </c>
      <c r="E1130" s="16" t="s">
        <v>206</v>
      </c>
      <c r="F1130" s="7" t="n">
        <v>54142.13</v>
      </c>
      <c r="G1130" s="16" t="s">
        <v>144</v>
      </c>
    </row>
    <row r="1131" customFormat="false" ht="15" hidden="false" customHeight="false" outlineLevel="0" collapsed="false">
      <c r="A1131" s="0" t="s">
        <v>187</v>
      </c>
      <c r="B1131" s="14" t="n">
        <v>45804</v>
      </c>
      <c r="C1131" s="16" t="s">
        <v>1240</v>
      </c>
      <c r="D1131" s="7" t="n">
        <v>-5000</v>
      </c>
      <c r="E1131" s="16" t="s">
        <v>215</v>
      </c>
      <c r="F1131" s="7" t="n">
        <v>54159.12</v>
      </c>
      <c r="G1131" s="16" t="s">
        <v>86</v>
      </c>
    </row>
    <row r="1132" customFormat="false" ht="15" hidden="false" customHeight="false" outlineLevel="0" collapsed="false">
      <c r="A1132" s="0" t="s">
        <v>187</v>
      </c>
      <c r="B1132" s="14" t="n">
        <v>45804</v>
      </c>
      <c r="C1132" s="16" t="s">
        <v>1241</v>
      </c>
      <c r="D1132" s="7" t="n">
        <v>-1207.5</v>
      </c>
      <c r="E1132" s="16" t="s">
        <v>206</v>
      </c>
      <c r="F1132" s="7" t="n">
        <v>59159.12</v>
      </c>
      <c r="G1132" s="16" t="s">
        <v>75</v>
      </c>
    </row>
    <row r="1133" customFormat="false" ht="15" hidden="false" customHeight="false" outlineLevel="0" collapsed="false">
      <c r="A1133" s="0" t="s">
        <v>187</v>
      </c>
      <c r="B1133" s="14" t="n">
        <v>45804</v>
      </c>
      <c r="C1133" s="16" t="s">
        <v>1239</v>
      </c>
      <c r="D1133" s="7" t="n">
        <v>-9.99</v>
      </c>
      <c r="E1133" s="16" t="s">
        <v>206</v>
      </c>
      <c r="F1133" s="7" t="n">
        <v>60366.62</v>
      </c>
      <c r="G1133" s="16" t="s">
        <v>144</v>
      </c>
    </row>
    <row r="1134" customFormat="false" ht="15" hidden="false" customHeight="false" outlineLevel="0" collapsed="false">
      <c r="A1134" s="0" t="s">
        <v>187</v>
      </c>
      <c r="B1134" s="14" t="n">
        <v>45800</v>
      </c>
      <c r="C1134" s="16" t="s">
        <v>1242</v>
      </c>
      <c r="D1134" s="7" t="n">
        <v>-25</v>
      </c>
      <c r="E1134" s="16" t="s">
        <v>193</v>
      </c>
      <c r="F1134" s="7" t="n">
        <v>23548.31</v>
      </c>
      <c r="G1134" s="16" t="s">
        <v>80</v>
      </c>
    </row>
    <row r="1135" customFormat="false" ht="15" hidden="false" customHeight="false" outlineLevel="0" collapsed="false">
      <c r="A1135" s="0" t="s">
        <v>187</v>
      </c>
      <c r="B1135" s="14" t="n">
        <v>45799</v>
      </c>
      <c r="C1135" s="16" t="s">
        <v>188</v>
      </c>
      <c r="D1135" s="7" t="n">
        <v>-5</v>
      </c>
      <c r="E1135" s="16" t="s">
        <v>189</v>
      </c>
      <c r="F1135" s="7" t="n">
        <v>23573.31</v>
      </c>
      <c r="G1135" s="16" t="s">
        <v>65</v>
      </c>
    </row>
    <row r="1136" customFormat="false" ht="15" hidden="false" customHeight="false" outlineLevel="0" collapsed="false">
      <c r="A1136" s="0" t="s">
        <v>187</v>
      </c>
      <c r="B1136" s="14" t="n">
        <v>45799</v>
      </c>
      <c r="C1136" s="16" t="s">
        <v>1243</v>
      </c>
      <c r="D1136" s="7" t="n">
        <v>-3.43</v>
      </c>
      <c r="E1136" s="16" t="s">
        <v>206</v>
      </c>
      <c r="F1136" s="7" t="n">
        <v>23578.31</v>
      </c>
      <c r="G1136" s="16" t="s">
        <v>144</v>
      </c>
    </row>
    <row r="1137" customFormat="false" ht="15" hidden="false" customHeight="false" outlineLevel="0" collapsed="false">
      <c r="A1137" s="0" t="s">
        <v>187</v>
      </c>
      <c r="B1137" s="14" t="n">
        <v>45799</v>
      </c>
      <c r="C1137" s="16" t="s">
        <v>1244</v>
      </c>
      <c r="D1137" s="7" t="n">
        <v>-750</v>
      </c>
      <c r="E1137" s="16" t="s">
        <v>191</v>
      </c>
      <c r="F1137" s="7" t="n">
        <v>23581.74</v>
      </c>
      <c r="G1137" s="16" t="s">
        <v>65</v>
      </c>
    </row>
    <row r="1138" customFormat="false" ht="15" hidden="false" customHeight="false" outlineLevel="0" collapsed="false">
      <c r="A1138" s="0" t="s">
        <v>187</v>
      </c>
      <c r="B1138" s="14" t="n">
        <v>45798</v>
      </c>
      <c r="C1138" s="16" t="s">
        <v>1245</v>
      </c>
      <c r="D1138" s="7" t="n">
        <v>-503.89</v>
      </c>
      <c r="E1138" s="16" t="s">
        <v>206</v>
      </c>
      <c r="F1138" s="7" t="n">
        <v>24331.74</v>
      </c>
      <c r="G1138" s="16" t="s">
        <v>67</v>
      </c>
    </row>
    <row r="1139" customFormat="false" ht="15" hidden="false" customHeight="false" outlineLevel="0" collapsed="false">
      <c r="A1139" s="0" t="s">
        <v>187</v>
      </c>
      <c r="B1139" s="14" t="n">
        <v>45798</v>
      </c>
      <c r="C1139" s="16" t="s">
        <v>1246</v>
      </c>
      <c r="D1139" s="7" t="n">
        <v>-331.54</v>
      </c>
      <c r="E1139" s="16" t="s">
        <v>193</v>
      </c>
      <c r="F1139" s="7" t="n">
        <v>24835.63</v>
      </c>
      <c r="G1139" s="16" t="s">
        <v>148</v>
      </c>
    </row>
    <row r="1140" customFormat="false" ht="15" hidden="false" customHeight="false" outlineLevel="0" collapsed="false">
      <c r="A1140" s="0" t="s">
        <v>187</v>
      </c>
      <c r="B1140" s="14" t="n">
        <v>45798</v>
      </c>
      <c r="C1140" s="16" t="s">
        <v>1247</v>
      </c>
      <c r="D1140" s="7" t="n">
        <v>-1399.78</v>
      </c>
      <c r="E1140" s="16" t="s">
        <v>208</v>
      </c>
      <c r="F1140" s="7" t="n">
        <v>25167.17</v>
      </c>
      <c r="G1140" s="16" t="s">
        <v>180</v>
      </c>
    </row>
    <row r="1141" customFormat="false" ht="15" hidden="false" customHeight="false" outlineLevel="0" collapsed="false">
      <c r="A1141" s="0" t="s">
        <v>187</v>
      </c>
      <c r="B1141" s="14" t="n">
        <v>45798</v>
      </c>
      <c r="C1141" s="16" t="s">
        <v>1248</v>
      </c>
      <c r="D1141" s="7" t="n">
        <v>-8.99</v>
      </c>
      <c r="E1141" s="16" t="s">
        <v>206</v>
      </c>
      <c r="F1141" s="7" t="n">
        <v>26566.95</v>
      </c>
      <c r="G1141" s="16" t="s">
        <v>144</v>
      </c>
    </row>
    <row r="1142" customFormat="false" ht="15" hidden="false" customHeight="false" outlineLevel="0" collapsed="false">
      <c r="A1142" s="0" t="s">
        <v>187</v>
      </c>
      <c r="B1142" s="14" t="n">
        <v>45798</v>
      </c>
      <c r="C1142" s="16" t="s">
        <v>1249</v>
      </c>
      <c r="D1142" s="7" t="n">
        <v>-26.89</v>
      </c>
      <c r="E1142" s="16" t="s">
        <v>206</v>
      </c>
      <c r="F1142" s="7" t="n">
        <v>26575.94</v>
      </c>
      <c r="G1142" s="16" t="s">
        <v>144</v>
      </c>
    </row>
    <row r="1143" customFormat="false" ht="15" hidden="false" customHeight="false" outlineLevel="0" collapsed="false">
      <c r="A1143" s="0" t="s">
        <v>259</v>
      </c>
      <c r="B1143" s="14" t="n">
        <v>45798</v>
      </c>
      <c r="C1143" s="16" t="s">
        <v>1250</v>
      </c>
      <c r="D1143" s="7" t="n">
        <v>20000</v>
      </c>
      <c r="E1143" s="16" t="s">
        <v>213</v>
      </c>
      <c r="F1143" s="7" t="n">
        <v>26602.83</v>
      </c>
      <c r="G1143" s="16" t="s">
        <v>43</v>
      </c>
    </row>
    <row r="1144" customFormat="false" ht="15" hidden="false" customHeight="false" outlineLevel="0" collapsed="false">
      <c r="A1144" s="0" t="s">
        <v>187</v>
      </c>
      <c r="B1144" s="14" t="n">
        <v>45797</v>
      </c>
      <c r="C1144" s="16" t="s">
        <v>1251</v>
      </c>
      <c r="D1144" s="7" t="n">
        <v>-1000</v>
      </c>
      <c r="E1144" s="16" t="s">
        <v>213</v>
      </c>
      <c r="F1144" s="7" t="n">
        <v>6602.83</v>
      </c>
      <c r="G1144" s="16" t="s">
        <v>54</v>
      </c>
    </row>
    <row r="1145" customFormat="false" ht="15" hidden="false" customHeight="false" outlineLevel="0" collapsed="false">
      <c r="A1145" s="0" t="s">
        <v>187</v>
      </c>
      <c r="B1145" s="14" t="n">
        <v>45797</v>
      </c>
      <c r="C1145" s="16" t="s">
        <v>1252</v>
      </c>
      <c r="D1145" s="7" t="n">
        <v>-3000</v>
      </c>
      <c r="E1145" s="16" t="s">
        <v>213</v>
      </c>
      <c r="F1145" s="7" t="n">
        <v>7602.83</v>
      </c>
      <c r="G1145" s="16" t="s">
        <v>96</v>
      </c>
    </row>
    <row r="1146" customFormat="false" ht="15" hidden="false" customHeight="false" outlineLevel="0" collapsed="false">
      <c r="A1146" s="0" t="s">
        <v>187</v>
      </c>
      <c r="B1146" s="14" t="n">
        <v>45797</v>
      </c>
      <c r="C1146" s="16" t="s">
        <v>1253</v>
      </c>
      <c r="D1146" s="7" t="n">
        <v>-9.99</v>
      </c>
      <c r="E1146" s="16" t="s">
        <v>206</v>
      </c>
      <c r="F1146" s="7" t="n">
        <v>10602.83</v>
      </c>
      <c r="G1146" s="16" t="s">
        <v>144</v>
      </c>
    </row>
    <row r="1147" customFormat="false" ht="15" hidden="false" customHeight="false" outlineLevel="0" collapsed="false">
      <c r="A1147" s="0" t="s">
        <v>187</v>
      </c>
      <c r="B1147" s="14" t="n">
        <v>45797</v>
      </c>
      <c r="C1147" s="16" t="s">
        <v>1254</v>
      </c>
      <c r="D1147" s="7" t="n">
        <v>-157.5</v>
      </c>
      <c r="E1147" s="16" t="s">
        <v>206</v>
      </c>
      <c r="F1147" s="7" t="n">
        <v>10612.82</v>
      </c>
      <c r="G1147" s="16" t="s">
        <v>75</v>
      </c>
    </row>
    <row r="1148" customFormat="false" ht="15" hidden="false" customHeight="false" outlineLevel="0" collapsed="false">
      <c r="A1148" s="0" t="s">
        <v>187</v>
      </c>
      <c r="B1148" s="14" t="n">
        <v>45797</v>
      </c>
      <c r="C1148" s="16" t="s">
        <v>1255</v>
      </c>
      <c r="D1148" s="7" t="n">
        <v>-15</v>
      </c>
      <c r="E1148" s="16" t="s">
        <v>206</v>
      </c>
      <c r="F1148" s="7" t="n">
        <v>10770.32</v>
      </c>
      <c r="G1148" s="16" t="s">
        <v>144</v>
      </c>
    </row>
    <row r="1149" customFormat="false" ht="15" hidden="false" customHeight="false" outlineLevel="0" collapsed="false">
      <c r="A1149" s="0" t="s">
        <v>187</v>
      </c>
      <c r="B1149" s="14" t="n">
        <v>45796</v>
      </c>
      <c r="C1149" s="16" t="s">
        <v>1256</v>
      </c>
      <c r="D1149" s="7" t="n">
        <v>-1250</v>
      </c>
      <c r="E1149" s="16" t="s">
        <v>193</v>
      </c>
      <c r="F1149" s="7" t="n">
        <v>10785.32</v>
      </c>
      <c r="G1149" s="16" t="s">
        <v>80</v>
      </c>
    </row>
    <row r="1150" customFormat="false" ht="15" hidden="false" customHeight="false" outlineLevel="0" collapsed="false">
      <c r="A1150" s="0" t="s">
        <v>187</v>
      </c>
      <c r="B1150" s="14" t="n">
        <v>45796</v>
      </c>
      <c r="C1150" s="16" t="s">
        <v>1257</v>
      </c>
      <c r="D1150" s="7" t="n">
        <v>-7.99</v>
      </c>
      <c r="E1150" s="16" t="s">
        <v>206</v>
      </c>
      <c r="F1150" s="7" t="n">
        <v>12035.32</v>
      </c>
      <c r="G1150" s="16" t="s">
        <v>144</v>
      </c>
    </row>
    <row r="1151" customFormat="false" ht="15" hidden="false" customHeight="false" outlineLevel="0" collapsed="false">
      <c r="A1151" s="0" t="s">
        <v>187</v>
      </c>
      <c r="B1151" s="14" t="n">
        <v>45796</v>
      </c>
      <c r="C1151" s="16" t="s">
        <v>1258</v>
      </c>
      <c r="D1151" s="7" t="n">
        <v>-21.98</v>
      </c>
      <c r="E1151" s="16" t="s">
        <v>206</v>
      </c>
      <c r="F1151" s="7" t="n">
        <v>12043.31</v>
      </c>
      <c r="G1151" s="16" t="s">
        <v>118</v>
      </c>
    </row>
    <row r="1152" customFormat="false" ht="15" hidden="false" customHeight="false" outlineLevel="0" collapsed="false">
      <c r="A1152" s="0" t="s">
        <v>187</v>
      </c>
      <c r="B1152" s="14" t="n">
        <v>45796</v>
      </c>
      <c r="C1152" s="16" t="s">
        <v>1259</v>
      </c>
      <c r="D1152" s="7" t="n">
        <v>-9.99</v>
      </c>
      <c r="E1152" s="16" t="s">
        <v>206</v>
      </c>
      <c r="F1152" s="7" t="n">
        <v>12065.29</v>
      </c>
      <c r="G1152" s="16" t="s">
        <v>144</v>
      </c>
    </row>
    <row r="1153" customFormat="false" ht="15" hidden="false" customHeight="false" outlineLevel="0" collapsed="false">
      <c r="A1153" s="0" t="s">
        <v>187</v>
      </c>
      <c r="B1153" s="14" t="n">
        <v>45796</v>
      </c>
      <c r="C1153" s="16" t="s">
        <v>1259</v>
      </c>
      <c r="D1153" s="7" t="n">
        <v>-3.99</v>
      </c>
      <c r="E1153" s="16" t="s">
        <v>206</v>
      </c>
      <c r="F1153" s="7" t="n">
        <v>12075.28</v>
      </c>
      <c r="G1153" s="16" t="s">
        <v>144</v>
      </c>
    </row>
    <row r="1154" customFormat="false" ht="15" hidden="false" customHeight="false" outlineLevel="0" collapsed="false">
      <c r="A1154" s="0" t="s">
        <v>187</v>
      </c>
      <c r="B1154" s="14" t="n">
        <v>45796</v>
      </c>
      <c r="C1154" s="16" t="s">
        <v>1260</v>
      </c>
      <c r="D1154" s="7" t="n">
        <v>-11</v>
      </c>
      <c r="E1154" s="16" t="s">
        <v>206</v>
      </c>
      <c r="F1154" s="7" t="n">
        <v>12079.27</v>
      </c>
      <c r="G1154" s="16" t="s">
        <v>144</v>
      </c>
    </row>
    <row r="1155" customFormat="false" ht="15" hidden="false" customHeight="false" outlineLevel="0" collapsed="false">
      <c r="A1155" s="0" t="s">
        <v>187</v>
      </c>
      <c r="B1155" s="14" t="n">
        <v>45796</v>
      </c>
      <c r="C1155" s="16" t="s">
        <v>1261</v>
      </c>
      <c r="D1155" s="7" t="n">
        <v>-69.99</v>
      </c>
      <c r="E1155" s="16" t="s">
        <v>206</v>
      </c>
      <c r="F1155" s="7" t="n">
        <v>12090.27</v>
      </c>
      <c r="G1155" s="16" t="s">
        <v>67</v>
      </c>
    </row>
    <row r="1156" customFormat="false" ht="15" hidden="false" customHeight="false" outlineLevel="0" collapsed="false">
      <c r="A1156" s="0" t="s">
        <v>187</v>
      </c>
      <c r="B1156" s="14" t="n">
        <v>45793</v>
      </c>
      <c r="C1156" s="16" t="s">
        <v>1262</v>
      </c>
      <c r="D1156" s="7" t="n">
        <v>-1000</v>
      </c>
      <c r="E1156" s="16" t="s">
        <v>213</v>
      </c>
      <c r="F1156" s="7" t="n">
        <v>12160.26</v>
      </c>
      <c r="G1156" s="16" t="s">
        <v>97</v>
      </c>
    </row>
    <row r="1157" customFormat="false" ht="15" hidden="false" customHeight="false" outlineLevel="0" collapsed="false">
      <c r="A1157" s="0" t="s">
        <v>187</v>
      </c>
      <c r="B1157" s="14" t="n">
        <v>45793</v>
      </c>
      <c r="C1157" s="16" t="s">
        <v>1263</v>
      </c>
      <c r="D1157" s="7" t="n">
        <v>-104.01</v>
      </c>
      <c r="E1157" s="16" t="s">
        <v>193</v>
      </c>
      <c r="F1157" s="7" t="n">
        <v>13160.26</v>
      </c>
      <c r="G1157" s="16" t="s">
        <v>151</v>
      </c>
    </row>
    <row r="1158" customFormat="false" ht="15" hidden="false" customHeight="false" outlineLevel="0" collapsed="false">
      <c r="A1158" s="0" t="s">
        <v>187</v>
      </c>
      <c r="B1158" s="14" t="n">
        <v>45793</v>
      </c>
      <c r="C1158" s="16" t="s">
        <v>1264</v>
      </c>
      <c r="D1158" s="7" t="n">
        <v>-5.99</v>
      </c>
      <c r="E1158" s="16" t="s">
        <v>206</v>
      </c>
      <c r="F1158" s="7" t="n">
        <v>13264.27</v>
      </c>
      <c r="G1158" s="16" t="s">
        <v>144</v>
      </c>
    </row>
    <row r="1159" customFormat="false" ht="15" hidden="false" customHeight="false" outlineLevel="0" collapsed="false">
      <c r="A1159" s="0" t="s">
        <v>259</v>
      </c>
      <c r="B1159" s="14" t="n">
        <v>45793</v>
      </c>
      <c r="C1159" s="16" t="s">
        <v>1265</v>
      </c>
      <c r="D1159" s="7" t="n">
        <v>1399.46</v>
      </c>
      <c r="E1159" s="16" t="s">
        <v>1266</v>
      </c>
      <c r="F1159" s="7" t="n">
        <v>13270.26</v>
      </c>
      <c r="G1159" s="16" t="s">
        <v>180</v>
      </c>
    </row>
    <row r="1160" customFormat="false" ht="15" hidden="false" customHeight="false" outlineLevel="0" collapsed="false">
      <c r="A1160" s="0" t="s">
        <v>187</v>
      </c>
      <c r="B1160" s="14" t="n">
        <v>45792</v>
      </c>
      <c r="C1160" s="16" t="s">
        <v>1267</v>
      </c>
      <c r="D1160" s="7" t="n">
        <v>-199</v>
      </c>
      <c r="E1160" s="16" t="s">
        <v>206</v>
      </c>
      <c r="F1160" s="7" t="n">
        <v>11870.8</v>
      </c>
      <c r="G1160" s="16" t="s">
        <v>183</v>
      </c>
    </row>
    <row r="1161" customFormat="false" ht="15" hidden="false" customHeight="false" outlineLevel="0" collapsed="false">
      <c r="A1161" s="0" t="s">
        <v>187</v>
      </c>
      <c r="B1161" s="14" t="n">
        <v>45792</v>
      </c>
      <c r="C1161" s="16" t="s">
        <v>1268</v>
      </c>
      <c r="D1161" s="7" t="n">
        <v>-1.99</v>
      </c>
      <c r="E1161" s="16" t="s">
        <v>206</v>
      </c>
      <c r="F1161" s="7" t="n">
        <v>12069.8</v>
      </c>
      <c r="G1161" s="16" t="s">
        <v>144</v>
      </c>
    </row>
    <row r="1162" customFormat="false" ht="15" hidden="false" customHeight="false" outlineLevel="0" collapsed="false">
      <c r="A1162" s="0" t="s">
        <v>187</v>
      </c>
      <c r="B1162" s="14" t="n">
        <v>45792</v>
      </c>
      <c r="C1162" s="16" t="s">
        <v>1269</v>
      </c>
      <c r="D1162" s="7" t="n">
        <v>-8.99</v>
      </c>
      <c r="E1162" s="16" t="s">
        <v>206</v>
      </c>
      <c r="F1162" s="7" t="n">
        <v>12071.79</v>
      </c>
      <c r="G1162" s="16" t="s">
        <v>144</v>
      </c>
    </row>
    <row r="1163" customFormat="false" ht="15" hidden="false" customHeight="false" outlineLevel="0" collapsed="false">
      <c r="A1163" s="0" t="s">
        <v>187</v>
      </c>
      <c r="B1163" s="14" t="n">
        <v>45792</v>
      </c>
      <c r="C1163" s="16" t="s">
        <v>1270</v>
      </c>
      <c r="D1163" s="7" t="n">
        <v>-10.99</v>
      </c>
      <c r="E1163" s="16" t="s">
        <v>206</v>
      </c>
      <c r="F1163" s="7" t="n">
        <v>12080.78</v>
      </c>
      <c r="G1163" s="16" t="s">
        <v>144</v>
      </c>
    </row>
    <row r="1164" customFormat="false" ht="15" hidden="false" customHeight="false" outlineLevel="0" collapsed="false">
      <c r="A1164" s="0" t="s">
        <v>187</v>
      </c>
      <c r="B1164" s="14" t="n">
        <v>45792</v>
      </c>
      <c r="C1164" s="16" t="s">
        <v>1271</v>
      </c>
      <c r="D1164" s="7" t="n">
        <v>-605.88</v>
      </c>
      <c r="E1164" s="16" t="s">
        <v>206</v>
      </c>
      <c r="F1164" s="7" t="n">
        <v>12091.77</v>
      </c>
      <c r="G1164" s="16" t="s">
        <v>67</v>
      </c>
    </row>
    <row r="1165" customFormat="false" ht="15" hidden="false" customHeight="false" outlineLevel="0" collapsed="false">
      <c r="A1165" s="0" t="s">
        <v>187</v>
      </c>
      <c r="B1165" s="14" t="n">
        <v>45791</v>
      </c>
      <c r="C1165" s="16" t="s">
        <v>1272</v>
      </c>
      <c r="D1165" s="7" t="n">
        <v>-504.49</v>
      </c>
      <c r="E1165" s="16" t="s">
        <v>206</v>
      </c>
      <c r="F1165" s="7" t="n">
        <v>12697.65</v>
      </c>
      <c r="G1165" s="16" t="s">
        <v>67</v>
      </c>
    </row>
    <row r="1166" customFormat="false" ht="15" hidden="false" customHeight="false" outlineLevel="0" collapsed="false">
      <c r="A1166" s="0" t="s">
        <v>187</v>
      </c>
      <c r="B1166" s="14" t="n">
        <v>45791</v>
      </c>
      <c r="C1166" s="16" t="s">
        <v>1273</v>
      </c>
      <c r="D1166" s="7" t="n">
        <v>-500</v>
      </c>
      <c r="E1166" s="16" t="s">
        <v>224</v>
      </c>
      <c r="F1166" s="7" t="n">
        <v>13202.14</v>
      </c>
      <c r="G1166" s="16" t="s">
        <v>88</v>
      </c>
    </row>
    <row r="1167" customFormat="false" ht="15" hidden="false" customHeight="false" outlineLevel="0" collapsed="false">
      <c r="A1167" s="0" t="s">
        <v>187</v>
      </c>
      <c r="B1167" s="14" t="n">
        <v>45791</v>
      </c>
      <c r="C1167" s="16" t="s">
        <v>1274</v>
      </c>
      <c r="D1167" s="7" t="n">
        <v>-16</v>
      </c>
      <c r="E1167" s="16" t="s">
        <v>206</v>
      </c>
      <c r="F1167" s="7" t="n">
        <v>13702.14</v>
      </c>
      <c r="G1167" s="16" t="s">
        <v>144</v>
      </c>
    </row>
    <row r="1168" customFormat="false" ht="15" hidden="false" customHeight="false" outlineLevel="0" collapsed="false">
      <c r="A1168" s="0" t="s">
        <v>187</v>
      </c>
      <c r="B1168" s="14" t="n">
        <v>45791</v>
      </c>
      <c r="C1168" s="16" t="s">
        <v>1275</v>
      </c>
      <c r="D1168" s="7" t="n">
        <v>-98.58</v>
      </c>
      <c r="E1168" s="16" t="s">
        <v>206</v>
      </c>
      <c r="F1168" s="7" t="n">
        <v>13718.14</v>
      </c>
      <c r="G1168" s="16" t="s">
        <v>182</v>
      </c>
    </row>
    <row r="1169" customFormat="false" ht="15" hidden="false" customHeight="false" outlineLevel="0" collapsed="false">
      <c r="A1169" s="0" t="s">
        <v>187</v>
      </c>
      <c r="B1169" s="14" t="n">
        <v>45790</v>
      </c>
      <c r="C1169" s="16" t="s">
        <v>1276</v>
      </c>
      <c r="D1169" s="7" t="n">
        <v>-1250</v>
      </c>
      <c r="E1169" s="16" t="s">
        <v>193</v>
      </c>
      <c r="F1169" s="7" t="n">
        <v>13816.72</v>
      </c>
      <c r="G1169" s="16" t="s">
        <v>80</v>
      </c>
    </row>
    <row r="1170" customFormat="false" ht="15" hidden="false" customHeight="false" outlineLevel="0" collapsed="false">
      <c r="A1170" s="0" t="s">
        <v>187</v>
      </c>
      <c r="B1170" s="14" t="n">
        <v>45790</v>
      </c>
      <c r="C1170" s="16" t="s">
        <v>1277</v>
      </c>
      <c r="D1170" s="7" t="n">
        <v>-1000</v>
      </c>
      <c r="E1170" s="16" t="s">
        <v>213</v>
      </c>
      <c r="F1170" s="7" t="n">
        <v>15066.72</v>
      </c>
      <c r="G1170" s="16" t="s">
        <v>185</v>
      </c>
    </row>
    <row r="1171" customFormat="false" ht="15" hidden="false" customHeight="false" outlineLevel="0" collapsed="false">
      <c r="A1171" s="0" t="s">
        <v>187</v>
      </c>
      <c r="B1171" s="14" t="n">
        <v>45790</v>
      </c>
      <c r="C1171" s="16" t="s">
        <v>1278</v>
      </c>
      <c r="D1171" s="7" t="n">
        <v>-1533.71</v>
      </c>
      <c r="E1171" s="16" t="s">
        <v>193</v>
      </c>
      <c r="F1171" s="7" t="n">
        <v>16066.72</v>
      </c>
      <c r="G1171" s="16" t="s">
        <v>181</v>
      </c>
    </row>
    <row r="1172" customFormat="false" ht="15" hidden="false" customHeight="false" outlineLevel="0" collapsed="false">
      <c r="A1172" s="0" t="s">
        <v>187</v>
      </c>
      <c r="B1172" s="14" t="n">
        <v>45790</v>
      </c>
      <c r="C1172" s="16" t="s">
        <v>1279</v>
      </c>
      <c r="D1172" s="7" t="n">
        <v>-92.25</v>
      </c>
      <c r="E1172" s="16" t="s">
        <v>206</v>
      </c>
      <c r="F1172" s="7" t="n">
        <v>17600.43</v>
      </c>
      <c r="G1172" s="16" t="s">
        <v>179</v>
      </c>
    </row>
    <row r="1173" customFormat="false" ht="15" hidden="false" customHeight="false" outlineLevel="0" collapsed="false">
      <c r="A1173" s="0" t="s">
        <v>187</v>
      </c>
      <c r="B1173" s="14" t="n">
        <v>45790</v>
      </c>
      <c r="C1173" s="16" t="s">
        <v>1280</v>
      </c>
      <c r="D1173" s="7" t="n">
        <v>-12.7</v>
      </c>
      <c r="E1173" s="16" t="s">
        <v>206</v>
      </c>
      <c r="F1173" s="7" t="n">
        <v>17692.68</v>
      </c>
      <c r="G1173" s="16" t="s">
        <v>179</v>
      </c>
    </row>
    <row r="1174" customFormat="false" ht="15" hidden="false" customHeight="false" outlineLevel="0" collapsed="false">
      <c r="A1174" s="0" t="s">
        <v>187</v>
      </c>
      <c r="B1174" s="14" t="n">
        <v>45790</v>
      </c>
      <c r="C1174" s="16" t="s">
        <v>1281</v>
      </c>
      <c r="D1174" s="7" t="n">
        <v>-43.75</v>
      </c>
      <c r="E1174" s="16" t="s">
        <v>206</v>
      </c>
      <c r="F1174" s="7" t="n">
        <v>17705.38</v>
      </c>
      <c r="G1174" s="16" t="s">
        <v>75</v>
      </c>
    </row>
    <row r="1175" customFormat="false" ht="15" hidden="false" customHeight="false" outlineLevel="0" collapsed="false">
      <c r="A1175" s="0" t="s">
        <v>187</v>
      </c>
      <c r="B1175" s="14" t="n">
        <v>45790</v>
      </c>
      <c r="C1175" s="16" t="s">
        <v>1282</v>
      </c>
      <c r="D1175" s="7" t="n">
        <v>-18.99</v>
      </c>
      <c r="E1175" s="16" t="s">
        <v>206</v>
      </c>
      <c r="F1175" s="7" t="n">
        <v>17749.13</v>
      </c>
      <c r="G1175" s="16" t="s">
        <v>144</v>
      </c>
    </row>
    <row r="1176" customFormat="false" ht="15" hidden="false" customHeight="false" outlineLevel="0" collapsed="false">
      <c r="A1176" s="0" t="s">
        <v>259</v>
      </c>
      <c r="B1176" s="14" t="n">
        <v>45790</v>
      </c>
      <c r="C1176" s="16" t="s">
        <v>1283</v>
      </c>
      <c r="D1176" s="7" t="n">
        <v>10000</v>
      </c>
      <c r="E1176" s="16" t="s">
        <v>213</v>
      </c>
      <c r="F1176" s="7" t="n">
        <v>17768.12</v>
      </c>
      <c r="G1176" s="16" t="s">
        <v>43</v>
      </c>
    </row>
    <row r="1177" customFormat="false" ht="15" hidden="false" customHeight="false" outlineLevel="0" collapsed="false">
      <c r="A1177" s="0" t="s">
        <v>187</v>
      </c>
      <c r="B1177" s="14" t="n">
        <v>45789</v>
      </c>
      <c r="C1177" s="16" t="s">
        <v>1284</v>
      </c>
      <c r="D1177" s="7" t="n">
        <v>-85</v>
      </c>
      <c r="E1177" s="16" t="s">
        <v>193</v>
      </c>
      <c r="F1177" s="7" t="n">
        <v>7768.12</v>
      </c>
      <c r="G1177" s="16" t="s">
        <v>80</v>
      </c>
    </row>
    <row r="1178" customFormat="false" ht="15" hidden="false" customHeight="false" outlineLevel="0" collapsed="false">
      <c r="A1178" s="0" t="s">
        <v>187</v>
      </c>
      <c r="B1178" s="14" t="n">
        <v>45789</v>
      </c>
      <c r="C1178" s="16" t="s">
        <v>1285</v>
      </c>
      <c r="D1178" s="7" t="n">
        <v>-1249.96</v>
      </c>
      <c r="E1178" s="16" t="s">
        <v>193</v>
      </c>
      <c r="F1178" s="7" t="n">
        <v>7853.12</v>
      </c>
      <c r="G1178" s="16" t="s">
        <v>179</v>
      </c>
    </row>
    <row r="1179" customFormat="false" ht="15" hidden="false" customHeight="false" outlineLevel="0" collapsed="false">
      <c r="A1179" s="0" t="s">
        <v>187</v>
      </c>
      <c r="B1179" s="14" t="n">
        <v>45789</v>
      </c>
      <c r="C1179" s="16" t="s">
        <v>1286</v>
      </c>
      <c r="D1179" s="7" t="n">
        <v>-11.99</v>
      </c>
      <c r="E1179" s="16" t="s">
        <v>206</v>
      </c>
      <c r="F1179" s="7" t="n">
        <v>9103.08</v>
      </c>
      <c r="G1179" s="16" t="s">
        <v>79</v>
      </c>
    </row>
    <row r="1180" customFormat="false" ht="15" hidden="false" customHeight="false" outlineLevel="0" collapsed="false">
      <c r="A1180" s="0" t="s">
        <v>187</v>
      </c>
      <c r="B1180" s="14" t="n">
        <v>45789</v>
      </c>
      <c r="C1180" s="16" t="s">
        <v>1287</v>
      </c>
      <c r="D1180" s="7" t="n">
        <v>-2</v>
      </c>
      <c r="E1180" s="16" t="s">
        <v>206</v>
      </c>
      <c r="F1180" s="7" t="n">
        <v>9115.07</v>
      </c>
      <c r="G1180" s="16" t="s">
        <v>79</v>
      </c>
    </row>
    <row r="1181" customFormat="false" ht="15" hidden="false" customHeight="false" outlineLevel="0" collapsed="false">
      <c r="A1181" s="0" t="s">
        <v>187</v>
      </c>
      <c r="B1181" s="14" t="n">
        <v>45789</v>
      </c>
      <c r="C1181" s="16" t="s">
        <v>1288</v>
      </c>
      <c r="D1181" s="7" t="n">
        <v>-200</v>
      </c>
      <c r="E1181" s="16" t="s">
        <v>206</v>
      </c>
      <c r="F1181" s="7" t="n">
        <v>9117.07</v>
      </c>
      <c r="G1181" s="16" t="s">
        <v>72</v>
      </c>
    </row>
    <row r="1182" customFormat="false" ht="15" hidden="false" customHeight="false" outlineLevel="0" collapsed="false">
      <c r="A1182" s="0" t="s">
        <v>187</v>
      </c>
      <c r="B1182" s="14" t="n">
        <v>45789</v>
      </c>
      <c r="C1182" s="16" t="s">
        <v>1289</v>
      </c>
      <c r="D1182" s="7" t="n">
        <v>-23.98</v>
      </c>
      <c r="E1182" s="16" t="s">
        <v>206</v>
      </c>
      <c r="F1182" s="7" t="n">
        <v>9317.07</v>
      </c>
      <c r="G1182" s="16" t="s">
        <v>144</v>
      </c>
    </row>
    <row r="1183" customFormat="false" ht="15" hidden="false" customHeight="false" outlineLevel="0" collapsed="false">
      <c r="A1183" s="0" t="s">
        <v>187</v>
      </c>
      <c r="B1183" s="14" t="n">
        <v>45789</v>
      </c>
      <c r="C1183" s="16" t="s">
        <v>1290</v>
      </c>
      <c r="D1183" s="7" t="n">
        <v>-17.99</v>
      </c>
      <c r="E1183" s="16" t="s">
        <v>206</v>
      </c>
      <c r="F1183" s="7" t="n">
        <v>9341.05</v>
      </c>
      <c r="G1183" s="16" t="s">
        <v>144</v>
      </c>
    </row>
    <row r="1184" customFormat="false" ht="15" hidden="false" customHeight="false" outlineLevel="0" collapsed="false">
      <c r="A1184" s="0" t="s">
        <v>187</v>
      </c>
      <c r="B1184" s="14" t="n">
        <v>45789</v>
      </c>
      <c r="C1184" s="16" t="s">
        <v>1289</v>
      </c>
      <c r="D1184" s="7" t="n">
        <v>-29.99</v>
      </c>
      <c r="E1184" s="16" t="s">
        <v>206</v>
      </c>
      <c r="F1184" s="7" t="n">
        <v>9359.04</v>
      </c>
      <c r="G1184" s="16" t="s">
        <v>144</v>
      </c>
    </row>
    <row r="1185" customFormat="false" ht="15" hidden="false" customHeight="false" outlineLevel="0" collapsed="false">
      <c r="A1185" s="0" t="s">
        <v>187</v>
      </c>
      <c r="B1185" s="14" t="n">
        <v>45789</v>
      </c>
      <c r="C1185" s="16" t="s">
        <v>1291</v>
      </c>
      <c r="D1185" s="7" t="n">
        <v>-11.99</v>
      </c>
      <c r="E1185" s="16" t="s">
        <v>206</v>
      </c>
      <c r="F1185" s="7" t="n">
        <v>9389.03</v>
      </c>
      <c r="G1185" s="16" t="s">
        <v>144</v>
      </c>
    </row>
    <row r="1186" customFormat="false" ht="15" hidden="false" customHeight="false" outlineLevel="0" collapsed="false">
      <c r="A1186" s="0" t="s">
        <v>187</v>
      </c>
      <c r="B1186" s="14" t="n">
        <v>45785</v>
      </c>
      <c r="C1186" s="16" t="s">
        <v>188</v>
      </c>
      <c r="D1186" s="7" t="n">
        <v>-5</v>
      </c>
      <c r="E1186" s="16" t="s">
        <v>189</v>
      </c>
      <c r="F1186" s="7" t="n">
        <v>9401.02</v>
      </c>
      <c r="G1186" s="16" t="s">
        <v>65</v>
      </c>
    </row>
    <row r="1187" customFormat="false" ht="15" hidden="false" customHeight="false" outlineLevel="0" collapsed="false">
      <c r="A1187" s="0" t="s">
        <v>187</v>
      </c>
      <c r="B1187" s="14" t="n">
        <v>45785</v>
      </c>
      <c r="C1187" s="16" t="s">
        <v>1292</v>
      </c>
      <c r="D1187" s="7" t="n">
        <v>-750</v>
      </c>
      <c r="E1187" s="16" t="s">
        <v>191</v>
      </c>
      <c r="F1187" s="7" t="n">
        <v>9406.02</v>
      </c>
      <c r="G1187" s="16" t="s">
        <v>65</v>
      </c>
    </row>
    <row r="1188" customFormat="false" ht="15" hidden="false" customHeight="false" outlineLevel="0" collapsed="false">
      <c r="A1188" s="0" t="s">
        <v>187</v>
      </c>
      <c r="B1188" s="14" t="n">
        <v>45785</v>
      </c>
      <c r="C1188" s="16" t="s">
        <v>1293</v>
      </c>
      <c r="D1188" s="7" t="n">
        <v>-500</v>
      </c>
      <c r="E1188" s="16" t="s">
        <v>213</v>
      </c>
      <c r="F1188" s="7" t="n">
        <v>10156.02</v>
      </c>
      <c r="G1188" s="16" t="s">
        <v>58</v>
      </c>
    </row>
    <row r="1189" customFormat="false" ht="15" hidden="false" customHeight="false" outlineLevel="0" collapsed="false">
      <c r="A1189" s="0" t="s">
        <v>187</v>
      </c>
      <c r="B1189" s="14" t="n">
        <v>45785</v>
      </c>
      <c r="C1189" s="16" t="s">
        <v>1294</v>
      </c>
      <c r="D1189" s="7" t="n">
        <v>-5</v>
      </c>
      <c r="E1189" s="16" t="s">
        <v>206</v>
      </c>
      <c r="F1189" s="7" t="n">
        <v>10656.02</v>
      </c>
      <c r="G1189" s="16" t="s">
        <v>144</v>
      </c>
    </row>
    <row r="1190" customFormat="false" ht="15" hidden="false" customHeight="false" outlineLevel="0" collapsed="false">
      <c r="A1190" s="0" t="s">
        <v>187</v>
      </c>
      <c r="B1190" s="14" t="n">
        <v>45784</v>
      </c>
      <c r="C1190" s="16" t="s">
        <v>1295</v>
      </c>
      <c r="D1190" s="7" t="n">
        <v>-1825</v>
      </c>
      <c r="E1190" s="16" t="s">
        <v>215</v>
      </c>
      <c r="F1190" s="7" t="n">
        <v>10661.02</v>
      </c>
      <c r="G1190" s="16" t="s">
        <v>86</v>
      </c>
    </row>
    <row r="1191" customFormat="false" ht="15" hidden="false" customHeight="false" outlineLevel="0" collapsed="false">
      <c r="A1191" s="0" t="s">
        <v>187</v>
      </c>
      <c r="B1191" s="14" t="n">
        <v>45784</v>
      </c>
      <c r="C1191" s="16" t="s">
        <v>1296</v>
      </c>
      <c r="D1191" s="7" t="n">
        <v>-2000</v>
      </c>
      <c r="E1191" s="16" t="s">
        <v>213</v>
      </c>
      <c r="F1191" s="7" t="n">
        <v>12486.02</v>
      </c>
      <c r="G1191" s="16" t="s">
        <v>96</v>
      </c>
    </row>
    <row r="1192" customFormat="false" ht="15" hidden="false" customHeight="false" outlineLevel="0" collapsed="false">
      <c r="A1192" s="0" t="s">
        <v>187</v>
      </c>
      <c r="B1192" s="14" t="n">
        <v>45784</v>
      </c>
      <c r="C1192" s="16" t="s">
        <v>1297</v>
      </c>
      <c r="D1192" s="7" t="n">
        <v>-2000</v>
      </c>
      <c r="E1192" s="16" t="s">
        <v>215</v>
      </c>
      <c r="F1192" s="7" t="n">
        <v>14486.02</v>
      </c>
      <c r="G1192" s="16" t="s">
        <v>86</v>
      </c>
    </row>
    <row r="1193" customFormat="false" ht="15" hidden="false" customHeight="false" outlineLevel="0" collapsed="false">
      <c r="A1193" s="0" t="s">
        <v>259</v>
      </c>
      <c r="B1193" s="14" t="n">
        <v>45784</v>
      </c>
      <c r="C1193" s="16" t="s">
        <v>1298</v>
      </c>
      <c r="D1193" s="7" t="n">
        <v>10000</v>
      </c>
      <c r="E1193" s="16" t="s">
        <v>213</v>
      </c>
      <c r="F1193" s="7" t="n">
        <v>16486.02</v>
      </c>
      <c r="G1193" s="16" t="s">
        <v>43</v>
      </c>
    </row>
    <row r="1194" customFormat="false" ht="15" hidden="false" customHeight="false" outlineLevel="0" collapsed="false">
      <c r="A1194" s="0" t="s">
        <v>187</v>
      </c>
      <c r="B1194" s="14" t="n">
        <v>45783</v>
      </c>
      <c r="C1194" s="16" t="s">
        <v>1299</v>
      </c>
      <c r="D1194" s="7" t="n">
        <v>-400</v>
      </c>
      <c r="E1194" s="16" t="s">
        <v>193</v>
      </c>
      <c r="F1194" s="7" t="n">
        <v>6486.02</v>
      </c>
      <c r="G1194" s="16" t="s">
        <v>80</v>
      </c>
    </row>
    <row r="1195" customFormat="false" ht="15" hidden="false" customHeight="false" outlineLevel="0" collapsed="false">
      <c r="A1195" s="0" t="s">
        <v>187</v>
      </c>
      <c r="B1195" s="14" t="n">
        <v>45783</v>
      </c>
      <c r="C1195" s="16" t="s">
        <v>1300</v>
      </c>
      <c r="D1195" s="7" t="n">
        <v>-233.76</v>
      </c>
      <c r="E1195" s="16" t="s">
        <v>206</v>
      </c>
      <c r="F1195" s="7" t="n">
        <v>6886.02</v>
      </c>
      <c r="G1195" s="16" t="s">
        <v>67</v>
      </c>
    </row>
    <row r="1196" customFormat="false" ht="15" hidden="false" customHeight="false" outlineLevel="0" collapsed="false">
      <c r="A1196" s="0" t="s">
        <v>187</v>
      </c>
      <c r="B1196" s="14" t="n">
        <v>45783</v>
      </c>
      <c r="C1196" s="16" t="s">
        <v>1301</v>
      </c>
      <c r="D1196" s="7" t="n">
        <v>-87.5</v>
      </c>
      <c r="E1196" s="16" t="s">
        <v>206</v>
      </c>
      <c r="F1196" s="7" t="n">
        <v>7119.78</v>
      </c>
      <c r="G1196" s="16" t="s">
        <v>75</v>
      </c>
    </row>
    <row r="1197" customFormat="false" ht="15" hidden="false" customHeight="false" outlineLevel="0" collapsed="false">
      <c r="A1197" s="0" t="s">
        <v>187</v>
      </c>
      <c r="B1197" s="14" t="n">
        <v>45782</v>
      </c>
      <c r="C1197" s="16" t="s">
        <v>1302</v>
      </c>
      <c r="D1197" s="7" t="n">
        <v>-150</v>
      </c>
      <c r="E1197" s="16" t="s">
        <v>193</v>
      </c>
      <c r="F1197" s="7" t="n">
        <v>7207.28</v>
      </c>
      <c r="G1197" s="16" t="s">
        <v>80</v>
      </c>
    </row>
    <row r="1198" customFormat="false" ht="15" hidden="false" customHeight="false" outlineLevel="0" collapsed="false">
      <c r="A1198" s="0" t="s">
        <v>187</v>
      </c>
      <c r="B1198" s="14" t="n">
        <v>45782</v>
      </c>
      <c r="C1198" s="16" t="s">
        <v>1303</v>
      </c>
      <c r="D1198" s="7" t="n">
        <v>-1000</v>
      </c>
      <c r="E1198" s="16" t="s">
        <v>193</v>
      </c>
      <c r="F1198" s="7" t="n">
        <v>7357.28</v>
      </c>
      <c r="G1198" s="16" t="s">
        <v>80</v>
      </c>
    </row>
    <row r="1199" customFormat="false" ht="15" hidden="false" customHeight="false" outlineLevel="0" collapsed="false">
      <c r="A1199" s="0" t="s">
        <v>187</v>
      </c>
      <c r="B1199" s="14" t="n">
        <v>45782</v>
      </c>
      <c r="C1199" s="16" t="s">
        <v>1304</v>
      </c>
      <c r="D1199" s="7" t="n">
        <v>-8.99</v>
      </c>
      <c r="E1199" s="16" t="s">
        <v>206</v>
      </c>
      <c r="F1199" s="7" t="n">
        <v>8357.28</v>
      </c>
      <c r="G1199" s="16" t="s">
        <v>144</v>
      </c>
    </row>
    <row r="1200" customFormat="false" ht="15" hidden="false" customHeight="false" outlineLevel="0" collapsed="false">
      <c r="A1200" s="0" t="s">
        <v>187</v>
      </c>
      <c r="B1200" s="14" t="n">
        <v>45782</v>
      </c>
      <c r="C1200" s="16" t="s">
        <v>1305</v>
      </c>
      <c r="D1200" s="7" t="n">
        <v>-5000</v>
      </c>
      <c r="E1200" s="16" t="s">
        <v>215</v>
      </c>
      <c r="F1200" s="7" t="n">
        <v>8366.27</v>
      </c>
      <c r="G1200" s="16" t="s">
        <v>86</v>
      </c>
    </row>
    <row r="1201" customFormat="false" ht="15" hidden="false" customHeight="false" outlineLevel="0" collapsed="false">
      <c r="A1201" s="0" t="s">
        <v>187</v>
      </c>
      <c r="B1201" s="14" t="n">
        <v>45782</v>
      </c>
      <c r="C1201" s="16" t="s">
        <v>1306</v>
      </c>
      <c r="D1201" s="7" t="n">
        <v>-300</v>
      </c>
      <c r="E1201" s="16" t="s">
        <v>213</v>
      </c>
      <c r="F1201" s="7" t="n">
        <v>13366.27</v>
      </c>
      <c r="G1201" s="16" t="s">
        <v>185</v>
      </c>
    </row>
    <row r="1202" customFormat="false" ht="15" hidden="false" customHeight="false" outlineLevel="0" collapsed="false">
      <c r="A1202" s="0" t="s">
        <v>187</v>
      </c>
      <c r="B1202" s="14" t="n">
        <v>45782</v>
      </c>
      <c r="C1202" s="16" t="s">
        <v>1307</v>
      </c>
      <c r="D1202" s="7" t="n">
        <v>-300</v>
      </c>
      <c r="E1202" s="16" t="s">
        <v>206</v>
      </c>
      <c r="F1202" s="7" t="n">
        <v>13666.27</v>
      </c>
      <c r="G1202" s="16" t="s">
        <v>121</v>
      </c>
    </row>
    <row r="1203" customFormat="false" ht="15" hidden="false" customHeight="false" outlineLevel="0" collapsed="false">
      <c r="A1203" s="0" t="s">
        <v>187</v>
      </c>
      <c r="B1203" s="14" t="n">
        <v>45782</v>
      </c>
      <c r="C1203" s="16" t="s">
        <v>1308</v>
      </c>
      <c r="D1203" s="7" t="n">
        <v>-29.99</v>
      </c>
      <c r="E1203" s="16" t="s">
        <v>206</v>
      </c>
      <c r="F1203" s="7" t="n">
        <v>13966.27</v>
      </c>
      <c r="G1203" s="16" t="s">
        <v>144</v>
      </c>
    </row>
    <row r="1204" customFormat="false" ht="15" hidden="false" customHeight="false" outlineLevel="0" collapsed="false">
      <c r="A1204" s="0" t="s">
        <v>187</v>
      </c>
      <c r="B1204" s="14" t="n">
        <v>45782</v>
      </c>
      <c r="C1204" s="16" t="s">
        <v>1309</v>
      </c>
      <c r="D1204" s="7" t="n">
        <v>-10.78</v>
      </c>
      <c r="E1204" s="16" t="s">
        <v>206</v>
      </c>
      <c r="F1204" s="7" t="n">
        <v>13996.26</v>
      </c>
      <c r="G1204" s="16" t="s">
        <v>116</v>
      </c>
    </row>
    <row r="1205" customFormat="false" ht="15" hidden="false" customHeight="false" outlineLevel="0" collapsed="false">
      <c r="A1205" s="0" t="s">
        <v>187</v>
      </c>
      <c r="B1205" s="14" t="n">
        <v>45782</v>
      </c>
      <c r="C1205" s="16" t="s">
        <v>1308</v>
      </c>
      <c r="D1205" s="7" t="n">
        <v>-3.99</v>
      </c>
      <c r="E1205" s="16" t="s">
        <v>206</v>
      </c>
      <c r="F1205" s="7" t="n">
        <v>14007.04</v>
      </c>
      <c r="G1205" s="16" t="s">
        <v>144</v>
      </c>
    </row>
    <row r="1206" customFormat="false" ht="15" hidden="false" customHeight="false" outlineLevel="0" collapsed="false">
      <c r="A1206" s="0" t="s">
        <v>187</v>
      </c>
      <c r="B1206" s="14" t="n">
        <v>45782</v>
      </c>
      <c r="C1206" s="16" t="s">
        <v>1308</v>
      </c>
      <c r="D1206" s="7" t="n">
        <v>-12.99</v>
      </c>
      <c r="E1206" s="16" t="s">
        <v>206</v>
      </c>
      <c r="F1206" s="7" t="n">
        <v>14011.03</v>
      </c>
      <c r="G1206" s="16" t="s">
        <v>144</v>
      </c>
    </row>
    <row r="1207" customFormat="false" ht="15" hidden="false" customHeight="false" outlineLevel="0" collapsed="false">
      <c r="A1207" s="0" t="s">
        <v>187</v>
      </c>
      <c r="B1207" s="14" t="n">
        <v>45782</v>
      </c>
      <c r="C1207" s="16" t="s">
        <v>1310</v>
      </c>
      <c r="D1207" s="7" t="n">
        <v>-101.99</v>
      </c>
      <c r="E1207" s="16" t="s">
        <v>206</v>
      </c>
      <c r="F1207" s="7" t="n">
        <v>14024.02</v>
      </c>
      <c r="G1207" s="16" t="s">
        <v>144</v>
      </c>
    </row>
    <row r="1208" customFormat="false" ht="15" hidden="false" customHeight="false" outlineLevel="0" collapsed="false">
      <c r="A1208" s="0" t="s">
        <v>187</v>
      </c>
      <c r="B1208" s="14" t="n">
        <v>45779</v>
      </c>
      <c r="C1208" s="16" t="s">
        <v>1311</v>
      </c>
      <c r="D1208" s="7" t="n">
        <v>-84.69</v>
      </c>
      <c r="E1208" s="16" t="s">
        <v>206</v>
      </c>
      <c r="F1208" s="7" t="n">
        <v>14126.01</v>
      </c>
      <c r="G1208" s="16" t="s">
        <v>179</v>
      </c>
    </row>
    <row r="1209" customFormat="false" ht="15" hidden="false" customHeight="false" outlineLevel="0" collapsed="false">
      <c r="A1209" s="0" t="s">
        <v>187</v>
      </c>
      <c r="B1209" s="14" t="n">
        <v>45779</v>
      </c>
      <c r="C1209" s="16" t="s">
        <v>1311</v>
      </c>
      <c r="D1209" s="7" t="n">
        <v>-12.85</v>
      </c>
      <c r="E1209" s="16" t="s">
        <v>206</v>
      </c>
      <c r="F1209" s="7" t="n">
        <v>14210.7</v>
      </c>
      <c r="G1209" s="16" t="s">
        <v>179</v>
      </c>
    </row>
    <row r="1210" customFormat="false" ht="15" hidden="false" customHeight="false" outlineLevel="0" collapsed="false">
      <c r="A1210" s="0" t="s">
        <v>187</v>
      </c>
      <c r="B1210" s="14" t="n">
        <v>45779</v>
      </c>
      <c r="C1210" s="16" t="s">
        <v>1312</v>
      </c>
      <c r="D1210" s="7" t="n">
        <v>-80.89</v>
      </c>
      <c r="E1210" s="16" t="s">
        <v>206</v>
      </c>
      <c r="F1210" s="7" t="n">
        <v>14223.55</v>
      </c>
      <c r="G1210" s="16" t="s">
        <v>182</v>
      </c>
    </row>
    <row r="1211" customFormat="false" ht="15" hidden="false" customHeight="false" outlineLevel="0" collapsed="false">
      <c r="A1211" s="0" t="s">
        <v>187</v>
      </c>
      <c r="B1211" s="14" t="n">
        <v>45779</v>
      </c>
      <c r="C1211" s="16" t="s">
        <v>1313</v>
      </c>
      <c r="D1211" s="7" t="n">
        <v>-15.99</v>
      </c>
      <c r="E1211" s="16" t="s">
        <v>206</v>
      </c>
      <c r="F1211" s="7" t="n">
        <v>14304.44</v>
      </c>
      <c r="G1211" s="16" t="s">
        <v>144</v>
      </c>
    </row>
    <row r="1212" customFormat="false" ht="15" hidden="false" customHeight="false" outlineLevel="0" collapsed="false">
      <c r="A1212" s="0" t="s">
        <v>187</v>
      </c>
      <c r="B1212" s="14" t="n">
        <v>45779</v>
      </c>
      <c r="C1212" s="16" t="s">
        <v>1314</v>
      </c>
      <c r="D1212" s="7" t="n">
        <v>-14.4</v>
      </c>
      <c r="E1212" s="16" t="s">
        <v>206</v>
      </c>
      <c r="F1212" s="7" t="n">
        <v>14320.43</v>
      </c>
      <c r="G1212" s="16" t="s">
        <v>144</v>
      </c>
    </row>
    <row r="1213" customFormat="false" ht="15" hidden="false" customHeight="false" outlineLevel="0" collapsed="false">
      <c r="A1213" s="0" t="s">
        <v>187</v>
      </c>
      <c r="B1213" s="14" t="n">
        <v>45779</v>
      </c>
      <c r="C1213" s="16" t="s">
        <v>1315</v>
      </c>
      <c r="D1213" s="7" t="n">
        <v>-18.99</v>
      </c>
      <c r="E1213" s="16" t="s">
        <v>206</v>
      </c>
      <c r="F1213" s="7" t="n">
        <v>14334.83</v>
      </c>
      <c r="G1213" s="16" t="s">
        <v>144</v>
      </c>
    </row>
    <row r="1214" customFormat="false" ht="15" hidden="false" customHeight="false" outlineLevel="0" collapsed="false">
      <c r="A1214" s="0" t="s">
        <v>187</v>
      </c>
      <c r="B1214" s="14" t="n">
        <v>45778</v>
      </c>
      <c r="C1214" s="16" t="s">
        <v>1316</v>
      </c>
      <c r="D1214" s="7" t="n">
        <v>-12.5</v>
      </c>
      <c r="E1214" s="16" t="s">
        <v>189</v>
      </c>
      <c r="F1214" s="7" t="n">
        <v>14353.82</v>
      </c>
      <c r="G1214" s="16" t="s">
        <v>175</v>
      </c>
    </row>
    <row r="1215" customFormat="false" ht="15" hidden="false" customHeight="false" outlineLevel="0" collapsed="false">
      <c r="A1215" s="0" t="s">
        <v>187</v>
      </c>
      <c r="B1215" s="14" t="n">
        <v>45778</v>
      </c>
      <c r="C1215" s="16" t="s">
        <v>1317</v>
      </c>
      <c r="D1215" s="7" t="n">
        <v>-1250</v>
      </c>
      <c r="E1215" s="16" t="s">
        <v>193</v>
      </c>
      <c r="F1215" s="7" t="n">
        <v>14366.32</v>
      </c>
      <c r="G1215" s="16" t="s">
        <v>80</v>
      </c>
    </row>
    <row r="1216" customFormat="false" ht="15" hidden="false" customHeight="false" outlineLevel="0" collapsed="false">
      <c r="A1216" s="0" t="s">
        <v>187</v>
      </c>
      <c r="B1216" s="14" t="n">
        <v>45778</v>
      </c>
      <c r="C1216" s="16" t="s">
        <v>1318</v>
      </c>
      <c r="D1216" s="7" t="n">
        <v>-558.58</v>
      </c>
      <c r="E1216" s="16" t="s">
        <v>193</v>
      </c>
      <c r="F1216" s="7" t="n">
        <v>15616.32</v>
      </c>
      <c r="G1216" s="16" t="s">
        <v>181</v>
      </c>
    </row>
    <row r="1217" customFormat="false" ht="15" hidden="false" customHeight="false" outlineLevel="0" collapsed="false">
      <c r="A1217" s="0" t="s">
        <v>187</v>
      </c>
      <c r="B1217" s="14" t="n">
        <v>45778</v>
      </c>
      <c r="C1217" s="16" t="s">
        <v>1319</v>
      </c>
      <c r="D1217" s="7" t="n">
        <v>-870.55</v>
      </c>
      <c r="E1217" s="16" t="s">
        <v>193</v>
      </c>
      <c r="F1217" s="7" t="n">
        <v>16174.9</v>
      </c>
      <c r="G1217" s="16" t="s">
        <v>184</v>
      </c>
    </row>
    <row r="1218" customFormat="false" ht="15" hidden="false" customHeight="false" outlineLevel="0" collapsed="false">
      <c r="A1218" s="0" t="s">
        <v>187</v>
      </c>
      <c r="B1218" s="14" t="n">
        <v>45778</v>
      </c>
      <c r="C1218" s="16" t="s">
        <v>1320</v>
      </c>
      <c r="D1218" s="7" t="n">
        <v>-71.41</v>
      </c>
      <c r="E1218" s="16" t="s">
        <v>206</v>
      </c>
      <c r="F1218" s="7" t="n">
        <v>17045.45</v>
      </c>
      <c r="G1218" s="16" t="s">
        <v>179</v>
      </c>
    </row>
    <row r="1219" customFormat="false" ht="15" hidden="false" customHeight="false" outlineLevel="0" collapsed="false">
      <c r="A1219" s="0" t="s">
        <v>187</v>
      </c>
      <c r="B1219" s="14" t="n">
        <v>45778</v>
      </c>
      <c r="C1219" s="16" t="s">
        <v>1320</v>
      </c>
      <c r="D1219" s="7" t="n">
        <v>-20</v>
      </c>
      <c r="E1219" s="16" t="s">
        <v>206</v>
      </c>
      <c r="F1219" s="7" t="n">
        <v>17116.86</v>
      </c>
      <c r="G1219" s="16" t="s">
        <v>179</v>
      </c>
    </row>
    <row r="1220" customFormat="false" ht="15" hidden="false" customHeight="false" outlineLevel="0" collapsed="false">
      <c r="A1220" s="0" t="s">
        <v>187</v>
      </c>
      <c r="B1220" s="14" t="n">
        <v>45778</v>
      </c>
      <c r="C1220" s="16" t="s">
        <v>1321</v>
      </c>
      <c r="D1220" s="7" t="n">
        <v>-18.99</v>
      </c>
      <c r="E1220" s="16" t="s">
        <v>206</v>
      </c>
      <c r="F1220" s="7" t="n">
        <v>17136.86</v>
      </c>
      <c r="G1220" s="16" t="s">
        <v>144</v>
      </c>
    </row>
    <row r="1221" customFormat="false" ht="15" hidden="false" customHeight="false" outlineLevel="0" collapsed="false">
      <c r="A1221" s="0" t="s">
        <v>187</v>
      </c>
      <c r="B1221" s="14" t="n">
        <v>45777</v>
      </c>
      <c r="C1221" s="16" t="s">
        <v>1322</v>
      </c>
      <c r="D1221" s="7" t="n">
        <v>-2524</v>
      </c>
      <c r="E1221" s="16" t="s">
        <v>193</v>
      </c>
      <c r="F1221" s="7" t="n">
        <v>17155.85</v>
      </c>
      <c r="G1221" s="16" t="s">
        <v>102</v>
      </c>
    </row>
    <row r="1222" customFormat="false" ht="15" hidden="false" customHeight="false" outlineLevel="0" collapsed="false">
      <c r="A1222" s="0" t="s">
        <v>187</v>
      </c>
      <c r="B1222" s="14" t="n">
        <v>45777</v>
      </c>
      <c r="C1222" s="16" t="s">
        <v>1323</v>
      </c>
      <c r="D1222" s="7" t="n">
        <v>-7010</v>
      </c>
      <c r="E1222" s="16" t="s">
        <v>208</v>
      </c>
      <c r="F1222" s="7" t="n">
        <v>19679.85</v>
      </c>
      <c r="G1222" s="16" t="s">
        <v>134</v>
      </c>
    </row>
    <row r="1223" customFormat="false" ht="15" hidden="false" customHeight="false" outlineLevel="0" collapsed="false">
      <c r="A1223" s="0" t="s">
        <v>187</v>
      </c>
      <c r="B1223" s="14" t="n">
        <v>45777</v>
      </c>
      <c r="C1223" s="16" t="s">
        <v>1324</v>
      </c>
      <c r="D1223" s="7" t="n">
        <v>-412</v>
      </c>
      <c r="E1223" s="16" t="s">
        <v>208</v>
      </c>
      <c r="F1223" s="7" t="n">
        <v>26689.85</v>
      </c>
      <c r="G1223" s="16" t="s">
        <v>180</v>
      </c>
    </row>
    <row r="1224" customFormat="false" ht="15" hidden="false" customHeight="false" outlineLevel="0" collapsed="false">
      <c r="A1224" s="0" t="s">
        <v>187</v>
      </c>
      <c r="B1224" s="14" t="n">
        <v>45777</v>
      </c>
      <c r="C1224" s="16" t="s">
        <v>1325</v>
      </c>
      <c r="D1224" s="7" t="n">
        <v>-200</v>
      </c>
      <c r="E1224" s="16" t="s">
        <v>215</v>
      </c>
      <c r="F1224" s="7" t="n">
        <v>27101.85</v>
      </c>
      <c r="G1224" s="16" t="s">
        <v>86</v>
      </c>
    </row>
    <row r="1225" customFormat="false" ht="15" hidden="false" customHeight="false" outlineLevel="0" collapsed="false">
      <c r="A1225" s="0" t="s">
        <v>187</v>
      </c>
      <c r="B1225" s="14" t="n">
        <v>45777</v>
      </c>
      <c r="C1225" s="16" t="s">
        <v>1326</v>
      </c>
      <c r="D1225" s="7" t="n">
        <v>-34.6</v>
      </c>
      <c r="E1225" s="16" t="s">
        <v>206</v>
      </c>
      <c r="F1225" s="7" t="n">
        <v>27301.85</v>
      </c>
      <c r="G1225" s="16" t="s">
        <v>182</v>
      </c>
    </row>
    <row r="1226" customFormat="false" ht="15" hidden="false" customHeight="false" outlineLevel="0" collapsed="false">
      <c r="A1226" s="0" t="s">
        <v>187</v>
      </c>
      <c r="B1226" s="14" t="n">
        <v>45776</v>
      </c>
      <c r="C1226" s="16" t="s">
        <v>1327</v>
      </c>
      <c r="D1226" s="7" t="n">
        <v>-375</v>
      </c>
      <c r="E1226" s="16" t="s">
        <v>193</v>
      </c>
      <c r="F1226" s="7" t="n">
        <v>27336.45</v>
      </c>
      <c r="G1226" s="16" t="s">
        <v>80</v>
      </c>
    </row>
    <row r="1227" customFormat="false" ht="15" hidden="false" customHeight="false" outlineLevel="0" collapsed="false">
      <c r="A1227" s="0" t="s">
        <v>187</v>
      </c>
      <c r="B1227" s="14" t="n">
        <v>45776</v>
      </c>
      <c r="C1227" s="16" t="s">
        <v>1328</v>
      </c>
      <c r="D1227" s="7" t="n">
        <v>-5000</v>
      </c>
      <c r="E1227" s="16" t="s">
        <v>213</v>
      </c>
      <c r="F1227" s="7" t="n">
        <v>27711.45</v>
      </c>
      <c r="G1227" s="16" t="s">
        <v>96</v>
      </c>
    </row>
    <row r="1228" customFormat="false" ht="15" hidden="false" customHeight="false" outlineLevel="0" collapsed="false">
      <c r="A1228" s="0" t="s">
        <v>187</v>
      </c>
      <c r="B1228" s="14" t="n">
        <v>45776</v>
      </c>
      <c r="C1228" s="16" t="s">
        <v>1329</v>
      </c>
      <c r="D1228" s="7" t="n">
        <v>-1000</v>
      </c>
      <c r="E1228" s="16" t="s">
        <v>213</v>
      </c>
      <c r="F1228" s="7" t="n">
        <v>32711.45</v>
      </c>
      <c r="G1228" s="16" t="s">
        <v>97</v>
      </c>
    </row>
    <row r="1229" customFormat="false" ht="15" hidden="false" customHeight="false" outlineLevel="0" collapsed="false">
      <c r="A1229" s="0" t="s">
        <v>187</v>
      </c>
      <c r="B1229" s="14" t="n">
        <v>45776</v>
      </c>
      <c r="C1229" s="16" t="s">
        <v>1330</v>
      </c>
      <c r="D1229" s="7" t="n">
        <v>-8000</v>
      </c>
      <c r="E1229" s="16" t="s">
        <v>213</v>
      </c>
      <c r="F1229" s="7" t="n">
        <v>33711.45</v>
      </c>
      <c r="G1229" s="16" t="s">
        <v>98</v>
      </c>
    </row>
    <row r="1230" customFormat="false" ht="15" hidden="false" customHeight="false" outlineLevel="0" collapsed="false">
      <c r="A1230" s="0" t="s">
        <v>187</v>
      </c>
      <c r="B1230" s="14" t="n">
        <v>45776</v>
      </c>
      <c r="C1230" s="16" t="s">
        <v>1331</v>
      </c>
      <c r="D1230" s="7" t="n">
        <v>-2000</v>
      </c>
      <c r="E1230" s="16" t="s">
        <v>213</v>
      </c>
      <c r="F1230" s="7" t="n">
        <v>41711.45</v>
      </c>
      <c r="G1230" s="16" t="s">
        <v>96</v>
      </c>
    </row>
    <row r="1231" customFormat="false" ht="15" hidden="false" customHeight="false" outlineLevel="0" collapsed="false">
      <c r="A1231" s="0" t="s">
        <v>187</v>
      </c>
      <c r="B1231" s="14" t="n">
        <v>45776</v>
      </c>
      <c r="C1231" s="16" t="s">
        <v>1332</v>
      </c>
      <c r="D1231" s="7" t="n">
        <v>-770.98</v>
      </c>
      <c r="E1231" s="16" t="s">
        <v>193</v>
      </c>
      <c r="F1231" s="7" t="n">
        <v>43711.45</v>
      </c>
      <c r="G1231" s="16" t="s">
        <v>181</v>
      </c>
    </row>
    <row r="1232" customFormat="false" ht="15" hidden="false" customHeight="false" outlineLevel="0" collapsed="false">
      <c r="A1232" s="0" t="s">
        <v>187</v>
      </c>
      <c r="B1232" s="14" t="n">
        <v>45776</v>
      </c>
      <c r="C1232" s="16" t="s">
        <v>1333</v>
      </c>
      <c r="D1232" s="7" t="n">
        <v>-1399.46</v>
      </c>
      <c r="E1232" s="16" t="s">
        <v>193</v>
      </c>
      <c r="F1232" s="7" t="n">
        <v>44482.43</v>
      </c>
      <c r="G1232" s="16" t="s">
        <v>180</v>
      </c>
    </row>
    <row r="1233" customFormat="false" ht="15" hidden="false" customHeight="false" outlineLevel="0" collapsed="false">
      <c r="A1233" s="0" t="s">
        <v>187</v>
      </c>
      <c r="B1233" s="14" t="n">
        <v>45776</v>
      </c>
      <c r="C1233" s="16" t="s">
        <v>1334</v>
      </c>
      <c r="D1233" s="7" t="n">
        <v>-10</v>
      </c>
      <c r="E1233" s="16" t="s">
        <v>206</v>
      </c>
      <c r="F1233" s="7" t="n">
        <v>45881.89</v>
      </c>
      <c r="G1233" s="16" t="s">
        <v>79</v>
      </c>
    </row>
    <row r="1234" customFormat="false" ht="15" hidden="false" customHeight="false" outlineLevel="0" collapsed="false">
      <c r="A1234" s="0" t="s">
        <v>187</v>
      </c>
      <c r="B1234" s="14" t="n">
        <v>45776</v>
      </c>
      <c r="C1234" s="16" t="s">
        <v>1335</v>
      </c>
      <c r="D1234" s="7" t="n">
        <v>-105</v>
      </c>
      <c r="E1234" s="16" t="s">
        <v>206</v>
      </c>
      <c r="F1234" s="7" t="n">
        <v>45891.89</v>
      </c>
      <c r="G1234" s="16" t="s">
        <v>75</v>
      </c>
    </row>
    <row r="1235" customFormat="false" ht="15" hidden="false" customHeight="false" outlineLevel="0" collapsed="false">
      <c r="A1235" s="0" t="s">
        <v>187</v>
      </c>
      <c r="B1235" s="14" t="n">
        <v>45776</v>
      </c>
      <c r="C1235" s="16" t="s">
        <v>1336</v>
      </c>
      <c r="D1235" s="7" t="n">
        <v>-2</v>
      </c>
      <c r="E1235" s="16" t="s">
        <v>206</v>
      </c>
      <c r="F1235" s="7" t="n">
        <v>45996.89</v>
      </c>
      <c r="G1235" s="16" t="s">
        <v>79</v>
      </c>
    </row>
    <row r="1236" customFormat="false" ht="15" hidden="false" customHeight="false" outlineLevel="0" collapsed="false">
      <c r="A1236" s="0" t="s">
        <v>259</v>
      </c>
      <c r="B1236" s="14" t="n">
        <v>45776</v>
      </c>
      <c r="C1236" s="16" t="s">
        <v>1337</v>
      </c>
      <c r="D1236" s="7" t="n">
        <v>30000</v>
      </c>
      <c r="E1236" s="16" t="s">
        <v>213</v>
      </c>
      <c r="F1236" s="7" t="n">
        <v>45998.89</v>
      </c>
      <c r="G1236" s="16" t="s">
        <v>43</v>
      </c>
    </row>
    <row r="1237" customFormat="false" ht="15" hidden="false" customHeight="false" outlineLevel="0" collapsed="false">
      <c r="A1237" s="0" t="s">
        <v>187</v>
      </c>
      <c r="B1237" s="14" t="n">
        <v>45775</v>
      </c>
      <c r="C1237" s="16" t="s">
        <v>1338</v>
      </c>
      <c r="D1237" s="7" t="n">
        <v>-33.96</v>
      </c>
      <c r="E1237" s="16" t="s">
        <v>193</v>
      </c>
      <c r="F1237" s="7" t="n">
        <v>15998.89</v>
      </c>
      <c r="G1237" s="16" t="s">
        <v>101</v>
      </c>
    </row>
    <row r="1238" customFormat="false" ht="15" hidden="false" customHeight="false" outlineLevel="0" collapsed="false">
      <c r="A1238" s="0" t="s">
        <v>187</v>
      </c>
      <c r="B1238" s="14" t="n">
        <v>45775</v>
      </c>
      <c r="C1238" s="16" t="s">
        <v>1339</v>
      </c>
      <c r="D1238" s="7" t="n">
        <v>-12.5</v>
      </c>
      <c r="E1238" s="16" t="s">
        <v>193</v>
      </c>
      <c r="F1238" s="7" t="n">
        <v>16032.85</v>
      </c>
      <c r="G1238" s="16" t="s">
        <v>142</v>
      </c>
    </row>
    <row r="1239" customFormat="false" ht="15" hidden="false" customHeight="false" outlineLevel="0" collapsed="false">
      <c r="A1239" s="0" t="s">
        <v>187</v>
      </c>
      <c r="B1239" s="14" t="n">
        <v>45775</v>
      </c>
      <c r="C1239" s="16" t="s">
        <v>1340</v>
      </c>
      <c r="D1239" s="7" t="n">
        <v>-20</v>
      </c>
      <c r="E1239" s="16" t="s">
        <v>193</v>
      </c>
      <c r="F1239" s="7" t="n">
        <v>16045.35</v>
      </c>
      <c r="G1239" s="16" t="s">
        <v>80</v>
      </c>
    </row>
    <row r="1240" customFormat="false" ht="15" hidden="false" customHeight="false" outlineLevel="0" collapsed="false">
      <c r="A1240" s="0" t="s">
        <v>187</v>
      </c>
      <c r="B1240" s="14" t="n">
        <v>45775</v>
      </c>
      <c r="C1240" s="16" t="s">
        <v>1341</v>
      </c>
      <c r="D1240" s="7" t="n">
        <v>-20</v>
      </c>
      <c r="E1240" s="16" t="s">
        <v>193</v>
      </c>
      <c r="F1240" s="7" t="n">
        <v>16065.35</v>
      </c>
      <c r="G1240" s="16" t="s">
        <v>80</v>
      </c>
    </row>
    <row r="1241" customFormat="false" ht="15" hidden="false" customHeight="false" outlineLevel="0" collapsed="false">
      <c r="A1241" s="0" t="s">
        <v>187</v>
      </c>
      <c r="B1241" s="14" t="n">
        <v>45775</v>
      </c>
      <c r="C1241" s="16" t="s">
        <v>1342</v>
      </c>
      <c r="D1241" s="7" t="n">
        <v>-22.92</v>
      </c>
      <c r="E1241" s="16" t="s">
        <v>193</v>
      </c>
      <c r="F1241" s="7" t="n">
        <v>16085.35</v>
      </c>
      <c r="G1241" s="16" t="s">
        <v>142</v>
      </c>
    </row>
    <row r="1242" customFormat="false" ht="15" hidden="false" customHeight="false" outlineLevel="0" collapsed="false">
      <c r="A1242" s="0" t="s">
        <v>187</v>
      </c>
      <c r="B1242" s="14" t="n">
        <v>45775</v>
      </c>
      <c r="C1242" s="16" t="s">
        <v>1343</v>
      </c>
      <c r="D1242" s="7" t="n">
        <v>-104.35</v>
      </c>
      <c r="E1242" s="16" t="s">
        <v>193</v>
      </c>
      <c r="F1242" s="7" t="n">
        <v>16108.27</v>
      </c>
      <c r="G1242" s="16" t="s">
        <v>122</v>
      </c>
    </row>
    <row r="1243" customFormat="false" ht="15" hidden="false" customHeight="false" outlineLevel="0" collapsed="false">
      <c r="A1243" s="0" t="s">
        <v>187</v>
      </c>
      <c r="B1243" s="14" t="n">
        <v>45775</v>
      </c>
      <c r="C1243" s="16" t="s">
        <v>1344</v>
      </c>
      <c r="D1243" s="7" t="n">
        <v>-1176.97</v>
      </c>
      <c r="E1243" s="16" t="s">
        <v>193</v>
      </c>
      <c r="F1243" s="7" t="n">
        <v>16212.62</v>
      </c>
      <c r="G1243" s="16" t="s">
        <v>184</v>
      </c>
    </row>
    <row r="1244" customFormat="false" ht="15" hidden="false" customHeight="false" outlineLevel="0" collapsed="false">
      <c r="A1244" s="0" t="s">
        <v>187</v>
      </c>
      <c r="B1244" s="14" t="n">
        <v>45775</v>
      </c>
      <c r="C1244" s="16" t="s">
        <v>1345</v>
      </c>
      <c r="D1244" s="7" t="n">
        <v>-1</v>
      </c>
      <c r="E1244" s="16" t="s">
        <v>206</v>
      </c>
      <c r="F1244" s="7" t="n">
        <v>17389.59</v>
      </c>
      <c r="G1244" s="16" t="s">
        <v>79</v>
      </c>
    </row>
    <row r="1245" customFormat="false" ht="15" hidden="false" customHeight="false" outlineLevel="0" collapsed="false">
      <c r="A1245" s="0" t="s">
        <v>187</v>
      </c>
      <c r="B1245" s="14" t="n">
        <v>45775</v>
      </c>
      <c r="C1245" s="16" t="s">
        <v>1346</v>
      </c>
      <c r="D1245" s="7" t="n">
        <v>-200</v>
      </c>
      <c r="E1245" s="16" t="s">
        <v>206</v>
      </c>
      <c r="F1245" s="7" t="n">
        <v>17390.59</v>
      </c>
      <c r="G1245" s="16" t="s">
        <v>79</v>
      </c>
    </row>
    <row r="1246" customFormat="false" ht="15" hidden="false" customHeight="false" outlineLevel="0" collapsed="false">
      <c r="A1246" s="0" t="s">
        <v>187</v>
      </c>
      <c r="B1246" s="14" t="n">
        <v>45775</v>
      </c>
      <c r="C1246" s="16" t="s">
        <v>1347</v>
      </c>
      <c r="D1246" s="7" t="n">
        <v>-16.99</v>
      </c>
      <c r="E1246" s="16" t="s">
        <v>206</v>
      </c>
      <c r="F1246" s="7" t="n">
        <v>17590.59</v>
      </c>
      <c r="G1246" s="16" t="s">
        <v>144</v>
      </c>
    </row>
    <row r="1247" customFormat="false" ht="15" hidden="false" customHeight="false" outlineLevel="0" collapsed="false">
      <c r="A1247" s="0" t="s">
        <v>187</v>
      </c>
      <c r="B1247" s="14" t="n">
        <v>45775</v>
      </c>
      <c r="C1247" s="16" t="s">
        <v>1348</v>
      </c>
      <c r="D1247" s="7" t="n">
        <v>-8.99</v>
      </c>
      <c r="E1247" s="16" t="s">
        <v>206</v>
      </c>
      <c r="F1247" s="7" t="n">
        <v>17607.58</v>
      </c>
      <c r="G1247" s="16" t="s">
        <v>144</v>
      </c>
    </row>
    <row r="1248" customFormat="false" ht="15" hidden="false" customHeight="false" outlineLevel="0" collapsed="false">
      <c r="A1248" s="0" t="s">
        <v>187</v>
      </c>
      <c r="B1248" s="14" t="n">
        <v>45775</v>
      </c>
      <c r="C1248" s="16" t="s">
        <v>1348</v>
      </c>
      <c r="D1248" s="7" t="n">
        <v>-9.99</v>
      </c>
      <c r="E1248" s="16" t="s">
        <v>206</v>
      </c>
      <c r="F1248" s="7" t="n">
        <v>17616.57</v>
      </c>
      <c r="G1248" s="16" t="s">
        <v>144</v>
      </c>
    </row>
    <row r="1249" customFormat="false" ht="15" hidden="false" customHeight="false" outlineLevel="0" collapsed="false">
      <c r="A1249" s="0" t="s">
        <v>187</v>
      </c>
      <c r="B1249" s="14" t="n">
        <v>45775</v>
      </c>
      <c r="C1249" s="16" t="s">
        <v>1349</v>
      </c>
      <c r="D1249" s="7" t="n">
        <v>-17.27</v>
      </c>
      <c r="E1249" s="16" t="s">
        <v>206</v>
      </c>
      <c r="F1249" s="7" t="n">
        <v>17626.56</v>
      </c>
      <c r="G1249" s="16" t="s">
        <v>144</v>
      </c>
    </row>
    <row r="1250" customFormat="false" ht="15" hidden="false" customHeight="false" outlineLevel="0" collapsed="false">
      <c r="A1250" s="0" t="s">
        <v>187</v>
      </c>
      <c r="B1250" s="14" t="n">
        <v>45772</v>
      </c>
      <c r="C1250" s="16" t="s">
        <v>1350</v>
      </c>
      <c r="D1250" s="7" t="n">
        <v>-1000</v>
      </c>
      <c r="E1250" s="16" t="s">
        <v>193</v>
      </c>
      <c r="F1250" s="7" t="n">
        <v>17643.83</v>
      </c>
      <c r="G1250" s="16" t="s">
        <v>80</v>
      </c>
    </row>
    <row r="1251" customFormat="false" ht="15" hidden="false" customHeight="false" outlineLevel="0" collapsed="false">
      <c r="A1251" s="0" t="s">
        <v>187</v>
      </c>
      <c r="B1251" s="14" t="n">
        <v>45772</v>
      </c>
      <c r="C1251" s="16" t="s">
        <v>1351</v>
      </c>
      <c r="D1251" s="7" t="n">
        <v>-12.99</v>
      </c>
      <c r="E1251" s="16" t="s">
        <v>206</v>
      </c>
      <c r="F1251" s="7" t="n">
        <v>18643.83</v>
      </c>
      <c r="G1251" s="16" t="s">
        <v>114</v>
      </c>
    </row>
    <row r="1252" customFormat="false" ht="15" hidden="false" customHeight="false" outlineLevel="0" collapsed="false">
      <c r="A1252" s="0" t="s">
        <v>187</v>
      </c>
      <c r="B1252" s="14" t="n">
        <v>45771</v>
      </c>
      <c r="C1252" s="16" t="s">
        <v>188</v>
      </c>
      <c r="D1252" s="7" t="n">
        <v>-5</v>
      </c>
      <c r="E1252" s="16" t="s">
        <v>189</v>
      </c>
      <c r="F1252" s="7" t="n">
        <v>18656.82</v>
      </c>
      <c r="G1252" s="16" t="s">
        <v>65</v>
      </c>
    </row>
    <row r="1253" customFormat="false" ht="15" hidden="false" customHeight="false" outlineLevel="0" collapsed="false">
      <c r="A1253" s="0" t="s">
        <v>187</v>
      </c>
      <c r="B1253" s="14" t="n">
        <v>45771</v>
      </c>
      <c r="C1253" s="16" t="s">
        <v>1352</v>
      </c>
      <c r="D1253" s="7" t="n">
        <v>-275</v>
      </c>
      <c r="E1253" s="16" t="s">
        <v>193</v>
      </c>
      <c r="F1253" s="7" t="n">
        <v>18661.82</v>
      </c>
      <c r="G1253" s="16" t="s">
        <v>80</v>
      </c>
    </row>
    <row r="1254" customFormat="false" ht="15" hidden="false" customHeight="false" outlineLevel="0" collapsed="false">
      <c r="A1254" s="0" t="s">
        <v>187</v>
      </c>
      <c r="B1254" s="14" t="n">
        <v>45771</v>
      </c>
      <c r="C1254" s="16" t="s">
        <v>1353</v>
      </c>
      <c r="D1254" s="7" t="n">
        <v>-750</v>
      </c>
      <c r="E1254" s="16" t="s">
        <v>191</v>
      </c>
      <c r="F1254" s="7" t="n">
        <v>18936.82</v>
      </c>
      <c r="G1254" s="16" t="s">
        <v>65</v>
      </c>
    </row>
    <row r="1255" customFormat="false" ht="15" hidden="false" customHeight="false" outlineLevel="0" collapsed="false">
      <c r="A1255" s="0" t="s">
        <v>187</v>
      </c>
      <c r="B1255" s="14" t="n">
        <v>45771</v>
      </c>
      <c r="C1255" s="16" t="s">
        <v>1354</v>
      </c>
      <c r="D1255" s="7" t="n">
        <v>-9.99</v>
      </c>
      <c r="E1255" s="16" t="s">
        <v>206</v>
      </c>
      <c r="F1255" s="7" t="n">
        <v>19686.82</v>
      </c>
      <c r="G1255" s="16" t="s">
        <v>144</v>
      </c>
    </row>
    <row r="1256" customFormat="false" ht="15" hidden="false" customHeight="false" outlineLevel="0" collapsed="false">
      <c r="A1256" s="0" t="s">
        <v>187</v>
      </c>
      <c r="B1256" s="14" t="n">
        <v>45771</v>
      </c>
      <c r="C1256" s="16" t="s">
        <v>1354</v>
      </c>
      <c r="D1256" s="7" t="n">
        <v>-8.99</v>
      </c>
      <c r="E1256" s="16" t="s">
        <v>206</v>
      </c>
      <c r="F1256" s="7" t="n">
        <v>19696.81</v>
      </c>
      <c r="G1256" s="16" t="s">
        <v>144</v>
      </c>
    </row>
    <row r="1257" customFormat="false" ht="15" hidden="false" customHeight="false" outlineLevel="0" collapsed="false">
      <c r="A1257" s="0" t="s">
        <v>187</v>
      </c>
      <c r="B1257" s="14" t="n">
        <v>45771</v>
      </c>
      <c r="C1257" s="16" t="s">
        <v>1355</v>
      </c>
      <c r="D1257" s="7" t="n">
        <v>-434.49</v>
      </c>
      <c r="E1257" s="16" t="s">
        <v>206</v>
      </c>
      <c r="F1257" s="7" t="n">
        <v>19705.8</v>
      </c>
      <c r="G1257" s="16" t="s">
        <v>67</v>
      </c>
    </row>
    <row r="1258" customFormat="false" ht="15" hidden="false" customHeight="false" outlineLevel="0" collapsed="false">
      <c r="A1258" s="0" t="s">
        <v>187</v>
      </c>
      <c r="B1258" s="14" t="n">
        <v>45770</v>
      </c>
      <c r="C1258" s="16" t="s">
        <v>1356</v>
      </c>
      <c r="D1258" s="7" t="n">
        <v>-5000</v>
      </c>
      <c r="E1258" s="16" t="s">
        <v>213</v>
      </c>
      <c r="F1258" s="7" t="n">
        <v>20140.29</v>
      </c>
      <c r="G1258" s="16" t="s">
        <v>96</v>
      </c>
    </row>
    <row r="1259" customFormat="false" ht="15" hidden="false" customHeight="false" outlineLevel="0" collapsed="false">
      <c r="A1259" s="0" t="s">
        <v>187</v>
      </c>
      <c r="B1259" s="14" t="n">
        <v>45769</v>
      </c>
      <c r="C1259" s="16" t="s">
        <v>1357</v>
      </c>
      <c r="D1259" s="7" t="n">
        <v>-11.57</v>
      </c>
      <c r="E1259" s="16" t="s">
        <v>206</v>
      </c>
      <c r="F1259" s="7" t="n">
        <v>25140.29</v>
      </c>
      <c r="G1259" s="16" t="s">
        <v>144</v>
      </c>
    </row>
    <row r="1260" customFormat="false" ht="15" hidden="false" customHeight="false" outlineLevel="0" collapsed="false">
      <c r="A1260" s="0" t="s">
        <v>187</v>
      </c>
      <c r="B1260" s="14" t="n">
        <v>45769</v>
      </c>
      <c r="C1260" s="16" t="s">
        <v>1358</v>
      </c>
      <c r="D1260" s="7" t="n">
        <v>-331.54</v>
      </c>
      <c r="E1260" s="16" t="s">
        <v>193</v>
      </c>
      <c r="F1260" s="7" t="n">
        <v>25151.86</v>
      </c>
      <c r="G1260" s="16" t="s">
        <v>148</v>
      </c>
    </row>
    <row r="1261" customFormat="false" ht="15" hidden="false" customHeight="false" outlineLevel="0" collapsed="false">
      <c r="A1261" s="0" t="s">
        <v>187</v>
      </c>
      <c r="B1261" s="14" t="n">
        <v>45769</v>
      </c>
      <c r="C1261" s="16" t="s">
        <v>1359</v>
      </c>
      <c r="D1261" s="7" t="n">
        <v>-313.99</v>
      </c>
      <c r="E1261" s="16" t="s">
        <v>206</v>
      </c>
      <c r="F1261" s="7" t="n">
        <v>25483.4</v>
      </c>
      <c r="G1261" s="16" t="s">
        <v>65</v>
      </c>
    </row>
    <row r="1262" customFormat="false" ht="15" hidden="false" customHeight="false" outlineLevel="0" collapsed="false">
      <c r="A1262" s="0" t="s">
        <v>187</v>
      </c>
      <c r="B1262" s="14" t="n">
        <v>45769</v>
      </c>
      <c r="C1262" s="16" t="s">
        <v>1360</v>
      </c>
      <c r="D1262" s="7" t="n">
        <v>-26.25</v>
      </c>
      <c r="E1262" s="16" t="s">
        <v>206</v>
      </c>
      <c r="F1262" s="7" t="n">
        <v>25797.39</v>
      </c>
      <c r="G1262" s="16" t="s">
        <v>75</v>
      </c>
    </row>
    <row r="1263" customFormat="false" ht="15" hidden="false" customHeight="false" outlineLevel="0" collapsed="false">
      <c r="A1263" s="0" t="s">
        <v>187</v>
      </c>
      <c r="B1263" s="14" t="n">
        <v>45768</v>
      </c>
      <c r="C1263" s="16" t="s">
        <v>1361</v>
      </c>
      <c r="D1263" s="7" t="n">
        <v>-10</v>
      </c>
      <c r="E1263" s="16" t="s">
        <v>193</v>
      </c>
      <c r="F1263" s="7" t="n">
        <v>25823.64</v>
      </c>
      <c r="G1263" s="16" t="s">
        <v>80</v>
      </c>
    </row>
    <row r="1264" customFormat="false" ht="15" hidden="false" customHeight="false" outlineLevel="0" collapsed="false">
      <c r="A1264" s="0" t="s">
        <v>187</v>
      </c>
      <c r="B1264" s="14" t="n">
        <v>45768</v>
      </c>
      <c r="C1264" s="16" t="s">
        <v>1362</v>
      </c>
      <c r="D1264" s="7" t="n">
        <v>-162.57</v>
      </c>
      <c r="E1264" s="16" t="s">
        <v>193</v>
      </c>
      <c r="F1264" s="7" t="n">
        <v>25833.64</v>
      </c>
      <c r="G1264" s="16" t="s">
        <v>145</v>
      </c>
    </row>
    <row r="1265" customFormat="false" ht="15" hidden="false" customHeight="false" outlineLevel="0" collapsed="false">
      <c r="A1265" s="0" t="s">
        <v>187</v>
      </c>
      <c r="B1265" s="14" t="n">
        <v>45768</v>
      </c>
      <c r="C1265" s="16" t="s">
        <v>1363</v>
      </c>
      <c r="D1265" s="7" t="n">
        <v>-2000</v>
      </c>
      <c r="E1265" s="16" t="s">
        <v>213</v>
      </c>
      <c r="F1265" s="7" t="n">
        <v>25996.21</v>
      </c>
      <c r="G1265" s="16" t="s">
        <v>96</v>
      </c>
    </row>
    <row r="1266" customFormat="false" ht="15" hidden="false" customHeight="false" outlineLevel="0" collapsed="false">
      <c r="A1266" s="0" t="s">
        <v>187</v>
      </c>
      <c r="B1266" s="14" t="n">
        <v>45768</v>
      </c>
      <c r="C1266" s="16" t="s">
        <v>1364</v>
      </c>
      <c r="D1266" s="7" t="n">
        <v>-23.12</v>
      </c>
      <c r="E1266" s="16" t="s">
        <v>206</v>
      </c>
      <c r="F1266" s="7" t="n">
        <v>27996.21</v>
      </c>
      <c r="G1266" s="16" t="s">
        <v>179</v>
      </c>
    </row>
    <row r="1267" customFormat="false" ht="15" hidden="false" customHeight="false" outlineLevel="0" collapsed="false">
      <c r="A1267" s="0" t="s">
        <v>187</v>
      </c>
      <c r="B1267" s="14" t="n">
        <v>45768</v>
      </c>
      <c r="C1267" s="16" t="s">
        <v>1364</v>
      </c>
      <c r="D1267" s="7" t="n">
        <v>-120.15</v>
      </c>
      <c r="E1267" s="16" t="s">
        <v>206</v>
      </c>
      <c r="F1267" s="7" t="n">
        <v>28019.33</v>
      </c>
      <c r="G1267" s="16" t="s">
        <v>179</v>
      </c>
    </row>
    <row r="1268" customFormat="false" ht="15" hidden="false" customHeight="false" outlineLevel="0" collapsed="false">
      <c r="A1268" s="0" t="s">
        <v>187</v>
      </c>
      <c r="B1268" s="14" t="n">
        <v>45768</v>
      </c>
      <c r="C1268" s="16" t="s">
        <v>1365</v>
      </c>
      <c r="D1268" s="7" t="n">
        <v>-9.99</v>
      </c>
      <c r="E1268" s="16" t="s">
        <v>206</v>
      </c>
      <c r="F1268" s="7" t="n">
        <v>28139.48</v>
      </c>
      <c r="G1268" s="16" t="s">
        <v>144</v>
      </c>
    </row>
    <row r="1269" customFormat="false" ht="15" hidden="false" customHeight="false" outlineLevel="0" collapsed="false">
      <c r="A1269" s="0" t="s">
        <v>187</v>
      </c>
      <c r="B1269" s="14" t="n">
        <v>45768</v>
      </c>
      <c r="C1269" s="16" t="s">
        <v>1366</v>
      </c>
      <c r="D1269" s="7" t="n">
        <v>-26.89</v>
      </c>
      <c r="E1269" s="16" t="s">
        <v>206</v>
      </c>
      <c r="F1269" s="7" t="n">
        <v>28149.47</v>
      </c>
      <c r="G1269" s="16" t="s">
        <v>144</v>
      </c>
    </row>
    <row r="1270" customFormat="false" ht="15" hidden="false" customHeight="false" outlineLevel="0" collapsed="false">
      <c r="A1270" s="0" t="s">
        <v>187</v>
      </c>
      <c r="B1270" s="14" t="n">
        <v>45768</v>
      </c>
      <c r="C1270" s="16" t="s">
        <v>1367</v>
      </c>
      <c r="D1270" s="7" t="n">
        <v>-3.99</v>
      </c>
      <c r="E1270" s="16" t="s">
        <v>206</v>
      </c>
      <c r="F1270" s="7" t="n">
        <v>28176.36</v>
      </c>
      <c r="G1270" s="16" t="s">
        <v>144</v>
      </c>
    </row>
    <row r="1271" customFormat="false" ht="15" hidden="false" customHeight="false" outlineLevel="0" collapsed="false">
      <c r="A1271" s="0" t="s">
        <v>187</v>
      </c>
      <c r="B1271" s="14" t="n">
        <v>45768</v>
      </c>
      <c r="C1271" s="16" t="s">
        <v>1368</v>
      </c>
      <c r="D1271" s="7" t="n">
        <v>-15</v>
      </c>
      <c r="E1271" s="16" t="s">
        <v>206</v>
      </c>
      <c r="F1271" s="7" t="n">
        <v>28180.35</v>
      </c>
      <c r="G1271" s="16" t="s">
        <v>144</v>
      </c>
    </row>
    <row r="1272" customFormat="false" ht="15" hidden="false" customHeight="false" outlineLevel="0" collapsed="false">
      <c r="A1272" s="0" t="s">
        <v>187</v>
      </c>
      <c r="B1272" s="14" t="n">
        <v>45768</v>
      </c>
      <c r="C1272" s="16" t="s">
        <v>1369</v>
      </c>
      <c r="D1272" s="7" t="n">
        <v>-7.99</v>
      </c>
      <c r="E1272" s="16" t="s">
        <v>206</v>
      </c>
      <c r="F1272" s="7" t="n">
        <v>28195.35</v>
      </c>
      <c r="G1272" s="16" t="s">
        <v>144</v>
      </c>
    </row>
    <row r="1273" customFormat="false" ht="15" hidden="false" customHeight="false" outlineLevel="0" collapsed="false">
      <c r="A1273" s="0" t="s">
        <v>187</v>
      </c>
      <c r="B1273" s="14" t="n">
        <v>45768</v>
      </c>
      <c r="C1273" s="16" t="s">
        <v>1370</v>
      </c>
      <c r="D1273" s="7" t="n">
        <v>-22.66</v>
      </c>
      <c r="E1273" s="16" t="s">
        <v>206</v>
      </c>
      <c r="F1273" s="7" t="n">
        <v>28203.34</v>
      </c>
      <c r="G1273" s="16" t="s">
        <v>182</v>
      </c>
    </row>
    <row r="1274" customFormat="false" ht="15" hidden="false" customHeight="false" outlineLevel="0" collapsed="false">
      <c r="A1274" s="0" t="s">
        <v>187</v>
      </c>
      <c r="B1274" s="14" t="n">
        <v>45768</v>
      </c>
      <c r="C1274" s="16" t="s">
        <v>1371</v>
      </c>
      <c r="D1274" s="7" t="n">
        <v>-21.98</v>
      </c>
      <c r="E1274" s="16" t="s">
        <v>206</v>
      </c>
      <c r="F1274" s="7" t="n">
        <v>28226</v>
      </c>
      <c r="G1274" s="16" t="s">
        <v>118</v>
      </c>
    </row>
    <row r="1275" customFormat="false" ht="15" hidden="false" customHeight="false" outlineLevel="0" collapsed="false">
      <c r="A1275" s="0" t="s">
        <v>187</v>
      </c>
      <c r="B1275" s="14" t="n">
        <v>45768</v>
      </c>
      <c r="C1275" s="16" t="s">
        <v>1372</v>
      </c>
      <c r="D1275" s="7" t="n">
        <v>-5.94</v>
      </c>
      <c r="E1275" s="16" t="s">
        <v>206</v>
      </c>
      <c r="F1275" s="7" t="n">
        <v>28247.98</v>
      </c>
      <c r="G1275" s="16" t="s">
        <v>179</v>
      </c>
    </row>
    <row r="1276" customFormat="false" ht="15" hidden="false" customHeight="false" outlineLevel="0" collapsed="false">
      <c r="A1276" s="0" t="s">
        <v>187</v>
      </c>
      <c r="B1276" s="14" t="n">
        <v>45768</v>
      </c>
      <c r="C1276" s="16" t="s">
        <v>1372</v>
      </c>
      <c r="D1276" s="7" t="n">
        <v>-17.85</v>
      </c>
      <c r="E1276" s="16" t="s">
        <v>206</v>
      </c>
      <c r="F1276" s="7" t="n">
        <v>28253.92</v>
      </c>
      <c r="G1276" s="16" t="s">
        <v>179</v>
      </c>
    </row>
    <row r="1277" customFormat="false" ht="15" hidden="false" customHeight="false" outlineLevel="0" collapsed="false">
      <c r="A1277" s="0" t="s">
        <v>187</v>
      </c>
      <c r="B1277" s="14" t="n">
        <v>45768</v>
      </c>
      <c r="C1277" s="16" t="s">
        <v>1372</v>
      </c>
      <c r="D1277" s="7" t="n">
        <v>-14.45</v>
      </c>
      <c r="E1277" s="16" t="s">
        <v>206</v>
      </c>
      <c r="F1277" s="7" t="n">
        <v>28277.71</v>
      </c>
      <c r="G1277" s="16" t="s">
        <v>179</v>
      </c>
    </row>
    <row r="1278" customFormat="false" ht="15" hidden="false" customHeight="false" outlineLevel="0" collapsed="false">
      <c r="A1278" s="0" t="s">
        <v>187</v>
      </c>
      <c r="B1278" s="14" t="n">
        <v>45768</v>
      </c>
      <c r="C1278" s="16" t="s">
        <v>1372</v>
      </c>
      <c r="D1278" s="7" t="n">
        <v>-19.13</v>
      </c>
      <c r="E1278" s="16" t="s">
        <v>206</v>
      </c>
      <c r="F1278" s="7" t="n">
        <v>28298.1</v>
      </c>
      <c r="G1278" s="16" t="s">
        <v>179</v>
      </c>
    </row>
    <row r="1279" customFormat="false" ht="15" hidden="false" customHeight="false" outlineLevel="0" collapsed="false">
      <c r="A1279" s="0" t="s">
        <v>187</v>
      </c>
      <c r="B1279" s="14" t="n">
        <v>45768</v>
      </c>
      <c r="C1279" s="16" t="s">
        <v>1372</v>
      </c>
      <c r="D1279" s="7" t="n">
        <v>-2.38</v>
      </c>
      <c r="E1279" s="16" t="s">
        <v>206</v>
      </c>
      <c r="F1279" s="7" t="n">
        <v>28317.23</v>
      </c>
      <c r="G1279" s="16" t="s">
        <v>179</v>
      </c>
    </row>
    <row r="1280" customFormat="false" ht="15" hidden="false" customHeight="false" outlineLevel="0" collapsed="false">
      <c r="A1280" s="0" t="s">
        <v>187</v>
      </c>
      <c r="B1280" s="14" t="n">
        <v>45765</v>
      </c>
      <c r="C1280" s="16" t="s">
        <v>1373</v>
      </c>
      <c r="D1280" s="7" t="n">
        <v>-1000</v>
      </c>
      <c r="E1280" s="16" t="s">
        <v>193</v>
      </c>
      <c r="F1280" s="7" t="n">
        <v>28319.61</v>
      </c>
      <c r="G1280" s="16" t="s">
        <v>80</v>
      </c>
    </row>
    <row r="1281" customFormat="false" ht="15" hidden="false" customHeight="false" outlineLevel="0" collapsed="false">
      <c r="A1281" s="0" t="s">
        <v>187</v>
      </c>
      <c r="B1281" s="14" t="n">
        <v>45765</v>
      </c>
      <c r="C1281" s="16" t="s">
        <v>1374</v>
      </c>
      <c r="D1281" s="7" t="n">
        <v>-9.99</v>
      </c>
      <c r="E1281" s="16" t="s">
        <v>206</v>
      </c>
      <c r="F1281" s="7" t="n">
        <v>29319.61</v>
      </c>
      <c r="G1281" s="16" t="s">
        <v>144</v>
      </c>
    </row>
    <row r="1282" customFormat="false" ht="15" hidden="false" customHeight="false" outlineLevel="0" collapsed="false">
      <c r="A1282" s="0" t="s">
        <v>187</v>
      </c>
      <c r="B1282" s="14" t="n">
        <v>45765</v>
      </c>
      <c r="C1282" s="16" t="s">
        <v>1375</v>
      </c>
      <c r="D1282" s="7" t="n">
        <v>-14.61</v>
      </c>
      <c r="E1282" s="16" t="s">
        <v>206</v>
      </c>
      <c r="F1282" s="7" t="n">
        <v>29329.6</v>
      </c>
      <c r="G1282" s="16" t="s">
        <v>179</v>
      </c>
    </row>
    <row r="1283" customFormat="false" ht="15" hidden="false" customHeight="false" outlineLevel="0" collapsed="false">
      <c r="A1283" s="0" t="s">
        <v>187</v>
      </c>
      <c r="B1283" s="14" t="n">
        <v>45765</v>
      </c>
      <c r="C1283" s="16" t="s">
        <v>1375</v>
      </c>
      <c r="D1283" s="7" t="n">
        <v>-2.38</v>
      </c>
      <c r="E1283" s="16" t="s">
        <v>206</v>
      </c>
      <c r="F1283" s="7" t="n">
        <v>29344.21</v>
      </c>
      <c r="G1283" s="16" t="s">
        <v>179</v>
      </c>
    </row>
    <row r="1284" customFormat="false" ht="15" hidden="false" customHeight="false" outlineLevel="0" collapsed="false">
      <c r="A1284" s="0" t="s">
        <v>187</v>
      </c>
      <c r="B1284" s="14" t="n">
        <v>45764</v>
      </c>
      <c r="C1284" s="16" t="s">
        <v>1376</v>
      </c>
      <c r="D1284" s="7" t="n">
        <v>-11</v>
      </c>
      <c r="E1284" s="16" t="s">
        <v>206</v>
      </c>
      <c r="F1284" s="7" t="n">
        <v>29346.59</v>
      </c>
      <c r="G1284" s="16" t="s">
        <v>144</v>
      </c>
    </row>
    <row r="1285" customFormat="false" ht="15" hidden="false" customHeight="false" outlineLevel="0" collapsed="false">
      <c r="A1285" s="0" t="s">
        <v>187</v>
      </c>
      <c r="B1285" s="14" t="n">
        <v>45764</v>
      </c>
      <c r="C1285" s="16" t="s">
        <v>1377</v>
      </c>
      <c r="D1285" s="7" t="n">
        <v>-32.47</v>
      </c>
      <c r="E1285" s="16" t="s">
        <v>206</v>
      </c>
      <c r="F1285" s="7" t="n">
        <v>29357.59</v>
      </c>
      <c r="G1285" s="16" t="s">
        <v>179</v>
      </c>
    </row>
    <row r="1286" customFormat="false" ht="15" hidden="false" customHeight="false" outlineLevel="0" collapsed="false">
      <c r="A1286" s="0" t="s">
        <v>187</v>
      </c>
      <c r="B1286" s="14" t="n">
        <v>45764</v>
      </c>
      <c r="C1286" s="16" t="s">
        <v>1378</v>
      </c>
      <c r="D1286" s="7" t="n">
        <v>-69.99</v>
      </c>
      <c r="E1286" s="16" t="s">
        <v>206</v>
      </c>
      <c r="F1286" s="7" t="n">
        <v>29390.06</v>
      </c>
      <c r="G1286" s="16" t="s">
        <v>67</v>
      </c>
    </row>
    <row r="1287" customFormat="false" ht="15" hidden="false" customHeight="false" outlineLevel="0" collapsed="false">
      <c r="A1287" s="0" t="s">
        <v>187</v>
      </c>
      <c r="B1287" s="14" t="n">
        <v>45763</v>
      </c>
      <c r="C1287" s="16" t="s">
        <v>1379</v>
      </c>
      <c r="D1287" s="7" t="n">
        <v>-103.81</v>
      </c>
      <c r="E1287" s="16" t="s">
        <v>193</v>
      </c>
      <c r="F1287" s="7" t="n">
        <v>29460.05</v>
      </c>
      <c r="G1287" s="16" t="s">
        <v>151</v>
      </c>
    </row>
    <row r="1288" customFormat="false" ht="15" hidden="false" customHeight="false" outlineLevel="0" collapsed="false">
      <c r="A1288" s="0" t="s">
        <v>187</v>
      </c>
      <c r="B1288" s="14" t="n">
        <v>45763</v>
      </c>
      <c r="C1288" s="16" t="s">
        <v>1376</v>
      </c>
      <c r="D1288" s="7" t="n">
        <v>-5.99</v>
      </c>
      <c r="E1288" s="16" t="s">
        <v>206</v>
      </c>
      <c r="F1288" s="7" t="n">
        <v>29563.86</v>
      </c>
      <c r="G1288" s="16" t="s">
        <v>144</v>
      </c>
    </row>
    <row r="1289" customFormat="false" ht="15" hidden="false" customHeight="false" outlineLevel="0" collapsed="false">
      <c r="A1289" s="0" t="s">
        <v>187</v>
      </c>
      <c r="B1289" s="14" t="n">
        <v>45763</v>
      </c>
      <c r="C1289" s="16" t="s">
        <v>1380</v>
      </c>
      <c r="D1289" s="7" t="n">
        <v>-38.31</v>
      </c>
      <c r="E1289" s="16" t="s">
        <v>206</v>
      </c>
      <c r="F1289" s="7" t="n">
        <v>29569.85</v>
      </c>
      <c r="G1289" s="16" t="s">
        <v>182</v>
      </c>
    </row>
    <row r="1290" customFormat="false" ht="15" hidden="false" customHeight="false" outlineLevel="0" collapsed="false">
      <c r="A1290" s="0" t="s">
        <v>187</v>
      </c>
      <c r="B1290" s="14" t="n">
        <v>45763</v>
      </c>
      <c r="C1290" s="16" t="s">
        <v>1381</v>
      </c>
      <c r="D1290" s="7" t="n">
        <v>-16</v>
      </c>
      <c r="E1290" s="16" t="s">
        <v>206</v>
      </c>
      <c r="F1290" s="7" t="n">
        <v>29608.16</v>
      </c>
      <c r="G1290" s="16" t="s">
        <v>144</v>
      </c>
    </row>
    <row r="1291" customFormat="false" ht="15" hidden="false" customHeight="false" outlineLevel="0" collapsed="false">
      <c r="A1291" s="0" t="s">
        <v>187</v>
      </c>
      <c r="B1291" s="14" t="n">
        <v>45762</v>
      </c>
      <c r="C1291" s="16" t="s">
        <v>1382</v>
      </c>
      <c r="D1291" s="7" t="n">
        <v>-199</v>
      </c>
      <c r="E1291" s="16" t="s">
        <v>206</v>
      </c>
      <c r="F1291" s="7" t="n">
        <v>29624.16</v>
      </c>
      <c r="G1291" s="16" t="s">
        <v>183</v>
      </c>
    </row>
    <row r="1292" customFormat="false" ht="15" hidden="false" customHeight="false" outlineLevel="0" collapsed="false">
      <c r="A1292" s="0" t="s">
        <v>187</v>
      </c>
      <c r="B1292" s="14" t="n">
        <v>45762</v>
      </c>
      <c r="C1292" s="16" t="s">
        <v>1383</v>
      </c>
      <c r="D1292" s="7" t="n">
        <v>-8.99</v>
      </c>
      <c r="E1292" s="16" t="s">
        <v>206</v>
      </c>
      <c r="F1292" s="7" t="n">
        <v>29823.16</v>
      </c>
      <c r="G1292" s="16" t="s">
        <v>144</v>
      </c>
    </row>
    <row r="1293" customFormat="false" ht="15" hidden="false" customHeight="false" outlineLevel="0" collapsed="false">
      <c r="A1293" s="0" t="s">
        <v>187</v>
      </c>
      <c r="B1293" s="14" t="n">
        <v>45762</v>
      </c>
      <c r="C1293" s="16" t="s">
        <v>1384</v>
      </c>
      <c r="D1293" s="7" t="n">
        <v>-1.99</v>
      </c>
      <c r="E1293" s="16" t="s">
        <v>206</v>
      </c>
      <c r="F1293" s="7" t="n">
        <v>29832.15</v>
      </c>
      <c r="G1293" s="16" t="s">
        <v>144</v>
      </c>
    </row>
    <row r="1294" customFormat="false" ht="15" hidden="false" customHeight="false" outlineLevel="0" collapsed="false">
      <c r="A1294" s="0" t="s">
        <v>187</v>
      </c>
      <c r="B1294" s="14" t="n">
        <v>45762</v>
      </c>
      <c r="C1294" s="16" t="s">
        <v>1385</v>
      </c>
      <c r="D1294" s="7" t="n">
        <v>-140</v>
      </c>
      <c r="E1294" s="16" t="s">
        <v>206</v>
      </c>
      <c r="F1294" s="7" t="n">
        <v>29834.14</v>
      </c>
      <c r="G1294" s="16" t="s">
        <v>75</v>
      </c>
    </row>
    <row r="1295" customFormat="false" ht="15" hidden="false" customHeight="false" outlineLevel="0" collapsed="false">
      <c r="A1295" s="0" t="s">
        <v>187</v>
      </c>
      <c r="B1295" s="14" t="n">
        <v>45762</v>
      </c>
      <c r="C1295" s="16" t="s">
        <v>1386</v>
      </c>
      <c r="D1295" s="7" t="n">
        <v>-10.99</v>
      </c>
      <c r="E1295" s="16" t="s">
        <v>206</v>
      </c>
      <c r="F1295" s="7" t="n">
        <v>29974.14</v>
      </c>
      <c r="G1295" s="16" t="s">
        <v>144</v>
      </c>
    </row>
    <row r="1296" customFormat="false" ht="15" hidden="false" customHeight="false" outlineLevel="0" collapsed="false">
      <c r="A1296" s="0" t="s">
        <v>187</v>
      </c>
      <c r="B1296" s="14" t="n">
        <v>45761</v>
      </c>
      <c r="C1296" s="16" t="s">
        <v>1387</v>
      </c>
      <c r="D1296" s="7" t="n">
        <v>-150</v>
      </c>
      <c r="E1296" s="16" t="s">
        <v>193</v>
      </c>
      <c r="F1296" s="7" t="n">
        <v>29985.13</v>
      </c>
      <c r="G1296" s="16" t="s">
        <v>80</v>
      </c>
    </row>
    <row r="1297" customFormat="false" ht="15" hidden="false" customHeight="false" outlineLevel="0" collapsed="false">
      <c r="A1297" s="0" t="s">
        <v>187</v>
      </c>
      <c r="B1297" s="14" t="n">
        <v>45761</v>
      </c>
      <c r="C1297" s="16" t="s">
        <v>1388</v>
      </c>
      <c r="D1297" s="7" t="n">
        <v>-17.99</v>
      </c>
      <c r="E1297" s="16" t="s">
        <v>206</v>
      </c>
      <c r="F1297" s="7" t="n">
        <v>30135.13</v>
      </c>
      <c r="G1297" s="16" t="s">
        <v>144</v>
      </c>
    </row>
    <row r="1298" customFormat="false" ht="15" hidden="false" customHeight="false" outlineLevel="0" collapsed="false">
      <c r="A1298" s="0" t="s">
        <v>187</v>
      </c>
      <c r="B1298" s="14" t="n">
        <v>45761</v>
      </c>
      <c r="C1298" s="16" t="s">
        <v>1389</v>
      </c>
      <c r="D1298" s="7" t="n">
        <v>-18.99</v>
      </c>
      <c r="E1298" s="16" t="s">
        <v>206</v>
      </c>
      <c r="F1298" s="7" t="n">
        <v>30153.12</v>
      </c>
      <c r="G1298" s="16" t="s">
        <v>144</v>
      </c>
    </row>
    <row r="1299" customFormat="false" ht="15" hidden="false" customHeight="false" outlineLevel="0" collapsed="false">
      <c r="A1299" s="0" t="s">
        <v>187</v>
      </c>
      <c r="B1299" s="14" t="n">
        <v>45761</v>
      </c>
      <c r="C1299" s="16" t="s">
        <v>1390</v>
      </c>
      <c r="D1299" s="7" t="n">
        <v>-11.99</v>
      </c>
      <c r="E1299" s="16" t="s">
        <v>206</v>
      </c>
      <c r="F1299" s="7" t="n">
        <v>30172.11</v>
      </c>
      <c r="G1299" s="16" t="s">
        <v>79</v>
      </c>
    </row>
    <row r="1300" customFormat="false" ht="15" hidden="false" customHeight="false" outlineLevel="0" collapsed="false">
      <c r="A1300" s="0" t="s">
        <v>187</v>
      </c>
      <c r="B1300" s="14" t="n">
        <v>45761</v>
      </c>
      <c r="C1300" s="16" t="s">
        <v>1391</v>
      </c>
      <c r="D1300" s="7" t="n">
        <v>-1.16</v>
      </c>
      <c r="E1300" s="16" t="s">
        <v>206</v>
      </c>
      <c r="F1300" s="7" t="n">
        <v>30184.1</v>
      </c>
      <c r="G1300" s="16" t="s">
        <v>179</v>
      </c>
    </row>
    <row r="1301" customFormat="false" ht="15" hidden="false" customHeight="false" outlineLevel="0" collapsed="false">
      <c r="A1301" s="0" t="s">
        <v>187</v>
      </c>
      <c r="B1301" s="14" t="n">
        <v>45758</v>
      </c>
      <c r="C1301" s="16" t="s">
        <v>1392</v>
      </c>
      <c r="D1301" s="7" t="n">
        <v>-171.21</v>
      </c>
      <c r="E1301" s="16" t="s">
        <v>193</v>
      </c>
      <c r="F1301" s="7" t="n">
        <v>30185.26</v>
      </c>
      <c r="G1301" s="16" t="s">
        <v>142</v>
      </c>
    </row>
    <row r="1302" customFormat="false" ht="15" hidden="false" customHeight="false" outlineLevel="0" collapsed="false">
      <c r="A1302" s="0" t="s">
        <v>187</v>
      </c>
      <c r="B1302" s="14" t="n">
        <v>45758</v>
      </c>
      <c r="C1302" s="16" t="s">
        <v>1393</v>
      </c>
      <c r="D1302" s="7" t="n">
        <v>-1249.96</v>
      </c>
      <c r="E1302" s="16" t="s">
        <v>193</v>
      </c>
      <c r="F1302" s="7" t="n">
        <v>30356.47</v>
      </c>
      <c r="G1302" s="16" t="s">
        <v>179</v>
      </c>
    </row>
    <row r="1303" customFormat="false" ht="15" hidden="false" customHeight="false" outlineLevel="0" collapsed="false">
      <c r="A1303" s="0" t="s">
        <v>187</v>
      </c>
      <c r="B1303" s="14" t="n">
        <v>45758</v>
      </c>
      <c r="C1303" s="16" t="s">
        <v>1394</v>
      </c>
      <c r="D1303" s="7" t="n">
        <v>-1533.74</v>
      </c>
      <c r="E1303" s="16" t="s">
        <v>193</v>
      </c>
      <c r="F1303" s="7" t="n">
        <v>31606.43</v>
      </c>
      <c r="G1303" s="16" t="s">
        <v>181</v>
      </c>
    </row>
    <row r="1304" customFormat="false" ht="15" hidden="false" customHeight="false" outlineLevel="0" collapsed="false">
      <c r="A1304" s="0" t="s">
        <v>187</v>
      </c>
      <c r="B1304" s="14" t="n">
        <v>45757</v>
      </c>
      <c r="C1304" s="16" t="s">
        <v>188</v>
      </c>
      <c r="D1304" s="7" t="n">
        <v>-5</v>
      </c>
      <c r="E1304" s="16" t="s">
        <v>189</v>
      </c>
      <c r="F1304" s="7" t="n">
        <v>33140.17</v>
      </c>
      <c r="G1304" s="16" t="s">
        <v>65</v>
      </c>
    </row>
    <row r="1305" customFormat="false" ht="15" hidden="false" customHeight="false" outlineLevel="0" collapsed="false">
      <c r="A1305" s="0" t="s">
        <v>187</v>
      </c>
      <c r="B1305" s="14" t="n">
        <v>45757</v>
      </c>
      <c r="C1305" s="16" t="s">
        <v>1395</v>
      </c>
      <c r="D1305" s="7" t="n">
        <v>-884.7</v>
      </c>
      <c r="E1305" s="16" t="s">
        <v>193</v>
      </c>
      <c r="F1305" s="7" t="n">
        <v>33145.17</v>
      </c>
      <c r="G1305" s="16" t="s">
        <v>101</v>
      </c>
    </row>
    <row r="1306" customFormat="false" ht="15" hidden="false" customHeight="false" outlineLevel="0" collapsed="false">
      <c r="A1306" s="0" t="s">
        <v>187</v>
      </c>
      <c r="B1306" s="14" t="n">
        <v>45757</v>
      </c>
      <c r="C1306" s="16" t="s">
        <v>1396</v>
      </c>
      <c r="D1306" s="7" t="n">
        <v>-750</v>
      </c>
      <c r="E1306" s="16" t="s">
        <v>191</v>
      </c>
      <c r="F1306" s="7" t="n">
        <v>34029.87</v>
      </c>
      <c r="G1306" s="16" t="s">
        <v>65</v>
      </c>
    </row>
    <row r="1307" customFormat="false" ht="15" hidden="false" customHeight="false" outlineLevel="0" collapsed="false">
      <c r="A1307" s="0" t="s">
        <v>187</v>
      </c>
      <c r="B1307" s="14" t="n">
        <v>45757</v>
      </c>
      <c r="C1307" s="16" t="s">
        <v>1397</v>
      </c>
      <c r="D1307" s="7" t="n">
        <v>-53.97</v>
      </c>
      <c r="E1307" s="16" t="s">
        <v>206</v>
      </c>
      <c r="F1307" s="7" t="n">
        <v>34779.87</v>
      </c>
      <c r="G1307" s="16" t="s">
        <v>144</v>
      </c>
    </row>
    <row r="1308" customFormat="false" ht="15" hidden="false" customHeight="false" outlineLevel="0" collapsed="false">
      <c r="A1308" s="0" t="s">
        <v>187</v>
      </c>
      <c r="B1308" s="14" t="n">
        <v>45757</v>
      </c>
      <c r="C1308" s="16" t="s">
        <v>1398</v>
      </c>
      <c r="D1308" s="7" t="n">
        <v>-49.48</v>
      </c>
      <c r="E1308" s="16" t="s">
        <v>206</v>
      </c>
      <c r="F1308" s="7" t="n">
        <v>34833.84</v>
      </c>
      <c r="G1308" s="16" t="s">
        <v>182</v>
      </c>
    </row>
    <row r="1309" customFormat="false" ht="15" hidden="false" customHeight="false" outlineLevel="0" collapsed="false">
      <c r="A1309" s="0" t="s">
        <v>187</v>
      </c>
      <c r="B1309" s="14" t="n">
        <v>45757</v>
      </c>
      <c r="C1309" s="16" t="s">
        <v>1399</v>
      </c>
      <c r="D1309" s="7" t="n">
        <v>-11.99</v>
      </c>
      <c r="E1309" s="16" t="s">
        <v>206</v>
      </c>
      <c r="F1309" s="7" t="n">
        <v>34883.32</v>
      </c>
      <c r="G1309" s="16" t="s">
        <v>144</v>
      </c>
    </row>
    <row r="1310" customFormat="false" ht="15" hidden="false" customHeight="false" outlineLevel="0" collapsed="false">
      <c r="A1310" s="0" t="s">
        <v>187</v>
      </c>
      <c r="B1310" s="14" t="n">
        <v>45757</v>
      </c>
      <c r="C1310" s="16" t="s">
        <v>1400</v>
      </c>
      <c r="D1310" s="7" t="n">
        <v>-505.51</v>
      </c>
      <c r="E1310" s="16" t="s">
        <v>206</v>
      </c>
      <c r="F1310" s="7" t="n">
        <v>34895.31</v>
      </c>
      <c r="G1310" s="16" t="s">
        <v>67</v>
      </c>
    </row>
    <row r="1311" customFormat="false" ht="15" hidden="false" customHeight="false" outlineLevel="0" collapsed="false">
      <c r="A1311" s="0" t="s">
        <v>187</v>
      </c>
      <c r="B1311" s="14" t="n">
        <v>45755</v>
      </c>
      <c r="C1311" s="16" t="s">
        <v>1401</v>
      </c>
      <c r="D1311" s="7" t="n">
        <v>-300</v>
      </c>
      <c r="E1311" s="16" t="s">
        <v>206</v>
      </c>
      <c r="F1311" s="7" t="n">
        <v>35400.82</v>
      </c>
      <c r="G1311" s="16" t="s">
        <v>72</v>
      </c>
    </row>
    <row r="1312" customFormat="false" ht="15" hidden="false" customHeight="false" outlineLevel="0" collapsed="false">
      <c r="A1312" s="0" t="s">
        <v>187</v>
      </c>
      <c r="B1312" s="14" t="n">
        <v>45755</v>
      </c>
      <c r="C1312" s="16" t="s">
        <v>1402</v>
      </c>
      <c r="D1312" s="7" t="n">
        <v>-8.99</v>
      </c>
      <c r="E1312" s="16" t="s">
        <v>206</v>
      </c>
      <c r="F1312" s="7" t="n">
        <v>35700.82</v>
      </c>
      <c r="G1312" s="16" t="s">
        <v>144</v>
      </c>
    </row>
    <row r="1313" customFormat="false" ht="15" hidden="false" customHeight="false" outlineLevel="0" collapsed="false">
      <c r="A1313" s="0" t="s">
        <v>187</v>
      </c>
      <c r="B1313" s="14" t="n">
        <v>45755</v>
      </c>
      <c r="C1313" s="16" t="s">
        <v>1403</v>
      </c>
      <c r="D1313" s="7" t="n">
        <v>-51.09</v>
      </c>
      <c r="E1313" s="16" t="s">
        <v>206</v>
      </c>
      <c r="F1313" s="7" t="n">
        <v>35709.81</v>
      </c>
      <c r="G1313" s="16" t="s">
        <v>179</v>
      </c>
    </row>
    <row r="1314" customFormat="false" ht="15" hidden="false" customHeight="false" outlineLevel="0" collapsed="false">
      <c r="A1314" s="0" t="s">
        <v>187</v>
      </c>
      <c r="B1314" s="14" t="n">
        <v>45755</v>
      </c>
      <c r="C1314" s="16" t="s">
        <v>1403</v>
      </c>
      <c r="D1314" s="7" t="n">
        <v>-17.36</v>
      </c>
      <c r="E1314" s="16" t="s">
        <v>206</v>
      </c>
      <c r="F1314" s="7" t="n">
        <v>35760.9</v>
      </c>
      <c r="G1314" s="16" t="s">
        <v>179</v>
      </c>
    </row>
    <row r="1315" customFormat="false" ht="15" hidden="false" customHeight="false" outlineLevel="0" collapsed="false">
      <c r="A1315" s="0" t="s">
        <v>187</v>
      </c>
      <c r="B1315" s="14" t="n">
        <v>45755</v>
      </c>
      <c r="C1315" s="16" t="s">
        <v>1403</v>
      </c>
      <c r="D1315" s="7" t="n">
        <v>-2.31</v>
      </c>
      <c r="E1315" s="16" t="s">
        <v>206</v>
      </c>
      <c r="F1315" s="7" t="n">
        <v>35778.26</v>
      </c>
      <c r="G1315" s="16" t="s">
        <v>179</v>
      </c>
    </row>
    <row r="1316" customFormat="false" ht="15" hidden="false" customHeight="false" outlineLevel="0" collapsed="false">
      <c r="A1316" s="0" t="s">
        <v>187</v>
      </c>
      <c r="B1316" s="14" t="n">
        <v>45754</v>
      </c>
      <c r="C1316" s="16" t="s">
        <v>1404</v>
      </c>
      <c r="D1316" s="7" t="n">
        <v>-12.5</v>
      </c>
      <c r="E1316" s="16" t="s">
        <v>206</v>
      </c>
      <c r="F1316" s="7" t="n">
        <v>35780.57</v>
      </c>
      <c r="G1316" s="16" t="s">
        <v>179</v>
      </c>
    </row>
    <row r="1317" customFormat="false" ht="15" hidden="false" customHeight="false" outlineLevel="0" collapsed="false">
      <c r="A1317" s="0" t="s">
        <v>187</v>
      </c>
      <c r="B1317" s="14" t="n">
        <v>45754</v>
      </c>
      <c r="C1317" s="16" t="s">
        <v>1405</v>
      </c>
      <c r="D1317" s="7" t="n">
        <v>-5</v>
      </c>
      <c r="E1317" s="16" t="s">
        <v>206</v>
      </c>
      <c r="F1317" s="7" t="n">
        <v>35793.07</v>
      </c>
      <c r="G1317" s="16" t="s">
        <v>144</v>
      </c>
    </row>
    <row r="1318" customFormat="false" ht="15" hidden="false" customHeight="false" outlineLevel="0" collapsed="false">
      <c r="A1318" s="0" t="s">
        <v>187</v>
      </c>
      <c r="B1318" s="14" t="n">
        <v>45754</v>
      </c>
      <c r="C1318" s="16" t="s">
        <v>1406</v>
      </c>
      <c r="D1318" s="7" t="n">
        <v>-5.79</v>
      </c>
      <c r="E1318" s="16" t="s">
        <v>206</v>
      </c>
      <c r="F1318" s="7" t="n">
        <v>35798.07</v>
      </c>
      <c r="G1318" s="16" t="s">
        <v>179</v>
      </c>
    </row>
    <row r="1319" customFormat="false" ht="15" hidden="false" customHeight="false" outlineLevel="0" collapsed="false">
      <c r="A1319" s="0" t="s">
        <v>187</v>
      </c>
      <c r="B1319" s="14" t="n">
        <v>45754</v>
      </c>
      <c r="C1319" s="16" t="s">
        <v>1406</v>
      </c>
      <c r="D1319" s="7" t="n">
        <v>-30.51</v>
      </c>
      <c r="E1319" s="16" t="s">
        <v>206</v>
      </c>
      <c r="F1319" s="7" t="n">
        <v>35803.86</v>
      </c>
      <c r="G1319" s="16" t="s">
        <v>179</v>
      </c>
    </row>
    <row r="1320" customFormat="false" ht="15" hidden="false" customHeight="false" outlineLevel="0" collapsed="false">
      <c r="A1320" s="0" t="s">
        <v>187</v>
      </c>
      <c r="B1320" s="14" t="n">
        <v>45754</v>
      </c>
      <c r="C1320" s="16" t="s">
        <v>1407</v>
      </c>
      <c r="D1320" s="7" t="n">
        <v>-5.69</v>
      </c>
      <c r="E1320" s="16" t="s">
        <v>206</v>
      </c>
      <c r="F1320" s="7" t="n">
        <v>35834.37</v>
      </c>
      <c r="G1320" s="16" t="s">
        <v>179</v>
      </c>
    </row>
    <row r="1321" customFormat="false" ht="15" hidden="false" customHeight="false" outlineLevel="0" collapsed="false">
      <c r="A1321" s="0" t="s">
        <v>187</v>
      </c>
      <c r="B1321" s="14" t="n">
        <v>45754</v>
      </c>
      <c r="C1321" s="16" t="s">
        <v>1407</v>
      </c>
      <c r="D1321" s="7" t="n">
        <v>-15.61</v>
      </c>
      <c r="E1321" s="16" t="s">
        <v>206</v>
      </c>
      <c r="F1321" s="7" t="n">
        <v>35840.06</v>
      </c>
      <c r="G1321" s="16" t="s">
        <v>179</v>
      </c>
    </row>
    <row r="1322" customFormat="false" ht="15" hidden="false" customHeight="false" outlineLevel="0" collapsed="false">
      <c r="A1322" s="0" t="s">
        <v>187</v>
      </c>
      <c r="B1322" s="14" t="n">
        <v>45751</v>
      </c>
      <c r="C1322" s="16" t="s">
        <v>1408</v>
      </c>
      <c r="D1322" s="7" t="n">
        <v>-29.99</v>
      </c>
      <c r="E1322" s="16" t="s">
        <v>206</v>
      </c>
      <c r="F1322" s="7" t="n">
        <v>35855.67</v>
      </c>
      <c r="G1322" s="16" t="s">
        <v>144</v>
      </c>
    </row>
    <row r="1323" customFormat="false" ht="15" hidden="false" customHeight="false" outlineLevel="0" collapsed="false">
      <c r="A1323" s="0" t="s">
        <v>187</v>
      </c>
      <c r="B1323" s="14" t="n">
        <v>45751</v>
      </c>
      <c r="C1323" s="16" t="s">
        <v>1409</v>
      </c>
      <c r="D1323" s="7" t="n">
        <v>-99.81</v>
      </c>
      <c r="E1323" s="16" t="s">
        <v>206</v>
      </c>
      <c r="F1323" s="7" t="n">
        <v>35885.66</v>
      </c>
      <c r="G1323" s="16" t="s">
        <v>182</v>
      </c>
    </row>
    <row r="1324" customFormat="false" ht="15" hidden="false" customHeight="false" outlineLevel="0" collapsed="false">
      <c r="A1324" s="0" t="s">
        <v>187</v>
      </c>
      <c r="B1324" s="14" t="n">
        <v>45751</v>
      </c>
      <c r="C1324" s="16" t="s">
        <v>1410</v>
      </c>
      <c r="D1324" s="7" t="n">
        <v>-300</v>
      </c>
      <c r="E1324" s="16" t="s">
        <v>206</v>
      </c>
      <c r="F1324" s="7" t="n">
        <v>35985.47</v>
      </c>
      <c r="G1324" s="16" t="s">
        <v>121</v>
      </c>
    </row>
    <row r="1325" customFormat="false" ht="15" hidden="false" customHeight="false" outlineLevel="0" collapsed="false">
      <c r="A1325" s="0" t="s">
        <v>187</v>
      </c>
      <c r="B1325" s="14" t="n">
        <v>45751</v>
      </c>
      <c r="C1325" s="16" t="s">
        <v>1411</v>
      </c>
      <c r="D1325" s="7" t="n">
        <v>-10.78</v>
      </c>
      <c r="E1325" s="16" t="s">
        <v>206</v>
      </c>
      <c r="F1325" s="7" t="n">
        <v>36285.47</v>
      </c>
      <c r="G1325" s="16" t="s">
        <v>116</v>
      </c>
    </row>
    <row r="1326" customFormat="false" ht="15" hidden="false" customHeight="false" outlineLevel="0" collapsed="false">
      <c r="A1326" s="0" t="s">
        <v>187</v>
      </c>
      <c r="B1326" s="14" t="n">
        <v>45751</v>
      </c>
      <c r="C1326" s="16" t="s">
        <v>1412</v>
      </c>
      <c r="D1326" s="7" t="n">
        <v>-36.82</v>
      </c>
      <c r="E1326" s="16" t="s">
        <v>206</v>
      </c>
      <c r="F1326" s="7" t="n">
        <v>36296.25</v>
      </c>
      <c r="G1326" s="16" t="s">
        <v>182</v>
      </c>
    </row>
    <row r="1327" customFormat="false" ht="15" hidden="false" customHeight="false" outlineLevel="0" collapsed="false">
      <c r="A1327" s="0" t="s">
        <v>187</v>
      </c>
      <c r="B1327" s="14" t="n">
        <v>45750</v>
      </c>
      <c r="C1327" s="16" t="s">
        <v>1413</v>
      </c>
      <c r="D1327" s="7" t="n">
        <v>-3.99</v>
      </c>
      <c r="E1327" s="16" t="s">
        <v>206</v>
      </c>
      <c r="F1327" s="7" t="n">
        <v>36333.07</v>
      </c>
      <c r="G1327" s="16" t="s">
        <v>144</v>
      </c>
    </row>
    <row r="1328" customFormat="false" ht="15" hidden="false" customHeight="false" outlineLevel="0" collapsed="false">
      <c r="A1328" s="0" t="s">
        <v>187</v>
      </c>
      <c r="B1328" s="14" t="n">
        <v>45750</v>
      </c>
      <c r="C1328" s="16" t="s">
        <v>1413</v>
      </c>
      <c r="D1328" s="7" t="n">
        <v>-12.99</v>
      </c>
      <c r="E1328" s="16" t="s">
        <v>206</v>
      </c>
      <c r="F1328" s="7" t="n">
        <v>36337.06</v>
      </c>
      <c r="G1328" s="16" t="s">
        <v>144</v>
      </c>
    </row>
    <row r="1329" customFormat="false" ht="15" hidden="false" customHeight="false" outlineLevel="0" collapsed="false">
      <c r="A1329" s="0" t="s">
        <v>187</v>
      </c>
      <c r="B1329" s="14" t="n">
        <v>45750</v>
      </c>
      <c r="C1329" s="16" t="s">
        <v>1414</v>
      </c>
      <c r="D1329" s="7" t="n">
        <v>-101.99</v>
      </c>
      <c r="E1329" s="16" t="s">
        <v>206</v>
      </c>
      <c r="F1329" s="7" t="n">
        <v>36350.05</v>
      </c>
      <c r="G1329" s="16" t="s">
        <v>144</v>
      </c>
    </row>
    <row r="1330" customFormat="false" ht="15" hidden="false" customHeight="false" outlineLevel="0" collapsed="false">
      <c r="A1330" s="0" t="s">
        <v>187</v>
      </c>
      <c r="B1330" s="14" t="n">
        <v>45750</v>
      </c>
      <c r="C1330" s="16" t="s">
        <v>1415</v>
      </c>
      <c r="D1330" s="7" t="n">
        <v>-200</v>
      </c>
      <c r="E1330" s="16" t="s">
        <v>206</v>
      </c>
      <c r="F1330" s="7" t="n">
        <v>36452.04</v>
      </c>
      <c r="G1330" s="16" t="s">
        <v>137</v>
      </c>
    </row>
    <row r="1331" customFormat="false" ht="15" hidden="false" customHeight="false" outlineLevel="0" collapsed="false">
      <c r="A1331" s="0" t="s">
        <v>187</v>
      </c>
      <c r="B1331" s="14" t="n">
        <v>45749</v>
      </c>
      <c r="C1331" s="16" t="s">
        <v>239</v>
      </c>
      <c r="D1331" s="7" t="n">
        <v>-25</v>
      </c>
      <c r="E1331" s="16" t="s">
        <v>189</v>
      </c>
      <c r="F1331" s="7" t="n">
        <v>36652.04</v>
      </c>
      <c r="G1331" s="16" t="s">
        <v>123</v>
      </c>
    </row>
    <row r="1332" customFormat="false" ht="15" hidden="false" customHeight="false" outlineLevel="0" collapsed="false">
      <c r="A1332" s="0" t="s">
        <v>187</v>
      </c>
      <c r="B1332" s="14" t="n">
        <v>45749</v>
      </c>
      <c r="C1332" s="16" t="s">
        <v>1416</v>
      </c>
      <c r="D1332" s="7" t="n">
        <v>-5000</v>
      </c>
      <c r="E1332" s="16" t="s">
        <v>191</v>
      </c>
      <c r="F1332" s="7" t="n">
        <v>36677.04</v>
      </c>
      <c r="G1332" s="16" t="s">
        <v>68</v>
      </c>
    </row>
    <row r="1333" customFormat="false" ht="15" hidden="false" customHeight="false" outlineLevel="0" collapsed="false">
      <c r="A1333" s="0" t="s">
        <v>187</v>
      </c>
      <c r="B1333" s="14" t="n">
        <v>45749</v>
      </c>
      <c r="C1333" s="16" t="s">
        <v>1417</v>
      </c>
      <c r="D1333" s="7" t="n">
        <v>-870.55</v>
      </c>
      <c r="E1333" s="16" t="s">
        <v>193</v>
      </c>
      <c r="F1333" s="7" t="n">
        <v>41677.04</v>
      </c>
      <c r="G1333" s="16" t="s">
        <v>184</v>
      </c>
    </row>
    <row r="1334" customFormat="false" ht="15" hidden="false" customHeight="false" outlineLevel="0" collapsed="false">
      <c r="A1334" s="0" t="s">
        <v>187</v>
      </c>
      <c r="B1334" s="14" t="n">
        <v>45749</v>
      </c>
      <c r="C1334" s="16" t="s">
        <v>1418</v>
      </c>
      <c r="D1334" s="7" t="n">
        <v>-15.99</v>
      </c>
      <c r="E1334" s="16" t="s">
        <v>206</v>
      </c>
      <c r="F1334" s="7" t="n">
        <v>42547.59</v>
      </c>
      <c r="G1334" s="16" t="s">
        <v>144</v>
      </c>
    </row>
    <row r="1335" customFormat="false" ht="15" hidden="false" customHeight="false" outlineLevel="0" collapsed="false">
      <c r="A1335" s="0" t="s">
        <v>187</v>
      </c>
      <c r="B1335" s="14" t="n">
        <v>45749</v>
      </c>
      <c r="C1335" s="16" t="s">
        <v>1419</v>
      </c>
      <c r="D1335" s="7" t="n">
        <v>-32.64</v>
      </c>
      <c r="E1335" s="16" t="s">
        <v>206</v>
      </c>
      <c r="F1335" s="7" t="n">
        <v>42563.58</v>
      </c>
      <c r="G1335" s="16" t="s">
        <v>182</v>
      </c>
    </row>
    <row r="1336" customFormat="false" ht="15" hidden="false" customHeight="false" outlineLevel="0" collapsed="false">
      <c r="A1336" s="0" t="s">
        <v>187</v>
      </c>
      <c r="B1336" s="14" t="n">
        <v>45749</v>
      </c>
      <c r="C1336" s="16" t="s">
        <v>1420</v>
      </c>
      <c r="D1336" s="7" t="n">
        <v>-14.4</v>
      </c>
      <c r="E1336" s="16" t="s">
        <v>206</v>
      </c>
      <c r="F1336" s="7" t="n">
        <v>42596.22</v>
      </c>
      <c r="G1336" s="16" t="s">
        <v>144</v>
      </c>
    </row>
    <row r="1337" customFormat="false" ht="15" hidden="false" customHeight="false" outlineLevel="0" collapsed="false">
      <c r="A1337" s="0" t="s">
        <v>187</v>
      </c>
      <c r="B1337" s="14" t="n">
        <v>45749</v>
      </c>
      <c r="C1337" s="16" t="s">
        <v>1421</v>
      </c>
      <c r="D1337" s="7" t="n">
        <v>-10.74</v>
      </c>
      <c r="E1337" s="16" t="s">
        <v>206</v>
      </c>
      <c r="F1337" s="7" t="n">
        <v>42610.62</v>
      </c>
      <c r="G1337" s="16" t="s">
        <v>179</v>
      </c>
    </row>
    <row r="1338" customFormat="false" ht="15" hidden="false" customHeight="false" outlineLevel="0" collapsed="false">
      <c r="A1338" s="0" t="s">
        <v>187</v>
      </c>
      <c r="B1338" s="14" t="n">
        <v>45749</v>
      </c>
      <c r="C1338" s="16" t="s">
        <v>1422</v>
      </c>
      <c r="D1338" s="7" t="n">
        <v>-18.99</v>
      </c>
      <c r="E1338" s="16" t="s">
        <v>206</v>
      </c>
      <c r="F1338" s="7" t="n">
        <v>42621.36</v>
      </c>
      <c r="G1338" s="16" t="s">
        <v>144</v>
      </c>
    </row>
    <row r="1339" customFormat="false" ht="15" hidden="false" customHeight="false" outlineLevel="0" collapsed="false">
      <c r="A1339" s="0" t="s">
        <v>187</v>
      </c>
      <c r="B1339" s="14" t="n">
        <v>45748</v>
      </c>
      <c r="C1339" s="16" t="s">
        <v>1423</v>
      </c>
      <c r="D1339" s="7" t="n">
        <v>-30</v>
      </c>
      <c r="E1339" s="16" t="s">
        <v>189</v>
      </c>
      <c r="F1339" s="7" t="n">
        <v>42640.35</v>
      </c>
      <c r="G1339" s="16" t="s">
        <v>175</v>
      </c>
    </row>
    <row r="1340" customFormat="false" ht="15" hidden="false" customHeight="false" outlineLevel="0" collapsed="false">
      <c r="A1340" s="0" t="s">
        <v>187</v>
      </c>
      <c r="B1340" s="14" t="n">
        <v>45748</v>
      </c>
      <c r="C1340" s="16" t="s">
        <v>1316</v>
      </c>
      <c r="D1340" s="7" t="n">
        <v>-12.5</v>
      </c>
      <c r="E1340" s="16" t="s">
        <v>189</v>
      </c>
      <c r="F1340" s="7" t="n">
        <v>42670.35</v>
      </c>
      <c r="G1340" s="16" t="s">
        <v>175</v>
      </c>
    </row>
    <row r="1341" customFormat="false" ht="15" hidden="false" customHeight="false" outlineLevel="0" collapsed="false">
      <c r="A1341" s="0" t="s">
        <v>187</v>
      </c>
      <c r="B1341" s="14" t="n">
        <v>45748</v>
      </c>
      <c r="C1341" s="16" t="s">
        <v>447</v>
      </c>
      <c r="D1341" s="7" t="n">
        <v>-25</v>
      </c>
      <c r="E1341" s="16" t="s">
        <v>189</v>
      </c>
      <c r="F1341" s="7" t="n">
        <v>42682.85</v>
      </c>
      <c r="G1341" s="16" t="s">
        <v>175</v>
      </c>
    </row>
    <row r="1342" customFormat="false" ht="15" hidden="false" customHeight="false" outlineLevel="0" collapsed="false">
      <c r="A1342" s="0" t="s">
        <v>187</v>
      </c>
      <c r="B1342" s="14" t="n">
        <v>45748</v>
      </c>
      <c r="C1342" s="16" t="s">
        <v>1421</v>
      </c>
      <c r="D1342" s="7" t="n">
        <v>-71.58</v>
      </c>
      <c r="E1342" s="16" t="s">
        <v>206</v>
      </c>
      <c r="F1342" s="7" t="n">
        <v>42707.85</v>
      </c>
      <c r="G1342" s="16" t="s">
        <v>179</v>
      </c>
    </row>
    <row r="1343" customFormat="false" ht="15" hidden="false" customHeight="false" outlineLevel="0" collapsed="false">
      <c r="A1343" s="0" t="s">
        <v>187</v>
      </c>
      <c r="B1343" s="14" t="n">
        <v>45748</v>
      </c>
      <c r="C1343" s="16" t="s">
        <v>1424</v>
      </c>
      <c r="D1343" s="7" t="n">
        <v>-27.16</v>
      </c>
      <c r="E1343" s="16" t="s">
        <v>206</v>
      </c>
      <c r="F1343" s="7" t="n">
        <v>42779.43</v>
      </c>
      <c r="G1343" s="16" t="s">
        <v>79</v>
      </c>
    </row>
    <row r="1344" customFormat="false" ht="15" hidden="false" customHeight="false" outlineLevel="0" collapsed="false">
      <c r="A1344" s="0" t="s">
        <v>187</v>
      </c>
      <c r="B1344" s="14" t="n">
        <v>45747</v>
      </c>
      <c r="C1344" s="16" t="s">
        <v>239</v>
      </c>
      <c r="D1344" s="7" t="n">
        <v>-25</v>
      </c>
      <c r="E1344" s="16" t="s">
        <v>189</v>
      </c>
      <c r="F1344" s="7" t="n">
        <v>42806.59</v>
      </c>
      <c r="G1344" s="16" t="s">
        <v>123</v>
      </c>
    </row>
    <row r="1345" customFormat="false" ht="15" hidden="false" customHeight="false" outlineLevel="0" collapsed="false">
      <c r="A1345" s="0" t="s">
        <v>187</v>
      </c>
      <c r="B1345" s="14" t="n">
        <v>45747</v>
      </c>
      <c r="C1345" s="16" t="s">
        <v>1425</v>
      </c>
      <c r="D1345" s="7" t="n">
        <v>-15000</v>
      </c>
      <c r="E1345" s="16" t="s">
        <v>191</v>
      </c>
      <c r="F1345" s="7" t="n">
        <v>42831.59</v>
      </c>
      <c r="G1345" s="16" t="s">
        <v>19</v>
      </c>
    </row>
    <row r="1346" customFormat="false" ht="15" hidden="false" customHeight="false" outlineLevel="0" collapsed="false">
      <c r="A1346" s="0" t="s">
        <v>187</v>
      </c>
      <c r="B1346" s="14" t="n">
        <v>45747</v>
      </c>
      <c r="C1346" s="16" t="s">
        <v>1426</v>
      </c>
      <c r="D1346" s="7" t="n">
        <v>-1000</v>
      </c>
      <c r="E1346" s="16" t="s">
        <v>215</v>
      </c>
      <c r="F1346" s="7" t="n">
        <v>57831.59</v>
      </c>
      <c r="G1346" s="16" t="s">
        <v>154</v>
      </c>
    </row>
    <row r="1347" customFormat="false" ht="15" hidden="false" customHeight="false" outlineLevel="0" collapsed="false">
      <c r="A1347" s="0" t="s">
        <v>187</v>
      </c>
      <c r="B1347" s="14" t="n">
        <v>45747</v>
      </c>
      <c r="C1347" s="16" t="s">
        <v>1427</v>
      </c>
      <c r="D1347" s="7" t="n">
        <v>-12.5</v>
      </c>
      <c r="E1347" s="16" t="s">
        <v>193</v>
      </c>
      <c r="F1347" s="7" t="n">
        <v>58831.59</v>
      </c>
      <c r="G1347" s="16" t="s">
        <v>142</v>
      </c>
    </row>
    <row r="1348" customFormat="false" ht="15" hidden="false" customHeight="false" outlineLevel="0" collapsed="false">
      <c r="A1348" s="0" t="s">
        <v>187</v>
      </c>
      <c r="B1348" s="14" t="n">
        <v>45747</v>
      </c>
      <c r="C1348" s="16" t="s">
        <v>1428</v>
      </c>
      <c r="D1348" s="7" t="n">
        <v>-22.92</v>
      </c>
      <c r="E1348" s="16" t="s">
        <v>193</v>
      </c>
      <c r="F1348" s="7" t="n">
        <v>58844.09</v>
      </c>
      <c r="G1348" s="16" t="s">
        <v>142</v>
      </c>
    </row>
    <row r="1349" customFormat="false" ht="15" hidden="false" customHeight="false" outlineLevel="0" collapsed="false">
      <c r="A1349" s="0" t="s">
        <v>187</v>
      </c>
      <c r="B1349" s="14" t="n">
        <v>45747</v>
      </c>
      <c r="C1349" s="16" t="s">
        <v>1429</v>
      </c>
      <c r="D1349" s="7" t="n">
        <v>-130</v>
      </c>
      <c r="E1349" s="16" t="s">
        <v>193</v>
      </c>
      <c r="F1349" s="7" t="n">
        <v>58867.01</v>
      </c>
      <c r="G1349" s="16" t="s">
        <v>80</v>
      </c>
    </row>
    <row r="1350" customFormat="false" ht="15" hidden="false" customHeight="false" outlineLevel="0" collapsed="false">
      <c r="A1350" s="0" t="s">
        <v>187</v>
      </c>
      <c r="B1350" s="14" t="n">
        <v>45747</v>
      </c>
      <c r="C1350" s="16" t="s">
        <v>1430</v>
      </c>
      <c r="D1350" s="7" t="n">
        <v>-558.58</v>
      </c>
      <c r="E1350" s="16" t="s">
        <v>193</v>
      </c>
      <c r="F1350" s="7" t="n">
        <v>58997.01</v>
      </c>
      <c r="G1350" s="16" t="s">
        <v>181</v>
      </c>
    </row>
    <row r="1351" customFormat="false" ht="15" hidden="false" customHeight="false" outlineLevel="0" collapsed="false">
      <c r="A1351" s="0" t="s">
        <v>187</v>
      </c>
      <c r="B1351" s="14" t="n">
        <v>45747</v>
      </c>
      <c r="C1351" s="16" t="s">
        <v>1431</v>
      </c>
      <c r="D1351" s="7" t="n">
        <v>-10000</v>
      </c>
      <c r="E1351" s="16" t="s">
        <v>213</v>
      </c>
      <c r="F1351" s="7" t="n">
        <v>59555.59</v>
      </c>
      <c r="G1351" s="16" t="s">
        <v>96</v>
      </c>
    </row>
    <row r="1352" customFormat="false" ht="15" hidden="false" customHeight="false" outlineLevel="0" collapsed="false">
      <c r="A1352" s="0" t="s">
        <v>187</v>
      </c>
      <c r="B1352" s="14" t="n">
        <v>45747</v>
      </c>
      <c r="C1352" s="16" t="s">
        <v>1432</v>
      </c>
      <c r="D1352" s="7" t="n">
        <v>-8.99</v>
      </c>
      <c r="E1352" s="16" t="s">
        <v>206</v>
      </c>
      <c r="F1352" s="7" t="n">
        <v>69555.59</v>
      </c>
      <c r="G1352" s="16" t="s">
        <v>144</v>
      </c>
    </row>
    <row r="1353" customFormat="false" ht="15" hidden="false" customHeight="false" outlineLevel="0" collapsed="false">
      <c r="A1353" s="0" t="s">
        <v>187</v>
      </c>
      <c r="B1353" s="14" t="n">
        <v>45747</v>
      </c>
      <c r="C1353" s="16" t="s">
        <v>1433</v>
      </c>
      <c r="D1353" s="7" t="n">
        <v>-179</v>
      </c>
      <c r="E1353" s="16" t="s">
        <v>206</v>
      </c>
      <c r="F1353" s="7" t="n">
        <v>69564.58</v>
      </c>
      <c r="G1353" s="16" t="s">
        <v>183</v>
      </c>
    </row>
    <row r="1354" customFormat="false" ht="15" hidden="false" customHeight="false" outlineLevel="0" collapsed="false">
      <c r="A1354" s="0" t="s">
        <v>187</v>
      </c>
      <c r="B1354" s="14" t="n">
        <v>45747</v>
      </c>
      <c r="C1354" s="16" t="s">
        <v>1434</v>
      </c>
      <c r="D1354" s="7" t="n">
        <v>-18.99</v>
      </c>
      <c r="E1354" s="16" t="s">
        <v>206</v>
      </c>
      <c r="F1354" s="7" t="n">
        <v>69743.58</v>
      </c>
      <c r="G1354" s="16" t="s">
        <v>144</v>
      </c>
    </row>
    <row r="1355" customFormat="false" ht="15" hidden="false" customHeight="false" outlineLevel="0" collapsed="false">
      <c r="A1355" s="0" t="s">
        <v>187</v>
      </c>
      <c r="B1355" s="14" t="n">
        <v>45747</v>
      </c>
      <c r="C1355" s="16" t="s">
        <v>1435</v>
      </c>
      <c r="D1355" s="7" t="n">
        <v>-972.38</v>
      </c>
      <c r="E1355" s="16" t="s">
        <v>193</v>
      </c>
      <c r="F1355" s="7" t="n">
        <v>69762.57</v>
      </c>
      <c r="G1355" s="16" t="s">
        <v>181</v>
      </c>
    </row>
    <row r="1356" customFormat="false" ht="15" hidden="false" customHeight="false" outlineLevel="0" collapsed="false">
      <c r="A1356" s="0" t="s">
        <v>187</v>
      </c>
      <c r="B1356" s="14" t="n">
        <v>45747</v>
      </c>
      <c r="C1356" s="16" t="s">
        <v>1436</v>
      </c>
      <c r="D1356" s="7" t="n">
        <v>-1399.46</v>
      </c>
      <c r="E1356" s="16" t="s">
        <v>193</v>
      </c>
      <c r="F1356" s="7" t="n">
        <v>70734.95</v>
      </c>
      <c r="G1356" s="16" t="s">
        <v>180</v>
      </c>
    </row>
    <row r="1357" customFormat="false" ht="15" hidden="false" customHeight="false" outlineLevel="0" collapsed="false">
      <c r="A1357" s="0" t="s">
        <v>187</v>
      </c>
      <c r="B1357" s="14" t="n">
        <v>45747</v>
      </c>
      <c r="C1357" s="16" t="s">
        <v>1437</v>
      </c>
      <c r="D1357" s="7" t="n">
        <v>-2524</v>
      </c>
      <c r="E1357" s="16" t="s">
        <v>193</v>
      </c>
      <c r="F1357" s="7" t="n">
        <v>72134.41</v>
      </c>
      <c r="G1357" s="16" t="s">
        <v>102</v>
      </c>
    </row>
    <row r="1358" customFormat="false" ht="15" hidden="false" customHeight="false" outlineLevel="0" collapsed="false">
      <c r="A1358" s="0" t="s">
        <v>187</v>
      </c>
      <c r="B1358" s="14" t="n">
        <v>45747</v>
      </c>
      <c r="C1358" s="16" t="s">
        <v>1438</v>
      </c>
      <c r="D1358" s="7" t="n">
        <v>-7010</v>
      </c>
      <c r="E1358" s="16" t="s">
        <v>208</v>
      </c>
      <c r="F1358" s="7" t="n">
        <v>74658.41</v>
      </c>
      <c r="G1358" s="16" t="s">
        <v>134</v>
      </c>
    </row>
    <row r="1359" customFormat="false" ht="15" hidden="false" customHeight="false" outlineLevel="0" collapsed="false">
      <c r="A1359" s="0" t="s">
        <v>187</v>
      </c>
      <c r="B1359" s="14" t="n">
        <v>45747</v>
      </c>
      <c r="C1359" s="16" t="s">
        <v>1439</v>
      </c>
      <c r="D1359" s="7" t="n">
        <v>-409.45</v>
      </c>
      <c r="E1359" s="16" t="s">
        <v>208</v>
      </c>
      <c r="F1359" s="7" t="n">
        <v>81668.41</v>
      </c>
      <c r="G1359" s="16" t="s">
        <v>180</v>
      </c>
    </row>
    <row r="1360" customFormat="false" ht="15" hidden="false" customHeight="false" outlineLevel="0" collapsed="false">
      <c r="A1360" s="0" t="s">
        <v>187</v>
      </c>
      <c r="B1360" s="14" t="n">
        <v>45747</v>
      </c>
      <c r="C1360" s="16" t="s">
        <v>1440</v>
      </c>
      <c r="D1360" s="7" t="n">
        <v>-100.67</v>
      </c>
      <c r="E1360" s="16" t="s">
        <v>206</v>
      </c>
      <c r="F1360" s="7" t="n">
        <v>82077.86</v>
      </c>
      <c r="G1360" s="16" t="s">
        <v>182</v>
      </c>
    </row>
    <row r="1361" customFormat="false" ht="15" hidden="false" customHeight="false" outlineLevel="0" collapsed="false">
      <c r="A1361" s="0" t="s">
        <v>187</v>
      </c>
      <c r="B1361" s="14" t="n">
        <v>45747</v>
      </c>
      <c r="C1361" s="16" t="s">
        <v>1441</v>
      </c>
      <c r="D1361" s="7" t="n">
        <v>-17.57</v>
      </c>
      <c r="E1361" s="16" t="s">
        <v>206</v>
      </c>
      <c r="F1361" s="7" t="n">
        <v>82178.53</v>
      </c>
      <c r="G1361" s="16" t="s">
        <v>179</v>
      </c>
    </row>
    <row r="1362" customFormat="false" ht="15" hidden="false" customHeight="false" outlineLevel="0" collapsed="false">
      <c r="A1362" s="0" t="s">
        <v>187</v>
      </c>
      <c r="B1362" s="14" t="n">
        <v>45747</v>
      </c>
      <c r="C1362" s="16" t="s">
        <v>1442</v>
      </c>
      <c r="D1362" s="7" t="n">
        <v>-1500</v>
      </c>
      <c r="E1362" s="16" t="s">
        <v>215</v>
      </c>
      <c r="F1362" s="7" t="n">
        <v>82196.1</v>
      </c>
      <c r="G1362" s="16" t="s">
        <v>83</v>
      </c>
    </row>
    <row r="1363" customFormat="false" ht="15" hidden="false" customHeight="false" outlineLevel="0" collapsed="false">
      <c r="A1363" s="0" t="s">
        <v>259</v>
      </c>
      <c r="B1363" s="14" t="n">
        <v>45747</v>
      </c>
      <c r="C1363" s="16" t="s">
        <v>1443</v>
      </c>
      <c r="D1363" s="7" t="n">
        <v>15000</v>
      </c>
      <c r="E1363" s="16" t="s">
        <v>213</v>
      </c>
      <c r="F1363" s="7" t="n">
        <v>83696.1</v>
      </c>
      <c r="G1363" s="16" t="s">
        <v>43</v>
      </c>
    </row>
    <row r="1364" customFormat="false" ht="15" hidden="false" customHeight="false" outlineLevel="0" collapsed="false">
      <c r="A1364" s="0" t="s">
        <v>259</v>
      </c>
      <c r="B1364" s="14" t="n">
        <v>45747</v>
      </c>
      <c r="C1364" s="16" t="s">
        <v>1444</v>
      </c>
      <c r="D1364" s="7" t="n">
        <v>20000</v>
      </c>
      <c r="E1364" s="16" t="s">
        <v>213</v>
      </c>
      <c r="F1364" s="7" t="n">
        <v>68696.1</v>
      </c>
      <c r="G1364" s="16" t="s">
        <v>43</v>
      </c>
    </row>
    <row r="1365" customFormat="false" ht="15" hidden="false" customHeight="false" outlineLevel="0" collapsed="false">
      <c r="A1365" s="0" t="s">
        <v>187</v>
      </c>
      <c r="B1365" s="14" t="n">
        <v>45744</v>
      </c>
      <c r="C1365" s="16" t="s">
        <v>1445</v>
      </c>
      <c r="D1365" s="7" t="n">
        <v>-5000</v>
      </c>
      <c r="E1365" s="16" t="s">
        <v>213</v>
      </c>
      <c r="F1365" s="7" t="n">
        <v>48696.1</v>
      </c>
      <c r="G1365" s="16" t="s">
        <v>96</v>
      </c>
    </row>
    <row r="1366" customFormat="false" ht="15" hidden="false" customHeight="false" outlineLevel="0" collapsed="false">
      <c r="A1366" s="0" t="s">
        <v>187</v>
      </c>
      <c r="B1366" s="14" t="n">
        <v>45744</v>
      </c>
      <c r="C1366" s="16" t="s">
        <v>1446</v>
      </c>
      <c r="D1366" s="7" t="n">
        <v>-8000</v>
      </c>
      <c r="E1366" s="16" t="s">
        <v>213</v>
      </c>
      <c r="F1366" s="7" t="n">
        <v>53696.1</v>
      </c>
      <c r="G1366" s="16" t="s">
        <v>98</v>
      </c>
    </row>
    <row r="1367" customFormat="false" ht="15" hidden="false" customHeight="false" outlineLevel="0" collapsed="false">
      <c r="A1367" s="0" t="s">
        <v>187</v>
      </c>
      <c r="B1367" s="14" t="n">
        <v>45744</v>
      </c>
      <c r="C1367" s="16" t="s">
        <v>1447</v>
      </c>
      <c r="D1367" s="7" t="n">
        <v>-1000</v>
      </c>
      <c r="E1367" s="16" t="s">
        <v>213</v>
      </c>
      <c r="F1367" s="7" t="n">
        <v>61696.1</v>
      </c>
      <c r="G1367" s="16" t="s">
        <v>97</v>
      </c>
    </row>
    <row r="1368" customFormat="false" ht="15" hidden="false" customHeight="false" outlineLevel="0" collapsed="false">
      <c r="A1368" s="0" t="s">
        <v>187</v>
      </c>
      <c r="B1368" s="14" t="n">
        <v>45744</v>
      </c>
      <c r="C1368" s="16" t="s">
        <v>1448</v>
      </c>
      <c r="D1368" s="7" t="n">
        <v>-3000</v>
      </c>
      <c r="E1368" s="16" t="s">
        <v>213</v>
      </c>
      <c r="F1368" s="7" t="n">
        <v>62696.1</v>
      </c>
      <c r="G1368" s="16" t="s">
        <v>96</v>
      </c>
    </row>
    <row r="1369" customFormat="false" ht="15" hidden="false" customHeight="false" outlineLevel="0" collapsed="false">
      <c r="A1369" s="0" t="s">
        <v>259</v>
      </c>
      <c r="B1369" s="14" t="n">
        <v>45744</v>
      </c>
      <c r="C1369" s="16" t="s">
        <v>1449</v>
      </c>
      <c r="D1369" s="7" t="n">
        <v>1500</v>
      </c>
      <c r="E1369" s="16" t="s">
        <v>213</v>
      </c>
      <c r="F1369" s="7" t="n">
        <v>65696.1</v>
      </c>
      <c r="G1369" s="16" t="s">
        <v>49</v>
      </c>
    </row>
    <row r="1370" customFormat="false" ht="15" hidden="false" customHeight="false" outlineLevel="0" collapsed="false">
      <c r="A1370" s="0" t="s">
        <v>259</v>
      </c>
      <c r="B1370" s="14" t="n">
        <v>45744</v>
      </c>
      <c r="C1370" s="16" t="s">
        <v>1450</v>
      </c>
      <c r="D1370" s="7" t="n">
        <v>30000</v>
      </c>
      <c r="E1370" s="16" t="s">
        <v>213</v>
      </c>
      <c r="F1370" s="7" t="n">
        <v>64196.1</v>
      </c>
      <c r="G1370" s="16" t="s">
        <v>43</v>
      </c>
    </row>
    <row r="1371" customFormat="false" ht="15" hidden="false" customHeight="false" outlineLevel="0" collapsed="false">
      <c r="A1371" s="0" t="s">
        <v>187</v>
      </c>
      <c r="B1371" s="14" t="n">
        <v>45743</v>
      </c>
      <c r="C1371" s="16" t="s">
        <v>188</v>
      </c>
      <c r="D1371" s="7" t="n">
        <v>-5</v>
      </c>
      <c r="E1371" s="16" t="s">
        <v>189</v>
      </c>
      <c r="F1371" s="7" t="n">
        <v>34196.1</v>
      </c>
      <c r="G1371" s="16" t="s">
        <v>65</v>
      </c>
    </row>
    <row r="1372" customFormat="false" ht="15" hidden="false" customHeight="false" outlineLevel="0" collapsed="false">
      <c r="A1372" s="0" t="s">
        <v>187</v>
      </c>
      <c r="B1372" s="14" t="n">
        <v>45743</v>
      </c>
      <c r="C1372" s="16" t="s">
        <v>1451</v>
      </c>
      <c r="D1372" s="7" t="n">
        <v>-104.35</v>
      </c>
      <c r="E1372" s="16" t="s">
        <v>193</v>
      </c>
      <c r="F1372" s="7" t="n">
        <v>34201.1</v>
      </c>
      <c r="G1372" s="16" t="s">
        <v>122</v>
      </c>
    </row>
    <row r="1373" customFormat="false" ht="15" hidden="false" customHeight="false" outlineLevel="0" collapsed="false">
      <c r="A1373" s="0" t="s">
        <v>187</v>
      </c>
      <c r="B1373" s="14" t="n">
        <v>45743</v>
      </c>
      <c r="C1373" s="16" t="s">
        <v>1452</v>
      </c>
      <c r="D1373" s="7" t="n">
        <v>-750</v>
      </c>
      <c r="E1373" s="16" t="s">
        <v>191</v>
      </c>
      <c r="F1373" s="7" t="n">
        <v>34305.45</v>
      </c>
      <c r="G1373" s="16" t="s">
        <v>65</v>
      </c>
    </row>
    <row r="1374" customFormat="false" ht="15" hidden="false" customHeight="false" outlineLevel="0" collapsed="false">
      <c r="A1374" s="0" t="s">
        <v>187</v>
      </c>
      <c r="B1374" s="14" t="n">
        <v>45743</v>
      </c>
      <c r="C1374" s="16" t="s">
        <v>1453</v>
      </c>
      <c r="D1374" s="7" t="n">
        <v>-117.15</v>
      </c>
      <c r="E1374" s="16" t="s">
        <v>206</v>
      </c>
      <c r="F1374" s="7" t="n">
        <v>35055.45</v>
      </c>
      <c r="G1374" s="16" t="s">
        <v>179</v>
      </c>
    </row>
    <row r="1375" customFormat="false" ht="15" hidden="false" customHeight="false" outlineLevel="0" collapsed="false">
      <c r="A1375" s="0" t="s">
        <v>187</v>
      </c>
      <c r="B1375" s="14" t="n">
        <v>45743</v>
      </c>
      <c r="C1375" s="16" t="s">
        <v>1453</v>
      </c>
      <c r="D1375" s="7" t="n">
        <v>-5.37</v>
      </c>
      <c r="E1375" s="16" t="s">
        <v>206</v>
      </c>
      <c r="F1375" s="7" t="n">
        <v>35172.6</v>
      </c>
      <c r="G1375" s="16" t="s">
        <v>179</v>
      </c>
    </row>
    <row r="1376" customFormat="false" ht="15" hidden="false" customHeight="false" outlineLevel="0" collapsed="false">
      <c r="A1376" s="0" t="s">
        <v>187</v>
      </c>
      <c r="B1376" s="14" t="n">
        <v>45743</v>
      </c>
      <c r="C1376" s="16" t="s">
        <v>1454</v>
      </c>
      <c r="D1376" s="7" t="n">
        <v>-16.99</v>
      </c>
      <c r="E1376" s="16" t="s">
        <v>206</v>
      </c>
      <c r="F1376" s="7" t="n">
        <v>35177.97</v>
      </c>
      <c r="G1376" s="16" t="s">
        <v>144</v>
      </c>
    </row>
    <row r="1377" customFormat="false" ht="15" hidden="false" customHeight="false" outlineLevel="0" collapsed="false">
      <c r="A1377" s="0" t="s">
        <v>187</v>
      </c>
      <c r="B1377" s="14" t="n">
        <v>45743</v>
      </c>
      <c r="C1377" s="16" t="s">
        <v>1454</v>
      </c>
      <c r="D1377" s="7" t="n">
        <v>-9.99</v>
      </c>
      <c r="E1377" s="16" t="s">
        <v>206</v>
      </c>
      <c r="F1377" s="7" t="n">
        <v>35194.96</v>
      </c>
      <c r="G1377" s="16" t="s">
        <v>144</v>
      </c>
    </row>
    <row r="1378" customFormat="false" ht="15" hidden="false" customHeight="false" outlineLevel="0" collapsed="false">
      <c r="A1378" s="0" t="s">
        <v>187</v>
      </c>
      <c r="B1378" s="14" t="n">
        <v>45742</v>
      </c>
      <c r="C1378" s="16" t="s">
        <v>1455</v>
      </c>
      <c r="D1378" s="7" t="n">
        <v>-17.27</v>
      </c>
      <c r="E1378" s="16" t="s">
        <v>206</v>
      </c>
      <c r="F1378" s="7" t="n">
        <v>35204.95</v>
      </c>
      <c r="G1378" s="16" t="s">
        <v>144</v>
      </c>
    </row>
    <row r="1379" customFormat="false" ht="15" hidden="false" customHeight="false" outlineLevel="0" collapsed="false">
      <c r="A1379" s="0" t="s">
        <v>187</v>
      </c>
      <c r="B1379" s="14" t="n">
        <v>45742</v>
      </c>
      <c r="C1379" s="16" t="s">
        <v>1456</v>
      </c>
      <c r="D1379" s="7" t="n">
        <v>-8.99</v>
      </c>
      <c r="E1379" s="16" t="s">
        <v>206</v>
      </c>
      <c r="F1379" s="7" t="n">
        <v>35222.22</v>
      </c>
      <c r="G1379" s="16" t="s">
        <v>144</v>
      </c>
    </row>
    <row r="1380" customFormat="false" ht="15" hidden="false" customHeight="false" outlineLevel="0" collapsed="false">
      <c r="A1380" s="0" t="s">
        <v>187</v>
      </c>
      <c r="B1380" s="14" t="n">
        <v>45741</v>
      </c>
      <c r="C1380" s="16" t="s">
        <v>1457</v>
      </c>
      <c r="D1380" s="7" t="n">
        <v>-200</v>
      </c>
      <c r="E1380" s="16" t="s">
        <v>215</v>
      </c>
      <c r="F1380" s="7" t="n">
        <v>35231.21</v>
      </c>
      <c r="G1380" s="16" t="s">
        <v>154</v>
      </c>
    </row>
    <row r="1381" customFormat="false" ht="15" hidden="false" customHeight="false" outlineLevel="0" collapsed="false">
      <c r="A1381" s="0" t="s">
        <v>187</v>
      </c>
      <c r="B1381" s="14" t="n">
        <v>45741</v>
      </c>
      <c r="C1381" s="16" t="s">
        <v>1458</v>
      </c>
      <c r="D1381" s="7" t="n">
        <v>-977.6</v>
      </c>
      <c r="E1381" s="16" t="s">
        <v>1459</v>
      </c>
      <c r="F1381" s="7" t="n">
        <v>35431.21</v>
      </c>
      <c r="G1381" s="16" t="s">
        <v>153</v>
      </c>
    </row>
    <row r="1382" customFormat="false" ht="15" hidden="false" customHeight="false" outlineLevel="0" collapsed="false">
      <c r="A1382" s="0" t="s">
        <v>187</v>
      </c>
      <c r="B1382" s="14" t="n">
        <v>45741</v>
      </c>
      <c r="C1382" s="16" t="s">
        <v>1460</v>
      </c>
      <c r="D1382" s="7" t="n">
        <v>-51.75</v>
      </c>
      <c r="E1382" s="16" t="s">
        <v>206</v>
      </c>
      <c r="F1382" s="7" t="n">
        <v>36408.81</v>
      </c>
      <c r="G1382" s="16" t="s">
        <v>89</v>
      </c>
    </row>
    <row r="1383" customFormat="false" ht="15" hidden="false" customHeight="false" outlineLevel="0" collapsed="false">
      <c r="A1383" s="0" t="s">
        <v>187</v>
      </c>
      <c r="B1383" s="14" t="n">
        <v>45741</v>
      </c>
      <c r="C1383" s="16" t="s">
        <v>1461</v>
      </c>
      <c r="D1383" s="7" t="n">
        <v>-200</v>
      </c>
      <c r="E1383" s="16" t="s">
        <v>206</v>
      </c>
      <c r="F1383" s="7" t="n">
        <v>36460.56</v>
      </c>
      <c r="G1383" s="16" t="s">
        <v>152</v>
      </c>
    </row>
    <row r="1384" customFormat="false" ht="15" hidden="false" customHeight="false" outlineLevel="0" collapsed="false">
      <c r="A1384" s="0" t="s">
        <v>187</v>
      </c>
      <c r="B1384" s="14" t="n">
        <v>45741</v>
      </c>
      <c r="C1384" s="16" t="s">
        <v>1462</v>
      </c>
      <c r="D1384" s="7" t="n">
        <v>-12.99</v>
      </c>
      <c r="E1384" s="16" t="s">
        <v>206</v>
      </c>
      <c r="F1384" s="7" t="n">
        <v>36660.56</v>
      </c>
      <c r="G1384" s="16" t="s">
        <v>114</v>
      </c>
    </row>
    <row r="1385" customFormat="false" ht="15" hidden="false" customHeight="false" outlineLevel="0" collapsed="false">
      <c r="A1385" s="0" t="s">
        <v>187</v>
      </c>
      <c r="B1385" s="14" t="n">
        <v>45741</v>
      </c>
      <c r="C1385" s="16" t="s">
        <v>1463</v>
      </c>
      <c r="D1385" s="7" t="n">
        <v>-70</v>
      </c>
      <c r="E1385" s="16" t="s">
        <v>206</v>
      </c>
      <c r="F1385" s="7" t="n">
        <v>36673.55</v>
      </c>
      <c r="G1385" s="16" t="s">
        <v>75</v>
      </c>
    </row>
    <row r="1386" customFormat="false" ht="15" hidden="false" customHeight="false" outlineLevel="0" collapsed="false">
      <c r="A1386" s="0" t="s">
        <v>187</v>
      </c>
      <c r="B1386" s="14" t="n">
        <v>45740</v>
      </c>
      <c r="C1386" s="16" t="s">
        <v>1464</v>
      </c>
      <c r="D1386" s="7" t="n">
        <v>-2000</v>
      </c>
      <c r="E1386" s="16" t="s">
        <v>213</v>
      </c>
      <c r="F1386" s="7" t="n">
        <v>36743.55</v>
      </c>
      <c r="G1386" s="16" t="s">
        <v>96</v>
      </c>
    </row>
    <row r="1387" customFormat="false" ht="15" hidden="false" customHeight="false" outlineLevel="0" collapsed="false">
      <c r="A1387" s="0" t="s">
        <v>187</v>
      </c>
      <c r="B1387" s="14" t="n">
        <v>45740</v>
      </c>
      <c r="C1387" s="16" t="s">
        <v>1465</v>
      </c>
      <c r="D1387" s="7" t="n">
        <v>-300</v>
      </c>
      <c r="E1387" s="16" t="s">
        <v>215</v>
      </c>
      <c r="F1387" s="7" t="n">
        <v>38743.55</v>
      </c>
      <c r="G1387" s="16" t="s">
        <v>81</v>
      </c>
    </row>
    <row r="1388" customFormat="false" ht="15" hidden="false" customHeight="false" outlineLevel="0" collapsed="false">
      <c r="A1388" s="0" t="s">
        <v>187</v>
      </c>
      <c r="B1388" s="14" t="n">
        <v>45740</v>
      </c>
      <c r="C1388" s="16" t="s">
        <v>1466</v>
      </c>
      <c r="D1388" s="7" t="n">
        <v>-100</v>
      </c>
      <c r="E1388" s="16" t="s">
        <v>193</v>
      </c>
      <c r="F1388" s="7" t="n">
        <v>39043.55</v>
      </c>
      <c r="G1388" s="16" t="s">
        <v>80</v>
      </c>
    </row>
    <row r="1389" customFormat="false" ht="15" hidden="false" customHeight="false" outlineLevel="0" collapsed="false">
      <c r="A1389" s="0" t="s">
        <v>187</v>
      </c>
      <c r="B1389" s="14" t="n">
        <v>45740</v>
      </c>
      <c r="C1389" s="16" t="s">
        <v>1467</v>
      </c>
      <c r="D1389" s="7" t="n">
        <v>-120</v>
      </c>
      <c r="E1389" s="16" t="s">
        <v>193</v>
      </c>
      <c r="F1389" s="7" t="n">
        <v>39143.55</v>
      </c>
      <c r="G1389" s="16" t="s">
        <v>80</v>
      </c>
    </row>
    <row r="1390" customFormat="false" ht="15" hidden="false" customHeight="false" outlineLevel="0" collapsed="false">
      <c r="A1390" s="0" t="s">
        <v>187</v>
      </c>
      <c r="B1390" s="14" t="n">
        <v>45740</v>
      </c>
      <c r="C1390" s="16" t="s">
        <v>1468</v>
      </c>
      <c r="D1390" s="7" t="n">
        <v>-1000</v>
      </c>
      <c r="E1390" s="16" t="s">
        <v>215</v>
      </c>
      <c r="F1390" s="7" t="n">
        <v>39263.55</v>
      </c>
      <c r="G1390" s="16" t="s">
        <v>86</v>
      </c>
    </row>
    <row r="1391" customFormat="false" ht="15" hidden="false" customHeight="false" outlineLevel="0" collapsed="false">
      <c r="A1391" s="0" t="s">
        <v>187</v>
      </c>
      <c r="B1391" s="14" t="n">
        <v>45740</v>
      </c>
      <c r="C1391" s="16" t="s">
        <v>1469</v>
      </c>
      <c r="D1391" s="7" t="n">
        <v>-9.99</v>
      </c>
      <c r="E1391" s="16" t="s">
        <v>206</v>
      </c>
      <c r="F1391" s="7" t="n">
        <v>40263.55</v>
      </c>
      <c r="G1391" s="16" t="s">
        <v>144</v>
      </c>
    </row>
    <row r="1392" customFormat="false" ht="15" hidden="false" customHeight="false" outlineLevel="0" collapsed="false">
      <c r="A1392" s="0" t="s">
        <v>187</v>
      </c>
      <c r="B1392" s="14" t="n">
        <v>45740</v>
      </c>
      <c r="C1392" s="16" t="s">
        <v>1470</v>
      </c>
      <c r="D1392" s="7" t="n">
        <v>-2000</v>
      </c>
      <c r="E1392" s="16" t="s">
        <v>213</v>
      </c>
      <c r="F1392" s="7" t="n">
        <v>40273.54</v>
      </c>
      <c r="G1392" s="16" t="s">
        <v>96</v>
      </c>
    </row>
    <row r="1393" customFormat="false" ht="15" hidden="false" customHeight="false" outlineLevel="0" collapsed="false">
      <c r="A1393" s="0" t="s">
        <v>187</v>
      </c>
      <c r="B1393" s="14" t="n">
        <v>45740</v>
      </c>
      <c r="C1393" s="16" t="s">
        <v>1471</v>
      </c>
      <c r="D1393" s="7" t="n">
        <v>-75</v>
      </c>
      <c r="E1393" s="16" t="s">
        <v>215</v>
      </c>
      <c r="F1393" s="7" t="n">
        <v>42273.54</v>
      </c>
      <c r="G1393" s="16" t="s">
        <v>87</v>
      </c>
    </row>
    <row r="1394" customFormat="false" ht="15" hidden="false" customHeight="false" outlineLevel="0" collapsed="false">
      <c r="A1394" s="0" t="s">
        <v>187</v>
      </c>
      <c r="B1394" s="14" t="n">
        <v>45740</v>
      </c>
      <c r="C1394" s="16" t="s">
        <v>1472</v>
      </c>
      <c r="D1394" s="7" t="n">
        <v>-1000</v>
      </c>
      <c r="E1394" s="16" t="s">
        <v>215</v>
      </c>
      <c r="F1394" s="7" t="n">
        <v>42348.54</v>
      </c>
      <c r="G1394" s="16" t="s">
        <v>87</v>
      </c>
    </row>
    <row r="1395" customFormat="false" ht="15" hidden="false" customHeight="false" outlineLevel="0" collapsed="false">
      <c r="A1395" s="0" t="s">
        <v>187</v>
      </c>
      <c r="B1395" s="14" t="n">
        <v>45740</v>
      </c>
      <c r="C1395" s="16" t="s">
        <v>1473</v>
      </c>
      <c r="D1395" s="7" t="n">
        <v>-200</v>
      </c>
      <c r="E1395" s="16" t="s">
        <v>206</v>
      </c>
      <c r="F1395" s="7" t="n">
        <v>43348.54</v>
      </c>
      <c r="G1395" s="16" t="s">
        <v>152</v>
      </c>
    </row>
    <row r="1396" customFormat="false" ht="15" hidden="false" customHeight="false" outlineLevel="0" collapsed="false">
      <c r="A1396" s="0" t="s">
        <v>187</v>
      </c>
      <c r="B1396" s="14" t="n">
        <v>45740</v>
      </c>
      <c r="C1396" s="16" t="s">
        <v>1474</v>
      </c>
      <c r="D1396" s="7" t="n">
        <v>-11.57</v>
      </c>
      <c r="E1396" s="16" t="s">
        <v>206</v>
      </c>
      <c r="F1396" s="7" t="n">
        <v>43548.54</v>
      </c>
      <c r="G1396" s="16" t="s">
        <v>144</v>
      </c>
    </row>
    <row r="1397" customFormat="false" ht="15" hidden="false" customHeight="false" outlineLevel="0" collapsed="false">
      <c r="A1397" s="0" t="s">
        <v>187</v>
      </c>
      <c r="B1397" s="14" t="n">
        <v>45740</v>
      </c>
      <c r="C1397" s="16" t="s">
        <v>1475</v>
      </c>
      <c r="D1397" s="7" t="n">
        <v>-500</v>
      </c>
      <c r="E1397" s="16" t="s">
        <v>206</v>
      </c>
      <c r="F1397" s="7" t="n">
        <v>43560.11</v>
      </c>
      <c r="G1397" s="16" t="s">
        <v>67</v>
      </c>
    </row>
    <row r="1398" customFormat="false" ht="15" hidden="false" customHeight="false" outlineLevel="0" collapsed="false">
      <c r="A1398" s="0" t="s">
        <v>187</v>
      </c>
      <c r="B1398" s="14" t="n">
        <v>45740</v>
      </c>
      <c r="C1398" s="16" t="s">
        <v>1476</v>
      </c>
      <c r="D1398" s="7" t="n">
        <v>-120</v>
      </c>
      <c r="E1398" s="16" t="s">
        <v>206</v>
      </c>
      <c r="F1398" s="7" t="n">
        <v>44060.11</v>
      </c>
      <c r="G1398" s="16" t="s">
        <v>152</v>
      </c>
    </row>
    <row r="1399" customFormat="false" ht="15" hidden="false" customHeight="false" outlineLevel="0" collapsed="false">
      <c r="A1399" s="0" t="s">
        <v>187</v>
      </c>
      <c r="B1399" s="14" t="n">
        <v>45737</v>
      </c>
      <c r="C1399" s="16" t="s">
        <v>1477</v>
      </c>
      <c r="D1399" s="7" t="n">
        <v>-1000</v>
      </c>
      <c r="E1399" s="16" t="s">
        <v>213</v>
      </c>
      <c r="F1399" s="7" t="n">
        <v>44180.11</v>
      </c>
      <c r="G1399" s="16" t="s">
        <v>185</v>
      </c>
    </row>
    <row r="1400" customFormat="false" ht="15" hidden="false" customHeight="false" outlineLevel="0" collapsed="false">
      <c r="A1400" s="0" t="s">
        <v>187</v>
      </c>
      <c r="B1400" s="14" t="n">
        <v>45737</v>
      </c>
      <c r="C1400" s="16" t="s">
        <v>1478</v>
      </c>
      <c r="D1400" s="7" t="n">
        <v>-3000</v>
      </c>
      <c r="E1400" s="16" t="s">
        <v>213</v>
      </c>
      <c r="F1400" s="7" t="n">
        <v>45180.11</v>
      </c>
      <c r="G1400" s="16" t="s">
        <v>96</v>
      </c>
    </row>
    <row r="1401" customFormat="false" ht="15" hidden="false" customHeight="false" outlineLevel="0" collapsed="false">
      <c r="A1401" s="0" t="s">
        <v>187</v>
      </c>
      <c r="B1401" s="14" t="n">
        <v>45737</v>
      </c>
      <c r="C1401" s="16" t="s">
        <v>1479</v>
      </c>
      <c r="D1401" s="7" t="n">
        <v>-331.54</v>
      </c>
      <c r="E1401" s="16" t="s">
        <v>193</v>
      </c>
      <c r="F1401" s="7" t="n">
        <v>48180.11</v>
      </c>
      <c r="G1401" s="16" t="s">
        <v>148</v>
      </c>
    </row>
    <row r="1402" customFormat="false" ht="15" hidden="false" customHeight="false" outlineLevel="0" collapsed="false">
      <c r="A1402" s="0" t="s">
        <v>187</v>
      </c>
      <c r="B1402" s="14" t="n">
        <v>45737</v>
      </c>
      <c r="C1402" s="16" t="s">
        <v>1480</v>
      </c>
      <c r="D1402" s="7" t="n">
        <v>-2353.94</v>
      </c>
      <c r="E1402" s="16" t="s">
        <v>193</v>
      </c>
      <c r="F1402" s="7" t="n">
        <v>48511.65</v>
      </c>
      <c r="G1402" s="16" t="s">
        <v>181</v>
      </c>
    </row>
    <row r="1403" customFormat="false" ht="15" hidden="false" customHeight="false" outlineLevel="0" collapsed="false">
      <c r="A1403" s="0" t="s">
        <v>187</v>
      </c>
      <c r="B1403" s="14" t="n">
        <v>45737</v>
      </c>
      <c r="C1403" s="16" t="s">
        <v>1481</v>
      </c>
      <c r="D1403" s="7" t="n">
        <v>-3.99</v>
      </c>
      <c r="E1403" s="16" t="s">
        <v>206</v>
      </c>
      <c r="F1403" s="7" t="n">
        <v>50865.59</v>
      </c>
      <c r="G1403" s="16" t="s">
        <v>144</v>
      </c>
    </row>
    <row r="1404" customFormat="false" ht="15" hidden="false" customHeight="false" outlineLevel="0" collapsed="false">
      <c r="A1404" s="0" t="s">
        <v>187</v>
      </c>
      <c r="B1404" s="14" t="n">
        <v>45737</v>
      </c>
      <c r="C1404" s="16" t="s">
        <v>1482</v>
      </c>
      <c r="D1404" s="7" t="n">
        <v>-26.89</v>
      </c>
      <c r="E1404" s="16" t="s">
        <v>206</v>
      </c>
      <c r="F1404" s="7" t="n">
        <v>50869.58</v>
      </c>
      <c r="G1404" s="16" t="s">
        <v>144</v>
      </c>
    </row>
    <row r="1405" customFormat="false" ht="15" hidden="false" customHeight="false" outlineLevel="0" collapsed="false">
      <c r="A1405" s="0" t="s">
        <v>187</v>
      </c>
      <c r="B1405" s="14" t="n">
        <v>45736</v>
      </c>
      <c r="C1405" s="16" t="s">
        <v>1483</v>
      </c>
      <c r="D1405" s="7" t="n">
        <v>-5000</v>
      </c>
      <c r="E1405" s="16" t="s">
        <v>213</v>
      </c>
      <c r="F1405" s="7" t="n">
        <v>50896.47</v>
      </c>
      <c r="G1405" s="16" t="s">
        <v>96</v>
      </c>
    </row>
    <row r="1406" customFormat="false" ht="15" hidden="false" customHeight="false" outlineLevel="0" collapsed="false">
      <c r="A1406" s="0" t="s">
        <v>187</v>
      </c>
      <c r="B1406" s="14" t="n">
        <v>45736</v>
      </c>
      <c r="C1406" s="16" t="s">
        <v>1481</v>
      </c>
      <c r="D1406" s="7" t="n">
        <v>-9.99</v>
      </c>
      <c r="E1406" s="16" t="s">
        <v>206</v>
      </c>
      <c r="F1406" s="7" t="n">
        <v>55896.47</v>
      </c>
      <c r="G1406" s="16" t="s">
        <v>144</v>
      </c>
    </row>
    <row r="1407" customFormat="false" ht="15" hidden="false" customHeight="false" outlineLevel="0" collapsed="false">
      <c r="A1407" s="0" t="s">
        <v>187</v>
      </c>
      <c r="B1407" s="14" t="n">
        <v>45736</v>
      </c>
      <c r="C1407" s="16" t="s">
        <v>1484</v>
      </c>
      <c r="D1407" s="7" t="n">
        <v>-15</v>
      </c>
      <c r="E1407" s="16" t="s">
        <v>206</v>
      </c>
      <c r="F1407" s="7" t="n">
        <v>55906.46</v>
      </c>
      <c r="G1407" s="16" t="s">
        <v>144</v>
      </c>
    </row>
    <row r="1408" customFormat="false" ht="15" hidden="false" customHeight="false" outlineLevel="0" collapsed="false">
      <c r="A1408" s="0" t="s">
        <v>187</v>
      </c>
      <c r="B1408" s="14" t="n">
        <v>45735</v>
      </c>
      <c r="C1408" s="16" t="s">
        <v>277</v>
      </c>
      <c r="D1408" s="7" t="n">
        <v>-15</v>
      </c>
      <c r="E1408" s="16" t="s">
        <v>189</v>
      </c>
      <c r="F1408" s="7" t="n">
        <v>55921.46</v>
      </c>
      <c r="G1408" s="16" t="s">
        <v>123</v>
      </c>
    </row>
    <row r="1409" customFormat="false" ht="15" hidden="false" customHeight="false" outlineLevel="0" collapsed="false">
      <c r="A1409" s="0" t="s">
        <v>187</v>
      </c>
      <c r="B1409" s="14" t="n">
        <v>45735</v>
      </c>
      <c r="C1409" s="16" t="s">
        <v>1485</v>
      </c>
      <c r="D1409" s="7" t="n">
        <v>-7.99</v>
      </c>
      <c r="E1409" s="16" t="s">
        <v>206</v>
      </c>
      <c r="F1409" s="7" t="n">
        <v>55936.46</v>
      </c>
      <c r="G1409" s="16" t="s">
        <v>144</v>
      </c>
    </row>
    <row r="1410" customFormat="false" ht="15" hidden="false" customHeight="false" outlineLevel="0" collapsed="false">
      <c r="A1410" s="0" t="s">
        <v>187</v>
      </c>
      <c r="B1410" s="14" t="n">
        <v>45735</v>
      </c>
      <c r="C1410" s="16" t="s">
        <v>1486</v>
      </c>
      <c r="D1410" s="7" t="n">
        <v>-1000</v>
      </c>
      <c r="E1410" s="16" t="s">
        <v>206</v>
      </c>
      <c r="F1410" s="7" t="n">
        <v>55944.45</v>
      </c>
      <c r="G1410" s="16" t="s">
        <v>152</v>
      </c>
    </row>
    <row r="1411" customFormat="false" ht="15" hidden="false" customHeight="false" outlineLevel="0" collapsed="false">
      <c r="A1411" s="0" t="s">
        <v>187</v>
      </c>
      <c r="B1411" s="14" t="n">
        <v>45735</v>
      </c>
      <c r="C1411" s="16" t="s">
        <v>1487</v>
      </c>
      <c r="D1411" s="7" t="n">
        <v>-16</v>
      </c>
      <c r="E1411" s="16" t="s">
        <v>206</v>
      </c>
      <c r="F1411" s="7" t="n">
        <v>56944.45</v>
      </c>
      <c r="G1411" s="16" t="s">
        <v>144</v>
      </c>
    </row>
    <row r="1412" customFormat="false" ht="15" hidden="false" customHeight="false" outlineLevel="0" collapsed="false">
      <c r="A1412" s="0" t="s">
        <v>187</v>
      </c>
      <c r="B1412" s="14" t="n">
        <v>45735</v>
      </c>
      <c r="C1412" s="16" t="s">
        <v>1488</v>
      </c>
      <c r="D1412" s="7" t="n">
        <v>-90.56</v>
      </c>
      <c r="E1412" s="16" t="s">
        <v>206</v>
      </c>
      <c r="F1412" s="7" t="n">
        <v>56960.45</v>
      </c>
      <c r="G1412" s="16" t="s">
        <v>182</v>
      </c>
    </row>
    <row r="1413" customFormat="false" ht="15" hidden="false" customHeight="false" outlineLevel="0" collapsed="false">
      <c r="A1413" s="0" t="s">
        <v>259</v>
      </c>
      <c r="B1413" s="14" t="n">
        <v>45735</v>
      </c>
      <c r="C1413" s="16" t="s">
        <v>1489</v>
      </c>
      <c r="D1413" s="7" t="n">
        <v>40350</v>
      </c>
      <c r="E1413" s="16" t="s">
        <v>282</v>
      </c>
      <c r="F1413" s="7" t="n">
        <v>57051.01</v>
      </c>
      <c r="G1413" s="16" t="s">
        <v>27</v>
      </c>
    </row>
    <row r="1414" customFormat="false" ht="15" hidden="false" customHeight="false" outlineLevel="0" collapsed="false">
      <c r="A1414" s="0" t="s">
        <v>187</v>
      </c>
      <c r="B1414" s="14" t="n">
        <v>45734</v>
      </c>
      <c r="C1414" s="16" t="s">
        <v>1490</v>
      </c>
      <c r="D1414" s="7" t="n">
        <v>-1798.56</v>
      </c>
      <c r="E1414" s="16" t="s">
        <v>208</v>
      </c>
      <c r="F1414" s="7" t="n">
        <v>16701.01</v>
      </c>
    </row>
    <row r="1415" customFormat="false" ht="15" hidden="false" customHeight="false" outlineLevel="0" collapsed="false">
      <c r="A1415" s="0" t="s">
        <v>187</v>
      </c>
      <c r="B1415" s="14" t="n">
        <v>45734</v>
      </c>
      <c r="C1415" s="16" t="s">
        <v>1491</v>
      </c>
      <c r="D1415" s="7" t="n">
        <v>-409.45</v>
      </c>
      <c r="E1415" s="16" t="s">
        <v>208</v>
      </c>
      <c r="F1415" s="7" t="n">
        <v>18499.57</v>
      </c>
      <c r="G1415" s="16" t="s">
        <v>180</v>
      </c>
    </row>
    <row r="1416" customFormat="false" ht="15" hidden="false" customHeight="false" outlineLevel="0" collapsed="false">
      <c r="A1416" s="0" t="s">
        <v>187</v>
      </c>
      <c r="B1416" s="14" t="n">
        <v>45734</v>
      </c>
      <c r="C1416" s="16" t="s">
        <v>1492</v>
      </c>
      <c r="D1416" s="7" t="n">
        <v>-300</v>
      </c>
      <c r="E1416" s="16" t="s">
        <v>208</v>
      </c>
      <c r="F1416" s="7" t="n">
        <v>18909.02</v>
      </c>
    </row>
    <row r="1417" customFormat="false" ht="15" hidden="false" customHeight="false" outlineLevel="0" collapsed="false">
      <c r="A1417" s="0" t="s">
        <v>187</v>
      </c>
      <c r="B1417" s="14" t="n">
        <v>45734</v>
      </c>
      <c r="C1417" s="16" t="s">
        <v>1493</v>
      </c>
      <c r="D1417" s="7" t="n">
        <v>-300</v>
      </c>
      <c r="E1417" s="16" t="s">
        <v>215</v>
      </c>
      <c r="F1417" s="7" t="n">
        <v>19209.02</v>
      </c>
      <c r="G1417" s="16" t="s">
        <v>86</v>
      </c>
    </row>
    <row r="1418" customFormat="false" ht="15" hidden="false" customHeight="false" outlineLevel="0" collapsed="false">
      <c r="A1418" s="0" t="s">
        <v>187</v>
      </c>
      <c r="B1418" s="14" t="n">
        <v>45734</v>
      </c>
      <c r="C1418" s="16" t="s">
        <v>1494</v>
      </c>
      <c r="D1418" s="7" t="n">
        <v>-103.81</v>
      </c>
      <c r="E1418" s="16" t="s">
        <v>193</v>
      </c>
      <c r="F1418" s="7" t="n">
        <v>19509.02</v>
      </c>
      <c r="G1418" s="16" t="s">
        <v>151</v>
      </c>
    </row>
    <row r="1419" customFormat="false" ht="15" hidden="false" customHeight="false" outlineLevel="0" collapsed="false">
      <c r="A1419" s="0" t="s">
        <v>187</v>
      </c>
      <c r="B1419" s="14" t="n">
        <v>45734</v>
      </c>
      <c r="C1419" s="16" t="s">
        <v>1495</v>
      </c>
      <c r="D1419" s="7" t="n">
        <v>-1260</v>
      </c>
      <c r="E1419" s="16" t="s">
        <v>206</v>
      </c>
      <c r="F1419" s="7" t="n">
        <v>19612.83</v>
      </c>
      <c r="G1419" s="16" t="s">
        <v>75</v>
      </c>
    </row>
    <row r="1420" customFormat="false" ht="15" hidden="false" customHeight="false" outlineLevel="0" collapsed="false">
      <c r="A1420" s="0" t="s">
        <v>187</v>
      </c>
      <c r="B1420" s="14" t="n">
        <v>45734</v>
      </c>
      <c r="C1420" s="16" t="s">
        <v>1496</v>
      </c>
      <c r="D1420" s="7" t="n">
        <v>-9.99</v>
      </c>
      <c r="E1420" s="16" t="s">
        <v>206</v>
      </c>
      <c r="F1420" s="7" t="n">
        <v>20872.83</v>
      </c>
      <c r="G1420" s="16" t="s">
        <v>144</v>
      </c>
    </row>
    <row r="1421" customFormat="false" ht="15" hidden="false" customHeight="false" outlineLevel="0" collapsed="false">
      <c r="A1421" s="0" t="s">
        <v>187</v>
      </c>
      <c r="B1421" s="14" t="n">
        <v>45733</v>
      </c>
      <c r="C1421" s="16" t="s">
        <v>1497</v>
      </c>
      <c r="D1421" s="7" t="n">
        <v>-300</v>
      </c>
      <c r="E1421" s="16" t="s">
        <v>193</v>
      </c>
      <c r="F1421" s="7" t="n">
        <v>20882.82</v>
      </c>
      <c r="G1421" s="16" t="s">
        <v>80</v>
      </c>
    </row>
    <row r="1422" customFormat="false" ht="15" hidden="false" customHeight="false" outlineLevel="0" collapsed="false">
      <c r="A1422" s="0" t="s">
        <v>187</v>
      </c>
      <c r="B1422" s="14" t="n">
        <v>45733</v>
      </c>
      <c r="C1422" s="16" t="s">
        <v>1498</v>
      </c>
      <c r="D1422" s="7" t="n">
        <v>-2000</v>
      </c>
      <c r="E1422" s="16" t="s">
        <v>213</v>
      </c>
      <c r="F1422" s="7" t="n">
        <v>21182.82</v>
      </c>
      <c r="G1422" s="16" t="s">
        <v>96</v>
      </c>
    </row>
    <row r="1423" customFormat="false" ht="15" hidden="false" customHeight="false" outlineLevel="0" collapsed="false">
      <c r="A1423" s="0" t="s">
        <v>187</v>
      </c>
      <c r="B1423" s="14" t="n">
        <v>45733</v>
      </c>
      <c r="C1423" s="16" t="s">
        <v>1496</v>
      </c>
      <c r="D1423" s="7" t="n">
        <v>-8.99</v>
      </c>
      <c r="E1423" s="16" t="s">
        <v>206</v>
      </c>
      <c r="F1423" s="7" t="n">
        <v>23182.82</v>
      </c>
      <c r="G1423" s="16" t="s">
        <v>144</v>
      </c>
    </row>
    <row r="1424" customFormat="false" ht="15" hidden="false" customHeight="false" outlineLevel="0" collapsed="false">
      <c r="A1424" s="0" t="s">
        <v>187</v>
      </c>
      <c r="B1424" s="14" t="n">
        <v>45733</v>
      </c>
      <c r="C1424" s="16" t="s">
        <v>1499</v>
      </c>
      <c r="D1424" s="7" t="n">
        <v>-35.8</v>
      </c>
      <c r="E1424" s="16" t="s">
        <v>206</v>
      </c>
      <c r="F1424" s="7" t="n">
        <v>23191.81</v>
      </c>
      <c r="G1424" s="16" t="s">
        <v>179</v>
      </c>
    </row>
    <row r="1425" customFormat="false" ht="15" hidden="false" customHeight="false" outlineLevel="0" collapsed="false">
      <c r="A1425" s="0" t="s">
        <v>187</v>
      </c>
      <c r="B1425" s="14" t="n">
        <v>45733</v>
      </c>
      <c r="C1425" s="16" t="s">
        <v>1499</v>
      </c>
      <c r="D1425" s="7" t="n">
        <v>-4.49</v>
      </c>
      <c r="E1425" s="16" t="s">
        <v>206</v>
      </c>
      <c r="F1425" s="7" t="n">
        <v>23227.61</v>
      </c>
      <c r="G1425" s="16" t="s">
        <v>179</v>
      </c>
    </row>
    <row r="1426" customFormat="false" ht="15" hidden="false" customHeight="false" outlineLevel="0" collapsed="false">
      <c r="A1426" s="0" t="s">
        <v>187</v>
      </c>
      <c r="B1426" s="14" t="n">
        <v>45733</v>
      </c>
      <c r="C1426" s="16" t="s">
        <v>1500</v>
      </c>
      <c r="D1426" s="7" t="n">
        <v>-69.99</v>
      </c>
      <c r="E1426" s="16" t="s">
        <v>206</v>
      </c>
      <c r="F1426" s="7" t="n">
        <v>23232.1</v>
      </c>
      <c r="G1426" s="16" t="s">
        <v>67</v>
      </c>
    </row>
    <row r="1427" customFormat="false" ht="15" hidden="false" customHeight="false" outlineLevel="0" collapsed="false">
      <c r="A1427" s="0" t="s">
        <v>187</v>
      </c>
      <c r="B1427" s="14" t="n">
        <v>45733</v>
      </c>
      <c r="C1427" s="16" t="s">
        <v>1501</v>
      </c>
      <c r="D1427" s="7" t="n">
        <v>-200</v>
      </c>
      <c r="E1427" s="16" t="s">
        <v>206</v>
      </c>
      <c r="F1427" s="7" t="n">
        <v>23302.09</v>
      </c>
      <c r="G1427" s="16" t="s">
        <v>72</v>
      </c>
    </row>
    <row r="1428" customFormat="false" ht="15" hidden="false" customHeight="false" outlineLevel="0" collapsed="false">
      <c r="A1428" s="0" t="s">
        <v>187</v>
      </c>
      <c r="B1428" s="14" t="n">
        <v>45733</v>
      </c>
      <c r="C1428" s="16" t="s">
        <v>1502</v>
      </c>
      <c r="D1428" s="7" t="n">
        <v>-5.99</v>
      </c>
      <c r="E1428" s="16" t="s">
        <v>206</v>
      </c>
      <c r="F1428" s="7" t="n">
        <v>23502.09</v>
      </c>
      <c r="G1428" s="16" t="s">
        <v>144</v>
      </c>
    </row>
    <row r="1429" customFormat="false" ht="15" hidden="false" customHeight="false" outlineLevel="0" collapsed="false">
      <c r="A1429" s="0" t="s">
        <v>187</v>
      </c>
      <c r="B1429" s="14" t="n">
        <v>45733</v>
      </c>
      <c r="C1429" s="16" t="s">
        <v>1503</v>
      </c>
      <c r="D1429" s="7" t="n">
        <v>-199</v>
      </c>
      <c r="E1429" s="16" t="s">
        <v>206</v>
      </c>
      <c r="F1429" s="7" t="n">
        <v>23508.08</v>
      </c>
      <c r="G1429" s="16" t="s">
        <v>183</v>
      </c>
    </row>
    <row r="1430" customFormat="false" ht="15" hidden="false" customHeight="false" outlineLevel="0" collapsed="false">
      <c r="A1430" s="0" t="s">
        <v>187</v>
      </c>
      <c r="B1430" s="14" t="n">
        <v>45733</v>
      </c>
      <c r="C1430" s="16" t="s">
        <v>1504</v>
      </c>
      <c r="D1430" s="7" t="n">
        <v>-1.99</v>
      </c>
      <c r="E1430" s="16" t="s">
        <v>206</v>
      </c>
      <c r="F1430" s="7" t="n">
        <v>23707.08</v>
      </c>
      <c r="G1430" s="16" t="s">
        <v>144</v>
      </c>
    </row>
    <row r="1431" customFormat="false" ht="15" hidden="false" customHeight="false" outlineLevel="0" collapsed="false">
      <c r="A1431" s="0" t="s">
        <v>187</v>
      </c>
      <c r="B1431" s="14" t="n">
        <v>45733</v>
      </c>
      <c r="C1431" s="16" t="s">
        <v>1505</v>
      </c>
      <c r="D1431" s="7" t="n">
        <v>-30</v>
      </c>
      <c r="E1431" s="16" t="s">
        <v>206</v>
      </c>
      <c r="F1431" s="7" t="n">
        <v>23709.07</v>
      </c>
      <c r="G1431" s="16" t="s">
        <v>144</v>
      </c>
    </row>
    <row r="1432" customFormat="false" ht="15" hidden="false" customHeight="false" outlineLevel="0" collapsed="false">
      <c r="A1432" s="0" t="s">
        <v>187</v>
      </c>
      <c r="B1432" s="14" t="n">
        <v>45733</v>
      </c>
      <c r="C1432" s="16" t="s">
        <v>1505</v>
      </c>
      <c r="D1432" s="7" t="n">
        <v>-10.99</v>
      </c>
      <c r="E1432" s="16" t="s">
        <v>206</v>
      </c>
      <c r="F1432" s="7" t="n">
        <v>23739.07</v>
      </c>
      <c r="G1432" s="16" t="s">
        <v>144</v>
      </c>
    </row>
    <row r="1433" customFormat="false" ht="15" hidden="false" customHeight="false" outlineLevel="0" collapsed="false">
      <c r="A1433" s="0" t="s">
        <v>187</v>
      </c>
      <c r="B1433" s="14" t="n">
        <v>45733</v>
      </c>
      <c r="C1433" s="16" t="s">
        <v>1506</v>
      </c>
      <c r="D1433" s="7" t="n">
        <v>-571.96</v>
      </c>
      <c r="E1433" s="16" t="s">
        <v>206</v>
      </c>
      <c r="F1433" s="7" t="n">
        <v>23750.06</v>
      </c>
      <c r="G1433" s="16" t="s">
        <v>152</v>
      </c>
    </row>
    <row r="1434" customFormat="false" ht="15" hidden="false" customHeight="false" outlineLevel="0" collapsed="false">
      <c r="A1434" s="0" t="s">
        <v>187</v>
      </c>
      <c r="B1434" s="14" t="n">
        <v>45733</v>
      </c>
      <c r="C1434" s="16" t="s">
        <v>1507</v>
      </c>
      <c r="D1434" s="7" t="n">
        <v>-65.99</v>
      </c>
      <c r="E1434" s="16" t="s">
        <v>206</v>
      </c>
      <c r="F1434" s="7" t="n">
        <v>24322.02</v>
      </c>
      <c r="G1434" s="16" t="s">
        <v>152</v>
      </c>
    </row>
    <row r="1435" customFormat="false" ht="15" hidden="false" customHeight="false" outlineLevel="0" collapsed="false">
      <c r="A1435" s="0" t="s">
        <v>187</v>
      </c>
      <c r="B1435" s="14" t="n">
        <v>45730</v>
      </c>
      <c r="C1435" s="16" t="s">
        <v>1508</v>
      </c>
      <c r="D1435" s="7" t="n">
        <v>-500</v>
      </c>
      <c r="E1435" s="16" t="s">
        <v>215</v>
      </c>
      <c r="F1435" s="7" t="n">
        <v>24388.01</v>
      </c>
      <c r="G1435" s="16" t="s">
        <v>86</v>
      </c>
    </row>
    <row r="1436" customFormat="false" ht="15" hidden="false" customHeight="false" outlineLevel="0" collapsed="false">
      <c r="A1436" s="0" t="s">
        <v>187</v>
      </c>
      <c r="B1436" s="14" t="n">
        <v>45730</v>
      </c>
      <c r="C1436" s="16" t="s">
        <v>1509</v>
      </c>
      <c r="D1436" s="7" t="n">
        <v>-2000</v>
      </c>
      <c r="E1436" s="16" t="s">
        <v>213</v>
      </c>
      <c r="F1436" s="7" t="n">
        <v>24888.01</v>
      </c>
      <c r="G1436" s="16" t="s">
        <v>96</v>
      </c>
    </row>
    <row r="1437" customFormat="false" ht="15" hidden="false" customHeight="false" outlineLevel="0" collapsed="false">
      <c r="A1437" s="0" t="s">
        <v>187</v>
      </c>
      <c r="B1437" s="14" t="n">
        <v>45730</v>
      </c>
      <c r="C1437" s="16" t="s">
        <v>1510</v>
      </c>
      <c r="D1437" s="7" t="n">
        <v>-140</v>
      </c>
      <c r="E1437" s="16" t="s">
        <v>193</v>
      </c>
      <c r="F1437" s="7" t="n">
        <v>26888.01</v>
      </c>
      <c r="G1437" s="16" t="s">
        <v>80</v>
      </c>
    </row>
    <row r="1438" customFormat="false" ht="15" hidden="false" customHeight="false" outlineLevel="0" collapsed="false">
      <c r="A1438" s="0" t="s">
        <v>187</v>
      </c>
      <c r="B1438" s="14" t="n">
        <v>45729</v>
      </c>
      <c r="C1438" s="16" t="s">
        <v>188</v>
      </c>
      <c r="D1438" s="7" t="n">
        <v>-5</v>
      </c>
      <c r="E1438" s="16" t="s">
        <v>189</v>
      </c>
      <c r="F1438" s="7" t="n">
        <v>27028.01</v>
      </c>
      <c r="G1438" s="16" t="s">
        <v>65</v>
      </c>
    </row>
    <row r="1439" customFormat="false" ht="15" hidden="false" customHeight="false" outlineLevel="0" collapsed="false">
      <c r="A1439" s="0" t="s">
        <v>187</v>
      </c>
      <c r="B1439" s="14" t="n">
        <v>45729</v>
      </c>
      <c r="C1439" s="16" t="s">
        <v>1511</v>
      </c>
      <c r="D1439" s="7" t="n">
        <v>-750</v>
      </c>
      <c r="E1439" s="16" t="s">
        <v>191</v>
      </c>
      <c r="F1439" s="7" t="n">
        <v>27033.01</v>
      </c>
      <c r="G1439" s="16" t="s">
        <v>65</v>
      </c>
    </row>
    <row r="1440" customFormat="false" ht="15" hidden="false" customHeight="false" outlineLevel="0" collapsed="false">
      <c r="A1440" s="0" t="s">
        <v>187</v>
      </c>
      <c r="B1440" s="14" t="n">
        <v>45729</v>
      </c>
      <c r="C1440" s="16" t="s">
        <v>1512</v>
      </c>
      <c r="D1440" s="7" t="n">
        <v>-125</v>
      </c>
      <c r="E1440" s="16" t="s">
        <v>193</v>
      </c>
      <c r="F1440" s="7" t="n">
        <v>27783.01</v>
      </c>
      <c r="G1440" s="16" t="s">
        <v>80</v>
      </c>
    </row>
    <row r="1441" customFormat="false" ht="15" hidden="false" customHeight="false" outlineLevel="0" collapsed="false">
      <c r="A1441" s="0" t="s">
        <v>187</v>
      </c>
      <c r="B1441" s="14" t="n">
        <v>45729</v>
      </c>
      <c r="C1441" s="16" t="s">
        <v>1513</v>
      </c>
      <c r="D1441" s="7" t="n">
        <v>-18.99</v>
      </c>
      <c r="E1441" s="16" t="s">
        <v>206</v>
      </c>
      <c r="F1441" s="7" t="n">
        <v>27908.01</v>
      </c>
      <c r="G1441" s="16" t="s">
        <v>144</v>
      </c>
    </row>
    <row r="1442" customFormat="false" ht="15" hidden="false" customHeight="false" outlineLevel="0" collapsed="false">
      <c r="A1442" s="0" t="s">
        <v>187</v>
      </c>
      <c r="B1442" s="14" t="n">
        <v>45728</v>
      </c>
      <c r="C1442" s="16" t="s">
        <v>1514</v>
      </c>
      <c r="D1442" s="7" t="n">
        <v>-11.99</v>
      </c>
      <c r="E1442" s="16" t="s">
        <v>206</v>
      </c>
      <c r="F1442" s="7" t="n">
        <v>27927</v>
      </c>
      <c r="G1442" s="16" t="s">
        <v>144</v>
      </c>
    </row>
    <row r="1443" customFormat="false" ht="15" hidden="false" customHeight="false" outlineLevel="0" collapsed="false">
      <c r="A1443" s="0" t="s">
        <v>259</v>
      </c>
      <c r="B1443" s="14" t="n">
        <v>45728</v>
      </c>
      <c r="C1443" s="16" t="s">
        <v>1515</v>
      </c>
      <c r="D1443" s="7" t="n">
        <v>20000</v>
      </c>
      <c r="E1443" s="16" t="s">
        <v>213</v>
      </c>
      <c r="F1443" s="7" t="n">
        <v>27938.99</v>
      </c>
      <c r="G1443" s="16" t="s">
        <v>43</v>
      </c>
    </row>
    <row r="1444" customFormat="false" ht="15" hidden="false" customHeight="false" outlineLevel="0" collapsed="false">
      <c r="A1444" s="0" t="s">
        <v>187</v>
      </c>
      <c r="B1444" s="14" t="n">
        <v>45727</v>
      </c>
      <c r="C1444" s="16" t="s">
        <v>1516</v>
      </c>
      <c r="D1444" s="7" t="n">
        <v>-1249.96</v>
      </c>
      <c r="E1444" s="16" t="s">
        <v>193</v>
      </c>
      <c r="F1444" s="7" t="n">
        <v>7938.99</v>
      </c>
      <c r="G1444" s="16" t="s">
        <v>179</v>
      </c>
    </row>
    <row r="1445" customFormat="false" ht="15" hidden="false" customHeight="false" outlineLevel="0" collapsed="false">
      <c r="A1445" s="0" t="s">
        <v>187</v>
      </c>
      <c r="B1445" s="14" t="n">
        <v>45727</v>
      </c>
      <c r="C1445" s="16" t="s">
        <v>1517</v>
      </c>
      <c r="D1445" s="7" t="n">
        <v>-2000</v>
      </c>
      <c r="E1445" s="16" t="s">
        <v>213</v>
      </c>
      <c r="F1445" s="7" t="n">
        <v>9188.95</v>
      </c>
      <c r="G1445" s="16" t="s">
        <v>96</v>
      </c>
    </row>
    <row r="1446" customFormat="false" ht="15" hidden="false" customHeight="false" outlineLevel="0" collapsed="false">
      <c r="A1446" s="0" t="s">
        <v>187</v>
      </c>
      <c r="B1446" s="14" t="n">
        <v>45727</v>
      </c>
      <c r="C1446" s="16" t="s">
        <v>1518</v>
      </c>
      <c r="D1446" s="7" t="n">
        <v>-1496.25</v>
      </c>
      <c r="E1446" s="16" t="s">
        <v>206</v>
      </c>
      <c r="F1446" s="7" t="n">
        <v>11188.95</v>
      </c>
      <c r="G1446" s="16" t="s">
        <v>75</v>
      </c>
    </row>
    <row r="1447" customFormat="false" ht="15" hidden="false" customHeight="false" outlineLevel="0" collapsed="false">
      <c r="A1447" s="0" t="s">
        <v>187</v>
      </c>
      <c r="B1447" s="14" t="n">
        <v>45727</v>
      </c>
      <c r="C1447" s="16" t="s">
        <v>1519</v>
      </c>
      <c r="D1447" s="7" t="n">
        <v>-17.99</v>
      </c>
      <c r="E1447" s="16" t="s">
        <v>206</v>
      </c>
      <c r="F1447" s="7" t="n">
        <v>12685.2</v>
      </c>
      <c r="G1447" s="16" t="s">
        <v>144</v>
      </c>
    </row>
    <row r="1448" customFormat="false" ht="15" hidden="false" customHeight="false" outlineLevel="0" collapsed="false">
      <c r="A1448" s="0" t="s">
        <v>187</v>
      </c>
      <c r="B1448" s="14" t="n">
        <v>45726</v>
      </c>
      <c r="C1448" s="16" t="s">
        <v>1520</v>
      </c>
      <c r="D1448" s="7" t="n">
        <v>-500</v>
      </c>
      <c r="E1448" s="16" t="s">
        <v>213</v>
      </c>
      <c r="F1448" s="7" t="n">
        <v>12703.19</v>
      </c>
      <c r="G1448" s="16" t="s">
        <v>97</v>
      </c>
    </row>
    <row r="1449" customFormat="false" ht="15" hidden="false" customHeight="false" outlineLevel="0" collapsed="false">
      <c r="A1449" s="0" t="s">
        <v>187</v>
      </c>
      <c r="B1449" s="14" t="n">
        <v>45726</v>
      </c>
      <c r="C1449" s="16" t="s">
        <v>1521</v>
      </c>
      <c r="D1449" s="7" t="n">
        <v>-62.69</v>
      </c>
      <c r="E1449" s="16" t="s">
        <v>206</v>
      </c>
      <c r="F1449" s="7" t="n">
        <v>13203.19</v>
      </c>
      <c r="G1449" s="16" t="s">
        <v>179</v>
      </c>
    </row>
    <row r="1450" customFormat="false" ht="15" hidden="false" customHeight="false" outlineLevel="0" collapsed="false">
      <c r="A1450" s="0" t="s">
        <v>187</v>
      </c>
      <c r="B1450" s="14" t="n">
        <v>45726</v>
      </c>
      <c r="C1450" s="16" t="s">
        <v>1522</v>
      </c>
      <c r="D1450" s="7" t="n">
        <v>-3.54</v>
      </c>
      <c r="E1450" s="16" t="s">
        <v>206</v>
      </c>
      <c r="F1450" s="7" t="n">
        <v>13265.88</v>
      </c>
      <c r="G1450" s="16" t="s">
        <v>179</v>
      </c>
    </row>
    <row r="1451" customFormat="false" ht="15" hidden="false" customHeight="false" outlineLevel="0" collapsed="false">
      <c r="A1451" s="0" t="s">
        <v>187</v>
      </c>
      <c r="B1451" s="14" t="n">
        <v>45726</v>
      </c>
      <c r="C1451" s="16" t="s">
        <v>1523</v>
      </c>
      <c r="D1451" s="7" t="n">
        <v>-2000</v>
      </c>
      <c r="E1451" s="16" t="s">
        <v>213</v>
      </c>
      <c r="F1451" s="7" t="n">
        <v>13269.42</v>
      </c>
      <c r="G1451" s="16" t="s">
        <v>96</v>
      </c>
    </row>
    <row r="1452" customFormat="false" ht="15" hidden="false" customHeight="false" outlineLevel="0" collapsed="false">
      <c r="A1452" s="0" t="s">
        <v>187</v>
      </c>
      <c r="B1452" s="14" t="n">
        <v>45726</v>
      </c>
      <c r="C1452" s="16" t="s">
        <v>1524</v>
      </c>
      <c r="D1452" s="7" t="n">
        <v>-53.97</v>
      </c>
      <c r="E1452" s="16" t="s">
        <v>206</v>
      </c>
      <c r="F1452" s="7" t="n">
        <v>15269.42</v>
      </c>
      <c r="G1452" s="16" t="s">
        <v>144</v>
      </c>
    </row>
    <row r="1453" customFormat="false" ht="15" hidden="false" customHeight="false" outlineLevel="0" collapsed="false">
      <c r="A1453" s="0" t="s">
        <v>187</v>
      </c>
      <c r="B1453" s="14" t="n">
        <v>45726</v>
      </c>
      <c r="C1453" s="16" t="s">
        <v>1525</v>
      </c>
      <c r="D1453" s="7" t="n">
        <v>-38.25</v>
      </c>
      <c r="E1453" s="16" t="s">
        <v>193</v>
      </c>
      <c r="F1453" s="7" t="n">
        <v>15323.39</v>
      </c>
      <c r="G1453" s="16" t="s">
        <v>80</v>
      </c>
    </row>
    <row r="1454" customFormat="false" ht="15" hidden="false" customHeight="false" outlineLevel="0" collapsed="false">
      <c r="A1454" s="0" t="s">
        <v>187</v>
      </c>
      <c r="B1454" s="14" t="n">
        <v>45726</v>
      </c>
      <c r="C1454" s="16" t="s">
        <v>1526</v>
      </c>
      <c r="D1454" s="7" t="n">
        <v>-150</v>
      </c>
      <c r="E1454" s="16" t="s">
        <v>193</v>
      </c>
      <c r="F1454" s="7" t="n">
        <v>15361.64</v>
      </c>
      <c r="G1454" s="16" t="s">
        <v>80</v>
      </c>
    </row>
    <row r="1455" customFormat="false" ht="15" hidden="false" customHeight="false" outlineLevel="0" collapsed="false">
      <c r="A1455" s="0" t="s">
        <v>187</v>
      </c>
      <c r="B1455" s="14" t="n">
        <v>45726</v>
      </c>
      <c r="C1455" s="16" t="s">
        <v>1527</v>
      </c>
      <c r="D1455" s="7" t="n">
        <v>-800</v>
      </c>
      <c r="E1455" s="16" t="s">
        <v>215</v>
      </c>
      <c r="F1455" s="7" t="n">
        <v>15511.64</v>
      </c>
      <c r="G1455" s="16" t="s">
        <v>84</v>
      </c>
    </row>
    <row r="1456" customFormat="false" ht="15" hidden="false" customHeight="false" outlineLevel="0" collapsed="false">
      <c r="A1456" s="0" t="s">
        <v>187</v>
      </c>
      <c r="B1456" s="14" t="n">
        <v>45726</v>
      </c>
      <c r="C1456" s="16" t="s">
        <v>1528</v>
      </c>
      <c r="D1456" s="7" t="n">
        <v>-100</v>
      </c>
      <c r="E1456" s="16" t="s">
        <v>215</v>
      </c>
      <c r="F1456" s="7" t="n">
        <v>16311.64</v>
      </c>
      <c r="G1456" s="16" t="s">
        <v>87</v>
      </c>
    </row>
    <row r="1457" customFormat="false" ht="15" hidden="false" customHeight="false" outlineLevel="0" collapsed="false">
      <c r="A1457" s="0" t="s">
        <v>187</v>
      </c>
      <c r="B1457" s="14" t="n">
        <v>45726</v>
      </c>
      <c r="C1457" s="16" t="s">
        <v>1529</v>
      </c>
      <c r="D1457" s="7" t="n">
        <v>-31.48</v>
      </c>
      <c r="E1457" s="16" t="s">
        <v>206</v>
      </c>
      <c r="F1457" s="7" t="n">
        <v>16411.64</v>
      </c>
      <c r="G1457" s="16" t="s">
        <v>182</v>
      </c>
    </row>
    <row r="1458" customFormat="false" ht="15" hidden="false" customHeight="false" outlineLevel="0" collapsed="false">
      <c r="A1458" s="0" t="s">
        <v>187</v>
      </c>
      <c r="B1458" s="14" t="n">
        <v>45726</v>
      </c>
      <c r="C1458" s="16" t="s">
        <v>1530</v>
      </c>
      <c r="D1458" s="7" t="n">
        <v>-500</v>
      </c>
      <c r="E1458" s="16" t="s">
        <v>215</v>
      </c>
      <c r="F1458" s="7" t="n">
        <v>16443.12</v>
      </c>
      <c r="G1458" s="16" t="s">
        <v>1531</v>
      </c>
    </row>
    <row r="1459" customFormat="false" ht="15" hidden="false" customHeight="false" outlineLevel="0" collapsed="false">
      <c r="A1459" s="0" t="s">
        <v>187</v>
      </c>
      <c r="B1459" s="14" t="n">
        <v>45726</v>
      </c>
      <c r="C1459" s="16" t="s">
        <v>1532</v>
      </c>
      <c r="D1459" s="7" t="n">
        <v>-231</v>
      </c>
      <c r="E1459" s="16" t="s">
        <v>206</v>
      </c>
      <c r="F1459" s="7" t="n">
        <v>16943.12</v>
      </c>
      <c r="G1459" s="16" t="s">
        <v>183</v>
      </c>
    </row>
    <row r="1460" customFormat="false" ht="15" hidden="false" customHeight="false" outlineLevel="0" collapsed="false">
      <c r="A1460" s="0" t="s">
        <v>187</v>
      </c>
      <c r="B1460" s="14" t="n">
        <v>45726</v>
      </c>
      <c r="C1460" s="16" t="s">
        <v>1533</v>
      </c>
      <c r="D1460" s="7" t="n">
        <v>-53.99</v>
      </c>
      <c r="E1460" s="16" t="s">
        <v>206</v>
      </c>
      <c r="F1460" s="7" t="n">
        <v>17174.12</v>
      </c>
      <c r="G1460" s="16" t="s">
        <v>182</v>
      </c>
    </row>
    <row r="1461" customFormat="false" ht="15" hidden="false" customHeight="false" outlineLevel="0" collapsed="false">
      <c r="A1461" s="0" t="s">
        <v>187</v>
      </c>
      <c r="B1461" s="14" t="n">
        <v>45726</v>
      </c>
      <c r="C1461" s="16" t="s">
        <v>1534</v>
      </c>
      <c r="D1461" s="7" t="n">
        <v>-4.75</v>
      </c>
      <c r="E1461" s="16" t="s">
        <v>206</v>
      </c>
      <c r="F1461" s="7" t="n">
        <v>17228.11</v>
      </c>
      <c r="G1461" s="16" t="s">
        <v>179</v>
      </c>
    </row>
    <row r="1462" customFormat="false" ht="15" hidden="false" customHeight="false" outlineLevel="0" collapsed="false">
      <c r="A1462" s="0" t="s">
        <v>187</v>
      </c>
      <c r="B1462" s="14" t="n">
        <v>45726</v>
      </c>
      <c r="C1462" s="16" t="s">
        <v>1535</v>
      </c>
      <c r="D1462" s="7" t="n">
        <v>-36.64</v>
      </c>
      <c r="E1462" s="16" t="s">
        <v>206</v>
      </c>
      <c r="F1462" s="7" t="n">
        <v>17232.86</v>
      </c>
      <c r="G1462" s="16" t="s">
        <v>182</v>
      </c>
    </row>
    <row r="1463" customFormat="false" ht="15" hidden="false" customHeight="false" outlineLevel="0" collapsed="false">
      <c r="A1463" s="0" t="s">
        <v>187</v>
      </c>
      <c r="B1463" s="14" t="n">
        <v>45726</v>
      </c>
      <c r="C1463" s="16" t="s">
        <v>1534</v>
      </c>
      <c r="D1463" s="7" t="n">
        <v>-1</v>
      </c>
      <c r="E1463" s="16" t="s">
        <v>206</v>
      </c>
      <c r="F1463" s="7" t="n">
        <v>17269.5</v>
      </c>
      <c r="G1463" s="16" t="s">
        <v>179</v>
      </c>
    </row>
    <row r="1464" customFormat="false" ht="15" hidden="false" customHeight="false" outlineLevel="0" collapsed="false">
      <c r="A1464" s="0" t="s">
        <v>187</v>
      </c>
      <c r="B1464" s="14" t="n">
        <v>45726</v>
      </c>
      <c r="C1464" s="16" t="s">
        <v>1534</v>
      </c>
      <c r="D1464" s="7" t="n">
        <v>-0.5</v>
      </c>
      <c r="E1464" s="16" t="s">
        <v>206</v>
      </c>
      <c r="F1464" s="7" t="n">
        <v>17270.5</v>
      </c>
      <c r="G1464" s="16" t="s">
        <v>179</v>
      </c>
    </row>
    <row r="1465" customFormat="false" ht="15" hidden="false" customHeight="false" outlineLevel="0" collapsed="false">
      <c r="A1465" s="0" t="s">
        <v>187</v>
      </c>
      <c r="B1465" s="14" t="n">
        <v>45726</v>
      </c>
      <c r="C1465" s="16" t="s">
        <v>1534</v>
      </c>
      <c r="D1465" s="7" t="n">
        <v>-1.25</v>
      </c>
      <c r="E1465" s="16" t="s">
        <v>206</v>
      </c>
      <c r="F1465" s="7" t="n">
        <v>17271</v>
      </c>
      <c r="G1465" s="16" t="s">
        <v>179</v>
      </c>
    </row>
    <row r="1466" customFormat="false" ht="15" hidden="false" customHeight="false" outlineLevel="0" collapsed="false">
      <c r="A1466" s="0" t="s">
        <v>187</v>
      </c>
      <c r="B1466" s="14" t="n">
        <v>45726</v>
      </c>
      <c r="C1466" s="16" t="s">
        <v>1536</v>
      </c>
      <c r="D1466" s="7" t="n">
        <v>-5.74</v>
      </c>
      <c r="E1466" s="16" t="s">
        <v>206</v>
      </c>
      <c r="F1466" s="7" t="n">
        <v>17272.25</v>
      </c>
      <c r="G1466" s="16" t="s">
        <v>182</v>
      </c>
    </row>
    <row r="1467" customFormat="false" ht="15" hidden="false" customHeight="false" outlineLevel="0" collapsed="false">
      <c r="A1467" s="0" t="s">
        <v>187</v>
      </c>
      <c r="B1467" s="14" t="n">
        <v>45726</v>
      </c>
      <c r="C1467" s="16" t="s">
        <v>1519</v>
      </c>
      <c r="D1467" s="7" t="n">
        <v>-8.99</v>
      </c>
      <c r="E1467" s="16" t="s">
        <v>206</v>
      </c>
      <c r="F1467" s="7" t="n">
        <v>17277.99</v>
      </c>
      <c r="G1467" s="16" t="s">
        <v>144</v>
      </c>
    </row>
    <row r="1468" customFormat="false" ht="15" hidden="false" customHeight="false" outlineLevel="0" collapsed="false">
      <c r="A1468" s="0" t="s">
        <v>187</v>
      </c>
      <c r="B1468" s="14" t="n">
        <v>45726</v>
      </c>
      <c r="C1468" s="16" t="s">
        <v>1537</v>
      </c>
      <c r="D1468" s="7" t="n">
        <v>-11.99</v>
      </c>
      <c r="E1468" s="16" t="s">
        <v>206</v>
      </c>
      <c r="F1468" s="7" t="n">
        <v>17286.98</v>
      </c>
      <c r="G1468" s="16" t="s">
        <v>144</v>
      </c>
    </row>
    <row r="1469" customFormat="false" ht="15" hidden="false" customHeight="false" outlineLevel="0" collapsed="false">
      <c r="A1469" s="0" t="s">
        <v>187</v>
      </c>
      <c r="B1469" s="14" t="n">
        <v>45726</v>
      </c>
      <c r="C1469" s="16" t="s">
        <v>1538</v>
      </c>
      <c r="D1469" s="7" t="n">
        <v>-1355</v>
      </c>
      <c r="E1469" s="16" t="s">
        <v>193</v>
      </c>
      <c r="F1469" s="7" t="n">
        <v>17298.97</v>
      </c>
      <c r="G1469" s="16" t="s">
        <v>140</v>
      </c>
    </row>
    <row r="1470" customFormat="false" ht="15" hidden="false" customHeight="false" outlineLevel="0" collapsed="false">
      <c r="A1470" s="0" t="s">
        <v>187</v>
      </c>
      <c r="B1470" s="14" t="n">
        <v>45726</v>
      </c>
      <c r="C1470" s="16" t="s">
        <v>1539</v>
      </c>
      <c r="D1470" s="7" t="n">
        <v>-33.59</v>
      </c>
      <c r="E1470" s="16" t="s">
        <v>206</v>
      </c>
      <c r="F1470" s="7" t="n">
        <v>18653.97</v>
      </c>
      <c r="G1470" s="16" t="s">
        <v>137</v>
      </c>
    </row>
    <row r="1471" customFormat="false" ht="15" hidden="false" customHeight="false" outlineLevel="0" collapsed="false">
      <c r="A1471" s="0" t="s">
        <v>187</v>
      </c>
      <c r="B1471" s="14" t="n">
        <v>45726</v>
      </c>
      <c r="C1471" s="16" t="s">
        <v>1540</v>
      </c>
      <c r="D1471" s="7" t="n">
        <v>-40</v>
      </c>
      <c r="E1471" s="16" t="s">
        <v>206</v>
      </c>
      <c r="F1471" s="7" t="n">
        <v>18687.56</v>
      </c>
      <c r="G1471" s="16" t="s">
        <v>179</v>
      </c>
    </row>
    <row r="1472" customFormat="false" ht="15" hidden="false" customHeight="false" outlineLevel="0" collapsed="false">
      <c r="A1472" s="0" t="s">
        <v>187</v>
      </c>
      <c r="B1472" s="14" t="n">
        <v>45726</v>
      </c>
      <c r="C1472" s="16" t="s">
        <v>1541</v>
      </c>
      <c r="D1472" s="7" t="n">
        <v>-34.34</v>
      </c>
      <c r="E1472" s="16" t="s">
        <v>206</v>
      </c>
      <c r="F1472" s="7" t="n">
        <v>18727.56</v>
      </c>
      <c r="G1472" s="16" t="s">
        <v>182</v>
      </c>
    </row>
    <row r="1473" customFormat="false" ht="15" hidden="false" customHeight="false" outlineLevel="0" collapsed="false">
      <c r="A1473" s="0" t="s">
        <v>187</v>
      </c>
      <c r="B1473" s="14" t="n">
        <v>45726</v>
      </c>
      <c r="C1473" s="16" t="s">
        <v>1537</v>
      </c>
      <c r="D1473" s="7" t="n">
        <v>-5</v>
      </c>
      <c r="E1473" s="16" t="s">
        <v>206</v>
      </c>
      <c r="F1473" s="7" t="n">
        <v>18761.9</v>
      </c>
      <c r="G1473" s="16" t="s">
        <v>144</v>
      </c>
    </row>
    <row r="1474" customFormat="false" ht="15" hidden="false" customHeight="false" outlineLevel="0" collapsed="false">
      <c r="A1474" s="0" t="s">
        <v>187</v>
      </c>
      <c r="B1474" s="14" t="n">
        <v>45723</v>
      </c>
      <c r="C1474" s="16" t="s">
        <v>1542</v>
      </c>
      <c r="D1474" s="7" t="n">
        <v>-2</v>
      </c>
      <c r="E1474" s="16" t="s">
        <v>206</v>
      </c>
      <c r="F1474" s="7" t="n">
        <v>18766.9</v>
      </c>
      <c r="G1474" s="16" t="s">
        <v>179</v>
      </c>
    </row>
    <row r="1475" customFormat="false" ht="15" hidden="false" customHeight="false" outlineLevel="0" collapsed="false">
      <c r="A1475" s="0" t="s">
        <v>187</v>
      </c>
      <c r="B1475" s="14" t="n">
        <v>45723</v>
      </c>
      <c r="C1475" s="16" t="s">
        <v>1543</v>
      </c>
      <c r="D1475" s="7" t="n">
        <v>-98.43</v>
      </c>
      <c r="E1475" s="16" t="s">
        <v>206</v>
      </c>
      <c r="F1475" s="7" t="n">
        <v>18768.9</v>
      </c>
      <c r="G1475" s="16" t="s">
        <v>182</v>
      </c>
    </row>
    <row r="1476" customFormat="false" ht="15" hidden="false" customHeight="false" outlineLevel="0" collapsed="false">
      <c r="A1476" s="0" t="s">
        <v>187</v>
      </c>
      <c r="B1476" s="14" t="n">
        <v>45723</v>
      </c>
      <c r="C1476" s="16" t="s">
        <v>1544</v>
      </c>
      <c r="D1476" s="7" t="n">
        <v>-500.01</v>
      </c>
      <c r="E1476" s="16" t="s">
        <v>206</v>
      </c>
      <c r="F1476" s="7" t="n">
        <v>18867.33</v>
      </c>
      <c r="G1476" s="16" t="s">
        <v>67</v>
      </c>
    </row>
    <row r="1477" customFormat="false" ht="15" hidden="false" customHeight="false" outlineLevel="0" collapsed="false">
      <c r="A1477" s="0" t="s">
        <v>187</v>
      </c>
      <c r="B1477" s="14" t="n">
        <v>45722</v>
      </c>
      <c r="C1477" s="16" t="s">
        <v>1545</v>
      </c>
      <c r="D1477" s="7" t="n">
        <v>-5000</v>
      </c>
      <c r="E1477" s="16" t="s">
        <v>213</v>
      </c>
      <c r="F1477" s="7" t="n">
        <v>19367.34</v>
      </c>
      <c r="G1477" s="16" t="s">
        <v>96</v>
      </c>
    </row>
    <row r="1478" customFormat="false" ht="15" hidden="false" customHeight="false" outlineLevel="0" collapsed="false">
      <c r="A1478" s="0" t="s">
        <v>187</v>
      </c>
      <c r="B1478" s="14" t="n">
        <v>45722</v>
      </c>
      <c r="C1478" s="16" t="s">
        <v>1546</v>
      </c>
      <c r="D1478" s="7" t="n">
        <v>-120</v>
      </c>
      <c r="E1478" s="16" t="s">
        <v>193</v>
      </c>
      <c r="F1478" s="7" t="n">
        <v>24367.34</v>
      </c>
      <c r="G1478" s="16" t="s">
        <v>80</v>
      </c>
    </row>
    <row r="1479" customFormat="false" ht="15" hidden="false" customHeight="false" outlineLevel="0" collapsed="false">
      <c r="A1479" s="0" t="s">
        <v>187</v>
      </c>
      <c r="B1479" s="14" t="n">
        <v>45722</v>
      </c>
      <c r="C1479" s="16" t="s">
        <v>1547</v>
      </c>
      <c r="D1479" s="7" t="n">
        <v>-343.92</v>
      </c>
      <c r="E1479" s="16" t="s">
        <v>206</v>
      </c>
      <c r="F1479" s="7" t="n">
        <v>24487.34</v>
      </c>
      <c r="G1479" s="16" t="s">
        <v>136</v>
      </c>
    </row>
    <row r="1480" customFormat="false" ht="15" hidden="false" customHeight="false" outlineLevel="0" collapsed="false">
      <c r="A1480" s="0" t="s">
        <v>259</v>
      </c>
      <c r="B1480" s="14" t="n">
        <v>45722</v>
      </c>
      <c r="C1480" s="16" t="s">
        <v>1548</v>
      </c>
      <c r="D1480" s="7" t="n">
        <v>20000</v>
      </c>
      <c r="E1480" s="16" t="s">
        <v>213</v>
      </c>
      <c r="F1480" s="7" t="n">
        <v>24831.26</v>
      </c>
      <c r="G1480" s="16" t="s">
        <v>43</v>
      </c>
    </row>
    <row r="1481" customFormat="false" ht="15" hidden="false" customHeight="false" outlineLevel="0" collapsed="false">
      <c r="A1481" s="0" t="s">
        <v>187</v>
      </c>
      <c r="B1481" s="14" t="n">
        <v>45721</v>
      </c>
      <c r="C1481" s="16" t="s">
        <v>1549</v>
      </c>
      <c r="D1481" s="7" t="n">
        <v>-63</v>
      </c>
      <c r="E1481" s="16" t="s">
        <v>197</v>
      </c>
      <c r="F1481" s="7" t="n">
        <v>4831.26</v>
      </c>
    </row>
    <row r="1482" customFormat="false" ht="15" hidden="false" customHeight="false" outlineLevel="0" collapsed="false">
      <c r="A1482" s="0" t="s">
        <v>187</v>
      </c>
      <c r="B1482" s="14" t="n">
        <v>45720</v>
      </c>
      <c r="C1482" s="16" t="s">
        <v>1550</v>
      </c>
      <c r="D1482" s="7" t="n">
        <v>-500</v>
      </c>
      <c r="E1482" s="16" t="s">
        <v>193</v>
      </c>
      <c r="F1482" s="7" t="n">
        <v>4894.26</v>
      </c>
      <c r="G1482" s="16" t="s">
        <v>80</v>
      </c>
    </row>
    <row r="1483" customFormat="false" ht="15" hidden="false" customHeight="false" outlineLevel="0" collapsed="false">
      <c r="A1483" s="0" t="s">
        <v>187</v>
      </c>
      <c r="B1483" s="14" t="n">
        <v>45720</v>
      </c>
      <c r="C1483" s="16" t="s">
        <v>1551</v>
      </c>
      <c r="D1483" s="7" t="n">
        <v>-500</v>
      </c>
      <c r="E1483" s="16" t="s">
        <v>215</v>
      </c>
      <c r="F1483" s="7" t="n">
        <v>5394.26</v>
      </c>
      <c r="G1483" s="16" t="s">
        <v>81</v>
      </c>
    </row>
    <row r="1484" customFormat="false" ht="15" hidden="false" customHeight="false" outlineLevel="0" collapsed="false">
      <c r="A1484" s="0" t="s">
        <v>187</v>
      </c>
      <c r="B1484" s="14" t="n">
        <v>45720</v>
      </c>
      <c r="C1484" s="16" t="s">
        <v>1552</v>
      </c>
      <c r="D1484" s="7" t="n">
        <v>-1000</v>
      </c>
      <c r="E1484" s="16" t="s">
        <v>215</v>
      </c>
      <c r="F1484" s="7" t="n">
        <v>5894.26</v>
      </c>
      <c r="G1484" s="16" t="s">
        <v>154</v>
      </c>
    </row>
    <row r="1485" customFormat="false" ht="15" hidden="false" customHeight="false" outlineLevel="0" collapsed="false">
      <c r="A1485" s="0" t="s">
        <v>187</v>
      </c>
      <c r="B1485" s="14" t="n">
        <v>45720</v>
      </c>
      <c r="C1485" s="16" t="s">
        <v>1553</v>
      </c>
      <c r="D1485" s="7" t="n">
        <v>-192.51</v>
      </c>
      <c r="E1485" s="16" t="s">
        <v>206</v>
      </c>
      <c r="F1485" s="7" t="n">
        <v>6894.26</v>
      </c>
      <c r="G1485" s="16" t="s">
        <v>182</v>
      </c>
    </row>
    <row r="1486" customFormat="false" ht="15" hidden="false" customHeight="false" outlineLevel="0" collapsed="false">
      <c r="A1486" s="0" t="s">
        <v>187</v>
      </c>
      <c r="B1486" s="14" t="n">
        <v>45720</v>
      </c>
      <c r="C1486" s="16" t="s">
        <v>1554</v>
      </c>
      <c r="D1486" s="7" t="n">
        <v>-12</v>
      </c>
      <c r="E1486" s="16" t="s">
        <v>206</v>
      </c>
      <c r="F1486" s="7" t="n">
        <v>7086.77</v>
      </c>
      <c r="G1486" s="16" t="s">
        <v>130</v>
      </c>
    </row>
    <row r="1487" customFormat="false" ht="15" hidden="false" customHeight="false" outlineLevel="0" collapsed="false">
      <c r="A1487" s="0" t="s">
        <v>187</v>
      </c>
      <c r="B1487" s="14" t="n">
        <v>45720</v>
      </c>
      <c r="C1487" s="16" t="s">
        <v>1555</v>
      </c>
      <c r="D1487" s="7" t="n">
        <v>-29.99</v>
      </c>
      <c r="E1487" s="16" t="s">
        <v>206</v>
      </c>
      <c r="F1487" s="7" t="n">
        <v>7098.77</v>
      </c>
      <c r="G1487" s="16" t="s">
        <v>144</v>
      </c>
    </row>
    <row r="1488" customFormat="false" ht="15" hidden="false" customHeight="false" outlineLevel="0" collapsed="false">
      <c r="A1488" s="0" t="s">
        <v>187</v>
      </c>
      <c r="B1488" s="14" t="n">
        <v>45720</v>
      </c>
      <c r="C1488" s="16" t="s">
        <v>1556</v>
      </c>
      <c r="D1488" s="7" t="n">
        <v>-300</v>
      </c>
      <c r="E1488" s="16" t="s">
        <v>206</v>
      </c>
      <c r="F1488" s="7" t="n">
        <v>7128.76</v>
      </c>
      <c r="G1488" s="16" t="s">
        <v>121</v>
      </c>
    </row>
    <row r="1489" customFormat="false" ht="15" hidden="false" customHeight="false" outlineLevel="0" collapsed="false">
      <c r="A1489" s="0" t="s">
        <v>187</v>
      </c>
      <c r="B1489" s="14" t="n">
        <v>45720</v>
      </c>
      <c r="C1489" s="16" t="s">
        <v>1557</v>
      </c>
      <c r="D1489" s="7" t="n">
        <v>-10.78</v>
      </c>
      <c r="E1489" s="16" t="s">
        <v>206</v>
      </c>
      <c r="F1489" s="7" t="n">
        <v>7428.76</v>
      </c>
      <c r="G1489" s="16" t="s">
        <v>116</v>
      </c>
    </row>
    <row r="1490" customFormat="false" ht="15" hidden="false" customHeight="false" outlineLevel="0" collapsed="false">
      <c r="A1490" s="0" t="s">
        <v>187</v>
      </c>
      <c r="B1490" s="14" t="n">
        <v>45719</v>
      </c>
      <c r="C1490" s="16" t="s">
        <v>1558</v>
      </c>
      <c r="D1490" s="7" t="n">
        <v>-17.5</v>
      </c>
      <c r="E1490" s="16" t="s">
        <v>189</v>
      </c>
      <c r="F1490" s="7" t="n">
        <v>7439.54</v>
      </c>
      <c r="G1490" s="16" t="s">
        <v>110</v>
      </c>
    </row>
    <row r="1491" customFormat="false" ht="15" hidden="false" customHeight="false" outlineLevel="0" collapsed="false">
      <c r="A1491" s="0" t="s">
        <v>187</v>
      </c>
      <c r="B1491" s="14" t="n">
        <v>45719</v>
      </c>
      <c r="C1491" s="16" t="s">
        <v>1559</v>
      </c>
      <c r="D1491" s="7" t="n">
        <v>-86.47</v>
      </c>
      <c r="E1491" s="16" t="s">
        <v>193</v>
      </c>
      <c r="F1491" s="7" t="n">
        <v>7457.04</v>
      </c>
      <c r="G1491" s="16" t="s">
        <v>184</v>
      </c>
    </row>
    <row r="1492" customFormat="false" ht="15" hidden="false" customHeight="false" outlineLevel="0" collapsed="false">
      <c r="A1492" s="0" t="s">
        <v>187</v>
      </c>
      <c r="B1492" s="14" t="n">
        <v>45719</v>
      </c>
      <c r="C1492" s="16" t="s">
        <v>1560</v>
      </c>
      <c r="D1492" s="7" t="n">
        <v>-3.99</v>
      </c>
      <c r="E1492" s="16" t="s">
        <v>206</v>
      </c>
      <c r="F1492" s="7" t="n">
        <v>7543.51</v>
      </c>
      <c r="G1492" s="16" t="s">
        <v>144</v>
      </c>
    </row>
    <row r="1493" customFormat="false" ht="15" hidden="false" customHeight="false" outlineLevel="0" collapsed="false">
      <c r="A1493" s="0" t="s">
        <v>187</v>
      </c>
      <c r="B1493" s="14" t="n">
        <v>45719</v>
      </c>
      <c r="C1493" s="16" t="s">
        <v>1560</v>
      </c>
      <c r="D1493" s="7" t="n">
        <v>-12.99</v>
      </c>
      <c r="E1493" s="16" t="s">
        <v>206</v>
      </c>
      <c r="F1493" s="7" t="n">
        <v>7547.5</v>
      </c>
      <c r="G1493" s="16" t="s">
        <v>144</v>
      </c>
    </row>
    <row r="1494" customFormat="false" ht="15" hidden="false" customHeight="false" outlineLevel="0" collapsed="false">
      <c r="A1494" s="0" t="s">
        <v>187</v>
      </c>
      <c r="B1494" s="14" t="n">
        <v>45719</v>
      </c>
      <c r="C1494" s="16" t="s">
        <v>1561</v>
      </c>
      <c r="D1494" s="7" t="n">
        <v>-47.65</v>
      </c>
      <c r="E1494" s="16" t="s">
        <v>206</v>
      </c>
      <c r="F1494" s="7" t="n">
        <v>7560.49</v>
      </c>
      <c r="G1494" s="16" t="s">
        <v>179</v>
      </c>
    </row>
    <row r="1495" customFormat="false" ht="15" hidden="false" customHeight="false" outlineLevel="0" collapsed="false">
      <c r="A1495" s="0" t="s">
        <v>187</v>
      </c>
      <c r="B1495" s="14" t="n">
        <v>45719</v>
      </c>
      <c r="C1495" s="16" t="s">
        <v>1562</v>
      </c>
      <c r="D1495" s="7" t="n">
        <v>-12</v>
      </c>
      <c r="E1495" s="16" t="s">
        <v>206</v>
      </c>
      <c r="F1495" s="7" t="n">
        <v>7608.14</v>
      </c>
      <c r="G1495" s="16" t="s">
        <v>130</v>
      </c>
    </row>
    <row r="1496" customFormat="false" ht="15" hidden="false" customHeight="false" outlineLevel="0" collapsed="false">
      <c r="A1496" s="0" t="s">
        <v>187</v>
      </c>
      <c r="B1496" s="14" t="n">
        <v>45719</v>
      </c>
      <c r="C1496" s="16" t="s">
        <v>1563</v>
      </c>
      <c r="D1496" s="7" t="n">
        <v>-29.91</v>
      </c>
      <c r="E1496" s="16" t="s">
        <v>206</v>
      </c>
      <c r="F1496" s="7" t="n">
        <v>7620.14</v>
      </c>
      <c r="G1496" s="16" t="s">
        <v>179</v>
      </c>
    </row>
    <row r="1497" customFormat="false" ht="15" hidden="false" customHeight="false" outlineLevel="0" collapsed="false">
      <c r="A1497" s="0" t="s">
        <v>187</v>
      </c>
      <c r="B1497" s="14" t="n">
        <v>45719</v>
      </c>
      <c r="C1497" s="16" t="s">
        <v>1564</v>
      </c>
      <c r="D1497" s="7" t="n">
        <v>-17.07</v>
      </c>
      <c r="E1497" s="16" t="s">
        <v>206</v>
      </c>
      <c r="F1497" s="7" t="n">
        <v>7650.05</v>
      </c>
      <c r="G1497" s="16" t="s">
        <v>179</v>
      </c>
    </row>
    <row r="1498" customFormat="false" ht="15" hidden="false" customHeight="false" outlineLevel="0" collapsed="false">
      <c r="A1498" s="0" t="s">
        <v>187</v>
      </c>
      <c r="B1498" s="14" t="n">
        <v>45719</v>
      </c>
      <c r="C1498" s="16" t="s">
        <v>1565</v>
      </c>
      <c r="D1498" s="7" t="n">
        <v>-500</v>
      </c>
      <c r="E1498" s="16" t="s">
        <v>215</v>
      </c>
      <c r="F1498" s="7" t="n">
        <v>7667.12</v>
      </c>
      <c r="G1498" s="16" t="s">
        <v>86</v>
      </c>
    </row>
    <row r="1499" customFormat="false" ht="15" hidden="false" customHeight="false" outlineLevel="0" collapsed="false">
      <c r="A1499" s="0" t="s">
        <v>187</v>
      </c>
      <c r="B1499" s="14" t="n">
        <v>45719</v>
      </c>
      <c r="C1499" s="16" t="s">
        <v>1566</v>
      </c>
      <c r="D1499" s="7" t="n">
        <v>-101.99</v>
      </c>
      <c r="E1499" s="16" t="s">
        <v>206</v>
      </c>
      <c r="F1499" s="7" t="n">
        <v>8167.12</v>
      </c>
      <c r="G1499" s="16" t="s">
        <v>144</v>
      </c>
    </row>
    <row r="1500" customFormat="false" ht="15" hidden="false" customHeight="false" outlineLevel="0" collapsed="false">
      <c r="A1500" s="0" t="s">
        <v>187</v>
      </c>
      <c r="B1500" s="14" t="n">
        <v>45719</v>
      </c>
      <c r="C1500" s="16" t="s">
        <v>1567</v>
      </c>
      <c r="D1500" s="7" t="n">
        <v>-8.99</v>
      </c>
      <c r="E1500" s="16" t="s">
        <v>206</v>
      </c>
      <c r="F1500" s="7" t="n">
        <v>8269.11</v>
      </c>
      <c r="G1500" s="16" t="s">
        <v>144</v>
      </c>
    </row>
    <row r="1501" customFormat="false" ht="15" hidden="false" customHeight="false" outlineLevel="0" collapsed="false">
      <c r="A1501" s="0" t="s">
        <v>187</v>
      </c>
      <c r="B1501" s="14" t="n">
        <v>45719</v>
      </c>
      <c r="C1501" s="16" t="s">
        <v>1568</v>
      </c>
      <c r="D1501" s="7" t="n">
        <v>-623.04</v>
      </c>
      <c r="E1501" s="16" t="s">
        <v>206</v>
      </c>
      <c r="F1501" s="7" t="n">
        <v>8278.1</v>
      </c>
      <c r="G1501" s="16" t="s">
        <v>182</v>
      </c>
    </row>
    <row r="1502" customFormat="false" ht="15" hidden="false" customHeight="false" outlineLevel="0" collapsed="false">
      <c r="A1502" s="0" t="s">
        <v>187</v>
      </c>
      <c r="B1502" s="14" t="n">
        <v>45719</v>
      </c>
      <c r="C1502" s="16" t="s">
        <v>1569</v>
      </c>
      <c r="D1502" s="7" t="n">
        <v>-18.99</v>
      </c>
      <c r="E1502" s="16" t="s">
        <v>206</v>
      </c>
      <c r="F1502" s="7" t="n">
        <v>8901.14</v>
      </c>
      <c r="G1502" s="16" t="s">
        <v>144</v>
      </c>
    </row>
    <row r="1503" customFormat="false" ht="15" hidden="false" customHeight="false" outlineLevel="0" collapsed="false">
      <c r="A1503" s="0" t="s">
        <v>187</v>
      </c>
      <c r="B1503" s="14" t="n">
        <v>45719</v>
      </c>
      <c r="C1503" s="16" t="s">
        <v>1570</v>
      </c>
      <c r="D1503" s="7" t="n">
        <v>-13.37</v>
      </c>
      <c r="E1503" s="16" t="s">
        <v>206</v>
      </c>
      <c r="F1503" s="7" t="n">
        <v>8920.13</v>
      </c>
      <c r="G1503" s="16" t="s">
        <v>179</v>
      </c>
    </row>
    <row r="1504" customFormat="false" ht="15" hidden="false" customHeight="false" outlineLevel="0" collapsed="false">
      <c r="A1504" s="0" t="s">
        <v>187</v>
      </c>
      <c r="B1504" s="14" t="n">
        <v>45719</v>
      </c>
      <c r="C1504" s="16" t="s">
        <v>1571</v>
      </c>
      <c r="D1504" s="7" t="n">
        <v>-14.4</v>
      </c>
      <c r="E1504" s="16" t="s">
        <v>206</v>
      </c>
      <c r="F1504" s="7" t="n">
        <v>8933.5</v>
      </c>
      <c r="G1504" s="16" t="s">
        <v>144</v>
      </c>
    </row>
    <row r="1505" customFormat="false" ht="15" hidden="false" customHeight="false" outlineLevel="0" collapsed="false">
      <c r="A1505" s="0" t="s">
        <v>187</v>
      </c>
      <c r="B1505" s="14" t="n">
        <v>45719</v>
      </c>
      <c r="C1505" s="16" t="s">
        <v>1572</v>
      </c>
      <c r="D1505" s="7" t="n">
        <v>-15.99</v>
      </c>
      <c r="E1505" s="16" t="s">
        <v>206</v>
      </c>
      <c r="F1505" s="7" t="n">
        <v>8947.9</v>
      </c>
      <c r="G1505" s="16" t="s">
        <v>144</v>
      </c>
    </row>
    <row r="1506" customFormat="false" ht="15" hidden="false" customHeight="false" outlineLevel="0" collapsed="false">
      <c r="A1506" s="0" t="s">
        <v>187</v>
      </c>
      <c r="B1506" s="14" t="n">
        <v>45719</v>
      </c>
      <c r="C1506" s="16" t="s">
        <v>1573</v>
      </c>
      <c r="D1506" s="7" t="n">
        <v>-568.31</v>
      </c>
      <c r="E1506" s="16" t="s">
        <v>193</v>
      </c>
      <c r="F1506" s="7" t="n">
        <v>8963.89</v>
      </c>
      <c r="G1506" s="16" t="s">
        <v>181</v>
      </c>
    </row>
    <row r="1507" customFormat="false" ht="15" hidden="false" customHeight="false" outlineLevel="0" collapsed="false">
      <c r="A1507" s="0" t="s">
        <v>187</v>
      </c>
      <c r="B1507" s="14" t="n">
        <v>45719</v>
      </c>
      <c r="C1507" s="16" t="s">
        <v>1574</v>
      </c>
      <c r="D1507" s="7" t="n">
        <v>-586.8</v>
      </c>
      <c r="E1507" s="16" t="s">
        <v>193</v>
      </c>
      <c r="F1507" s="7" t="n">
        <v>9532.2</v>
      </c>
      <c r="G1507" s="16" t="s">
        <v>181</v>
      </c>
    </row>
    <row r="1508" customFormat="false" ht="15" hidden="false" customHeight="false" outlineLevel="0" collapsed="false">
      <c r="A1508" s="0" t="s">
        <v>187</v>
      </c>
      <c r="B1508" s="14" t="n">
        <v>45719</v>
      </c>
      <c r="C1508" s="16" t="s">
        <v>1575</v>
      </c>
      <c r="D1508" s="7" t="n">
        <v>-1000</v>
      </c>
      <c r="E1508" s="16" t="s">
        <v>213</v>
      </c>
      <c r="F1508" s="7" t="n">
        <v>10119</v>
      </c>
      <c r="G1508" s="16" t="s">
        <v>97</v>
      </c>
    </row>
    <row r="1509" customFormat="false" ht="15" hidden="false" customHeight="false" outlineLevel="0" collapsed="false">
      <c r="A1509" s="0" t="s">
        <v>187</v>
      </c>
      <c r="B1509" s="14" t="n">
        <v>45719</v>
      </c>
      <c r="C1509" s="16" t="s">
        <v>1576</v>
      </c>
      <c r="D1509" s="7" t="n">
        <v>-100</v>
      </c>
      <c r="E1509" s="16" t="s">
        <v>215</v>
      </c>
      <c r="F1509" s="7" t="n">
        <v>11119</v>
      </c>
      <c r="G1509" s="16" t="s">
        <v>87</v>
      </c>
    </row>
    <row r="1510" customFormat="false" ht="15" hidden="false" customHeight="false" outlineLevel="0" collapsed="false">
      <c r="A1510" s="0" t="s">
        <v>187</v>
      </c>
      <c r="B1510" s="14" t="n">
        <v>45719</v>
      </c>
      <c r="C1510" s="16" t="s">
        <v>1577</v>
      </c>
      <c r="D1510" s="7" t="n">
        <v>-6</v>
      </c>
      <c r="E1510" s="16" t="s">
        <v>206</v>
      </c>
      <c r="F1510" s="7" t="n">
        <v>11219</v>
      </c>
      <c r="G1510" s="16" t="s">
        <v>182</v>
      </c>
    </row>
    <row r="1511" customFormat="false" ht="15" hidden="false" customHeight="false" outlineLevel="0" collapsed="false">
      <c r="A1511" s="0" t="s">
        <v>187</v>
      </c>
      <c r="B1511" s="14" t="n">
        <v>45719</v>
      </c>
      <c r="C1511" s="16" t="s">
        <v>1578</v>
      </c>
      <c r="D1511" s="7" t="n">
        <v>-46.31</v>
      </c>
      <c r="E1511" s="16" t="s">
        <v>206</v>
      </c>
      <c r="F1511" s="7" t="n">
        <v>11225</v>
      </c>
      <c r="G1511" s="16" t="s">
        <v>182</v>
      </c>
    </row>
    <row r="1512" customFormat="false" ht="15" hidden="false" customHeight="false" outlineLevel="0" collapsed="false">
      <c r="A1512" s="0" t="s">
        <v>187</v>
      </c>
      <c r="B1512" s="14" t="n">
        <v>45719</v>
      </c>
      <c r="C1512" s="16" t="s">
        <v>1579</v>
      </c>
      <c r="D1512" s="7" t="n">
        <v>-15.9</v>
      </c>
      <c r="E1512" s="16" t="s">
        <v>206</v>
      </c>
      <c r="F1512" s="7" t="n">
        <v>11271.31</v>
      </c>
      <c r="G1512" s="16" t="s">
        <v>182</v>
      </c>
    </row>
    <row r="1513" customFormat="false" ht="15" hidden="false" customHeight="false" outlineLevel="0" collapsed="false">
      <c r="A1513" s="0" t="s">
        <v>187</v>
      </c>
      <c r="B1513" s="14" t="n">
        <v>45719</v>
      </c>
      <c r="C1513" s="16" t="s">
        <v>1580</v>
      </c>
      <c r="D1513" s="7" t="n">
        <v>-18.99</v>
      </c>
      <c r="E1513" s="16" t="s">
        <v>206</v>
      </c>
      <c r="F1513" s="7" t="n">
        <v>11287.21</v>
      </c>
      <c r="G1513" s="16" t="s">
        <v>144</v>
      </c>
    </row>
    <row r="1514" customFormat="false" ht="15" hidden="false" customHeight="false" outlineLevel="0" collapsed="false">
      <c r="A1514" s="0" t="s">
        <v>187</v>
      </c>
      <c r="B1514" s="14" t="n">
        <v>45716</v>
      </c>
      <c r="C1514" s="16" t="s">
        <v>1581</v>
      </c>
      <c r="D1514" s="7" t="n">
        <v>-613.85</v>
      </c>
      <c r="E1514" s="16" t="s">
        <v>193</v>
      </c>
      <c r="F1514" s="7" t="n">
        <v>11306.2</v>
      </c>
      <c r="G1514" s="16" t="s">
        <v>145</v>
      </c>
    </row>
    <row r="1515" customFormat="false" ht="15" hidden="false" customHeight="false" outlineLevel="0" collapsed="false">
      <c r="A1515" s="0" t="s">
        <v>187</v>
      </c>
      <c r="B1515" s="14" t="n">
        <v>45716</v>
      </c>
      <c r="C1515" s="16" t="s">
        <v>1582</v>
      </c>
      <c r="D1515" s="7" t="n">
        <v>-12.5</v>
      </c>
      <c r="E1515" s="16" t="s">
        <v>193</v>
      </c>
      <c r="F1515" s="7" t="n">
        <v>11920.05</v>
      </c>
      <c r="G1515" s="16" t="s">
        <v>142</v>
      </c>
    </row>
    <row r="1516" customFormat="false" ht="15" hidden="false" customHeight="false" outlineLevel="0" collapsed="false">
      <c r="A1516" s="0" t="s">
        <v>187</v>
      </c>
      <c r="B1516" s="14" t="n">
        <v>45716</v>
      </c>
      <c r="C1516" s="16" t="s">
        <v>1583</v>
      </c>
      <c r="D1516" s="7" t="n">
        <v>-22.92</v>
      </c>
      <c r="E1516" s="16" t="s">
        <v>193</v>
      </c>
      <c r="F1516" s="7" t="n">
        <v>11932.55</v>
      </c>
      <c r="G1516" s="16" t="s">
        <v>142</v>
      </c>
    </row>
    <row r="1517" customFormat="false" ht="15" hidden="false" customHeight="false" outlineLevel="0" collapsed="false">
      <c r="A1517" s="0" t="s">
        <v>187</v>
      </c>
      <c r="B1517" s="14" t="n">
        <v>45716</v>
      </c>
      <c r="C1517" s="16" t="s">
        <v>1584</v>
      </c>
      <c r="D1517" s="7" t="n">
        <v>-1399.46</v>
      </c>
      <c r="E1517" s="16" t="s">
        <v>193</v>
      </c>
      <c r="F1517" s="7" t="n">
        <v>11955.47</v>
      </c>
      <c r="G1517" s="16" t="s">
        <v>180</v>
      </c>
    </row>
    <row r="1518" customFormat="false" ht="15" hidden="false" customHeight="false" outlineLevel="0" collapsed="false">
      <c r="A1518" s="0" t="s">
        <v>187</v>
      </c>
      <c r="B1518" s="14" t="n">
        <v>45716</v>
      </c>
      <c r="C1518" s="16" t="s">
        <v>1585</v>
      </c>
      <c r="D1518" s="7" t="n">
        <v>-2524</v>
      </c>
      <c r="E1518" s="16" t="s">
        <v>193</v>
      </c>
      <c r="F1518" s="7" t="n">
        <v>13354.93</v>
      </c>
      <c r="G1518" s="16" t="s">
        <v>102</v>
      </c>
    </row>
    <row r="1519" customFormat="false" ht="15" hidden="false" customHeight="false" outlineLevel="0" collapsed="false">
      <c r="A1519" s="0" t="s">
        <v>187</v>
      </c>
      <c r="B1519" s="14" t="n">
        <v>45716</v>
      </c>
      <c r="C1519" s="16" t="s">
        <v>1586</v>
      </c>
      <c r="D1519" s="7" t="n">
        <v>-81.98</v>
      </c>
      <c r="E1519" s="16" t="s">
        <v>206</v>
      </c>
      <c r="F1519" s="7" t="n">
        <v>15878.93</v>
      </c>
      <c r="G1519" s="16" t="s">
        <v>182</v>
      </c>
    </row>
    <row r="1520" customFormat="false" ht="15" hidden="false" customHeight="false" outlineLevel="0" collapsed="false">
      <c r="A1520" s="0" t="s">
        <v>187</v>
      </c>
      <c r="B1520" s="14" t="n">
        <v>45715</v>
      </c>
      <c r="C1520" s="16" t="s">
        <v>188</v>
      </c>
      <c r="D1520" s="7" t="n">
        <v>-5</v>
      </c>
      <c r="E1520" s="16" t="s">
        <v>189</v>
      </c>
      <c r="F1520" s="7" t="n">
        <v>15960.91</v>
      </c>
      <c r="G1520" s="16" t="s">
        <v>65</v>
      </c>
    </row>
    <row r="1521" customFormat="false" ht="15" hidden="false" customHeight="false" outlineLevel="0" collapsed="false">
      <c r="A1521" s="0" t="s">
        <v>187</v>
      </c>
      <c r="B1521" s="14" t="n">
        <v>45715</v>
      </c>
      <c r="C1521" s="16" t="s">
        <v>1587</v>
      </c>
      <c r="D1521" s="7" t="n">
        <v>-7010</v>
      </c>
      <c r="E1521" s="16" t="s">
        <v>208</v>
      </c>
      <c r="F1521" s="7" t="n">
        <v>15965.91</v>
      </c>
      <c r="G1521" s="16" t="s">
        <v>134</v>
      </c>
    </row>
    <row r="1522" customFormat="false" ht="15" hidden="false" customHeight="false" outlineLevel="0" collapsed="false">
      <c r="A1522" s="0" t="s">
        <v>187</v>
      </c>
      <c r="B1522" s="14" t="n">
        <v>45715</v>
      </c>
      <c r="C1522" s="16" t="s">
        <v>1588</v>
      </c>
      <c r="D1522" s="7" t="n">
        <v>-6000</v>
      </c>
      <c r="E1522" s="16" t="s">
        <v>213</v>
      </c>
      <c r="F1522" s="7" t="n">
        <v>22975.91</v>
      </c>
      <c r="G1522" s="16" t="s">
        <v>98</v>
      </c>
    </row>
    <row r="1523" customFormat="false" ht="15" hidden="false" customHeight="false" outlineLevel="0" collapsed="false">
      <c r="A1523" s="0" t="s">
        <v>187</v>
      </c>
      <c r="B1523" s="14" t="n">
        <v>45715</v>
      </c>
      <c r="C1523" s="16" t="s">
        <v>1589</v>
      </c>
      <c r="D1523" s="7" t="n">
        <v>-5000</v>
      </c>
      <c r="E1523" s="16" t="s">
        <v>213</v>
      </c>
      <c r="F1523" s="7" t="n">
        <v>28975.91</v>
      </c>
      <c r="G1523" s="16" t="s">
        <v>96</v>
      </c>
    </row>
    <row r="1524" customFormat="false" ht="15" hidden="false" customHeight="false" outlineLevel="0" collapsed="false">
      <c r="A1524" s="0" t="s">
        <v>187</v>
      </c>
      <c r="B1524" s="14" t="n">
        <v>45715</v>
      </c>
      <c r="C1524" s="16" t="s">
        <v>1590</v>
      </c>
      <c r="D1524" s="7" t="n">
        <v>-157.05</v>
      </c>
      <c r="E1524" s="16" t="s">
        <v>193</v>
      </c>
      <c r="F1524" s="7" t="n">
        <v>33975.91</v>
      </c>
      <c r="G1524" s="16" t="s">
        <v>122</v>
      </c>
    </row>
    <row r="1525" customFormat="false" ht="15" hidden="false" customHeight="false" outlineLevel="0" collapsed="false">
      <c r="A1525" s="0" t="s">
        <v>187</v>
      </c>
      <c r="B1525" s="14" t="n">
        <v>45715</v>
      </c>
      <c r="C1525" s="16" t="s">
        <v>1591</v>
      </c>
      <c r="D1525" s="7" t="n">
        <v>-1000</v>
      </c>
      <c r="E1525" s="16" t="s">
        <v>197</v>
      </c>
      <c r="F1525" s="7" t="n">
        <v>34132.96</v>
      </c>
      <c r="G1525" s="16" t="s">
        <v>154</v>
      </c>
    </row>
    <row r="1526" customFormat="false" ht="15" hidden="false" customHeight="false" outlineLevel="0" collapsed="false">
      <c r="A1526" s="0" t="s">
        <v>187</v>
      </c>
      <c r="B1526" s="14" t="n">
        <v>45715</v>
      </c>
      <c r="C1526" s="16" t="s">
        <v>1592</v>
      </c>
      <c r="D1526" s="7" t="n">
        <v>-130</v>
      </c>
      <c r="E1526" s="16" t="s">
        <v>193</v>
      </c>
      <c r="F1526" s="7" t="n">
        <v>35132.96</v>
      </c>
      <c r="G1526" s="16" t="s">
        <v>80</v>
      </c>
    </row>
    <row r="1527" customFormat="false" ht="15" hidden="false" customHeight="false" outlineLevel="0" collapsed="false">
      <c r="A1527" s="0" t="s">
        <v>187</v>
      </c>
      <c r="B1527" s="14" t="n">
        <v>45715</v>
      </c>
      <c r="C1527" s="16" t="s">
        <v>1593</v>
      </c>
      <c r="D1527" s="7" t="n">
        <v>-150</v>
      </c>
      <c r="E1527" s="16" t="s">
        <v>193</v>
      </c>
      <c r="F1527" s="7" t="n">
        <v>35262.96</v>
      </c>
      <c r="G1527" s="16" t="s">
        <v>80</v>
      </c>
    </row>
    <row r="1528" customFormat="false" ht="15" hidden="false" customHeight="false" outlineLevel="0" collapsed="false">
      <c r="A1528" s="0" t="s">
        <v>187</v>
      </c>
      <c r="B1528" s="14" t="n">
        <v>45715</v>
      </c>
      <c r="C1528" s="16" t="s">
        <v>1594</v>
      </c>
      <c r="D1528" s="7" t="n">
        <v>-300</v>
      </c>
      <c r="E1528" s="16" t="s">
        <v>193</v>
      </c>
      <c r="F1528" s="7" t="n">
        <v>35412.96</v>
      </c>
      <c r="G1528" s="16" t="s">
        <v>80</v>
      </c>
    </row>
    <row r="1529" customFormat="false" ht="15" hidden="false" customHeight="false" outlineLevel="0" collapsed="false">
      <c r="A1529" s="0" t="s">
        <v>187</v>
      </c>
      <c r="B1529" s="14" t="n">
        <v>45715</v>
      </c>
      <c r="C1529" s="16" t="s">
        <v>1595</v>
      </c>
      <c r="D1529" s="7" t="n">
        <v>-750</v>
      </c>
      <c r="E1529" s="16" t="s">
        <v>191</v>
      </c>
      <c r="F1529" s="7" t="n">
        <v>35712.96</v>
      </c>
      <c r="G1529" s="16" t="s">
        <v>65</v>
      </c>
    </row>
    <row r="1530" customFormat="false" ht="15" hidden="false" customHeight="false" outlineLevel="0" collapsed="false">
      <c r="A1530" s="0" t="s">
        <v>187</v>
      </c>
      <c r="B1530" s="14" t="n">
        <v>45715</v>
      </c>
      <c r="C1530" s="16" t="s">
        <v>1596</v>
      </c>
      <c r="D1530" s="7" t="n">
        <v>-400</v>
      </c>
      <c r="E1530" s="16" t="s">
        <v>215</v>
      </c>
      <c r="F1530" s="7" t="n">
        <v>36462.96</v>
      </c>
      <c r="G1530" s="16" t="s">
        <v>87</v>
      </c>
    </row>
    <row r="1531" customFormat="false" ht="15" hidden="false" customHeight="false" outlineLevel="0" collapsed="false">
      <c r="A1531" s="0" t="s">
        <v>187</v>
      </c>
      <c r="B1531" s="14" t="n">
        <v>45715</v>
      </c>
      <c r="C1531" s="16" t="s">
        <v>1597</v>
      </c>
      <c r="D1531" s="7" t="n">
        <v>-14.25</v>
      </c>
      <c r="E1531" s="16" t="s">
        <v>206</v>
      </c>
      <c r="F1531" s="7" t="n">
        <v>36862.96</v>
      </c>
      <c r="G1531" s="16" t="s">
        <v>182</v>
      </c>
    </row>
    <row r="1532" customFormat="false" ht="15" hidden="false" customHeight="false" outlineLevel="0" collapsed="false">
      <c r="A1532" s="0" t="s">
        <v>187</v>
      </c>
      <c r="B1532" s="14" t="n">
        <v>45715</v>
      </c>
      <c r="C1532" s="16" t="s">
        <v>1598</v>
      </c>
      <c r="D1532" s="7" t="n">
        <v>-16.99</v>
      </c>
      <c r="E1532" s="16" t="s">
        <v>206</v>
      </c>
      <c r="F1532" s="7" t="n">
        <v>36877.21</v>
      </c>
      <c r="G1532" s="16" t="s">
        <v>144</v>
      </c>
    </row>
    <row r="1533" customFormat="false" ht="15" hidden="false" customHeight="false" outlineLevel="0" collapsed="false">
      <c r="A1533" s="0" t="s">
        <v>187</v>
      </c>
      <c r="B1533" s="14" t="n">
        <v>45715</v>
      </c>
      <c r="C1533" s="16" t="s">
        <v>1599</v>
      </c>
      <c r="D1533" s="7" t="n">
        <v>-17.4</v>
      </c>
      <c r="E1533" s="16" t="s">
        <v>206</v>
      </c>
      <c r="F1533" s="7" t="n">
        <v>36894.2</v>
      </c>
      <c r="G1533" s="16" t="s">
        <v>182</v>
      </c>
    </row>
    <row r="1534" customFormat="false" ht="15" hidden="false" customHeight="false" outlineLevel="0" collapsed="false">
      <c r="A1534" s="0" t="s">
        <v>187</v>
      </c>
      <c r="B1534" s="14" t="n">
        <v>45715</v>
      </c>
      <c r="C1534" s="16" t="s">
        <v>1600</v>
      </c>
      <c r="D1534" s="7" t="n">
        <v>-9.99</v>
      </c>
      <c r="E1534" s="16" t="s">
        <v>206</v>
      </c>
      <c r="F1534" s="7" t="n">
        <v>36911.6</v>
      </c>
      <c r="G1534" s="16" t="s">
        <v>144</v>
      </c>
    </row>
    <row r="1535" customFormat="false" ht="15" hidden="false" customHeight="false" outlineLevel="0" collapsed="false">
      <c r="A1535" s="0" t="s">
        <v>187</v>
      </c>
      <c r="B1535" s="14" t="n">
        <v>45715</v>
      </c>
      <c r="C1535" s="16" t="s">
        <v>1601</v>
      </c>
      <c r="D1535" s="7" t="n">
        <v>-65</v>
      </c>
      <c r="E1535" s="16" t="s">
        <v>206</v>
      </c>
      <c r="F1535" s="7" t="n">
        <v>36921.59</v>
      </c>
      <c r="G1535" s="16" t="s">
        <v>183</v>
      </c>
    </row>
    <row r="1536" customFormat="false" ht="15" hidden="false" customHeight="false" outlineLevel="0" collapsed="false">
      <c r="A1536" s="0" t="s">
        <v>259</v>
      </c>
      <c r="B1536" s="14" t="n">
        <v>45715</v>
      </c>
      <c r="C1536" s="16" t="s">
        <v>1602</v>
      </c>
      <c r="D1536" s="7" t="n">
        <v>20000</v>
      </c>
      <c r="E1536" s="16" t="s">
        <v>213</v>
      </c>
      <c r="F1536" s="7" t="n">
        <v>36986.59</v>
      </c>
      <c r="G1536" s="16" t="s">
        <v>43</v>
      </c>
    </row>
    <row r="1537" customFormat="false" ht="15" hidden="false" customHeight="false" outlineLevel="0" collapsed="false">
      <c r="A1537" s="0" t="s">
        <v>187</v>
      </c>
      <c r="B1537" s="14" t="n">
        <v>45714</v>
      </c>
      <c r="C1537" s="16" t="s">
        <v>1603</v>
      </c>
      <c r="D1537" s="7" t="n">
        <v>-120</v>
      </c>
      <c r="E1537" s="16" t="s">
        <v>193</v>
      </c>
      <c r="F1537" s="7" t="n">
        <v>16986.59</v>
      </c>
      <c r="G1537" s="16" t="s">
        <v>80</v>
      </c>
    </row>
    <row r="1538" customFormat="false" ht="15" hidden="false" customHeight="false" outlineLevel="0" collapsed="false">
      <c r="A1538" s="0" t="s">
        <v>187</v>
      </c>
      <c r="B1538" s="14" t="n">
        <v>45714</v>
      </c>
      <c r="C1538" s="16" t="s">
        <v>1604</v>
      </c>
      <c r="D1538" s="7" t="n">
        <v>-17.27</v>
      </c>
      <c r="E1538" s="16" t="s">
        <v>206</v>
      </c>
      <c r="F1538" s="7" t="n">
        <v>17106.59</v>
      </c>
      <c r="G1538" s="16" t="s">
        <v>144</v>
      </c>
    </row>
    <row r="1539" customFormat="false" ht="15" hidden="false" customHeight="false" outlineLevel="0" collapsed="false">
      <c r="A1539" s="0" t="s">
        <v>187</v>
      </c>
      <c r="B1539" s="14" t="n">
        <v>45714</v>
      </c>
      <c r="C1539" s="16" t="s">
        <v>1605</v>
      </c>
      <c r="D1539" s="7" t="n">
        <v>-24.85</v>
      </c>
      <c r="E1539" s="16" t="s">
        <v>206</v>
      </c>
      <c r="F1539" s="7" t="n">
        <v>17123.86</v>
      </c>
      <c r="G1539" s="16" t="s">
        <v>182</v>
      </c>
    </row>
    <row r="1540" customFormat="false" ht="15" hidden="false" customHeight="false" outlineLevel="0" collapsed="false">
      <c r="A1540" s="0" t="s">
        <v>187</v>
      </c>
      <c r="B1540" s="14" t="n">
        <v>45714</v>
      </c>
      <c r="C1540" s="16" t="s">
        <v>1606</v>
      </c>
      <c r="D1540" s="7" t="n">
        <v>-2.5</v>
      </c>
      <c r="E1540" s="16" t="s">
        <v>206</v>
      </c>
      <c r="F1540" s="7" t="n">
        <v>17148.71</v>
      </c>
      <c r="G1540" s="16" t="s">
        <v>179</v>
      </c>
    </row>
    <row r="1541" customFormat="false" ht="15" hidden="false" customHeight="false" outlineLevel="0" collapsed="false">
      <c r="A1541" s="0" t="s">
        <v>187</v>
      </c>
      <c r="B1541" s="14" t="n">
        <v>45714</v>
      </c>
      <c r="C1541" s="16" t="s">
        <v>1600</v>
      </c>
      <c r="D1541" s="7" t="n">
        <v>-29.99</v>
      </c>
      <c r="E1541" s="16" t="s">
        <v>206</v>
      </c>
      <c r="F1541" s="7" t="n">
        <v>17151.21</v>
      </c>
      <c r="G1541" s="16" t="s">
        <v>144</v>
      </c>
    </row>
    <row r="1542" customFormat="false" ht="15" hidden="false" customHeight="false" outlineLevel="0" collapsed="false">
      <c r="A1542" s="0" t="s">
        <v>187</v>
      </c>
      <c r="B1542" s="14" t="n">
        <v>45714</v>
      </c>
      <c r="C1542" s="16" t="s">
        <v>1607</v>
      </c>
      <c r="D1542" s="7" t="n">
        <v>-62</v>
      </c>
      <c r="E1542" s="16" t="s">
        <v>206</v>
      </c>
      <c r="F1542" s="7" t="n">
        <v>17181.2</v>
      </c>
      <c r="G1542" s="16" t="s">
        <v>183</v>
      </c>
    </row>
    <row r="1543" customFormat="false" ht="15" hidden="false" customHeight="false" outlineLevel="0" collapsed="false">
      <c r="A1543" s="0" t="s">
        <v>187</v>
      </c>
      <c r="B1543" s="14" t="n">
        <v>45714</v>
      </c>
      <c r="C1543" s="16" t="s">
        <v>1608</v>
      </c>
      <c r="D1543" s="7" t="n">
        <v>-2.5</v>
      </c>
      <c r="E1543" s="16" t="s">
        <v>206</v>
      </c>
      <c r="F1543" s="7" t="n">
        <v>17243.2</v>
      </c>
      <c r="G1543" s="16" t="s">
        <v>179</v>
      </c>
    </row>
    <row r="1544" customFormat="false" ht="15" hidden="false" customHeight="false" outlineLevel="0" collapsed="false">
      <c r="A1544" s="0" t="s">
        <v>187</v>
      </c>
      <c r="B1544" s="14" t="n">
        <v>45713</v>
      </c>
      <c r="C1544" s="16" t="s">
        <v>1609</v>
      </c>
      <c r="D1544" s="7" t="n">
        <v>-4000</v>
      </c>
      <c r="E1544" s="16" t="s">
        <v>213</v>
      </c>
      <c r="F1544" s="7" t="n">
        <v>17245.7</v>
      </c>
      <c r="G1544" s="16" t="s">
        <v>96</v>
      </c>
    </row>
    <row r="1545" customFormat="false" ht="15" hidden="false" customHeight="false" outlineLevel="0" collapsed="false">
      <c r="A1545" s="0" t="s">
        <v>187</v>
      </c>
      <c r="B1545" s="14" t="n">
        <v>45713</v>
      </c>
      <c r="C1545" s="16" t="s">
        <v>1610</v>
      </c>
      <c r="D1545" s="7" t="n">
        <v>-200</v>
      </c>
      <c r="E1545" s="16" t="s">
        <v>215</v>
      </c>
      <c r="F1545" s="7" t="n">
        <v>21245.7</v>
      </c>
      <c r="G1545" s="16" t="s">
        <v>87</v>
      </c>
    </row>
    <row r="1546" customFormat="false" ht="15" hidden="false" customHeight="false" outlineLevel="0" collapsed="false">
      <c r="A1546" s="0" t="s">
        <v>187</v>
      </c>
      <c r="B1546" s="14" t="n">
        <v>45713</v>
      </c>
      <c r="C1546" s="16" t="s">
        <v>1611</v>
      </c>
      <c r="D1546" s="7" t="n">
        <v>-200</v>
      </c>
      <c r="E1546" s="16" t="s">
        <v>215</v>
      </c>
      <c r="F1546" s="7" t="n">
        <v>21445.7</v>
      </c>
      <c r="G1546" s="16" t="s">
        <v>87</v>
      </c>
    </row>
    <row r="1547" customFormat="false" ht="15" hidden="false" customHeight="false" outlineLevel="0" collapsed="false">
      <c r="A1547" s="0" t="s">
        <v>187</v>
      </c>
      <c r="B1547" s="14" t="n">
        <v>45713</v>
      </c>
      <c r="C1547" s="16" t="s">
        <v>1612</v>
      </c>
      <c r="D1547" s="7" t="n">
        <v>-5</v>
      </c>
      <c r="E1547" s="16" t="s">
        <v>193</v>
      </c>
      <c r="F1547" s="7" t="n">
        <v>21645.7</v>
      </c>
      <c r="G1547" s="16" t="s">
        <v>80</v>
      </c>
    </row>
    <row r="1548" customFormat="false" ht="15" hidden="false" customHeight="false" outlineLevel="0" collapsed="false">
      <c r="A1548" s="0" t="s">
        <v>187</v>
      </c>
      <c r="B1548" s="14" t="n">
        <v>45713</v>
      </c>
      <c r="C1548" s="16" t="s">
        <v>1613</v>
      </c>
      <c r="D1548" s="7" t="n">
        <v>-40</v>
      </c>
      <c r="E1548" s="16" t="s">
        <v>193</v>
      </c>
      <c r="F1548" s="7" t="n">
        <v>21650.7</v>
      </c>
      <c r="G1548" s="16" t="s">
        <v>80</v>
      </c>
    </row>
    <row r="1549" customFormat="false" ht="15" hidden="false" customHeight="false" outlineLevel="0" collapsed="false">
      <c r="A1549" s="0" t="s">
        <v>187</v>
      </c>
      <c r="B1549" s="14" t="n">
        <v>45713</v>
      </c>
      <c r="C1549" s="16" t="s">
        <v>1614</v>
      </c>
      <c r="D1549" s="7" t="n">
        <v>-139.75</v>
      </c>
      <c r="E1549" s="16" t="s">
        <v>206</v>
      </c>
      <c r="F1549" s="7" t="n">
        <v>21690.7</v>
      </c>
      <c r="G1549" s="16" t="s">
        <v>137</v>
      </c>
    </row>
    <row r="1550" customFormat="false" ht="15" hidden="false" customHeight="false" outlineLevel="0" collapsed="false">
      <c r="A1550" s="0" t="s">
        <v>187</v>
      </c>
      <c r="B1550" s="14" t="n">
        <v>45713</v>
      </c>
      <c r="C1550" s="16" t="s">
        <v>1615</v>
      </c>
      <c r="D1550" s="7" t="n">
        <v>-119.66</v>
      </c>
      <c r="E1550" s="16" t="s">
        <v>206</v>
      </c>
      <c r="F1550" s="7" t="n">
        <v>21830.45</v>
      </c>
      <c r="G1550" s="16" t="s">
        <v>137</v>
      </c>
    </row>
    <row r="1551" customFormat="false" ht="15" hidden="false" customHeight="false" outlineLevel="0" collapsed="false">
      <c r="A1551" s="0" t="s">
        <v>187</v>
      </c>
      <c r="B1551" s="14" t="n">
        <v>45713</v>
      </c>
      <c r="C1551" s="16" t="s">
        <v>1616</v>
      </c>
      <c r="D1551" s="7" t="n">
        <v>-0.5</v>
      </c>
      <c r="E1551" s="16" t="s">
        <v>206</v>
      </c>
      <c r="F1551" s="7" t="n">
        <v>21950.11</v>
      </c>
      <c r="G1551" s="16" t="s">
        <v>179</v>
      </c>
    </row>
    <row r="1552" customFormat="false" ht="15" hidden="false" customHeight="false" outlineLevel="0" collapsed="false">
      <c r="A1552" s="0" t="s">
        <v>187</v>
      </c>
      <c r="B1552" s="14" t="n">
        <v>45713</v>
      </c>
      <c r="C1552" s="16" t="s">
        <v>1617</v>
      </c>
      <c r="D1552" s="7" t="n">
        <v>-12.99</v>
      </c>
      <c r="E1552" s="16" t="s">
        <v>206</v>
      </c>
      <c r="F1552" s="7" t="n">
        <v>21950.61</v>
      </c>
      <c r="G1552" s="16" t="s">
        <v>114</v>
      </c>
    </row>
    <row r="1553" customFormat="false" ht="15" hidden="false" customHeight="false" outlineLevel="0" collapsed="false">
      <c r="A1553" s="0" t="s">
        <v>187</v>
      </c>
      <c r="B1553" s="14" t="n">
        <v>45713</v>
      </c>
      <c r="C1553" s="16" t="s">
        <v>1618</v>
      </c>
      <c r="D1553" s="7" t="n">
        <v>-122.5</v>
      </c>
      <c r="E1553" s="16" t="s">
        <v>206</v>
      </c>
      <c r="F1553" s="7" t="n">
        <v>21963.6</v>
      </c>
      <c r="G1553" s="16" t="s">
        <v>75</v>
      </c>
    </row>
    <row r="1554" customFormat="false" ht="15" hidden="false" customHeight="false" outlineLevel="0" collapsed="false">
      <c r="A1554" s="0" t="s">
        <v>187</v>
      </c>
      <c r="B1554" s="14" t="n">
        <v>45713</v>
      </c>
      <c r="C1554" s="16" t="s">
        <v>1619</v>
      </c>
      <c r="D1554" s="7" t="n">
        <v>-87.27</v>
      </c>
      <c r="E1554" s="16" t="s">
        <v>206</v>
      </c>
      <c r="F1554" s="7" t="n">
        <v>22086.1</v>
      </c>
      <c r="G1554" s="16" t="s">
        <v>182</v>
      </c>
    </row>
    <row r="1555" customFormat="false" ht="15" hidden="false" customHeight="false" outlineLevel="0" collapsed="false">
      <c r="A1555" s="0" t="s">
        <v>187</v>
      </c>
      <c r="B1555" s="14" t="n">
        <v>45712</v>
      </c>
      <c r="C1555" s="16" t="s">
        <v>277</v>
      </c>
      <c r="D1555" s="7" t="n">
        <v>-15</v>
      </c>
      <c r="E1555" s="16" t="s">
        <v>189</v>
      </c>
      <c r="F1555" s="7" t="n">
        <v>22173.37</v>
      </c>
      <c r="G1555" s="16" t="s">
        <v>123</v>
      </c>
    </row>
    <row r="1556" customFormat="false" ht="15" hidden="false" customHeight="false" outlineLevel="0" collapsed="false">
      <c r="A1556" s="0" t="s">
        <v>187</v>
      </c>
      <c r="B1556" s="14" t="n">
        <v>45712</v>
      </c>
      <c r="C1556" s="16" t="s">
        <v>1620</v>
      </c>
      <c r="D1556" s="7" t="n">
        <v>-74.35</v>
      </c>
      <c r="E1556" s="16" t="s">
        <v>193</v>
      </c>
      <c r="F1556" s="7" t="n">
        <v>22203.37</v>
      </c>
      <c r="G1556" s="16" t="s">
        <v>101</v>
      </c>
    </row>
    <row r="1557" customFormat="false" ht="15" hidden="false" customHeight="false" outlineLevel="0" collapsed="false">
      <c r="A1557" s="0" t="s">
        <v>187</v>
      </c>
      <c r="B1557" s="14" t="n">
        <v>45712</v>
      </c>
      <c r="C1557" s="16" t="s">
        <v>1621</v>
      </c>
      <c r="D1557" s="7" t="n">
        <v>-1853.08</v>
      </c>
      <c r="E1557" s="16" t="s">
        <v>193</v>
      </c>
      <c r="F1557" s="7" t="n">
        <v>22277.72</v>
      </c>
      <c r="G1557" s="16" t="s">
        <v>101</v>
      </c>
    </row>
    <row r="1558" customFormat="false" ht="15" hidden="false" customHeight="false" outlineLevel="0" collapsed="false">
      <c r="A1558" s="0" t="s">
        <v>187</v>
      </c>
      <c r="B1558" s="14" t="n">
        <v>45712</v>
      </c>
      <c r="C1558" s="16" t="s">
        <v>1622</v>
      </c>
      <c r="D1558" s="7" t="n">
        <v>-14054.21</v>
      </c>
      <c r="E1558" s="16" t="s">
        <v>193</v>
      </c>
      <c r="F1558" s="7" t="n">
        <v>24130.8</v>
      </c>
      <c r="G1558" s="16" t="s">
        <v>101</v>
      </c>
    </row>
    <row r="1559" customFormat="false" ht="15" hidden="false" customHeight="false" outlineLevel="0" collapsed="false">
      <c r="A1559" s="0" t="s">
        <v>187</v>
      </c>
      <c r="B1559" s="14" t="n">
        <v>45712</v>
      </c>
      <c r="C1559" s="16" t="s">
        <v>1623</v>
      </c>
      <c r="D1559" s="7" t="n">
        <v>-48648.58</v>
      </c>
      <c r="E1559" s="16" t="s">
        <v>193</v>
      </c>
      <c r="F1559" s="7" t="n">
        <v>38185.01</v>
      </c>
      <c r="G1559" s="16" t="s">
        <v>101</v>
      </c>
    </row>
    <row r="1560" customFormat="false" ht="15" hidden="false" customHeight="false" outlineLevel="0" collapsed="false">
      <c r="A1560" s="0" t="s">
        <v>187</v>
      </c>
      <c r="B1560" s="14" t="n">
        <v>45712</v>
      </c>
      <c r="C1560" s="16" t="s">
        <v>1624</v>
      </c>
      <c r="D1560" s="7" t="n">
        <v>-22800</v>
      </c>
      <c r="E1560" s="16" t="s">
        <v>197</v>
      </c>
      <c r="F1560" s="7" t="n">
        <v>86833.59</v>
      </c>
      <c r="G1560" s="16" t="s">
        <v>73</v>
      </c>
    </row>
    <row r="1561" customFormat="false" ht="15" hidden="false" customHeight="false" outlineLevel="0" collapsed="false">
      <c r="A1561" s="0" t="s">
        <v>187</v>
      </c>
      <c r="B1561" s="14" t="n">
        <v>45712</v>
      </c>
      <c r="C1561" s="16" t="s">
        <v>1625</v>
      </c>
      <c r="D1561" s="7" t="n">
        <v>-2000</v>
      </c>
      <c r="E1561" s="16" t="s">
        <v>213</v>
      </c>
      <c r="F1561" s="7" t="n">
        <v>109633.59</v>
      </c>
      <c r="G1561" s="16" t="s">
        <v>96</v>
      </c>
    </row>
    <row r="1562" customFormat="false" ht="15" hidden="false" customHeight="false" outlineLevel="0" collapsed="false">
      <c r="A1562" s="0" t="s">
        <v>187</v>
      </c>
      <c r="B1562" s="14" t="n">
        <v>45712</v>
      </c>
      <c r="C1562" s="16" t="s">
        <v>1626</v>
      </c>
      <c r="D1562" s="7" t="n">
        <v>-1000</v>
      </c>
      <c r="E1562" s="16" t="s">
        <v>193</v>
      </c>
      <c r="F1562" s="7" t="n">
        <v>111633.59</v>
      </c>
      <c r="G1562" s="16" t="s">
        <v>80</v>
      </c>
    </row>
    <row r="1563" customFormat="false" ht="15" hidden="false" customHeight="false" outlineLevel="0" collapsed="false">
      <c r="A1563" s="0" t="s">
        <v>187</v>
      </c>
      <c r="B1563" s="14" t="n">
        <v>45712</v>
      </c>
      <c r="C1563" s="16" t="s">
        <v>1627</v>
      </c>
      <c r="D1563" s="7" t="n">
        <v>-40</v>
      </c>
      <c r="E1563" s="16" t="s">
        <v>206</v>
      </c>
      <c r="F1563" s="7" t="n">
        <v>112633.59</v>
      </c>
      <c r="G1563" s="16" t="s">
        <v>130</v>
      </c>
    </row>
    <row r="1564" customFormat="false" ht="15" hidden="false" customHeight="false" outlineLevel="0" collapsed="false">
      <c r="A1564" s="0" t="s">
        <v>187</v>
      </c>
      <c r="B1564" s="14" t="n">
        <v>45712</v>
      </c>
      <c r="C1564" s="16" t="s">
        <v>1628</v>
      </c>
      <c r="D1564" s="7" t="n">
        <v>-329.49</v>
      </c>
      <c r="E1564" s="16" t="s">
        <v>206</v>
      </c>
      <c r="F1564" s="7" t="n">
        <v>112673.59</v>
      </c>
      <c r="G1564" s="16" t="s">
        <v>182</v>
      </c>
    </row>
    <row r="1565" customFormat="false" ht="15" hidden="false" customHeight="false" outlineLevel="0" collapsed="false">
      <c r="A1565" s="0" t="s">
        <v>187</v>
      </c>
      <c r="B1565" s="14" t="n">
        <v>45712</v>
      </c>
      <c r="C1565" s="16" t="s">
        <v>1629</v>
      </c>
      <c r="D1565" s="7" t="n">
        <v>-8.99</v>
      </c>
      <c r="E1565" s="16" t="s">
        <v>206</v>
      </c>
      <c r="F1565" s="7" t="n">
        <v>113003.08</v>
      </c>
      <c r="G1565" s="16" t="s">
        <v>144</v>
      </c>
    </row>
    <row r="1566" customFormat="false" ht="15" hidden="false" customHeight="false" outlineLevel="0" collapsed="false">
      <c r="A1566" s="0" t="s">
        <v>187</v>
      </c>
      <c r="B1566" s="14" t="n">
        <v>45712</v>
      </c>
      <c r="C1566" s="16" t="s">
        <v>1630</v>
      </c>
      <c r="D1566" s="7" t="n">
        <v>-9</v>
      </c>
      <c r="E1566" s="16" t="s">
        <v>206</v>
      </c>
      <c r="F1566" s="7" t="n">
        <v>113012.07</v>
      </c>
      <c r="G1566" s="16" t="s">
        <v>179</v>
      </c>
    </row>
    <row r="1567" customFormat="false" ht="15" hidden="false" customHeight="false" outlineLevel="0" collapsed="false">
      <c r="A1567" s="0" t="s">
        <v>187</v>
      </c>
      <c r="B1567" s="14" t="n">
        <v>45712</v>
      </c>
      <c r="C1567" s="16" t="s">
        <v>1631</v>
      </c>
      <c r="D1567" s="7" t="n">
        <v>-9.99</v>
      </c>
      <c r="E1567" s="16" t="s">
        <v>206</v>
      </c>
      <c r="F1567" s="7" t="n">
        <v>113021.07</v>
      </c>
      <c r="G1567" s="16" t="s">
        <v>144</v>
      </c>
    </row>
    <row r="1568" customFormat="false" ht="15" hidden="false" customHeight="false" outlineLevel="0" collapsed="false">
      <c r="A1568" s="0" t="s">
        <v>187</v>
      </c>
      <c r="B1568" s="14" t="n">
        <v>45712</v>
      </c>
      <c r="C1568" s="16" t="s">
        <v>1632</v>
      </c>
      <c r="D1568" s="7" t="n">
        <v>-284.89</v>
      </c>
      <c r="E1568" s="16" t="s">
        <v>206</v>
      </c>
      <c r="F1568" s="7" t="n">
        <v>113031.06</v>
      </c>
      <c r="G1568" s="16" t="s">
        <v>182</v>
      </c>
    </row>
    <row r="1569" customFormat="false" ht="15" hidden="false" customHeight="false" outlineLevel="0" collapsed="false">
      <c r="A1569" s="0" t="s">
        <v>187</v>
      </c>
      <c r="B1569" s="14" t="n">
        <v>45712</v>
      </c>
      <c r="C1569" s="16" t="s">
        <v>1633</v>
      </c>
      <c r="D1569" s="7" t="n">
        <v>-100</v>
      </c>
      <c r="E1569" s="16" t="s">
        <v>206</v>
      </c>
      <c r="F1569" s="7" t="n">
        <v>113315.95</v>
      </c>
      <c r="G1569" s="16" t="s">
        <v>72</v>
      </c>
    </row>
    <row r="1570" customFormat="false" ht="15" hidden="false" customHeight="false" outlineLevel="0" collapsed="false">
      <c r="A1570" s="0" t="s">
        <v>187</v>
      </c>
      <c r="B1570" s="14" t="n">
        <v>45712</v>
      </c>
      <c r="C1570" s="16" t="s">
        <v>1634</v>
      </c>
      <c r="D1570" s="7" t="n">
        <v>-11.7</v>
      </c>
      <c r="E1570" s="16" t="s">
        <v>206</v>
      </c>
      <c r="F1570" s="7" t="n">
        <v>113415.95</v>
      </c>
      <c r="G1570" s="16" t="s">
        <v>182</v>
      </c>
    </row>
    <row r="1571" customFormat="false" ht="15" hidden="false" customHeight="false" outlineLevel="0" collapsed="false">
      <c r="A1571" s="0" t="s">
        <v>187</v>
      </c>
      <c r="B1571" s="14" t="n">
        <v>45712</v>
      </c>
      <c r="C1571" s="16" t="s">
        <v>1635</v>
      </c>
      <c r="D1571" s="7" t="n">
        <v>-0.75</v>
      </c>
      <c r="E1571" s="16" t="s">
        <v>206</v>
      </c>
      <c r="F1571" s="7" t="n">
        <v>113427.65</v>
      </c>
      <c r="G1571" s="16" t="s">
        <v>179</v>
      </c>
    </row>
    <row r="1572" customFormat="false" ht="15" hidden="false" customHeight="false" outlineLevel="0" collapsed="false">
      <c r="A1572" s="0" t="s">
        <v>187</v>
      </c>
      <c r="B1572" s="14" t="n">
        <v>45712</v>
      </c>
      <c r="C1572" s="16" t="s">
        <v>1636</v>
      </c>
      <c r="D1572" s="7" t="n">
        <v>-11.57</v>
      </c>
      <c r="E1572" s="16" t="s">
        <v>206</v>
      </c>
      <c r="F1572" s="7" t="n">
        <v>113428.4</v>
      </c>
      <c r="G1572" s="16" t="s">
        <v>144</v>
      </c>
    </row>
    <row r="1573" customFormat="false" ht="15" hidden="false" customHeight="false" outlineLevel="0" collapsed="false">
      <c r="A1573" s="0" t="s">
        <v>187</v>
      </c>
      <c r="B1573" s="14" t="n">
        <v>45712</v>
      </c>
      <c r="C1573" s="16" t="s">
        <v>1637</v>
      </c>
      <c r="D1573" s="7" t="n">
        <v>-1500</v>
      </c>
      <c r="E1573" s="16" t="s">
        <v>215</v>
      </c>
      <c r="F1573" s="7" t="n">
        <v>113439.97</v>
      </c>
      <c r="G1573" s="16" t="s">
        <v>86</v>
      </c>
    </row>
    <row r="1574" customFormat="false" ht="15" hidden="false" customHeight="false" outlineLevel="0" collapsed="false">
      <c r="A1574" s="0" t="s">
        <v>187</v>
      </c>
      <c r="B1574" s="14" t="n">
        <v>45712</v>
      </c>
      <c r="C1574" s="16" t="s">
        <v>1638</v>
      </c>
      <c r="D1574" s="7" t="n">
        <v>-113.78</v>
      </c>
      <c r="E1574" s="16" t="s">
        <v>206</v>
      </c>
      <c r="F1574" s="7" t="n">
        <v>114939.97</v>
      </c>
      <c r="G1574" s="16" t="s">
        <v>179</v>
      </c>
    </row>
    <row r="1575" customFormat="false" ht="15" hidden="false" customHeight="false" outlineLevel="0" collapsed="false">
      <c r="A1575" s="0" t="s">
        <v>187</v>
      </c>
      <c r="B1575" s="14" t="n">
        <v>45712</v>
      </c>
      <c r="C1575" s="16" t="s">
        <v>1639</v>
      </c>
      <c r="D1575" s="7" t="n">
        <v>-50.57</v>
      </c>
      <c r="E1575" s="16" t="s">
        <v>206</v>
      </c>
      <c r="F1575" s="7" t="n">
        <v>115053.75</v>
      </c>
      <c r="G1575" s="16" t="s">
        <v>182</v>
      </c>
    </row>
    <row r="1576" customFormat="false" ht="15" hidden="false" customHeight="false" outlineLevel="0" collapsed="false">
      <c r="A1576" s="0" t="s">
        <v>187</v>
      </c>
      <c r="B1576" s="14" t="n">
        <v>45712</v>
      </c>
      <c r="C1576" s="16" t="s">
        <v>1640</v>
      </c>
      <c r="D1576" s="7" t="n">
        <v>-520</v>
      </c>
      <c r="E1576" s="16" t="s">
        <v>206</v>
      </c>
      <c r="F1576" s="7" t="n">
        <v>115104.32</v>
      </c>
      <c r="G1576" s="16" t="s">
        <v>67</v>
      </c>
    </row>
    <row r="1577" customFormat="false" ht="15" hidden="false" customHeight="false" outlineLevel="0" collapsed="false">
      <c r="A1577" s="0" t="s">
        <v>259</v>
      </c>
      <c r="B1577" s="14" t="n">
        <v>45712</v>
      </c>
      <c r="C1577" s="16" t="s">
        <v>1641</v>
      </c>
      <c r="D1577" s="7" t="n">
        <v>34200</v>
      </c>
      <c r="E1577" s="16" t="s">
        <v>282</v>
      </c>
      <c r="F1577" s="7" t="n">
        <v>115624.32</v>
      </c>
      <c r="G1577" s="16" t="s">
        <v>28</v>
      </c>
    </row>
    <row r="1578" customFormat="false" ht="15" hidden="false" customHeight="false" outlineLevel="0" collapsed="false">
      <c r="A1578" s="0" t="s">
        <v>259</v>
      </c>
      <c r="B1578" s="14" t="n">
        <v>45712</v>
      </c>
      <c r="C1578" s="16" t="s">
        <v>1642</v>
      </c>
      <c r="D1578" s="7" t="n">
        <v>51500</v>
      </c>
      <c r="E1578" s="16" t="s">
        <v>282</v>
      </c>
      <c r="F1578" s="7" t="n">
        <v>81424.32</v>
      </c>
      <c r="G1578" s="16" t="s">
        <v>28</v>
      </c>
    </row>
    <row r="1579" customFormat="false" ht="15" hidden="false" customHeight="false" outlineLevel="0" collapsed="false">
      <c r="A1579" s="0" t="s">
        <v>187</v>
      </c>
      <c r="B1579" s="14" t="n">
        <v>45709</v>
      </c>
      <c r="C1579" s="16" t="s">
        <v>1643</v>
      </c>
      <c r="D1579" s="7" t="n">
        <v>-150</v>
      </c>
      <c r="E1579" s="16" t="s">
        <v>193</v>
      </c>
      <c r="F1579" s="7" t="n">
        <v>29924.32</v>
      </c>
      <c r="G1579" s="16" t="s">
        <v>80</v>
      </c>
    </row>
    <row r="1580" customFormat="false" ht="15" hidden="false" customHeight="false" outlineLevel="0" collapsed="false">
      <c r="A1580" s="0" t="s">
        <v>187</v>
      </c>
      <c r="B1580" s="14" t="n">
        <v>45709</v>
      </c>
      <c r="C1580" s="16" t="s">
        <v>1644</v>
      </c>
      <c r="D1580" s="7" t="n">
        <v>-103.81</v>
      </c>
      <c r="E1580" s="16" t="s">
        <v>193</v>
      </c>
      <c r="F1580" s="7" t="n">
        <v>30074.32</v>
      </c>
      <c r="G1580" s="16" t="s">
        <v>151</v>
      </c>
    </row>
    <row r="1581" customFormat="false" ht="15" hidden="false" customHeight="false" outlineLevel="0" collapsed="false">
      <c r="A1581" s="0" t="s">
        <v>187</v>
      </c>
      <c r="B1581" s="14" t="n">
        <v>45709</v>
      </c>
      <c r="C1581" s="16" t="s">
        <v>1645</v>
      </c>
      <c r="D1581" s="7" t="n">
        <v>-331.54</v>
      </c>
      <c r="E1581" s="16" t="s">
        <v>193</v>
      </c>
      <c r="F1581" s="7" t="n">
        <v>30178.13</v>
      </c>
      <c r="G1581" s="16" t="s">
        <v>148</v>
      </c>
    </row>
    <row r="1582" customFormat="false" ht="15" hidden="false" customHeight="false" outlineLevel="0" collapsed="false">
      <c r="A1582" s="0" t="s">
        <v>187</v>
      </c>
      <c r="B1582" s="14" t="n">
        <v>45709</v>
      </c>
      <c r="C1582" s="16" t="s">
        <v>1646</v>
      </c>
      <c r="D1582" s="7" t="n">
        <v>-3.99</v>
      </c>
      <c r="E1582" s="16" t="s">
        <v>206</v>
      </c>
      <c r="F1582" s="7" t="n">
        <v>30509.67</v>
      </c>
      <c r="G1582" s="16" t="s">
        <v>144</v>
      </c>
    </row>
    <row r="1583" customFormat="false" ht="15" hidden="false" customHeight="false" outlineLevel="0" collapsed="false">
      <c r="A1583" s="0" t="s">
        <v>187</v>
      </c>
      <c r="B1583" s="14" t="n">
        <v>45709</v>
      </c>
      <c r="C1583" s="16" t="s">
        <v>1647</v>
      </c>
      <c r="D1583" s="7" t="n">
        <v>-26.89</v>
      </c>
      <c r="E1583" s="16" t="s">
        <v>206</v>
      </c>
      <c r="F1583" s="7" t="n">
        <v>30513.66</v>
      </c>
      <c r="G1583" s="16" t="s">
        <v>144</v>
      </c>
    </row>
    <row r="1584" customFormat="false" ht="15" hidden="false" customHeight="false" outlineLevel="0" collapsed="false">
      <c r="A1584" s="0" t="s">
        <v>187</v>
      </c>
      <c r="B1584" s="14" t="n">
        <v>45708</v>
      </c>
      <c r="C1584" s="16" t="s">
        <v>589</v>
      </c>
      <c r="D1584" s="7" t="n">
        <v>-35</v>
      </c>
      <c r="E1584" s="16" t="s">
        <v>189</v>
      </c>
      <c r="F1584" s="7" t="n">
        <v>30540.55</v>
      </c>
      <c r="G1584" s="16" t="s">
        <v>123</v>
      </c>
    </row>
    <row r="1585" customFormat="false" ht="15" hidden="false" customHeight="false" outlineLevel="0" collapsed="false">
      <c r="A1585" s="0" t="s">
        <v>187</v>
      </c>
      <c r="B1585" s="14" t="n">
        <v>45708</v>
      </c>
      <c r="C1585" s="16" t="s">
        <v>1648</v>
      </c>
      <c r="D1585" s="7" t="n">
        <v>-28.12</v>
      </c>
      <c r="E1585" s="16" t="s">
        <v>206</v>
      </c>
      <c r="F1585" s="7" t="n">
        <v>30610.55</v>
      </c>
      <c r="G1585" s="16" t="s">
        <v>139</v>
      </c>
    </row>
    <row r="1586" customFormat="false" ht="15" hidden="false" customHeight="false" outlineLevel="0" collapsed="false">
      <c r="A1586" s="0" t="s">
        <v>187</v>
      </c>
      <c r="B1586" s="14" t="n">
        <v>45708</v>
      </c>
      <c r="C1586" s="16" t="s">
        <v>1649</v>
      </c>
      <c r="D1586" s="7" t="n">
        <v>-266065.37</v>
      </c>
      <c r="E1586" s="16" t="s">
        <v>191</v>
      </c>
      <c r="F1586" s="7" t="n">
        <v>30638.67</v>
      </c>
      <c r="G1586" s="16" t="s">
        <v>37</v>
      </c>
    </row>
    <row r="1587" customFormat="false" ht="15" hidden="false" customHeight="false" outlineLevel="0" collapsed="false">
      <c r="A1587" s="0" t="s">
        <v>187</v>
      </c>
      <c r="B1587" s="14" t="n">
        <v>45708</v>
      </c>
      <c r="C1587" s="16" t="s">
        <v>1650</v>
      </c>
      <c r="D1587" s="7" t="n">
        <v>-114028.02</v>
      </c>
      <c r="E1587" s="16" t="s">
        <v>191</v>
      </c>
      <c r="F1587" s="7" t="n">
        <v>296704.04</v>
      </c>
      <c r="G1587" s="16" t="s">
        <v>35</v>
      </c>
    </row>
    <row r="1588" customFormat="false" ht="15" hidden="false" customHeight="false" outlineLevel="0" collapsed="false">
      <c r="A1588" s="0" t="s">
        <v>187</v>
      </c>
      <c r="B1588" s="14" t="n">
        <v>45708</v>
      </c>
      <c r="C1588" s="16" t="s">
        <v>1651</v>
      </c>
      <c r="D1588" s="7" t="n">
        <v>-17.5</v>
      </c>
      <c r="E1588" s="16" t="s">
        <v>206</v>
      </c>
      <c r="F1588" s="7" t="n">
        <v>410732.06</v>
      </c>
      <c r="G1588" s="16" t="s">
        <v>182</v>
      </c>
    </row>
    <row r="1589" customFormat="false" ht="15" hidden="false" customHeight="false" outlineLevel="0" collapsed="false">
      <c r="A1589" s="0" t="s">
        <v>187</v>
      </c>
      <c r="B1589" s="14" t="n">
        <v>45708</v>
      </c>
      <c r="C1589" s="16" t="s">
        <v>1652</v>
      </c>
      <c r="D1589" s="7" t="n">
        <v>-524.1</v>
      </c>
      <c r="E1589" s="16" t="s">
        <v>206</v>
      </c>
      <c r="F1589" s="7" t="n">
        <v>410749.56</v>
      </c>
      <c r="G1589" s="16" t="s">
        <v>183</v>
      </c>
    </row>
    <row r="1590" customFormat="false" ht="15" hidden="false" customHeight="false" outlineLevel="0" collapsed="false">
      <c r="A1590" s="0" t="s">
        <v>187</v>
      </c>
      <c r="B1590" s="14" t="n">
        <v>45708</v>
      </c>
      <c r="C1590" s="16" t="s">
        <v>1646</v>
      </c>
      <c r="D1590" s="7" t="n">
        <v>-9.99</v>
      </c>
      <c r="E1590" s="16" t="s">
        <v>206</v>
      </c>
      <c r="F1590" s="7" t="n">
        <v>411273.66</v>
      </c>
      <c r="G1590" s="16" t="s">
        <v>144</v>
      </c>
    </row>
    <row r="1591" customFormat="false" ht="15" hidden="false" customHeight="false" outlineLevel="0" collapsed="false">
      <c r="A1591" s="0" t="s">
        <v>187</v>
      </c>
      <c r="B1591" s="14" t="n">
        <v>45708</v>
      </c>
      <c r="C1591" s="16" t="s">
        <v>1653</v>
      </c>
      <c r="D1591" s="7" t="n">
        <v>-15</v>
      </c>
      <c r="E1591" s="16" t="s">
        <v>206</v>
      </c>
      <c r="F1591" s="7" t="n">
        <v>411283.65</v>
      </c>
      <c r="G1591" s="16" t="s">
        <v>144</v>
      </c>
    </row>
    <row r="1592" customFormat="false" ht="15" hidden="false" customHeight="false" outlineLevel="0" collapsed="false">
      <c r="A1592" s="0" t="s">
        <v>187</v>
      </c>
      <c r="B1592" s="14" t="n">
        <v>45707</v>
      </c>
      <c r="C1592" s="16" t="s">
        <v>277</v>
      </c>
      <c r="D1592" s="7" t="n">
        <v>-15</v>
      </c>
      <c r="E1592" s="16" t="s">
        <v>189</v>
      </c>
      <c r="F1592" s="7" t="n">
        <v>411298.65</v>
      </c>
      <c r="G1592" s="16" t="s">
        <v>123</v>
      </c>
    </row>
    <row r="1593" customFormat="false" ht="15" hidden="false" customHeight="false" outlineLevel="0" collapsed="false">
      <c r="A1593" s="0" t="s">
        <v>187</v>
      </c>
      <c r="B1593" s="14" t="n">
        <v>45707</v>
      </c>
      <c r="C1593" s="16" t="s">
        <v>1654</v>
      </c>
      <c r="D1593" s="7" t="n">
        <v>-119.08</v>
      </c>
      <c r="E1593" s="16" t="s">
        <v>206</v>
      </c>
      <c r="F1593" s="7" t="n">
        <v>411313.65</v>
      </c>
      <c r="G1593" s="16" t="s">
        <v>182</v>
      </c>
    </row>
    <row r="1594" customFormat="false" ht="15" hidden="false" customHeight="false" outlineLevel="0" collapsed="false">
      <c r="A1594" s="0" t="s">
        <v>187</v>
      </c>
      <c r="B1594" s="14" t="n">
        <v>45707</v>
      </c>
      <c r="C1594" s="16" t="s">
        <v>1655</v>
      </c>
      <c r="D1594" s="7" t="n">
        <v>-100</v>
      </c>
      <c r="E1594" s="16" t="s">
        <v>215</v>
      </c>
      <c r="F1594" s="7" t="n">
        <v>411432.73</v>
      </c>
      <c r="G1594" s="16" t="s">
        <v>87</v>
      </c>
    </row>
    <row r="1595" customFormat="false" ht="15" hidden="false" customHeight="false" outlineLevel="0" collapsed="false">
      <c r="A1595" s="0" t="s">
        <v>187</v>
      </c>
      <c r="B1595" s="14" t="n">
        <v>45707</v>
      </c>
      <c r="C1595" s="16" t="s">
        <v>1656</v>
      </c>
      <c r="D1595" s="7" t="n">
        <v>-7.99</v>
      </c>
      <c r="E1595" s="16" t="s">
        <v>206</v>
      </c>
      <c r="F1595" s="7" t="n">
        <v>411532.73</v>
      </c>
      <c r="G1595" s="16" t="s">
        <v>144</v>
      </c>
    </row>
    <row r="1596" customFormat="false" ht="15" hidden="false" customHeight="false" outlineLevel="0" collapsed="false">
      <c r="A1596" s="0" t="s">
        <v>187</v>
      </c>
      <c r="B1596" s="14" t="n">
        <v>45707</v>
      </c>
      <c r="C1596" s="16" t="s">
        <v>1657</v>
      </c>
      <c r="D1596" s="7" t="n">
        <v>-16</v>
      </c>
      <c r="E1596" s="16" t="s">
        <v>206</v>
      </c>
      <c r="F1596" s="7" t="n">
        <v>411540.72</v>
      </c>
      <c r="G1596" s="16" t="s">
        <v>144</v>
      </c>
    </row>
    <row r="1597" customFormat="false" ht="15" hidden="false" customHeight="false" outlineLevel="0" collapsed="false">
      <c r="A1597" s="0" t="s">
        <v>259</v>
      </c>
      <c r="B1597" s="14" t="n">
        <v>45707</v>
      </c>
      <c r="C1597" s="16" t="s">
        <v>1658</v>
      </c>
      <c r="D1597" s="7" t="n">
        <v>390093.39</v>
      </c>
      <c r="E1597" s="16" t="s">
        <v>282</v>
      </c>
      <c r="F1597" s="7" t="n">
        <v>411556.72</v>
      </c>
      <c r="G1597" s="16" t="s">
        <v>1659</v>
      </c>
    </row>
    <row r="1598" customFormat="false" ht="15" hidden="false" customHeight="false" outlineLevel="0" collapsed="false">
      <c r="A1598" s="0" t="s">
        <v>187</v>
      </c>
      <c r="B1598" s="14" t="n">
        <v>45706</v>
      </c>
      <c r="C1598" s="16" t="s">
        <v>1660</v>
      </c>
      <c r="D1598" s="7" t="n">
        <v>-40.85</v>
      </c>
      <c r="E1598" s="16" t="s">
        <v>206</v>
      </c>
      <c r="F1598" s="7" t="n">
        <v>21463.33</v>
      </c>
      <c r="G1598" s="16" t="s">
        <v>183</v>
      </c>
    </row>
    <row r="1599" customFormat="false" ht="15" hidden="false" customHeight="false" outlineLevel="0" collapsed="false">
      <c r="A1599" s="0" t="s">
        <v>187</v>
      </c>
      <c r="B1599" s="14" t="n">
        <v>45706</v>
      </c>
      <c r="C1599" s="16" t="s">
        <v>1661</v>
      </c>
      <c r="D1599" s="7" t="n">
        <v>-125</v>
      </c>
      <c r="E1599" s="16" t="s">
        <v>206</v>
      </c>
      <c r="F1599" s="7" t="n">
        <v>21504.18</v>
      </c>
      <c r="G1599" s="16" t="s">
        <v>182</v>
      </c>
    </row>
    <row r="1600" customFormat="false" ht="15" hidden="false" customHeight="false" outlineLevel="0" collapsed="false">
      <c r="A1600" s="0" t="s">
        <v>187</v>
      </c>
      <c r="B1600" s="14" t="n">
        <v>45706</v>
      </c>
      <c r="C1600" s="16" t="s">
        <v>1662</v>
      </c>
      <c r="D1600" s="7" t="n">
        <v>-250</v>
      </c>
      <c r="E1600" s="16" t="s">
        <v>215</v>
      </c>
      <c r="F1600" s="7" t="n">
        <v>21629.18</v>
      </c>
      <c r="G1600" s="16" t="s">
        <v>87</v>
      </c>
    </row>
    <row r="1601" customFormat="false" ht="15" hidden="false" customHeight="false" outlineLevel="0" collapsed="false">
      <c r="A1601" s="0" t="s">
        <v>187</v>
      </c>
      <c r="B1601" s="14" t="n">
        <v>45706</v>
      </c>
      <c r="C1601" s="16" t="s">
        <v>1663</v>
      </c>
      <c r="D1601" s="7" t="n">
        <v>-9.99</v>
      </c>
      <c r="E1601" s="16" t="s">
        <v>206</v>
      </c>
      <c r="F1601" s="7" t="n">
        <v>21879.18</v>
      </c>
      <c r="G1601" s="16" t="s">
        <v>144</v>
      </c>
    </row>
    <row r="1602" customFormat="false" ht="15" hidden="false" customHeight="false" outlineLevel="0" collapsed="false">
      <c r="A1602" s="0" t="s">
        <v>187</v>
      </c>
      <c r="B1602" s="14" t="n">
        <v>45706</v>
      </c>
      <c r="C1602" s="16" t="s">
        <v>1664</v>
      </c>
      <c r="D1602" s="7" t="n">
        <v>-315</v>
      </c>
      <c r="E1602" s="16" t="s">
        <v>206</v>
      </c>
      <c r="F1602" s="7" t="n">
        <v>21889.17</v>
      </c>
      <c r="G1602" s="16" t="s">
        <v>75</v>
      </c>
    </row>
    <row r="1603" customFormat="false" ht="15" hidden="false" customHeight="false" outlineLevel="0" collapsed="false">
      <c r="A1603" s="0" t="s">
        <v>187</v>
      </c>
      <c r="B1603" s="14" t="n">
        <v>45706</v>
      </c>
      <c r="C1603" s="16" t="s">
        <v>1665</v>
      </c>
      <c r="D1603" s="7" t="n">
        <v>-53.54</v>
      </c>
      <c r="E1603" s="16" t="s">
        <v>206</v>
      </c>
      <c r="F1603" s="7" t="n">
        <v>22204.17</v>
      </c>
      <c r="G1603" s="16" t="s">
        <v>139</v>
      </c>
    </row>
    <row r="1604" customFormat="false" ht="15" hidden="false" customHeight="false" outlineLevel="0" collapsed="false">
      <c r="A1604" s="0" t="s">
        <v>187</v>
      </c>
      <c r="B1604" s="14" t="n">
        <v>45706</v>
      </c>
      <c r="C1604" s="16" t="s">
        <v>1666</v>
      </c>
      <c r="D1604" s="7" t="n">
        <v>-450</v>
      </c>
      <c r="E1604" s="16" t="s">
        <v>224</v>
      </c>
      <c r="F1604" s="7" t="n">
        <v>22257.71</v>
      </c>
      <c r="G1604" s="16" t="s">
        <v>85</v>
      </c>
    </row>
    <row r="1605" customFormat="false" ht="15" hidden="false" customHeight="false" outlineLevel="0" collapsed="false">
      <c r="A1605" s="0" t="s">
        <v>187</v>
      </c>
      <c r="B1605" s="14" t="n">
        <v>45706</v>
      </c>
      <c r="C1605" s="16" t="s">
        <v>1667</v>
      </c>
      <c r="D1605" s="7" t="n">
        <v>-98.55</v>
      </c>
      <c r="E1605" s="16" t="s">
        <v>206</v>
      </c>
      <c r="F1605" s="7" t="n">
        <v>22707.71</v>
      </c>
      <c r="G1605" s="16" t="s">
        <v>139</v>
      </c>
    </row>
    <row r="1606" customFormat="false" ht="15" hidden="false" customHeight="false" outlineLevel="0" collapsed="false">
      <c r="A1606" s="0" t="s">
        <v>187</v>
      </c>
      <c r="B1606" s="14" t="n">
        <v>45706</v>
      </c>
      <c r="C1606" s="16" t="s">
        <v>1668</v>
      </c>
      <c r="D1606" s="7" t="n">
        <v>-131.91</v>
      </c>
      <c r="E1606" s="16" t="s">
        <v>206</v>
      </c>
      <c r="F1606" s="7" t="n">
        <v>22806.26</v>
      </c>
      <c r="G1606" s="16" t="s">
        <v>182</v>
      </c>
    </row>
    <row r="1607" customFormat="false" ht="15" hidden="false" customHeight="false" outlineLevel="0" collapsed="false">
      <c r="A1607" s="0" t="s">
        <v>187</v>
      </c>
      <c r="B1607" s="14" t="n">
        <v>45706</v>
      </c>
      <c r="C1607" s="16" t="s">
        <v>1669</v>
      </c>
      <c r="D1607" s="7" t="n">
        <v>-8.99</v>
      </c>
      <c r="E1607" s="16" t="s">
        <v>206</v>
      </c>
      <c r="F1607" s="7" t="n">
        <v>22938.17</v>
      </c>
      <c r="G1607" s="16" t="s">
        <v>144</v>
      </c>
    </row>
    <row r="1608" customFormat="false" ht="15" hidden="false" customHeight="false" outlineLevel="0" collapsed="false">
      <c r="A1608" s="0" t="s">
        <v>187</v>
      </c>
      <c r="B1608" s="14" t="n">
        <v>45706</v>
      </c>
      <c r="C1608" s="16" t="s">
        <v>1670</v>
      </c>
      <c r="D1608" s="7" t="n">
        <v>-69.99</v>
      </c>
      <c r="E1608" s="16" t="s">
        <v>206</v>
      </c>
      <c r="F1608" s="7" t="n">
        <v>22947.16</v>
      </c>
      <c r="G1608" s="16" t="s">
        <v>67</v>
      </c>
    </row>
    <row r="1609" customFormat="false" ht="15" hidden="false" customHeight="false" outlineLevel="0" collapsed="false">
      <c r="A1609" s="0" t="s">
        <v>187</v>
      </c>
      <c r="B1609" s="14" t="n">
        <v>45706</v>
      </c>
      <c r="C1609" s="16" t="s">
        <v>1671</v>
      </c>
      <c r="D1609" s="7" t="n">
        <v>-5.99</v>
      </c>
      <c r="E1609" s="16" t="s">
        <v>206</v>
      </c>
      <c r="F1609" s="7" t="n">
        <v>23017.15</v>
      </c>
      <c r="G1609" s="16" t="s">
        <v>144</v>
      </c>
    </row>
    <row r="1610" customFormat="false" ht="15" hidden="false" customHeight="false" outlineLevel="0" collapsed="false">
      <c r="A1610" s="0" t="s">
        <v>187</v>
      </c>
      <c r="B1610" s="14" t="n">
        <v>45706</v>
      </c>
      <c r="C1610" s="16" t="s">
        <v>1672</v>
      </c>
      <c r="D1610" s="7" t="n">
        <v>-199</v>
      </c>
      <c r="E1610" s="16" t="s">
        <v>206</v>
      </c>
      <c r="F1610" s="7" t="n">
        <v>23023.14</v>
      </c>
      <c r="G1610" s="16" t="s">
        <v>183</v>
      </c>
    </row>
    <row r="1611" customFormat="false" ht="15" hidden="false" customHeight="false" outlineLevel="0" collapsed="false">
      <c r="A1611" s="0" t="s">
        <v>187</v>
      </c>
      <c r="B1611" s="14" t="n">
        <v>45706</v>
      </c>
      <c r="C1611" s="16" t="s">
        <v>1673</v>
      </c>
      <c r="D1611" s="7" t="n">
        <v>-231.83</v>
      </c>
      <c r="E1611" s="16" t="s">
        <v>206</v>
      </c>
      <c r="F1611" s="7" t="n">
        <v>23222.14</v>
      </c>
      <c r="G1611" s="16" t="s">
        <v>87</v>
      </c>
    </row>
    <row r="1612" customFormat="false" ht="15" hidden="false" customHeight="false" outlineLevel="0" collapsed="false">
      <c r="A1612" s="0" t="s">
        <v>187</v>
      </c>
      <c r="B1612" s="14" t="n">
        <v>45706</v>
      </c>
      <c r="C1612" s="16" t="s">
        <v>1674</v>
      </c>
      <c r="D1612" s="7" t="n">
        <v>-1.99</v>
      </c>
      <c r="E1612" s="16" t="s">
        <v>206</v>
      </c>
      <c r="F1612" s="7" t="n">
        <v>23453.97</v>
      </c>
      <c r="G1612" s="16" t="s">
        <v>144</v>
      </c>
    </row>
    <row r="1613" customFormat="false" ht="15" hidden="false" customHeight="false" outlineLevel="0" collapsed="false">
      <c r="A1613" s="0" t="s">
        <v>187</v>
      </c>
      <c r="B1613" s="14" t="n">
        <v>45706</v>
      </c>
      <c r="C1613" s="16" t="s">
        <v>1675</v>
      </c>
      <c r="D1613" s="7" t="n">
        <v>-10.99</v>
      </c>
      <c r="E1613" s="16" t="s">
        <v>206</v>
      </c>
      <c r="F1613" s="7" t="n">
        <v>23455.96</v>
      </c>
      <c r="G1613" s="16" t="s">
        <v>144</v>
      </c>
    </row>
    <row r="1614" customFormat="false" ht="15" hidden="false" customHeight="false" outlineLevel="0" collapsed="false">
      <c r="A1614" s="0" t="s">
        <v>259</v>
      </c>
      <c r="B1614" s="14" t="n">
        <v>45706</v>
      </c>
      <c r="C1614" s="16" t="s">
        <v>1676</v>
      </c>
      <c r="D1614" s="7" t="n">
        <v>20000</v>
      </c>
      <c r="E1614" s="16" t="s">
        <v>213</v>
      </c>
      <c r="F1614" s="7" t="n">
        <v>23466.95</v>
      </c>
      <c r="G1614" s="16" t="s">
        <v>43</v>
      </c>
    </row>
    <row r="1615" customFormat="false" ht="15" hidden="false" customHeight="false" outlineLevel="0" collapsed="false">
      <c r="A1615" s="0" t="s">
        <v>187</v>
      </c>
      <c r="B1615" s="14" t="n">
        <v>45702</v>
      </c>
      <c r="C1615" s="16" t="s">
        <v>1677</v>
      </c>
      <c r="D1615" s="7" t="n">
        <v>-120</v>
      </c>
      <c r="E1615" s="16" t="s">
        <v>193</v>
      </c>
      <c r="F1615" s="7" t="n">
        <v>3466.95</v>
      </c>
      <c r="G1615" s="16" t="s">
        <v>80</v>
      </c>
    </row>
    <row r="1616" customFormat="false" ht="15" hidden="false" customHeight="false" outlineLevel="0" collapsed="false">
      <c r="A1616" s="0" t="s">
        <v>187</v>
      </c>
      <c r="B1616" s="14" t="n">
        <v>45701</v>
      </c>
      <c r="C1616" s="16" t="s">
        <v>188</v>
      </c>
      <c r="D1616" s="7" t="n">
        <v>-5</v>
      </c>
      <c r="E1616" s="16" t="s">
        <v>189</v>
      </c>
      <c r="F1616" s="7" t="n">
        <v>3586.95</v>
      </c>
      <c r="G1616" s="16" t="s">
        <v>65</v>
      </c>
    </row>
    <row r="1617" customFormat="false" ht="15" hidden="false" customHeight="false" outlineLevel="0" collapsed="false">
      <c r="A1617" s="0" t="s">
        <v>187</v>
      </c>
      <c r="B1617" s="14" t="n">
        <v>45701</v>
      </c>
      <c r="C1617" s="16" t="s">
        <v>239</v>
      </c>
      <c r="D1617" s="7" t="n">
        <v>-25</v>
      </c>
      <c r="E1617" s="16" t="s">
        <v>189</v>
      </c>
      <c r="F1617" s="7" t="n">
        <v>3591.95</v>
      </c>
      <c r="G1617" s="16" t="s">
        <v>123</v>
      </c>
    </row>
    <row r="1618" customFormat="false" ht="15" hidden="false" customHeight="false" outlineLevel="0" collapsed="false">
      <c r="A1618" s="0" t="s">
        <v>187</v>
      </c>
      <c r="B1618" s="14" t="n">
        <v>45701</v>
      </c>
      <c r="C1618" s="16" t="s">
        <v>1678</v>
      </c>
      <c r="D1618" s="7" t="n">
        <v>-29700</v>
      </c>
      <c r="E1618" s="16" t="s">
        <v>191</v>
      </c>
      <c r="F1618" s="7" t="n">
        <v>3641.95</v>
      </c>
      <c r="G1618" s="16" t="s">
        <v>37</v>
      </c>
    </row>
    <row r="1619" customFormat="false" ht="15" hidden="false" customHeight="false" outlineLevel="0" collapsed="false">
      <c r="A1619" s="0" t="s">
        <v>187</v>
      </c>
      <c r="B1619" s="14" t="n">
        <v>45701</v>
      </c>
      <c r="C1619" s="16" t="s">
        <v>1679</v>
      </c>
      <c r="D1619" s="7" t="n">
        <v>-15300</v>
      </c>
      <c r="E1619" s="16" t="s">
        <v>191</v>
      </c>
      <c r="F1619" s="7" t="n">
        <v>33341.95</v>
      </c>
      <c r="G1619" s="16" t="s">
        <v>36</v>
      </c>
    </row>
    <row r="1620" customFormat="false" ht="15" hidden="false" customHeight="false" outlineLevel="0" collapsed="false">
      <c r="A1620" s="0" t="s">
        <v>187</v>
      </c>
      <c r="B1620" s="14" t="n">
        <v>45701</v>
      </c>
      <c r="C1620" s="16" t="s">
        <v>1680</v>
      </c>
      <c r="D1620" s="7" t="n">
        <v>-750</v>
      </c>
      <c r="E1620" s="16" t="s">
        <v>191</v>
      </c>
      <c r="F1620" s="7" t="n">
        <v>48641.95</v>
      </c>
      <c r="G1620" s="16" t="s">
        <v>65</v>
      </c>
    </row>
    <row r="1621" customFormat="false" ht="15" hidden="false" customHeight="false" outlineLevel="0" collapsed="false">
      <c r="A1621" s="0" t="s">
        <v>187</v>
      </c>
      <c r="B1621" s="14" t="n">
        <v>45701</v>
      </c>
      <c r="C1621" s="16" t="s">
        <v>1681</v>
      </c>
      <c r="D1621" s="7" t="n">
        <v>-18.99</v>
      </c>
      <c r="E1621" s="16" t="s">
        <v>206</v>
      </c>
      <c r="F1621" s="7" t="n">
        <v>49391.95</v>
      </c>
      <c r="G1621" s="16" t="s">
        <v>144</v>
      </c>
    </row>
    <row r="1622" customFormat="false" ht="15" hidden="false" customHeight="false" outlineLevel="0" collapsed="false">
      <c r="A1622" s="0" t="s">
        <v>187</v>
      </c>
      <c r="B1622" s="14" t="n">
        <v>45700</v>
      </c>
      <c r="C1622" s="16" t="s">
        <v>1682</v>
      </c>
      <c r="D1622" s="7" t="n">
        <v>-2000</v>
      </c>
      <c r="E1622" s="16" t="s">
        <v>213</v>
      </c>
      <c r="F1622" s="7" t="n">
        <v>49410.94</v>
      </c>
      <c r="G1622" s="16" t="s">
        <v>96</v>
      </c>
    </row>
    <row r="1623" customFormat="false" ht="15" hidden="false" customHeight="false" outlineLevel="0" collapsed="false">
      <c r="A1623" s="0" t="s">
        <v>187</v>
      </c>
      <c r="B1623" s="14" t="n">
        <v>45700</v>
      </c>
      <c r="C1623" s="16" t="s">
        <v>1683</v>
      </c>
      <c r="D1623" s="7" t="n">
        <v>-1000</v>
      </c>
      <c r="E1623" s="16" t="s">
        <v>215</v>
      </c>
      <c r="F1623" s="7" t="n">
        <v>51410.94</v>
      </c>
      <c r="G1623" s="16" t="s">
        <v>81</v>
      </c>
    </row>
    <row r="1624" customFormat="false" ht="15" hidden="false" customHeight="false" outlineLevel="0" collapsed="false">
      <c r="A1624" s="0" t="s">
        <v>187</v>
      </c>
      <c r="B1624" s="14" t="n">
        <v>45700</v>
      </c>
      <c r="C1624" s="16" t="s">
        <v>1684</v>
      </c>
      <c r="D1624" s="7" t="n">
        <v>-1000</v>
      </c>
      <c r="E1624" s="16" t="s">
        <v>213</v>
      </c>
      <c r="F1624" s="7" t="n">
        <v>52410.94</v>
      </c>
      <c r="G1624" s="16" t="s">
        <v>185</v>
      </c>
    </row>
    <row r="1625" customFormat="false" ht="15" hidden="false" customHeight="false" outlineLevel="0" collapsed="false">
      <c r="A1625" s="0" t="s">
        <v>187</v>
      </c>
      <c r="B1625" s="14" t="n">
        <v>45700</v>
      </c>
      <c r="C1625" s="16" t="s">
        <v>1685</v>
      </c>
      <c r="D1625" s="7" t="n">
        <v>-750</v>
      </c>
      <c r="E1625" s="16" t="s">
        <v>197</v>
      </c>
      <c r="F1625" s="7" t="n">
        <v>53410.94</v>
      </c>
    </row>
    <row r="1626" customFormat="false" ht="15" hidden="false" customHeight="false" outlineLevel="0" collapsed="false">
      <c r="A1626" s="0" t="s">
        <v>187</v>
      </c>
      <c r="B1626" s="14" t="n">
        <v>45700</v>
      </c>
      <c r="C1626" s="16" t="s">
        <v>1686</v>
      </c>
      <c r="D1626" s="7" t="n">
        <v>-11.99</v>
      </c>
      <c r="E1626" s="16" t="s">
        <v>206</v>
      </c>
      <c r="F1626" s="7" t="n">
        <v>54160.94</v>
      </c>
      <c r="G1626" s="16" t="s">
        <v>144</v>
      </c>
    </row>
    <row r="1627" customFormat="false" ht="15" hidden="false" customHeight="false" outlineLevel="0" collapsed="false">
      <c r="A1627" s="0" t="s">
        <v>187</v>
      </c>
      <c r="B1627" s="14" t="n">
        <v>45699</v>
      </c>
      <c r="C1627" s="16" t="s">
        <v>277</v>
      </c>
      <c r="D1627" s="7" t="n">
        <v>-15</v>
      </c>
      <c r="E1627" s="16" t="s">
        <v>189</v>
      </c>
      <c r="F1627" s="7" t="n">
        <v>54172.93</v>
      </c>
      <c r="G1627" s="16" t="s">
        <v>123</v>
      </c>
    </row>
    <row r="1628" customFormat="false" ht="15" hidden="false" customHeight="false" outlineLevel="0" collapsed="false">
      <c r="A1628" s="0" t="s">
        <v>187</v>
      </c>
      <c r="B1628" s="14" t="n">
        <v>45699</v>
      </c>
      <c r="C1628" s="16" t="s">
        <v>1687</v>
      </c>
      <c r="D1628" s="7" t="n">
        <v>-1249.96</v>
      </c>
      <c r="E1628" s="16" t="s">
        <v>193</v>
      </c>
      <c r="F1628" s="7" t="n">
        <v>54187.93</v>
      </c>
      <c r="G1628" s="16" t="s">
        <v>179</v>
      </c>
    </row>
    <row r="1629" customFormat="false" ht="15" hidden="false" customHeight="false" outlineLevel="0" collapsed="false">
      <c r="A1629" s="0" t="s">
        <v>187</v>
      </c>
      <c r="B1629" s="14" t="n">
        <v>45699</v>
      </c>
      <c r="C1629" s="16" t="s">
        <v>1688</v>
      </c>
      <c r="D1629" s="7" t="n">
        <v>-918.75</v>
      </c>
      <c r="E1629" s="16" t="s">
        <v>206</v>
      </c>
      <c r="F1629" s="7" t="n">
        <v>55437.89</v>
      </c>
      <c r="G1629" s="16" t="s">
        <v>75</v>
      </c>
    </row>
    <row r="1630" customFormat="false" ht="15" hidden="false" customHeight="false" outlineLevel="0" collapsed="false">
      <c r="A1630" s="0" t="s">
        <v>187</v>
      </c>
      <c r="B1630" s="14" t="n">
        <v>45699</v>
      </c>
      <c r="C1630" s="16" t="s">
        <v>1689</v>
      </c>
      <c r="D1630" s="7" t="n">
        <v>-30</v>
      </c>
      <c r="E1630" s="16" t="s">
        <v>206</v>
      </c>
      <c r="F1630" s="7" t="n">
        <v>56356.64</v>
      </c>
      <c r="G1630" s="16" t="s">
        <v>144</v>
      </c>
    </row>
    <row r="1631" customFormat="false" ht="15" hidden="false" customHeight="false" outlineLevel="0" collapsed="false">
      <c r="A1631" s="0" t="s">
        <v>187</v>
      </c>
      <c r="B1631" s="14" t="n">
        <v>45699</v>
      </c>
      <c r="C1631" s="16" t="s">
        <v>1689</v>
      </c>
      <c r="D1631" s="7" t="n">
        <v>-17.99</v>
      </c>
      <c r="E1631" s="16" t="s">
        <v>206</v>
      </c>
      <c r="F1631" s="7" t="n">
        <v>56386.64</v>
      </c>
      <c r="G1631" s="16" t="s">
        <v>144</v>
      </c>
    </row>
    <row r="1632" customFormat="false" ht="15" hidden="false" customHeight="false" outlineLevel="0" collapsed="false">
      <c r="A1632" s="0" t="s">
        <v>259</v>
      </c>
      <c r="B1632" s="14" t="n">
        <v>45699</v>
      </c>
      <c r="C1632" s="16" t="s">
        <v>1690</v>
      </c>
      <c r="D1632" s="7" t="n">
        <v>5000</v>
      </c>
      <c r="E1632" s="16" t="s">
        <v>213</v>
      </c>
      <c r="F1632" s="7" t="n">
        <v>56404.63</v>
      </c>
      <c r="G1632" s="16" t="s">
        <v>50</v>
      </c>
    </row>
    <row r="1633" customFormat="false" ht="15" hidden="false" customHeight="false" outlineLevel="0" collapsed="false">
      <c r="A1633" s="0" t="s">
        <v>259</v>
      </c>
      <c r="B1633" s="14" t="n">
        <v>45699</v>
      </c>
      <c r="C1633" s="16" t="s">
        <v>1691</v>
      </c>
      <c r="D1633" s="7" t="n">
        <v>50000</v>
      </c>
      <c r="E1633" s="16" t="s">
        <v>282</v>
      </c>
      <c r="F1633" s="7" t="n">
        <v>51404.63</v>
      </c>
      <c r="G1633" s="16" t="s">
        <v>39</v>
      </c>
    </row>
    <row r="1634" customFormat="false" ht="15" hidden="false" customHeight="false" outlineLevel="0" collapsed="false">
      <c r="A1634" s="0" t="s">
        <v>187</v>
      </c>
      <c r="B1634" s="14" t="n">
        <v>45698</v>
      </c>
      <c r="C1634" s="16" t="s">
        <v>1692</v>
      </c>
      <c r="D1634" s="7" t="n">
        <v>-100</v>
      </c>
      <c r="E1634" s="16" t="s">
        <v>213</v>
      </c>
      <c r="F1634" s="7" t="n">
        <v>1404.63</v>
      </c>
      <c r="G1634" s="16" t="s">
        <v>55</v>
      </c>
    </row>
    <row r="1635" customFormat="false" ht="15" hidden="false" customHeight="false" outlineLevel="0" collapsed="false">
      <c r="A1635" s="0" t="s">
        <v>187</v>
      </c>
      <c r="B1635" s="14" t="n">
        <v>45698</v>
      </c>
      <c r="C1635" s="16" t="s">
        <v>1693</v>
      </c>
      <c r="D1635" s="7" t="n">
        <v>-100</v>
      </c>
      <c r="E1635" s="16" t="s">
        <v>213</v>
      </c>
      <c r="F1635" s="7" t="n">
        <v>1504.63</v>
      </c>
      <c r="G1635" s="16" t="s">
        <v>61</v>
      </c>
    </row>
    <row r="1636" customFormat="false" ht="15" hidden="false" customHeight="false" outlineLevel="0" collapsed="false">
      <c r="A1636" s="0" t="s">
        <v>187</v>
      </c>
      <c r="B1636" s="14" t="n">
        <v>45698</v>
      </c>
      <c r="C1636" s="16" t="s">
        <v>1694</v>
      </c>
      <c r="D1636" s="7" t="n">
        <v>-1000</v>
      </c>
      <c r="E1636" s="16" t="s">
        <v>213</v>
      </c>
      <c r="F1636" s="7" t="n">
        <v>1604.63</v>
      </c>
      <c r="G1636" s="16" t="s">
        <v>62</v>
      </c>
    </row>
    <row r="1637" customFormat="false" ht="15" hidden="false" customHeight="false" outlineLevel="0" collapsed="false">
      <c r="A1637" s="0" t="s">
        <v>187</v>
      </c>
      <c r="B1637" s="14" t="n">
        <v>45698</v>
      </c>
      <c r="C1637" s="16" t="s">
        <v>1695</v>
      </c>
      <c r="D1637" s="7" t="n">
        <v>-2000</v>
      </c>
      <c r="E1637" s="16" t="s">
        <v>213</v>
      </c>
      <c r="F1637" s="7" t="n">
        <v>2604.63</v>
      </c>
      <c r="G1637" s="16" t="s">
        <v>96</v>
      </c>
    </row>
    <row r="1638" customFormat="false" ht="15" hidden="false" customHeight="false" outlineLevel="0" collapsed="false">
      <c r="A1638" s="0" t="s">
        <v>187</v>
      </c>
      <c r="B1638" s="14" t="n">
        <v>45698</v>
      </c>
      <c r="C1638" s="16" t="s">
        <v>1696</v>
      </c>
      <c r="D1638" s="7" t="n">
        <v>-53.97</v>
      </c>
      <c r="E1638" s="16" t="s">
        <v>206</v>
      </c>
      <c r="F1638" s="7" t="n">
        <v>4604.63</v>
      </c>
      <c r="G1638" s="16" t="s">
        <v>144</v>
      </c>
    </row>
    <row r="1639" customFormat="false" ht="15" hidden="false" customHeight="false" outlineLevel="0" collapsed="false">
      <c r="A1639" s="0" t="s">
        <v>187</v>
      </c>
      <c r="B1639" s="14" t="n">
        <v>45698</v>
      </c>
      <c r="C1639" s="16" t="s">
        <v>1697</v>
      </c>
      <c r="D1639" s="7" t="n">
        <v>-80</v>
      </c>
      <c r="E1639" s="16" t="s">
        <v>206</v>
      </c>
      <c r="F1639" s="7" t="n">
        <v>4658.6</v>
      </c>
      <c r="G1639" s="16" t="s">
        <v>72</v>
      </c>
    </row>
    <row r="1640" customFormat="false" ht="15" hidden="false" customHeight="false" outlineLevel="0" collapsed="false">
      <c r="A1640" s="0" t="s">
        <v>187</v>
      </c>
      <c r="B1640" s="14" t="n">
        <v>45698</v>
      </c>
      <c r="C1640" s="16" t="s">
        <v>1698</v>
      </c>
      <c r="D1640" s="7" t="n">
        <v>-8.99</v>
      </c>
      <c r="E1640" s="16" t="s">
        <v>206</v>
      </c>
      <c r="F1640" s="7" t="n">
        <v>4738.6</v>
      </c>
      <c r="G1640" s="16" t="s">
        <v>144</v>
      </c>
    </row>
    <row r="1641" customFormat="false" ht="15" hidden="false" customHeight="false" outlineLevel="0" collapsed="false">
      <c r="A1641" s="0" t="s">
        <v>187</v>
      </c>
      <c r="B1641" s="14" t="n">
        <v>45698</v>
      </c>
      <c r="C1641" s="16" t="s">
        <v>1699</v>
      </c>
      <c r="D1641" s="7" t="n">
        <v>-11.99</v>
      </c>
      <c r="E1641" s="16" t="s">
        <v>206</v>
      </c>
      <c r="F1641" s="7" t="n">
        <v>4747.59</v>
      </c>
      <c r="G1641" s="16" t="s">
        <v>144</v>
      </c>
    </row>
    <row r="1642" customFormat="false" ht="15" hidden="false" customHeight="false" outlineLevel="0" collapsed="false">
      <c r="A1642" s="0" t="s">
        <v>187</v>
      </c>
      <c r="B1642" s="14" t="n">
        <v>45698</v>
      </c>
      <c r="C1642" s="16" t="s">
        <v>1700</v>
      </c>
      <c r="D1642" s="7" t="n">
        <v>-13</v>
      </c>
      <c r="E1642" s="16" t="s">
        <v>206</v>
      </c>
      <c r="F1642" s="7" t="n">
        <v>4759.58</v>
      </c>
      <c r="G1642" s="16" t="s">
        <v>179</v>
      </c>
    </row>
    <row r="1643" customFormat="false" ht="15" hidden="false" customHeight="false" outlineLevel="0" collapsed="false">
      <c r="A1643" s="0" t="s">
        <v>187</v>
      </c>
      <c r="B1643" s="14" t="n">
        <v>45698</v>
      </c>
      <c r="C1643" s="16" t="s">
        <v>1701</v>
      </c>
      <c r="D1643" s="7" t="n">
        <v>-520</v>
      </c>
      <c r="E1643" s="16" t="s">
        <v>206</v>
      </c>
      <c r="F1643" s="7" t="n">
        <v>4772.58</v>
      </c>
      <c r="G1643" s="16" t="s">
        <v>67</v>
      </c>
    </row>
    <row r="1644" customFormat="false" ht="15" hidden="false" customHeight="false" outlineLevel="0" collapsed="false">
      <c r="A1644" s="0" t="s">
        <v>187</v>
      </c>
      <c r="B1644" s="14" t="n">
        <v>45695</v>
      </c>
      <c r="C1644" s="16" t="s">
        <v>1702</v>
      </c>
      <c r="D1644" s="7" t="n">
        <v>-3000</v>
      </c>
      <c r="E1644" s="16" t="s">
        <v>213</v>
      </c>
      <c r="F1644" s="7" t="n">
        <v>5292.58</v>
      </c>
      <c r="G1644" s="16" t="s">
        <v>56</v>
      </c>
    </row>
    <row r="1645" customFormat="false" ht="15" hidden="false" customHeight="false" outlineLevel="0" collapsed="false">
      <c r="A1645" s="0" t="s">
        <v>187</v>
      </c>
      <c r="B1645" s="14" t="n">
        <v>45695</v>
      </c>
      <c r="C1645" s="16" t="s">
        <v>1703</v>
      </c>
      <c r="D1645" s="7" t="n">
        <v>-2000</v>
      </c>
      <c r="E1645" s="16" t="s">
        <v>213</v>
      </c>
      <c r="F1645" s="7" t="n">
        <v>8292.58</v>
      </c>
      <c r="G1645" s="16" t="s">
        <v>96</v>
      </c>
    </row>
    <row r="1646" customFormat="false" ht="15" hidden="false" customHeight="false" outlineLevel="0" collapsed="false">
      <c r="A1646" s="0" t="s">
        <v>187</v>
      </c>
      <c r="B1646" s="14" t="n">
        <v>45695</v>
      </c>
      <c r="C1646" s="16" t="s">
        <v>1700</v>
      </c>
      <c r="D1646" s="7" t="n">
        <v>-41.35</v>
      </c>
      <c r="E1646" s="16" t="s">
        <v>206</v>
      </c>
      <c r="F1646" s="7" t="n">
        <v>10292.58</v>
      </c>
      <c r="G1646" s="16" t="s">
        <v>179</v>
      </c>
    </row>
    <row r="1647" customFormat="false" ht="15" hidden="false" customHeight="false" outlineLevel="0" collapsed="false">
      <c r="A1647" s="0" t="s">
        <v>187</v>
      </c>
      <c r="B1647" s="14" t="n">
        <v>45695</v>
      </c>
      <c r="C1647" s="16" t="s">
        <v>1700</v>
      </c>
      <c r="D1647" s="7" t="n">
        <v>-4.83</v>
      </c>
      <c r="E1647" s="16" t="s">
        <v>206</v>
      </c>
      <c r="F1647" s="7" t="n">
        <v>10333.93</v>
      </c>
      <c r="G1647" s="16" t="s">
        <v>179</v>
      </c>
    </row>
    <row r="1648" customFormat="false" ht="15" hidden="false" customHeight="false" outlineLevel="0" collapsed="false">
      <c r="A1648" s="0" t="s">
        <v>187</v>
      </c>
      <c r="B1648" s="14" t="n">
        <v>45693</v>
      </c>
      <c r="C1648" s="16" t="s">
        <v>1704</v>
      </c>
      <c r="D1648" s="7" t="n">
        <v>-120</v>
      </c>
      <c r="E1648" s="16" t="s">
        <v>193</v>
      </c>
      <c r="F1648" s="7" t="n">
        <v>10338.76</v>
      </c>
      <c r="G1648" s="16" t="s">
        <v>80</v>
      </c>
    </row>
    <row r="1649" customFormat="false" ht="15" hidden="false" customHeight="false" outlineLevel="0" collapsed="false">
      <c r="A1649" s="0" t="s">
        <v>187</v>
      </c>
      <c r="B1649" s="14" t="n">
        <v>45693</v>
      </c>
      <c r="C1649" s="16" t="s">
        <v>1705</v>
      </c>
      <c r="D1649" s="7" t="n">
        <v>-37.15</v>
      </c>
      <c r="E1649" s="16" t="s">
        <v>206</v>
      </c>
      <c r="F1649" s="7" t="n">
        <v>10458.76</v>
      </c>
      <c r="G1649" s="16" t="s">
        <v>179</v>
      </c>
    </row>
    <row r="1650" customFormat="false" ht="15" hidden="false" customHeight="false" outlineLevel="0" collapsed="false">
      <c r="A1650" s="0" t="s">
        <v>187</v>
      </c>
      <c r="B1650" s="14" t="n">
        <v>45693</v>
      </c>
      <c r="C1650" s="16" t="s">
        <v>1705</v>
      </c>
      <c r="D1650" s="7" t="n">
        <v>-7</v>
      </c>
      <c r="E1650" s="16" t="s">
        <v>206</v>
      </c>
      <c r="F1650" s="7" t="n">
        <v>10495.91</v>
      </c>
      <c r="G1650" s="16" t="s">
        <v>179</v>
      </c>
    </row>
    <row r="1651" customFormat="false" ht="15" hidden="false" customHeight="false" outlineLevel="0" collapsed="false">
      <c r="A1651" s="0" t="s">
        <v>187</v>
      </c>
      <c r="B1651" s="14" t="n">
        <v>45693</v>
      </c>
      <c r="C1651" s="16" t="s">
        <v>1706</v>
      </c>
      <c r="D1651" s="7" t="n">
        <v>-30.16</v>
      </c>
      <c r="E1651" s="16" t="s">
        <v>206</v>
      </c>
      <c r="F1651" s="7" t="n">
        <v>10502.91</v>
      </c>
      <c r="G1651" s="16" t="s">
        <v>182</v>
      </c>
    </row>
    <row r="1652" customFormat="false" ht="15" hidden="false" customHeight="false" outlineLevel="0" collapsed="false">
      <c r="A1652" s="0" t="s">
        <v>187</v>
      </c>
      <c r="B1652" s="14" t="n">
        <v>45692</v>
      </c>
      <c r="C1652" s="16" t="s">
        <v>1707</v>
      </c>
      <c r="D1652" s="7" t="n">
        <v>-300</v>
      </c>
      <c r="E1652" s="16" t="s">
        <v>213</v>
      </c>
      <c r="F1652" s="7" t="n">
        <v>10533.07</v>
      </c>
      <c r="G1652" s="16" t="s">
        <v>97</v>
      </c>
    </row>
    <row r="1653" customFormat="false" ht="15" hidden="false" customHeight="false" outlineLevel="0" collapsed="false">
      <c r="A1653" s="0" t="s">
        <v>187</v>
      </c>
      <c r="B1653" s="14" t="n">
        <v>45692</v>
      </c>
      <c r="C1653" s="16" t="s">
        <v>1705</v>
      </c>
      <c r="D1653" s="7" t="n">
        <v>-24</v>
      </c>
      <c r="E1653" s="16" t="s">
        <v>206</v>
      </c>
      <c r="F1653" s="7" t="n">
        <v>10833.07</v>
      </c>
      <c r="G1653" s="16" t="s">
        <v>179</v>
      </c>
    </row>
    <row r="1654" customFormat="false" ht="15" hidden="false" customHeight="false" outlineLevel="0" collapsed="false">
      <c r="A1654" s="0" t="s">
        <v>187</v>
      </c>
      <c r="B1654" s="14" t="n">
        <v>45692</v>
      </c>
      <c r="C1654" s="16" t="s">
        <v>1708</v>
      </c>
      <c r="D1654" s="7" t="n">
        <v>-800</v>
      </c>
      <c r="E1654" s="16" t="s">
        <v>215</v>
      </c>
      <c r="F1654" s="7" t="n">
        <v>10857.07</v>
      </c>
      <c r="G1654" s="16" t="s">
        <v>84</v>
      </c>
    </row>
    <row r="1655" customFormat="false" ht="15" hidden="false" customHeight="false" outlineLevel="0" collapsed="false">
      <c r="A1655" s="0" t="s">
        <v>187</v>
      </c>
      <c r="B1655" s="14" t="n">
        <v>45692</v>
      </c>
      <c r="C1655" s="16" t="s">
        <v>1709</v>
      </c>
      <c r="D1655" s="7" t="n">
        <v>-5</v>
      </c>
      <c r="E1655" s="16" t="s">
        <v>206</v>
      </c>
      <c r="F1655" s="7" t="n">
        <v>11657.07</v>
      </c>
      <c r="G1655" s="16" t="s">
        <v>144</v>
      </c>
    </row>
    <row r="1656" customFormat="false" ht="15" hidden="false" customHeight="false" outlineLevel="0" collapsed="false">
      <c r="A1656" s="0" t="s">
        <v>187</v>
      </c>
      <c r="B1656" s="14" t="n">
        <v>45692</v>
      </c>
      <c r="C1656" s="16" t="s">
        <v>1710</v>
      </c>
      <c r="D1656" s="7" t="n">
        <v>-507.5</v>
      </c>
      <c r="E1656" s="16" t="s">
        <v>206</v>
      </c>
      <c r="F1656" s="7" t="n">
        <v>11662.07</v>
      </c>
      <c r="G1656" s="16" t="s">
        <v>75</v>
      </c>
    </row>
    <row r="1657" customFormat="false" ht="15" hidden="false" customHeight="false" outlineLevel="0" collapsed="false">
      <c r="A1657" s="0" t="s">
        <v>187</v>
      </c>
      <c r="B1657" s="14" t="n">
        <v>45692</v>
      </c>
      <c r="C1657" s="16" t="s">
        <v>1711</v>
      </c>
      <c r="D1657" s="7" t="n">
        <v>-300</v>
      </c>
      <c r="E1657" s="16" t="s">
        <v>206</v>
      </c>
      <c r="F1657" s="7" t="n">
        <v>12169.57</v>
      </c>
      <c r="G1657" s="16" t="s">
        <v>121</v>
      </c>
    </row>
    <row r="1658" customFormat="false" ht="15" hidden="false" customHeight="false" outlineLevel="0" collapsed="false">
      <c r="A1658" s="0" t="s">
        <v>187</v>
      </c>
      <c r="B1658" s="14" t="n">
        <v>45692</v>
      </c>
      <c r="C1658" s="16" t="s">
        <v>1712</v>
      </c>
      <c r="D1658" s="7" t="n">
        <v>-10.78</v>
      </c>
      <c r="E1658" s="16" t="s">
        <v>206</v>
      </c>
      <c r="F1658" s="7" t="n">
        <v>12469.57</v>
      </c>
      <c r="G1658" s="16" t="s">
        <v>116</v>
      </c>
    </row>
    <row r="1659" customFormat="false" ht="15" hidden="false" customHeight="false" outlineLevel="0" collapsed="false">
      <c r="A1659" s="0" t="s">
        <v>187</v>
      </c>
      <c r="B1659" s="14" t="n">
        <v>45691</v>
      </c>
      <c r="C1659" s="16" t="s">
        <v>316</v>
      </c>
      <c r="D1659" s="7" t="n">
        <v>-3</v>
      </c>
      <c r="E1659" s="16" t="s">
        <v>189</v>
      </c>
      <c r="F1659" s="7" t="n">
        <v>12480.35</v>
      </c>
      <c r="G1659" s="16" t="s">
        <v>175</v>
      </c>
    </row>
    <row r="1660" customFormat="false" ht="15" hidden="false" customHeight="false" outlineLevel="0" collapsed="false">
      <c r="A1660" s="0" t="s">
        <v>187</v>
      </c>
      <c r="B1660" s="14" t="n">
        <v>45691</v>
      </c>
      <c r="C1660" s="16" t="s">
        <v>1713</v>
      </c>
      <c r="D1660" s="7" t="n">
        <v>-3.45</v>
      </c>
      <c r="E1660" s="16" t="s">
        <v>189</v>
      </c>
      <c r="F1660" s="7" t="n">
        <v>12483.35</v>
      </c>
      <c r="G1660" s="16" t="s">
        <v>175</v>
      </c>
    </row>
    <row r="1661" customFormat="false" ht="15" hidden="false" customHeight="false" outlineLevel="0" collapsed="false">
      <c r="A1661" s="0" t="s">
        <v>187</v>
      </c>
      <c r="B1661" s="14" t="n">
        <v>45691</v>
      </c>
      <c r="C1661" s="16" t="s">
        <v>446</v>
      </c>
      <c r="D1661" s="7" t="n">
        <v>-25</v>
      </c>
      <c r="E1661" s="16" t="s">
        <v>189</v>
      </c>
      <c r="F1661" s="7" t="n">
        <v>12486.8</v>
      </c>
      <c r="G1661" s="16" t="s">
        <v>175</v>
      </c>
    </row>
    <row r="1662" customFormat="false" ht="15" hidden="false" customHeight="false" outlineLevel="0" collapsed="false">
      <c r="A1662" s="0" t="s">
        <v>187</v>
      </c>
      <c r="B1662" s="14" t="n">
        <v>45691</v>
      </c>
      <c r="C1662" s="16" t="s">
        <v>1714</v>
      </c>
      <c r="D1662" s="7" t="n">
        <v>-1176.97</v>
      </c>
      <c r="E1662" s="16" t="s">
        <v>193</v>
      </c>
      <c r="F1662" s="7" t="n">
        <v>12511.8</v>
      </c>
      <c r="G1662" s="16" t="s">
        <v>184</v>
      </c>
    </row>
    <row r="1663" customFormat="false" ht="15" hidden="false" customHeight="false" outlineLevel="0" collapsed="false">
      <c r="A1663" s="0" t="s">
        <v>187</v>
      </c>
      <c r="B1663" s="14" t="n">
        <v>45691</v>
      </c>
      <c r="C1663" s="16" t="s">
        <v>1715</v>
      </c>
      <c r="D1663" s="7" t="n">
        <v>-2000</v>
      </c>
      <c r="E1663" s="16" t="s">
        <v>213</v>
      </c>
      <c r="F1663" s="7" t="n">
        <v>13688.77</v>
      </c>
      <c r="G1663" s="16" t="s">
        <v>96</v>
      </c>
    </row>
    <row r="1664" customFormat="false" ht="15" hidden="false" customHeight="false" outlineLevel="0" collapsed="false">
      <c r="A1664" s="0" t="s">
        <v>187</v>
      </c>
      <c r="B1664" s="14" t="n">
        <v>45691</v>
      </c>
      <c r="C1664" s="16" t="s">
        <v>1716</v>
      </c>
      <c r="D1664" s="7" t="n">
        <v>-29.99</v>
      </c>
      <c r="E1664" s="16" t="s">
        <v>206</v>
      </c>
      <c r="F1664" s="7" t="n">
        <v>15688.77</v>
      </c>
      <c r="G1664" s="16" t="s">
        <v>144</v>
      </c>
    </row>
    <row r="1665" customFormat="false" ht="15" hidden="false" customHeight="false" outlineLevel="0" collapsed="false">
      <c r="A1665" s="0" t="s">
        <v>187</v>
      </c>
      <c r="B1665" s="14" t="n">
        <v>45691</v>
      </c>
      <c r="C1665" s="16" t="s">
        <v>1716</v>
      </c>
      <c r="D1665" s="7" t="n">
        <v>-8.99</v>
      </c>
      <c r="E1665" s="16" t="s">
        <v>206</v>
      </c>
      <c r="F1665" s="7" t="n">
        <v>15718.76</v>
      </c>
      <c r="G1665" s="16" t="s">
        <v>144</v>
      </c>
    </row>
    <row r="1666" customFormat="false" ht="15" hidden="false" customHeight="false" outlineLevel="0" collapsed="false">
      <c r="A1666" s="0" t="s">
        <v>187</v>
      </c>
      <c r="B1666" s="14" t="n">
        <v>45691</v>
      </c>
      <c r="C1666" s="16" t="s">
        <v>1716</v>
      </c>
      <c r="D1666" s="7" t="n">
        <v>-12.99</v>
      </c>
      <c r="E1666" s="16" t="s">
        <v>206</v>
      </c>
      <c r="F1666" s="7" t="n">
        <v>15727.75</v>
      </c>
      <c r="G1666" s="16" t="s">
        <v>144</v>
      </c>
    </row>
    <row r="1667" customFormat="false" ht="15" hidden="false" customHeight="false" outlineLevel="0" collapsed="false">
      <c r="A1667" s="0" t="s">
        <v>187</v>
      </c>
      <c r="B1667" s="14" t="n">
        <v>45691</v>
      </c>
      <c r="C1667" s="16" t="s">
        <v>1717</v>
      </c>
      <c r="D1667" s="7" t="n">
        <v>-101.99</v>
      </c>
      <c r="E1667" s="16" t="s">
        <v>206</v>
      </c>
      <c r="F1667" s="7" t="n">
        <v>15740.74</v>
      </c>
      <c r="G1667" s="16" t="s">
        <v>144</v>
      </c>
    </row>
    <row r="1668" customFormat="false" ht="15" hidden="false" customHeight="false" outlineLevel="0" collapsed="false">
      <c r="A1668" s="0" t="s">
        <v>187</v>
      </c>
      <c r="B1668" s="14" t="n">
        <v>45691</v>
      </c>
      <c r="C1668" s="16" t="s">
        <v>1718</v>
      </c>
      <c r="D1668" s="7" t="n">
        <v>-150</v>
      </c>
      <c r="E1668" s="16" t="s">
        <v>215</v>
      </c>
      <c r="F1668" s="7" t="n">
        <v>15842.73</v>
      </c>
      <c r="G1668" s="16" t="s">
        <v>87</v>
      </c>
    </row>
    <row r="1669" customFormat="false" ht="15" hidden="false" customHeight="false" outlineLevel="0" collapsed="false">
      <c r="A1669" s="0" t="s">
        <v>187</v>
      </c>
      <c r="B1669" s="14" t="n">
        <v>45691</v>
      </c>
      <c r="C1669" s="16" t="s">
        <v>1719</v>
      </c>
      <c r="D1669" s="7" t="n">
        <v>-1000</v>
      </c>
      <c r="E1669" s="16" t="s">
        <v>213</v>
      </c>
      <c r="F1669" s="7" t="n">
        <v>15992.73</v>
      </c>
      <c r="G1669" s="16" t="s">
        <v>96</v>
      </c>
    </row>
    <row r="1670" customFormat="false" ht="15" hidden="false" customHeight="false" outlineLevel="0" collapsed="false">
      <c r="A1670" s="0" t="s">
        <v>187</v>
      </c>
      <c r="B1670" s="14" t="n">
        <v>45691</v>
      </c>
      <c r="C1670" s="16" t="s">
        <v>1720</v>
      </c>
      <c r="D1670" s="7" t="n">
        <v>-150</v>
      </c>
      <c r="E1670" s="16" t="s">
        <v>206</v>
      </c>
      <c r="F1670" s="7" t="n">
        <v>16992.73</v>
      </c>
      <c r="G1670" s="16" t="s">
        <v>183</v>
      </c>
    </row>
    <row r="1671" customFormat="false" ht="15" hidden="false" customHeight="false" outlineLevel="0" collapsed="false">
      <c r="A1671" s="0" t="s">
        <v>187</v>
      </c>
      <c r="B1671" s="14" t="n">
        <v>45691</v>
      </c>
      <c r="C1671" s="16" t="s">
        <v>1721</v>
      </c>
      <c r="D1671" s="7" t="n">
        <v>-90.88</v>
      </c>
      <c r="E1671" s="16" t="s">
        <v>206</v>
      </c>
      <c r="F1671" s="7" t="n">
        <v>17142.73</v>
      </c>
      <c r="G1671" s="16" t="s">
        <v>182</v>
      </c>
    </row>
    <row r="1672" customFormat="false" ht="15" hidden="false" customHeight="false" outlineLevel="0" collapsed="false">
      <c r="A1672" s="0" t="s">
        <v>187</v>
      </c>
      <c r="B1672" s="14" t="n">
        <v>45691</v>
      </c>
      <c r="C1672" s="16" t="s">
        <v>1722</v>
      </c>
      <c r="D1672" s="7" t="n">
        <v>-5.1</v>
      </c>
      <c r="E1672" s="16" t="s">
        <v>206</v>
      </c>
      <c r="F1672" s="7" t="n">
        <v>17233.61</v>
      </c>
      <c r="G1672" s="16" t="s">
        <v>179</v>
      </c>
    </row>
    <row r="1673" customFormat="false" ht="15" hidden="false" customHeight="false" outlineLevel="0" collapsed="false">
      <c r="A1673" s="0" t="s">
        <v>187</v>
      </c>
      <c r="B1673" s="14" t="n">
        <v>45691</v>
      </c>
      <c r="C1673" s="16" t="s">
        <v>1723</v>
      </c>
      <c r="D1673" s="7" t="n">
        <v>-203.5</v>
      </c>
      <c r="E1673" s="16" t="s">
        <v>319</v>
      </c>
      <c r="F1673" s="7" t="n">
        <v>17238.71</v>
      </c>
      <c r="G1673" s="16" t="s">
        <v>175</v>
      </c>
    </row>
    <row r="1674" customFormat="false" ht="15" hidden="false" customHeight="false" outlineLevel="0" collapsed="false">
      <c r="A1674" s="0" t="s">
        <v>187</v>
      </c>
      <c r="B1674" s="14" t="n">
        <v>45691</v>
      </c>
      <c r="C1674" s="16" t="s">
        <v>1724</v>
      </c>
      <c r="D1674" s="7" t="n">
        <v>-14.4</v>
      </c>
      <c r="E1674" s="16" t="s">
        <v>206</v>
      </c>
      <c r="F1674" s="7" t="n">
        <v>17442.21</v>
      </c>
      <c r="G1674" s="16" t="s">
        <v>144</v>
      </c>
    </row>
    <row r="1675" customFormat="false" ht="15" hidden="false" customHeight="false" outlineLevel="0" collapsed="false">
      <c r="A1675" s="0" t="s">
        <v>187</v>
      </c>
      <c r="B1675" s="14" t="n">
        <v>45691</v>
      </c>
      <c r="C1675" s="16" t="s">
        <v>1725</v>
      </c>
      <c r="D1675" s="7" t="n">
        <v>-18.99</v>
      </c>
      <c r="E1675" s="16" t="s">
        <v>206</v>
      </c>
      <c r="F1675" s="7" t="n">
        <v>17456.61</v>
      </c>
      <c r="G1675" s="16" t="s">
        <v>144</v>
      </c>
    </row>
    <row r="1676" customFormat="false" ht="15" hidden="false" customHeight="false" outlineLevel="0" collapsed="false">
      <c r="A1676" s="0" t="s">
        <v>187</v>
      </c>
      <c r="B1676" s="14" t="n">
        <v>45691</v>
      </c>
      <c r="C1676" s="16" t="s">
        <v>1726</v>
      </c>
      <c r="D1676" s="7" t="n">
        <v>-15.99</v>
      </c>
      <c r="E1676" s="16" t="s">
        <v>206</v>
      </c>
      <c r="F1676" s="7" t="n">
        <v>17475.6</v>
      </c>
      <c r="G1676" s="16" t="s">
        <v>144</v>
      </c>
    </row>
    <row r="1677" customFormat="false" ht="15" hidden="false" customHeight="false" outlineLevel="0" collapsed="false">
      <c r="A1677" s="0" t="s">
        <v>187</v>
      </c>
      <c r="B1677" s="14" t="n">
        <v>45691</v>
      </c>
      <c r="C1677" s="16" t="s">
        <v>1727</v>
      </c>
      <c r="D1677" s="7" t="n">
        <v>-130</v>
      </c>
      <c r="E1677" s="16" t="s">
        <v>193</v>
      </c>
      <c r="F1677" s="7" t="n">
        <v>17491.59</v>
      </c>
      <c r="G1677" s="16" t="s">
        <v>80</v>
      </c>
    </row>
    <row r="1678" customFormat="false" ht="15" hidden="false" customHeight="false" outlineLevel="0" collapsed="false">
      <c r="A1678" s="0" t="s">
        <v>187</v>
      </c>
      <c r="B1678" s="14" t="n">
        <v>45691</v>
      </c>
      <c r="C1678" s="16" t="s">
        <v>1728</v>
      </c>
      <c r="D1678" s="7" t="n">
        <v>-169.71</v>
      </c>
      <c r="E1678" s="16" t="s">
        <v>206</v>
      </c>
      <c r="F1678" s="7" t="n">
        <v>17621.59</v>
      </c>
      <c r="G1678" s="16" t="s">
        <v>139</v>
      </c>
    </row>
    <row r="1679" customFormat="false" ht="15" hidden="false" customHeight="false" outlineLevel="0" collapsed="false">
      <c r="A1679" s="0" t="s">
        <v>259</v>
      </c>
      <c r="B1679" s="14" t="n">
        <v>45691</v>
      </c>
      <c r="C1679" s="16" t="s">
        <v>1729</v>
      </c>
      <c r="D1679" s="7" t="n">
        <v>10000</v>
      </c>
      <c r="E1679" s="16" t="s">
        <v>213</v>
      </c>
      <c r="F1679" s="7" t="n">
        <v>17791.3</v>
      </c>
      <c r="G1679" s="16" t="s">
        <v>43</v>
      </c>
    </row>
    <row r="1680" customFormat="false" ht="15" hidden="false" customHeight="false" outlineLevel="0" collapsed="false">
      <c r="A1680" s="0" t="s">
        <v>187</v>
      </c>
      <c r="B1680" s="14" t="n">
        <v>45688</v>
      </c>
      <c r="C1680" s="16" t="s">
        <v>1730</v>
      </c>
      <c r="D1680" s="7" t="n">
        <v>-2465.25</v>
      </c>
      <c r="E1680" s="16" t="s">
        <v>193</v>
      </c>
      <c r="F1680" s="7" t="n">
        <v>7791.3</v>
      </c>
      <c r="G1680" s="16" t="s">
        <v>101</v>
      </c>
    </row>
    <row r="1681" customFormat="false" ht="15" hidden="false" customHeight="false" outlineLevel="0" collapsed="false">
      <c r="A1681" s="0" t="s">
        <v>187</v>
      </c>
      <c r="B1681" s="14" t="n">
        <v>45688</v>
      </c>
      <c r="C1681" s="16" t="s">
        <v>1731</v>
      </c>
      <c r="D1681" s="7" t="n">
        <v>-902.89</v>
      </c>
      <c r="E1681" s="16" t="s">
        <v>213</v>
      </c>
      <c r="F1681" s="7" t="n">
        <v>10256.55</v>
      </c>
      <c r="G1681" s="16" t="s">
        <v>56</v>
      </c>
    </row>
    <row r="1682" customFormat="false" ht="15" hidden="false" customHeight="false" outlineLevel="0" collapsed="false">
      <c r="A1682" s="0" t="s">
        <v>187</v>
      </c>
      <c r="B1682" s="14" t="n">
        <v>45688</v>
      </c>
      <c r="C1682" s="16" t="s">
        <v>1732</v>
      </c>
      <c r="D1682" s="7" t="n">
        <v>-537.07</v>
      </c>
      <c r="E1682" s="16" t="s">
        <v>193</v>
      </c>
      <c r="F1682" s="7" t="n">
        <v>11159.44</v>
      </c>
      <c r="G1682" s="16" t="s">
        <v>181</v>
      </c>
    </row>
    <row r="1683" customFormat="false" ht="15" hidden="false" customHeight="false" outlineLevel="0" collapsed="false">
      <c r="A1683" s="0" t="s">
        <v>187</v>
      </c>
      <c r="B1683" s="14" t="n">
        <v>45687</v>
      </c>
      <c r="C1683" s="16" t="s">
        <v>188</v>
      </c>
      <c r="D1683" s="7" t="n">
        <v>-5</v>
      </c>
      <c r="E1683" s="16" t="s">
        <v>189</v>
      </c>
      <c r="F1683" s="7" t="n">
        <v>11696.51</v>
      </c>
      <c r="G1683" s="16" t="s">
        <v>65</v>
      </c>
    </row>
    <row r="1684" customFormat="false" ht="15" hidden="false" customHeight="false" outlineLevel="0" collapsed="false">
      <c r="A1684" s="0" t="s">
        <v>187</v>
      </c>
      <c r="B1684" s="14" t="n">
        <v>45687</v>
      </c>
      <c r="C1684" s="16" t="s">
        <v>1733</v>
      </c>
      <c r="D1684" s="7" t="n">
        <v>-40</v>
      </c>
      <c r="E1684" s="16" t="s">
        <v>189</v>
      </c>
      <c r="F1684" s="7" t="n">
        <v>11701.51</v>
      </c>
      <c r="G1684" s="16" t="s">
        <v>123</v>
      </c>
    </row>
    <row r="1685" customFormat="false" ht="15" hidden="false" customHeight="false" outlineLevel="0" collapsed="false">
      <c r="A1685" s="0" t="s">
        <v>187</v>
      </c>
      <c r="B1685" s="14" t="n">
        <v>45687</v>
      </c>
      <c r="C1685" s="16" t="s">
        <v>1734</v>
      </c>
      <c r="D1685" s="7" t="n">
        <v>-2000</v>
      </c>
      <c r="E1685" s="16" t="s">
        <v>213</v>
      </c>
      <c r="F1685" s="7" t="n">
        <v>11741.51</v>
      </c>
      <c r="G1685" s="16" t="s">
        <v>98</v>
      </c>
    </row>
    <row r="1686" customFormat="false" ht="15" hidden="false" customHeight="false" outlineLevel="0" collapsed="false">
      <c r="A1686" s="0" t="s">
        <v>187</v>
      </c>
      <c r="B1686" s="14" t="n">
        <v>45687</v>
      </c>
      <c r="C1686" s="16" t="s">
        <v>1735</v>
      </c>
      <c r="D1686" s="7" t="n">
        <v>-2000</v>
      </c>
      <c r="E1686" s="16" t="s">
        <v>213</v>
      </c>
      <c r="F1686" s="7" t="n">
        <v>13741.51</v>
      </c>
      <c r="G1686" s="16" t="s">
        <v>96</v>
      </c>
    </row>
    <row r="1687" customFormat="false" ht="15" hidden="false" customHeight="false" outlineLevel="0" collapsed="false">
      <c r="A1687" s="0" t="s">
        <v>187</v>
      </c>
      <c r="B1687" s="14" t="n">
        <v>45687</v>
      </c>
      <c r="C1687" s="16" t="s">
        <v>1736</v>
      </c>
      <c r="D1687" s="7" t="n">
        <v>-750</v>
      </c>
      <c r="E1687" s="16" t="s">
        <v>191</v>
      </c>
      <c r="F1687" s="7" t="n">
        <v>15741.51</v>
      </c>
      <c r="G1687" s="16" t="s">
        <v>74</v>
      </c>
    </row>
    <row r="1688" customFormat="false" ht="15" hidden="false" customHeight="false" outlineLevel="0" collapsed="false">
      <c r="A1688" s="0" t="s">
        <v>187</v>
      </c>
      <c r="B1688" s="14" t="n">
        <v>45687</v>
      </c>
      <c r="C1688" s="16" t="s">
        <v>1737</v>
      </c>
      <c r="D1688" s="7" t="n">
        <v>-750</v>
      </c>
      <c r="E1688" s="16" t="s">
        <v>191</v>
      </c>
      <c r="F1688" s="7" t="n">
        <v>16491.51</v>
      </c>
      <c r="G1688" s="16" t="s">
        <v>65</v>
      </c>
    </row>
    <row r="1689" customFormat="false" ht="15" hidden="false" customHeight="false" outlineLevel="0" collapsed="false">
      <c r="A1689" s="0" t="s">
        <v>187</v>
      </c>
      <c r="B1689" s="14" t="n">
        <v>45687</v>
      </c>
      <c r="C1689" s="16" t="s">
        <v>1738</v>
      </c>
      <c r="D1689" s="7" t="n">
        <v>-2524</v>
      </c>
      <c r="E1689" s="16" t="s">
        <v>193</v>
      </c>
      <c r="F1689" s="7" t="n">
        <v>17241.51</v>
      </c>
      <c r="G1689" s="16" t="s">
        <v>102</v>
      </c>
    </row>
    <row r="1690" customFormat="false" ht="15" hidden="false" customHeight="false" outlineLevel="0" collapsed="false">
      <c r="A1690" s="0" t="s">
        <v>259</v>
      </c>
      <c r="B1690" s="14" t="n">
        <v>45687</v>
      </c>
      <c r="C1690" s="16" t="s">
        <v>1739</v>
      </c>
      <c r="D1690" s="7" t="n">
        <v>10000</v>
      </c>
      <c r="E1690" s="16" t="s">
        <v>213</v>
      </c>
      <c r="F1690" s="7" t="n">
        <v>19765.51</v>
      </c>
      <c r="G1690" s="16" t="s">
        <v>57</v>
      </c>
    </row>
    <row r="1691" customFormat="false" ht="15" hidden="false" customHeight="false" outlineLevel="0" collapsed="false">
      <c r="A1691" s="0" t="s">
        <v>259</v>
      </c>
      <c r="B1691" s="14" t="n">
        <v>45687</v>
      </c>
      <c r="C1691" s="16" t="s">
        <v>1740</v>
      </c>
      <c r="D1691" s="7" t="n">
        <v>10000</v>
      </c>
      <c r="E1691" s="16" t="s">
        <v>213</v>
      </c>
      <c r="F1691" s="7" t="n">
        <v>9765.51</v>
      </c>
      <c r="G1691" s="16" t="s">
        <v>43</v>
      </c>
    </row>
    <row r="1692" customFormat="false" ht="15" hidden="false" customHeight="false" outlineLevel="0" collapsed="false">
      <c r="A1692" s="0" t="s">
        <v>1741</v>
      </c>
      <c r="B1692" s="14" t="n">
        <v>45686</v>
      </c>
      <c r="C1692" s="16" t="s">
        <v>1742</v>
      </c>
      <c r="D1692" s="7" t="n">
        <v>-737.5</v>
      </c>
      <c r="E1692" s="16" t="s">
        <v>1743</v>
      </c>
      <c r="F1692" s="7" t="n">
        <v>-234.49</v>
      </c>
      <c r="G1692" s="16" t="s">
        <v>150</v>
      </c>
    </row>
    <row r="1693" customFormat="false" ht="15" hidden="false" customHeight="false" outlineLevel="0" collapsed="false">
      <c r="A1693" s="0" t="s">
        <v>187</v>
      </c>
      <c r="B1693" s="14" t="n">
        <v>45686</v>
      </c>
      <c r="C1693" s="16" t="s">
        <v>1744</v>
      </c>
      <c r="D1693" s="7" t="n">
        <v>-613.58</v>
      </c>
      <c r="E1693" s="16" t="s">
        <v>193</v>
      </c>
      <c r="F1693" s="7" t="n">
        <v>503.01</v>
      </c>
      <c r="G1693" s="16" t="s">
        <v>145</v>
      </c>
    </row>
    <row r="1694" customFormat="false" ht="15" hidden="false" customHeight="false" outlineLevel="0" collapsed="false">
      <c r="A1694" s="0" t="s">
        <v>187</v>
      </c>
      <c r="B1694" s="14" t="n">
        <v>45686</v>
      </c>
      <c r="C1694" s="16" t="s">
        <v>1745</v>
      </c>
      <c r="D1694" s="7" t="n">
        <v>-588.4</v>
      </c>
      <c r="E1694" s="16" t="s">
        <v>193</v>
      </c>
      <c r="F1694" s="7" t="n">
        <v>1116.59</v>
      </c>
      <c r="G1694" s="16" t="s">
        <v>181</v>
      </c>
    </row>
    <row r="1695" customFormat="false" ht="15" hidden="false" customHeight="false" outlineLevel="0" collapsed="false">
      <c r="A1695" s="0" t="s">
        <v>187</v>
      </c>
      <c r="B1695" s="14" t="n">
        <v>45686</v>
      </c>
      <c r="C1695" s="16" t="s">
        <v>1746</v>
      </c>
      <c r="D1695" s="7" t="n">
        <v>-1399.46</v>
      </c>
      <c r="E1695" s="16" t="s">
        <v>193</v>
      </c>
      <c r="F1695" s="7" t="n">
        <v>1704.99</v>
      </c>
      <c r="G1695" s="16" t="s">
        <v>180</v>
      </c>
    </row>
    <row r="1696" customFormat="false" ht="15" hidden="false" customHeight="false" outlineLevel="0" collapsed="false">
      <c r="A1696" s="0" t="s">
        <v>187</v>
      </c>
      <c r="B1696" s="14" t="n">
        <v>45686</v>
      </c>
      <c r="C1696" s="16" t="s">
        <v>1747</v>
      </c>
      <c r="D1696" s="7" t="n">
        <v>-900</v>
      </c>
      <c r="E1696" s="16" t="s">
        <v>215</v>
      </c>
      <c r="F1696" s="7" t="n">
        <v>3104.45</v>
      </c>
      <c r="G1696" s="16" t="s">
        <v>81</v>
      </c>
    </row>
    <row r="1697" customFormat="false" ht="15" hidden="false" customHeight="false" outlineLevel="0" collapsed="false">
      <c r="A1697" s="0" t="s">
        <v>187</v>
      </c>
      <c r="B1697" s="14" t="n">
        <v>45686</v>
      </c>
      <c r="C1697" s="16" t="s">
        <v>1748</v>
      </c>
      <c r="D1697" s="7" t="n">
        <v>-18.99</v>
      </c>
      <c r="E1697" s="16" t="s">
        <v>206</v>
      </c>
      <c r="F1697" s="7" t="n">
        <v>4004.45</v>
      </c>
      <c r="G1697" s="16" t="s">
        <v>144</v>
      </c>
    </row>
    <row r="1698" customFormat="false" ht="15" hidden="false" customHeight="false" outlineLevel="0" collapsed="false">
      <c r="A1698" s="0" t="s">
        <v>187</v>
      </c>
      <c r="B1698" s="14" t="n">
        <v>45685</v>
      </c>
      <c r="C1698" s="16" t="s">
        <v>1749</v>
      </c>
      <c r="D1698" s="7" t="n">
        <v>-12.5</v>
      </c>
      <c r="E1698" s="16" t="s">
        <v>193</v>
      </c>
      <c r="F1698" s="7" t="n">
        <v>4023.44</v>
      </c>
      <c r="G1698" s="16" t="s">
        <v>142</v>
      </c>
    </row>
    <row r="1699" customFormat="false" ht="15" hidden="false" customHeight="false" outlineLevel="0" collapsed="false">
      <c r="A1699" s="0" t="s">
        <v>187</v>
      </c>
      <c r="B1699" s="14" t="n">
        <v>45685</v>
      </c>
      <c r="C1699" s="16" t="s">
        <v>1750</v>
      </c>
      <c r="D1699" s="7" t="n">
        <v>-22.92</v>
      </c>
      <c r="E1699" s="16" t="s">
        <v>193</v>
      </c>
      <c r="F1699" s="7" t="n">
        <v>4035.94</v>
      </c>
      <c r="G1699" s="16" t="s">
        <v>142</v>
      </c>
    </row>
    <row r="1700" customFormat="false" ht="15" hidden="false" customHeight="false" outlineLevel="0" collapsed="false">
      <c r="A1700" s="0" t="s">
        <v>187</v>
      </c>
      <c r="B1700" s="14" t="n">
        <v>45685</v>
      </c>
      <c r="C1700" s="16" t="s">
        <v>1751</v>
      </c>
      <c r="D1700" s="7" t="n">
        <v>-1262.59</v>
      </c>
      <c r="E1700" s="16" t="s">
        <v>193</v>
      </c>
      <c r="F1700" s="7" t="n">
        <v>4058.86</v>
      </c>
      <c r="G1700" s="16" t="s">
        <v>184</v>
      </c>
    </row>
    <row r="1701" customFormat="false" ht="15" hidden="false" customHeight="false" outlineLevel="0" collapsed="false">
      <c r="A1701" s="0" t="s">
        <v>187</v>
      </c>
      <c r="B1701" s="14" t="n">
        <v>45685</v>
      </c>
      <c r="C1701" s="16" t="s">
        <v>1752</v>
      </c>
      <c r="D1701" s="7" t="n">
        <v>-2380.98</v>
      </c>
      <c r="E1701" s="16" t="s">
        <v>193</v>
      </c>
      <c r="F1701" s="7" t="n">
        <v>5321.45</v>
      </c>
      <c r="G1701" s="16" t="s">
        <v>184</v>
      </c>
    </row>
    <row r="1702" customFormat="false" ht="15" hidden="false" customHeight="false" outlineLevel="0" collapsed="false">
      <c r="A1702" s="0" t="s">
        <v>187</v>
      </c>
      <c r="B1702" s="14" t="n">
        <v>45685</v>
      </c>
      <c r="C1702" s="16" t="s">
        <v>1753</v>
      </c>
      <c r="D1702" s="7" t="n">
        <v>-13.5</v>
      </c>
      <c r="E1702" s="16" t="s">
        <v>206</v>
      </c>
      <c r="F1702" s="7" t="n">
        <v>7702.43</v>
      </c>
      <c r="G1702" s="16" t="s">
        <v>182</v>
      </c>
    </row>
    <row r="1703" customFormat="false" ht="15" hidden="false" customHeight="false" outlineLevel="0" collapsed="false">
      <c r="A1703" s="0" t="s">
        <v>187</v>
      </c>
      <c r="B1703" s="14" t="n">
        <v>45685</v>
      </c>
      <c r="C1703" s="16" t="s">
        <v>1754</v>
      </c>
      <c r="D1703" s="7" t="n">
        <v>-31.31</v>
      </c>
      <c r="E1703" s="16" t="s">
        <v>206</v>
      </c>
      <c r="F1703" s="7" t="n">
        <v>7715.93</v>
      </c>
      <c r="G1703" s="16" t="s">
        <v>182</v>
      </c>
    </row>
    <row r="1704" customFormat="false" ht="15" hidden="false" customHeight="false" outlineLevel="0" collapsed="false">
      <c r="A1704" s="0" t="s">
        <v>187</v>
      </c>
      <c r="B1704" s="14" t="n">
        <v>45685</v>
      </c>
      <c r="C1704" s="16" t="s">
        <v>1755</v>
      </c>
      <c r="D1704" s="7" t="n">
        <v>-1.25</v>
      </c>
      <c r="E1704" s="16" t="s">
        <v>206</v>
      </c>
      <c r="F1704" s="7" t="n">
        <v>7747.24</v>
      </c>
      <c r="G1704" s="16" t="s">
        <v>179</v>
      </c>
    </row>
    <row r="1705" customFormat="false" ht="15" hidden="false" customHeight="false" outlineLevel="0" collapsed="false">
      <c r="A1705" s="0" t="s">
        <v>187</v>
      </c>
      <c r="B1705" s="14" t="n">
        <v>45685</v>
      </c>
      <c r="C1705" s="16" t="s">
        <v>1756</v>
      </c>
      <c r="D1705" s="7" t="n">
        <v>-21</v>
      </c>
      <c r="E1705" s="16" t="s">
        <v>206</v>
      </c>
      <c r="F1705" s="7" t="n">
        <v>7748.49</v>
      </c>
      <c r="G1705" s="16" t="s">
        <v>179</v>
      </c>
    </row>
    <row r="1706" customFormat="false" ht="15" hidden="false" customHeight="false" outlineLevel="0" collapsed="false">
      <c r="A1706" s="0" t="s">
        <v>187</v>
      </c>
      <c r="B1706" s="14" t="n">
        <v>45684</v>
      </c>
      <c r="C1706" s="16" t="s">
        <v>1757</v>
      </c>
      <c r="D1706" s="7" t="n">
        <v>-1000</v>
      </c>
      <c r="E1706" s="16" t="s">
        <v>213</v>
      </c>
      <c r="F1706" s="7" t="n">
        <v>7769.49</v>
      </c>
      <c r="G1706" s="16" t="s">
        <v>96</v>
      </c>
    </row>
    <row r="1707" customFormat="false" ht="15" hidden="false" customHeight="false" outlineLevel="0" collapsed="false">
      <c r="A1707" s="0" t="s">
        <v>187</v>
      </c>
      <c r="B1707" s="14" t="n">
        <v>45684</v>
      </c>
      <c r="C1707" s="16" t="s">
        <v>1758</v>
      </c>
      <c r="D1707" s="7" t="n">
        <v>-7010</v>
      </c>
      <c r="E1707" s="16" t="s">
        <v>208</v>
      </c>
      <c r="F1707" s="7" t="n">
        <v>8769.49</v>
      </c>
      <c r="G1707" s="16" t="s">
        <v>134</v>
      </c>
    </row>
    <row r="1708" customFormat="false" ht="15" hidden="false" customHeight="false" outlineLevel="0" collapsed="false">
      <c r="A1708" s="0" t="s">
        <v>187</v>
      </c>
      <c r="B1708" s="14" t="n">
        <v>45684</v>
      </c>
      <c r="C1708" s="16" t="s">
        <v>1759</v>
      </c>
      <c r="D1708" s="7" t="n">
        <v>-8000</v>
      </c>
      <c r="E1708" s="16" t="s">
        <v>213</v>
      </c>
      <c r="F1708" s="7" t="n">
        <v>15779.49</v>
      </c>
      <c r="G1708" s="16" t="s">
        <v>98</v>
      </c>
    </row>
    <row r="1709" customFormat="false" ht="15" hidden="false" customHeight="false" outlineLevel="0" collapsed="false">
      <c r="A1709" s="0" t="s">
        <v>187</v>
      </c>
      <c r="B1709" s="14" t="n">
        <v>45684</v>
      </c>
      <c r="C1709" s="16" t="s">
        <v>1760</v>
      </c>
      <c r="D1709" s="7" t="n">
        <v>-1000</v>
      </c>
      <c r="E1709" s="16" t="s">
        <v>213</v>
      </c>
      <c r="F1709" s="7" t="n">
        <v>23779.49</v>
      </c>
      <c r="G1709" s="16" t="s">
        <v>97</v>
      </c>
    </row>
    <row r="1710" customFormat="false" ht="15" hidden="false" customHeight="false" outlineLevel="0" collapsed="false">
      <c r="A1710" s="0" t="s">
        <v>187</v>
      </c>
      <c r="B1710" s="14" t="n">
        <v>45684</v>
      </c>
      <c r="C1710" s="16" t="s">
        <v>1761</v>
      </c>
      <c r="D1710" s="7" t="n">
        <v>-1000</v>
      </c>
      <c r="E1710" s="16" t="s">
        <v>213</v>
      </c>
      <c r="F1710" s="7" t="n">
        <v>24779.49</v>
      </c>
      <c r="G1710" s="16" t="s">
        <v>96</v>
      </c>
    </row>
    <row r="1711" customFormat="false" ht="15" hidden="false" customHeight="false" outlineLevel="0" collapsed="false">
      <c r="A1711" s="0" t="s">
        <v>187</v>
      </c>
      <c r="B1711" s="14" t="n">
        <v>45684</v>
      </c>
      <c r="C1711" s="16" t="s">
        <v>1762</v>
      </c>
      <c r="D1711" s="7" t="n">
        <v>-132.4</v>
      </c>
      <c r="E1711" s="16" t="s">
        <v>193</v>
      </c>
      <c r="F1711" s="7" t="n">
        <v>25779.49</v>
      </c>
      <c r="G1711" s="16" t="s">
        <v>122</v>
      </c>
    </row>
    <row r="1712" customFormat="false" ht="15" hidden="false" customHeight="false" outlineLevel="0" collapsed="false">
      <c r="A1712" s="0" t="s">
        <v>187</v>
      </c>
      <c r="B1712" s="14" t="n">
        <v>45684</v>
      </c>
      <c r="C1712" s="16" t="s">
        <v>1763</v>
      </c>
      <c r="D1712" s="7" t="n">
        <v>-1000</v>
      </c>
      <c r="E1712" s="16" t="s">
        <v>193</v>
      </c>
      <c r="F1712" s="7" t="n">
        <v>25911.89</v>
      </c>
      <c r="G1712" s="16" t="s">
        <v>80</v>
      </c>
    </row>
    <row r="1713" customFormat="false" ht="15" hidden="false" customHeight="false" outlineLevel="0" collapsed="false">
      <c r="A1713" s="0" t="s">
        <v>187</v>
      </c>
      <c r="B1713" s="14" t="n">
        <v>45684</v>
      </c>
      <c r="C1713" s="16" t="s">
        <v>1764</v>
      </c>
      <c r="D1713" s="7" t="n">
        <v>-215.05</v>
      </c>
      <c r="E1713" s="16" t="s">
        <v>206</v>
      </c>
      <c r="F1713" s="7" t="n">
        <v>26911.89</v>
      </c>
      <c r="G1713" s="16" t="s">
        <v>182</v>
      </c>
    </row>
    <row r="1714" customFormat="false" ht="15" hidden="false" customHeight="false" outlineLevel="0" collapsed="false">
      <c r="A1714" s="0" t="s">
        <v>187</v>
      </c>
      <c r="B1714" s="14" t="n">
        <v>45684</v>
      </c>
      <c r="C1714" s="16" t="s">
        <v>1765</v>
      </c>
      <c r="D1714" s="7" t="n">
        <v>-16.99</v>
      </c>
      <c r="E1714" s="16" t="s">
        <v>206</v>
      </c>
      <c r="F1714" s="7" t="n">
        <v>27126.94</v>
      </c>
      <c r="G1714" s="16" t="s">
        <v>144</v>
      </c>
    </row>
    <row r="1715" customFormat="false" ht="15" hidden="false" customHeight="false" outlineLevel="0" collapsed="false">
      <c r="A1715" s="0" t="s">
        <v>187</v>
      </c>
      <c r="B1715" s="14" t="n">
        <v>45684</v>
      </c>
      <c r="C1715" s="16" t="s">
        <v>1766</v>
      </c>
      <c r="D1715" s="7" t="n">
        <v>-9.99</v>
      </c>
      <c r="E1715" s="16" t="s">
        <v>206</v>
      </c>
      <c r="F1715" s="7" t="n">
        <v>27143.93</v>
      </c>
      <c r="G1715" s="16" t="s">
        <v>144</v>
      </c>
    </row>
    <row r="1716" customFormat="false" ht="15" hidden="false" customHeight="false" outlineLevel="0" collapsed="false">
      <c r="A1716" s="0" t="s">
        <v>187</v>
      </c>
      <c r="B1716" s="14" t="n">
        <v>45684</v>
      </c>
      <c r="C1716" s="16" t="s">
        <v>1767</v>
      </c>
      <c r="D1716" s="7" t="n">
        <v>-250</v>
      </c>
      <c r="E1716" s="16" t="s">
        <v>206</v>
      </c>
      <c r="F1716" s="7" t="n">
        <v>27153.92</v>
      </c>
      <c r="G1716" s="16" t="s">
        <v>72</v>
      </c>
    </row>
    <row r="1717" customFormat="false" ht="15" hidden="false" customHeight="false" outlineLevel="0" collapsed="false">
      <c r="A1717" s="0" t="s">
        <v>187</v>
      </c>
      <c r="B1717" s="14" t="n">
        <v>45684</v>
      </c>
      <c r="C1717" s="16" t="s">
        <v>1768</v>
      </c>
      <c r="D1717" s="7" t="n">
        <v>-17.27</v>
      </c>
      <c r="E1717" s="16" t="s">
        <v>206</v>
      </c>
      <c r="F1717" s="7" t="n">
        <v>27403.92</v>
      </c>
      <c r="G1717" s="16" t="s">
        <v>144</v>
      </c>
    </row>
    <row r="1718" customFormat="false" ht="15" hidden="false" customHeight="false" outlineLevel="0" collapsed="false">
      <c r="A1718" s="0" t="s">
        <v>187</v>
      </c>
      <c r="B1718" s="14" t="n">
        <v>45684</v>
      </c>
      <c r="C1718" s="16" t="s">
        <v>1769</v>
      </c>
      <c r="D1718" s="7" t="n">
        <v>-100</v>
      </c>
      <c r="E1718" s="16" t="s">
        <v>215</v>
      </c>
      <c r="F1718" s="7" t="n">
        <v>27421.19</v>
      </c>
      <c r="G1718" s="16" t="s">
        <v>87</v>
      </c>
    </row>
    <row r="1719" customFormat="false" ht="15" hidden="false" customHeight="false" outlineLevel="0" collapsed="false">
      <c r="A1719" s="0" t="s">
        <v>187</v>
      </c>
      <c r="B1719" s="14" t="n">
        <v>45684</v>
      </c>
      <c r="C1719" s="16" t="s">
        <v>1770</v>
      </c>
      <c r="D1719" s="7" t="n">
        <v>-100</v>
      </c>
      <c r="E1719" s="16" t="s">
        <v>215</v>
      </c>
      <c r="F1719" s="7" t="n">
        <v>27521.19</v>
      </c>
      <c r="G1719" s="16" t="s">
        <v>87</v>
      </c>
    </row>
    <row r="1720" customFormat="false" ht="15" hidden="false" customHeight="false" outlineLevel="0" collapsed="false">
      <c r="A1720" s="0" t="s">
        <v>187</v>
      </c>
      <c r="B1720" s="14" t="n">
        <v>45684</v>
      </c>
      <c r="C1720" s="16" t="s">
        <v>1771</v>
      </c>
      <c r="D1720" s="7" t="n">
        <v>-8.99</v>
      </c>
      <c r="E1720" s="16" t="s">
        <v>206</v>
      </c>
      <c r="F1720" s="7" t="n">
        <v>27621.19</v>
      </c>
      <c r="G1720" s="16" t="s">
        <v>144</v>
      </c>
    </row>
    <row r="1721" customFormat="false" ht="15" hidden="false" customHeight="false" outlineLevel="0" collapsed="false">
      <c r="A1721" s="0" t="s">
        <v>187</v>
      </c>
      <c r="B1721" s="14" t="n">
        <v>45684</v>
      </c>
      <c r="C1721" s="16" t="s">
        <v>1772</v>
      </c>
      <c r="D1721" s="7" t="n">
        <v>-520</v>
      </c>
      <c r="E1721" s="16" t="s">
        <v>206</v>
      </c>
      <c r="F1721" s="7" t="n">
        <v>27630.18</v>
      </c>
      <c r="G1721" s="16" t="s">
        <v>67</v>
      </c>
    </row>
    <row r="1722" customFormat="false" ht="15" hidden="false" customHeight="false" outlineLevel="0" collapsed="false">
      <c r="A1722" s="0" t="s">
        <v>187</v>
      </c>
      <c r="B1722" s="14" t="n">
        <v>45684</v>
      </c>
      <c r="C1722" s="16" t="s">
        <v>1773</v>
      </c>
      <c r="D1722" s="7" t="n">
        <v>-276.17</v>
      </c>
      <c r="E1722" s="16" t="s">
        <v>206</v>
      </c>
      <c r="F1722" s="7" t="n">
        <v>28150.18</v>
      </c>
      <c r="G1722" s="16" t="s">
        <v>182</v>
      </c>
    </row>
    <row r="1723" customFormat="false" ht="15" hidden="false" customHeight="false" outlineLevel="0" collapsed="false">
      <c r="A1723" s="0" t="s">
        <v>187</v>
      </c>
      <c r="B1723" s="14" t="n">
        <v>45684</v>
      </c>
      <c r="C1723" s="16" t="s">
        <v>1774</v>
      </c>
      <c r="D1723" s="7" t="n">
        <v>-12.99</v>
      </c>
      <c r="E1723" s="16" t="s">
        <v>206</v>
      </c>
      <c r="F1723" s="7" t="n">
        <v>28426.35</v>
      </c>
      <c r="G1723" s="16" t="s">
        <v>114</v>
      </c>
    </row>
    <row r="1724" customFormat="false" ht="15" hidden="false" customHeight="false" outlineLevel="0" collapsed="false">
      <c r="A1724" s="0" t="s">
        <v>259</v>
      </c>
      <c r="B1724" s="14" t="n">
        <v>45684</v>
      </c>
      <c r="C1724" s="16" t="s">
        <v>1775</v>
      </c>
      <c r="D1724" s="7" t="n">
        <v>20000</v>
      </c>
      <c r="E1724" s="16" t="s">
        <v>213</v>
      </c>
      <c r="F1724" s="7" t="n">
        <v>28439.34</v>
      </c>
      <c r="G1724" s="16" t="s">
        <v>43</v>
      </c>
    </row>
    <row r="1725" customFormat="false" ht="15" hidden="false" customHeight="false" outlineLevel="0" collapsed="false">
      <c r="A1725" s="0" t="s">
        <v>187</v>
      </c>
      <c r="B1725" s="14" t="n">
        <v>45681</v>
      </c>
      <c r="C1725" s="16" t="s">
        <v>1776</v>
      </c>
      <c r="D1725" s="7" t="n">
        <v>-5</v>
      </c>
      <c r="E1725" s="16" t="s">
        <v>206</v>
      </c>
      <c r="F1725" s="7" t="n">
        <v>8439.34</v>
      </c>
      <c r="G1725" s="16" t="s">
        <v>179</v>
      </c>
    </row>
    <row r="1726" customFormat="false" ht="15" hidden="false" customHeight="false" outlineLevel="0" collapsed="false">
      <c r="A1726" s="0" t="s">
        <v>187</v>
      </c>
      <c r="B1726" s="14" t="n">
        <v>45681</v>
      </c>
      <c r="C1726" s="16" t="s">
        <v>1776</v>
      </c>
      <c r="D1726" s="7" t="n">
        <v>-12.18</v>
      </c>
      <c r="E1726" s="16" t="s">
        <v>206</v>
      </c>
      <c r="F1726" s="7" t="n">
        <v>8444.34</v>
      </c>
      <c r="G1726" s="16" t="s">
        <v>179</v>
      </c>
    </row>
    <row r="1727" customFormat="false" ht="15" hidden="false" customHeight="false" outlineLevel="0" collapsed="false">
      <c r="A1727" s="0" t="s">
        <v>187</v>
      </c>
      <c r="B1727" s="14" t="n">
        <v>45681</v>
      </c>
      <c r="C1727" s="16" t="s">
        <v>1776</v>
      </c>
      <c r="D1727" s="7" t="n">
        <v>-11.86</v>
      </c>
      <c r="E1727" s="16" t="s">
        <v>206</v>
      </c>
      <c r="F1727" s="7" t="n">
        <v>8456.52</v>
      </c>
      <c r="G1727" s="16" t="s">
        <v>179</v>
      </c>
    </row>
    <row r="1728" customFormat="false" ht="15" hidden="false" customHeight="false" outlineLevel="0" collapsed="false">
      <c r="A1728" s="0" t="s">
        <v>187</v>
      </c>
      <c r="B1728" s="14" t="n">
        <v>45681</v>
      </c>
      <c r="C1728" s="16" t="s">
        <v>1777</v>
      </c>
      <c r="D1728" s="7" t="n">
        <v>-9.99</v>
      </c>
      <c r="E1728" s="16" t="s">
        <v>206</v>
      </c>
      <c r="F1728" s="7" t="n">
        <v>8468.38</v>
      </c>
      <c r="G1728" s="16" t="s">
        <v>144</v>
      </c>
    </row>
    <row r="1729" customFormat="false" ht="15" hidden="false" customHeight="false" outlineLevel="0" collapsed="false">
      <c r="A1729" s="0" t="s">
        <v>187</v>
      </c>
      <c r="B1729" s="14" t="n">
        <v>45680</v>
      </c>
      <c r="C1729" s="16" t="s">
        <v>1778</v>
      </c>
      <c r="D1729" s="7" t="n">
        <v>-79.08</v>
      </c>
      <c r="E1729" s="16" t="s">
        <v>206</v>
      </c>
      <c r="F1729" s="7" t="n">
        <v>8478.37</v>
      </c>
      <c r="G1729" s="16" t="s">
        <v>179</v>
      </c>
    </row>
    <row r="1730" customFormat="false" ht="15" hidden="false" customHeight="false" outlineLevel="0" collapsed="false">
      <c r="A1730" s="0" t="s">
        <v>187</v>
      </c>
      <c r="B1730" s="14" t="n">
        <v>45680</v>
      </c>
      <c r="C1730" s="16" t="s">
        <v>1778</v>
      </c>
      <c r="D1730" s="7" t="n">
        <v>-7</v>
      </c>
      <c r="E1730" s="16" t="s">
        <v>206</v>
      </c>
      <c r="F1730" s="7" t="n">
        <v>8557.45</v>
      </c>
      <c r="G1730" s="16" t="s">
        <v>179</v>
      </c>
    </row>
    <row r="1731" customFormat="false" ht="15" hidden="false" customHeight="false" outlineLevel="0" collapsed="false">
      <c r="A1731" s="0" t="s">
        <v>187</v>
      </c>
      <c r="B1731" s="14" t="n">
        <v>45680</v>
      </c>
      <c r="C1731" s="16" t="s">
        <v>1778</v>
      </c>
      <c r="D1731" s="7" t="n">
        <v>-21.68</v>
      </c>
      <c r="E1731" s="16" t="s">
        <v>206</v>
      </c>
      <c r="F1731" s="7" t="n">
        <v>8564.45</v>
      </c>
      <c r="G1731" s="16" t="s">
        <v>179</v>
      </c>
    </row>
    <row r="1732" customFormat="false" ht="15" hidden="false" customHeight="false" outlineLevel="0" collapsed="false">
      <c r="A1732" s="0" t="s">
        <v>187</v>
      </c>
      <c r="B1732" s="14" t="n">
        <v>45680</v>
      </c>
      <c r="C1732" s="16" t="s">
        <v>1778</v>
      </c>
      <c r="D1732" s="7" t="n">
        <v>-5</v>
      </c>
      <c r="E1732" s="16" t="s">
        <v>206</v>
      </c>
      <c r="F1732" s="7" t="n">
        <v>8586.13</v>
      </c>
      <c r="G1732" s="16" t="s">
        <v>179</v>
      </c>
    </row>
    <row r="1733" customFormat="false" ht="15" hidden="false" customHeight="false" outlineLevel="0" collapsed="false">
      <c r="A1733" s="0" t="s">
        <v>187</v>
      </c>
      <c r="B1733" s="14" t="n">
        <v>45680</v>
      </c>
      <c r="C1733" s="16" t="s">
        <v>1778</v>
      </c>
      <c r="D1733" s="7" t="n">
        <v>-4.3</v>
      </c>
      <c r="E1733" s="16" t="s">
        <v>206</v>
      </c>
      <c r="F1733" s="7" t="n">
        <v>8591.13</v>
      </c>
      <c r="G1733" s="16" t="s">
        <v>179</v>
      </c>
    </row>
    <row r="1734" customFormat="false" ht="15" hidden="false" customHeight="false" outlineLevel="0" collapsed="false">
      <c r="A1734" s="0" t="s">
        <v>187</v>
      </c>
      <c r="B1734" s="14" t="n">
        <v>45680</v>
      </c>
      <c r="C1734" s="16" t="s">
        <v>1778</v>
      </c>
      <c r="D1734" s="7" t="n">
        <v>-22.94</v>
      </c>
      <c r="E1734" s="16" t="s">
        <v>206</v>
      </c>
      <c r="F1734" s="7" t="n">
        <v>8595.43</v>
      </c>
      <c r="G1734" s="16" t="s">
        <v>179</v>
      </c>
    </row>
    <row r="1735" customFormat="false" ht="15" hidden="false" customHeight="false" outlineLevel="0" collapsed="false">
      <c r="A1735" s="0" t="s">
        <v>187</v>
      </c>
      <c r="B1735" s="14" t="n">
        <v>45680</v>
      </c>
      <c r="C1735" s="16" t="s">
        <v>1778</v>
      </c>
      <c r="D1735" s="7" t="n">
        <v>-17.79</v>
      </c>
      <c r="E1735" s="16" t="s">
        <v>206</v>
      </c>
      <c r="F1735" s="7" t="n">
        <v>8618.37</v>
      </c>
      <c r="G1735" s="16" t="s">
        <v>179</v>
      </c>
    </row>
    <row r="1736" customFormat="false" ht="15" hidden="false" customHeight="false" outlineLevel="0" collapsed="false">
      <c r="A1736" s="0" t="s">
        <v>187</v>
      </c>
      <c r="B1736" s="14" t="n">
        <v>45679</v>
      </c>
      <c r="C1736" s="16" t="s">
        <v>1779</v>
      </c>
      <c r="D1736" s="7" t="n">
        <v>-11.57</v>
      </c>
      <c r="E1736" s="16" t="s">
        <v>206</v>
      </c>
      <c r="F1736" s="7" t="n">
        <v>8636.16</v>
      </c>
      <c r="G1736" s="16" t="s">
        <v>144</v>
      </c>
    </row>
    <row r="1737" customFormat="false" ht="15" hidden="false" customHeight="false" outlineLevel="0" collapsed="false">
      <c r="A1737" s="0" t="s">
        <v>187</v>
      </c>
      <c r="B1737" s="14" t="n">
        <v>45679</v>
      </c>
      <c r="C1737" s="16" t="s">
        <v>1780</v>
      </c>
      <c r="D1737" s="7" t="n">
        <v>-331.54</v>
      </c>
      <c r="E1737" s="16" t="s">
        <v>193</v>
      </c>
      <c r="F1737" s="7" t="n">
        <v>8647.73</v>
      </c>
      <c r="G1737" s="16" t="s">
        <v>148</v>
      </c>
    </row>
    <row r="1738" customFormat="false" ht="15" hidden="false" customHeight="false" outlineLevel="0" collapsed="false">
      <c r="A1738" s="0" t="s">
        <v>187</v>
      </c>
      <c r="B1738" s="14" t="n">
        <v>45679</v>
      </c>
      <c r="C1738" s="16" t="s">
        <v>1781</v>
      </c>
      <c r="D1738" s="7" t="n">
        <v>-6.9</v>
      </c>
      <c r="E1738" s="16" t="s">
        <v>206</v>
      </c>
      <c r="F1738" s="7" t="n">
        <v>8979.27</v>
      </c>
      <c r="G1738" s="16" t="s">
        <v>182</v>
      </c>
    </row>
    <row r="1739" customFormat="false" ht="15" hidden="false" customHeight="false" outlineLevel="0" collapsed="false">
      <c r="A1739" s="0" t="s">
        <v>187</v>
      </c>
      <c r="B1739" s="14" t="n">
        <v>45679</v>
      </c>
      <c r="C1739" s="16" t="s">
        <v>1782</v>
      </c>
      <c r="D1739" s="7" t="n">
        <v>-16</v>
      </c>
      <c r="E1739" s="16" t="s">
        <v>206</v>
      </c>
      <c r="F1739" s="7" t="n">
        <v>8986.17</v>
      </c>
      <c r="G1739" s="16" t="s">
        <v>144</v>
      </c>
    </row>
    <row r="1740" customFormat="false" ht="15" hidden="false" customHeight="false" outlineLevel="0" collapsed="false">
      <c r="A1740" s="0" t="s">
        <v>187</v>
      </c>
      <c r="B1740" s="14" t="n">
        <v>45678</v>
      </c>
      <c r="C1740" s="16" t="s">
        <v>1733</v>
      </c>
      <c r="D1740" s="7" t="n">
        <v>-40</v>
      </c>
      <c r="E1740" s="16" t="s">
        <v>189</v>
      </c>
      <c r="F1740" s="7" t="n">
        <v>9002.17</v>
      </c>
      <c r="G1740" s="16" t="s">
        <v>123</v>
      </c>
    </row>
    <row r="1741" customFormat="false" ht="15" hidden="false" customHeight="false" outlineLevel="0" collapsed="false">
      <c r="A1741" s="0" t="s">
        <v>187</v>
      </c>
      <c r="B1741" s="14" t="n">
        <v>45678</v>
      </c>
      <c r="C1741" s="16" t="s">
        <v>1783</v>
      </c>
      <c r="D1741" s="7" t="n">
        <v>-5.99</v>
      </c>
      <c r="E1741" s="16" t="s">
        <v>206</v>
      </c>
      <c r="F1741" s="7" t="n">
        <v>9042.17</v>
      </c>
      <c r="G1741" s="16" t="s">
        <v>137</v>
      </c>
    </row>
    <row r="1742" customFormat="false" ht="15" hidden="false" customHeight="false" outlineLevel="0" collapsed="false">
      <c r="A1742" s="0" t="s">
        <v>187</v>
      </c>
      <c r="B1742" s="14" t="n">
        <v>45678</v>
      </c>
      <c r="C1742" s="16" t="s">
        <v>1784</v>
      </c>
      <c r="D1742" s="7" t="n">
        <v>-55</v>
      </c>
      <c r="E1742" s="16" t="s">
        <v>191</v>
      </c>
      <c r="F1742" s="7" t="n">
        <v>9048.16</v>
      </c>
      <c r="G1742" s="16" t="s">
        <v>74</v>
      </c>
    </row>
    <row r="1743" customFormat="false" ht="15" hidden="false" customHeight="false" outlineLevel="0" collapsed="false">
      <c r="A1743" s="0" t="s">
        <v>187</v>
      </c>
      <c r="B1743" s="14" t="n">
        <v>45678</v>
      </c>
      <c r="C1743" s="16" t="s">
        <v>1785</v>
      </c>
      <c r="D1743" s="7" t="n">
        <v>-150</v>
      </c>
      <c r="E1743" s="16" t="s">
        <v>193</v>
      </c>
      <c r="F1743" s="7" t="n">
        <v>9103.16</v>
      </c>
      <c r="G1743" s="16" t="s">
        <v>80</v>
      </c>
    </row>
    <row r="1744" customFormat="false" ht="15" hidden="false" customHeight="false" outlineLevel="0" collapsed="false">
      <c r="A1744" s="0" t="s">
        <v>187</v>
      </c>
      <c r="B1744" s="14" t="n">
        <v>45678</v>
      </c>
      <c r="C1744" s="16" t="s">
        <v>1786</v>
      </c>
      <c r="D1744" s="7" t="n">
        <v>-200</v>
      </c>
      <c r="E1744" s="16" t="s">
        <v>193</v>
      </c>
      <c r="F1744" s="7" t="n">
        <v>9253.16</v>
      </c>
      <c r="G1744" s="16" t="s">
        <v>80</v>
      </c>
    </row>
    <row r="1745" customFormat="false" ht="15" hidden="false" customHeight="false" outlineLevel="0" collapsed="false">
      <c r="A1745" s="0" t="s">
        <v>187</v>
      </c>
      <c r="B1745" s="14" t="n">
        <v>45678</v>
      </c>
      <c r="C1745" s="16" t="s">
        <v>1787</v>
      </c>
      <c r="D1745" s="7" t="n">
        <v>-2000</v>
      </c>
      <c r="E1745" s="16" t="s">
        <v>213</v>
      </c>
      <c r="F1745" s="7" t="n">
        <v>9453.16</v>
      </c>
      <c r="G1745" s="16" t="s">
        <v>96</v>
      </c>
    </row>
    <row r="1746" customFormat="false" ht="15" hidden="false" customHeight="false" outlineLevel="0" collapsed="false">
      <c r="A1746" s="0" t="s">
        <v>187</v>
      </c>
      <c r="B1746" s="14" t="n">
        <v>45678</v>
      </c>
      <c r="C1746" s="16" t="s">
        <v>1788</v>
      </c>
      <c r="D1746" s="7" t="n">
        <v>-2010.1</v>
      </c>
      <c r="E1746" s="16" t="s">
        <v>208</v>
      </c>
      <c r="F1746" s="7" t="n">
        <v>11453.16</v>
      </c>
    </row>
    <row r="1747" customFormat="false" ht="15" hidden="false" customHeight="false" outlineLevel="0" collapsed="false">
      <c r="A1747" s="0" t="s">
        <v>187</v>
      </c>
      <c r="B1747" s="14" t="n">
        <v>45678</v>
      </c>
      <c r="C1747" s="16" t="s">
        <v>1789</v>
      </c>
      <c r="D1747" s="7" t="n">
        <v>-761.25</v>
      </c>
      <c r="E1747" s="16" t="s">
        <v>206</v>
      </c>
      <c r="F1747" s="7" t="n">
        <v>13463.26</v>
      </c>
      <c r="G1747" s="16" t="s">
        <v>75</v>
      </c>
    </row>
    <row r="1748" customFormat="false" ht="15" hidden="false" customHeight="false" outlineLevel="0" collapsed="false">
      <c r="A1748" s="0" t="s">
        <v>187</v>
      </c>
      <c r="B1748" s="14" t="n">
        <v>45678</v>
      </c>
      <c r="C1748" s="16" t="s">
        <v>1790</v>
      </c>
      <c r="D1748" s="7" t="n">
        <v>-8.99</v>
      </c>
      <c r="E1748" s="16" t="s">
        <v>206</v>
      </c>
      <c r="F1748" s="7" t="n">
        <v>14224.51</v>
      </c>
      <c r="G1748" s="16" t="s">
        <v>144</v>
      </c>
    </row>
    <row r="1749" customFormat="false" ht="15" hidden="false" customHeight="false" outlineLevel="0" collapsed="false">
      <c r="A1749" s="0" t="s">
        <v>187</v>
      </c>
      <c r="B1749" s="14" t="n">
        <v>45678</v>
      </c>
      <c r="C1749" s="16" t="s">
        <v>1791</v>
      </c>
      <c r="D1749" s="7" t="n">
        <v>-96.5</v>
      </c>
      <c r="E1749" s="16" t="s">
        <v>206</v>
      </c>
      <c r="F1749" s="7" t="n">
        <v>14233.5</v>
      </c>
      <c r="G1749" s="16" t="s">
        <v>182</v>
      </c>
    </row>
    <row r="1750" customFormat="false" ht="15" hidden="false" customHeight="false" outlineLevel="0" collapsed="false">
      <c r="A1750" s="0" t="s">
        <v>187</v>
      </c>
      <c r="B1750" s="14" t="n">
        <v>45678</v>
      </c>
      <c r="C1750" s="16" t="s">
        <v>1792</v>
      </c>
      <c r="D1750" s="7" t="n">
        <v>-15</v>
      </c>
      <c r="E1750" s="16" t="s">
        <v>206</v>
      </c>
      <c r="F1750" s="7" t="n">
        <v>14330</v>
      </c>
      <c r="G1750" s="16" t="s">
        <v>182</v>
      </c>
    </row>
    <row r="1751" customFormat="false" ht="15" hidden="false" customHeight="false" outlineLevel="0" collapsed="false">
      <c r="A1751" s="0" t="s">
        <v>187</v>
      </c>
      <c r="B1751" s="14" t="n">
        <v>45678</v>
      </c>
      <c r="C1751" s="16" t="s">
        <v>1793</v>
      </c>
      <c r="D1751" s="7" t="n">
        <v>-62</v>
      </c>
      <c r="E1751" s="16" t="s">
        <v>206</v>
      </c>
      <c r="F1751" s="7" t="n">
        <v>14345</v>
      </c>
      <c r="G1751" s="16" t="s">
        <v>183</v>
      </c>
    </row>
    <row r="1752" customFormat="false" ht="15" hidden="false" customHeight="false" outlineLevel="0" collapsed="false">
      <c r="A1752" s="0" t="s">
        <v>187</v>
      </c>
      <c r="B1752" s="14" t="n">
        <v>45678</v>
      </c>
      <c r="C1752" s="16" t="s">
        <v>1794</v>
      </c>
      <c r="D1752" s="7" t="n">
        <v>-150</v>
      </c>
      <c r="E1752" s="16" t="s">
        <v>206</v>
      </c>
      <c r="F1752" s="7" t="n">
        <v>14407</v>
      </c>
      <c r="G1752" s="16" t="s">
        <v>183</v>
      </c>
    </row>
    <row r="1753" customFormat="false" ht="15" hidden="false" customHeight="false" outlineLevel="0" collapsed="false">
      <c r="A1753" s="0" t="s">
        <v>187</v>
      </c>
      <c r="B1753" s="14" t="n">
        <v>45678</v>
      </c>
      <c r="C1753" s="16" t="s">
        <v>1790</v>
      </c>
      <c r="D1753" s="7" t="n">
        <v>-9.99</v>
      </c>
      <c r="E1753" s="16" t="s">
        <v>206</v>
      </c>
      <c r="F1753" s="7" t="n">
        <v>14557</v>
      </c>
      <c r="G1753" s="16" t="s">
        <v>144</v>
      </c>
    </row>
    <row r="1754" customFormat="false" ht="15" hidden="false" customHeight="false" outlineLevel="0" collapsed="false">
      <c r="A1754" s="0" t="s">
        <v>187</v>
      </c>
      <c r="B1754" s="14" t="n">
        <v>45678</v>
      </c>
      <c r="C1754" s="16" t="s">
        <v>1795</v>
      </c>
      <c r="D1754" s="7" t="n">
        <v>-26.89</v>
      </c>
      <c r="E1754" s="16" t="s">
        <v>206</v>
      </c>
      <c r="F1754" s="7" t="n">
        <v>14566.99</v>
      </c>
      <c r="G1754" s="16" t="s">
        <v>144</v>
      </c>
    </row>
    <row r="1755" customFormat="false" ht="15" hidden="false" customHeight="false" outlineLevel="0" collapsed="false">
      <c r="A1755" s="0" t="s">
        <v>187</v>
      </c>
      <c r="B1755" s="14" t="n">
        <v>45678</v>
      </c>
      <c r="C1755" s="16" t="s">
        <v>1796</v>
      </c>
      <c r="D1755" s="7" t="n">
        <v>-2000</v>
      </c>
      <c r="E1755" s="16" t="s">
        <v>213</v>
      </c>
      <c r="F1755" s="7" t="n">
        <v>14593.88</v>
      </c>
      <c r="G1755" s="16" t="s">
        <v>96</v>
      </c>
    </row>
    <row r="1756" customFormat="false" ht="15" hidden="false" customHeight="false" outlineLevel="0" collapsed="false">
      <c r="A1756" s="0" t="s">
        <v>187</v>
      </c>
      <c r="B1756" s="14" t="n">
        <v>45678</v>
      </c>
      <c r="C1756" s="16" t="s">
        <v>1797</v>
      </c>
      <c r="D1756" s="7" t="n">
        <v>-15</v>
      </c>
      <c r="E1756" s="16" t="s">
        <v>206</v>
      </c>
      <c r="F1756" s="7" t="n">
        <v>16593.88</v>
      </c>
      <c r="G1756" s="16" t="s">
        <v>144</v>
      </c>
    </row>
    <row r="1757" customFormat="false" ht="15" hidden="false" customHeight="false" outlineLevel="0" collapsed="false">
      <c r="A1757" s="0" t="s">
        <v>187</v>
      </c>
      <c r="B1757" s="14" t="n">
        <v>45678</v>
      </c>
      <c r="C1757" s="16" t="s">
        <v>1798</v>
      </c>
      <c r="D1757" s="7" t="n">
        <v>-136.87</v>
      </c>
      <c r="E1757" s="16" t="s">
        <v>206</v>
      </c>
      <c r="F1757" s="7" t="n">
        <v>16608.88</v>
      </c>
      <c r="G1757" s="16" t="s">
        <v>136</v>
      </c>
    </row>
    <row r="1758" customFormat="false" ht="15" hidden="false" customHeight="false" outlineLevel="0" collapsed="false">
      <c r="A1758" s="0" t="s">
        <v>187</v>
      </c>
      <c r="B1758" s="14" t="n">
        <v>45678</v>
      </c>
      <c r="C1758" s="16" t="s">
        <v>1799</v>
      </c>
      <c r="D1758" s="7" t="n">
        <v>-350.4</v>
      </c>
      <c r="E1758" s="16" t="s">
        <v>206</v>
      </c>
      <c r="F1758" s="7" t="n">
        <v>16745.75</v>
      </c>
      <c r="G1758" s="16" t="s">
        <v>136</v>
      </c>
    </row>
    <row r="1759" customFormat="false" ht="15" hidden="false" customHeight="false" outlineLevel="0" collapsed="false">
      <c r="A1759" s="0" t="s">
        <v>187</v>
      </c>
      <c r="B1759" s="14" t="n">
        <v>45678</v>
      </c>
      <c r="C1759" s="16" t="s">
        <v>1800</v>
      </c>
      <c r="D1759" s="7" t="n">
        <v>-69.3</v>
      </c>
      <c r="E1759" s="16" t="s">
        <v>206</v>
      </c>
      <c r="F1759" s="7" t="n">
        <v>17096.15</v>
      </c>
      <c r="G1759" s="16" t="s">
        <v>182</v>
      </c>
    </row>
    <row r="1760" customFormat="false" ht="15" hidden="false" customHeight="false" outlineLevel="0" collapsed="false">
      <c r="A1760" s="0" t="s">
        <v>187</v>
      </c>
      <c r="B1760" s="14" t="n">
        <v>45678</v>
      </c>
      <c r="C1760" s="16" t="s">
        <v>1801</v>
      </c>
      <c r="D1760" s="7" t="n">
        <v>-1.5</v>
      </c>
      <c r="E1760" s="16" t="s">
        <v>206</v>
      </c>
      <c r="F1760" s="7" t="n">
        <v>17165.45</v>
      </c>
      <c r="G1760" s="16" t="s">
        <v>179</v>
      </c>
    </row>
    <row r="1761" customFormat="false" ht="15" hidden="false" customHeight="false" outlineLevel="0" collapsed="false">
      <c r="A1761" s="0" t="s">
        <v>187</v>
      </c>
      <c r="B1761" s="14" t="n">
        <v>45678</v>
      </c>
      <c r="C1761" s="16" t="s">
        <v>1802</v>
      </c>
      <c r="D1761" s="7" t="n">
        <v>-2.5</v>
      </c>
      <c r="E1761" s="16" t="s">
        <v>206</v>
      </c>
      <c r="F1761" s="7" t="n">
        <v>17166.95</v>
      </c>
      <c r="G1761" s="16" t="s">
        <v>179</v>
      </c>
    </row>
    <row r="1762" customFormat="false" ht="15" hidden="false" customHeight="false" outlineLevel="0" collapsed="false">
      <c r="A1762" s="0" t="s">
        <v>187</v>
      </c>
      <c r="B1762" s="14" t="n">
        <v>45678</v>
      </c>
      <c r="C1762" s="16" t="s">
        <v>1803</v>
      </c>
      <c r="D1762" s="7" t="n">
        <v>-7.99</v>
      </c>
      <c r="E1762" s="16" t="s">
        <v>206</v>
      </c>
      <c r="F1762" s="7" t="n">
        <v>17169.45</v>
      </c>
      <c r="G1762" s="16" t="s">
        <v>144</v>
      </c>
    </row>
    <row r="1763" customFormat="false" ht="15" hidden="false" customHeight="false" outlineLevel="0" collapsed="false">
      <c r="A1763" s="0" t="s">
        <v>187</v>
      </c>
      <c r="B1763" s="14" t="n">
        <v>45678</v>
      </c>
      <c r="C1763" s="16" t="s">
        <v>1804</v>
      </c>
      <c r="D1763" s="7" t="n">
        <v>-3.99</v>
      </c>
      <c r="E1763" s="16" t="s">
        <v>206</v>
      </c>
      <c r="F1763" s="7" t="n">
        <v>17177.44</v>
      </c>
      <c r="G1763" s="16" t="s">
        <v>144</v>
      </c>
    </row>
    <row r="1764" customFormat="false" ht="15" hidden="false" customHeight="false" outlineLevel="0" collapsed="false">
      <c r="A1764" s="0" t="s">
        <v>187</v>
      </c>
      <c r="B1764" s="14" t="n">
        <v>45678</v>
      </c>
      <c r="C1764" s="16" t="s">
        <v>1805</v>
      </c>
      <c r="D1764" s="7" t="n">
        <v>-22.5</v>
      </c>
      <c r="E1764" s="16" t="s">
        <v>193</v>
      </c>
      <c r="F1764" s="7" t="n">
        <v>17181.43</v>
      </c>
      <c r="G1764" s="16" t="s">
        <v>105</v>
      </c>
    </row>
    <row r="1765" customFormat="false" ht="15" hidden="false" customHeight="false" outlineLevel="0" collapsed="false">
      <c r="A1765" s="0" t="s">
        <v>187</v>
      </c>
      <c r="B1765" s="14" t="n">
        <v>45678</v>
      </c>
      <c r="C1765" s="16" t="s">
        <v>1806</v>
      </c>
      <c r="D1765" s="7" t="n">
        <v>-181.45</v>
      </c>
      <c r="E1765" s="16" t="s">
        <v>206</v>
      </c>
      <c r="F1765" s="7" t="n">
        <v>17203.93</v>
      </c>
      <c r="G1765" s="16" t="s">
        <v>182</v>
      </c>
    </row>
    <row r="1766" customFormat="false" ht="15" hidden="false" customHeight="false" outlineLevel="0" collapsed="false">
      <c r="A1766" s="0" t="s">
        <v>187</v>
      </c>
      <c r="B1766" s="14" t="n">
        <v>45678</v>
      </c>
      <c r="C1766" s="16" t="s">
        <v>1807</v>
      </c>
      <c r="D1766" s="7" t="n">
        <v>-150</v>
      </c>
      <c r="E1766" s="16" t="s">
        <v>215</v>
      </c>
      <c r="F1766" s="7" t="n">
        <v>17385.38</v>
      </c>
      <c r="G1766" s="16" t="s">
        <v>87</v>
      </c>
    </row>
    <row r="1767" customFormat="false" ht="15" hidden="false" customHeight="false" outlineLevel="0" collapsed="false">
      <c r="A1767" s="0" t="s">
        <v>187</v>
      </c>
      <c r="B1767" s="14" t="n">
        <v>45678</v>
      </c>
      <c r="C1767" s="16" t="s">
        <v>1808</v>
      </c>
      <c r="D1767" s="7" t="n">
        <v>-241.31</v>
      </c>
      <c r="E1767" s="16" t="s">
        <v>206</v>
      </c>
      <c r="F1767" s="7" t="n">
        <v>17535.38</v>
      </c>
      <c r="G1767" s="16" t="s">
        <v>182</v>
      </c>
    </row>
    <row r="1768" customFormat="false" ht="15" hidden="false" customHeight="false" outlineLevel="0" collapsed="false">
      <c r="A1768" s="0" t="s">
        <v>187</v>
      </c>
      <c r="B1768" s="14" t="n">
        <v>45678</v>
      </c>
      <c r="C1768" s="16" t="s">
        <v>1809</v>
      </c>
      <c r="D1768" s="7" t="n">
        <v>-9.99</v>
      </c>
      <c r="E1768" s="16" t="s">
        <v>206</v>
      </c>
      <c r="F1768" s="7" t="n">
        <v>17776.69</v>
      </c>
      <c r="G1768" s="16" t="s">
        <v>144</v>
      </c>
    </row>
    <row r="1769" customFormat="false" ht="15" hidden="false" customHeight="false" outlineLevel="0" collapsed="false">
      <c r="A1769" s="0" t="s">
        <v>187</v>
      </c>
      <c r="B1769" s="14" t="n">
        <v>45678</v>
      </c>
      <c r="C1769" s="16" t="s">
        <v>1810</v>
      </c>
      <c r="D1769" s="7" t="n">
        <v>-200</v>
      </c>
      <c r="E1769" s="16" t="s">
        <v>206</v>
      </c>
      <c r="F1769" s="7" t="n">
        <v>17786.68</v>
      </c>
      <c r="G1769" s="16" t="s">
        <v>72</v>
      </c>
    </row>
    <row r="1770" customFormat="false" ht="15" hidden="false" customHeight="false" outlineLevel="0" collapsed="false">
      <c r="A1770" s="0" t="s">
        <v>187</v>
      </c>
      <c r="B1770" s="14" t="n">
        <v>45674</v>
      </c>
      <c r="C1770" s="16" t="s">
        <v>1811</v>
      </c>
      <c r="D1770" s="7" t="n">
        <v>-135</v>
      </c>
      <c r="E1770" s="16" t="s">
        <v>193</v>
      </c>
      <c r="F1770" s="7" t="n">
        <v>17986.68</v>
      </c>
      <c r="G1770" s="16" t="s">
        <v>80</v>
      </c>
    </row>
    <row r="1771" customFormat="false" ht="15" hidden="false" customHeight="false" outlineLevel="0" collapsed="false">
      <c r="A1771" s="0" t="s">
        <v>187</v>
      </c>
      <c r="B1771" s="14" t="n">
        <v>45674</v>
      </c>
      <c r="C1771" s="16" t="s">
        <v>1812</v>
      </c>
      <c r="D1771" s="7" t="n">
        <v>-15.9</v>
      </c>
      <c r="E1771" s="16" t="s">
        <v>206</v>
      </c>
      <c r="F1771" s="7" t="n">
        <v>18121.68</v>
      </c>
      <c r="G1771" s="16" t="s">
        <v>182</v>
      </c>
    </row>
    <row r="1772" customFormat="false" ht="15" hidden="false" customHeight="false" outlineLevel="0" collapsed="false">
      <c r="A1772" s="0" t="s">
        <v>187</v>
      </c>
      <c r="B1772" s="14" t="n">
        <v>45674</v>
      </c>
      <c r="C1772" s="16" t="s">
        <v>1813</v>
      </c>
      <c r="D1772" s="7" t="n">
        <v>-69.99</v>
      </c>
      <c r="E1772" s="16" t="s">
        <v>206</v>
      </c>
      <c r="F1772" s="7" t="n">
        <v>18137.58</v>
      </c>
      <c r="G1772" s="16" t="s">
        <v>67</v>
      </c>
    </row>
    <row r="1773" customFormat="false" ht="15" hidden="false" customHeight="false" outlineLevel="0" collapsed="false">
      <c r="A1773" s="0" t="s">
        <v>187</v>
      </c>
      <c r="B1773" s="14" t="n">
        <v>45674</v>
      </c>
      <c r="C1773" s="16" t="s">
        <v>1814</v>
      </c>
      <c r="D1773" s="7" t="n">
        <v>-99.99</v>
      </c>
      <c r="E1773" s="16" t="s">
        <v>206</v>
      </c>
      <c r="F1773" s="7" t="n">
        <v>18207.57</v>
      </c>
      <c r="G1773" s="16" t="s">
        <v>144</v>
      </c>
    </row>
    <row r="1774" customFormat="false" ht="15" hidden="false" customHeight="false" outlineLevel="0" collapsed="false">
      <c r="A1774" s="0" t="s">
        <v>187</v>
      </c>
      <c r="B1774" s="14" t="n">
        <v>45673</v>
      </c>
      <c r="C1774" s="16" t="s">
        <v>188</v>
      </c>
      <c r="D1774" s="7" t="n">
        <v>-5</v>
      </c>
      <c r="E1774" s="16" t="s">
        <v>189</v>
      </c>
      <c r="F1774" s="7" t="n">
        <v>18307.56</v>
      </c>
      <c r="G1774" s="16" t="s">
        <v>65</v>
      </c>
    </row>
    <row r="1775" customFormat="false" ht="15" hidden="false" customHeight="false" outlineLevel="0" collapsed="false">
      <c r="A1775" s="0" t="s">
        <v>187</v>
      </c>
      <c r="B1775" s="14" t="n">
        <v>45673</v>
      </c>
      <c r="C1775" s="16" t="s">
        <v>1733</v>
      </c>
      <c r="D1775" s="7" t="n">
        <v>-40</v>
      </c>
      <c r="E1775" s="16" t="s">
        <v>189</v>
      </c>
      <c r="F1775" s="7" t="n">
        <v>18312.56</v>
      </c>
      <c r="G1775" s="16" t="s">
        <v>123</v>
      </c>
    </row>
    <row r="1776" customFormat="false" ht="15" hidden="false" customHeight="false" outlineLevel="0" collapsed="false">
      <c r="A1776" s="0" t="s">
        <v>187</v>
      </c>
      <c r="B1776" s="14" t="n">
        <v>45673</v>
      </c>
      <c r="C1776" s="16" t="s">
        <v>1815</v>
      </c>
      <c r="D1776" s="7" t="n">
        <v>-750</v>
      </c>
      <c r="E1776" s="16" t="s">
        <v>191</v>
      </c>
      <c r="F1776" s="7" t="n">
        <v>18352.56</v>
      </c>
      <c r="G1776" s="16" t="s">
        <v>65</v>
      </c>
    </row>
    <row r="1777" customFormat="false" ht="15" hidden="false" customHeight="false" outlineLevel="0" collapsed="false">
      <c r="A1777" s="0" t="s">
        <v>187</v>
      </c>
      <c r="B1777" s="14" t="n">
        <v>45673</v>
      </c>
      <c r="C1777" s="16" t="s">
        <v>1816</v>
      </c>
      <c r="D1777" s="7" t="n">
        <v>-103.81</v>
      </c>
      <c r="E1777" s="16" t="s">
        <v>193</v>
      </c>
      <c r="F1777" s="7" t="n">
        <v>19102.56</v>
      </c>
      <c r="G1777" s="16" t="s">
        <v>151</v>
      </c>
    </row>
    <row r="1778" customFormat="false" ht="15" hidden="false" customHeight="false" outlineLevel="0" collapsed="false">
      <c r="A1778" s="0" t="s">
        <v>187</v>
      </c>
      <c r="B1778" s="14" t="n">
        <v>45673</v>
      </c>
      <c r="C1778" s="16" t="s">
        <v>1817</v>
      </c>
      <c r="D1778" s="7" t="n">
        <v>-105</v>
      </c>
      <c r="E1778" s="16" t="s">
        <v>193</v>
      </c>
      <c r="F1778" s="7" t="n">
        <v>19206.37</v>
      </c>
      <c r="G1778" s="16" t="s">
        <v>105</v>
      </c>
    </row>
    <row r="1779" customFormat="false" ht="15" hidden="false" customHeight="false" outlineLevel="0" collapsed="false">
      <c r="A1779" s="0" t="s">
        <v>187</v>
      </c>
      <c r="B1779" s="14" t="n">
        <v>45673</v>
      </c>
      <c r="C1779" s="16" t="s">
        <v>1818</v>
      </c>
      <c r="D1779" s="7" t="n">
        <v>-9180</v>
      </c>
      <c r="E1779" s="16" t="s">
        <v>193</v>
      </c>
      <c r="F1779" s="7" t="n">
        <v>19311.37</v>
      </c>
      <c r="G1779" s="16" t="s">
        <v>105</v>
      </c>
    </row>
    <row r="1780" customFormat="false" ht="15" hidden="false" customHeight="false" outlineLevel="0" collapsed="false">
      <c r="A1780" s="0" t="s">
        <v>187</v>
      </c>
      <c r="B1780" s="14" t="n">
        <v>45673</v>
      </c>
      <c r="C1780" s="16" t="s">
        <v>1819</v>
      </c>
      <c r="D1780" s="7" t="n">
        <v>-750</v>
      </c>
      <c r="E1780" s="16" t="s">
        <v>191</v>
      </c>
      <c r="F1780" s="7" t="n">
        <v>28491.37</v>
      </c>
      <c r="G1780" s="16" t="s">
        <v>74</v>
      </c>
    </row>
    <row r="1781" customFormat="false" ht="15" hidden="false" customHeight="false" outlineLevel="0" collapsed="false">
      <c r="A1781" s="0" t="s">
        <v>187</v>
      </c>
      <c r="B1781" s="14" t="n">
        <v>45673</v>
      </c>
      <c r="C1781" s="16" t="s">
        <v>1820</v>
      </c>
      <c r="D1781" s="7" t="n">
        <v>-4.35</v>
      </c>
      <c r="E1781" s="16" t="s">
        <v>206</v>
      </c>
      <c r="F1781" s="7" t="n">
        <v>29241.37</v>
      </c>
      <c r="G1781" s="16" t="s">
        <v>139</v>
      </c>
    </row>
    <row r="1782" customFormat="false" ht="15" hidden="false" customHeight="false" outlineLevel="0" collapsed="false">
      <c r="A1782" s="0" t="s">
        <v>187</v>
      </c>
      <c r="B1782" s="14" t="n">
        <v>45672</v>
      </c>
      <c r="C1782" s="16" t="s">
        <v>1821</v>
      </c>
      <c r="D1782" s="7" t="n">
        <v>-457.13</v>
      </c>
      <c r="E1782" s="16" t="s">
        <v>193</v>
      </c>
      <c r="F1782" s="7" t="n">
        <v>29245.72</v>
      </c>
      <c r="G1782" s="16" t="s">
        <v>145</v>
      </c>
    </row>
    <row r="1783" customFormat="false" ht="15" hidden="false" customHeight="false" outlineLevel="0" collapsed="false">
      <c r="A1783" s="0" t="s">
        <v>187</v>
      </c>
      <c r="B1783" s="14" t="n">
        <v>45672</v>
      </c>
      <c r="C1783" s="16" t="s">
        <v>1822</v>
      </c>
      <c r="D1783" s="7" t="n">
        <v>-400</v>
      </c>
      <c r="E1783" s="16" t="s">
        <v>215</v>
      </c>
      <c r="F1783" s="7" t="n">
        <v>29702.85</v>
      </c>
      <c r="G1783" s="16" t="s">
        <v>92</v>
      </c>
    </row>
    <row r="1784" customFormat="false" ht="15" hidden="false" customHeight="false" outlineLevel="0" collapsed="false">
      <c r="A1784" s="0" t="s">
        <v>187</v>
      </c>
      <c r="B1784" s="14" t="n">
        <v>45672</v>
      </c>
      <c r="C1784" s="16" t="s">
        <v>1823</v>
      </c>
      <c r="D1784" s="7" t="n">
        <v>-400</v>
      </c>
      <c r="E1784" s="16" t="s">
        <v>215</v>
      </c>
      <c r="F1784" s="7" t="n">
        <v>30102.85</v>
      </c>
      <c r="G1784" s="16" t="s">
        <v>92</v>
      </c>
    </row>
    <row r="1785" customFormat="false" ht="15" hidden="false" customHeight="false" outlineLevel="0" collapsed="false">
      <c r="A1785" s="0" t="s">
        <v>187</v>
      </c>
      <c r="B1785" s="14" t="n">
        <v>45672</v>
      </c>
      <c r="C1785" s="16" t="s">
        <v>1824</v>
      </c>
      <c r="D1785" s="7" t="n">
        <v>-3000</v>
      </c>
      <c r="E1785" s="16" t="s">
        <v>213</v>
      </c>
      <c r="F1785" s="7" t="n">
        <v>30502.85</v>
      </c>
      <c r="G1785" s="16" t="s">
        <v>96</v>
      </c>
    </row>
    <row r="1786" customFormat="false" ht="15" hidden="false" customHeight="false" outlineLevel="0" collapsed="false">
      <c r="A1786" s="0" t="s">
        <v>187</v>
      </c>
      <c r="B1786" s="14" t="n">
        <v>45672</v>
      </c>
      <c r="C1786" s="16" t="s">
        <v>1825</v>
      </c>
      <c r="D1786" s="7" t="n">
        <v>-199</v>
      </c>
      <c r="E1786" s="16" t="s">
        <v>206</v>
      </c>
      <c r="F1786" s="7" t="n">
        <v>33502.85</v>
      </c>
      <c r="G1786" s="16" t="s">
        <v>183</v>
      </c>
    </row>
    <row r="1787" customFormat="false" ht="15" hidden="false" customHeight="false" outlineLevel="0" collapsed="false">
      <c r="A1787" s="0" t="s">
        <v>187</v>
      </c>
      <c r="B1787" s="14" t="n">
        <v>45672</v>
      </c>
      <c r="C1787" s="16" t="s">
        <v>1826</v>
      </c>
      <c r="D1787" s="7" t="n">
        <v>-5.99</v>
      </c>
      <c r="E1787" s="16" t="s">
        <v>206</v>
      </c>
      <c r="F1787" s="7" t="n">
        <v>33701.85</v>
      </c>
      <c r="G1787" s="16" t="s">
        <v>144</v>
      </c>
    </row>
    <row r="1788" customFormat="false" ht="15" hidden="false" customHeight="false" outlineLevel="0" collapsed="false">
      <c r="A1788" s="0" t="s">
        <v>187</v>
      </c>
      <c r="B1788" s="14" t="n">
        <v>45672</v>
      </c>
      <c r="C1788" s="16" t="s">
        <v>1827</v>
      </c>
      <c r="D1788" s="7" t="n">
        <v>-1.99</v>
      </c>
      <c r="E1788" s="16" t="s">
        <v>206</v>
      </c>
      <c r="F1788" s="7" t="n">
        <v>33707.84</v>
      </c>
      <c r="G1788" s="16" t="s">
        <v>144</v>
      </c>
    </row>
    <row r="1789" customFormat="false" ht="15" hidden="false" customHeight="false" outlineLevel="0" collapsed="false">
      <c r="A1789" s="0" t="s">
        <v>187</v>
      </c>
      <c r="B1789" s="14" t="n">
        <v>45672</v>
      </c>
      <c r="C1789" s="16" t="s">
        <v>1828</v>
      </c>
      <c r="D1789" s="7" t="n">
        <v>-10.99</v>
      </c>
      <c r="E1789" s="16" t="s">
        <v>206</v>
      </c>
      <c r="F1789" s="7" t="n">
        <v>33709.83</v>
      </c>
      <c r="G1789" s="16" t="s">
        <v>144</v>
      </c>
    </row>
    <row r="1790" customFormat="false" ht="15" hidden="false" customHeight="false" outlineLevel="0" collapsed="false">
      <c r="A1790" s="0" t="s">
        <v>187</v>
      </c>
      <c r="B1790" s="14" t="n">
        <v>45672</v>
      </c>
      <c r="C1790" s="16" t="s">
        <v>1829</v>
      </c>
      <c r="D1790" s="7" t="n">
        <v>-39.34</v>
      </c>
      <c r="E1790" s="16" t="s">
        <v>206</v>
      </c>
      <c r="F1790" s="7" t="n">
        <v>33720.82</v>
      </c>
      <c r="G1790" s="16" t="s">
        <v>182</v>
      </c>
    </row>
    <row r="1791" customFormat="false" ht="15" hidden="false" customHeight="false" outlineLevel="0" collapsed="false">
      <c r="A1791" s="0" t="s">
        <v>187</v>
      </c>
      <c r="B1791" s="14" t="n">
        <v>45671</v>
      </c>
      <c r="C1791" s="16" t="s">
        <v>1830</v>
      </c>
      <c r="D1791" s="7" t="n">
        <v>-250</v>
      </c>
      <c r="E1791" s="16" t="s">
        <v>193</v>
      </c>
      <c r="F1791" s="7" t="n">
        <v>33760.16</v>
      </c>
      <c r="G1791" s="16" t="s">
        <v>80</v>
      </c>
    </row>
    <row r="1792" customFormat="false" ht="15" hidden="false" customHeight="false" outlineLevel="0" collapsed="false">
      <c r="A1792" s="0" t="s">
        <v>187</v>
      </c>
      <c r="B1792" s="14" t="n">
        <v>45671</v>
      </c>
      <c r="C1792" s="16" t="s">
        <v>1831</v>
      </c>
      <c r="D1792" s="7" t="n">
        <v>-520</v>
      </c>
      <c r="E1792" s="16" t="s">
        <v>206</v>
      </c>
      <c r="F1792" s="7" t="n">
        <v>34010.16</v>
      </c>
      <c r="G1792" s="16" t="s">
        <v>67</v>
      </c>
    </row>
    <row r="1793" customFormat="false" ht="15" hidden="false" customHeight="false" outlineLevel="0" collapsed="false">
      <c r="A1793" s="0" t="s">
        <v>187</v>
      </c>
      <c r="B1793" s="14" t="n">
        <v>45670</v>
      </c>
      <c r="C1793" s="16" t="s">
        <v>1832</v>
      </c>
      <c r="D1793" s="7" t="n">
        <v>-100</v>
      </c>
      <c r="E1793" s="16" t="s">
        <v>193</v>
      </c>
      <c r="F1793" s="7" t="n">
        <v>34530.16</v>
      </c>
      <c r="G1793" s="16" t="s">
        <v>80</v>
      </c>
    </row>
    <row r="1794" customFormat="false" ht="15" hidden="false" customHeight="false" outlineLevel="0" collapsed="false">
      <c r="A1794" s="0" t="s">
        <v>187</v>
      </c>
      <c r="B1794" s="14" t="n">
        <v>45670</v>
      </c>
      <c r="C1794" s="16" t="s">
        <v>1833</v>
      </c>
      <c r="D1794" s="7" t="n">
        <v>-200</v>
      </c>
      <c r="E1794" s="16" t="s">
        <v>193</v>
      </c>
      <c r="F1794" s="7" t="n">
        <v>34630.16</v>
      </c>
      <c r="G1794" s="16" t="s">
        <v>80</v>
      </c>
    </row>
    <row r="1795" customFormat="false" ht="15" hidden="false" customHeight="false" outlineLevel="0" collapsed="false">
      <c r="A1795" s="0" t="s">
        <v>187</v>
      </c>
      <c r="B1795" s="14" t="n">
        <v>45670</v>
      </c>
      <c r="C1795" s="16" t="s">
        <v>1834</v>
      </c>
      <c r="D1795" s="7" t="n">
        <v>-18.99</v>
      </c>
      <c r="E1795" s="16" t="s">
        <v>206</v>
      </c>
      <c r="F1795" s="7" t="n">
        <v>34830.16</v>
      </c>
      <c r="G1795" s="16" t="s">
        <v>144</v>
      </c>
    </row>
    <row r="1796" customFormat="false" ht="15" hidden="false" customHeight="false" outlineLevel="0" collapsed="false">
      <c r="A1796" s="0" t="s">
        <v>187</v>
      </c>
      <c r="B1796" s="14" t="n">
        <v>45670</v>
      </c>
      <c r="C1796" s="16" t="s">
        <v>1835</v>
      </c>
      <c r="D1796" s="7" t="n">
        <v>-11.99</v>
      </c>
      <c r="E1796" s="16" t="s">
        <v>206</v>
      </c>
      <c r="F1796" s="7" t="n">
        <v>34849.15</v>
      </c>
      <c r="G1796" s="16" t="s">
        <v>144</v>
      </c>
    </row>
    <row r="1797" customFormat="false" ht="15" hidden="false" customHeight="false" outlineLevel="0" collapsed="false">
      <c r="A1797" s="0" t="s">
        <v>187</v>
      </c>
      <c r="B1797" s="14" t="n">
        <v>45670</v>
      </c>
      <c r="C1797" s="16" t="s">
        <v>1836</v>
      </c>
      <c r="D1797" s="7" t="n">
        <v>-1000</v>
      </c>
      <c r="E1797" s="16" t="s">
        <v>215</v>
      </c>
      <c r="F1797" s="7" t="n">
        <v>34861.14</v>
      </c>
      <c r="G1797" s="16" t="s">
        <v>86</v>
      </c>
    </row>
    <row r="1798" customFormat="false" ht="15" hidden="false" customHeight="false" outlineLevel="0" collapsed="false">
      <c r="A1798" s="0" t="s">
        <v>187</v>
      </c>
      <c r="B1798" s="14" t="n">
        <v>45670</v>
      </c>
      <c r="C1798" s="16" t="s">
        <v>1837</v>
      </c>
      <c r="D1798" s="7" t="n">
        <v>-100</v>
      </c>
      <c r="E1798" s="16" t="s">
        <v>215</v>
      </c>
      <c r="F1798" s="7" t="n">
        <v>35861.14</v>
      </c>
      <c r="G1798" s="16" t="s">
        <v>87</v>
      </c>
    </row>
    <row r="1799" customFormat="false" ht="15" hidden="false" customHeight="false" outlineLevel="0" collapsed="false">
      <c r="A1799" s="0" t="s">
        <v>187</v>
      </c>
      <c r="B1799" s="14" t="n">
        <v>45670</v>
      </c>
      <c r="C1799" s="16" t="s">
        <v>1838</v>
      </c>
      <c r="D1799" s="7" t="n">
        <v>-8.99</v>
      </c>
      <c r="E1799" s="16" t="s">
        <v>206</v>
      </c>
      <c r="F1799" s="7" t="n">
        <v>35961.14</v>
      </c>
      <c r="G1799" s="16" t="s">
        <v>144</v>
      </c>
    </row>
    <row r="1800" customFormat="false" ht="15" hidden="false" customHeight="false" outlineLevel="0" collapsed="false">
      <c r="A1800" s="0" t="s">
        <v>187</v>
      </c>
      <c r="B1800" s="14" t="n">
        <v>45670</v>
      </c>
      <c r="C1800" s="16" t="s">
        <v>1839</v>
      </c>
      <c r="D1800" s="7" t="n">
        <v>-171.21</v>
      </c>
      <c r="E1800" s="16" t="s">
        <v>193</v>
      </c>
      <c r="F1800" s="7" t="n">
        <v>35970.13</v>
      </c>
      <c r="G1800" s="16" t="s">
        <v>142</v>
      </c>
    </row>
    <row r="1801" customFormat="false" ht="15" hidden="false" customHeight="false" outlineLevel="0" collapsed="false">
      <c r="A1801" s="0" t="s">
        <v>187</v>
      </c>
      <c r="B1801" s="14" t="n">
        <v>45670</v>
      </c>
      <c r="C1801" s="16" t="s">
        <v>1840</v>
      </c>
      <c r="D1801" s="7" t="n">
        <v>-1249.96</v>
      </c>
      <c r="E1801" s="16" t="s">
        <v>193</v>
      </c>
      <c r="F1801" s="7" t="n">
        <v>36141.34</v>
      </c>
      <c r="G1801" s="16" t="s">
        <v>179</v>
      </c>
    </row>
    <row r="1802" customFormat="false" ht="15" hidden="false" customHeight="false" outlineLevel="0" collapsed="false">
      <c r="A1802" s="0" t="s">
        <v>187</v>
      </c>
      <c r="B1802" s="14" t="n">
        <v>45670</v>
      </c>
      <c r="C1802" s="16" t="s">
        <v>1841</v>
      </c>
      <c r="D1802" s="7" t="n">
        <v>-22</v>
      </c>
      <c r="E1802" s="16" t="s">
        <v>206</v>
      </c>
      <c r="F1802" s="7" t="n">
        <v>37391.3</v>
      </c>
      <c r="G1802" s="16" t="s">
        <v>144</v>
      </c>
    </row>
    <row r="1803" customFormat="false" ht="15" hidden="false" customHeight="false" outlineLevel="0" collapsed="false">
      <c r="A1803" s="0" t="s">
        <v>187</v>
      </c>
      <c r="B1803" s="14" t="n">
        <v>45670</v>
      </c>
      <c r="C1803" s="16" t="s">
        <v>1842</v>
      </c>
      <c r="D1803" s="7" t="n">
        <v>-199</v>
      </c>
      <c r="E1803" s="16" t="s">
        <v>206</v>
      </c>
      <c r="F1803" s="7" t="n">
        <v>37413.3</v>
      </c>
      <c r="G1803" s="16" t="s">
        <v>79</v>
      </c>
    </row>
    <row r="1804" customFormat="false" ht="15" hidden="false" customHeight="false" outlineLevel="0" collapsed="false">
      <c r="A1804" s="0" t="s">
        <v>187</v>
      </c>
      <c r="B1804" s="14" t="n">
        <v>45667</v>
      </c>
      <c r="C1804" s="16" t="s">
        <v>1843</v>
      </c>
      <c r="D1804" s="7" t="n">
        <v>-1200</v>
      </c>
      <c r="E1804" s="16" t="s">
        <v>193</v>
      </c>
      <c r="F1804" s="7" t="n">
        <v>37612.3</v>
      </c>
      <c r="G1804" s="16" t="s">
        <v>113</v>
      </c>
    </row>
    <row r="1805" customFormat="false" ht="15" hidden="false" customHeight="false" outlineLevel="0" collapsed="false">
      <c r="A1805" s="0" t="s">
        <v>187</v>
      </c>
      <c r="B1805" s="14" t="n">
        <v>45667</v>
      </c>
      <c r="C1805" s="16" t="s">
        <v>1844</v>
      </c>
      <c r="D1805" s="7" t="n">
        <v>-1200</v>
      </c>
      <c r="E1805" s="16" t="s">
        <v>193</v>
      </c>
      <c r="F1805" s="7" t="n">
        <v>38812.3</v>
      </c>
      <c r="G1805" s="16" t="s">
        <v>113</v>
      </c>
    </row>
    <row r="1806" customFormat="false" ht="15" hidden="false" customHeight="false" outlineLevel="0" collapsed="false">
      <c r="A1806" s="0" t="s">
        <v>187</v>
      </c>
      <c r="B1806" s="14" t="n">
        <v>45667</v>
      </c>
      <c r="C1806" s="16" t="s">
        <v>1845</v>
      </c>
      <c r="D1806" s="7" t="n">
        <v>-46.83</v>
      </c>
      <c r="E1806" s="16" t="s">
        <v>206</v>
      </c>
      <c r="F1806" s="7" t="n">
        <v>40012.3</v>
      </c>
      <c r="G1806" s="16" t="s">
        <v>144</v>
      </c>
    </row>
    <row r="1807" customFormat="false" ht="15" hidden="false" customHeight="false" outlineLevel="0" collapsed="false">
      <c r="A1807" s="0" t="s">
        <v>187</v>
      </c>
      <c r="B1807" s="14" t="n">
        <v>45667</v>
      </c>
      <c r="C1807" s="16" t="s">
        <v>1846</v>
      </c>
      <c r="D1807" s="7" t="n">
        <v>-2000</v>
      </c>
      <c r="E1807" s="16" t="s">
        <v>213</v>
      </c>
      <c r="F1807" s="7" t="n">
        <v>40059.13</v>
      </c>
      <c r="G1807" s="16" t="s">
        <v>96</v>
      </c>
    </row>
    <row r="1808" customFormat="false" ht="15" hidden="false" customHeight="false" outlineLevel="0" collapsed="false">
      <c r="A1808" s="0" t="s">
        <v>187</v>
      </c>
      <c r="B1808" s="14" t="n">
        <v>45667</v>
      </c>
      <c r="C1808" s="16" t="s">
        <v>1847</v>
      </c>
      <c r="D1808" s="7" t="n">
        <v>-17.99</v>
      </c>
      <c r="E1808" s="16" t="s">
        <v>206</v>
      </c>
      <c r="F1808" s="7" t="n">
        <v>42059.13</v>
      </c>
      <c r="G1808" s="16" t="s">
        <v>144</v>
      </c>
    </row>
    <row r="1809" customFormat="false" ht="15" hidden="false" customHeight="false" outlineLevel="0" collapsed="false">
      <c r="A1809" s="0" t="s">
        <v>187</v>
      </c>
      <c r="B1809" s="14" t="n">
        <v>45667</v>
      </c>
      <c r="C1809" s="16" t="s">
        <v>1847</v>
      </c>
      <c r="D1809" s="7" t="n">
        <v>-11.99</v>
      </c>
      <c r="E1809" s="16" t="s">
        <v>206</v>
      </c>
      <c r="F1809" s="7" t="n">
        <v>42077.12</v>
      </c>
      <c r="G1809" s="16" t="s">
        <v>144</v>
      </c>
    </row>
    <row r="1810" customFormat="false" ht="15" hidden="false" customHeight="false" outlineLevel="0" collapsed="false">
      <c r="A1810" s="0" t="s">
        <v>187</v>
      </c>
      <c r="B1810" s="14" t="n">
        <v>45665</v>
      </c>
      <c r="C1810" s="16" t="s">
        <v>1848</v>
      </c>
      <c r="D1810" s="7" t="n">
        <v>-1400</v>
      </c>
      <c r="E1810" s="16" t="s">
        <v>215</v>
      </c>
      <c r="F1810" s="7" t="n">
        <v>42089.11</v>
      </c>
      <c r="G1810" s="16" t="s">
        <v>86</v>
      </c>
    </row>
    <row r="1811" customFormat="false" ht="15" hidden="false" customHeight="false" outlineLevel="0" collapsed="false">
      <c r="A1811" s="0" t="s">
        <v>187</v>
      </c>
      <c r="B1811" s="14" t="n">
        <v>45665</v>
      </c>
      <c r="C1811" s="16" t="s">
        <v>1849</v>
      </c>
      <c r="D1811" s="7" t="n">
        <v>-1000</v>
      </c>
      <c r="E1811" s="16" t="s">
        <v>193</v>
      </c>
      <c r="F1811" s="7" t="n">
        <v>43489.11</v>
      </c>
      <c r="G1811" s="16" t="s">
        <v>80</v>
      </c>
    </row>
    <row r="1812" customFormat="false" ht="15" hidden="false" customHeight="false" outlineLevel="0" collapsed="false">
      <c r="A1812" s="0" t="s">
        <v>187</v>
      </c>
      <c r="B1812" s="14" t="n">
        <v>45665</v>
      </c>
      <c r="C1812" s="16" t="s">
        <v>1850</v>
      </c>
      <c r="D1812" s="7" t="n">
        <v>-1000</v>
      </c>
      <c r="E1812" s="16" t="s">
        <v>213</v>
      </c>
      <c r="F1812" s="7" t="n">
        <v>44489.11</v>
      </c>
      <c r="G1812" s="16" t="s">
        <v>97</v>
      </c>
    </row>
    <row r="1813" customFormat="false" ht="15" hidden="false" customHeight="false" outlineLevel="0" collapsed="false">
      <c r="A1813" s="0" t="s">
        <v>187</v>
      </c>
      <c r="B1813" s="14" t="n">
        <v>45665</v>
      </c>
      <c r="C1813" s="16" t="s">
        <v>1851</v>
      </c>
      <c r="D1813" s="7" t="n">
        <v>-1700</v>
      </c>
      <c r="E1813" s="16" t="s">
        <v>215</v>
      </c>
      <c r="F1813" s="7" t="n">
        <v>45489.11</v>
      </c>
      <c r="G1813" s="16" t="s">
        <v>82</v>
      </c>
    </row>
    <row r="1814" customFormat="false" ht="15" hidden="false" customHeight="false" outlineLevel="0" collapsed="false">
      <c r="A1814" s="0" t="s">
        <v>187</v>
      </c>
      <c r="B1814" s="14" t="n">
        <v>45665</v>
      </c>
      <c r="C1814" s="16" t="s">
        <v>1852</v>
      </c>
      <c r="D1814" s="7" t="n">
        <v>-1000</v>
      </c>
      <c r="E1814" s="16" t="s">
        <v>213</v>
      </c>
      <c r="F1814" s="7" t="n">
        <v>47189.11</v>
      </c>
      <c r="G1814" s="16" t="s">
        <v>185</v>
      </c>
    </row>
    <row r="1815" customFormat="false" ht="15" hidden="false" customHeight="false" outlineLevel="0" collapsed="false">
      <c r="A1815" s="0" t="s">
        <v>187</v>
      </c>
      <c r="B1815" s="14" t="n">
        <v>45665</v>
      </c>
      <c r="C1815" s="16" t="s">
        <v>1853</v>
      </c>
      <c r="D1815" s="7" t="n">
        <v>-1.33</v>
      </c>
      <c r="E1815" s="16" t="s">
        <v>206</v>
      </c>
      <c r="F1815" s="7" t="n">
        <v>48189.11</v>
      </c>
      <c r="G1815" s="16" t="s">
        <v>79</v>
      </c>
    </row>
    <row r="1816" customFormat="false" ht="15" hidden="false" customHeight="false" outlineLevel="0" collapsed="false">
      <c r="A1816" s="0" t="s">
        <v>187</v>
      </c>
      <c r="B1816" s="14" t="n">
        <v>45664</v>
      </c>
      <c r="C1816" s="16" t="s">
        <v>1854</v>
      </c>
      <c r="D1816" s="7" t="n">
        <v>-150</v>
      </c>
      <c r="E1816" s="16" t="s">
        <v>215</v>
      </c>
      <c r="F1816" s="7" t="n">
        <v>48190.44</v>
      </c>
      <c r="G1816" s="16" t="s">
        <v>87</v>
      </c>
    </row>
    <row r="1817" customFormat="false" ht="15" hidden="false" customHeight="false" outlineLevel="0" collapsed="false">
      <c r="A1817" s="0" t="s">
        <v>187</v>
      </c>
      <c r="B1817" s="14" t="n">
        <v>45664</v>
      </c>
      <c r="C1817" s="16" t="s">
        <v>1855</v>
      </c>
      <c r="D1817" s="7" t="n">
        <v>-800</v>
      </c>
      <c r="E1817" s="16" t="s">
        <v>215</v>
      </c>
      <c r="F1817" s="7" t="n">
        <v>48340.44</v>
      </c>
      <c r="G1817" s="16" t="s">
        <v>84</v>
      </c>
    </row>
    <row r="1818" customFormat="false" ht="15" hidden="false" customHeight="false" outlineLevel="0" collapsed="false">
      <c r="A1818" s="0" t="s">
        <v>187</v>
      </c>
      <c r="B1818" s="14" t="n">
        <v>45664</v>
      </c>
      <c r="C1818" s="16" t="s">
        <v>1856</v>
      </c>
      <c r="D1818" s="7" t="n">
        <v>-150</v>
      </c>
      <c r="E1818" s="16" t="s">
        <v>206</v>
      </c>
      <c r="F1818" s="7" t="n">
        <v>49140.44</v>
      </c>
      <c r="G1818" s="16" t="s">
        <v>72</v>
      </c>
    </row>
    <row r="1819" customFormat="false" ht="15" hidden="false" customHeight="false" outlineLevel="0" collapsed="false">
      <c r="A1819" s="0" t="s">
        <v>187</v>
      </c>
      <c r="B1819" s="14" t="n">
        <v>45664</v>
      </c>
      <c r="C1819" s="16" t="s">
        <v>1857</v>
      </c>
      <c r="D1819" s="7" t="n">
        <v>-139.99</v>
      </c>
      <c r="E1819" s="16" t="s">
        <v>206</v>
      </c>
      <c r="F1819" s="7" t="n">
        <v>49290.44</v>
      </c>
      <c r="G1819" s="16" t="s">
        <v>144</v>
      </c>
    </row>
    <row r="1820" customFormat="false" ht="15" hidden="false" customHeight="false" outlineLevel="0" collapsed="false">
      <c r="A1820" s="0" t="s">
        <v>1741</v>
      </c>
      <c r="B1820" s="14" t="n">
        <v>45663</v>
      </c>
      <c r="C1820" s="16" t="s">
        <v>1858</v>
      </c>
      <c r="D1820" s="7" t="n">
        <v>-1500</v>
      </c>
      <c r="E1820" s="16" t="s">
        <v>1743</v>
      </c>
      <c r="F1820" s="7" t="n">
        <v>49430.43</v>
      </c>
      <c r="G1820" s="16" t="s">
        <v>150</v>
      </c>
    </row>
    <row r="1821" customFormat="false" ht="15" hidden="false" customHeight="false" outlineLevel="0" collapsed="false">
      <c r="A1821" s="0" t="s">
        <v>187</v>
      </c>
      <c r="B1821" s="14" t="n">
        <v>45663</v>
      </c>
      <c r="C1821" s="16" t="s">
        <v>1859</v>
      </c>
      <c r="D1821" s="7" t="n">
        <v>-1262.59</v>
      </c>
      <c r="E1821" s="16" t="s">
        <v>193</v>
      </c>
      <c r="F1821" s="7" t="n">
        <v>50930.43</v>
      </c>
      <c r="G1821" s="16" t="s">
        <v>184</v>
      </c>
    </row>
    <row r="1822" customFormat="false" ht="15" hidden="false" customHeight="false" outlineLevel="0" collapsed="false">
      <c r="A1822" s="0" t="s">
        <v>187</v>
      </c>
      <c r="B1822" s="14" t="n">
        <v>45663</v>
      </c>
      <c r="C1822" s="16" t="s">
        <v>1860</v>
      </c>
      <c r="D1822" s="7" t="n">
        <v>-8.99</v>
      </c>
      <c r="E1822" s="16" t="s">
        <v>206</v>
      </c>
      <c r="F1822" s="7" t="n">
        <v>52193.02</v>
      </c>
      <c r="G1822" s="16" t="s">
        <v>144</v>
      </c>
    </row>
    <row r="1823" customFormat="false" ht="15" hidden="false" customHeight="false" outlineLevel="0" collapsed="false">
      <c r="A1823" s="0" t="s">
        <v>187</v>
      </c>
      <c r="B1823" s="14" t="n">
        <v>45663</v>
      </c>
      <c r="C1823" s="16" t="s">
        <v>1861</v>
      </c>
      <c r="D1823" s="7" t="n">
        <v>-7.11</v>
      </c>
      <c r="E1823" s="16" t="s">
        <v>206</v>
      </c>
      <c r="F1823" s="7" t="n">
        <v>52202.01</v>
      </c>
      <c r="G1823" s="16" t="s">
        <v>137</v>
      </c>
    </row>
    <row r="1824" customFormat="false" ht="15" hidden="false" customHeight="false" outlineLevel="0" collapsed="false">
      <c r="A1824" s="0" t="s">
        <v>187</v>
      </c>
      <c r="B1824" s="14" t="n">
        <v>45663</v>
      </c>
      <c r="C1824" s="16" t="s">
        <v>1861</v>
      </c>
      <c r="D1824" s="7" t="n">
        <v>-11.08</v>
      </c>
      <c r="E1824" s="16" t="s">
        <v>206</v>
      </c>
      <c r="F1824" s="7" t="n">
        <v>52209.12</v>
      </c>
      <c r="G1824" s="16" t="s">
        <v>137</v>
      </c>
    </row>
    <row r="1825" customFormat="false" ht="15" hidden="false" customHeight="false" outlineLevel="0" collapsed="false">
      <c r="A1825" s="0" t="s">
        <v>187</v>
      </c>
      <c r="B1825" s="14" t="n">
        <v>45663</v>
      </c>
      <c r="C1825" s="16" t="s">
        <v>1862</v>
      </c>
      <c r="D1825" s="7" t="n">
        <v>-5</v>
      </c>
      <c r="E1825" s="16" t="s">
        <v>206</v>
      </c>
      <c r="F1825" s="7" t="n">
        <v>52220.2</v>
      </c>
      <c r="G1825" s="16" t="s">
        <v>144</v>
      </c>
    </row>
    <row r="1826" customFormat="false" ht="15" hidden="false" customHeight="false" outlineLevel="0" collapsed="false">
      <c r="A1826" s="0" t="s">
        <v>187</v>
      </c>
      <c r="B1826" s="14" t="n">
        <v>45663</v>
      </c>
      <c r="C1826" s="16" t="s">
        <v>1863</v>
      </c>
      <c r="D1826" s="7" t="n">
        <v>-19.84</v>
      </c>
      <c r="E1826" s="16" t="s">
        <v>206</v>
      </c>
      <c r="F1826" s="7" t="n">
        <v>52225.2</v>
      </c>
      <c r="G1826" s="16" t="s">
        <v>182</v>
      </c>
    </row>
    <row r="1827" customFormat="false" ht="15" hidden="false" customHeight="false" outlineLevel="0" collapsed="false">
      <c r="A1827" s="0" t="s">
        <v>187</v>
      </c>
      <c r="B1827" s="14" t="n">
        <v>45663</v>
      </c>
      <c r="C1827" s="16" t="s">
        <v>1864</v>
      </c>
      <c r="D1827" s="7" t="n">
        <v>-300</v>
      </c>
      <c r="E1827" s="16" t="s">
        <v>206</v>
      </c>
      <c r="F1827" s="7" t="n">
        <v>52245.04</v>
      </c>
      <c r="G1827" s="16" t="s">
        <v>121</v>
      </c>
    </row>
    <row r="1828" customFormat="false" ht="15" hidden="false" customHeight="false" outlineLevel="0" collapsed="false">
      <c r="A1828" s="0" t="s">
        <v>187</v>
      </c>
      <c r="B1828" s="14" t="n">
        <v>45663</v>
      </c>
      <c r="C1828" s="16" t="s">
        <v>1865</v>
      </c>
      <c r="D1828" s="7" t="n">
        <v>-10.78</v>
      </c>
      <c r="E1828" s="16" t="s">
        <v>206</v>
      </c>
      <c r="F1828" s="7" t="n">
        <v>52545.04</v>
      </c>
      <c r="G1828" s="16" t="s">
        <v>116</v>
      </c>
    </row>
    <row r="1829" customFormat="false" ht="15" hidden="false" customHeight="false" outlineLevel="0" collapsed="false">
      <c r="A1829" s="0" t="s">
        <v>187</v>
      </c>
      <c r="B1829" s="14" t="n">
        <v>45663</v>
      </c>
      <c r="C1829" s="16" t="s">
        <v>1860</v>
      </c>
      <c r="D1829" s="7" t="n">
        <v>65.09</v>
      </c>
      <c r="E1829" s="16" t="s">
        <v>206</v>
      </c>
      <c r="F1829" s="7" t="n">
        <v>52555.82</v>
      </c>
      <c r="G1829" s="16" t="s">
        <v>144</v>
      </c>
    </row>
    <row r="1830" customFormat="false" ht="15" hidden="false" customHeight="false" outlineLevel="0" collapsed="false">
      <c r="A1830" s="0" t="s">
        <v>187</v>
      </c>
      <c r="B1830" s="14" t="n">
        <v>45660</v>
      </c>
      <c r="C1830" s="16" t="s">
        <v>1866</v>
      </c>
      <c r="D1830" s="7" t="n">
        <v>-7010</v>
      </c>
      <c r="E1830" s="16" t="s">
        <v>208</v>
      </c>
      <c r="F1830" s="7" t="n">
        <v>52490.73</v>
      </c>
      <c r="G1830" s="16" t="s">
        <v>134</v>
      </c>
    </row>
    <row r="1831" customFormat="false" ht="15" hidden="false" customHeight="false" outlineLevel="0" collapsed="false">
      <c r="A1831" s="0" t="s">
        <v>187</v>
      </c>
      <c r="B1831" s="14" t="n">
        <v>45660</v>
      </c>
      <c r="C1831" s="16" t="s">
        <v>1867</v>
      </c>
      <c r="D1831" s="7" t="n">
        <v>-5000</v>
      </c>
      <c r="E1831" s="16" t="s">
        <v>213</v>
      </c>
      <c r="F1831" s="7" t="n">
        <v>59500.73</v>
      </c>
      <c r="G1831" s="16" t="s">
        <v>96</v>
      </c>
    </row>
    <row r="1832" customFormat="false" ht="15" hidden="false" customHeight="false" outlineLevel="0" collapsed="false">
      <c r="A1832" s="0" t="s">
        <v>187</v>
      </c>
      <c r="B1832" s="14" t="n">
        <v>45660</v>
      </c>
      <c r="C1832" s="16" t="s">
        <v>1868</v>
      </c>
      <c r="D1832" s="7" t="n">
        <v>-29.99</v>
      </c>
      <c r="E1832" s="16" t="s">
        <v>206</v>
      </c>
      <c r="F1832" s="7" t="n">
        <v>64500.73</v>
      </c>
      <c r="G1832" s="16" t="s">
        <v>144</v>
      </c>
    </row>
    <row r="1833" customFormat="false" ht="15" hidden="false" customHeight="false" outlineLevel="0" collapsed="false">
      <c r="A1833" s="0" t="s">
        <v>187</v>
      </c>
      <c r="B1833" s="14" t="n">
        <v>45660</v>
      </c>
      <c r="C1833" s="16" t="s">
        <v>1868</v>
      </c>
      <c r="D1833" s="7" t="n">
        <v>-12.99</v>
      </c>
      <c r="E1833" s="16" t="s">
        <v>206</v>
      </c>
      <c r="F1833" s="7" t="n">
        <v>64530.72</v>
      </c>
      <c r="G1833" s="16" t="s">
        <v>144</v>
      </c>
    </row>
    <row r="1834" customFormat="false" ht="15" hidden="false" customHeight="false" outlineLevel="0" collapsed="false">
      <c r="A1834" s="0" t="s">
        <v>187</v>
      </c>
      <c r="B1834" s="14" t="n">
        <v>45660</v>
      </c>
      <c r="C1834" s="16" t="s">
        <v>1869</v>
      </c>
      <c r="D1834" s="7" t="n">
        <v>-101.99</v>
      </c>
      <c r="E1834" s="16" t="s">
        <v>206</v>
      </c>
      <c r="F1834" s="7" t="n">
        <v>64543.71</v>
      </c>
      <c r="G1834" s="16" t="s">
        <v>144</v>
      </c>
    </row>
    <row r="1835" customFormat="false" ht="15" hidden="false" customHeight="false" outlineLevel="0" collapsed="false">
      <c r="A1835" s="0" t="s">
        <v>187</v>
      </c>
      <c r="B1835" s="14" t="n">
        <v>45660</v>
      </c>
      <c r="C1835" s="16" t="s">
        <v>1870</v>
      </c>
      <c r="D1835" s="7" t="n">
        <v>-8</v>
      </c>
      <c r="E1835" s="16" t="s">
        <v>206</v>
      </c>
      <c r="F1835" s="7" t="n">
        <v>64645.7</v>
      </c>
      <c r="G1835" s="16" t="s">
        <v>130</v>
      </c>
    </row>
    <row r="1836" customFormat="false" ht="15" hidden="false" customHeight="false" outlineLevel="0" collapsed="false">
      <c r="A1836" s="0" t="s">
        <v>187</v>
      </c>
      <c r="B1836" s="14" t="n">
        <v>45660</v>
      </c>
      <c r="C1836" s="16" t="s">
        <v>1871</v>
      </c>
      <c r="D1836" s="7" t="n">
        <v>-131.88</v>
      </c>
      <c r="E1836" s="16" t="s">
        <v>206</v>
      </c>
      <c r="F1836" s="7" t="n">
        <v>64653.7</v>
      </c>
      <c r="G1836" s="16" t="s">
        <v>122</v>
      </c>
    </row>
    <row r="1837" customFormat="false" ht="15" hidden="false" customHeight="false" outlineLevel="0" collapsed="false">
      <c r="A1837" s="0" t="s">
        <v>187</v>
      </c>
      <c r="B1837" s="14" t="n">
        <v>45659</v>
      </c>
      <c r="C1837" s="16" t="s">
        <v>1423</v>
      </c>
      <c r="D1837" s="7" t="n">
        <v>-15</v>
      </c>
      <c r="E1837" s="16" t="s">
        <v>189</v>
      </c>
      <c r="F1837" s="7" t="n">
        <v>64785.58</v>
      </c>
      <c r="G1837" s="16" t="s">
        <v>175</v>
      </c>
    </row>
    <row r="1838" customFormat="false" ht="15" hidden="false" customHeight="false" outlineLevel="0" collapsed="false">
      <c r="A1838" s="0" t="s">
        <v>187</v>
      </c>
      <c r="B1838" s="14" t="n">
        <v>45659</v>
      </c>
      <c r="C1838" s="16" t="s">
        <v>1872</v>
      </c>
      <c r="D1838" s="7" t="n">
        <v>-2.68</v>
      </c>
      <c r="E1838" s="16" t="s">
        <v>189</v>
      </c>
      <c r="F1838" s="7" t="n">
        <v>64800.58</v>
      </c>
      <c r="G1838" s="16" t="s">
        <v>175</v>
      </c>
    </row>
    <row r="1839" customFormat="false" ht="15" hidden="false" customHeight="false" outlineLevel="0" collapsed="false">
      <c r="A1839" s="0" t="s">
        <v>187</v>
      </c>
      <c r="B1839" s="14" t="n">
        <v>45659</v>
      </c>
      <c r="C1839" s="16" t="s">
        <v>277</v>
      </c>
      <c r="D1839" s="7" t="n">
        <v>-15</v>
      </c>
      <c r="E1839" s="16" t="s">
        <v>189</v>
      </c>
      <c r="F1839" s="7" t="n">
        <v>64803.26</v>
      </c>
      <c r="G1839" s="16" t="s">
        <v>175</v>
      </c>
    </row>
    <row r="1840" customFormat="false" ht="15" hidden="false" customHeight="false" outlineLevel="0" collapsed="false">
      <c r="A1840" s="0" t="s">
        <v>187</v>
      </c>
      <c r="B1840" s="14" t="n">
        <v>45659</v>
      </c>
      <c r="C1840" s="16" t="s">
        <v>1558</v>
      </c>
      <c r="D1840" s="7" t="n">
        <v>-17.5</v>
      </c>
      <c r="E1840" s="16" t="s">
        <v>189</v>
      </c>
      <c r="F1840" s="7" t="n">
        <v>64818.26</v>
      </c>
      <c r="G1840" s="16" t="s">
        <v>175</v>
      </c>
    </row>
    <row r="1841" customFormat="false" ht="15" hidden="false" customHeight="false" outlineLevel="0" collapsed="false">
      <c r="A1841" s="0" t="s">
        <v>187</v>
      </c>
      <c r="B1841" s="14" t="n">
        <v>45659</v>
      </c>
      <c r="C1841" s="16" t="s">
        <v>1733</v>
      </c>
      <c r="D1841" s="7" t="n">
        <v>-40</v>
      </c>
      <c r="E1841" s="16" t="s">
        <v>189</v>
      </c>
      <c r="F1841" s="7" t="n">
        <v>64835.76</v>
      </c>
      <c r="G1841" s="16" t="s">
        <v>175</v>
      </c>
    </row>
    <row r="1842" customFormat="false" ht="15" hidden="false" customHeight="false" outlineLevel="0" collapsed="false">
      <c r="A1842" s="0" t="s">
        <v>1741</v>
      </c>
      <c r="B1842" s="14" t="n">
        <v>45659</v>
      </c>
      <c r="C1842" s="16" t="s">
        <v>1873</v>
      </c>
      <c r="D1842" s="7" t="n">
        <v>-1000</v>
      </c>
      <c r="E1842" s="16" t="s">
        <v>1743</v>
      </c>
      <c r="F1842" s="7" t="n">
        <v>64875.76</v>
      </c>
      <c r="G1842" s="16" t="s">
        <v>150</v>
      </c>
    </row>
    <row r="1843" customFormat="false" ht="15" hidden="false" customHeight="false" outlineLevel="0" collapsed="false">
      <c r="A1843" s="0" t="s">
        <v>187</v>
      </c>
      <c r="B1843" s="14" t="n">
        <v>45659</v>
      </c>
      <c r="C1843" s="16" t="s">
        <v>1874</v>
      </c>
      <c r="D1843" s="7" t="n">
        <v>-6000</v>
      </c>
      <c r="E1843" s="16" t="s">
        <v>197</v>
      </c>
      <c r="F1843" s="7" t="n">
        <v>65875.76</v>
      </c>
      <c r="G1843" s="16" t="s">
        <v>73</v>
      </c>
    </row>
    <row r="1844" customFormat="false" ht="15" hidden="false" customHeight="false" outlineLevel="0" collapsed="false">
      <c r="A1844" s="0" t="s">
        <v>187</v>
      </c>
      <c r="B1844" s="14" t="n">
        <v>45659</v>
      </c>
      <c r="C1844" s="16" t="s">
        <v>1875</v>
      </c>
      <c r="D1844" s="7" t="n">
        <v>-1000</v>
      </c>
      <c r="E1844" s="16" t="s">
        <v>191</v>
      </c>
      <c r="F1844" s="7" t="n">
        <v>71875.76</v>
      </c>
      <c r="G1844" s="16" t="s">
        <v>74</v>
      </c>
    </row>
    <row r="1845" customFormat="false" ht="15" hidden="false" customHeight="false" outlineLevel="0" collapsed="false">
      <c r="A1845" s="0" t="s">
        <v>187</v>
      </c>
      <c r="B1845" s="14" t="n">
        <v>45659</v>
      </c>
      <c r="C1845" s="16" t="s">
        <v>1876</v>
      </c>
      <c r="D1845" s="7" t="n">
        <v>-89.54</v>
      </c>
      <c r="E1845" s="16" t="s">
        <v>206</v>
      </c>
      <c r="F1845" s="7" t="n">
        <v>72875.76</v>
      </c>
      <c r="G1845" s="16" t="s">
        <v>126</v>
      </c>
    </row>
    <row r="1846" customFormat="false" ht="15" hidden="false" customHeight="false" outlineLevel="0" collapsed="false">
      <c r="A1846" s="0" t="s">
        <v>187</v>
      </c>
      <c r="B1846" s="14" t="n">
        <v>45659</v>
      </c>
      <c r="C1846" s="16" t="s">
        <v>1877</v>
      </c>
      <c r="D1846" s="7" t="n">
        <v>-18.99</v>
      </c>
      <c r="E1846" s="16" t="s">
        <v>206</v>
      </c>
      <c r="F1846" s="7" t="n">
        <v>72965.3</v>
      </c>
      <c r="G1846" s="16" t="s">
        <v>144</v>
      </c>
    </row>
    <row r="1847" customFormat="false" ht="15" hidden="false" customHeight="false" outlineLevel="0" collapsed="false">
      <c r="A1847" s="0" t="s">
        <v>187</v>
      </c>
      <c r="B1847" s="14" t="n">
        <v>45659</v>
      </c>
      <c r="C1847" s="16" t="s">
        <v>1878</v>
      </c>
      <c r="D1847" s="7" t="n">
        <v>-14.4</v>
      </c>
      <c r="E1847" s="16" t="s">
        <v>206</v>
      </c>
      <c r="F1847" s="7" t="n">
        <v>72984.29</v>
      </c>
      <c r="G1847" s="16" t="s">
        <v>144</v>
      </c>
    </row>
    <row r="1848" customFormat="false" ht="15" hidden="false" customHeight="false" outlineLevel="0" collapsed="false">
      <c r="A1848" s="0" t="s">
        <v>187</v>
      </c>
      <c r="B1848" s="14" t="n">
        <v>45659</v>
      </c>
      <c r="C1848" s="16" t="s">
        <v>1879</v>
      </c>
      <c r="D1848" s="7" t="n">
        <v>-520</v>
      </c>
      <c r="E1848" s="16" t="s">
        <v>206</v>
      </c>
      <c r="F1848" s="7" t="n">
        <v>72998.69</v>
      </c>
      <c r="G1848" s="16" t="s">
        <v>67</v>
      </c>
    </row>
    <row r="1849" customFormat="false" ht="15" hidden="false" customHeight="false" outlineLevel="0" collapsed="false">
      <c r="A1849" s="0" t="s">
        <v>187</v>
      </c>
      <c r="B1849" s="14" t="n">
        <v>45659</v>
      </c>
      <c r="C1849" s="16" t="s">
        <v>1880</v>
      </c>
      <c r="D1849" s="7" t="n">
        <v>-27.16</v>
      </c>
      <c r="E1849" s="16" t="s">
        <v>206</v>
      </c>
      <c r="F1849" s="7" t="n">
        <v>73518.69</v>
      </c>
      <c r="G1849" s="16" t="s">
        <v>79</v>
      </c>
    </row>
    <row r="1850" customFormat="false" ht="15" hidden="false" customHeight="false" outlineLevel="0" collapsed="false">
      <c r="A1850" s="0" t="s">
        <v>259</v>
      </c>
      <c r="B1850" s="14" t="n">
        <v>45659</v>
      </c>
      <c r="C1850" s="16" t="s">
        <v>1881</v>
      </c>
      <c r="D1850" s="7" t="n">
        <v>61037</v>
      </c>
      <c r="E1850" s="16" t="s">
        <v>282</v>
      </c>
      <c r="F1850" s="7" t="n">
        <v>73545.85</v>
      </c>
      <c r="G1850" s="1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2026-07-09T22:45:06Z</dcterms:created>
  <dc:creator>openpyxl</dc:creator>
  <dc:description/>
  <dc:language>en-US</dc:language>
  <cp:lastModifiedBy/>
  <dcterms:modified xsi:type="dcterms:W3CDTF">2026-07-09T22:45:07Z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