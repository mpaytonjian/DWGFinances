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"/>
    </mc:Choice>
  </mc:AlternateContent>
  <xr:revisionPtr revIDLastSave="0" documentId="13_ncr:1_{190BB61A-A651-452E-A5DC-608EF82006C5}" xr6:coauthVersionLast="47" xr6:coauthVersionMax="47" xr10:uidLastSave="{00000000-0000-0000-0000-000000000000}"/>
  <bookViews>
    <workbookView xWindow="-28920" yWindow="-1065" windowWidth="29040" windowHeight="15720" xr2:uid="{00000000-000D-0000-FFFF-FFFF00000000}"/>
  </bookViews>
  <sheets>
    <sheet name="Transaction Summary" sheetId="2" r:id="rId1"/>
    <sheet name="Monthly Breakdown" sheetId="3" r:id="rId2"/>
    <sheet name="Transaction Details" sheetId="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C9" i="3"/>
  <c r="D9" i="3"/>
  <c r="E9" i="3"/>
  <c r="B9" i="3"/>
  <c r="C19" i="2"/>
  <c r="B19" i="2"/>
  <c r="E4" i="3" l="1"/>
  <c r="E35" i="3" s="1"/>
  <c r="D4" i="3"/>
  <c r="D35" i="3" s="1"/>
  <c r="C4" i="3"/>
  <c r="C35" i="3" s="1"/>
  <c r="B4" i="3"/>
  <c r="B35" i="3" s="1"/>
  <c r="B80" i="2"/>
  <c r="D79" i="2"/>
  <c r="A78" i="2"/>
  <c r="A77" i="2"/>
  <c r="A76" i="2"/>
  <c r="A75" i="2"/>
  <c r="A74" i="2"/>
  <c r="A73" i="2"/>
  <c r="A72" i="2"/>
  <c r="A71" i="2"/>
  <c r="A70" i="2"/>
  <c r="A69" i="2"/>
  <c r="A68" i="2"/>
  <c r="A67" i="2"/>
  <c r="C59" i="2"/>
  <c r="B59" i="2"/>
  <c r="A62" i="2"/>
  <c r="C62" i="2" s="1"/>
  <c r="A61" i="2"/>
  <c r="C61" i="2" s="1"/>
  <c r="A60" i="2"/>
  <c r="B60" i="2" s="1"/>
  <c r="A59" i="2"/>
  <c r="B51" i="2"/>
  <c r="C51" i="2" s="1"/>
  <c r="B47" i="2"/>
  <c r="C47" i="2" s="1"/>
  <c r="B38" i="2"/>
  <c r="C38" i="2" s="1"/>
  <c r="B37" i="2"/>
  <c r="C37" i="2" s="1"/>
  <c r="B36" i="2"/>
  <c r="C36" i="2" s="1"/>
  <c r="B33" i="2"/>
  <c r="C33" i="2" s="1"/>
  <c r="B10" i="2"/>
  <c r="B9" i="2"/>
  <c r="B11" i="2" s="1"/>
  <c r="E315" i="1"/>
  <c r="E314" i="1"/>
  <c r="E316" i="1" s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F35" i="3" l="1"/>
  <c r="B19" i="3"/>
  <c r="C19" i="3"/>
  <c r="D19" i="3"/>
  <c r="E22" i="3"/>
  <c r="B23" i="3"/>
  <c r="C23" i="3"/>
  <c r="B25" i="3"/>
  <c r="D12" i="3"/>
  <c r="C29" i="3"/>
  <c r="C25" i="3"/>
  <c r="D25" i="3"/>
  <c r="B34" i="3"/>
  <c r="C34" i="3"/>
  <c r="C36" i="3" s="1"/>
  <c r="D34" i="3"/>
  <c r="D36" i="3" s="1"/>
  <c r="E34" i="3"/>
  <c r="E36" i="3" s="1"/>
  <c r="D59" i="2"/>
  <c r="C60" i="2"/>
  <c r="D60" i="2" s="1"/>
  <c r="B61" i="2"/>
  <c r="D61" i="2" s="1"/>
  <c r="B62" i="2"/>
  <c r="D62" i="2" s="1"/>
  <c r="E15" i="3"/>
  <c r="B34" i="2"/>
  <c r="C34" i="2" s="1"/>
  <c r="D18" i="3"/>
  <c r="B35" i="2"/>
  <c r="C35" i="2" s="1"/>
  <c r="E18" i="3"/>
  <c r="E25" i="3"/>
  <c r="F25" i="3" s="1"/>
  <c r="B52" i="2"/>
  <c r="C52" i="2" s="1"/>
  <c r="B53" i="2"/>
  <c r="C53" i="2" s="1"/>
  <c r="B8" i="3"/>
  <c r="B39" i="2"/>
  <c r="C39" i="2" s="1"/>
  <c r="C8" i="3"/>
  <c r="C18" i="3"/>
  <c r="D8" i="3"/>
  <c r="E10" i="3"/>
  <c r="B11" i="3"/>
  <c r="C11" i="3"/>
  <c r="B17" i="2"/>
  <c r="C17" i="2" s="1"/>
  <c r="D11" i="3"/>
  <c r="B18" i="2"/>
  <c r="C18" i="2" s="1"/>
  <c r="E11" i="3"/>
  <c r="B20" i="2"/>
  <c r="C20" i="2" s="1"/>
  <c r="B12" i="3"/>
  <c r="B29" i="2"/>
  <c r="C29" i="2" s="1"/>
  <c r="C12" i="3"/>
  <c r="B30" i="2"/>
  <c r="C30" i="2" s="1"/>
  <c r="B5" i="3"/>
  <c r="C5" i="3"/>
  <c r="D23" i="3"/>
  <c r="E7" i="3"/>
  <c r="E24" i="3"/>
  <c r="B16" i="3"/>
  <c r="C16" i="3"/>
  <c r="D16" i="3"/>
  <c r="E17" i="3"/>
  <c r="B18" i="3"/>
  <c r="F18" i="3" s="1"/>
  <c r="B16" i="2"/>
  <c r="D7" i="3"/>
  <c r="D15" i="3"/>
  <c r="D22" i="3"/>
  <c r="D29" i="3"/>
  <c r="E29" i="3"/>
  <c r="B30" i="3"/>
  <c r="C30" i="3"/>
  <c r="D30" i="3"/>
  <c r="B23" i="2"/>
  <c r="E8" i="3"/>
  <c r="F8" i="3" s="1"/>
  <c r="E16" i="3"/>
  <c r="E23" i="3"/>
  <c r="E30" i="3"/>
  <c r="B24" i="2"/>
  <c r="C24" i="2" s="1"/>
  <c r="B10" i="3"/>
  <c r="B17" i="3"/>
  <c r="B24" i="3"/>
  <c r="B31" i="3"/>
  <c r="B25" i="2"/>
  <c r="C25" i="2" s="1"/>
  <c r="C10" i="3"/>
  <c r="C17" i="3"/>
  <c r="C24" i="3"/>
  <c r="C31" i="3"/>
  <c r="B26" i="2"/>
  <c r="C26" i="2" s="1"/>
  <c r="D10" i="3"/>
  <c r="D17" i="3"/>
  <c r="D24" i="3"/>
  <c r="D31" i="3"/>
  <c r="E31" i="3"/>
  <c r="B32" i="3"/>
  <c r="C32" i="3"/>
  <c r="D32" i="3"/>
  <c r="E32" i="3"/>
  <c r="B26" i="3"/>
  <c r="C26" i="3"/>
  <c r="D26" i="3"/>
  <c r="E12" i="3"/>
  <c r="E19" i="3"/>
  <c r="F19" i="3" s="1"/>
  <c r="E26" i="3"/>
  <c r="B13" i="3"/>
  <c r="B20" i="3"/>
  <c r="B27" i="3"/>
  <c r="C13" i="3"/>
  <c r="C20" i="3"/>
  <c r="C27" i="3"/>
  <c r="D13" i="3"/>
  <c r="D20" i="3"/>
  <c r="D27" i="3"/>
  <c r="B41" i="2"/>
  <c r="C41" i="2" s="1"/>
  <c r="E5" i="3"/>
  <c r="E13" i="3"/>
  <c r="E20" i="3"/>
  <c r="E27" i="3"/>
  <c r="B40" i="2"/>
  <c r="C40" i="2" s="1"/>
  <c r="B42" i="2"/>
  <c r="C42" i="2" s="1"/>
  <c r="B6" i="3"/>
  <c r="B14" i="3"/>
  <c r="B21" i="3"/>
  <c r="B28" i="3"/>
  <c r="D5" i="3"/>
  <c r="B43" i="2"/>
  <c r="C43" i="2" s="1"/>
  <c r="C6" i="3"/>
  <c r="C14" i="3"/>
  <c r="C21" i="3"/>
  <c r="C28" i="3"/>
  <c r="D6" i="3"/>
  <c r="D14" i="3"/>
  <c r="D21" i="3"/>
  <c r="D28" i="3"/>
  <c r="B46" i="2"/>
  <c r="E6" i="3"/>
  <c r="E14" i="3"/>
  <c r="E21" i="3"/>
  <c r="E28" i="3"/>
  <c r="B7" i="3"/>
  <c r="B15" i="3"/>
  <c r="B22" i="3"/>
  <c r="B29" i="3"/>
  <c r="B48" i="2"/>
  <c r="C48" i="2" s="1"/>
  <c r="C7" i="3"/>
  <c r="C15" i="3"/>
  <c r="C22" i="3"/>
  <c r="F34" i="3" l="1"/>
  <c r="B36" i="3"/>
  <c r="F36" i="3" s="1"/>
  <c r="A38" i="3" s="1"/>
  <c r="F16" i="3"/>
  <c r="F12" i="3"/>
  <c r="F11" i="3"/>
  <c r="B54" i="2"/>
  <c r="C54" i="2" s="1"/>
  <c r="D63" i="2"/>
  <c r="C63" i="2"/>
  <c r="B63" i="2"/>
  <c r="F24" i="3"/>
  <c r="F23" i="3"/>
  <c r="F17" i="3"/>
  <c r="F27" i="3"/>
  <c r="B31" i="2"/>
  <c r="C31" i="2" s="1"/>
  <c r="F5" i="3"/>
  <c r="F15" i="3"/>
  <c r="F7" i="3"/>
  <c r="F31" i="3"/>
  <c r="F10" i="3"/>
  <c r="F20" i="3"/>
  <c r="F13" i="3"/>
  <c r="C23" i="2"/>
  <c r="B27" i="2"/>
  <c r="C27" i="2" s="1"/>
  <c r="F26" i="3"/>
  <c r="F30" i="3"/>
  <c r="F21" i="3"/>
  <c r="C46" i="2"/>
  <c r="B49" i="2"/>
  <c r="C49" i="2" s="1"/>
  <c r="B44" i="2"/>
  <c r="C44" i="2" s="1"/>
  <c r="F14" i="3"/>
  <c r="F32" i="3"/>
  <c r="F6" i="3"/>
  <c r="F28" i="3"/>
  <c r="B21" i="2"/>
  <c r="C16" i="2"/>
  <c r="F29" i="3"/>
  <c r="F22" i="3"/>
  <c r="C21" i="2" l="1"/>
  <c r="B55" i="2"/>
  <c r="C55" i="2" s="1"/>
</calcChain>
</file>

<file path=xl/sharedStrings.xml><?xml version="1.0" encoding="utf-8"?>
<sst xmlns="http://schemas.openxmlformats.org/spreadsheetml/2006/main" count="2284" uniqueCount="695">
  <si>
    <t/>
  </si>
  <si>
    <t>Transaction Details</t>
  </si>
  <si>
    <t>Business Platinum Card® / Jan 01, 2026 to Jun 11, 2026</t>
  </si>
  <si>
    <t>Prepared for</t>
  </si>
  <si>
    <t>JOHN DUNNING</t>
  </si>
  <si>
    <t>Account Number</t>
  </si>
  <si>
    <t>XXXX-XXXXXX-02000</t>
  </si>
  <si>
    <t>Date</t>
  </si>
  <si>
    <t>Description</t>
  </si>
  <si>
    <t>Card Member</t>
  </si>
  <si>
    <t>Account #</t>
  </si>
  <si>
    <t>Amount</t>
  </si>
  <si>
    <t>Extended Details</t>
  </si>
  <si>
    <t>Appears On Your Statement As</t>
  </si>
  <si>
    <t>Category</t>
  </si>
  <si>
    <t>06/10/2026</t>
  </si>
  <si>
    <t>AMAZON.COM          AMZN.COM/BILL       WA</t>
  </si>
  <si>
    <t>-02000</t>
  </si>
  <si>
    <t>49EUX7L0ZK1 BOOK STORES
AMAZON.COM
AMZN.COM/BILL
WA
BOOK STORES</t>
  </si>
  <si>
    <t>5PQYRAAK7EI BOOK STORES
AMAZON.COM
AMZN.COM/BILL
WA
BOOK STORES</t>
  </si>
  <si>
    <t>PRIME VIDEO *421V62J888-802-3080        WA</t>
  </si>
  <si>
    <t>1QQLEKSJV1W DIGITAL
PRIME VIDEO *421V62JU3
888-802-3080
WA
DIGITAL</t>
  </si>
  <si>
    <t>06/09/2026</t>
  </si>
  <si>
    <t>AMAZON DIGITAL SVCS AMZN.COM/BILL       WA</t>
  </si>
  <si>
    <t>3M4J82I4YYO DIGITAL
AMAZON DIGITAL SVCS
AMZN.COM/BILL
WA
DIGITAL</t>
  </si>
  <si>
    <t>COWBOY EXPRESS WEATHWEATHERFORD         TX</t>
  </si>
  <si>
    <t>73011006160 MARCOSCH@DDTGROUP.ORG
COWBOY EXPRESS WEATHERFOR 689200001413
WEATHERFORD
TX
MARCOSCH@DDTGROUP.ORG</t>
  </si>
  <si>
    <t>PURE MASSAGE        WEATHERFORD         TX</t>
  </si>
  <si>
    <t>X3kB9W8gvQF squareup.com/receipts
PURE MASSAGE
WEATHERFORD
TX
squareup.com/receipts</t>
  </si>
  <si>
    <t>STARBUCKS STORE 8480WEATHERFORD         TX</t>
  </si>
  <si>
    <t>63211FA4524 FAST FOOD RESTAURANT
STARBUCKS STORE 8480
WEATHERFORD
TX
FAST FOOD RESTAURANT</t>
  </si>
  <si>
    <t>VIOLET VAPOR - 2    WEATHERFORD         TX</t>
  </si>
  <si>
    <t>13610007    817-341-6571
VIOLET VAPOR - 2
WEATHERFORD
TX
Description : TOBACCO/ACC Price : 0.00
817-341-6571</t>
  </si>
  <si>
    <t>06/08/2026</t>
  </si>
  <si>
    <t>HARBOR FREIGHT TOOLSWEATHERFORD         TX</t>
  </si>
  <si>
    <t>00279051613 818-836-5000
HARBOR FREIGHT TOOLS 698 698
WEATHERFORD
TX
Description : HARDWARE/TOOLS Price : 0.00
818-836-5000</t>
  </si>
  <si>
    <t>PRESS CAFE - FORT WOFORT WORTH          TX</t>
  </si>
  <si>
    <t>42461854   20113            76109
RESTAURANT
PRESS CAFE - FORT WORTH
FORT WORTH
TX
RESTAURANT
20113            76109</t>
  </si>
  <si>
    <t>THE HOME DEPOT      WEATHERFORD         TX</t>
  </si>
  <si>
    <t>06080651522 800-654-0688
THE HOME DEPOT
WEATHERFORD
TX
800-654-0688</t>
  </si>
  <si>
    <t>06/07/2026</t>
  </si>
  <si>
    <t>AMAZON MARKEPLACE NA PA</t>
  </si>
  <si>
    <t>1OA2LGVFP9K MERCHANDISE
AMAZON MARKETPLACE NA PA
AMZN.COM/BILL
WA
MERCHANDISE</t>
  </si>
  <si>
    <t>AMAZON MARKETPLACE NAMZN.COM/BILL       WA</t>
  </si>
  <si>
    <t>JOY MACARONS        Fort Worth          TX</t>
  </si>
  <si>
    <t>dCsnn000mrG squareup.com/receipts
JOY MACARONS
Fort Worth
TX
squareup.com/receipts</t>
  </si>
  <si>
    <t>STARBUCKS STORE 9848FORT WORTH          TX</t>
  </si>
  <si>
    <t>078F21AF229 FAST FOOD RESTAURANT
STARBUCKS STORE 9848
FORT WORTH
TX
FAST FOOD RESTAURANT</t>
  </si>
  <si>
    <t>TST* CORK &amp; PIG - WIWILLOW PARK         TX</t>
  </si>
  <si>
    <t>99999996158 9724014133
TST* CORK &amp; PIG - WILLOW 300778511
WILLOW PARK
TX
Description : RESTAURANTS Price : 0.3273
9724014133</t>
  </si>
  <si>
    <t>99999996158 9724014133
TST* CORK &amp; PIG - WILLOW 300778511
WILLOW PARK
TX
Description : RESTAURANTS Price : 1.05
9724014133</t>
  </si>
  <si>
    <t>06/05/2026</t>
  </si>
  <si>
    <t>QT 1948 INSIDE/QUIKTWEATHERFORD         TX</t>
  </si>
  <si>
    <t>0194802N8SH FUEL INSIDE
QT 1948 INSIDE/QUIKTRIP 554101948
WEATHERFORD
TX
Description : QUIKTRIP Price : 0.00
Description : TAX Price : 0.00
FUEL INSIDE</t>
  </si>
  <si>
    <t>QT 1948 OUTSIDE/QUIKWEATHERFORD         TX</t>
  </si>
  <si>
    <t>01948037KEH FUEL OUTSIDE
QT 1948 OUTSIDE/QUIKTRIP 554201948
WEATHERFORD
TX
Description : QUIKTRIP Price : 0.4388
Description : TAX Price : 0.0862
FUEL OUTSIDE</t>
  </si>
  <si>
    <t>TST* MERAKI NEW 0001FORT WORTH          TX</t>
  </si>
  <si>
    <t>99999996157 8174506800
TST* MERAKI NEW 000183467
FORT WORTH
TX
Description : RESTAURANTS Price : 0.513
8174506800</t>
  </si>
  <si>
    <t>99999996157 8174506800
TST* MERAKI NEW 000183467
FORT WORTH
TX
Description : RESTAURANTS Price : 3.1073
8174506800</t>
  </si>
  <si>
    <t>06/03/2026</t>
  </si>
  <si>
    <t>CHIPOTLE 2250 2250  WEATHERFORD         TX</t>
  </si>
  <si>
    <t>018728      303-595-4000
CHIPOTLE 2250 2250
WEATHERFORD
TX
Description : FAST FOOD RESTAURAN Price : 0.00
303-595-4000</t>
  </si>
  <si>
    <t>06/02/2026</t>
  </si>
  <si>
    <t>5PJLVL33WVF BOOK STORES
AMAZON.COM
AMZN.COM/BILL
WA
BOOK STORES</t>
  </si>
  <si>
    <t>Amazon Prime        Amazon.com          WA</t>
  </si>
  <si>
    <t>5FHB7EMLE5D SUBSCRIPTION
Amazon Prime
Amazon.com
WA
SUBSCRIPTION</t>
  </si>
  <si>
    <t>BURGER KING #4279 42LINDALE             TX</t>
  </si>
  <si>
    <t>6296        903-882-7111
BURGER KING #4279 4279
LINDALE
TX
Description : FAST FOOD RESTAURAN Price : 0.00
903-882-7111</t>
  </si>
  <si>
    <t>JUDDS DOWNTOWN 65000LONGVIEW            TX</t>
  </si>
  <si>
    <t xml:space="preserve">10156320260 9032128388
JUDDS DOWNTOWN 650000011861930
LONGVIEW
TX
</t>
  </si>
  <si>
    <t>SHELL SERVICE STATIOLONGVIEW            TX</t>
  </si>
  <si>
    <t>00000002532 9037530982
SHELL SERVICE STATION 57545581100
LONGVIEW
TX
9037530982</t>
  </si>
  <si>
    <t>STARBUCKS STORE 4815LINDALE             TX</t>
  </si>
  <si>
    <t>18D402646AD FAST FOOD RESTAURANT
STARBUCKS STORE 4815
LINDALE
TX
FAST FOOD RESTAURANT</t>
  </si>
  <si>
    <t>06/01/2026</t>
  </si>
  <si>
    <t>ABC*ICONFIT         LOS ANGELES         CA</t>
  </si>
  <si>
    <t>71094476152 310-836-8000
ABC*ICONFIT
LOS ANGELES
CA
310-836-8000</t>
  </si>
  <si>
    <t>05/31/2026</t>
  </si>
  <si>
    <t>4AV6ZUYYA9J DIGITAL
AMAZON DIGITAL SVCS
AMZN.COM/BILL
WA
DIGITAL</t>
  </si>
  <si>
    <t>3AZJA7W6Y2J BOOK STORES
AMAZON.COM
AMZN.COM/BILL
WA
BOOK STORES</t>
  </si>
  <si>
    <t>MARKET AT 76067     MINERAL WELLS       TX</t>
  </si>
  <si>
    <t>06259243    432-638-4884
MARKET AT 76067
MINERAL WELLS
TX
Description : BUSINESS SERVICES Price : 0.00
432-638-4884</t>
  </si>
  <si>
    <t>MI FIESTA RESTAURANTMINERAL WELLS       TX</t>
  </si>
  <si>
    <t>85544026152940-325-7427
MI FIESTA RESTAURANT
MINERAL WELLS
TX
940-325-7427</t>
  </si>
  <si>
    <t>STARBUCKS STORE 6932WEATHERFORD         TX</t>
  </si>
  <si>
    <t>667F68D011F FAST FOOD RESTAURANT
STARBUCKS STORE 6932
WEATHERFORD
TX
FAST FOOD RESTAURANT</t>
  </si>
  <si>
    <t>05/29/2026</t>
  </si>
  <si>
    <t>1YNJN2YRVL6 DIGITAL
AMAZON DIGITAL SVCS
AMZN.COM/BILL
WA
DIGITAL</t>
  </si>
  <si>
    <t>4HN32DH11Z4 MERCHANDISE
AMAZON MARKETPLACE NA PA
AMZN.COM/BILL
WA
MERCHANDISE</t>
  </si>
  <si>
    <t>CORK &amp; PIG TAVERN - WILLOW PARK         TX</t>
  </si>
  <si>
    <t>37442682   70024            76087
VEGGIEPLATE
SLAW
SPAGHETTSQUASH
CORK &amp; PIG TAVERN - WILL
WILLOW PARK
TX
VEGGIEPLATE
VEGGIE
SLAW
SPAGHETTSQUASH
70024            76087</t>
  </si>
  <si>
    <t>FILM ALLEY- WEATHERF817-3413232         TX</t>
  </si>
  <si>
    <t>73011006153 JACOB@SCHULMANPARTNER
JACOB@SCHULMANPARTNERS.CO
FILM ALLEY- WEATHERF 436845559638738
817-3413232
TX
JACOB@SCHULMANPARTNERS.CO</t>
  </si>
  <si>
    <t>HOMEGOODS #1084 0000WEATHERFORD         TX</t>
  </si>
  <si>
    <t>23716572025103207           01701
DISCOUNT STORES
HOMEGOODS #1084 000001084
WEATHERFORD
TX
DISCOUNT STORES
103207           01701</t>
  </si>
  <si>
    <t>PINNACLE PERFORMANCEWeatherford         TX</t>
  </si>
  <si>
    <t>DpuD1DYnXFv squareup.com/receipts
PINNACLE PERFORMANCE CARE
Weatherford
TX
squareup.com/receipts</t>
  </si>
  <si>
    <t>ROBERTS CHIROPRACTICWEATHERFORD         TX</t>
  </si>
  <si>
    <t>32173926150 CHIROPRACTOR
ROBERTS CHIROPRACTIC ROBERTS CHIROPR
WEATHERFORD
TX
CHIROPRACTOR</t>
  </si>
  <si>
    <t>ROSA'S CAFE         WEATHERFORD         TX</t>
  </si>
  <si>
    <t>10156320260 8175995335
ROSA'S CAFE
WEATHERFORD
TX
8175995335</t>
  </si>
  <si>
    <t>723D9EC118D FAST FOOD RESTAURANT
STARBUCKS STORE 6932
WEATHERFORD
TX
FAST FOOD RESTAURANT</t>
  </si>
  <si>
    <t>05/28/2026</t>
  </si>
  <si>
    <t>ABC*1885** ICON FIT LOS ANGELES         CA</t>
  </si>
  <si>
    <t>71094476148 888-827-9262
ABC*1885** ICON FIT WESTS
LOS ANGELES
CA
888-827-9262</t>
  </si>
  <si>
    <t>6TD0LQPWHAG DIGITAL
AMAZON DIGITAL SVCS
AMZN.COM/BILL
WA
DIGITAL</t>
  </si>
  <si>
    <t>1VP8ROMH3K2 MERCHANDISE
AMAZON MARKETPLACE NA PA
AMZN.COM/BILL
WA
MERCHANDISE</t>
  </si>
  <si>
    <t>18KTIYOQ2U7 BOOK STORES
AMAZON.COM
AMZN.COM/BILL
WA
BOOK STORES</t>
  </si>
  <si>
    <t>63N64IKQZHL BOOK STORES
AMAZON.COM
AMZN.COM/BILL
WA
BOOK STORES</t>
  </si>
  <si>
    <t>PRIME VIDEO *HX4719Q888-802-3080        WA</t>
  </si>
  <si>
    <t>533GHDQVQ7E DIGITAL
PRIME VIDEO *HX4719Q03
888-802-3080
WA
DIGITAL</t>
  </si>
  <si>
    <t>pUSXVlz28z8 squareup.com/receipts
PURE MASSAGE
WEATHERFORD
TX
squareup.com/receipts</t>
  </si>
  <si>
    <t>SP THE RESURGE CLINIWEATHERFORD         TX</t>
  </si>
  <si>
    <t>CH_3TCAGMR6 +18175999902
SP THE RESURGE CLINIC
WEATHERFORD
TX
+18175999902</t>
  </si>
  <si>
    <t>13690017    817-341-6571
VIOLET VAPOR - 2
WEATHERFORD
TX
Description : TOBACCO/ACC Price : 0.00
817-341-6571</t>
  </si>
  <si>
    <t>05/27/2026</t>
  </si>
  <si>
    <t>BLU JASMINE         HUDSON OAKS         TX</t>
  </si>
  <si>
    <t>39800060    817-599-3303
BLU JASMINE
HUDSON OAKS
TX
Description : FOOD/BEVERAGE Price : 0.00
817-599-3303</t>
  </si>
  <si>
    <t>ONLINE PAYMENT - THANK YOU</t>
  </si>
  <si>
    <t xml:space="preserve">ONLINE PAYMENT - THANK YOU
</t>
  </si>
  <si>
    <t>TEXAS MOVIE BISTRO 0LAKE WORTH          TX</t>
  </si>
  <si>
    <t>99999996148 8172387764
TEXAS MOVIE BISTRO 000000001
LAKE WORTH
TX
8172387764</t>
  </si>
  <si>
    <t>05/26/2026</t>
  </si>
  <si>
    <t>PREMIER IV &amp; WELLNESWEATHERFORD         TX</t>
  </si>
  <si>
    <t>######N1A6S SUPPORT@PREMIERIV.COM
PREMIER IV &amp; WELLNESS
WEATHERFORD
TX
SUPPORT@PREMIERIV.COM</t>
  </si>
  <si>
    <t>05/25/2026</t>
  </si>
  <si>
    <t>BEREN MEZE GRILL HOUFORT WORTH          TX</t>
  </si>
  <si>
    <t>73011006146 BEREN.MEDITERRANEAN@G
BEREN.MEDITERRANEAN@GMAIL
BEREN MEZE GRILL HOUSE 068880023010717
FORT WORTH
TX
BEREN.MEDITERRANEAN@GMAIL</t>
  </si>
  <si>
    <t>TIES TO THE PAST ANTFORT WORTH          TX</t>
  </si>
  <si>
    <t>81500021    817-244-3134
TIES TO THE PAST ANTIQUE
FORT WORTH
TX
Description : ANTIQUES/COLLECTIBL Price : 0.00
817-244-3134</t>
  </si>
  <si>
    <t>05/24/2026</t>
  </si>
  <si>
    <t>AplPay ACCREDITED INREDMOND             WA</t>
  </si>
  <si>
    <t>CH_3TACE0KY +14253012624
AplPay ACCREDITED INSIGHT
REDMOND
WA
+14253012624</t>
  </si>
  <si>
    <t>0194801JCDQ FUEL INSIDE
QT 1948 INSIDE/QUIKTRIP 554101948
WEATHERFORD
TX
Description : QUIKTRIP Price : 0.00
Description : TAX Price : 0.00
FUEL INSIDE</t>
  </si>
  <si>
    <t>0194801ECDQ FUEL OUTSIDE
QT 1948 OUTSIDE/QUIKTRIP 554201948
WEATHERFORD
TX
Description : QUIKTRIP Price : 0.5615
Description : TAX Price : 0.1103
FUEL OUTSIDE</t>
  </si>
  <si>
    <t>TARGET              WEATHERFORD         TX</t>
  </si>
  <si>
    <t>0           8004400680
TARGET
WEATHERFORD
TX
Description : REFER TO RECEIPT Price : 0.00
8004400680</t>
  </si>
  <si>
    <t>TST* CLEAN JUICE - CFORT WORTH          TX</t>
  </si>
  <si>
    <t>99999996144 8178627522
TST* CLEAN JUICE - CLEAR 000069588
FORT WORTH
TX
Description : RESTAURANTS Price : 0.0694
8178627522</t>
  </si>
  <si>
    <t>99999996144 8178627522
TST* CLEAN JUICE - CLEAR 000069588
FORT WORTH
TX
Description : RESTAURANTS Price : 0.6231
8178627522</t>
  </si>
  <si>
    <t>05/23/2026</t>
  </si>
  <si>
    <t>American Airlines   FORT WORTH          TX</t>
  </si>
  <si>
    <t>20260523    4806933473 / kristyne
EXCESS BAGGAGE
American Airlines
FORT WORTH
TX
Carrier : American Airlines Inc
Passenger Name : DUNNING/JOHN BARKER
Ticket Number : 0010284860533
Departure Day : 05/23
Additional Info : EXCESS BAGGAGE
From : LOS ANGELES INTERN
To : DALLAS/FORT WORTH
Class : V</t>
  </si>
  <si>
    <t>AplPay GRUBHUB*LAVEGNEW YORK            NY</t>
  </si>
  <si>
    <t>AT7SSDAW    8775851085
AplPay GRUBHUB*LAVEGAN
NEW YORK
NY
8775851085</t>
  </si>
  <si>
    <t>FARMER'S FRIDGE     CHICAGO             IL</t>
  </si>
  <si>
    <t>21105176144 MISC FOOD STORE
FARMER'S FRIDGE
CHICAGO
IL
MISC FOOD STORE</t>
  </si>
  <si>
    <t>STARBUCKS 85549 STARLOS ANGELES         CA</t>
  </si>
  <si>
    <t>941603056   305-267-8510
STARBUCKS 85549 STARBUCKS 85549
LOS ANGELES
CA
305-267-8510</t>
  </si>
  <si>
    <t>05/22/2026</t>
  </si>
  <si>
    <t>ALANA'S COFFEE ROASTLos Angeles         CA</t>
  </si>
  <si>
    <t>r92HZtcr8K2 squareup.com/receipts
ALANA'S COFFEE ROASTERS
Los Angeles
CA
squareup.com/receipts</t>
  </si>
  <si>
    <t>MVGG RESTAURANT     Los Angeles         CA</t>
  </si>
  <si>
    <t>hwc47hsQ1jf squareup.com/receipts
MVGG RESTAURANT
Los Angeles
CA
squareup.com/receipts</t>
  </si>
  <si>
    <t>RAINBOW BAR &amp; GRILL LOS ANGELES         CA</t>
  </si>
  <si>
    <t>68800003    310-278-4232
RAINBOW BAR &amp; GRILL
LOS ANGELES
CA
Description : FOOD/BEVERAGE Price : 0.00
310-278-4232</t>
  </si>
  <si>
    <t>SMOA009             Marina Del Rey      CA</t>
  </si>
  <si>
    <t>003202605220032026052223738090292
FedEx Express
SMOA009
Marina Del Rey
CA
FedEx Express
0032026052223738090292</t>
  </si>
  <si>
    <t>UNITED VALET PARKINGWEST HOLLYWOO       CA</t>
  </si>
  <si>
    <t>73011766144 KENNY@UNITEDPARKINGIN
KENNY@UNITEDPARKINGINC.CO
UNITED VALET PARKINGSUNS 6307491335252
WEST HOLLYWOO
CA
KENNY@UNITEDPARKINGINC.CO</t>
  </si>
  <si>
    <t>VENICE LIQUOR       LOS ANGELES         CA</t>
  </si>
  <si>
    <t>85347036144310-439-1855
VENICE LIQUOR
LOS ANGELES
CA
310-439-1855</t>
  </si>
  <si>
    <t>05/21/2026</t>
  </si>
  <si>
    <t>BLUE LOTUS MASSAGE  Los Angeles         CA</t>
  </si>
  <si>
    <t xml:space="preserve">TPPGiPsEYMP squareup.com/receipts
BLUE LOTUS MASSAGE
Los Angeles
CA
</t>
  </si>
  <si>
    <t>ROSS DRESS FOR LESS VENICE              CA</t>
  </si>
  <si>
    <t>00311008564 800-335-1115
ROSS DRESS FOR LESS
VENICE
CA
800-335-1115</t>
  </si>
  <si>
    <t>00311009135 800-335-1115
ROSS DRESS FOR LESS
VENICE
CA
800-335-1115</t>
  </si>
  <si>
    <t>TST* THE BUTCHER'S DVENICE              CA</t>
  </si>
  <si>
    <t>99999996141 3109813004
TST* THE BUTCHER'S DAUGHT 000037203
VENICE
CA
Description : RESTAURANTS Price : 1.1335
3109813004</t>
  </si>
  <si>
    <t>05/20/2026</t>
  </si>
  <si>
    <t>PACOS TACOS         LOS ANGELES         CA</t>
  </si>
  <si>
    <t>84610065    310-850-1336
PACOS TACOS
LOS ANGELES
CA
Description : FOOD/BEVERAGE Price : 0.00
310-850-1336</t>
  </si>
  <si>
    <t>05/19/2026</t>
  </si>
  <si>
    <t>TST* JUICE CRAFTERS SANTA MONICA        CA</t>
  </si>
  <si>
    <t>00010259032 RESTAURANT
TST* JUICE CRAFTERS - SAN 00010259
SANTA MONICA
CA
RESTAURANT</t>
  </si>
  <si>
    <t>VITO RESTAURANT     SANTA MONICA        CA</t>
  </si>
  <si>
    <t>######LRKlD sean@crbsocal.com
VITO RESTAURANT
SANTA MONICA
CA
sean@crbsocal.com</t>
  </si>
  <si>
    <t>05/18/2026</t>
  </si>
  <si>
    <t xml:space="preserve">LfvxarIA3qi squareup.com/receipts
BLUE LOTUS MASSAGE
Los Angeles
CA
</t>
  </si>
  <si>
    <t>CITY OF SANTA MONICASANTA MONICA        CA</t>
  </si>
  <si>
    <t>599979     100003933483507  90401
CITY OF SANTA MONICA
SANTA MONICA
CA
100003933483507  90401</t>
  </si>
  <si>
    <t>EDS LIQUOR AND MARKESANTA MONICA        CA</t>
  </si>
  <si>
    <t>31099536138 LIQUOR STORE
EDS LIQUOR AND MARKET 00-08041557490
SANTA MONICA
CA
LIQUOR STORE</t>
  </si>
  <si>
    <t>GILBERTS EL INDIO LLSANTA MONICA        CA</t>
  </si>
  <si>
    <t>26400061    310-450-8057
GILBERTS EL INDIO LLC
SANTA MONICA
CA
Description : FOOD/BEVERAGE Price : 0.00
310-450-8057</t>
  </si>
  <si>
    <t>WHOLEFDS PIC #10653 SANTA MONICA        CA</t>
  </si>
  <si>
    <t>0HOEWWTVADB 1234567891
WHOLEFDS PIC #10653 000010653
SANTA MONICA
CA
Description : GROCERY STORES Price : 0.487
1234567891</t>
  </si>
  <si>
    <t>05/17/2026</t>
  </si>
  <si>
    <t>MANHATTAN BEACH PARKMANHATTAN BEA       CA</t>
  </si>
  <si>
    <t>32321954    310-802-5000
MANHATTAN BEACH PARKING
MANHATTAN BEA
CA
Description : PARKING FEES Price : 0.00
310-802-5000</t>
  </si>
  <si>
    <t>TST* TAVERNA AT THE LOS ANGELES         CA</t>
  </si>
  <si>
    <t>99999996137 3107516773
TST* TAVERNA AT THE MAR V 300688873
LOS ANGELES
CA
Description : RESTAURANTS Price : 1.297
3107516773</t>
  </si>
  <si>
    <t>05/16/2026</t>
  </si>
  <si>
    <t>AplPay GRUBHUB*IKESLNEW YORK            NY</t>
  </si>
  <si>
    <t>DRMZGJ1N    8775851085
AplPay GRUBHUB*IKESLOVESANDWI
NEW YORK
NY
8775851085</t>
  </si>
  <si>
    <t>BUN AND MI          Santa Monica        CA</t>
  </si>
  <si>
    <t>zZIEiXo7eiD squareup.com/receipts
BUN AND MI
Santa Monica
CA
squareup.com/receipts</t>
  </si>
  <si>
    <t>05/15/2026</t>
  </si>
  <si>
    <t>RESTORE.COM         AUSTIN              TX</t>
  </si>
  <si>
    <t>CH_3TXUT7A8 +15125374087
RESTORE.COM
AUSTIN
TX
+15125374087</t>
  </si>
  <si>
    <t>05/12/2026</t>
  </si>
  <si>
    <t>C756K5S3    8775851085
AplPay GRUBHUB*LAVEGAN
NEW YORK
NY
8775851085</t>
  </si>
  <si>
    <t>TST* GREAT WHITE - VVENICE              CA</t>
  </si>
  <si>
    <t>21105176133 RESTAURANT
TST* GREAT WHITE - VENICE 00033611
VENICE
CA
RESTAURANT</t>
  </si>
  <si>
    <t>05/11/2026</t>
  </si>
  <si>
    <t>SIXT PORTUGAL RAC_30PAREDES             PR</t>
  </si>
  <si>
    <t>000002933   AUTOMOBILE RENTAL
Sixt9609190709
60511T7EJVYHZ3DLWY
SIXT PORTUGAL RAC_307_MOTO
PAREDES
PR
Sixt9609190709
60511T7EJVYHZ3DLWY
AUTOMOBILE RENTALForeign Spend Amount: 150.00 EURO Commission Amount:  Currency Exchange Rate: null</t>
  </si>
  <si>
    <t>URBAN PLATES #13    WOODLAND HILL       CA</t>
  </si>
  <si>
    <t>00008376    818-588-4141
URBAN PLATES #13
WOODLAND HILL
CA
Description : SPORTS/RIDING APPAR Price : 0.00
818-588-4141</t>
  </si>
  <si>
    <t>05/10/2026</t>
  </si>
  <si>
    <t>DRIP DADDY          WEST HOLLYWOO       CA</t>
  </si>
  <si>
    <t>85428146131 914-318-4107
DRIP DADDY
WEST HOLLYWOO
CA
914-318-4107</t>
  </si>
  <si>
    <t>FLOYD'S 99 MARVISTA LOS ANGELES         CA</t>
  </si>
  <si>
    <t>73011006131 JHARDY@FLOYDSBARBERSH
JHARDY@FLOYDSBARBERSHOP.C
FLOYD'S 99 MARVISTA 436845559271340
LOS ANGELES
CA
JHARDY@FLOYDSBARBERSHOP.C</t>
  </si>
  <si>
    <t>99999996130 3109813004
TST* THE BUTCHER'S DAUGHT 000037203
VENICE
CA
Description : RESTAURANTS Price : 1.1264
3109813004</t>
  </si>
  <si>
    <t>TST* THE COMEDY STORLOS ANGELES         CA</t>
  </si>
  <si>
    <t>99999996130 3236506268
TST* THE COMEDY STORE HOL 000059256
LOS ANGELES
CA
Description : BARS Price : 0.6774
3236506268</t>
  </si>
  <si>
    <t>VENICE              Los Angeles         CA</t>
  </si>
  <si>
    <t>56vuFZ1M3Gl squareup.com/receipts
VENICE
Los Angeles
CA
squareup.com/receipts</t>
  </si>
  <si>
    <t>05/09/2026</t>
  </si>
  <si>
    <t>ANDAZ W HOLLYWOOD PRWEST HOLLYWOO       CA</t>
  </si>
  <si>
    <t>0010197149  323-656-1234
ANDAZ W HOLLYWOOD PRKNG LAXSS
WEST HOLLYWOO
CA
Description : PARKING FEES Price : 0.00
323-656-1234</t>
  </si>
  <si>
    <t>9843XNSE    8775851085
AplPay GRUBHUB*IKESLOVESANDWI
NEW YORK
NY
8775851085</t>
  </si>
  <si>
    <t>hsGalbIgFSs squareup.com/receipts
BLUE LOTUS MASSAGE
Los Angeles
CA
squareup.com/receipts</t>
  </si>
  <si>
    <t>PV FUEL             LOS ANGELES         CA</t>
  </si>
  <si>
    <t>00049279    310-410-9294
PV FUEL
LOS ANGELES
CA
Description : GAS/SERVICES Price : 0.00
310-410-9294</t>
  </si>
  <si>
    <t>SP AVIATOR NATION   VENICE              CA</t>
  </si>
  <si>
    <t>CH_3TVEMFIA +13103969100
SP AVIATOR NATION
VENICE
CA
+13103969100</t>
  </si>
  <si>
    <t>TST* INTELLIGENTSIA VENICE              CA</t>
  </si>
  <si>
    <t>00027059031 RESTAURANT
TST* INTELLIGENTSIA - VEN 00027059
VENICE
CA
RESTAURANT</t>
  </si>
  <si>
    <t>05/07/2026</t>
  </si>
  <si>
    <t>AMEX TRAVEL PAY WITH POINTS CREDIT</t>
  </si>
  <si>
    <t xml:space="preserve">AMEX TRAVEL PAY WITH POINTS CREDIT
</t>
  </si>
  <si>
    <t>05/06/2026</t>
  </si>
  <si>
    <t>PwP    AMERICAN EXPRPHOENIX             AZ</t>
  </si>
  <si>
    <t>050909      AIRLINE/AIR CARRIER
PASSENGER TICKET
PwP    AMERICAN EXPRESS TRAVEL
PHOENIX
AZ
Carrier : AMERICAN AIRLINES
Passenger Name : DUNNING/JOHN BARKER
Ticket Number : 00174398623512
Departure Day : 05/09
Additional Info : PASSENGER TICKET
From : LOS ANGELES INTERN
To : DALLAS/FORT WORTH
Class : V</t>
  </si>
  <si>
    <t>05/04/2026</t>
  </si>
  <si>
    <t>PACIFIC SPAS &amp; SAUNALOS ANGELES         CA</t>
  </si>
  <si>
    <t>05066397    310-445-7727
PACIFIC SPAS &amp; SAUNA
LOS ANGELES
CA
Description : BUSINESS SERVICES Price : 0.00
310-445-7727</t>
  </si>
  <si>
    <t>000001110   AUTOMOBILE RENTAL
Sixt9609190709
60504HQCSB4CLPBXMG
SIXT PORTUGAL RAC_307_MOTO
PAREDES
PR
Sixt9609190709
60504HQCSB4CLPBXMG
AUTOMOBILE RENTALForeign Spend Amount: 21.35 EURO Commission Amount:  Currency Exchange Rate: null</t>
  </si>
  <si>
    <t>05/01/2026</t>
  </si>
  <si>
    <t>49065284    310-445-7727
PACIFIC SPAS &amp; SAUNA
LOS ANGELES
CA
Description : BUSINESS SERVICES Price : 0.00
310-445-7727</t>
  </si>
  <si>
    <t>84690122    310-850-1336
PACOS TACOS
LOS ANGELES
CA
Description : FOOD/BEVERAGE Price : 0.00
310-850-1336</t>
  </si>
  <si>
    <t>04/30/2026</t>
  </si>
  <si>
    <t>LAX AIRP NATURAL BREMiami               FL</t>
  </si>
  <si>
    <t>22340      22340            33126
LAX AIRP NATURAL BREAK T4
Miami
FL
22340            33126</t>
  </si>
  <si>
    <t>04/29/2026</t>
  </si>
  <si>
    <t>TST* BLUEYS KITCHEN LOS ANGELES         CA</t>
  </si>
  <si>
    <t>21105176120 RESTAURANT
TST* BLUEYS KITCHEN MAR V 00098618
LOS ANGELES
CA
RESTAURANT</t>
  </si>
  <si>
    <t>04/28/2026</t>
  </si>
  <si>
    <t>RO15GPgquag squareup.com/receipts
BLUE LOTUS MASSAGE
Los Angeles
CA
squareup.com/receipts</t>
  </si>
  <si>
    <t>TST* CAFE GRATITUDE VENICE              CA</t>
  </si>
  <si>
    <t>99999996118 4242318000
TST* CAFE GRATITUDE - VEN 000051713
VENICE
CA
Description : RESTAURANTS Price : 1.4657
4242318000</t>
  </si>
  <si>
    <t>VERSAILLES CUBAN FOOLos Angeles         CA</t>
  </si>
  <si>
    <t>DtY7VeSbPrg squareup.com/receipts
VERSAILLES CUBAN FOOD
Los Angeles
CA
squareup.com/receipts</t>
  </si>
  <si>
    <t>04/27/2026</t>
  </si>
  <si>
    <t>04/26/2026</t>
  </si>
  <si>
    <t>21105176117 RESTAURANT
TST* BLUEYS KITCHEN MAR V 00098618
LOS ANGELES
CA
RESTAURANT</t>
  </si>
  <si>
    <t>99999996116 3109813004
TST* THE BUTCHER'S DAUGHT 000037203
VENICE
CA
Description : RESTAURANTS Price : 0.672
3109813004</t>
  </si>
  <si>
    <t>04/25/2026</t>
  </si>
  <si>
    <t>CH_3TQEZWIA +13103969100
SP AVIATOR NATION
VENICE
CA
+13103969100</t>
  </si>
  <si>
    <t>SP VELVET ECOM      CULVER CITY         CA</t>
  </si>
  <si>
    <t>CH_3TQERUDS +18882917412
SP VELVET ECOM
CULVER CITY
CA
+18882917412</t>
  </si>
  <si>
    <t>04/24/2026</t>
  </si>
  <si>
    <t>CASABLANCA RESTAURANVENICE              CA</t>
  </si>
  <si>
    <t>31099536115 RESTAURANT
CASABLANCA RESTAURANT 00-08045339838
VENICE
CA
RESTAURANT</t>
  </si>
  <si>
    <t>52053570    310-445-7727
PACIFIC SPAS &amp; SAUNA
LOS ANGELES
CA
Description : BUSINESS SERVICES Price : 0.00
310-445-7727</t>
  </si>
  <si>
    <t>21105176115 RESTAURANT
TST* BLUEYS KITCHEN MAR V 00098618
LOS ANGELES
CA
RESTAURANT</t>
  </si>
  <si>
    <t>04/23/2026</t>
  </si>
  <si>
    <t>AplPay GRUBHUB*SHAMVNEW YORK            NY</t>
  </si>
  <si>
    <t>6PXCJT9P    8775851085
AplPay GRUBHUB*SHAMVEGANKITCH
NEW YORK
NY
8775851085</t>
  </si>
  <si>
    <t>CORPORATE FILINGS LLSHERIDAN            WY</t>
  </si>
  <si>
    <t>CH_3TPN1A2F +18884072122
CORPORATE FILINGS LLC
SHERIDAN
WY
+18884072122</t>
  </si>
  <si>
    <t>04/20/2026</t>
  </si>
  <si>
    <t>HMQ3T8PS    8775851085
AplPay GRUBHUB*LAVEGAN
NEW YORK
NY
8775851085</t>
  </si>
  <si>
    <t>04/19/2026</t>
  </si>
  <si>
    <t>POWERHOUSE PILATES  LOS ANGELES         CA</t>
  </si>
  <si>
    <t>CH_3TO5CLCL +18184918387
POWERHOUSE PILATES
LOS ANGELES
CA
+18184918387</t>
  </si>
  <si>
    <t>THE HOME DEPOT 6611 LOS ANGELES         CA</t>
  </si>
  <si>
    <t>26041966118 HOME SUPPLY WAREHOUSE
THE HOME DEPOT 6611
LOS ANGELES
CA
HOME SUPPLY WAREHOUSE</t>
  </si>
  <si>
    <t>04/18/2026</t>
  </si>
  <si>
    <t>AMC MARINA MARKETPL MARINA DEL REY      CA</t>
  </si>
  <si>
    <t>40337304    913-213-2160
AMC MARINA MARKETPL
MARINA DEL REY
CA
Description : ADMISSION/TICKETS Price : 0.00
913-213-2160</t>
  </si>
  <si>
    <t>COFFEE BEAN &amp; TEA   MARINA DEL RE       CA</t>
  </si>
  <si>
    <t>831984      FAST FOOD RESTAURANT
COFFEE BEAN &amp; TEA
MARINA DEL RE
CA
FAST FOOD RESTAURANT</t>
  </si>
  <si>
    <t>890135      FAST FOOD RESTAURANT
COFFEE BEAN &amp; TEA
MARINA DEL RE
CA
FAST FOOD RESTAURANT</t>
  </si>
  <si>
    <t>21105176109 RESTAURANT
TST* BLUEYS KITCHEN MAR V 00098618
LOS ANGELES
CA
RESTAURANT</t>
  </si>
  <si>
    <t>04/17/2026</t>
  </si>
  <si>
    <t>LISBON DUTY FREE WALLISBOA</t>
  </si>
  <si>
    <t>DUTY-FREE STORE
LISBON DUTY FREE WAL
LISBOA
DUTY-FREE STOREForeign Spend Amount: 67.40 EURO Commission Amount:  Currency Exchange Rate: null</t>
  </si>
  <si>
    <t>84630065    310-850-1336
PACOS TACOS
LOS ANGELES
CA
Description : FOOD/BEVERAGE Price : 0.00
310-850-1336</t>
  </si>
  <si>
    <t>STARBUCKS COFFEE AR LISBOA</t>
  </si>
  <si>
    <t>BAR/NIGHTCLUB
STARBUCKS COFFEE AR
LISBOA
BAR/NIGHTCLUBForeign Spend Amount: 25.00 EURO Commission Amount:  Currency Exchange Rate: null</t>
  </si>
  <si>
    <t>TAP PORTUGAL LISBON LISBON              PR</t>
  </si>
  <si>
    <t>04742125810 +
MISC. CHARGE ORDER (MCO)/PREPAID TICKET AUTH.
TAP PORTUGAL LISBON
LISBON
PR
Carrier : TAP PORTUGAL
Passenger Name : DUNNING/ANGELAMRS
Ticket Number : 0474212581015
Additional Info : MISC. CHARGE ORDER (MCO)/PREPAID TICKET AUTH.
From : LISBON
To : LOS ANGELES INTERNForeign Spend Amount: 180.00 EURO Commission Amount:  Currency Exchange Rate: null</t>
  </si>
  <si>
    <t>TOREL PALACE LISBOA LISBOA</t>
  </si>
  <si>
    <t>LODGING
TOREL PALACE LISBOA
LISBOA
LODGINGForeign Spend Amount: 696.00 EURO Commission Amount:  Currency Exchange Rate: null</t>
  </si>
  <si>
    <t>04/16/2026</t>
  </si>
  <si>
    <t>TEYA*IL MULINO RUA JLISBOA              PR</t>
  </si>
  <si>
    <t>70000006106 RESTAURANT
TEYA*IL MULINO RUA JARDIM DO R
LISBOA
PR
RESTAURANTForeign Spend Amount: 85.67 EURO Commission Amount:  Currency Exchange Rate: null</t>
  </si>
  <si>
    <t>04/12/2026</t>
  </si>
  <si>
    <t>DUTY-FREE STORE
LISBON DUTY FREE WAL
LISBOA
DUTY-FREE STOREForeign Spend Amount: 26.50 EURO Commission Amount:  Currency Exchange Rate: null</t>
  </si>
  <si>
    <t>ROYAL MANSOUR MARRAKMARRAKECH</t>
  </si>
  <si>
    <t>LODGING
ROYAL MANSOUR MARRAKECH MARRAKECH MORO
MARRAKECH
LODGINGForeign Spend Amount: 20553.50 MOROCCAN DIRHAM Commission Amount:  Currency Exchange Rate: null</t>
  </si>
  <si>
    <t>000001595   AUTOMOBILE RENTAL
Sixt9609190709
60329O4B71V3UOXAO6
SIXT PORTUGAL RAC_307_POS
PAREDES
PR
Sixt9609190709
60329O4B71V3UOXAO6
AUTOMOBILE RENTALForeign Spend Amount: 1416.27 EURO Commission Amount:  Currency Exchange Rate: null</t>
  </si>
  <si>
    <t>TAPDCS_JFE          PT                  PR</t>
  </si>
  <si>
    <t>04742125443 +31202401680 / suppor
PASSENGER TICKET
TAPDCS_JFE
PT
PR
Carrier : TAPPortugal
Passenger Name : DUNNING/ANGELALISA
Ticket Number : 0474212544336
Departure Day : 04/12
Additional Info : PASSENGER TICKET
From : LISBON
To : MARRAKECH
Class : A
From : MARRAKECH
To : LISBON
Class : AForeign Spend Amount: 87.00 EURO Commission Amount:  Currency Exchange Rate: null</t>
  </si>
  <si>
    <t>04742125443 +31202401680 / suppor
PASSENGER TICKET
TAPDCS_JFE
PT
PR
Carrier : TAPPortugal
Passenger Name : DUNNING/ANGELALISA
Ticket Number : 0474212544332
Departure Day : 04/12
Additional Info : PASSENGER TICKET
From : LISBON
To : MARRAKECH
Class : A
From : MARRAKECH
To : LISBON
Class : AForeign Spend Amount: 87.00 EURO Commission Amount:  Currency Exchange Rate: null</t>
  </si>
  <si>
    <t>LODGING
TOREL PALACE LISBOA
LISBOA
LODGINGForeign Spend Amount: 558.00 EURO Commission Amount:  Currency Exchange Rate: null</t>
  </si>
  <si>
    <t>04/11/2026</t>
  </si>
  <si>
    <t>CRUZ DE ELVIRA 36308GRANADA             ES</t>
  </si>
  <si>
    <t>926988      BOOK STORE
CRUZ DE ELVIRA 363083155
GRANADA
ES
BOOK STOREForeign Spend Amount: 151.85 EURO Commission Amount:  Currency Exchange Rate: null</t>
  </si>
  <si>
    <t>DULCE NOMBRE NORTE 3PARADAS             ES</t>
  </si>
  <si>
    <t>915912TC4FB GAS STATION
DULCE NOMBRE NORTE 337177653
PARADAS
ES
GAS STATIONForeign Spend Amount: 46.97 EURO Commission Amount:  Currency Exchange Rate: null</t>
  </si>
  <si>
    <t>LA CASA DE JUAN RANAGRANADA             ES</t>
  </si>
  <si>
    <t>0000771     RESTAURANT
LA CASA DE JUAN RANAS 354612376
GRANADA
ES
RESTAURANTForeign Spend Amount: 60.00 EURO Commission Amount:  Currency Exchange Rate: null</t>
  </si>
  <si>
    <t>REPSOL E0772        MONTEMOR-O-NOVO</t>
  </si>
  <si>
    <t>GAS STATION
REPSOL E0772
MONTEMOR-O-NOVO
GAS STATIONForeign Spend Amount: 92.07 EURO Commission Amount:  Currency Exchange Rate: null</t>
  </si>
  <si>
    <t>04/10/2026</t>
  </si>
  <si>
    <t>PLATA PLATA RC 34828GRANADA             ES</t>
  </si>
  <si>
    <t>2538mnt7oo1 JEWELRY/WATCH/SILVRWR
PLATA PLATA RC 348280330
GRANADA
ES
JEWELRY/WATCH/SILVRWRForeign Spend Amount: 277.00 EURO Commission Amount:  Currency Exchange Rate: null</t>
  </si>
  <si>
    <t>04/09/2026</t>
  </si>
  <si>
    <t>3CPAYMENT*STARBUCKS CORDOBA             ES</t>
  </si>
  <si>
    <t>00092660093 957981036
3CPAYMENT*STARBUCKS 57969 MEZQUITA 000
CORDOBA
ES
957981036Foreign Spend Amount: 9.40 EURO Commission Amount:  Currency Exchange Rate: null</t>
  </si>
  <si>
    <t>EST SERV SAN JOSE 36ANTEQUERA           ES</t>
  </si>
  <si>
    <t>576871      GAS STATION
EST SERV SAN JOSE 363190620
ANTEQUERA
ES
GAS STATIONForeign Spend Amount: 62.37 EURO Commission Amount:  Currency Exchange Rate: null</t>
  </si>
  <si>
    <t>EXPEDIA 720730796057EXPEDIA.COM         WA</t>
  </si>
  <si>
    <t>60D0YJR56FK 8777877186 / frdss@ex
8777877186 / frdss@expedi
EXPEDIA 72073079605790
EXPEDIA.COM
WA
8777877186 / frdss@expedi</t>
  </si>
  <si>
    <t>HOSPES PALACIO DEL BCORDOBA             ES</t>
  </si>
  <si>
    <t>004012      LODGING
HOSPES PALACIO DEL BAILIO 367858537
CORDOBA
ES
LODGINGForeign Spend Amount: 9.00 EURO Commission Amount:  Currency Exchange Rate: null</t>
  </si>
  <si>
    <t>004009      LODGING
HOSPES PALACIO DEL BAILIO 367858537
CORDOBA
ES
LODGINGForeign Spend Amount: 205.00 EURO Commission Amount:  Currency Exchange Rate: null</t>
  </si>
  <si>
    <t>04/08/2026</t>
  </si>
  <si>
    <t>AMALTEA ALIMENTOS ECCORDOBA             ES</t>
  </si>
  <si>
    <t>696188      BAR/NIGHTCLUB
AMALTEA ALIMENTOS ECOLOGI 091417899
CORDOBA
ES
BAR/NIGHTCLUBForeign Spend Amount: 105.40 EURO Commission Amount:  Currency Exchange Rate: null</t>
  </si>
  <si>
    <t>CORDOBA.INFO 3679078CORDOBA             ES</t>
  </si>
  <si>
    <t>362659      CARD &amp; SOUVENIR STORE
CORDOBA.INFO 367907813
CORDOBA
ES
CARD &amp; SOUVENIR STOREForeign Spend Amount: 54.11 EURO Commission Amount:  Currency Exchange Rate: null</t>
  </si>
  <si>
    <t>HOTEL LOOBY 36415503SEVILLA             ES</t>
  </si>
  <si>
    <t>2722        LODGING
HOTEL LOOBY 364155036
SEVILLA
ES
LODGINGForeign Spend Amount: 771.01 EURO Commission Amount:  Currency Exchange Rate: null</t>
  </si>
  <si>
    <t>04/07/2026</t>
  </si>
  <si>
    <t>ALIMENTARI E DIVERSISEVILLA             ES</t>
  </si>
  <si>
    <t>RESTAURANT
ALIMENTARI E DIVERSI 213204621
SEVILLA
ES
RESTAURANTForeign Spend Amount: 96.10 EURO Commission Amount:  Currency Exchange Rate: null</t>
  </si>
  <si>
    <t>04/06/2026</t>
  </si>
  <si>
    <t>CICIOSO BH          ÉVORA</t>
  </si>
  <si>
    <t>LODGING
CICIOSO BH
ÉVORA
LODGINGForeign Spend Amount: 32.00 EURO Commission Amount:  Currency Exchange Rate: null</t>
  </si>
  <si>
    <t>PA REGUENGOS DE MONSREGUENGOS DE MONSARA</t>
  </si>
  <si>
    <t>GAS STATION
PA REGUENGOS DE MONS
REGUENGOS DE MONSARAZ
GAS STATIONForeign Spend Amount: 80.04 EURO Commission Amount:  Currency Exchange Rate: null</t>
  </si>
  <si>
    <t>PINGO DOCE REGUENGOSREGUENGOS DE MONSARA</t>
  </si>
  <si>
    <t>GROCERY STORE
PINGO DOCE REGUENGOS
REGUENGOS DE MONSARAZ
GROCERY STOREForeign Spend Amount: 58.87 EURO Commission Amount:  Currency Exchange Rate: null</t>
  </si>
  <si>
    <t>04/04/2026</t>
  </si>
  <si>
    <t>BP ENXOFAES NORTE   MEALHADA</t>
  </si>
  <si>
    <t>GAS STATION
BP ENXOFAES NORTE
MEALHADA
GAS STATIONForeign Spend Amount: 3.30 EURO Commission Amount:  Currency Exchange Rate: null</t>
  </si>
  <si>
    <t>LODGING
CICIOSO BH
ÉVORA
LODGINGForeign Spend Amount: 6.00 EURO Commission Amount:  Currency Exchange Rate: null</t>
  </si>
  <si>
    <t>TOREL PALACE PORTO  PORTO</t>
  </si>
  <si>
    <t>LODGING
TOREL PALACE PORTO
PORTO
LODGINGForeign Spend Amount: 62.00 EURO Commission Amount:  Currency Exchange Rate: null</t>
  </si>
  <si>
    <t>04/03/2026</t>
  </si>
  <si>
    <t>AT&amp;T 3Z71 190620    VENICE              CA</t>
  </si>
  <si>
    <t>96460501    800-331-0500
AT&amp;T 3Z71 190620
VENICE
CA
Description : CELLULAR PHONES/BEE Price : 0.00
800-331-0500</t>
  </si>
  <si>
    <t>SUMUP*ANABELA DA SILVILA NOVA DE GAIA   AV</t>
  </si>
  <si>
    <t>10684802125 franciscojoaosilvacru
franciscojoaosilvacruz@gm
SUMUP*ANABELA DA SILVA LACERDA
VILA NOVA DE GAIA
AV
franciscojoaosilvacruz@gmForeign Spend Amount: 38.00 EURO Commission Amount:  Currency Exchange Rate: null</t>
  </si>
  <si>
    <t>SUMUP*CANDIDA PAREDEVILA NOVA GAIA      AV</t>
  </si>
  <si>
    <t>10684697078 candidaparedes23@gmai
candidaparedes23@gmail.co
SUMUP*CANDIDA PAREDES
VILA NOVA GAIA
AV
candidaparedes23@gmail.coForeign Spend Amount: 65.00 EURO Commission Amount:  Currency Exchange Rate: null</t>
  </si>
  <si>
    <t>04/02/2026</t>
  </si>
  <si>
    <t>3CPAYMENT*STARBUCKS LISBOA              PR</t>
  </si>
  <si>
    <t>00142991870 X
3CPAYMENT*STARBUCKS 82623 R ENG VIEIRA
LISBOA
PR
XForeign Spend Amount: 4.90 EURO Commission Amount:  Currency Exchange Rate: null</t>
  </si>
  <si>
    <t>REPSOL E0130        ESTARREJA</t>
  </si>
  <si>
    <t>GAS STATION
REPSOL E0130
ESTARREJA
GAS STATIONForeign Spend Amount: 77.57 EURO Commission Amount:  Currency Exchange Rate: null</t>
  </si>
  <si>
    <t>LODGING
TOREL PALACE LISBOA
LISBOA
LODGINGForeign Spend Amount: 872.50 EURO Commission Amount:  Currency Exchange Rate: null</t>
  </si>
  <si>
    <t>VIVA*CASA VEGETARIANPORTO               PR</t>
  </si>
  <si>
    <t>RESTAURANT
VIVA*CASA VEGETARIANA
PORTO
PR
RESTAURANTForeign Spend Amount: 118.20 EURO Commission Amount:  Currency Exchange Rate: null</t>
  </si>
  <si>
    <t>VIVA*KONG           LISBOA              PR</t>
  </si>
  <si>
    <t>FAST FOOD RESTAURANT
VIVA*KONG
LISBOA
PR
FAST FOOD RESTAURANTForeign Spend Amount: 75.44 EURO Commission Amount:  Currency Exchange Rate: null</t>
  </si>
  <si>
    <t>04/01/2026</t>
  </si>
  <si>
    <t>A S AVEIRAS         AZAMBUJA</t>
  </si>
  <si>
    <t>GAS STATION
A S AVEIRAS
AZAMBUJA
GAS STATIONForeign Spend Amount: 2.59 EURO Commission Amount:  Currency Exchange Rate: null</t>
  </si>
  <si>
    <t>03/31/2026</t>
  </si>
  <si>
    <t>00110871093 X
3CPAYMENT*STARBUCKS 62027 SINTRA 00000
LISBOA
PR
XForeign Spend Amount: 8.00 EURO Commission Amount:  Currency Exchange Rate: null</t>
  </si>
  <si>
    <t>A ESCADINHA SINTRA  SINTRA</t>
  </si>
  <si>
    <t>CARD &amp; SOUVENIR STORE
A ESCADINHA SINTRA
SINTRA
CARD &amp; SOUVENIR STOREForeign Spend Amount: 63.90 EURO Commission Amount:  Currency Exchange Rate: null</t>
  </si>
  <si>
    <t>AO 26 CHIADO LDA 120LISBOA              PR</t>
  </si>
  <si>
    <t>60902078559 RESTAURANT
AO 26 CHIADO LDA 1200-221
LISBOA
PR
RESTAURANTForeign Spend Amount: 81.00 EURO Commission Amount:  Currency Exchange Rate: null</t>
  </si>
  <si>
    <t>03/30/2026</t>
  </si>
  <si>
    <t>PAVILHAO CHINES     LISBOA</t>
  </si>
  <si>
    <t>BAR/NIGHTCLUB
PAVILHAO CHINES
LISBOA
BAR/NIGHTCLUBForeign Spend Amount: 14.00 EURO Commission Amount:  Currency Exchange Rate: null</t>
  </si>
  <si>
    <t>SUMUP*LOJA DO FORTE OEIRAS              AV</t>
  </si>
  <si>
    <t>10659068201 lojadofortebelem@gmai
lojadofortebelem@gmail.co
SUMUP*LOJA DO FORTE
OEIRAS
AV
lojadofortebelem@gmail.coForeign Spend Amount: 244.70 EURO Commission Amount:  Currency Exchange Rate: null</t>
  </si>
  <si>
    <t>03/28/2026</t>
  </si>
  <si>
    <t>INMOTION @LAX 879 87LOS ANGELES         CA</t>
  </si>
  <si>
    <t>00500011    702-385-5233
INMOTION @LAX 879 879 LAX
LOS ANGELES
CA
Description : ELECTRONIC MERCHAND Price : 0.00
702-385-5233</t>
  </si>
  <si>
    <t>99700006    702-385-5233
INMOTION @LAX 879 879 LAX
LOS ANGELES
CA
Description : ELECTRONIC MERCHAND Price : 0.00
702-385-5233</t>
  </si>
  <si>
    <t>99700005    702-385-5233
INMOTION @LAX 879 879 LAX
LOS ANGELES
CA
Description : ELECTRONIC MERCHAND Price : 0.00
702-385-5233</t>
  </si>
  <si>
    <t>PRET-A-MANGER LAX   LOS ANGELES         CA</t>
  </si>
  <si>
    <t>1927       1927             90045
PRET-A-MANGER LAX
LOS ANGELES
CA
1927             90045</t>
  </si>
  <si>
    <t>99999996087 4242318000
TST* CAFE GRATITUDE - VEN 000051713
VENICE
CA
Description : RESTAURANTS Price : 0.7335
4242318000</t>
  </si>
  <si>
    <t>WILSHIRE &amp; FAIRFAX SLOS ANGELES         CA</t>
  </si>
  <si>
    <t>329000528  328200528        90746
BOOKS/SUPPLIES/GIFTS
WILSHIRE &amp; FAIRFAX ST2 2148
LOS ANGELES
CA
BOOKS/SUPPLIES/GIFTS
328200528        90746</t>
  </si>
  <si>
    <t>03/27/2026</t>
  </si>
  <si>
    <t>GRANDVIEW CLEANERS 5LOS ANGELES         CA</t>
  </si>
  <si>
    <t>73011546086 APPLE619@AOL.COM
GRANDVIEW CLEANERS 545500001455021
LOS ANGELES
CA
APPLE619@AOL.COM</t>
  </si>
  <si>
    <t>21105176087 RESTAURANT
TST* BLUEYS KITCHEN MAR V 00098618
LOS ANGELES
CA
RESTAURANT</t>
  </si>
  <si>
    <t>UNION 76 10194728   LOS ANGELES         CA</t>
  </si>
  <si>
    <t>12064924163 UNION 76
UNION 76 10194728
LOS ANGELES
CA
UNION 76</t>
  </si>
  <si>
    <t>03/26/2026</t>
  </si>
  <si>
    <t>ADIDAS AMERICA, INC.CANTON              MA</t>
  </si>
  <si>
    <t>######KoFQH 9719909812 / Jackson.
9719909812 / Jackson.Barr
ADIDAS AMERICA, INC.
CANTON
MA
9719909812 / Jackson.Barr</t>
  </si>
  <si>
    <t>EVERLANE* R281500246SAN FRANCISCO       CA</t>
  </si>
  <si>
    <t>CH_3TFJRM2Y +18587358007
EVERLANE* R281500246
SAN FRANCISCO
CA
+18587358007</t>
  </si>
  <si>
    <t>NICHE               Marina Del Rey      CA</t>
  </si>
  <si>
    <t>DlGqgIxwNz9 squareup.com/receipts
NICHE
Marina Del Rey
CA
squareup.com/receipts</t>
  </si>
  <si>
    <t>ON INC              PORTLAND            OR</t>
  </si>
  <si>
    <t>######coEd6 5032220691 / dario@on
5032220691 / dario@on-run
ON INC
PORTLAND
OR
5032220691 / dario@on-run</t>
  </si>
  <si>
    <t>RAG &amp; BONE HOLDINGS,NEW YORK            NY</t>
  </si>
  <si>
    <t>399eab2e229 6465645400 / ITsuppor
6465645400 / ITsupport@ra
RAG &amp; BONE HOLDINGS, LLC
NEW YORK
NY
6465645400 / ITsupport@ra</t>
  </si>
  <si>
    <t>CH_3TFKRXDS +18882917412
SP VELVET ECOM
CULVER CITY
CA
+18882917412</t>
  </si>
  <si>
    <t>YUM YUM DONUTS      LOS ANGELES         CA</t>
  </si>
  <si>
    <t>P3UJJAjoo00 3103979391
YUM YUM DONUTS
LOS ANGELES
CA
Description : RESTAURANTS Price : 0.03
3103979391</t>
  </si>
  <si>
    <t>03/25/2026</t>
  </si>
  <si>
    <t>1720 068880021820357LOS ANGELES         CA</t>
  </si>
  <si>
    <t>73011006085 BRETT@1720.LA
1720 068880021820357
LOS ANGELES
CA
BRETT@1720.LA</t>
  </si>
  <si>
    <t>730110060851                90021
1720 068880021820357
LOS ANGELES
CA
1                90021</t>
  </si>
  <si>
    <t>AplPay GRUBHUB*JINYANEW YORK            NY</t>
  </si>
  <si>
    <t>M6YA8KQW    8775851085
AplPay GRUBHUB*JINYARAMENBAR
NEW YORK
NY
8775851085</t>
  </si>
  <si>
    <t>03/24/2026</t>
  </si>
  <si>
    <t>515004     100003904499785  90401
CITY OF SANTA MONICA
SANTA MONICA
CA
100003904499785  90401</t>
  </si>
  <si>
    <t>84640067    310-850-1336
PACOS TACOS
LOS ANGELES
CA
Description : FOOD/BEVERAGE Price : 0.00
310-850-1336</t>
  </si>
  <si>
    <t>######KHp9B sean@crbsocal.com
VITO RESTAURANT
SANTA MONICA
CA
sean@crbsocal.com</t>
  </si>
  <si>
    <t>03/23/2026</t>
  </si>
  <si>
    <t>TST* AMERICAN BEAUTYVENICE              CA</t>
  </si>
  <si>
    <t>21105176083 RESTAURANT
TST* AMERICAN BEAUTY STEA 00048568
VENICE
CA
RESTAURANT</t>
  </si>
  <si>
    <t>03/22/2026</t>
  </si>
  <si>
    <t>JOES PARKING 246 S SLOS ANGELES         CA</t>
  </si>
  <si>
    <t>84400050    626-420-2440
JOES PARKING 246 S SPRIN 4700
LOS ANGELES
CA
Description : PARKING FEES Price : 0.00
626-420-2440</t>
  </si>
  <si>
    <t>LA CABANA - VENICE 5877-8144102         CA</t>
  </si>
  <si>
    <t>73011546082 CARLOS@LACABANAVENICE
CARLOS@LACABANAVENICE.COM
LA CABANA - VENICE 545500001823608
877-8144102
CA
CARLOS@LACABANAVENICE.COM</t>
  </si>
  <si>
    <t>99999996081 4242318000
TST* CAFE GRATITUDE - VEN 000051713
VENICE
CA
Description : RESTAURANTS Price : 1.8809
4242318000</t>
  </si>
  <si>
    <t>03/21/2026</t>
  </si>
  <si>
    <t>UNION 76 09477241   LOS ANGELES         CA</t>
  </si>
  <si>
    <t>12050436701 UNION 76
UNION 76 09477241
LOS ANGELES
CA
UNION 76</t>
  </si>
  <si>
    <t>03/19/2026</t>
  </si>
  <si>
    <t>AplPay BT*ALLIANZ INRICHMOND            VA</t>
  </si>
  <si>
    <t>HG9XAZ01    8666729580
AplPay BT*ALLIANZ INSURANCE
RICHMOND
VA
8666729580</t>
  </si>
  <si>
    <t>TICKETMASTER PHNS LA1</t>
  </si>
  <si>
    <t>LA1/59-3545 8006538000
AplPay TM *VSSL LIVE
LOS ANGELES
CA
8006538000</t>
  </si>
  <si>
    <t>AplPay TM *VSSL LIVELOS ANGELES         CA</t>
  </si>
  <si>
    <t>03/18/2026</t>
  </si>
  <si>
    <t>j5sybuOZ6qq squareup.com/receipts
ALANA'S COFFEE ROASTERS
Los Angeles
CA
squareup.com/receipts</t>
  </si>
  <si>
    <t>21105176078 RESTAURANT
TST* BLUEYS KITCHEN MAR V 00098618
LOS ANGELES
CA
RESTAURANT</t>
  </si>
  <si>
    <t>03/16/2026</t>
  </si>
  <si>
    <t>SOCIALPILOT         LEWES               DE</t>
  </si>
  <si>
    <t>CH_2TBFFA04 +14154506060
SOCIALPILOT
LEWES
DE
+14154506060</t>
  </si>
  <si>
    <t>03/15/2026</t>
  </si>
  <si>
    <t>800.COM, LLC        800-800-4321        FL</t>
  </si>
  <si>
    <t>21105176075 ESTABLISHES
800.COM, LLC
800-800-4321
FL
ESTABLISHES</t>
  </si>
  <si>
    <t>DNH*GODADDY#40391591Tempe               AZ</t>
  </si>
  <si>
    <t>4039159106 4805058855
Business Professional  - Renewal - 1 yea
Email - Archiving - Renewal
Microsoft 365 Email Backup - Renewal
DNH*GODADDY#4039159106
Tempe
AZ
Business Professional  - Renewal - 1 yea
Email - Archiving - Renewal
Microsoft 365 Email Backup - Renewal
4805058855</t>
  </si>
  <si>
    <t>CH_3TBATCA8 +15125374087
RESTORE.COM
AUSTIN
TX
+15125374087</t>
  </si>
  <si>
    <t>03/14/2026</t>
  </si>
  <si>
    <t>OFFICEMAX/DEPOT 6684WEATHERFORD         TX</t>
  </si>
  <si>
    <t>500134154508004633768
Subscription Billing For Contract - 1169
OFFICEMAX/DEPOT 6684 000006684
WEATHERFORD
TX
Subscription Billing For Contract - 1169
8004633768</t>
  </si>
  <si>
    <t>03/13/2026</t>
  </si>
  <si>
    <t>ASANA.COM           SAN FRANCISCO       CA</t>
  </si>
  <si>
    <t>CH_3TACWOIW +14155253888
ASANA.COM
SAN FRANCISCO
CA
+14155253888</t>
  </si>
  <si>
    <t>AplPay DELTA AIR LINATLANTA</t>
  </si>
  <si>
    <t>18002211212
MISCELLANEOUS TAX(S)/FEE(S)
AplPay DELTA AIR LINES
ATLANTA
Carrier : DELTA AIR LINES
Passenger Name : DUNNING/JOHN
Ticket Number : 00641479494725
Additional Info : MISCELLANEOUS TAX(S)/FEE(S)</t>
  </si>
  <si>
    <t>DELTA AIR LINES</t>
  </si>
  <si>
    <t>18002211212
MISCELLANEOUS TAX(S)/FEE(S)
DELTA AIR LINES
ATLANTA
Carrier : DELTA AIR LINES
Passenger Name : DUNNING/JOHNBARKER
Ticket Number : 00641472959934
Additional Info : MISCELLANEOUS TAX(S)/FEE(S)</t>
  </si>
  <si>
    <t>DELTA AIR LINES     ATLANTA</t>
  </si>
  <si>
    <t>DNH*GODADDY#40376300Tempe               AZ</t>
  </si>
  <si>
    <t>4037630071 4805058855
Microsoft 365 Online Business Essentials
Email - Archiving - Renewal
DNH*GODADDY#4037630071
Tempe
AZ
Microsoft 365 Online Business Essentials
Email - Archiving - Renewal
4805058855</t>
  </si>
  <si>
    <t>TST* JEKYLL ISLAND -ATLANTA             GA</t>
  </si>
  <si>
    <t xml:space="preserve">TST* JEKYLL ISLAND - CONC
ATLANTA
GA
</t>
  </si>
  <si>
    <t>99999996072 8482283385
TST* JEKYLL ISLAND - CONC 300755902
ATLANTA
GA
Description : RESTAURANTS Price : 0.575
8482283385</t>
  </si>
  <si>
    <t>VOCABULARY.COM      SAN MATEO           CA</t>
  </si>
  <si>
    <t>CH_3TAKEMJY +18886060846
VOCABULARY.COM
SAN MATEO
CA
+18886060846</t>
  </si>
  <si>
    <t>03/12/2026</t>
  </si>
  <si>
    <t>ALAMO RENT-A-C044114COLLEGE PARK        GA</t>
  </si>
  <si>
    <t xml:space="preserve">R/A# 242844957   833-3155893
ALAMO RENT-A-C044114 06050044114
COLLEGE PARK
GA
</t>
  </si>
  <si>
    <t>BROOKSTONE ST2097 20ATLANTA             GA</t>
  </si>
  <si>
    <t xml:space="preserve">BROOKSTONE ST2097 2097
ATLANTA
GA
</t>
  </si>
  <si>
    <t>312224545  312184545        30354
ELECTRONIC MERCHANDISE
BROOKSTONE ST2097 2097
ATLANTA
GA
ELECTRONIC MERCHANDISE
312184545        30354</t>
  </si>
  <si>
    <t>CNNST2705 2705      ATLANTA             GA</t>
  </si>
  <si>
    <t xml:space="preserve">CNNST2705 2705
ATLANTA
GA
</t>
  </si>
  <si>
    <t>312222752  312182752        30354
NEWS DEALERS/NEWSSTANDS
CNNST2705 2705
ATLANTA
GA
NEWS DEALERS/NEWSSTANDS
312182752        30354</t>
  </si>
  <si>
    <t>312201220  312161220        30354
NEWS DEALERS/NEWSSTANDS
CNNST2705 2705
ATLANTA
GA
NEWS DEALERS/NEWSSTANDS
312161220        30354</t>
  </si>
  <si>
    <t>312223011  312183011        30354
NEWS DEALERS/NEWSSTANDS
CNNST2705 2705
ATLANTA
GA
NEWS DEALERS/NEWSSTANDS
312183011        30354</t>
  </si>
  <si>
    <t>INMOTION @ATL 841 84ATLANTA             GA</t>
  </si>
  <si>
    <t xml:space="preserve">INMOTION @ATL 841 841 ATL
ATLANTA
GA
</t>
  </si>
  <si>
    <t>77400039    702-385-5233
INMOTION @ATL 841 841 ATL
ATLANTA
GA
Description : ELECTRONIC MERCHAND Price : 0.00
702-385-5233</t>
  </si>
  <si>
    <t>REALTOR ASSOCIATION/CHICAGO             IL</t>
  </si>
  <si>
    <t>90749252    312-329-8245
REALTOR ASSOCIATION/ML
CHICAGO
IL
Description : MEMBERSHIP ORGANIZA Price : 0.00
312-329-8245</t>
  </si>
  <si>
    <t>SPOTIFY P404E005AF 6NEW YORK            NY</t>
  </si>
  <si>
    <t>P404E005AF  SUPPORT@SPOTIFY.COM
SPOTIFY P404E005AF 685603
NEW YORK
NY
SUPPORT@SPOTIFY.COM</t>
  </si>
  <si>
    <t>The Tess  Autograph Atlanta             GA</t>
  </si>
  <si>
    <t xml:space="preserve">39789       4045741234
LODGING
The Tess  Autograph Collection
Atlanta
GA
</t>
  </si>
  <si>
    <t>03/11/2026</t>
  </si>
  <si>
    <t>6681121 - WE JUICE IATLANTA             GA</t>
  </si>
  <si>
    <t>FAST FOOD RESTAURANT
6681121 - WE JUICE IT 59709
ATLANTA
GA
FAST FOOD RESTAURANT</t>
  </si>
  <si>
    <t>AplPay AA WIFI SALESFORT WORTH          TX</t>
  </si>
  <si>
    <t>CHK5EYXK27S 888-649-6711 / DL_RAC
WIFI
AplPay AA WIFI SALES
FORT WORTH
TX
Carrier : American Airlines
Passenger Name : John  Dunning
Ticket Number : CHK5EYXK27SZ9
Departure Day : 12/31
Additional Info : WIFI</t>
  </si>
  <si>
    <t>AplPay E-Z PARKING SSmyrna              GA</t>
  </si>
  <si>
    <t>jF2KKqBX20y squareup.com/receipts
AplPay E-Z PARKING SELECTION
Smyrna
GA
squareup.com/receipts</t>
  </si>
  <si>
    <t>DNH*GODADDY#40361406Tempe               AZ</t>
  </si>
  <si>
    <t>4036140624 4805058855
Email Essentials  - Renewal - monthly
Email - Archiving - Renewal
DNH*GODADDY#4036140624
Tempe
AZ
Email Essentials  - Renewal - monthly
Email - Archiving - Renewal
4805058855</t>
  </si>
  <si>
    <t>941528458   305-267-8510
STARBUCKS 85549 STARBUCKS 85549
LOS ANGELES
CA
305-267-8510</t>
  </si>
  <si>
    <t>THE TESS BUCKHEAD MAATLANTA             GA</t>
  </si>
  <si>
    <t xml:space="preserve">M07192      AUTOGRAPH
LODGING
THE TESS BUCKHEAD MA
ATLANTA
GA
</t>
  </si>
  <si>
    <t>TST* DELBAR MIDDLE EATLANTA             GA</t>
  </si>
  <si>
    <t>99999996071 4047389302
TST* DELBAR MIDDLE EASTER 000051342
ATLANTA
GA
Description : RESTAURANTS Price : 2.8033
4047389302</t>
  </si>
  <si>
    <t>03/10/2026</t>
  </si>
  <si>
    <t>1YLWkoz9mvm squareup.com/receipts
ALANA'S COFFEE ROASTERS
Los Angeles
CA
squareup.com/receipts</t>
  </si>
  <si>
    <t>DNH*GODADDY#40352944Tempe               AZ</t>
  </si>
  <si>
    <t>4035294420 4805058855
Business Professional  - Renewal - month
Email - Archiving - Renewal
DNH*GODADDY#4035294420
Tempe
AZ
Business Professional  - Renewal - month
Email - Archiving - Renewal
4805058855</t>
  </si>
  <si>
    <t>LINKEDIN JOB*8444143LNKD.IN/BILL        CA</t>
  </si>
  <si>
    <t>P844414376  SUBSCRIPTION
LINKEDIN JOB*844414376
LNKD.IN/BILL
CA
SUBSCRIPTION</t>
  </si>
  <si>
    <t>RAINBOW ACRES 8330  LOS ANGELES         CA</t>
  </si>
  <si>
    <t>0016931     310-306-8330
RAINBOW ACRES 8330
LOS ANGELES
CA
Description : GROCERIES/SUNDRIES Price : 0.00
310-306-8330</t>
  </si>
  <si>
    <t>CH_3T9AEXA8 +15125374087
RESTORE.COM
AUSTIN
TX
+15125374087</t>
  </si>
  <si>
    <t>21105176070 RESTAURANT
TST* BLUEYS KITCHEN MAR V 00098618
LOS ANGELES
CA
RESTAURANT</t>
  </si>
  <si>
    <t>VIMEO PRO           212-625-0668        NY</t>
  </si>
  <si>
    <t>P-08171542  MEMBERSHIP
VIMEO PRO
212-625-0668
NY
MEMBERSHIP</t>
  </si>
  <si>
    <t>03/09/2026</t>
  </si>
  <si>
    <t>AMERICAN AIRLINES   800-433-7300        TX</t>
  </si>
  <si>
    <t>20260309    4806933473 / kristyne
PASSENGER TICKET
AMERICAN AIRLINES
800-433-7300
TX
Carrier : American Airlines
Passenger Name : DUNNING/JOHN
Ticket Number : 0012323880294
Departure Day : 03/11
Additional Info : PASSENGER TICKET
From : LOS ANGELES INTERN
To : ATLANTA HARTSFIELD
Class : Y</t>
  </si>
  <si>
    <t>20260309    4806933473 / kristyne
EXCESS BAGGAGE
AMERICAN AIRLINES
800-433-7300
TX
Carrier : American Airlines
Passenger Name : JOHN DUNNING
Ticket Number : 0014488984915
Departure Day : 03/11
Additional Info : EXCESS BAGGAGE
From : LOS ANGELES INTERN
To : ATLANTA HARTSFIELD
Class : Y</t>
  </si>
  <si>
    <t>20260309    4806933473 / kristyne
PREFERRED SEAT UPGRADE
AMERICAN AIRLINES
800-433-7300
TX
Carrier : American Airlines
Passenger Name : DUNNING/JOHN
Ticket Number : 0010644654082
Departure Day : 03/11
Additional Info : PREFERRED SEAT UPGRADE
From : LOS ANGELES INTERN
To : ATLANTA HARTSFIELD
Class : Y</t>
  </si>
  <si>
    <t>Amex Online Flight Statement Credit</t>
  </si>
  <si>
    <t xml:space="preserve">AMERICAN EXPRESS TRAVEL
Amex Online Flight Statement Credit
</t>
  </si>
  <si>
    <t>AplPay AXS.COM*SOUTHLOS ANGELES         CA</t>
  </si>
  <si>
    <t>17655511   17655511         90015
AplPay AXS.COM*SOUTHERN CAL
LOS ANGELES
CA
17655511         90015</t>
  </si>
  <si>
    <t>DNH*GODADDY#40343357Tempe               AZ</t>
  </si>
  <si>
    <t>4034335770 4805058855
Conversations Deluxe - 1 Month - Renewal
DNH*GODADDY#4034335770
Tempe
AZ
Conversations Deluxe - 1 Month - Renewal
4805058855</t>
  </si>
  <si>
    <t>EXPEDIA 733924889062EXPEDIA.COM         WA</t>
  </si>
  <si>
    <t xml:space="preserve">THE TESS, A TRAVEL
LODGING
EXPEDIA 73392488906259
EXPEDIA.COM
WA
</t>
  </si>
  <si>
    <t>PwP    AMERICAN EXPRSEATTLE             WA</t>
  </si>
  <si>
    <t>031409      AIRLINE/AIR CARRIER
PASSENGER TICKET
PwP    AMERICAN EXPRESS TRAVEL
SEATTLE
WA
Carrier : DELTA AIR LINES
Passenger Name : DUNNING/JOHN BARKER
Ticket Number : 00674239438062
Departure Day : 03/12
Additional Info : PASSENGER TICKET
From : ATLANTA HARTSFIELD
To : LOS ANGELES INTERN
Class : Q</t>
  </si>
  <si>
    <t>TST* BEETHOVEN 00200LOS ANGELES         CA</t>
  </si>
  <si>
    <t>00200094030 RESTAURANT
TST* BEETHOVEN 00200094
LOS ANGELES
CA
RESTAURANT</t>
  </si>
  <si>
    <t>03/08/2026</t>
  </si>
  <si>
    <t>CVS PHARMACY        LOS ANGELES         CA</t>
  </si>
  <si>
    <t>10017667   8007467287
PHARMACIES
CVS PHARMACY
LOS ANGELES
CA
PHARMACIES
8007467287</t>
  </si>
  <si>
    <t>DNH*GODADDY#40337547Tempe               AZ</t>
  </si>
  <si>
    <t>4033754701 4805058855
Microsoft 365 Business Professional- Ren
Email - Archiving - Renewal
Microsoft 365 Email Backup - Renewal
Business Professional  - Renewal - 1 yea
DNH*GODADDY#4033754701
Tempe
AZ
Microsoft 365 Business Professional- Ren
Email - Archiving - Renewal
Microsoft 365 Email Backup - Renewal
Business Professional  - Renewal - 1 yea
4805058855</t>
  </si>
  <si>
    <t>GELSON'S MARKET #29 SANTA MONICA        CA</t>
  </si>
  <si>
    <t>000049398   3105816450
GELSON'S MARKET #29 000000000098932
SANTA MONICA
CA
3105816450</t>
  </si>
  <si>
    <t>000016641   3105816450
GELSON'S MARKET #29 000000000098932
SANTA MONICA
CA
3105816450</t>
  </si>
  <si>
    <t>73011546068 CARLOS@LACABANAVENICE
CARLOS@LACABANAVENICE.COM
LA CABANA - VENICE 545500001823608
877-8144102
CA
CARLOS@LACABANAVENICE.COM</t>
  </si>
  <si>
    <t>OPENAI *CHATGPT SUBSSAN FRANCISCO       CA</t>
  </si>
  <si>
    <t>CH_3T8R8FC6 +14158799686
OPENAI *CHATGPT SUBSCR
SAN FRANCISCO
CA
+14158799686</t>
  </si>
  <si>
    <t>TCKTWEB*AGENTORANGETSAN FRANCISCO       CA</t>
  </si>
  <si>
    <t>556007066   800-965-4827
TCKTWEB*AGENTORANGETOK Ticketweb
SAN FRANCISCO
CA
800-965-4827</t>
  </si>
  <si>
    <t>99999996067 4242318000
TST* CAFE GRATITUDE - VEN 000051713
VENICE
CA
Description : RESTAURANTS Price : 2.1793
4242318000</t>
  </si>
  <si>
    <t>03/07/2026</t>
  </si>
  <si>
    <t>31099536066 888-4072122
CORPORATE FILINGS LLC 00-08029641761
SHERIDAN
WY
888-4072122</t>
  </si>
  <si>
    <t>DNH*GODADDY#40331346Tempe               AZ</t>
  </si>
  <si>
    <t>4033134623 4805058855
Microsoft 365 Email Plus- Renewal - mont
DNH*GODADDY#4033134623
Tempe
AZ
Microsoft 365 Email Plus- Renewal - mont
4805058855</t>
  </si>
  <si>
    <t>NNN.MARKET          CLEARWATER          FL</t>
  </si>
  <si>
    <t>CH_3T8OT5GW +18134214065
NNN.MARKET
CLEARWATER
FL
+18134214065</t>
  </si>
  <si>
    <t>THE BELLWETHER      Los Angeles         CA</t>
  </si>
  <si>
    <t>dU5N3Po87C7 squareup.com/receipts
THE BELLWETHER
Los Angeles
CA
squareup.com/receipts</t>
  </si>
  <si>
    <t>WWW.PERPLEXITY.AI   SAN FRANCISCO       CA</t>
  </si>
  <si>
    <t>CH_3T8P48GZ +15102700840
WWW.PERPLEXITY.AI
SAN FRANCISCO
CA
+15102700840</t>
  </si>
  <si>
    <t>03/06/2026</t>
  </si>
  <si>
    <t>APPLE MARKET AND SMOLOS ANGELES         CA</t>
  </si>
  <si>
    <t>73055466067 LOAYZGHOUL@HOTMAIL.CO
LOAYZGHOUL@HOTMAIL.COM
APPLE MARKET AND SMOKE SH 554630119807
LOS ANGELES
CA
LOAYZGHOUL@HOTMAIL.COM</t>
  </si>
  <si>
    <t>ATHENA PARKING CLARKLOS ANGELES         CA</t>
  </si>
  <si>
    <t>73011006067 CWOLK@SBCGLOBAL.NET
ATHENA PARKING CLARK GARA 583522129001
LOS ANGELES
CA
CWOLK@SBCGLOBAL.NET</t>
  </si>
  <si>
    <t xml:space="preserve">vJzrL4odjks squareup.com/receipts
BLUE LOTUS MASSAGE
Los Angeles
CA
</t>
  </si>
  <si>
    <t>BRAVE.COM           SAN FRANCISCO       CA</t>
  </si>
  <si>
    <t>CH_3T7TNABS +16502003351
BRAVE.COM
SAN FRANCISCO
CA
+16502003351</t>
  </si>
  <si>
    <t>CREXI               LOS ANGELES         CA</t>
  </si>
  <si>
    <t>CH_3T7VJLJL +18882730423
CREXI
LOS ANGELES
CA
+18882730423</t>
  </si>
  <si>
    <t>LADOT METER PARKING LOS ANGELES         CA</t>
  </si>
  <si>
    <t>563514     100003895624543  90012
LADOT METER PARKING
LOS ANGELES
CA
100003895624543  90012</t>
  </si>
  <si>
    <t>03/05/2026</t>
  </si>
  <si>
    <t>zB8sAqLh7UQ squareup.com/receipts
ALANA'S COFFEE ROASTERS
Los Angeles
CA
squareup.com/receipts</t>
  </si>
  <si>
    <t>10046812   8007467287
PHARMACIES
CVS PHARMACY
LOS ANGELES
CA
PHARMACIES
8007467287</t>
  </si>
  <si>
    <t>DNH*GODADDY#40314310Tempe               AZ</t>
  </si>
  <si>
    <t>4031431006 4805058855
Email Essentials  - Renewal - monthly
Email - Archiving - Renewal
Microsoft 365 Email Backup - Renewal
DNH*GODADDY#4031431006
Tempe
AZ
Email Essentials  - Renewal - monthly
Email - Archiving - Renewal
Microsoft 365 Email Backup - Renewal
4805058855</t>
  </si>
  <si>
    <t>PAYPAL *INFANTSOLUT 3022504336          DE</t>
  </si>
  <si>
    <t>10204960601 3022504336
PAYPAL *INFANTSOLUT
3022504336
DE
Description : CONSULTING SERVICES Price : 0.00
3022504336</t>
  </si>
  <si>
    <t>21105176065 RESTAURANT
TST* BLUEYS KITCHEN MAR V 00098618
LOS ANGELES
CA
RESTAURANT</t>
  </si>
  <si>
    <t>03/04/2026</t>
  </si>
  <si>
    <t>INTERCONTINENTAL    LOS ANGELES         CA</t>
  </si>
  <si>
    <t>70490000    404-525-5959
INTERCONTINENTAL
LOS ANGELES
CA
Description : INTERCONTINENTAL Price : 0.00
404-525-5959</t>
  </si>
  <si>
    <t>NAIOP, INC.*NAIOP, IHERNDON             VA</t>
  </si>
  <si>
    <t>INV-464597- HERNDON
NAIOP, INC.*NAIOP, INC. NAIOP, INC.
HERNDON
VA
HERNDON</t>
  </si>
  <si>
    <t>PIPEDRIVE INC       NEW YORK            NY</t>
  </si>
  <si>
    <t>104-0073778 +31202401680 / suppor
+31202401680 / suppor@pip
PIPEDRIVE INC
NEW YORK
NY
+31202401680 / suppor@pip</t>
  </si>
  <si>
    <t>03/03/2026</t>
  </si>
  <si>
    <t>CONTACTS+           HUNTINGTON BEACH    CA</t>
  </si>
  <si>
    <t>CH_2T6ZQ13T +18004304095
CONTACTS+
HUNTINGTON BEACH
CA
+18004304095</t>
  </si>
  <si>
    <t>55132000    404-525-5959
INTERCONTINENTAL
LOS ANGELES
CA
Description : INTERCONTINENTAL Price : 0.00
404-525-5959</t>
  </si>
  <si>
    <t>SALESMESSAGE.COM    DELRAY BEACH        FL</t>
  </si>
  <si>
    <t>CH_3T776FCY +18884092298
SALESMESSAGE.COM
DELRAY BEACH
FL
+18884092298</t>
  </si>
  <si>
    <t>03/02/2026</t>
  </si>
  <si>
    <t>AT&amp;T COR DF         ATLANTA             GA</t>
  </si>
  <si>
    <t>41959130    800-331-0500
AT&amp;T COR DF
ATLANTA
GA
Description : CELLULAR PHONES/BEE Price : 0.00
800-331-0500</t>
  </si>
  <si>
    <t>10036155   8007467287
PHARMACIES
CVS PHARMACY
LOS ANGELES
CA
PHARMACIES
8007467287</t>
  </si>
  <si>
    <t>FATBURGER 46        LOS ANGELES         CA</t>
  </si>
  <si>
    <t>85700024    310-390-7831
FATBURGER 46
LOS ANGELES
CA
Description : FOOD/BEVERAGE Price : 0.00
310-390-7831</t>
  </si>
  <si>
    <t>99999996061 3109813004
TST* THE BUTCHER'S DAUGHT 000037203
VENICE
CA
Description : RESTAURANTS Price : 0.7692
3109813004</t>
  </si>
  <si>
    <t>03/01/2026</t>
  </si>
  <si>
    <t>71094476060 310-836-8000
ABC*ICONFIT
LOS ANGELES
CA
310-836-8000</t>
  </si>
  <si>
    <t>91310534   190706333PAC     90291
CELLULAR PHONES/BEEPERS
AT&amp;T 3Z71 190620
VENICE
CA
CELLULAR PHONES/BEEPERS
190706333PAC     90291</t>
  </si>
  <si>
    <t>91310488   190706333PAC     90291
CELLULAR PHONES/BEEPERS
AT&amp;T 3Z71 190620
VENICE
CA
CELLULAR PHONES/BEEPERS
190706333PAC     90291</t>
  </si>
  <si>
    <t>91310487   190706333PAC     90291
CELLULAR PHONES/BEEPERS
AT&amp;T 3Z71 190620
VENICE
CA
CELLULAR PHONES/BEEPERS
190706333PAC     90291</t>
  </si>
  <si>
    <t>91310457   190706333PAC     90291
CELLULAR PHONES/BEEPERS
AT&amp;T 3Z71 190620
VENICE
CA
CELLULAR PHONES/BEEPERS
190706333PAC     90291</t>
  </si>
  <si>
    <t>7FixfdFSWVa squareup.com/receipts
BLUE LOTUS MASSAGE
Los Angeles
CA
squareup.com/receipts</t>
  </si>
  <si>
    <t>DNH*GODADDY#40284730Tempe               AZ</t>
  </si>
  <si>
    <t>4028473005 4805058855
Business Professional  - Renewal - month
Email - Archiving - Renewal
Microsoft 365 Email Backup - Renewal
DNH*GODADDY#4028473005
Tempe
AZ
Business Professional  - Renewal - month
Email - Archiving - Renewal
Microsoft 365 Email Backup - Renewal
4805058855</t>
  </si>
  <si>
    <t>GEFFEN PLAYHOUSE INCLOS ANGELES         CA</t>
  </si>
  <si>
    <t>######hG3dN 6435778 / elsa.kane@t
6435778 / elsa.kane@tessi
GEFFEN PLAYHOUSE INC
LOS ANGELES
CA
6435778 / elsa.kane@tessi</t>
  </si>
  <si>
    <t>LOOM SUBSCRIPTION   AUSTIN              TX</t>
  </si>
  <si>
    <t>CH_3T6AN9D0 +16780000000
LOOM SUBSCRIPTION
AUSTIN
TX
+16780000000</t>
  </si>
  <si>
    <t>CH_3T6L4AIA +13103969100
SP AVIATOR NATION
VENICE
CA
+13103969100</t>
  </si>
  <si>
    <t>Charges</t>
  </si>
  <si>
    <t>Total</t>
  </si>
  <si>
    <t>Amazon</t>
  </si>
  <si>
    <t>Personal</t>
  </si>
  <si>
    <t>Personal - Food</t>
  </si>
  <si>
    <t>Personal - House</t>
  </si>
  <si>
    <t>Personal - Health</t>
  </si>
  <si>
    <t>Personal - Car</t>
  </si>
  <si>
    <t>Travel</t>
  </si>
  <si>
    <t>Team Travel</t>
  </si>
  <si>
    <t>Personal - Entertainment</t>
  </si>
  <si>
    <t>Online AMEX Payment</t>
  </si>
  <si>
    <t>Personal - Family</t>
  </si>
  <si>
    <t>Personal - Travel</t>
  </si>
  <si>
    <t>Personal -  Food</t>
  </si>
  <si>
    <t>Shipping</t>
  </si>
  <si>
    <t xml:space="preserve">Personal - ? </t>
  </si>
  <si>
    <t>Personal - Clothing</t>
  </si>
  <si>
    <t>Software &amp; Subscriptions</t>
  </si>
  <si>
    <t>Judd &amp; Angela - Portugal</t>
  </si>
  <si>
    <t>DWG Business Development</t>
  </si>
  <si>
    <t xml:space="preserve">Personal - House </t>
  </si>
  <si>
    <t>AT&amp;T</t>
  </si>
  <si>
    <t>Scam</t>
  </si>
  <si>
    <t>Realtor Association</t>
  </si>
  <si>
    <t>Linkedin</t>
  </si>
  <si>
    <t>AI Subscription</t>
  </si>
  <si>
    <t>DWG Listing Platform</t>
  </si>
  <si>
    <t>Personal -  Health</t>
  </si>
  <si>
    <t>?</t>
  </si>
  <si>
    <t>Month</t>
  </si>
  <si>
    <t>Category (clean)</t>
  </si>
  <si>
    <t>Totals</t>
  </si>
  <si>
    <t>Credits &amp; Payments</t>
  </si>
  <si>
    <t>Net Balance</t>
  </si>
  <si>
    <t>POSEIDON PARTNERS</t>
  </si>
  <si>
    <t>Amex Business Platinum  |  Statement Summary</t>
  </si>
  <si>
    <t>Account Holder</t>
  </si>
  <si>
    <t>John Dunning</t>
  </si>
  <si>
    <t>Account</t>
  </si>
  <si>
    <t>Statement Period (Detail)</t>
  </si>
  <si>
    <t>March 2026 - June 2026</t>
  </si>
  <si>
    <t>TOTALS</t>
  </si>
  <si>
    <t>SPEND BY CATEGORY</t>
  </si>
  <si>
    <t>% of Charges</t>
  </si>
  <si>
    <t>DWG / Business</t>
  </si>
  <si>
    <t xml:space="preserve">  Subtotal — DWG / Business</t>
  </si>
  <si>
    <t>Software, Subscriptions &amp; Comms</t>
  </si>
  <si>
    <t xml:space="preserve">  Subtotal — Software &amp; Comms</t>
  </si>
  <si>
    <t xml:space="preserve">  Subtotal — Travel</t>
  </si>
  <si>
    <t>Personal / Living</t>
  </si>
  <si>
    <t>Personal - ?</t>
  </si>
  <si>
    <t xml:space="preserve">  Subtotal — Personal / Living</t>
  </si>
  <si>
    <t>Review / Uncategorized</t>
  </si>
  <si>
    <t>(Uncategorized)</t>
  </si>
  <si>
    <t xml:space="preserve">  Subtotal — Review</t>
  </si>
  <si>
    <t xml:space="preserve">  Subtotal — Credits &amp; Payments</t>
  </si>
  <si>
    <t>GRAND TOTAL</t>
  </si>
  <si>
    <t>SPEND BY MONTH</t>
  </si>
  <si>
    <t>Credits</t>
  </si>
  <si>
    <t>Net</t>
  </si>
  <si>
    <t>PAYMENTS, CREDITS &amp; REFUNDS DETAIL</t>
  </si>
  <si>
    <t>Type</t>
  </si>
  <si>
    <t>Online payment received</t>
  </si>
  <si>
    <t>Payment</t>
  </si>
  <si>
    <t>InMotion @ATL — refund</t>
  </si>
  <si>
    <t>Refund</t>
  </si>
  <si>
    <t>Brookstone — refund</t>
  </si>
  <si>
    <t>Amex Travel — points credit</t>
  </si>
  <si>
    <t>Points credit</t>
  </si>
  <si>
    <t>AT&amp;T — credit</t>
  </si>
  <si>
    <t>Credit</t>
  </si>
  <si>
    <t>Amex online flight statement credit</t>
  </si>
  <si>
    <t>CNNST2705 — refund</t>
  </si>
  <si>
    <t>Jekyll Island — refund</t>
  </si>
  <si>
    <t>InMotion @LAX — refund</t>
  </si>
  <si>
    <t>Total Credits &amp; Payments</t>
  </si>
  <si>
    <t>Amex Business Platinum  |  Monthly Breakdown</t>
  </si>
  <si>
    <t>Total Charges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</si>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</sst>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&quot;$&quot;#,##0.00;\(&quot;$&quot;#,##0.00\)"/>
    <numFmt numFmtId="166" formatCode="0.0%"/>
    <numFmt numFmtId="167" formatCode="&quot;$&quot;#,##0.00;\(&quot;$&quot;#,##0.00\);\-"/>
  </numFmts>
  <fonts count="18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80"/>
      <name val="Calibri"/>
      <family val="2"/>
    </font>
    <font>
      <b/>
      <sz val="11"/>
      <color indexed="8"/>
      <name val="Aptos Narrow"/>
      <family val="2"/>
      <scheme val="minor"/>
    </font>
    <font>
      <b/>
      <sz val="10"/>
      <color rgb="FF1A1A1A"/>
      <name val="Aptos Narrow"/>
      <family val="2"/>
      <scheme val="minor"/>
    </font>
    <font>
      <sz val="10"/>
      <color rgb="FF1A1A1A"/>
      <name val="Aptos Narrow"/>
      <family val="2"/>
      <scheme val="minor"/>
    </font>
    <font>
      <i/>
      <sz val="10"/>
      <color rgb="FF1A1A1A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rgb="FF6B6B6B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i/>
      <sz val="9"/>
      <color rgb="FF6B6B6B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E8E8E8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center" wrapText="1"/>
    </xf>
    <xf numFmtId="2" fontId="5" fillId="3" borderId="3" xfId="0" applyNumberFormat="1" applyFont="1" applyFill="1" applyBorder="1" applyAlignment="1">
      <alignment horizontal="right" wrapText="1"/>
    </xf>
    <xf numFmtId="2" fontId="6" fillId="2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8" fillId="0" borderId="0" xfId="0" applyFont="1"/>
    <xf numFmtId="165" fontId="8" fillId="0" borderId="0" xfId="0" applyNumberFormat="1" applyFont="1"/>
    <xf numFmtId="165" fontId="0" fillId="0" borderId="0" xfId="0" applyNumberFormat="1"/>
    <xf numFmtId="0" fontId="10" fillId="6" borderId="0" xfId="0" applyFont="1" applyFill="1"/>
    <xf numFmtId="165" fontId="10" fillId="6" borderId="0" xfId="0" applyNumberFormat="1" applyFont="1" applyFill="1"/>
    <xf numFmtId="0" fontId="11" fillId="6" borderId="0" xfId="0" applyFont="1" applyFill="1"/>
    <xf numFmtId="166" fontId="10" fillId="6" borderId="0" xfId="0" applyNumberFormat="1" applyFont="1" applyFill="1"/>
    <xf numFmtId="164" fontId="10" fillId="6" borderId="0" xfId="0" applyNumberFormat="1" applyFont="1" applyFill="1"/>
    <xf numFmtId="14" fontId="10" fillId="6" borderId="0" xfId="0" applyNumberFormat="1" applyFont="1" applyFill="1"/>
    <xf numFmtId="0" fontId="12" fillId="7" borderId="0" xfId="0" applyFont="1" applyFill="1"/>
    <xf numFmtId="0" fontId="13" fillId="7" borderId="0" xfId="0" applyFont="1" applyFill="1"/>
    <xf numFmtId="0" fontId="14" fillId="7" borderId="0" xfId="0" applyFont="1" applyFill="1"/>
    <xf numFmtId="0" fontId="9" fillId="6" borderId="0" xfId="0" applyFont="1" applyFill="1"/>
    <xf numFmtId="0" fontId="15" fillId="6" borderId="0" xfId="0" applyFont="1" applyFill="1"/>
    <xf numFmtId="0" fontId="15" fillId="8" borderId="0" xfId="0" applyFont="1" applyFill="1"/>
    <xf numFmtId="165" fontId="10" fillId="8" borderId="0" xfId="0" applyNumberFormat="1" applyFont="1" applyFill="1"/>
    <xf numFmtId="0" fontId="10" fillId="8" borderId="0" xfId="0" applyFont="1" applyFill="1"/>
    <xf numFmtId="165" fontId="9" fillId="8" borderId="0" xfId="0" applyNumberFormat="1" applyFont="1" applyFill="1"/>
    <xf numFmtId="0" fontId="9" fillId="8" borderId="0" xfId="0" applyFont="1" applyFill="1"/>
    <xf numFmtId="0" fontId="16" fillId="9" borderId="4" xfId="0" applyFont="1" applyFill="1" applyBorder="1" applyAlignment="1">
      <alignment horizontal="center"/>
    </xf>
    <xf numFmtId="0" fontId="17" fillId="6" borderId="0" xfId="0" applyFont="1" applyFill="1"/>
    <xf numFmtId="0" fontId="9" fillId="10" borderId="0" xfId="0" applyFont="1" applyFill="1"/>
    <xf numFmtId="165" fontId="9" fillId="10" borderId="0" xfId="0" applyNumberFormat="1" applyFont="1" applyFill="1"/>
    <xf numFmtId="166" fontId="9" fillId="10" borderId="0" xfId="0" applyNumberFormat="1" applyFont="1" applyFill="1"/>
    <xf numFmtId="0" fontId="13" fillId="7" borderId="5" xfId="0" applyFont="1" applyFill="1" applyBorder="1"/>
    <xf numFmtId="165" fontId="13" fillId="7" borderId="5" xfId="0" applyNumberFormat="1" applyFont="1" applyFill="1" applyBorder="1"/>
    <xf numFmtId="166" fontId="13" fillId="7" borderId="5" xfId="0" applyNumberFormat="1" applyFont="1" applyFill="1" applyBorder="1"/>
    <xf numFmtId="0" fontId="9" fillId="10" borderId="5" xfId="0" applyFont="1" applyFill="1" applyBorder="1"/>
    <xf numFmtId="165" fontId="9" fillId="10" borderId="5" xfId="0" applyNumberFormat="1" applyFont="1" applyFill="1" applyBorder="1"/>
    <xf numFmtId="166" fontId="10" fillId="8" borderId="0" xfId="0" applyNumberFormat="1" applyFont="1" applyFill="1"/>
    <xf numFmtId="164" fontId="10" fillId="8" borderId="0" xfId="0" applyNumberFormat="1" applyFont="1" applyFill="1"/>
    <xf numFmtId="14" fontId="10" fillId="8" borderId="0" xfId="0" applyNumberFormat="1" applyFont="1" applyFill="1"/>
    <xf numFmtId="167" fontId="10" fillId="6" borderId="0" xfId="0" applyNumberFormat="1" applyFont="1" applyFill="1"/>
    <xf numFmtId="164" fontId="16" fillId="9" borderId="4" xfId="0" applyNumberFormat="1" applyFont="1" applyFill="1" applyBorder="1" applyAlignment="1">
      <alignment horizontal="center"/>
    </xf>
    <xf numFmtId="167" fontId="10" fillId="8" borderId="0" xfId="0" applyNumberFormat="1" applyFont="1" applyFill="1"/>
    <xf numFmtId="167" fontId="9" fillId="10" borderId="5" xfId="0" applyNumberFormat="1" applyFont="1" applyFill="1" applyBorder="1"/>
    <xf numFmtId="167" fontId="9" fillId="10" borderId="0" xfId="0" applyNumberFormat="1" applyFont="1" applyFill="1"/>
    <xf numFmtId="167" fontId="13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114300</xdr:rowOff>
    </xdr:to>
    <xdr:sp macro="" textlink="">
      <xdr:nvSpPr>
        <xdr:cNvPr id="2050" name="AutoShape 2" descr="Poseidon Asset Group logo">
          <a:extLst>
            <a:ext uri="{FF2B5EF4-FFF2-40B4-BE49-F238E27FC236}">
              <a16:creationId xmlns:a16="http://schemas.microsoft.com/office/drawing/2014/main" id="{78EED4D3-861F-D795-5D61-3A09C5C20882}"/>
            </a:ext>
          </a:extLst>
        </xdr:cNvPr>
        <xdr:cNvSpPr>
          <a:spLocks noChangeAspect="1" noChangeArrowheads="1"/>
        </xdr:cNvSpPr>
      </xdr:nvSpPr>
      <xdr:spPr bwMode="auto">
        <a:xfrm>
          <a:off x="8972550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2051" name="AutoShape 3" descr="Poseidon Asset Group logo">
          <a:extLst>
            <a:ext uri="{FF2B5EF4-FFF2-40B4-BE49-F238E27FC236}">
              <a16:creationId xmlns:a16="http://schemas.microsoft.com/office/drawing/2014/main" id="{8693242C-3E7E-300D-04F9-C19A64F165C9}"/>
            </a:ext>
          </a:extLst>
        </xdr:cNvPr>
        <xdr:cNvSpPr>
          <a:spLocks noChangeAspect="1" noChangeArrowheads="1"/>
        </xdr:cNvSpPr>
      </xdr:nvSpPr>
      <xdr:spPr bwMode="auto">
        <a:xfrm>
          <a:off x="897255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1014413</xdr:colOff>
      <xdr:row>2</xdr:row>
      <xdr:rowOff>9525</xdr:rowOff>
    </xdr:from>
    <xdr:to>
      <xdr:col>4</xdr:col>
      <xdr:colOff>180976</xdr:colOff>
      <xdr:row>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F77ED4-1955-15ED-342A-FA4873AB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5013" y="628650"/>
          <a:ext cx="1585913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5EE95C-7B8B-4A2C-9A2D-6E9AAA987A8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29b086d-5f31-4b48-98dc-ffc6028e26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abSelected="1" topLeftCell="A26" workbookViewId="0">
      <selection activeCell="F53" sqref="F53"/>
    </sheetView>
  </sheetViews>
  <sheetFormatPr defaultColWidth="26.28515625" defaultRowHeight="15" x14ac:dyDescent="0.25"/>
  <cols>
    <col min="1" max="1" width="43.85546875" customWidth="1"/>
    <col min="2" max="2" width="28.140625" customWidth="1"/>
    <col min="3" max="4" width="18.140625" customWidth="1"/>
  </cols>
  <sheetData>
    <row r="1" spans="1:4" ht="33.75" customHeight="1" x14ac:dyDescent="0.35">
      <c r="A1" s="20" t="s">
        <v>650</v>
      </c>
      <c r="B1" s="20"/>
      <c r="C1" s="20"/>
      <c r="D1" s="20"/>
    </row>
    <row r="2" spans="1:4" x14ac:dyDescent="0.25">
      <c r="A2" s="22" t="s">
        <v>651</v>
      </c>
      <c r="B2" s="22"/>
      <c r="C2" s="22"/>
      <c r="D2" s="22"/>
    </row>
    <row r="3" spans="1:4" x14ac:dyDescent="0.25">
      <c r="A3" s="14"/>
      <c r="B3" s="14"/>
      <c r="C3" s="14"/>
      <c r="D3" s="14"/>
    </row>
    <row r="4" spans="1:4" x14ac:dyDescent="0.25">
      <c r="A4" s="23" t="s">
        <v>652</v>
      </c>
      <c r="B4" s="14" t="s">
        <v>653</v>
      </c>
      <c r="C4" s="14"/>
      <c r="D4" s="14"/>
    </row>
    <row r="5" spans="1:4" x14ac:dyDescent="0.25">
      <c r="A5" s="23" t="s">
        <v>654</v>
      </c>
      <c r="B5" s="14" t="s">
        <v>6</v>
      </c>
      <c r="C5" s="14"/>
      <c r="D5" s="14"/>
    </row>
    <row r="6" spans="1:4" x14ac:dyDescent="0.25">
      <c r="A6" s="23" t="s">
        <v>655</v>
      </c>
      <c r="B6" s="14" t="s">
        <v>656</v>
      </c>
      <c r="C6" s="14"/>
      <c r="D6" s="14"/>
    </row>
    <row r="7" spans="1:4" x14ac:dyDescent="0.25">
      <c r="A7" s="14"/>
      <c r="B7" s="14"/>
      <c r="C7" s="14"/>
      <c r="D7" s="14"/>
    </row>
    <row r="8" spans="1:4" x14ac:dyDescent="0.25">
      <c r="A8" s="21" t="s">
        <v>657</v>
      </c>
      <c r="B8" s="21"/>
      <c r="C8" s="21"/>
      <c r="D8" s="21"/>
    </row>
    <row r="9" spans="1:4" x14ac:dyDescent="0.25">
      <c r="A9" s="25" t="s">
        <v>615</v>
      </c>
      <c r="B9" s="26">
        <f>SUMIF('Transaction Details'!$E$8:$E$312,"&gt;0")</f>
        <v>55260.920000000013</v>
      </c>
      <c r="C9" s="27"/>
      <c r="D9" s="27"/>
    </row>
    <row r="10" spans="1:4" x14ac:dyDescent="0.25">
      <c r="A10" s="24" t="s">
        <v>648</v>
      </c>
      <c r="B10" s="15">
        <f>SUMIF('Transaction Details'!$E$8:$E$312,"&lt;0")</f>
        <v>-47495.040000000001</v>
      </c>
      <c r="C10" s="14"/>
      <c r="D10" s="14"/>
    </row>
    <row r="11" spans="1:4" x14ac:dyDescent="0.25">
      <c r="A11" s="25" t="s">
        <v>649</v>
      </c>
      <c r="B11" s="28">
        <f>B9+B10</f>
        <v>7765.8800000000119</v>
      </c>
      <c r="C11" s="29"/>
      <c r="D11" s="29"/>
    </row>
    <row r="12" spans="1:4" x14ac:dyDescent="0.25">
      <c r="A12" s="14"/>
      <c r="B12" s="14"/>
      <c r="C12" s="14"/>
      <c r="D12" s="14"/>
    </row>
    <row r="13" spans="1:4" x14ac:dyDescent="0.25">
      <c r="A13" s="21" t="s">
        <v>658</v>
      </c>
      <c r="B13" s="21"/>
      <c r="C13" s="21"/>
      <c r="D13" s="21"/>
    </row>
    <row r="14" spans="1:4" x14ac:dyDescent="0.25">
      <c r="A14" s="30" t="s">
        <v>14</v>
      </c>
      <c r="B14" s="30" t="s">
        <v>11</v>
      </c>
      <c r="C14" s="30" t="s">
        <v>659</v>
      </c>
      <c r="D14" s="14"/>
    </row>
    <row r="15" spans="1:4" x14ac:dyDescent="0.25">
      <c r="A15" s="31" t="s">
        <v>660</v>
      </c>
      <c r="B15" s="14"/>
      <c r="C15" s="14"/>
      <c r="D15" s="14"/>
    </row>
    <row r="16" spans="1:4" x14ac:dyDescent="0.25">
      <c r="A16" s="14" t="s">
        <v>624</v>
      </c>
      <c r="B16" s="15">
        <f>SUMIFS('Transaction Details'!$E$8:$E$312,'Transaction Details'!$J$8:$J$312,A16)</f>
        <v>2568.87</v>
      </c>
      <c r="C16" s="17">
        <f t="shared" ref="C16:C21" si="0">IFERROR(B16/$B$9,0)</f>
        <v>4.6486196755320022E-2</v>
      </c>
      <c r="D16" s="14"/>
    </row>
    <row r="17" spans="1:4" x14ac:dyDescent="0.25">
      <c r="A17" s="27" t="s">
        <v>635</v>
      </c>
      <c r="B17" s="26">
        <f>SUMIFS('Transaction Details'!$E$8:$E$312,'Transaction Details'!$J$8:$J$312,A17)</f>
        <v>809.53</v>
      </c>
      <c r="C17" s="40">
        <f t="shared" si="0"/>
        <v>1.4649231319348281E-2</v>
      </c>
      <c r="D17" s="14"/>
    </row>
    <row r="18" spans="1:4" x14ac:dyDescent="0.25">
      <c r="A18" s="14" t="s">
        <v>642</v>
      </c>
      <c r="B18" s="15">
        <f>SUMIFS('Transaction Details'!$E$8:$E$312,'Transaction Details'!$J$8:$J$312,A18)</f>
        <v>1505</v>
      </c>
      <c r="C18" s="17">
        <f t="shared" si="0"/>
        <v>2.7234436198311566E-2</v>
      </c>
      <c r="D18" s="14"/>
    </row>
    <row r="19" spans="1:4" x14ac:dyDescent="0.25">
      <c r="A19" s="27" t="s">
        <v>694</v>
      </c>
      <c r="B19" s="26">
        <f>SUMIFS('Transaction Details'!$E$8:$E$312,'Transaction Details'!$J$8:$J$312,A19)</f>
        <v>25.5</v>
      </c>
      <c r="C19" s="40">
        <f t="shared" si="0"/>
        <v>4.6144725784514614E-4</v>
      </c>
      <c r="D19" s="14"/>
    </row>
    <row r="20" spans="1:4" x14ac:dyDescent="0.25">
      <c r="A20" s="14" t="s">
        <v>639</v>
      </c>
      <c r="B20" s="15">
        <f>SUMIFS('Transaction Details'!$E$8:$E$312,'Transaction Details'!$J$8:$J$312,A20)</f>
        <v>1031</v>
      </c>
      <c r="C20" s="17">
        <f t="shared" si="0"/>
        <v>1.8656945993660617E-2</v>
      </c>
      <c r="D20" s="14"/>
    </row>
    <row r="21" spans="1:4" x14ac:dyDescent="0.25">
      <c r="A21" s="32" t="s">
        <v>661</v>
      </c>
      <c r="B21" s="33">
        <f>SUM(B16:B20)</f>
        <v>5939.9</v>
      </c>
      <c r="C21" s="34">
        <f t="shared" si="0"/>
        <v>0.10748825752448563</v>
      </c>
      <c r="D21" s="14"/>
    </row>
    <row r="22" spans="1:4" x14ac:dyDescent="0.25">
      <c r="A22" s="31" t="s">
        <v>662</v>
      </c>
      <c r="B22" s="14"/>
      <c r="C22" s="14"/>
      <c r="D22" s="14"/>
    </row>
    <row r="23" spans="1:4" x14ac:dyDescent="0.25">
      <c r="A23" s="14" t="s">
        <v>633</v>
      </c>
      <c r="B23" s="15">
        <f>SUMIFS('Transaction Details'!$E$8:$E$312,'Transaction Details'!$J$8:$J$312,A23)</f>
        <v>1346.5400000000002</v>
      </c>
      <c r="C23" s="17">
        <f>IFERROR(B23/$B$9,0)</f>
        <v>2.4366948650149146E-2</v>
      </c>
      <c r="D23" s="14"/>
    </row>
    <row r="24" spans="1:4" x14ac:dyDescent="0.25">
      <c r="A24" s="27" t="s">
        <v>641</v>
      </c>
      <c r="B24" s="26">
        <f>SUMIFS('Transaction Details'!$E$8:$E$312,'Transaction Details'!$J$8:$J$312,A24)</f>
        <v>41.28</v>
      </c>
      <c r="C24" s="40">
        <f>IFERROR(B24/$B$9,0)</f>
        <v>7.4700167858226011E-4</v>
      </c>
      <c r="D24" s="14"/>
    </row>
    <row r="25" spans="1:4" x14ac:dyDescent="0.25">
      <c r="A25" s="14" t="s">
        <v>640</v>
      </c>
      <c r="B25" s="15">
        <f>SUMIFS('Transaction Details'!$E$8:$E$312,'Transaction Details'!$J$8:$J$312,A25)</f>
        <v>636.57000000000005</v>
      </c>
      <c r="C25" s="17">
        <f>IFERROR(B25/$B$9,0)</f>
        <v>1.1519352193195479E-2</v>
      </c>
      <c r="D25" s="14"/>
    </row>
    <row r="26" spans="1:4" x14ac:dyDescent="0.25">
      <c r="A26" s="27" t="s">
        <v>637</v>
      </c>
      <c r="B26" s="26">
        <f>SUMIFS('Transaction Details'!$E$8:$E$312,'Transaction Details'!$J$8:$J$312,A26)</f>
        <v>746.01</v>
      </c>
      <c r="C26" s="40">
        <f>IFERROR(B26/$B$9,0)</f>
        <v>1.349977524804147E-2</v>
      </c>
      <c r="D26" s="14"/>
    </row>
    <row r="27" spans="1:4" x14ac:dyDescent="0.25">
      <c r="A27" s="32" t="s">
        <v>663</v>
      </c>
      <c r="B27" s="33">
        <f>SUM(B23:B26)</f>
        <v>2770.4000000000005</v>
      </c>
      <c r="C27" s="34">
        <f>IFERROR(B27/$B$9,0)</f>
        <v>5.0133077769968358E-2</v>
      </c>
      <c r="D27" s="14"/>
    </row>
    <row r="28" spans="1:4" x14ac:dyDescent="0.25">
      <c r="A28" s="31" t="s">
        <v>623</v>
      </c>
      <c r="B28" s="14"/>
      <c r="C28" s="14"/>
      <c r="D28" s="14"/>
    </row>
    <row r="29" spans="1:4" x14ac:dyDescent="0.25">
      <c r="A29" s="14" t="s">
        <v>634</v>
      </c>
      <c r="B29" s="15">
        <f>SUMIFS('Transaction Details'!$E$8:$E$312,'Transaction Details'!$J$8:$J$312,A29)</f>
        <v>26514.68</v>
      </c>
      <c r="C29" s="17">
        <f>IFERROR(B29/$B$9,0)</f>
        <v>0.47980887759378588</v>
      </c>
      <c r="D29" s="14"/>
    </row>
    <row r="30" spans="1:4" x14ac:dyDescent="0.25">
      <c r="A30" s="27" t="s">
        <v>628</v>
      </c>
      <c r="B30" s="26">
        <f>SUMIFS('Transaction Details'!$E$8:$E$312,'Transaction Details'!$J$8:$J$312,A30)</f>
        <v>50</v>
      </c>
      <c r="C30" s="40">
        <f>IFERROR(B30/$B$9,0)</f>
        <v>9.047985447944042E-4</v>
      </c>
      <c r="D30" s="14"/>
    </row>
    <row r="31" spans="1:4" x14ac:dyDescent="0.25">
      <c r="A31" s="32" t="s">
        <v>664</v>
      </c>
      <c r="B31" s="33">
        <f>SUM(B29:B30)</f>
        <v>26564.68</v>
      </c>
      <c r="C31" s="34">
        <f>IFERROR(B31/$B$9,0)</f>
        <v>0.48071367613858029</v>
      </c>
      <c r="D31" s="14"/>
    </row>
    <row r="32" spans="1:4" x14ac:dyDescent="0.25">
      <c r="A32" s="31" t="s">
        <v>665</v>
      </c>
      <c r="B32" s="14"/>
      <c r="C32" s="14"/>
      <c r="D32" s="14"/>
    </row>
    <row r="33" spans="1:4" x14ac:dyDescent="0.25">
      <c r="A33" s="14" t="s">
        <v>619</v>
      </c>
      <c r="B33" s="15">
        <f>SUMIFS('Transaction Details'!$E$8:$E$312,'Transaction Details'!$J$8:$J$312,A33)</f>
        <v>6710.17</v>
      </c>
      <c r="C33" s="17">
        <f t="shared" ref="C33:C44" si="1">IFERROR(B33/$B$9,0)</f>
        <v>0.12142704102646135</v>
      </c>
      <c r="D33" s="14"/>
    </row>
    <row r="34" spans="1:4" x14ac:dyDescent="0.25">
      <c r="A34" s="27" t="s">
        <v>621</v>
      </c>
      <c r="B34" s="26">
        <f>SUMIFS('Transaction Details'!$E$8:$E$312,'Transaction Details'!$J$8:$J$312,A34)</f>
        <v>4769.8600000000006</v>
      </c>
      <c r="C34" s="40">
        <f t="shared" si="1"/>
        <v>8.6315247737460743E-2</v>
      </c>
      <c r="D34" s="14"/>
    </row>
    <row r="35" spans="1:4" x14ac:dyDescent="0.25">
      <c r="A35" s="14" t="s">
        <v>620</v>
      </c>
      <c r="B35" s="15">
        <f>SUMIFS('Transaction Details'!$E$8:$E$312,'Transaction Details'!$J$8:$J$312,A35)</f>
        <v>2292.6200000000003</v>
      </c>
      <c r="C35" s="17">
        <f t="shared" si="1"/>
        <v>4.1487184795330943E-2</v>
      </c>
      <c r="D35" s="14"/>
    </row>
    <row r="36" spans="1:4" x14ac:dyDescent="0.25">
      <c r="A36" s="27" t="s">
        <v>622</v>
      </c>
      <c r="B36" s="26">
        <f>SUMIFS('Transaction Details'!$E$8:$E$312,'Transaction Details'!$J$8:$J$312,A36)</f>
        <v>591.37999999999988</v>
      </c>
      <c r="C36" s="40">
        <f t="shared" si="1"/>
        <v>1.0701595268410294E-2</v>
      </c>
      <c r="D36" s="14"/>
    </row>
    <row r="37" spans="1:4" x14ac:dyDescent="0.25">
      <c r="A37" s="14" t="s">
        <v>632</v>
      </c>
      <c r="B37" s="15">
        <f>SUMIFS('Transaction Details'!$E$8:$E$312,'Transaction Details'!$J$8:$J$312,A37)</f>
        <v>1141.2999999999997</v>
      </c>
      <c r="C37" s="17">
        <f t="shared" si="1"/>
        <v>2.0652931583477065E-2</v>
      </c>
      <c r="D37" s="14"/>
    </row>
    <row r="38" spans="1:4" x14ac:dyDescent="0.25">
      <c r="A38" s="27" t="s">
        <v>627</v>
      </c>
      <c r="B38" s="26">
        <f>SUMIFS('Transaction Details'!$E$8:$E$312,'Transaction Details'!$J$8:$J$312,A38)</f>
        <v>750.26</v>
      </c>
      <c r="C38" s="40">
        <f t="shared" si="1"/>
        <v>1.3576683124348994E-2</v>
      </c>
      <c r="D38" s="14"/>
    </row>
    <row r="39" spans="1:4" x14ac:dyDescent="0.25">
      <c r="A39" s="14" t="s">
        <v>625</v>
      </c>
      <c r="B39" s="15">
        <f>SUMIFS('Transaction Details'!$E$8:$E$312,'Transaction Details'!$J$8:$J$312,A39)</f>
        <v>699.21</v>
      </c>
      <c r="C39" s="17">
        <f t="shared" si="1"/>
        <v>1.2652883810113908E-2</v>
      </c>
      <c r="D39" s="14"/>
    </row>
    <row r="40" spans="1:4" x14ac:dyDescent="0.25">
      <c r="A40" s="27" t="s">
        <v>618</v>
      </c>
      <c r="B40" s="26">
        <f>SUMIFS('Transaction Details'!$E$8:$E$312,'Transaction Details'!$J$8:$J$312,A40)</f>
        <v>189</v>
      </c>
      <c r="C40" s="40">
        <f t="shared" si="1"/>
        <v>3.4201384993228479E-3</v>
      </c>
      <c r="D40" s="14"/>
    </row>
    <row r="41" spans="1:4" x14ac:dyDescent="0.25">
      <c r="A41" s="14" t="s">
        <v>666</v>
      </c>
      <c r="B41" s="15">
        <f>SUMIFS('Transaction Details'!$E$8:$E$312,'Transaction Details'!$J$8:$J$312,A41)</f>
        <v>160.35</v>
      </c>
      <c r="C41" s="17">
        <f t="shared" si="1"/>
        <v>2.9016889331556542E-3</v>
      </c>
      <c r="D41" s="14"/>
    </row>
    <row r="42" spans="1:4" x14ac:dyDescent="0.25">
      <c r="A42" s="27" t="s">
        <v>617</v>
      </c>
      <c r="B42" s="26">
        <f>SUMIFS('Transaction Details'!$E$8:$E$312,'Transaction Details'!$J$8:$J$312,A42)</f>
        <v>685.26</v>
      </c>
      <c r="C42" s="40">
        <f t="shared" si="1"/>
        <v>1.2400445016116269E-2</v>
      </c>
      <c r="D42" s="14"/>
    </row>
    <row r="43" spans="1:4" x14ac:dyDescent="0.25">
      <c r="A43" s="14" t="s">
        <v>630</v>
      </c>
      <c r="B43" s="15">
        <f>SUMIFS('Transaction Details'!$E$8:$E$312,'Transaction Details'!$J$8:$J$312,A43)</f>
        <v>12.75</v>
      </c>
      <c r="C43" s="17">
        <f t="shared" si="1"/>
        <v>2.3072362892257307E-4</v>
      </c>
      <c r="D43" s="14"/>
    </row>
    <row r="44" spans="1:4" x14ac:dyDescent="0.25">
      <c r="A44" s="32" t="s">
        <v>667</v>
      </c>
      <c r="B44" s="33">
        <f>SUM(B33:B43)</f>
        <v>18002.159999999996</v>
      </c>
      <c r="C44" s="34">
        <f t="shared" si="1"/>
        <v>0.32576656342312055</v>
      </c>
      <c r="D44" s="14"/>
    </row>
    <row r="45" spans="1:4" hidden="1" x14ac:dyDescent="0.25">
      <c r="A45" s="31" t="s">
        <v>668</v>
      </c>
      <c r="B45" s="14"/>
      <c r="C45" s="14"/>
      <c r="D45" s="14"/>
    </row>
    <row r="46" spans="1:4" hidden="1" x14ac:dyDescent="0.25">
      <c r="A46" s="27" t="s">
        <v>644</v>
      </c>
      <c r="B46" s="26">
        <f>SUMIFS('Transaction Details'!$E$8:$E$312,'Transaction Details'!$J$8:$J$312,A46)</f>
        <v>0</v>
      </c>
      <c r="C46" s="40">
        <f>IFERROR(B46/$B$9,0)</f>
        <v>0</v>
      </c>
      <c r="D46" s="14"/>
    </row>
    <row r="47" spans="1:4" hidden="1" x14ac:dyDescent="0.25">
      <c r="A47" s="14" t="s">
        <v>669</v>
      </c>
      <c r="B47" s="15">
        <f>SUMIFS('Transaction Details'!$E$8:$E$312,'Transaction Details'!$J$8:$J$312,A47)</f>
        <v>0</v>
      </c>
      <c r="C47" s="17">
        <f>IFERROR(B47/$B$9,0)</f>
        <v>0</v>
      </c>
      <c r="D47" s="14"/>
    </row>
    <row r="48" spans="1:4" hidden="1" x14ac:dyDescent="0.25">
      <c r="A48" s="27" t="s">
        <v>638</v>
      </c>
      <c r="B48" s="26">
        <f>SUMIFS('Transaction Details'!$E$8:$E$312,'Transaction Details'!$J$8:$J$312,A48)</f>
        <v>0</v>
      </c>
      <c r="C48" s="40">
        <f>IFERROR(B48/$B$9,0)</f>
        <v>0</v>
      </c>
      <c r="D48" s="14"/>
    </row>
    <row r="49" spans="1:4" hidden="1" x14ac:dyDescent="0.25">
      <c r="A49" s="32" t="s">
        <v>670</v>
      </c>
      <c r="B49" s="33">
        <f>SUM(B46:B48)</f>
        <v>0</v>
      </c>
      <c r="C49" s="34">
        <f>IFERROR(B49/$B$9,0)</f>
        <v>0</v>
      </c>
      <c r="D49" s="14"/>
    </row>
    <row r="50" spans="1:4" x14ac:dyDescent="0.25">
      <c r="A50" s="31" t="s">
        <v>648</v>
      </c>
      <c r="B50" s="14"/>
      <c r="C50" s="14"/>
      <c r="D50" s="14"/>
    </row>
    <row r="51" spans="1:4" x14ac:dyDescent="0.25">
      <c r="A51" s="14" t="s">
        <v>626</v>
      </c>
      <c r="B51" s="15">
        <f>SUMIFS('Transaction Details'!$E$8:$E$312,'Transaction Details'!$J$8:$J$312,A51)</f>
        <v>-44760.06</v>
      </c>
      <c r="C51" s="17">
        <f>IFERROR(B51/$B$9,0)</f>
        <v>-0.80997674305820433</v>
      </c>
      <c r="D51" s="14"/>
    </row>
    <row r="52" spans="1:4" x14ac:dyDescent="0.25">
      <c r="A52" s="27" t="s">
        <v>232</v>
      </c>
      <c r="B52" s="26">
        <f>SUMIFS('Transaction Details'!$E$8:$E$312,'Transaction Details'!$J$8:$J$312,A52)</f>
        <v>-600</v>
      </c>
      <c r="C52" s="40">
        <f>IFERROR(B52/$B$9,0)</f>
        <v>-1.0857582537532851E-2</v>
      </c>
      <c r="D52" s="14"/>
    </row>
    <row r="53" spans="1:4" x14ac:dyDescent="0.25">
      <c r="A53" s="14" t="s">
        <v>525</v>
      </c>
      <c r="B53" s="15">
        <f>SUMIFS('Transaction Details'!$E$8:$E$312,'Transaction Details'!$J$8:$J$312,A53)</f>
        <v>-151.19999999999999</v>
      </c>
      <c r="C53" s="17">
        <f>IFERROR(B53/$B$9,0)</f>
        <v>-2.7361107994582782E-3</v>
      </c>
      <c r="D53" s="14"/>
    </row>
    <row r="54" spans="1:4" x14ac:dyDescent="0.25">
      <c r="A54" s="32" t="s">
        <v>671</v>
      </c>
      <c r="B54" s="33">
        <f>SUM(B51:B53)</f>
        <v>-45511.259999999995</v>
      </c>
      <c r="C54" s="34">
        <f>IFERROR(B54/$B$9,0)</f>
        <v>-0.82357043639519545</v>
      </c>
      <c r="D54" s="14"/>
    </row>
    <row r="55" spans="1:4" x14ac:dyDescent="0.25">
      <c r="A55" s="35" t="s">
        <v>672</v>
      </c>
      <c r="B55" s="36">
        <f>B21+B27+B31+B44+B49+B54</f>
        <v>7765.8799999999974</v>
      </c>
      <c r="C55" s="37">
        <f>IFERROR(B55/$B$9,0)</f>
        <v>0.1405311384609593</v>
      </c>
      <c r="D55" s="14"/>
    </row>
    <row r="56" spans="1:4" x14ac:dyDescent="0.25">
      <c r="A56" s="14"/>
      <c r="B56" s="14"/>
      <c r="C56" s="14"/>
      <c r="D56" s="14"/>
    </row>
    <row r="57" spans="1:4" x14ac:dyDescent="0.25">
      <c r="A57" s="21" t="s">
        <v>673</v>
      </c>
      <c r="B57" s="21"/>
      <c r="C57" s="21"/>
      <c r="D57" s="21"/>
    </row>
    <row r="58" spans="1:4" x14ac:dyDescent="0.25">
      <c r="A58" s="30" t="s">
        <v>645</v>
      </c>
      <c r="B58" s="30" t="s">
        <v>615</v>
      </c>
      <c r="C58" s="30" t="s">
        <v>674</v>
      </c>
      <c r="D58" s="30" t="s">
        <v>675</v>
      </c>
    </row>
    <row r="59" spans="1:4" x14ac:dyDescent="0.25">
      <c r="A59" s="18">
        <f>DATE(2026,3,1)</f>
        <v>46082</v>
      </c>
      <c r="B59" s="15">
        <f>SUMIFS('Transaction Details'!$E$8:$E$312,'Transaction Details'!$I$8:$I$312,$A59,'Transaction Details'!$E$8:$E$312,"&gt;0")</f>
        <v>16220.839999999991</v>
      </c>
      <c r="C59" s="15">
        <f>SUMIFS('Transaction Details'!$E$8:$E$312,'Transaction Details'!$I$8:$I$312,$A59,'Transaction Details'!$E$8:$E$312,"&lt;0")</f>
        <v>-17080.190000000002</v>
      </c>
      <c r="D59" s="15">
        <f>B59+C59</f>
        <v>-859.35000000001128</v>
      </c>
    </row>
    <row r="60" spans="1:4" x14ac:dyDescent="0.25">
      <c r="A60" s="41">
        <f>DATE(2026,4,1)</f>
        <v>46113</v>
      </c>
      <c r="B60" s="26">
        <f>SUMIFS('Transaction Details'!$E$8:$E$312,'Transaction Details'!$I$8:$I$312,$A60,'Transaction Details'!$E$8:$E$312,"&gt;0")</f>
        <v>28524.66</v>
      </c>
      <c r="C60" s="26">
        <f>SUMIFS('Transaction Details'!$E$8:$E$312,'Transaction Details'!$I$8:$I$312,$A60,'Transaction Details'!$E$8:$E$312,"&lt;0")</f>
        <v>-2832.96</v>
      </c>
      <c r="D60" s="26">
        <f t="shared" ref="D60:D62" si="2">B60+C60</f>
        <v>25691.7</v>
      </c>
    </row>
    <row r="61" spans="1:4" x14ac:dyDescent="0.25">
      <c r="A61" s="18">
        <f>DATE(2026,5,1)</f>
        <v>46143</v>
      </c>
      <c r="B61" s="15">
        <f>SUMIFS('Transaction Details'!$E$8:$E$312,'Transaction Details'!$I$8:$I$312,$A61,'Transaction Details'!$E$8:$E$312,"&gt;0")</f>
        <v>8440.9699999999993</v>
      </c>
      <c r="C61" s="15">
        <f>SUMIFS('Transaction Details'!$E$8:$E$312,'Transaction Details'!$I$8:$I$312,$A61,'Transaction Details'!$E$8:$E$312,"&lt;0")</f>
        <v>-27581.89</v>
      </c>
      <c r="D61" s="15">
        <f t="shared" si="2"/>
        <v>-19140.919999999998</v>
      </c>
    </row>
    <row r="62" spans="1:4" x14ac:dyDescent="0.25">
      <c r="A62" s="41">
        <f>DATE(2026,6,1)</f>
        <v>46174</v>
      </c>
      <c r="B62" s="26">
        <f>SUMIFS('Transaction Details'!$E$8:$E$312,'Transaction Details'!$I$8:$I$312,$A62,'Transaction Details'!$E$8:$E$312,"&gt;0")</f>
        <v>2074.4500000000003</v>
      </c>
      <c r="C62" s="26">
        <f>SUMIFS('Transaction Details'!$E$8:$E$312,'Transaction Details'!$I$8:$I$312,$A62,'Transaction Details'!$E$8:$E$312,"&lt;0")</f>
        <v>0</v>
      </c>
      <c r="D62" s="26">
        <f t="shared" si="2"/>
        <v>2074.4500000000003</v>
      </c>
    </row>
    <row r="63" spans="1:4" x14ac:dyDescent="0.25">
      <c r="A63" s="38" t="s">
        <v>616</v>
      </c>
      <c r="B63" s="39">
        <f>SUM(B59:B62)</f>
        <v>55260.919999999991</v>
      </c>
      <c r="C63" s="39">
        <f>SUM(C59:C62)</f>
        <v>-47495.040000000001</v>
      </c>
      <c r="D63" s="39">
        <f>SUM(D59:D62)</f>
        <v>7765.8799999999937</v>
      </c>
    </row>
    <row r="64" spans="1:4" x14ac:dyDescent="0.25">
      <c r="A64" s="14"/>
      <c r="B64" s="14"/>
      <c r="C64" s="14"/>
      <c r="D64" s="14"/>
    </row>
    <row r="65" spans="1:4" x14ac:dyDescent="0.25">
      <c r="A65" s="21" t="s">
        <v>676</v>
      </c>
      <c r="B65" s="21"/>
      <c r="C65" s="21"/>
      <c r="D65" s="21"/>
    </row>
    <row r="66" spans="1:4" x14ac:dyDescent="0.25">
      <c r="A66" s="30" t="s">
        <v>7</v>
      </c>
      <c r="B66" s="30" t="s">
        <v>8</v>
      </c>
      <c r="C66" s="30" t="s">
        <v>677</v>
      </c>
      <c r="D66" s="30" t="s">
        <v>11</v>
      </c>
    </row>
    <row r="67" spans="1:4" x14ac:dyDescent="0.25">
      <c r="A67" s="19">
        <f>DATE(2026,5,27)</f>
        <v>46169</v>
      </c>
      <c r="B67" s="14" t="s">
        <v>678</v>
      </c>
      <c r="C67" s="14" t="s">
        <v>679</v>
      </c>
      <c r="D67" s="15">
        <v>-27231.89</v>
      </c>
    </row>
    <row r="68" spans="1:4" x14ac:dyDescent="0.25">
      <c r="A68" s="42">
        <f>DATE(2026,3,28)</f>
        <v>46109</v>
      </c>
      <c r="B68" s="27" t="s">
        <v>678</v>
      </c>
      <c r="C68" s="27" t="s">
        <v>679</v>
      </c>
      <c r="D68" s="26">
        <v>-14941.94</v>
      </c>
    </row>
    <row r="69" spans="1:4" x14ac:dyDescent="0.25">
      <c r="A69" s="19">
        <f>DATE(2026,4,27)</f>
        <v>46139</v>
      </c>
      <c r="B69" s="14" t="s">
        <v>678</v>
      </c>
      <c r="C69" s="14" t="s">
        <v>679</v>
      </c>
      <c r="D69" s="15">
        <v>-2586.23</v>
      </c>
    </row>
    <row r="70" spans="1:4" x14ac:dyDescent="0.25">
      <c r="A70" s="42">
        <f>DATE(2026,3,12)</f>
        <v>46093</v>
      </c>
      <c r="B70" s="27" t="s">
        <v>680</v>
      </c>
      <c r="C70" s="27" t="s">
        <v>681</v>
      </c>
      <c r="D70" s="26">
        <v>-987.52</v>
      </c>
    </row>
    <row r="71" spans="1:4" x14ac:dyDescent="0.25">
      <c r="A71" s="19">
        <f>DATE(2026,3,12)</f>
        <v>46093</v>
      </c>
      <c r="B71" s="14" t="s">
        <v>682</v>
      </c>
      <c r="C71" s="14" t="s">
        <v>681</v>
      </c>
      <c r="D71" s="15">
        <v>-539.98</v>
      </c>
    </row>
    <row r="72" spans="1:4" x14ac:dyDescent="0.25">
      <c r="A72" s="42">
        <f>DATE(2026,5,7)</f>
        <v>46149</v>
      </c>
      <c r="B72" s="27" t="s">
        <v>683</v>
      </c>
      <c r="C72" s="27" t="s">
        <v>684</v>
      </c>
      <c r="D72" s="26">
        <v>-350</v>
      </c>
    </row>
    <row r="73" spans="1:4" x14ac:dyDescent="0.25">
      <c r="A73" s="19">
        <f>DATE(2026,3,9)</f>
        <v>46090</v>
      </c>
      <c r="B73" s="14" t="s">
        <v>683</v>
      </c>
      <c r="C73" s="14" t="s">
        <v>684</v>
      </c>
      <c r="D73" s="15">
        <v>-250</v>
      </c>
    </row>
    <row r="74" spans="1:4" x14ac:dyDescent="0.25">
      <c r="A74" s="42">
        <f>DATE(2026,4,3)</f>
        <v>46115</v>
      </c>
      <c r="B74" s="27" t="s">
        <v>685</v>
      </c>
      <c r="C74" s="27" t="s">
        <v>686</v>
      </c>
      <c r="D74" s="26">
        <v>-246.73</v>
      </c>
    </row>
    <row r="75" spans="1:4" x14ac:dyDescent="0.25">
      <c r="A75" s="19">
        <f>DATE(2026,3,9)</f>
        <v>46090</v>
      </c>
      <c r="B75" s="14" t="s">
        <v>687</v>
      </c>
      <c r="C75" s="14" t="s">
        <v>686</v>
      </c>
      <c r="D75" s="15">
        <v>-151.19999999999999</v>
      </c>
    </row>
    <row r="76" spans="1:4" x14ac:dyDescent="0.25">
      <c r="A76" s="42">
        <f>DATE(2026,3,12)</f>
        <v>46093</v>
      </c>
      <c r="B76" s="27" t="s">
        <v>688</v>
      </c>
      <c r="C76" s="27" t="s">
        <v>681</v>
      </c>
      <c r="D76" s="26">
        <v>-97.19</v>
      </c>
    </row>
    <row r="77" spans="1:4" x14ac:dyDescent="0.25">
      <c r="A77" s="19">
        <f>DATE(2026,3,13)</f>
        <v>46094</v>
      </c>
      <c r="B77" s="14" t="s">
        <v>689</v>
      </c>
      <c r="C77" s="14" t="s">
        <v>681</v>
      </c>
      <c r="D77" s="15">
        <v>-57.5</v>
      </c>
    </row>
    <row r="78" spans="1:4" x14ac:dyDescent="0.25">
      <c r="A78" s="42">
        <f>DATE(2026,3,28)</f>
        <v>46109</v>
      </c>
      <c r="B78" s="27" t="s">
        <v>690</v>
      </c>
      <c r="C78" s="27" t="s">
        <v>681</v>
      </c>
      <c r="D78" s="26">
        <v>-54.86</v>
      </c>
    </row>
    <row r="79" spans="1:4" x14ac:dyDescent="0.25">
      <c r="A79" s="38" t="s">
        <v>691</v>
      </c>
      <c r="B79" s="38"/>
      <c r="C79" s="38"/>
      <c r="D79" s="39">
        <f>SUM(D67:D78)</f>
        <v>-47495.040000000008</v>
      </c>
    </row>
    <row r="80" spans="1:4" x14ac:dyDescent="0.25">
      <c r="A80" s="14"/>
      <c r="B80" s="16" t="str">
        <f>IF(ROUND(D79-B10,2)=0,"✓ ties to Credits &amp; Payments total","⚠ mismatch")</f>
        <v>✓ ties to Credits &amp; Payments total</v>
      </c>
      <c r="C80" s="14"/>
      <c r="D8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2813-0D30-42DF-B851-FC9583170281}">
  <dimension ref="A1:F38"/>
  <sheetViews>
    <sheetView workbookViewId="0">
      <selection activeCell="A35" sqref="A35"/>
    </sheetView>
  </sheetViews>
  <sheetFormatPr defaultRowHeight="15" x14ac:dyDescent="0.25"/>
  <cols>
    <col min="1" max="1" width="41" customWidth="1"/>
    <col min="2" max="6" width="17.140625" customWidth="1"/>
  </cols>
  <sheetData>
    <row r="1" spans="1:6" ht="21" x14ac:dyDescent="0.35">
      <c r="A1" s="20" t="s">
        <v>650</v>
      </c>
      <c r="B1" s="20"/>
      <c r="C1" s="20"/>
      <c r="D1" s="20"/>
      <c r="E1" s="20"/>
      <c r="F1" s="20"/>
    </row>
    <row r="2" spans="1:6" x14ac:dyDescent="0.25">
      <c r="A2" s="22" t="s">
        <v>692</v>
      </c>
      <c r="B2" s="22"/>
      <c r="C2" s="22"/>
      <c r="D2" s="22"/>
      <c r="E2" s="22"/>
      <c r="F2" s="22"/>
    </row>
    <row r="3" spans="1:6" x14ac:dyDescent="0.25">
      <c r="A3" s="14"/>
      <c r="B3" s="14"/>
      <c r="C3" s="14"/>
      <c r="D3" s="14"/>
      <c r="E3" s="14"/>
      <c r="F3" s="14"/>
    </row>
    <row r="4" spans="1:6" x14ac:dyDescent="0.25">
      <c r="A4" s="30" t="s">
        <v>14</v>
      </c>
      <c r="B4" s="44">
        <f>DATE(2026,3,1)</f>
        <v>46082</v>
      </c>
      <c r="C4" s="44">
        <f>DATE(2026,4,1)</f>
        <v>46113</v>
      </c>
      <c r="D4" s="44">
        <f>DATE(2026,5,1)</f>
        <v>46143</v>
      </c>
      <c r="E4" s="44">
        <f>DATE(2026,6,1)</f>
        <v>46174</v>
      </c>
      <c r="F4" s="30" t="s">
        <v>616</v>
      </c>
    </row>
    <row r="5" spans="1:6" x14ac:dyDescent="0.25">
      <c r="A5" s="14" t="s">
        <v>624</v>
      </c>
      <c r="B5" s="43">
        <f>SUMIFS('Transaction Details'!$E$8:$E$312,'Transaction Details'!$J$8:$J$312,$A5,'Transaction Details'!$I$8:$I$312,B$4)</f>
        <v>1927.4199999999996</v>
      </c>
      <c r="C5" s="43">
        <f>SUMIFS('Transaction Details'!$E$8:$E$312,'Transaction Details'!$J$8:$J$312,$A5,'Transaction Details'!$I$8:$I$312,C$4)</f>
        <v>0</v>
      </c>
      <c r="D5" s="43">
        <f>SUMIFS('Transaction Details'!$E$8:$E$312,'Transaction Details'!$J$8:$J$312,$A5,'Transaction Details'!$I$8:$I$312,D$4)</f>
        <v>463.4</v>
      </c>
      <c r="E5" s="43">
        <f>SUMIFS('Transaction Details'!$E$8:$E$312,'Transaction Details'!$J$8:$J$312,$A5,'Transaction Details'!$I$8:$I$312,E$4)</f>
        <v>178.05</v>
      </c>
      <c r="F5" s="43">
        <f>SUM(B5:E5)</f>
        <v>2568.87</v>
      </c>
    </row>
    <row r="6" spans="1:6" x14ac:dyDescent="0.25">
      <c r="A6" s="27" t="s">
        <v>635</v>
      </c>
      <c r="B6" s="45">
        <f>SUMIFS('Transaction Details'!$E$8:$E$312,'Transaction Details'!$J$8:$J$312,$A6,'Transaction Details'!$I$8:$I$312,B$4)</f>
        <v>774.53</v>
      </c>
      <c r="C6" s="45">
        <f>SUMIFS('Transaction Details'!$E$8:$E$312,'Transaction Details'!$J$8:$J$312,$A6,'Transaction Details'!$I$8:$I$312,C$4)</f>
        <v>35</v>
      </c>
      <c r="D6" s="45">
        <f>SUMIFS('Transaction Details'!$E$8:$E$312,'Transaction Details'!$J$8:$J$312,$A6,'Transaction Details'!$I$8:$I$312,D$4)</f>
        <v>0</v>
      </c>
      <c r="E6" s="45">
        <f>SUMIFS('Transaction Details'!$E$8:$E$312,'Transaction Details'!$J$8:$J$312,$A6,'Transaction Details'!$I$8:$I$312,E$4)</f>
        <v>0</v>
      </c>
      <c r="F6" s="45">
        <f t="shared" ref="F6:F32" si="0">SUM(B6:E6)</f>
        <v>809.53</v>
      </c>
    </row>
    <row r="7" spans="1:6" x14ac:dyDescent="0.25">
      <c r="A7" s="14" t="s">
        <v>642</v>
      </c>
      <c r="B7" s="43">
        <f>SUMIFS('Transaction Details'!$E$8:$E$312,'Transaction Details'!$J$8:$J$312,$A7,'Transaction Details'!$I$8:$I$312,B$4)</f>
        <v>1505</v>
      </c>
      <c r="C7" s="43">
        <f>SUMIFS('Transaction Details'!$E$8:$E$312,'Transaction Details'!$J$8:$J$312,$A7,'Transaction Details'!$I$8:$I$312,C$4)</f>
        <v>0</v>
      </c>
      <c r="D7" s="43">
        <f>SUMIFS('Transaction Details'!$E$8:$E$312,'Transaction Details'!$J$8:$J$312,$A7,'Transaction Details'!$I$8:$I$312,D$4)</f>
        <v>0</v>
      </c>
      <c r="E7" s="43">
        <f>SUMIFS('Transaction Details'!$E$8:$E$312,'Transaction Details'!$J$8:$J$312,$A7,'Transaction Details'!$I$8:$I$312,E$4)</f>
        <v>0</v>
      </c>
      <c r="F7" s="43">
        <f t="shared" si="0"/>
        <v>1505</v>
      </c>
    </row>
    <row r="8" spans="1:6" x14ac:dyDescent="0.25">
      <c r="A8" s="27" t="s">
        <v>639</v>
      </c>
      <c r="B8" s="45">
        <f>SUMIFS('Transaction Details'!$E$8:$E$312,'Transaction Details'!$J$8:$J$312,$A8,'Transaction Details'!$I$8:$I$312,B$4)</f>
        <v>1031</v>
      </c>
      <c r="C8" s="45">
        <f>SUMIFS('Transaction Details'!$E$8:$E$312,'Transaction Details'!$J$8:$J$312,$A8,'Transaction Details'!$I$8:$I$312,C$4)</f>
        <v>0</v>
      </c>
      <c r="D8" s="45">
        <f>SUMIFS('Transaction Details'!$E$8:$E$312,'Transaction Details'!$J$8:$J$312,$A8,'Transaction Details'!$I$8:$I$312,D$4)</f>
        <v>0</v>
      </c>
      <c r="E8" s="45">
        <f>SUMIFS('Transaction Details'!$E$8:$E$312,'Transaction Details'!$J$8:$J$312,$A8,'Transaction Details'!$I$8:$I$312,E$4)</f>
        <v>0</v>
      </c>
      <c r="F8" s="45">
        <f t="shared" si="0"/>
        <v>1031</v>
      </c>
    </row>
    <row r="9" spans="1:6" x14ac:dyDescent="0.25">
      <c r="A9" s="14" t="s">
        <v>694</v>
      </c>
      <c r="B9" s="15">
        <f>SUMIFS('Transaction Details'!$E$8:$E$312,'Transaction Details'!$J$8:$J$312,$A9,'Transaction Details'!$I$8:$I$312,B$4)</f>
        <v>25.5</v>
      </c>
      <c r="C9" s="15">
        <f>SUMIFS('Transaction Details'!$E$8:$E$312,'Transaction Details'!$J$8:$J$312,$A9,'Transaction Details'!$I$8:$I$312,C$4)</f>
        <v>0</v>
      </c>
      <c r="D9" s="15">
        <f>SUMIFS('Transaction Details'!$E$8:$E$312,'Transaction Details'!$J$8:$J$312,$A9,'Transaction Details'!$I$8:$I$312,D$4)</f>
        <v>0</v>
      </c>
      <c r="E9" s="15">
        <f>SUMIFS('Transaction Details'!$E$8:$E$312,'Transaction Details'!$J$8:$J$312,$A9,'Transaction Details'!$I$8:$I$312,E$4)</f>
        <v>0</v>
      </c>
      <c r="F9" s="15">
        <f>SUM(B9:E9)</f>
        <v>25.5</v>
      </c>
    </row>
    <row r="10" spans="1:6" x14ac:dyDescent="0.25">
      <c r="A10" s="14" t="s">
        <v>633</v>
      </c>
      <c r="B10" s="43">
        <f>SUMIFS('Transaction Details'!$E$8:$E$312,'Transaction Details'!$J$8:$J$312,$A10,'Transaction Details'!$I$8:$I$312,B$4)</f>
        <v>1346.5400000000002</v>
      </c>
      <c r="C10" s="43">
        <f>SUMIFS('Transaction Details'!$E$8:$E$312,'Transaction Details'!$J$8:$J$312,$A10,'Transaction Details'!$I$8:$I$312,C$4)</f>
        <v>0</v>
      </c>
      <c r="D10" s="43">
        <f>SUMIFS('Transaction Details'!$E$8:$E$312,'Transaction Details'!$J$8:$J$312,$A10,'Transaction Details'!$I$8:$I$312,D$4)</f>
        <v>0</v>
      </c>
      <c r="E10" s="43">
        <f>SUMIFS('Transaction Details'!$E$8:$E$312,'Transaction Details'!$J$8:$J$312,$A10,'Transaction Details'!$I$8:$I$312,E$4)</f>
        <v>0</v>
      </c>
      <c r="F10" s="43">
        <f t="shared" si="0"/>
        <v>1346.5400000000002</v>
      </c>
    </row>
    <row r="11" spans="1:6" x14ac:dyDescent="0.25">
      <c r="A11" s="27" t="s">
        <v>641</v>
      </c>
      <c r="B11" s="45">
        <f>SUMIFS('Transaction Details'!$E$8:$E$312,'Transaction Details'!$J$8:$J$312,$A11,'Transaction Details'!$I$8:$I$312,B$4)</f>
        <v>41.28</v>
      </c>
      <c r="C11" s="45">
        <f>SUMIFS('Transaction Details'!$E$8:$E$312,'Transaction Details'!$J$8:$J$312,$A11,'Transaction Details'!$I$8:$I$312,C$4)</f>
        <v>0</v>
      </c>
      <c r="D11" s="45">
        <f>SUMIFS('Transaction Details'!$E$8:$E$312,'Transaction Details'!$J$8:$J$312,$A11,'Transaction Details'!$I$8:$I$312,D$4)</f>
        <v>0</v>
      </c>
      <c r="E11" s="45">
        <f>SUMIFS('Transaction Details'!$E$8:$E$312,'Transaction Details'!$J$8:$J$312,$A11,'Transaction Details'!$I$8:$I$312,E$4)</f>
        <v>0</v>
      </c>
      <c r="F11" s="45">
        <f t="shared" si="0"/>
        <v>41.28</v>
      </c>
    </row>
    <row r="12" spans="1:6" x14ac:dyDescent="0.25">
      <c r="A12" s="14" t="s">
        <v>640</v>
      </c>
      <c r="B12" s="43">
        <f>SUMIFS('Transaction Details'!$E$8:$E$312,'Transaction Details'!$J$8:$J$312,$A12,'Transaction Details'!$I$8:$I$312,B$4)</f>
        <v>636.57000000000005</v>
      </c>
      <c r="C12" s="43">
        <f>SUMIFS('Transaction Details'!$E$8:$E$312,'Transaction Details'!$J$8:$J$312,$A12,'Transaction Details'!$I$8:$I$312,C$4)</f>
        <v>0</v>
      </c>
      <c r="D12" s="43">
        <f>SUMIFS('Transaction Details'!$E$8:$E$312,'Transaction Details'!$J$8:$J$312,$A12,'Transaction Details'!$I$8:$I$312,D$4)</f>
        <v>0</v>
      </c>
      <c r="E12" s="43">
        <f>SUMIFS('Transaction Details'!$E$8:$E$312,'Transaction Details'!$J$8:$J$312,$A12,'Transaction Details'!$I$8:$I$312,E$4)</f>
        <v>0</v>
      </c>
      <c r="F12" s="43">
        <f t="shared" si="0"/>
        <v>636.57000000000005</v>
      </c>
    </row>
    <row r="13" spans="1:6" x14ac:dyDescent="0.25">
      <c r="A13" s="27" t="s">
        <v>637</v>
      </c>
      <c r="B13" s="45">
        <f>SUMIFS('Transaction Details'!$E$8:$E$312,'Transaction Details'!$J$8:$J$312,$A13,'Transaction Details'!$I$8:$I$312,B$4)</f>
        <v>992.74</v>
      </c>
      <c r="C13" s="45">
        <f>SUMIFS('Transaction Details'!$E$8:$E$312,'Transaction Details'!$J$8:$J$312,$A13,'Transaction Details'!$I$8:$I$312,C$4)</f>
        <v>-246.73</v>
      </c>
      <c r="D13" s="45">
        <f>SUMIFS('Transaction Details'!$E$8:$E$312,'Transaction Details'!$J$8:$J$312,$A13,'Transaction Details'!$I$8:$I$312,D$4)</f>
        <v>0</v>
      </c>
      <c r="E13" s="45">
        <f>SUMIFS('Transaction Details'!$E$8:$E$312,'Transaction Details'!$J$8:$J$312,$A13,'Transaction Details'!$I$8:$I$312,E$4)</f>
        <v>0</v>
      </c>
      <c r="F13" s="45">
        <f t="shared" si="0"/>
        <v>746.01</v>
      </c>
    </row>
    <row r="14" spans="1:6" x14ac:dyDescent="0.25">
      <c r="A14" s="14" t="s">
        <v>634</v>
      </c>
      <c r="B14" s="43">
        <f>SUMIFS('Transaction Details'!$E$8:$E$312,'Transaction Details'!$J$8:$J$312,$A14,'Transaction Details'!$I$8:$I$312,B$4)</f>
        <v>969.65</v>
      </c>
      <c r="C14" s="43">
        <f>SUMIFS('Transaction Details'!$E$8:$E$312,'Transaction Details'!$J$8:$J$312,$A14,'Transaction Details'!$I$8:$I$312,C$4)</f>
        <v>25343.050000000003</v>
      </c>
      <c r="D14" s="43">
        <f>SUMIFS('Transaction Details'!$E$8:$E$312,'Transaction Details'!$J$8:$J$312,$A14,'Transaction Details'!$I$8:$I$312,D$4)</f>
        <v>201.98</v>
      </c>
      <c r="E14" s="43">
        <f>SUMIFS('Transaction Details'!$E$8:$E$312,'Transaction Details'!$J$8:$J$312,$A14,'Transaction Details'!$I$8:$I$312,E$4)</f>
        <v>0</v>
      </c>
      <c r="F14" s="43">
        <f t="shared" si="0"/>
        <v>26514.680000000004</v>
      </c>
    </row>
    <row r="15" spans="1:6" x14ac:dyDescent="0.25">
      <c r="A15" s="27" t="s">
        <v>628</v>
      </c>
      <c r="B15" s="45">
        <f>SUMIFS('Transaction Details'!$E$8:$E$312,'Transaction Details'!$J$8:$J$312,$A15,'Transaction Details'!$I$8:$I$312,B$4)</f>
        <v>0</v>
      </c>
      <c r="C15" s="45">
        <f>SUMIFS('Transaction Details'!$E$8:$E$312,'Transaction Details'!$J$8:$J$312,$A15,'Transaction Details'!$I$8:$I$312,C$4)</f>
        <v>0</v>
      </c>
      <c r="D15" s="45">
        <f>SUMIFS('Transaction Details'!$E$8:$E$312,'Transaction Details'!$J$8:$J$312,$A15,'Transaction Details'!$I$8:$I$312,D$4)</f>
        <v>50</v>
      </c>
      <c r="E15" s="45">
        <f>SUMIFS('Transaction Details'!$E$8:$E$312,'Transaction Details'!$J$8:$J$312,$A15,'Transaction Details'!$I$8:$I$312,E$4)</f>
        <v>0</v>
      </c>
      <c r="F15" s="45">
        <f t="shared" si="0"/>
        <v>50</v>
      </c>
    </row>
    <row r="16" spans="1:6" x14ac:dyDescent="0.25">
      <c r="A16" s="14" t="s">
        <v>619</v>
      </c>
      <c r="B16" s="43">
        <f>SUMIFS('Transaction Details'!$E$8:$E$312,'Transaction Details'!$J$8:$J$312,$A16,'Transaction Details'!$I$8:$I$312,B$4)</f>
        <v>2247.27</v>
      </c>
      <c r="C16" s="43">
        <f>SUMIFS('Transaction Details'!$E$8:$E$312,'Transaction Details'!$J$8:$J$312,$A16,'Transaction Details'!$I$8:$I$312,C$4)</f>
        <v>1207.32</v>
      </c>
      <c r="D16" s="43">
        <f>SUMIFS('Transaction Details'!$E$8:$E$312,'Transaction Details'!$J$8:$J$312,$A16,'Transaction Details'!$I$8:$I$312,D$4)</f>
        <v>2445.17</v>
      </c>
      <c r="E16" s="43">
        <f>SUMIFS('Transaction Details'!$E$8:$E$312,'Transaction Details'!$J$8:$J$312,$A16,'Transaction Details'!$I$8:$I$312,E$4)</f>
        <v>810.41000000000008</v>
      </c>
      <c r="F16" s="43">
        <f t="shared" si="0"/>
        <v>6710.17</v>
      </c>
    </row>
    <row r="17" spans="1:6" x14ac:dyDescent="0.25">
      <c r="A17" s="27" t="s">
        <v>621</v>
      </c>
      <c r="B17" s="45">
        <f>SUMIFS('Transaction Details'!$E$8:$E$312,'Transaction Details'!$J$8:$J$312,$A17,'Transaction Details'!$I$8:$I$312,B$4)</f>
        <v>1123.2</v>
      </c>
      <c r="C17" s="45">
        <f>SUMIFS('Transaction Details'!$E$8:$E$312,'Transaction Details'!$J$8:$J$312,$A17,'Transaction Details'!$I$8:$I$312,C$4)</f>
        <v>1200</v>
      </c>
      <c r="D17" s="45">
        <f>SUMIFS('Transaction Details'!$E$8:$E$312,'Transaction Details'!$J$8:$J$312,$A17,'Transaction Details'!$I$8:$I$312,D$4)</f>
        <v>2182.14</v>
      </c>
      <c r="E17" s="45">
        <f>SUMIFS('Transaction Details'!$E$8:$E$312,'Transaction Details'!$J$8:$J$312,$A17,'Transaction Details'!$I$8:$I$312,E$4)</f>
        <v>264.52</v>
      </c>
      <c r="F17" s="45">
        <f t="shared" si="0"/>
        <v>4769.8600000000006</v>
      </c>
    </row>
    <row r="18" spans="1:6" x14ac:dyDescent="0.25">
      <c r="A18" s="14" t="s">
        <v>620</v>
      </c>
      <c r="B18" s="43">
        <f>SUMIFS('Transaction Details'!$E$8:$E$312,'Transaction Details'!$J$8:$J$312,$A18,'Transaction Details'!$I$8:$I$312,B$4)</f>
        <v>92.460000000000008</v>
      </c>
      <c r="C18" s="43">
        <f>SUMIFS('Transaction Details'!$E$8:$E$312,'Transaction Details'!$J$8:$J$312,$A18,'Transaction Details'!$I$8:$I$312,C$4)</f>
        <v>600.04999999999995</v>
      </c>
      <c r="D18" s="43">
        <f>SUMIFS('Transaction Details'!$E$8:$E$312,'Transaction Details'!$J$8:$J$312,$A18,'Transaction Details'!$I$8:$I$312,D$4)</f>
        <v>1190.05</v>
      </c>
      <c r="E18" s="43">
        <f>SUMIFS('Transaction Details'!$E$8:$E$312,'Transaction Details'!$J$8:$J$312,$A18,'Transaction Details'!$I$8:$I$312,E$4)</f>
        <v>410.05999999999995</v>
      </c>
      <c r="F18" s="43">
        <f t="shared" si="0"/>
        <v>2292.62</v>
      </c>
    </row>
    <row r="19" spans="1:6" x14ac:dyDescent="0.25">
      <c r="A19" s="27" t="s">
        <v>622</v>
      </c>
      <c r="B19" s="45">
        <f>SUMIFS('Transaction Details'!$E$8:$E$312,'Transaction Details'!$J$8:$J$312,$A19,'Transaction Details'!$I$8:$I$312,B$4)</f>
        <v>263.32000000000005</v>
      </c>
      <c r="C19" s="45">
        <f>SUMIFS('Transaction Details'!$E$8:$E$312,'Transaction Details'!$J$8:$J$312,$A19,'Transaction Details'!$I$8:$I$312,C$4)</f>
        <v>0</v>
      </c>
      <c r="D19" s="45">
        <f>SUMIFS('Transaction Details'!$E$8:$E$312,'Transaction Details'!$J$8:$J$312,$A19,'Transaction Details'!$I$8:$I$312,D$4)</f>
        <v>251.67</v>
      </c>
      <c r="E19" s="45">
        <f>SUMIFS('Transaction Details'!$E$8:$E$312,'Transaction Details'!$J$8:$J$312,$A19,'Transaction Details'!$I$8:$I$312,E$4)</f>
        <v>76.39</v>
      </c>
      <c r="F19" s="45">
        <f t="shared" si="0"/>
        <v>591.38</v>
      </c>
    </row>
    <row r="20" spans="1:6" x14ac:dyDescent="0.25">
      <c r="A20" s="14" t="s">
        <v>632</v>
      </c>
      <c r="B20" s="43">
        <f>SUMIFS('Transaction Details'!$E$8:$E$312,'Transaction Details'!$J$8:$J$312,$A20,'Transaction Details'!$I$8:$I$312,B$4)</f>
        <v>887.44</v>
      </c>
      <c r="C20" s="43">
        <f>SUMIFS('Transaction Details'!$E$8:$E$312,'Transaction Details'!$J$8:$J$312,$A20,'Transaction Details'!$I$8:$I$312,C$4)</f>
        <v>122.16</v>
      </c>
      <c r="D20" s="43">
        <f>SUMIFS('Transaction Details'!$E$8:$E$312,'Transaction Details'!$J$8:$J$312,$A20,'Transaction Details'!$I$8:$I$312,D$4)</f>
        <v>131.69999999999999</v>
      </c>
      <c r="E20" s="43">
        <f>SUMIFS('Transaction Details'!$E$8:$E$312,'Transaction Details'!$J$8:$J$312,$A20,'Transaction Details'!$I$8:$I$312,E$4)</f>
        <v>0</v>
      </c>
      <c r="F20" s="43">
        <f t="shared" si="0"/>
        <v>1141.3</v>
      </c>
    </row>
    <row r="21" spans="1:6" x14ac:dyDescent="0.25">
      <c r="A21" s="27" t="s">
        <v>627</v>
      </c>
      <c r="B21" s="45">
        <f>SUMIFS('Transaction Details'!$E$8:$E$312,'Transaction Details'!$J$8:$J$312,$A21,'Transaction Details'!$I$8:$I$312,B$4)</f>
        <v>0</v>
      </c>
      <c r="C21" s="45">
        <f>SUMIFS('Transaction Details'!$E$8:$E$312,'Transaction Details'!$J$8:$J$312,$A21,'Transaction Details'!$I$8:$I$312,C$4)</f>
        <v>0</v>
      </c>
      <c r="D21" s="45">
        <f>SUMIFS('Transaction Details'!$E$8:$E$312,'Transaction Details'!$J$8:$J$312,$A21,'Transaction Details'!$I$8:$I$312,D$4)</f>
        <v>750.26</v>
      </c>
      <c r="E21" s="45">
        <f>SUMIFS('Transaction Details'!$E$8:$E$312,'Transaction Details'!$J$8:$J$312,$A21,'Transaction Details'!$I$8:$I$312,E$4)</f>
        <v>0</v>
      </c>
      <c r="F21" s="45">
        <f t="shared" si="0"/>
        <v>750.26</v>
      </c>
    </row>
    <row r="22" spans="1:6" x14ac:dyDescent="0.25">
      <c r="A22" s="14" t="s">
        <v>625</v>
      </c>
      <c r="B22" s="43">
        <f>SUMIFS('Transaction Details'!$E$8:$E$312,'Transaction Details'!$J$8:$J$312,$A22,'Transaction Details'!$I$8:$I$312,B$4)</f>
        <v>619.86999999999989</v>
      </c>
      <c r="C22" s="43">
        <f>SUMIFS('Transaction Details'!$E$8:$E$312,'Transaction Details'!$J$8:$J$312,$A22,'Transaction Details'!$I$8:$I$312,C$4)</f>
        <v>17.079999999999998</v>
      </c>
      <c r="D22" s="43">
        <f>SUMIFS('Transaction Details'!$E$8:$E$312,'Transaction Details'!$J$8:$J$312,$A22,'Transaction Details'!$I$8:$I$312,D$4)</f>
        <v>62.26</v>
      </c>
      <c r="E22" s="43">
        <f>SUMIFS('Transaction Details'!$E$8:$E$312,'Transaction Details'!$J$8:$J$312,$A22,'Transaction Details'!$I$8:$I$312,E$4)</f>
        <v>0</v>
      </c>
      <c r="F22" s="43">
        <f t="shared" si="0"/>
        <v>699.20999999999992</v>
      </c>
    </row>
    <row r="23" spans="1:6" x14ac:dyDescent="0.25">
      <c r="A23" s="27" t="s">
        <v>618</v>
      </c>
      <c r="B23" s="45">
        <f>SUMIFS('Transaction Details'!$E$8:$E$312,'Transaction Details'!$J$8:$J$312,$A23,'Transaction Details'!$I$8:$I$312,B$4)</f>
        <v>0</v>
      </c>
      <c r="C23" s="45">
        <f>SUMIFS('Transaction Details'!$E$8:$E$312,'Transaction Details'!$J$8:$J$312,$A23,'Transaction Details'!$I$8:$I$312,C$4)</f>
        <v>0</v>
      </c>
      <c r="D23" s="45">
        <f>SUMIFS('Transaction Details'!$E$8:$E$312,'Transaction Details'!$J$8:$J$312,$A23,'Transaction Details'!$I$8:$I$312,D$4)</f>
        <v>145.85999999999999</v>
      </c>
      <c r="E23" s="45">
        <f>SUMIFS('Transaction Details'!$E$8:$E$312,'Transaction Details'!$J$8:$J$312,$A23,'Transaction Details'!$I$8:$I$312,E$4)</f>
        <v>43.14</v>
      </c>
      <c r="F23" s="45">
        <f t="shared" si="0"/>
        <v>189</v>
      </c>
    </row>
    <row r="24" spans="1:6" x14ac:dyDescent="0.25">
      <c r="A24" s="14" t="s">
        <v>666</v>
      </c>
      <c r="B24" s="43">
        <f>SUMIFS('Transaction Details'!$E$8:$E$312,'Transaction Details'!$J$8:$J$312,$A24,'Transaction Details'!$I$8:$I$312,B$4)</f>
        <v>0</v>
      </c>
      <c r="C24" s="43">
        <f>SUMIFS('Transaction Details'!$E$8:$E$312,'Transaction Details'!$J$8:$J$312,$A24,'Transaction Details'!$I$8:$I$312,C$4)</f>
        <v>0</v>
      </c>
      <c r="D24" s="43">
        <f>SUMIFS('Transaction Details'!$E$8:$E$312,'Transaction Details'!$J$8:$J$312,$A24,'Transaction Details'!$I$8:$I$312,D$4)</f>
        <v>160.35</v>
      </c>
      <c r="E24" s="43">
        <f>SUMIFS('Transaction Details'!$E$8:$E$312,'Transaction Details'!$J$8:$J$312,$A24,'Transaction Details'!$I$8:$I$312,E$4)</f>
        <v>0</v>
      </c>
      <c r="F24" s="43">
        <f t="shared" si="0"/>
        <v>160.35</v>
      </c>
    </row>
    <row r="25" spans="1:6" x14ac:dyDescent="0.25">
      <c r="A25" s="27" t="s">
        <v>617</v>
      </c>
      <c r="B25" s="45">
        <f>SUMIFS('Transaction Details'!$E$8:$E$312,'Transaction Details'!$J$8:$J$312,$A25,'Transaction Details'!$I$8:$I$312,B$4)</f>
        <v>0</v>
      </c>
      <c r="C25" s="45">
        <f>SUMIFS('Transaction Details'!$E$8:$E$312,'Transaction Details'!$J$8:$J$312,$A25,'Transaction Details'!$I$8:$I$312,C$4)</f>
        <v>0</v>
      </c>
      <c r="D25" s="45">
        <f>SUMIFS('Transaction Details'!$E$8:$E$312,'Transaction Details'!$J$8:$J$312,$A25,'Transaction Details'!$I$8:$I$312,D$4)</f>
        <v>393.37999999999994</v>
      </c>
      <c r="E25" s="45">
        <f>SUMIFS('Transaction Details'!$E$8:$E$312,'Transaction Details'!$J$8:$J$312,$A25,'Transaction Details'!$I$8:$I$312,E$4)</f>
        <v>291.88</v>
      </c>
      <c r="F25" s="45">
        <f t="shared" si="0"/>
        <v>685.26</v>
      </c>
    </row>
    <row r="26" spans="1:6" x14ac:dyDescent="0.25">
      <c r="A26" s="14" t="s">
        <v>630</v>
      </c>
      <c r="B26" s="43">
        <f>SUMIFS('Transaction Details'!$E$8:$E$312,'Transaction Details'!$J$8:$J$312,$A26,'Transaction Details'!$I$8:$I$312,B$4)</f>
        <v>0</v>
      </c>
      <c r="C26" s="43">
        <f>SUMIFS('Transaction Details'!$E$8:$E$312,'Transaction Details'!$J$8:$J$312,$A26,'Transaction Details'!$I$8:$I$312,C$4)</f>
        <v>0</v>
      </c>
      <c r="D26" s="43">
        <f>SUMIFS('Transaction Details'!$E$8:$E$312,'Transaction Details'!$J$8:$J$312,$A26,'Transaction Details'!$I$8:$I$312,D$4)</f>
        <v>12.75</v>
      </c>
      <c r="E26" s="43">
        <f>SUMIFS('Transaction Details'!$E$8:$E$312,'Transaction Details'!$J$8:$J$312,$A26,'Transaction Details'!$I$8:$I$312,E$4)</f>
        <v>0</v>
      </c>
      <c r="F26" s="43">
        <f t="shared" si="0"/>
        <v>12.75</v>
      </c>
    </row>
    <row r="27" spans="1:6" x14ac:dyDescent="0.25">
      <c r="A27" s="27" t="s">
        <v>644</v>
      </c>
      <c r="B27" s="45">
        <f>SUMIFS('Transaction Details'!$E$8:$E$312,'Transaction Details'!$J$8:$J$312,$A27,'Transaction Details'!$I$8:$I$312,B$4)</f>
        <v>0</v>
      </c>
      <c r="C27" s="45">
        <f>SUMIFS('Transaction Details'!$E$8:$E$312,'Transaction Details'!$J$8:$J$312,$A27,'Transaction Details'!$I$8:$I$312,C$4)</f>
        <v>0</v>
      </c>
      <c r="D27" s="45">
        <f>SUMIFS('Transaction Details'!$E$8:$E$312,'Transaction Details'!$J$8:$J$312,$A27,'Transaction Details'!$I$8:$I$312,D$4)</f>
        <v>0</v>
      </c>
      <c r="E27" s="45">
        <f>SUMIFS('Transaction Details'!$E$8:$E$312,'Transaction Details'!$J$8:$J$312,$A27,'Transaction Details'!$I$8:$I$312,E$4)</f>
        <v>0</v>
      </c>
      <c r="F27" s="45">
        <f t="shared" si="0"/>
        <v>0</v>
      </c>
    </row>
    <row r="28" spans="1:6" x14ac:dyDescent="0.25">
      <c r="A28" s="14" t="s">
        <v>669</v>
      </c>
      <c r="B28" s="43">
        <f>SUMIFS('Transaction Details'!$E$8:$E$312,'Transaction Details'!$J$8:$J$312,$A28,'Transaction Details'!$I$8:$I$312,B$4)</f>
        <v>0</v>
      </c>
      <c r="C28" s="43">
        <f>SUMIFS('Transaction Details'!$E$8:$E$312,'Transaction Details'!$J$8:$J$312,$A28,'Transaction Details'!$I$8:$I$312,C$4)</f>
        <v>0</v>
      </c>
      <c r="D28" s="43">
        <f>SUMIFS('Transaction Details'!$E$8:$E$312,'Transaction Details'!$J$8:$J$312,$A28,'Transaction Details'!$I$8:$I$312,D$4)</f>
        <v>0</v>
      </c>
      <c r="E28" s="43">
        <f>SUMIFS('Transaction Details'!$E$8:$E$312,'Transaction Details'!$J$8:$J$312,$A28,'Transaction Details'!$I$8:$I$312,E$4)</f>
        <v>0</v>
      </c>
      <c r="F28" s="43">
        <f t="shared" si="0"/>
        <v>0</v>
      </c>
    </row>
    <row r="29" spans="1:6" x14ac:dyDescent="0.25">
      <c r="A29" s="27" t="s">
        <v>638</v>
      </c>
      <c r="B29" s="45">
        <f>SUMIFS('Transaction Details'!$E$8:$E$312,'Transaction Details'!$J$8:$J$312,$A29,'Transaction Details'!$I$8:$I$312,B$4)</f>
        <v>0</v>
      </c>
      <c r="C29" s="45">
        <f>SUMIFS('Transaction Details'!$E$8:$E$312,'Transaction Details'!$J$8:$J$312,$A29,'Transaction Details'!$I$8:$I$312,C$4)</f>
        <v>0</v>
      </c>
      <c r="D29" s="45">
        <f>SUMIFS('Transaction Details'!$E$8:$E$312,'Transaction Details'!$J$8:$J$312,$A29,'Transaction Details'!$I$8:$I$312,D$4)</f>
        <v>0</v>
      </c>
      <c r="E29" s="45">
        <f>SUMIFS('Transaction Details'!$E$8:$E$312,'Transaction Details'!$J$8:$J$312,$A29,'Transaction Details'!$I$8:$I$312,E$4)</f>
        <v>0</v>
      </c>
      <c r="F29" s="45">
        <f t="shared" si="0"/>
        <v>0</v>
      </c>
    </row>
    <row r="30" spans="1:6" x14ac:dyDescent="0.25">
      <c r="A30" s="14" t="s">
        <v>626</v>
      </c>
      <c r="B30" s="43">
        <f>SUMIFS('Transaction Details'!$E$8:$E$312,'Transaction Details'!$J$8:$J$312,$A30,'Transaction Details'!$I$8:$I$312,B$4)</f>
        <v>-14941.94</v>
      </c>
      <c r="C30" s="43">
        <f>SUMIFS('Transaction Details'!$E$8:$E$312,'Transaction Details'!$J$8:$J$312,$A30,'Transaction Details'!$I$8:$I$312,C$4)</f>
        <v>-2586.23</v>
      </c>
      <c r="D30" s="43">
        <f>SUMIFS('Transaction Details'!$E$8:$E$312,'Transaction Details'!$J$8:$J$312,$A30,'Transaction Details'!$I$8:$I$312,D$4)</f>
        <v>-27231.89</v>
      </c>
      <c r="E30" s="43">
        <f>SUMIFS('Transaction Details'!$E$8:$E$312,'Transaction Details'!$J$8:$J$312,$A30,'Transaction Details'!$I$8:$I$312,E$4)</f>
        <v>0</v>
      </c>
      <c r="F30" s="43">
        <f t="shared" si="0"/>
        <v>-44760.06</v>
      </c>
    </row>
    <row r="31" spans="1:6" x14ac:dyDescent="0.25">
      <c r="A31" s="27" t="s">
        <v>232</v>
      </c>
      <c r="B31" s="45">
        <f>SUMIFS('Transaction Details'!$E$8:$E$312,'Transaction Details'!$J$8:$J$312,$A31,'Transaction Details'!$I$8:$I$312,B$4)</f>
        <v>-250</v>
      </c>
      <c r="C31" s="45">
        <f>SUMIFS('Transaction Details'!$E$8:$E$312,'Transaction Details'!$J$8:$J$312,$A31,'Transaction Details'!$I$8:$I$312,C$4)</f>
        <v>0</v>
      </c>
      <c r="D31" s="45">
        <f>SUMIFS('Transaction Details'!$E$8:$E$312,'Transaction Details'!$J$8:$J$312,$A31,'Transaction Details'!$I$8:$I$312,D$4)</f>
        <v>-350</v>
      </c>
      <c r="E31" s="45">
        <f>SUMIFS('Transaction Details'!$E$8:$E$312,'Transaction Details'!$J$8:$J$312,$A31,'Transaction Details'!$I$8:$I$312,E$4)</f>
        <v>0</v>
      </c>
      <c r="F31" s="45">
        <f t="shared" si="0"/>
        <v>-600</v>
      </c>
    </row>
    <row r="32" spans="1:6" x14ac:dyDescent="0.25">
      <c r="A32" s="14" t="s">
        <v>525</v>
      </c>
      <c r="B32" s="43">
        <f>SUMIFS('Transaction Details'!$E$8:$E$312,'Transaction Details'!$J$8:$J$312,$A32,'Transaction Details'!$I$8:$I$312,B$4)</f>
        <v>-151.19999999999999</v>
      </c>
      <c r="C32" s="43">
        <f>SUMIFS('Transaction Details'!$E$8:$E$312,'Transaction Details'!$J$8:$J$312,$A32,'Transaction Details'!$I$8:$I$312,C$4)</f>
        <v>0</v>
      </c>
      <c r="D32" s="43">
        <f>SUMIFS('Transaction Details'!$E$8:$E$312,'Transaction Details'!$J$8:$J$312,$A32,'Transaction Details'!$I$8:$I$312,D$4)</f>
        <v>0</v>
      </c>
      <c r="E32" s="43">
        <f>SUMIFS('Transaction Details'!$E$8:$E$312,'Transaction Details'!$J$8:$J$312,$A32,'Transaction Details'!$I$8:$I$312,E$4)</f>
        <v>0</v>
      </c>
      <c r="F32" s="43">
        <f t="shared" si="0"/>
        <v>-151.19999999999999</v>
      </c>
    </row>
    <row r="33" spans="1:6" x14ac:dyDescent="0.25">
      <c r="A33" s="14"/>
      <c r="B33" s="14"/>
      <c r="C33" s="14"/>
      <c r="D33" s="14"/>
      <c r="E33" s="14"/>
      <c r="F33" s="14"/>
    </row>
    <row r="34" spans="1:6" x14ac:dyDescent="0.25">
      <c r="A34" s="38" t="s">
        <v>693</v>
      </c>
      <c r="B34" s="46">
        <f>SUMIFS('Transaction Details'!$E$8:$E$312,'Transaction Details'!$I$8:$I$312,B$4,'Transaction Details'!$E$8:$E$312,"&gt;0")</f>
        <v>16220.839999999991</v>
      </c>
      <c r="C34" s="46">
        <f>SUMIFS('Transaction Details'!$E$8:$E$312,'Transaction Details'!$I$8:$I$312,C$4,'Transaction Details'!$E$8:$E$312,"&gt;0")</f>
        <v>28524.66</v>
      </c>
      <c r="D34" s="46">
        <f>SUMIFS('Transaction Details'!$E$8:$E$312,'Transaction Details'!$I$8:$I$312,D$4,'Transaction Details'!$E$8:$E$312,"&gt;0")</f>
        <v>8440.9699999999993</v>
      </c>
      <c r="E34" s="46">
        <f>SUMIFS('Transaction Details'!$E$8:$E$312,'Transaction Details'!$I$8:$I$312,E$4,'Transaction Details'!$E$8:$E$312,"&gt;0")</f>
        <v>2074.4500000000003</v>
      </c>
      <c r="F34" s="46">
        <f>SUM(B34:E34)</f>
        <v>55260.919999999991</v>
      </c>
    </row>
    <row r="35" spans="1:6" x14ac:dyDescent="0.25">
      <c r="A35" s="32" t="s">
        <v>691</v>
      </c>
      <c r="B35" s="47">
        <f>SUMIFS('Transaction Details'!$E$8:$E$312,'Transaction Details'!$I$8:$I$312,B$4,'Transaction Details'!$E$8:$E$312,"&lt;0")</f>
        <v>-17080.190000000002</v>
      </c>
      <c r="C35" s="47">
        <f>SUMIFS('Transaction Details'!$E$8:$E$312,'Transaction Details'!$I$8:$I$312,C$4,'Transaction Details'!$E$8:$E$312,"&lt;0")</f>
        <v>-2832.96</v>
      </c>
      <c r="D35" s="47">
        <f>SUMIFS('Transaction Details'!$E$8:$E$312,'Transaction Details'!$I$8:$I$312,D$4,'Transaction Details'!$E$8:$E$312,"&lt;0")</f>
        <v>-27581.89</v>
      </c>
      <c r="E35" s="47">
        <f>SUMIFS('Transaction Details'!$E$8:$E$312,'Transaction Details'!$I$8:$I$312,E$4,'Transaction Details'!$E$8:$E$312,"&lt;0")</f>
        <v>0</v>
      </c>
      <c r="F35" s="47">
        <f>SUM(B35:E35)</f>
        <v>-47495.040000000001</v>
      </c>
    </row>
    <row r="36" spans="1:6" x14ac:dyDescent="0.25">
      <c r="A36" s="21" t="s">
        <v>675</v>
      </c>
      <c r="B36" s="48">
        <f>B34+B35</f>
        <v>-859.35000000001128</v>
      </c>
      <c r="C36" s="48">
        <f t="shared" ref="C36:E36" si="1">C34+C35</f>
        <v>25691.7</v>
      </c>
      <c r="D36" s="48">
        <f t="shared" si="1"/>
        <v>-19140.919999999998</v>
      </c>
      <c r="E36" s="48">
        <f t="shared" si="1"/>
        <v>2074.4500000000003</v>
      </c>
      <c r="F36" s="48">
        <f>SUM(B36:E36)</f>
        <v>7765.8799999999937</v>
      </c>
    </row>
    <row r="37" spans="1:6" x14ac:dyDescent="0.25">
      <c r="A37" s="14"/>
      <c r="B37" s="14"/>
      <c r="C37" s="14"/>
      <c r="D37" s="14"/>
      <c r="E37" s="14"/>
      <c r="F37" s="14"/>
    </row>
    <row r="38" spans="1:6" x14ac:dyDescent="0.25">
      <c r="A38" s="16" t="str">
        <f>IF(ROUND(F36-'Transaction Summary'!B11,2)=0,"✓ Net ties to Transaction Summary","⚠ mismatch")</f>
        <v>✓ Net ties to Transaction Summary</v>
      </c>
      <c r="B38" s="14"/>
      <c r="C38" s="14"/>
      <c r="D38" s="14"/>
      <c r="E38" s="14"/>
      <c r="F3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opLeftCell="A304" workbookViewId="0">
      <selection activeCell="D250" sqref="D250"/>
    </sheetView>
  </sheetViews>
  <sheetFormatPr defaultColWidth="26.28515625" defaultRowHeight="15" outlineLevelCol="1" x14ac:dyDescent="0.25"/>
  <cols>
    <col min="9" max="10" width="0" hidden="1" customWidth="1" outlineLevel="1"/>
    <col min="11" max="11" width="26.28515625" collapsed="1"/>
  </cols>
  <sheetData>
    <row r="1" spans="1:10" ht="30" x14ac:dyDescent="0.25">
      <c r="A1" s="1" t="s">
        <v>1</v>
      </c>
      <c r="C1" s="1" t="s">
        <v>2</v>
      </c>
    </row>
    <row r="2" spans="1:10" x14ac:dyDescent="0.25">
      <c r="A2" s="2" t="s">
        <v>3</v>
      </c>
    </row>
    <row r="3" spans="1:10" x14ac:dyDescent="0.25">
      <c r="A3" s="3" t="s">
        <v>4</v>
      </c>
    </row>
    <row r="4" spans="1:10" x14ac:dyDescent="0.25">
      <c r="A4" s="2" t="s">
        <v>5</v>
      </c>
    </row>
    <row r="5" spans="1:10" x14ac:dyDescent="0.25">
      <c r="A5" s="3" t="s">
        <v>6</v>
      </c>
    </row>
    <row r="6" spans="1:10" x14ac:dyDescent="0.25">
      <c r="A6" s="2" t="s">
        <v>0</v>
      </c>
    </row>
    <row r="7" spans="1:10" ht="30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9" t="s">
        <v>645</v>
      </c>
      <c r="J7" s="9" t="s">
        <v>646</v>
      </c>
    </row>
    <row r="8" spans="1:10" ht="60" customHeight="1" x14ac:dyDescent="0.25">
      <c r="A8" s="8" t="s">
        <v>15</v>
      </c>
      <c r="B8" s="8" t="s">
        <v>16</v>
      </c>
      <c r="C8" s="8" t="s">
        <v>4</v>
      </c>
      <c r="D8" s="8" t="s">
        <v>17</v>
      </c>
      <c r="E8" s="6">
        <v>35.799999999999997</v>
      </c>
      <c r="F8" s="8" t="s">
        <v>18</v>
      </c>
      <c r="G8" s="8" t="s">
        <v>16</v>
      </c>
      <c r="H8" s="8" t="s">
        <v>617</v>
      </c>
      <c r="I8" s="10">
        <f>DATE(RIGHT(A8,4)+0,LEFT(A8,2)+0,1)</f>
        <v>46174</v>
      </c>
      <c r="J8" t="str">
        <f>IF(TRIM(H8)="","(Uncategorized)",TRIM(H8))</f>
        <v>Amazon</v>
      </c>
    </row>
    <row r="9" spans="1:10" ht="60" customHeight="1" x14ac:dyDescent="0.25">
      <c r="A9" s="7" t="s">
        <v>15</v>
      </c>
      <c r="B9" s="7" t="s">
        <v>16</v>
      </c>
      <c r="C9" s="7" t="s">
        <v>4</v>
      </c>
      <c r="D9" s="7" t="s">
        <v>17</v>
      </c>
      <c r="E9" s="5">
        <v>89.09</v>
      </c>
      <c r="F9" s="7" t="s">
        <v>19</v>
      </c>
      <c r="G9" s="7" t="s">
        <v>16</v>
      </c>
      <c r="H9" s="7" t="s">
        <v>617</v>
      </c>
      <c r="I9" s="10">
        <f t="shared" ref="I9:I72" si="0">DATE(RIGHT(A9,4)+0,LEFT(A9,2)+0,1)</f>
        <v>46174</v>
      </c>
      <c r="J9" t="str">
        <f t="shared" ref="J9:J72" si="1">IF(TRIM(H9)="","(Uncategorized)",TRIM(H9))</f>
        <v>Amazon</v>
      </c>
    </row>
    <row r="10" spans="1:10" ht="60" customHeight="1" x14ac:dyDescent="0.25">
      <c r="A10" s="8" t="s">
        <v>15</v>
      </c>
      <c r="B10" s="8" t="s">
        <v>20</v>
      </c>
      <c r="C10" s="8" t="s">
        <v>4</v>
      </c>
      <c r="D10" s="8" t="s">
        <v>17</v>
      </c>
      <c r="E10" s="6">
        <v>6.39</v>
      </c>
      <c r="F10" s="8" t="s">
        <v>21</v>
      </c>
      <c r="G10" s="8" t="s">
        <v>20</v>
      </c>
      <c r="H10" s="8" t="s">
        <v>617</v>
      </c>
      <c r="I10" s="10">
        <f t="shared" si="0"/>
        <v>46174</v>
      </c>
      <c r="J10" t="str">
        <f t="shared" si="1"/>
        <v>Amazon</v>
      </c>
    </row>
    <row r="11" spans="1:10" ht="60" customHeight="1" x14ac:dyDescent="0.25">
      <c r="A11" s="7" t="s">
        <v>22</v>
      </c>
      <c r="B11" s="7" t="s">
        <v>23</v>
      </c>
      <c r="C11" s="7" t="s">
        <v>4</v>
      </c>
      <c r="D11" s="7" t="s">
        <v>17</v>
      </c>
      <c r="E11" s="5">
        <v>7.46</v>
      </c>
      <c r="F11" s="7" t="s">
        <v>24</v>
      </c>
      <c r="G11" s="7" t="s">
        <v>23</v>
      </c>
      <c r="H11" s="7" t="s">
        <v>617</v>
      </c>
      <c r="I11" s="10">
        <f t="shared" si="0"/>
        <v>46174</v>
      </c>
      <c r="J11" t="str">
        <f t="shared" si="1"/>
        <v>Amazon</v>
      </c>
    </row>
    <row r="12" spans="1:10" ht="60" customHeight="1" x14ac:dyDescent="0.25">
      <c r="A12" s="8" t="s">
        <v>22</v>
      </c>
      <c r="B12" s="8" t="s">
        <v>25</v>
      </c>
      <c r="C12" s="8" t="s">
        <v>4</v>
      </c>
      <c r="D12" s="8" t="s">
        <v>17</v>
      </c>
      <c r="E12" s="6">
        <v>21</v>
      </c>
      <c r="F12" s="8" t="s">
        <v>26</v>
      </c>
      <c r="G12" s="8" t="s">
        <v>25</v>
      </c>
      <c r="H12" s="8" t="s">
        <v>622</v>
      </c>
      <c r="I12" s="10">
        <f t="shared" si="0"/>
        <v>46174</v>
      </c>
      <c r="J12" t="str">
        <f t="shared" si="1"/>
        <v>Personal - Car</v>
      </c>
    </row>
    <row r="13" spans="1:10" ht="60" customHeight="1" x14ac:dyDescent="0.25">
      <c r="A13" s="7" t="s">
        <v>22</v>
      </c>
      <c r="B13" s="7" t="s">
        <v>27</v>
      </c>
      <c r="C13" s="7" t="s">
        <v>4</v>
      </c>
      <c r="D13" s="7" t="s">
        <v>17</v>
      </c>
      <c r="E13" s="5">
        <v>135</v>
      </c>
      <c r="F13" s="7" t="s">
        <v>28</v>
      </c>
      <c r="G13" s="7" t="s">
        <v>27</v>
      </c>
      <c r="H13" s="7" t="s">
        <v>621</v>
      </c>
      <c r="I13" s="10">
        <f t="shared" si="0"/>
        <v>46174</v>
      </c>
      <c r="J13" t="str">
        <f t="shared" si="1"/>
        <v>Personal - Health</v>
      </c>
    </row>
    <row r="14" spans="1:10" ht="60" customHeight="1" x14ac:dyDescent="0.25">
      <c r="A14" s="8" t="s">
        <v>22</v>
      </c>
      <c r="B14" s="8" t="s">
        <v>29</v>
      </c>
      <c r="C14" s="8" t="s">
        <v>4</v>
      </c>
      <c r="D14" s="8" t="s">
        <v>17</v>
      </c>
      <c r="E14" s="6">
        <v>8.58</v>
      </c>
      <c r="F14" s="8" t="s">
        <v>30</v>
      </c>
      <c r="G14" s="8" t="s">
        <v>29</v>
      </c>
      <c r="H14" s="8" t="s">
        <v>619</v>
      </c>
      <c r="I14" s="10">
        <f t="shared" si="0"/>
        <v>46174</v>
      </c>
      <c r="J14" t="str">
        <f t="shared" si="1"/>
        <v>Personal - Food</v>
      </c>
    </row>
    <row r="15" spans="1:10" ht="60" customHeight="1" x14ac:dyDescent="0.25">
      <c r="A15" s="7" t="s">
        <v>22</v>
      </c>
      <c r="B15" s="7" t="s">
        <v>31</v>
      </c>
      <c r="C15" s="7" t="s">
        <v>4</v>
      </c>
      <c r="D15" s="7" t="s">
        <v>17</v>
      </c>
      <c r="E15" s="5">
        <v>43.14</v>
      </c>
      <c r="F15" s="7" t="s">
        <v>32</v>
      </c>
      <c r="G15" s="7" t="s">
        <v>31</v>
      </c>
      <c r="H15" s="7" t="s">
        <v>618</v>
      </c>
      <c r="I15" s="10">
        <f t="shared" si="0"/>
        <v>46174</v>
      </c>
      <c r="J15" t="str">
        <f t="shared" si="1"/>
        <v>Personal</v>
      </c>
    </row>
    <row r="16" spans="1:10" ht="60" customHeight="1" x14ac:dyDescent="0.25">
      <c r="A16" s="8" t="s">
        <v>33</v>
      </c>
      <c r="B16" s="8" t="s">
        <v>34</v>
      </c>
      <c r="C16" s="8" t="s">
        <v>4</v>
      </c>
      <c r="D16" s="8" t="s">
        <v>17</v>
      </c>
      <c r="E16" s="6">
        <v>82.16</v>
      </c>
      <c r="F16" s="8" t="s">
        <v>35</v>
      </c>
      <c r="G16" s="8" t="s">
        <v>34</v>
      </c>
      <c r="H16" s="8" t="s">
        <v>620</v>
      </c>
      <c r="I16" s="10">
        <f t="shared" si="0"/>
        <v>46174</v>
      </c>
      <c r="J16" t="str">
        <f t="shared" si="1"/>
        <v>Personal - House</v>
      </c>
    </row>
    <row r="17" spans="1:10" ht="60" customHeight="1" x14ac:dyDescent="0.25">
      <c r="A17" s="7" t="s">
        <v>33</v>
      </c>
      <c r="B17" s="7" t="s">
        <v>36</v>
      </c>
      <c r="C17" s="7" t="s">
        <v>4</v>
      </c>
      <c r="D17" s="7" t="s">
        <v>17</v>
      </c>
      <c r="E17" s="5">
        <v>205</v>
      </c>
      <c r="F17" s="7" t="s">
        <v>37</v>
      </c>
      <c r="G17" s="7" t="s">
        <v>36</v>
      </c>
      <c r="H17" s="7" t="s">
        <v>619</v>
      </c>
      <c r="I17" s="10">
        <f t="shared" si="0"/>
        <v>46174</v>
      </c>
      <c r="J17" t="str">
        <f t="shared" si="1"/>
        <v>Personal - Food</v>
      </c>
    </row>
    <row r="18" spans="1:10" ht="60" customHeight="1" x14ac:dyDescent="0.25">
      <c r="A18" s="8" t="s">
        <v>33</v>
      </c>
      <c r="B18" s="8" t="s">
        <v>38</v>
      </c>
      <c r="C18" s="8" t="s">
        <v>4</v>
      </c>
      <c r="D18" s="8" t="s">
        <v>17</v>
      </c>
      <c r="E18" s="6">
        <v>327.9</v>
      </c>
      <c r="F18" s="8" t="s">
        <v>39</v>
      </c>
      <c r="G18" s="8" t="s">
        <v>38</v>
      </c>
      <c r="H18" s="8" t="s">
        <v>620</v>
      </c>
      <c r="I18" s="10">
        <f t="shared" si="0"/>
        <v>46174</v>
      </c>
      <c r="J18" t="str">
        <f t="shared" si="1"/>
        <v>Personal - House</v>
      </c>
    </row>
    <row r="19" spans="1:10" ht="60" customHeight="1" x14ac:dyDescent="0.25">
      <c r="A19" s="7" t="s">
        <v>40</v>
      </c>
      <c r="B19" s="7" t="s">
        <v>41</v>
      </c>
      <c r="C19" s="7" t="s">
        <v>4</v>
      </c>
      <c r="D19" s="7" t="s">
        <v>17</v>
      </c>
      <c r="E19" s="5">
        <v>120.71</v>
      </c>
      <c r="F19" s="7" t="s">
        <v>42</v>
      </c>
      <c r="G19" s="7" t="s">
        <v>43</v>
      </c>
      <c r="H19" s="7" t="s">
        <v>617</v>
      </c>
      <c r="I19" s="10">
        <f t="shared" si="0"/>
        <v>46174</v>
      </c>
      <c r="J19" t="str">
        <f t="shared" si="1"/>
        <v>Amazon</v>
      </c>
    </row>
    <row r="20" spans="1:10" ht="60" customHeight="1" x14ac:dyDescent="0.25">
      <c r="A20" s="8" t="s">
        <v>40</v>
      </c>
      <c r="B20" s="8" t="s">
        <v>44</v>
      </c>
      <c r="C20" s="8" t="s">
        <v>4</v>
      </c>
      <c r="D20" s="8" t="s">
        <v>17</v>
      </c>
      <c r="E20" s="6">
        <v>8.93</v>
      </c>
      <c r="F20" s="8" t="s">
        <v>45</v>
      </c>
      <c r="G20" s="8" t="s">
        <v>44</v>
      </c>
      <c r="H20" s="8" t="s">
        <v>619</v>
      </c>
      <c r="I20" s="10">
        <f t="shared" si="0"/>
        <v>46174</v>
      </c>
      <c r="J20" t="str">
        <f t="shared" si="1"/>
        <v>Personal - Food</v>
      </c>
    </row>
    <row r="21" spans="1:10" ht="60" customHeight="1" x14ac:dyDescent="0.25">
      <c r="A21" s="7" t="s">
        <v>40</v>
      </c>
      <c r="B21" s="7" t="s">
        <v>46</v>
      </c>
      <c r="C21" s="7" t="s">
        <v>4</v>
      </c>
      <c r="D21" s="7" t="s">
        <v>17</v>
      </c>
      <c r="E21" s="5">
        <v>12.18</v>
      </c>
      <c r="F21" s="7" t="s">
        <v>47</v>
      </c>
      <c r="G21" s="7" t="s">
        <v>46</v>
      </c>
      <c r="H21" s="8" t="s">
        <v>619</v>
      </c>
      <c r="I21" s="10">
        <f t="shared" si="0"/>
        <v>46174</v>
      </c>
      <c r="J21" t="str">
        <f t="shared" si="1"/>
        <v>Personal - Food</v>
      </c>
    </row>
    <row r="22" spans="1:10" ht="60" customHeight="1" x14ac:dyDescent="0.25">
      <c r="A22" s="8" t="s">
        <v>40</v>
      </c>
      <c r="B22" s="8" t="s">
        <v>48</v>
      </c>
      <c r="C22" s="8" t="s">
        <v>4</v>
      </c>
      <c r="D22" s="8" t="s">
        <v>17</v>
      </c>
      <c r="E22" s="6">
        <v>32.729999999999997</v>
      </c>
      <c r="F22" s="8" t="s">
        <v>49</v>
      </c>
      <c r="G22" s="8" t="s">
        <v>48</v>
      </c>
      <c r="H22" s="8" t="s">
        <v>619</v>
      </c>
      <c r="I22" s="10">
        <f t="shared" si="0"/>
        <v>46174</v>
      </c>
      <c r="J22" t="str">
        <f t="shared" si="1"/>
        <v>Personal - Food</v>
      </c>
    </row>
    <row r="23" spans="1:10" ht="60" customHeight="1" x14ac:dyDescent="0.25">
      <c r="A23" s="7" t="s">
        <v>40</v>
      </c>
      <c r="B23" s="7" t="s">
        <v>48</v>
      </c>
      <c r="C23" s="7" t="s">
        <v>4</v>
      </c>
      <c r="D23" s="7" t="s">
        <v>17</v>
      </c>
      <c r="E23" s="5">
        <v>105</v>
      </c>
      <c r="F23" s="7" t="s">
        <v>50</v>
      </c>
      <c r="G23" s="7" t="s">
        <v>48</v>
      </c>
      <c r="H23" s="8" t="s">
        <v>619</v>
      </c>
      <c r="I23" s="10">
        <f t="shared" si="0"/>
        <v>46174</v>
      </c>
      <c r="J23" t="str">
        <f t="shared" si="1"/>
        <v>Personal - Food</v>
      </c>
    </row>
    <row r="24" spans="1:10" ht="60" customHeight="1" x14ac:dyDescent="0.25">
      <c r="A24" s="8" t="s">
        <v>51</v>
      </c>
      <c r="B24" s="8" t="s">
        <v>52</v>
      </c>
      <c r="C24" s="8" t="s">
        <v>4</v>
      </c>
      <c r="D24" s="8" t="s">
        <v>17</v>
      </c>
      <c r="E24" s="6">
        <v>11.51</v>
      </c>
      <c r="F24" s="8" t="s">
        <v>53</v>
      </c>
      <c r="G24" s="8" t="s">
        <v>52</v>
      </c>
      <c r="H24" s="8" t="s">
        <v>622</v>
      </c>
      <c r="I24" s="10">
        <f t="shared" si="0"/>
        <v>46174</v>
      </c>
      <c r="J24" t="str">
        <f t="shared" si="1"/>
        <v>Personal - Car</v>
      </c>
    </row>
    <row r="25" spans="1:10" ht="60" customHeight="1" x14ac:dyDescent="0.25">
      <c r="A25" s="7" t="s">
        <v>51</v>
      </c>
      <c r="B25" s="7" t="s">
        <v>54</v>
      </c>
      <c r="C25" s="7" t="s">
        <v>4</v>
      </c>
      <c r="D25" s="7" t="s">
        <v>17</v>
      </c>
      <c r="E25" s="5">
        <v>43.88</v>
      </c>
      <c r="F25" s="7" t="s">
        <v>55</v>
      </c>
      <c r="G25" s="7" t="s">
        <v>54</v>
      </c>
      <c r="H25" s="8" t="s">
        <v>622</v>
      </c>
      <c r="I25" s="10">
        <f t="shared" si="0"/>
        <v>46174</v>
      </c>
      <c r="J25" t="str">
        <f t="shared" si="1"/>
        <v>Personal - Car</v>
      </c>
    </row>
    <row r="26" spans="1:10" ht="60" customHeight="1" x14ac:dyDescent="0.25">
      <c r="A26" s="8" t="s">
        <v>51</v>
      </c>
      <c r="B26" s="8" t="s">
        <v>56</v>
      </c>
      <c r="C26" s="8" t="s">
        <v>4</v>
      </c>
      <c r="D26" s="8" t="s">
        <v>17</v>
      </c>
      <c r="E26" s="6">
        <v>51.3</v>
      </c>
      <c r="F26" s="8" t="s">
        <v>57</v>
      </c>
      <c r="G26" s="8" t="s">
        <v>56</v>
      </c>
      <c r="H26" s="8" t="s">
        <v>619</v>
      </c>
      <c r="I26" s="10">
        <f t="shared" si="0"/>
        <v>46174</v>
      </c>
      <c r="J26" t="str">
        <f t="shared" si="1"/>
        <v>Personal - Food</v>
      </c>
    </row>
    <row r="27" spans="1:10" ht="60" customHeight="1" x14ac:dyDescent="0.25">
      <c r="A27" s="7" t="s">
        <v>51</v>
      </c>
      <c r="B27" s="7" t="s">
        <v>56</v>
      </c>
      <c r="C27" s="7" t="s">
        <v>4</v>
      </c>
      <c r="D27" s="7" t="s">
        <v>17</v>
      </c>
      <c r="E27" s="5">
        <v>310.73</v>
      </c>
      <c r="F27" s="7" t="s">
        <v>58</v>
      </c>
      <c r="G27" s="7" t="s">
        <v>56</v>
      </c>
      <c r="H27" s="8" t="s">
        <v>619</v>
      </c>
      <c r="I27" s="10">
        <f t="shared" si="0"/>
        <v>46174</v>
      </c>
      <c r="J27" t="str">
        <f t="shared" si="1"/>
        <v>Personal - Food</v>
      </c>
    </row>
    <row r="28" spans="1:10" ht="60" customHeight="1" x14ac:dyDescent="0.25">
      <c r="A28" s="8" t="s">
        <v>59</v>
      </c>
      <c r="B28" s="8" t="s">
        <v>60</v>
      </c>
      <c r="C28" s="8" t="s">
        <v>4</v>
      </c>
      <c r="D28" s="8" t="s">
        <v>17</v>
      </c>
      <c r="E28" s="6">
        <v>51.69</v>
      </c>
      <c r="F28" s="8" t="s">
        <v>61</v>
      </c>
      <c r="G28" s="8" t="s">
        <v>60</v>
      </c>
      <c r="H28" s="8" t="s">
        <v>619</v>
      </c>
      <c r="I28" s="10">
        <f t="shared" si="0"/>
        <v>46174</v>
      </c>
      <c r="J28" t="str">
        <f t="shared" si="1"/>
        <v>Personal - Food</v>
      </c>
    </row>
    <row r="29" spans="1:10" ht="60" customHeight="1" x14ac:dyDescent="0.25">
      <c r="A29" s="7" t="s">
        <v>62</v>
      </c>
      <c r="B29" s="7" t="s">
        <v>16</v>
      </c>
      <c r="C29" s="7" t="s">
        <v>4</v>
      </c>
      <c r="D29" s="7" t="s">
        <v>17</v>
      </c>
      <c r="E29" s="5">
        <v>16.43</v>
      </c>
      <c r="F29" s="7" t="s">
        <v>63</v>
      </c>
      <c r="G29" s="7" t="s">
        <v>16</v>
      </c>
      <c r="H29" s="7" t="s">
        <v>617</v>
      </c>
      <c r="I29" s="10">
        <f t="shared" si="0"/>
        <v>46174</v>
      </c>
      <c r="J29" t="str">
        <f t="shared" si="1"/>
        <v>Amazon</v>
      </c>
    </row>
    <row r="30" spans="1:10" ht="60" customHeight="1" x14ac:dyDescent="0.25">
      <c r="A30" s="8" t="s">
        <v>62</v>
      </c>
      <c r="B30" s="8" t="s">
        <v>64</v>
      </c>
      <c r="C30" s="8" t="s">
        <v>4</v>
      </c>
      <c r="D30" s="8" t="s">
        <v>17</v>
      </c>
      <c r="E30" s="6">
        <v>16</v>
      </c>
      <c r="F30" s="8" t="s">
        <v>65</v>
      </c>
      <c r="G30" s="8" t="s">
        <v>64</v>
      </c>
      <c r="H30" s="8" t="s">
        <v>617</v>
      </c>
      <c r="I30" s="10">
        <f t="shared" si="0"/>
        <v>46174</v>
      </c>
      <c r="J30" t="str">
        <f t="shared" si="1"/>
        <v>Amazon</v>
      </c>
    </row>
    <row r="31" spans="1:10" ht="60" customHeight="1" x14ac:dyDescent="0.25">
      <c r="A31" s="7" t="s">
        <v>62</v>
      </c>
      <c r="B31" s="7" t="s">
        <v>66</v>
      </c>
      <c r="C31" s="7" t="s">
        <v>4</v>
      </c>
      <c r="D31" s="7" t="s">
        <v>17</v>
      </c>
      <c r="E31" s="5">
        <v>24.27</v>
      </c>
      <c r="F31" s="7" t="s">
        <v>67</v>
      </c>
      <c r="G31" s="7" t="s">
        <v>66</v>
      </c>
      <c r="H31" s="7" t="s">
        <v>619</v>
      </c>
      <c r="I31" s="10">
        <f t="shared" si="0"/>
        <v>46174</v>
      </c>
      <c r="J31" t="str">
        <f t="shared" si="1"/>
        <v>Personal - Food</v>
      </c>
    </row>
    <row r="32" spans="1:10" ht="60" customHeight="1" x14ac:dyDescent="0.25">
      <c r="A32" s="8" t="s">
        <v>62</v>
      </c>
      <c r="B32" s="8" t="s">
        <v>68</v>
      </c>
      <c r="C32" s="8" t="s">
        <v>4</v>
      </c>
      <c r="D32" s="8" t="s">
        <v>17</v>
      </c>
      <c r="E32" s="6">
        <v>109.87</v>
      </c>
      <c r="F32" s="8" t="s">
        <v>69</v>
      </c>
      <c r="G32" s="8" t="s">
        <v>68</v>
      </c>
      <c r="H32" s="8" t="s">
        <v>624</v>
      </c>
      <c r="I32" s="10">
        <f t="shared" si="0"/>
        <v>46174</v>
      </c>
      <c r="J32" t="str">
        <f t="shared" si="1"/>
        <v>Team Travel</v>
      </c>
    </row>
    <row r="33" spans="1:10" ht="60" customHeight="1" x14ac:dyDescent="0.25">
      <c r="A33" s="7" t="s">
        <v>62</v>
      </c>
      <c r="B33" s="7" t="s">
        <v>70</v>
      </c>
      <c r="C33" s="7" t="s">
        <v>4</v>
      </c>
      <c r="D33" s="7" t="s">
        <v>17</v>
      </c>
      <c r="E33" s="5">
        <v>55.6</v>
      </c>
      <c r="F33" s="7" t="s">
        <v>71</v>
      </c>
      <c r="G33" s="7" t="s">
        <v>70</v>
      </c>
      <c r="H33" s="7" t="s">
        <v>624</v>
      </c>
      <c r="I33" s="10">
        <f t="shared" si="0"/>
        <v>46174</v>
      </c>
      <c r="J33" t="str">
        <f t="shared" si="1"/>
        <v>Team Travel</v>
      </c>
    </row>
    <row r="34" spans="1:10" ht="60" customHeight="1" x14ac:dyDescent="0.25">
      <c r="A34" s="8" t="s">
        <v>62</v>
      </c>
      <c r="B34" s="8" t="s">
        <v>72</v>
      </c>
      <c r="C34" s="8" t="s">
        <v>4</v>
      </c>
      <c r="D34" s="8" t="s">
        <v>17</v>
      </c>
      <c r="E34" s="6">
        <v>12.58</v>
      </c>
      <c r="F34" s="8" t="s">
        <v>73</v>
      </c>
      <c r="G34" s="8" t="s">
        <v>72</v>
      </c>
      <c r="H34" s="8" t="s">
        <v>624</v>
      </c>
      <c r="I34" s="10">
        <f t="shared" si="0"/>
        <v>46174</v>
      </c>
      <c r="J34" t="str">
        <f t="shared" si="1"/>
        <v>Team Travel</v>
      </c>
    </row>
    <row r="35" spans="1:10" ht="60" customHeight="1" x14ac:dyDescent="0.25">
      <c r="A35" s="7" t="s">
        <v>74</v>
      </c>
      <c r="B35" s="7" t="s">
        <v>75</v>
      </c>
      <c r="C35" s="7" t="s">
        <v>4</v>
      </c>
      <c r="D35" s="7" t="s">
        <v>17</v>
      </c>
      <c r="E35" s="5">
        <v>129.52000000000001</v>
      </c>
      <c r="F35" s="7" t="s">
        <v>76</v>
      </c>
      <c r="G35" s="7" t="s">
        <v>75</v>
      </c>
      <c r="H35" s="7" t="s">
        <v>621</v>
      </c>
      <c r="I35" s="10">
        <f t="shared" si="0"/>
        <v>46174</v>
      </c>
      <c r="J35" t="str">
        <f t="shared" si="1"/>
        <v>Personal - Health</v>
      </c>
    </row>
    <row r="36" spans="1:10" ht="60" customHeight="1" x14ac:dyDescent="0.25">
      <c r="A36" s="8" t="s">
        <v>77</v>
      </c>
      <c r="B36" s="8" t="s">
        <v>23</v>
      </c>
      <c r="C36" s="8" t="s">
        <v>4</v>
      </c>
      <c r="D36" s="8" t="s">
        <v>17</v>
      </c>
      <c r="E36" s="6">
        <v>14.93</v>
      </c>
      <c r="F36" s="8" t="s">
        <v>78</v>
      </c>
      <c r="G36" s="8" t="s">
        <v>23</v>
      </c>
      <c r="H36" s="8" t="s">
        <v>617</v>
      </c>
      <c r="I36" s="10">
        <f t="shared" si="0"/>
        <v>46143</v>
      </c>
      <c r="J36" t="str">
        <f t="shared" si="1"/>
        <v>Amazon</v>
      </c>
    </row>
    <row r="37" spans="1:10" ht="60" customHeight="1" x14ac:dyDescent="0.25">
      <c r="A37" s="7" t="s">
        <v>77</v>
      </c>
      <c r="B37" s="7" t="s">
        <v>16</v>
      </c>
      <c r="C37" s="7" t="s">
        <v>4</v>
      </c>
      <c r="D37" s="7" t="s">
        <v>17</v>
      </c>
      <c r="E37" s="5">
        <v>16.97</v>
      </c>
      <c r="F37" s="7" t="s">
        <v>79</v>
      </c>
      <c r="G37" s="7" t="s">
        <v>16</v>
      </c>
      <c r="H37" s="7" t="s">
        <v>617</v>
      </c>
      <c r="I37" s="10">
        <f t="shared" si="0"/>
        <v>46143</v>
      </c>
      <c r="J37" t="str">
        <f t="shared" si="1"/>
        <v>Amazon</v>
      </c>
    </row>
    <row r="38" spans="1:10" ht="60" customHeight="1" x14ac:dyDescent="0.25">
      <c r="A38" s="8" t="s">
        <v>77</v>
      </c>
      <c r="B38" s="8" t="s">
        <v>80</v>
      </c>
      <c r="C38" s="8" t="s">
        <v>4</v>
      </c>
      <c r="D38" s="8" t="s">
        <v>17</v>
      </c>
      <c r="E38" s="6">
        <v>55.66</v>
      </c>
      <c r="F38" s="8" t="s">
        <v>81</v>
      </c>
      <c r="G38" s="8" t="s">
        <v>80</v>
      </c>
      <c r="H38" s="8" t="s">
        <v>618</v>
      </c>
      <c r="I38" s="10">
        <f t="shared" si="0"/>
        <v>46143</v>
      </c>
      <c r="J38" t="str">
        <f t="shared" si="1"/>
        <v>Personal</v>
      </c>
    </row>
    <row r="39" spans="1:10" ht="60" customHeight="1" x14ac:dyDescent="0.25">
      <c r="A39" s="7" t="s">
        <v>77</v>
      </c>
      <c r="B39" s="7" t="s">
        <v>82</v>
      </c>
      <c r="C39" s="7" t="s">
        <v>4</v>
      </c>
      <c r="D39" s="7" t="s">
        <v>17</v>
      </c>
      <c r="E39" s="5">
        <v>58.7</v>
      </c>
      <c r="F39" s="7" t="s">
        <v>83</v>
      </c>
      <c r="G39" s="7" t="s">
        <v>82</v>
      </c>
      <c r="H39" s="7" t="s">
        <v>619</v>
      </c>
      <c r="I39" s="10">
        <f t="shared" si="0"/>
        <v>46143</v>
      </c>
      <c r="J39" t="str">
        <f t="shared" si="1"/>
        <v>Personal - Food</v>
      </c>
    </row>
    <row r="40" spans="1:10" ht="60" customHeight="1" x14ac:dyDescent="0.25">
      <c r="A40" s="8" t="s">
        <v>77</v>
      </c>
      <c r="B40" s="8" t="s">
        <v>84</v>
      </c>
      <c r="C40" s="8" t="s">
        <v>4</v>
      </c>
      <c r="D40" s="8" t="s">
        <v>17</v>
      </c>
      <c r="E40" s="6">
        <v>8.9</v>
      </c>
      <c r="F40" s="8" t="s">
        <v>85</v>
      </c>
      <c r="G40" s="8" t="s">
        <v>84</v>
      </c>
      <c r="H40" s="7" t="s">
        <v>619</v>
      </c>
      <c r="I40" s="10">
        <f t="shared" si="0"/>
        <v>46143</v>
      </c>
      <c r="J40" t="str">
        <f t="shared" si="1"/>
        <v>Personal - Food</v>
      </c>
    </row>
    <row r="41" spans="1:10" ht="60" customHeight="1" x14ac:dyDescent="0.25">
      <c r="A41" s="7" t="s">
        <v>86</v>
      </c>
      <c r="B41" s="7" t="s">
        <v>23</v>
      </c>
      <c r="C41" s="7" t="s">
        <v>4</v>
      </c>
      <c r="D41" s="7" t="s">
        <v>17</v>
      </c>
      <c r="E41" s="5">
        <v>8.5299999999999994</v>
      </c>
      <c r="F41" s="7" t="s">
        <v>87</v>
      </c>
      <c r="G41" s="7" t="s">
        <v>23</v>
      </c>
      <c r="H41" s="7" t="s">
        <v>617</v>
      </c>
      <c r="I41" s="10">
        <f t="shared" si="0"/>
        <v>46143</v>
      </c>
      <c r="J41" t="str">
        <f t="shared" si="1"/>
        <v>Amazon</v>
      </c>
    </row>
    <row r="42" spans="1:10" ht="60" customHeight="1" x14ac:dyDescent="0.25">
      <c r="A42" s="8" t="s">
        <v>86</v>
      </c>
      <c r="B42" s="8" t="s">
        <v>41</v>
      </c>
      <c r="C42" s="8" t="s">
        <v>4</v>
      </c>
      <c r="D42" s="8" t="s">
        <v>17</v>
      </c>
      <c r="E42" s="6">
        <v>144.1</v>
      </c>
      <c r="F42" s="8" t="s">
        <v>88</v>
      </c>
      <c r="G42" s="8" t="s">
        <v>43</v>
      </c>
      <c r="H42" s="8" t="s">
        <v>617</v>
      </c>
      <c r="I42" s="10">
        <f t="shared" si="0"/>
        <v>46143</v>
      </c>
      <c r="J42" t="str">
        <f t="shared" si="1"/>
        <v>Amazon</v>
      </c>
    </row>
    <row r="43" spans="1:10" ht="60" customHeight="1" x14ac:dyDescent="0.25">
      <c r="A43" s="7" t="s">
        <v>86</v>
      </c>
      <c r="B43" s="7" t="s">
        <v>89</v>
      </c>
      <c r="C43" s="7" t="s">
        <v>4</v>
      </c>
      <c r="D43" s="7" t="s">
        <v>17</v>
      </c>
      <c r="E43" s="5">
        <v>85.49</v>
      </c>
      <c r="F43" s="7" t="s">
        <v>90</v>
      </c>
      <c r="G43" s="7" t="s">
        <v>89</v>
      </c>
      <c r="H43" s="7" t="s">
        <v>619</v>
      </c>
      <c r="I43" s="10">
        <f t="shared" si="0"/>
        <v>46143</v>
      </c>
      <c r="J43" t="str">
        <f t="shared" si="1"/>
        <v>Personal - Food</v>
      </c>
    </row>
    <row r="44" spans="1:10" ht="60" customHeight="1" x14ac:dyDescent="0.25">
      <c r="A44" s="8" t="s">
        <v>86</v>
      </c>
      <c r="B44" s="8" t="s">
        <v>91</v>
      </c>
      <c r="C44" s="8" t="s">
        <v>4</v>
      </c>
      <c r="D44" s="8" t="s">
        <v>17</v>
      </c>
      <c r="E44" s="6">
        <v>32.22</v>
      </c>
      <c r="F44" s="8" t="s">
        <v>92</v>
      </c>
      <c r="G44" s="8" t="s">
        <v>91</v>
      </c>
      <c r="H44" s="8" t="s">
        <v>625</v>
      </c>
      <c r="I44" s="10">
        <f t="shared" si="0"/>
        <v>46143</v>
      </c>
      <c r="J44" t="str">
        <f t="shared" si="1"/>
        <v>Personal - Entertainment</v>
      </c>
    </row>
    <row r="45" spans="1:10" ht="60" customHeight="1" x14ac:dyDescent="0.25">
      <c r="A45" s="7" t="s">
        <v>86</v>
      </c>
      <c r="B45" s="7" t="s">
        <v>93</v>
      </c>
      <c r="C45" s="7" t="s">
        <v>4</v>
      </c>
      <c r="D45" s="7" t="s">
        <v>17</v>
      </c>
      <c r="E45" s="5">
        <v>151.85</v>
      </c>
      <c r="F45" s="7" t="s">
        <v>94</v>
      </c>
      <c r="G45" s="7" t="s">
        <v>93</v>
      </c>
      <c r="H45" s="7" t="s">
        <v>620</v>
      </c>
      <c r="I45" s="10">
        <f t="shared" si="0"/>
        <v>46143</v>
      </c>
      <c r="J45" t="str">
        <f t="shared" si="1"/>
        <v>Personal - House</v>
      </c>
    </row>
    <row r="46" spans="1:10" ht="60" customHeight="1" x14ac:dyDescent="0.25">
      <c r="A46" s="8" t="s">
        <v>86</v>
      </c>
      <c r="B46" s="8" t="s">
        <v>95</v>
      </c>
      <c r="C46" s="8" t="s">
        <v>4</v>
      </c>
      <c r="D46" s="8" t="s">
        <v>17</v>
      </c>
      <c r="E46" s="6">
        <v>268.58</v>
      </c>
      <c r="F46" s="8" t="s">
        <v>96</v>
      </c>
      <c r="G46" s="8" t="s">
        <v>95</v>
      </c>
      <c r="H46" s="8" t="s">
        <v>621</v>
      </c>
      <c r="I46" s="10">
        <f t="shared" si="0"/>
        <v>46143</v>
      </c>
      <c r="J46" t="str">
        <f t="shared" si="1"/>
        <v>Personal - Health</v>
      </c>
    </row>
    <row r="47" spans="1:10" ht="60" customHeight="1" x14ac:dyDescent="0.25">
      <c r="A47" s="7" t="s">
        <v>86</v>
      </c>
      <c r="B47" s="7" t="s">
        <v>97</v>
      </c>
      <c r="C47" s="7" t="s">
        <v>4</v>
      </c>
      <c r="D47" s="7" t="s">
        <v>17</v>
      </c>
      <c r="E47" s="5">
        <v>60</v>
      </c>
      <c r="F47" s="7" t="s">
        <v>98</v>
      </c>
      <c r="G47" s="7" t="s">
        <v>97</v>
      </c>
      <c r="H47" s="7" t="s">
        <v>621</v>
      </c>
      <c r="I47" s="10">
        <f t="shared" si="0"/>
        <v>46143</v>
      </c>
      <c r="J47" t="str">
        <f t="shared" si="1"/>
        <v>Personal - Health</v>
      </c>
    </row>
    <row r="48" spans="1:10" ht="60" customHeight="1" x14ac:dyDescent="0.25">
      <c r="A48" s="8" t="s">
        <v>86</v>
      </c>
      <c r="B48" s="8" t="s">
        <v>99</v>
      </c>
      <c r="C48" s="8" t="s">
        <v>4</v>
      </c>
      <c r="D48" s="8" t="s">
        <v>17</v>
      </c>
      <c r="E48" s="6">
        <v>29.23</v>
      </c>
      <c r="F48" s="8" t="s">
        <v>100</v>
      </c>
      <c r="G48" s="8" t="s">
        <v>99</v>
      </c>
      <c r="H48" s="8" t="s">
        <v>619</v>
      </c>
      <c r="I48" s="10">
        <f t="shared" si="0"/>
        <v>46143</v>
      </c>
      <c r="J48" t="str">
        <f t="shared" si="1"/>
        <v>Personal - Food</v>
      </c>
    </row>
    <row r="49" spans="1:10" ht="60" customHeight="1" x14ac:dyDescent="0.25">
      <c r="A49" s="7" t="s">
        <v>86</v>
      </c>
      <c r="B49" s="7" t="s">
        <v>84</v>
      </c>
      <c r="C49" s="7" t="s">
        <v>4</v>
      </c>
      <c r="D49" s="7" t="s">
        <v>17</v>
      </c>
      <c r="E49" s="5">
        <v>8.58</v>
      </c>
      <c r="F49" s="7" t="s">
        <v>101</v>
      </c>
      <c r="G49" s="7" t="s">
        <v>84</v>
      </c>
      <c r="H49" s="7" t="s">
        <v>619</v>
      </c>
      <c r="I49" s="10">
        <f t="shared" si="0"/>
        <v>46143</v>
      </c>
      <c r="J49" t="str">
        <f t="shared" si="1"/>
        <v>Personal - Food</v>
      </c>
    </row>
    <row r="50" spans="1:10" ht="60" customHeight="1" x14ac:dyDescent="0.25">
      <c r="A50" s="8" t="s">
        <v>102</v>
      </c>
      <c r="B50" s="8" t="s">
        <v>103</v>
      </c>
      <c r="C50" s="8" t="s">
        <v>4</v>
      </c>
      <c r="D50" s="8" t="s">
        <v>17</v>
      </c>
      <c r="E50" s="6">
        <v>347.54</v>
      </c>
      <c r="F50" s="8" t="s">
        <v>104</v>
      </c>
      <c r="G50" s="8" t="s">
        <v>103</v>
      </c>
      <c r="H50" s="8" t="s">
        <v>621</v>
      </c>
      <c r="I50" s="10">
        <f t="shared" si="0"/>
        <v>46143</v>
      </c>
      <c r="J50" t="str">
        <f t="shared" si="1"/>
        <v>Personal - Health</v>
      </c>
    </row>
    <row r="51" spans="1:10" ht="60" customHeight="1" x14ac:dyDescent="0.25">
      <c r="A51" s="7" t="s">
        <v>102</v>
      </c>
      <c r="B51" s="7" t="s">
        <v>23</v>
      </c>
      <c r="C51" s="7" t="s">
        <v>4</v>
      </c>
      <c r="D51" s="7" t="s">
        <v>17</v>
      </c>
      <c r="E51" s="5">
        <v>11.73</v>
      </c>
      <c r="F51" s="7" t="s">
        <v>105</v>
      </c>
      <c r="G51" s="7" t="s">
        <v>23</v>
      </c>
      <c r="H51" s="7" t="s">
        <v>617</v>
      </c>
      <c r="I51" s="10">
        <f t="shared" si="0"/>
        <v>46143</v>
      </c>
      <c r="J51" t="str">
        <f t="shared" si="1"/>
        <v>Amazon</v>
      </c>
    </row>
    <row r="52" spans="1:10" ht="60" customHeight="1" x14ac:dyDescent="0.25">
      <c r="A52" s="8" t="s">
        <v>102</v>
      </c>
      <c r="B52" s="8" t="s">
        <v>41</v>
      </c>
      <c r="C52" s="8" t="s">
        <v>4</v>
      </c>
      <c r="D52" s="8" t="s">
        <v>17</v>
      </c>
      <c r="E52" s="6">
        <v>148.15</v>
      </c>
      <c r="F52" s="8" t="s">
        <v>106</v>
      </c>
      <c r="G52" s="8" t="s">
        <v>43</v>
      </c>
      <c r="H52" s="8" t="s">
        <v>617</v>
      </c>
      <c r="I52" s="10">
        <f t="shared" si="0"/>
        <v>46143</v>
      </c>
      <c r="J52" t="str">
        <f t="shared" si="1"/>
        <v>Amazon</v>
      </c>
    </row>
    <row r="53" spans="1:10" ht="60" customHeight="1" x14ac:dyDescent="0.25">
      <c r="A53" s="7" t="s">
        <v>102</v>
      </c>
      <c r="B53" s="7" t="s">
        <v>16</v>
      </c>
      <c r="C53" s="7" t="s">
        <v>4</v>
      </c>
      <c r="D53" s="7" t="s">
        <v>17</v>
      </c>
      <c r="E53" s="5">
        <v>12.75</v>
      </c>
      <c r="F53" s="7" t="s">
        <v>107</v>
      </c>
      <c r="G53" s="7" t="s">
        <v>16</v>
      </c>
      <c r="H53" s="7" t="s">
        <v>617</v>
      </c>
      <c r="I53" s="10">
        <f t="shared" si="0"/>
        <v>46143</v>
      </c>
      <c r="J53" t="str">
        <f t="shared" si="1"/>
        <v>Amazon</v>
      </c>
    </row>
    <row r="54" spans="1:10" ht="60" customHeight="1" x14ac:dyDescent="0.25">
      <c r="A54" s="8" t="s">
        <v>102</v>
      </c>
      <c r="B54" s="8" t="s">
        <v>16</v>
      </c>
      <c r="C54" s="8" t="s">
        <v>4</v>
      </c>
      <c r="D54" s="8" t="s">
        <v>17</v>
      </c>
      <c r="E54" s="6">
        <v>14.88</v>
      </c>
      <c r="F54" s="8" t="s">
        <v>108</v>
      </c>
      <c r="G54" s="8" t="s">
        <v>16</v>
      </c>
      <c r="H54" s="8" t="s">
        <v>617</v>
      </c>
      <c r="I54" s="10">
        <f t="shared" si="0"/>
        <v>46143</v>
      </c>
      <c r="J54" t="str">
        <f t="shared" si="1"/>
        <v>Amazon</v>
      </c>
    </row>
    <row r="55" spans="1:10" ht="60" customHeight="1" x14ac:dyDescent="0.25">
      <c r="A55" s="7" t="s">
        <v>102</v>
      </c>
      <c r="B55" s="7" t="s">
        <v>109</v>
      </c>
      <c r="C55" s="7" t="s">
        <v>4</v>
      </c>
      <c r="D55" s="7" t="s">
        <v>17</v>
      </c>
      <c r="E55" s="5">
        <v>21.34</v>
      </c>
      <c r="F55" s="7" t="s">
        <v>110</v>
      </c>
      <c r="G55" s="7" t="s">
        <v>109</v>
      </c>
      <c r="H55" s="7" t="s">
        <v>617</v>
      </c>
      <c r="I55" s="10">
        <f t="shared" si="0"/>
        <v>46143</v>
      </c>
      <c r="J55" t="str">
        <f t="shared" si="1"/>
        <v>Amazon</v>
      </c>
    </row>
    <row r="56" spans="1:10" ht="60" customHeight="1" x14ac:dyDescent="0.25">
      <c r="A56" s="8" t="s">
        <v>102</v>
      </c>
      <c r="B56" s="8" t="s">
        <v>27</v>
      </c>
      <c r="C56" s="8" t="s">
        <v>4</v>
      </c>
      <c r="D56" s="8" t="s">
        <v>17</v>
      </c>
      <c r="E56" s="6">
        <v>135</v>
      </c>
      <c r="F56" s="8" t="s">
        <v>111</v>
      </c>
      <c r="G56" s="8" t="s">
        <v>27</v>
      </c>
      <c r="H56" s="8" t="s">
        <v>621</v>
      </c>
      <c r="I56" s="10">
        <f t="shared" si="0"/>
        <v>46143</v>
      </c>
      <c r="J56" t="str">
        <f t="shared" si="1"/>
        <v>Personal - Health</v>
      </c>
    </row>
    <row r="57" spans="1:10" ht="60" customHeight="1" x14ac:dyDescent="0.25">
      <c r="A57" s="7" t="s">
        <v>102</v>
      </c>
      <c r="B57" s="7" t="s">
        <v>112</v>
      </c>
      <c r="C57" s="7" t="s">
        <v>4</v>
      </c>
      <c r="D57" s="7" t="s">
        <v>17</v>
      </c>
      <c r="E57" s="5">
        <v>300</v>
      </c>
      <c r="F57" s="7" t="s">
        <v>113</v>
      </c>
      <c r="G57" s="7" t="s">
        <v>112</v>
      </c>
      <c r="H57" s="7" t="s">
        <v>621</v>
      </c>
      <c r="I57" s="10">
        <f t="shared" si="0"/>
        <v>46143</v>
      </c>
      <c r="J57" t="str">
        <f t="shared" si="1"/>
        <v>Personal - Health</v>
      </c>
    </row>
    <row r="58" spans="1:10" ht="60" customHeight="1" x14ac:dyDescent="0.25">
      <c r="A58" s="8" t="s">
        <v>102</v>
      </c>
      <c r="B58" s="8" t="s">
        <v>31</v>
      </c>
      <c r="C58" s="8" t="s">
        <v>4</v>
      </c>
      <c r="D58" s="8" t="s">
        <v>17</v>
      </c>
      <c r="E58" s="6">
        <v>21.54</v>
      </c>
      <c r="F58" s="8" t="s">
        <v>114</v>
      </c>
      <c r="G58" s="8" t="s">
        <v>31</v>
      </c>
      <c r="H58" s="8" t="s">
        <v>618</v>
      </c>
      <c r="I58" s="10">
        <f t="shared" si="0"/>
        <v>46143</v>
      </c>
      <c r="J58" t="str">
        <f t="shared" si="1"/>
        <v>Personal</v>
      </c>
    </row>
    <row r="59" spans="1:10" ht="60" customHeight="1" x14ac:dyDescent="0.25">
      <c r="A59" s="7" t="s">
        <v>115</v>
      </c>
      <c r="B59" s="7" t="s">
        <v>116</v>
      </c>
      <c r="C59" s="7" t="s">
        <v>4</v>
      </c>
      <c r="D59" s="7" t="s">
        <v>17</v>
      </c>
      <c r="E59" s="5">
        <v>106.95</v>
      </c>
      <c r="F59" s="7" t="s">
        <v>117</v>
      </c>
      <c r="G59" s="7" t="s">
        <v>116</v>
      </c>
      <c r="H59" s="7" t="s">
        <v>619</v>
      </c>
      <c r="I59" s="10">
        <f t="shared" si="0"/>
        <v>46143</v>
      </c>
      <c r="J59" t="str">
        <f t="shared" si="1"/>
        <v>Personal - Food</v>
      </c>
    </row>
    <row r="60" spans="1:10" ht="60" customHeight="1" x14ac:dyDescent="0.25">
      <c r="A60" s="8" t="s">
        <v>115</v>
      </c>
      <c r="B60" s="8" t="s">
        <v>118</v>
      </c>
      <c r="C60" s="8" t="s">
        <v>4</v>
      </c>
      <c r="D60" s="8" t="s">
        <v>17</v>
      </c>
      <c r="E60" s="6">
        <v>-27231.89</v>
      </c>
      <c r="F60" s="8" t="s">
        <v>119</v>
      </c>
      <c r="G60" s="8" t="s">
        <v>118</v>
      </c>
      <c r="H60" s="8" t="s">
        <v>626</v>
      </c>
      <c r="I60" s="10">
        <f t="shared" si="0"/>
        <v>46143</v>
      </c>
      <c r="J60" t="str">
        <f t="shared" si="1"/>
        <v>Online AMEX Payment</v>
      </c>
    </row>
    <row r="61" spans="1:10" ht="60" customHeight="1" x14ac:dyDescent="0.25">
      <c r="A61" s="7" t="s">
        <v>115</v>
      </c>
      <c r="B61" s="7" t="s">
        <v>120</v>
      </c>
      <c r="C61" s="7" t="s">
        <v>4</v>
      </c>
      <c r="D61" s="7" t="s">
        <v>17</v>
      </c>
      <c r="E61" s="5">
        <v>30.04</v>
      </c>
      <c r="F61" s="7" t="s">
        <v>121</v>
      </c>
      <c r="G61" s="7" t="s">
        <v>120</v>
      </c>
      <c r="H61" s="7" t="s">
        <v>625</v>
      </c>
      <c r="I61" s="10">
        <f t="shared" si="0"/>
        <v>46143</v>
      </c>
      <c r="J61" t="str">
        <f t="shared" si="1"/>
        <v>Personal - Entertainment</v>
      </c>
    </row>
    <row r="62" spans="1:10" ht="60" customHeight="1" x14ac:dyDescent="0.25">
      <c r="A62" s="8" t="s">
        <v>122</v>
      </c>
      <c r="B62" s="8" t="s">
        <v>123</v>
      </c>
      <c r="C62" s="8" t="s">
        <v>4</v>
      </c>
      <c r="D62" s="8" t="s">
        <v>17</v>
      </c>
      <c r="E62" s="6">
        <v>322.91000000000003</v>
      </c>
      <c r="F62" s="8" t="s">
        <v>124</v>
      </c>
      <c r="G62" s="8" t="s">
        <v>123</v>
      </c>
      <c r="H62" s="8" t="s">
        <v>621</v>
      </c>
      <c r="I62" s="10">
        <f t="shared" si="0"/>
        <v>46143</v>
      </c>
      <c r="J62" t="str">
        <f t="shared" si="1"/>
        <v>Personal - Health</v>
      </c>
    </row>
    <row r="63" spans="1:10" ht="60" customHeight="1" x14ac:dyDescent="0.25">
      <c r="A63" s="7" t="s">
        <v>125</v>
      </c>
      <c r="B63" s="7" t="s">
        <v>126</v>
      </c>
      <c r="C63" s="7" t="s">
        <v>4</v>
      </c>
      <c r="D63" s="7" t="s">
        <v>17</v>
      </c>
      <c r="E63" s="5">
        <v>185.75</v>
      </c>
      <c r="F63" s="7" t="s">
        <v>127</v>
      </c>
      <c r="G63" s="7" t="s">
        <v>126</v>
      </c>
      <c r="H63" s="7" t="s">
        <v>619</v>
      </c>
      <c r="I63" s="10">
        <f t="shared" si="0"/>
        <v>46143</v>
      </c>
      <c r="J63" t="str">
        <f t="shared" si="1"/>
        <v>Personal - Food</v>
      </c>
    </row>
    <row r="64" spans="1:10" ht="60" customHeight="1" x14ac:dyDescent="0.25">
      <c r="A64" s="8" t="s">
        <v>125</v>
      </c>
      <c r="B64" s="8" t="s">
        <v>128</v>
      </c>
      <c r="C64" s="8" t="s">
        <v>4</v>
      </c>
      <c r="D64" s="8" t="s">
        <v>17</v>
      </c>
      <c r="E64" s="6">
        <v>600.26</v>
      </c>
      <c r="F64" s="8" t="s">
        <v>129</v>
      </c>
      <c r="G64" s="8" t="s">
        <v>128</v>
      </c>
      <c r="H64" s="7" t="s">
        <v>627</v>
      </c>
      <c r="I64" s="10">
        <f t="shared" si="0"/>
        <v>46143</v>
      </c>
      <c r="J64" t="str">
        <f t="shared" si="1"/>
        <v>Personal - Family</v>
      </c>
    </row>
    <row r="65" spans="1:10" ht="60" customHeight="1" x14ac:dyDescent="0.25">
      <c r="A65" s="7" t="s">
        <v>130</v>
      </c>
      <c r="B65" s="7" t="s">
        <v>131</v>
      </c>
      <c r="C65" s="7" t="s">
        <v>4</v>
      </c>
      <c r="D65" s="7" t="s">
        <v>17</v>
      </c>
      <c r="E65" s="5">
        <v>150</v>
      </c>
      <c r="F65" s="7" t="s">
        <v>132</v>
      </c>
      <c r="G65" s="7" t="s">
        <v>131</v>
      </c>
      <c r="H65" s="7" t="s">
        <v>627</v>
      </c>
      <c r="I65" s="10">
        <f t="shared" si="0"/>
        <v>46143</v>
      </c>
      <c r="J65" t="str">
        <f t="shared" si="1"/>
        <v>Personal - Family</v>
      </c>
    </row>
    <row r="66" spans="1:10" ht="60" customHeight="1" x14ac:dyDescent="0.25">
      <c r="A66" s="8" t="s">
        <v>130</v>
      </c>
      <c r="B66" s="8" t="s">
        <v>52</v>
      </c>
      <c r="C66" s="8" t="s">
        <v>4</v>
      </c>
      <c r="D66" s="8" t="s">
        <v>17</v>
      </c>
      <c r="E66" s="6">
        <v>8.56</v>
      </c>
      <c r="F66" s="8" t="s">
        <v>133</v>
      </c>
      <c r="G66" s="8" t="s">
        <v>52</v>
      </c>
      <c r="H66" s="8" t="s">
        <v>622</v>
      </c>
      <c r="I66" s="10">
        <f t="shared" si="0"/>
        <v>46143</v>
      </c>
      <c r="J66" t="str">
        <f t="shared" si="1"/>
        <v>Personal - Car</v>
      </c>
    </row>
    <row r="67" spans="1:10" ht="60" customHeight="1" x14ac:dyDescent="0.25">
      <c r="A67" s="7" t="s">
        <v>130</v>
      </c>
      <c r="B67" s="7" t="s">
        <v>54</v>
      </c>
      <c r="C67" s="7" t="s">
        <v>4</v>
      </c>
      <c r="D67" s="7" t="s">
        <v>17</v>
      </c>
      <c r="E67" s="5">
        <v>56.15</v>
      </c>
      <c r="F67" s="7" t="s">
        <v>134</v>
      </c>
      <c r="G67" s="7" t="s">
        <v>54</v>
      </c>
      <c r="H67" s="8" t="s">
        <v>622</v>
      </c>
      <c r="I67" s="10">
        <f t="shared" si="0"/>
        <v>46143</v>
      </c>
      <c r="J67" t="str">
        <f t="shared" si="1"/>
        <v>Personal - Car</v>
      </c>
    </row>
    <row r="68" spans="1:10" ht="60" customHeight="1" x14ac:dyDescent="0.25">
      <c r="A68" s="8" t="s">
        <v>130</v>
      </c>
      <c r="B68" s="8" t="s">
        <v>135</v>
      </c>
      <c r="C68" s="8" t="s">
        <v>4</v>
      </c>
      <c r="D68" s="8" t="s">
        <v>17</v>
      </c>
      <c r="E68" s="6">
        <v>419.38</v>
      </c>
      <c r="F68" s="8" t="s">
        <v>136</v>
      </c>
      <c r="G68" s="8" t="s">
        <v>135</v>
      </c>
      <c r="H68" s="8" t="s">
        <v>620</v>
      </c>
      <c r="I68" s="10">
        <f t="shared" si="0"/>
        <v>46143</v>
      </c>
      <c r="J68" t="str">
        <f t="shared" si="1"/>
        <v>Personal - House</v>
      </c>
    </row>
    <row r="69" spans="1:10" ht="60" customHeight="1" x14ac:dyDescent="0.25">
      <c r="A69" s="7" t="s">
        <v>130</v>
      </c>
      <c r="B69" s="7" t="s">
        <v>137</v>
      </c>
      <c r="C69" s="7" t="s">
        <v>4</v>
      </c>
      <c r="D69" s="7" t="s">
        <v>17</v>
      </c>
      <c r="E69" s="5">
        <v>6.94</v>
      </c>
      <c r="F69" s="7" t="s">
        <v>138</v>
      </c>
      <c r="G69" s="7" t="s">
        <v>137</v>
      </c>
      <c r="H69" s="7" t="s">
        <v>619</v>
      </c>
      <c r="I69" s="10">
        <f t="shared" si="0"/>
        <v>46143</v>
      </c>
      <c r="J69" t="str">
        <f t="shared" si="1"/>
        <v>Personal - Food</v>
      </c>
    </row>
    <row r="70" spans="1:10" ht="60" customHeight="1" x14ac:dyDescent="0.25">
      <c r="A70" s="8" t="s">
        <v>130</v>
      </c>
      <c r="B70" s="8" t="s">
        <v>137</v>
      </c>
      <c r="C70" s="8" t="s">
        <v>4</v>
      </c>
      <c r="D70" s="8" t="s">
        <v>17</v>
      </c>
      <c r="E70" s="6">
        <v>62.31</v>
      </c>
      <c r="F70" s="8" t="s">
        <v>139</v>
      </c>
      <c r="G70" s="8" t="s">
        <v>137</v>
      </c>
      <c r="H70" s="8" t="s">
        <v>619</v>
      </c>
      <c r="I70" s="10">
        <f t="shared" si="0"/>
        <v>46143</v>
      </c>
      <c r="J70" t="str">
        <f t="shared" si="1"/>
        <v>Personal - Food</v>
      </c>
    </row>
    <row r="71" spans="1:10" ht="60" customHeight="1" x14ac:dyDescent="0.25">
      <c r="A71" s="7" t="s">
        <v>140</v>
      </c>
      <c r="B71" s="7" t="s">
        <v>141</v>
      </c>
      <c r="C71" s="7" t="s">
        <v>4</v>
      </c>
      <c r="D71" s="7" t="s">
        <v>17</v>
      </c>
      <c r="E71" s="5">
        <v>50</v>
      </c>
      <c r="F71" s="7" t="s">
        <v>142</v>
      </c>
      <c r="G71" s="7" t="s">
        <v>141</v>
      </c>
      <c r="H71" s="7" t="s">
        <v>628</v>
      </c>
      <c r="I71" s="10">
        <f t="shared" si="0"/>
        <v>46143</v>
      </c>
      <c r="J71" t="str">
        <f t="shared" si="1"/>
        <v>Personal - Travel</v>
      </c>
    </row>
    <row r="72" spans="1:10" ht="60" customHeight="1" x14ac:dyDescent="0.25">
      <c r="A72" s="8" t="s">
        <v>140</v>
      </c>
      <c r="B72" s="8" t="s">
        <v>143</v>
      </c>
      <c r="C72" s="8" t="s">
        <v>4</v>
      </c>
      <c r="D72" s="8" t="s">
        <v>17</v>
      </c>
      <c r="E72" s="6">
        <v>63.78</v>
      </c>
      <c r="F72" s="8" t="s">
        <v>144</v>
      </c>
      <c r="G72" s="8" t="s">
        <v>143</v>
      </c>
      <c r="H72" s="8" t="s">
        <v>619</v>
      </c>
      <c r="I72" s="10">
        <f t="shared" si="0"/>
        <v>46143</v>
      </c>
      <c r="J72" t="str">
        <f t="shared" si="1"/>
        <v>Personal - Food</v>
      </c>
    </row>
    <row r="73" spans="1:10" ht="60" customHeight="1" x14ac:dyDescent="0.25">
      <c r="A73" s="7" t="s">
        <v>140</v>
      </c>
      <c r="B73" s="7" t="s">
        <v>145</v>
      </c>
      <c r="C73" s="7" t="s">
        <v>4</v>
      </c>
      <c r="D73" s="7" t="s">
        <v>17</v>
      </c>
      <c r="E73" s="5">
        <v>9.9499999999999993</v>
      </c>
      <c r="F73" s="7" t="s">
        <v>146</v>
      </c>
      <c r="G73" s="7" t="s">
        <v>145</v>
      </c>
      <c r="H73" s="7" t="s">
        <v>619</v>
      </c>
      <c r="I73" s="10">
        <f t="shared" ref="I73:I136" si="2">DATE(RIGHT(A73,4)+0,LEFT(A73,2)+0,1)</f>
        <v>46143</v>
      </c>
      <c r="J73" t="str">
        <f t="shared" ref="J73:J136" si="3">IF(TRIM(H73)="","(Uncategorized)",TRIM(H73))</f>
        <v>Personal - Food</v>
      </c>
    </row>
    <row r="74" spans="1:10" ht="60" customHeight="1" x14ac:dyDescent="0.25">
      <c r="A74" s="8" t="s">
        <v>140</v>
      </c>
      <c r="B74" s="8" t="s">
        <v>147</v>
      </c>
      <c r="C74" s="8" t="s">
        <v>4</v>
      </c>
      <c r="D74" s="8" t="s">
        <v>17</v>
      </c>
      <c r="E74" s="6">
        <v>20.02</v>
      </c>
      <c r="F74" s="8" t="s">
        <v>148</v>
      </c>
      <c r="G74" s="8" t="s">
        <v>147</v>
      </c>
      <c r="H74" s="8" t="s">
        <v>629</v>
      </c>
      <c r="I74" s="10">
        <f t="shared" si="2"/>
        <v>46143</v>
      </c>
      <c r="J74" t="str">
        <f t="shared" si="3"/>
        <v>Personal - Food</v>
      </c>
    </row>
    <row r="75" spans="1:10" ht="60" customHeight="1" x14ac:dyDescent="0.25">
      <c r="A75" s="7" t="s">
        <v>149</v>
      </c>
      <c r="B75" s="7" t="s">
        <v>150</v>
      </c>
      <c r="C75" s="7" t="s">
        <v>4</v>
      </c>
      <c r="D75" s="7" t="s">
        <v>17</v>
      </c>
      <c r="E75" s="5">
        <v>11.25</v>
      </c>
      <c r="F75" s="7" t="s">
        <v>151</v>
      </c>
      <c r="G75" s="7" t="s">
        <v>150</v>
      </c>
      <c r="H75" s="8" t="s">
        <v>629</v>
      </c>
      <c r="I75" s="10">
        <f t="shared" si="2"/>
        <v>46143</v>
      </c>
      <c r="J75" t="str">
        <f t="shared" si="3"/>
        <v>Personal - Food</v>
      </c>
    </row>
    <row r="76" spans="1:10" ht="60" customHeight="1" x14ac:dyDescent="0.25">
      <c r="A76" s="8" t="s">
        <v>149</v>
      </c>
      <c r="B76" s="8" t="s">
        <v>152</v>
      </c>
      <c r="C76" s="8" t="s">
        <v>4</v>
      </c>
      <c r="D76" s="8" t="s">
        <v>17</v>
      </c>
      <c r="E76" s="6">
        <v>47.96</v>
      </c>
      <c r="F76" s="8" t="s">
        <v>153</v>
      </c>
      <c r="G76" s="8" t="s">
        <v>152</v>
      </c>
      <c r="H76" s="8" t="s">
        <v>629</v>
      </c>
      <c r="I76" s="10">
        <f t="shared" si="2"/>
        <v>46143</v>
      </c>
      <c r="J76" t="str">
        <f t="shared" si="3"/>
        <v>Personal - Food</v>
      </c>
    </row>
    <row r="77" spans="1:10" ht="60" customHeight="1" x14ac:dyDescent="0.25">
      <c r="A77" s="7" t="s">
        <v>149</v>
      </c>
      <c r="B77" s="7" t="s">
        <v>154</v>
      </c>
      <c r="C77" s="7" t="s">
        <v>4</v>
      </c>
      <c r="D77" s="7" t="s">
        <v>17</v>
      </c>
      <c r="E77" s="5">
        <v>95.34</v>
      </c>
      <c r="F77" s="7" t="s">
        <v>155</v>
      </c>
      <c r="G77" s="7" t="s">
        <v>154</v>
      </c>
      <c r="H77" s="8" t="s">
        <v>629</v>
      </c>
      <c r="I77" s="10">
        <f t="shared" si="2"/>
        <v>46143</v>
      </c>
      <c r="J77" t="str">
        <f t="shared" si="3"/>
        <v>Personal - Food</v>
      </c>
    </row>
    <row r="78" spans="1:10" ht="60" customHeight="1" x14ac:dyDescent="0.25">
      <c r="A78" s="8" t="s">
        <v>149</v>
      </c>
      <c r="B78" s="8" t="s">
        <v>156</v>
      </c>
      <c r="C78" s="8" t="s">
        <v>4</v>
      </c>
      <c r="D78" s="8" t="s">
        <v>17</v>
      </c>
      <c r="E78" s="6">
        <v>12.75</v>
      </c>
      <c r="F78" s="8" t="s">
        <v>157</v>
      </c>
      <c r="G78" s="8" t="s">
        <v>156</v>
      </c>
      <c r="H78" s="8" t="s">
        <v>630</v>
      </c>
      <c r="I78" s="10">
        <f t="shared" si="2"/>
        <v>46143</v>
      </c>
      <c r="J78" t="str">
        <f t="shared" si="3"/>
        <v>Shipping</v>
      </c>
    </row>
    <row r="79" spans="1:10" ht="60" customHeight="1" x14ac:dyDescent="0.25">
      <c r="A79" s="7" t="s">
        <v>149</v>
      </c>
      <c r="B79" s="7" t="s">
        <v>158</v>
      </c>
      <c r="C79" s="7" t="s">
        <v>4</v>
      </c>
      <c r="D79" s="7" t="s">
        <v>17</v>
      </c>
      <c r="E79" s="5">
        <v>20.7</v>
      </c>
      <c r="F79" s="7" t="s">
        <v>159</v>
      </c>
      <c r="G79" s="7" t="s">
        <v>158</v>
      </c>
      <c r="H79" s="7" t="s">
        <v>622</v>
      </c>
      <c r="I79" s="10">
        <f t="shared" si="2"/>
        <v>46143</v>
      </c>
      <c r="J79" t="str">
        <f t="shared" si="3"/>
        <v>Personal - Car</v>
      </c>
    </row>
    <row r="80" spans="1:10" ht="60" customHeight="1" x14ac:dyDescent="0.25">
      <c r="A80" s="8" t="s">
        <v>149</v>
      </c>
      <c r="B80" s="8" t="s">
        <v>160</v>
      </c>
      <c r="C80" s="8" t="s">
        <v>4</v>
      </c>
      <c r="D80" s="8" t="s">
        <v>17</v>
      </c>
      <c r="E80" s="6">
        <v>38.479999999999997</v>
      </c>
      <c r="F80" s="8" t="s">
        <v>161</v>
      </c>
      <c r="G80" s="8" t="s">
        <v>160</v>
      </c>
      <c r="H80" s="8" t="s">
        <v>618</v>
      </c>
      <c r="I80" s="10">
        <f t="shared" si="2"/>
        <v>46143</v>
      </c>
      <c r="J80" t="str">
        <f t="shared" si="3"/>
        <v>Personal</v>
      </c>
    </row>
    <row r="81" spans="1:10" ht="60" customHeight="1" x14ac:dyDescent="0.25">
      <c r="A81" s="7" t="s">
        <v>162</v>
      </c>
      <c r="B81" s="7" t="s">
        <v>163</v>
      </c>
      <c r="C81" s="7" t="s">
        <v>4</v>
      </c>
      <c r="D81" s="7" t="s">
        <v>17</v>
      </c>
      <c r="E81" s="5">
        <v>155</v>
      </c>
      <c r="F81" s="7" t="s">
        <v>164</v>
      </c>
      <c r="G81" s="7" t="s">
        <v>163</v>
      </c>
      <c r="H81" s="7" t="s">
        <v>621</v>
      </c>
      <c r="I81" s="10">
        <f t="shared" si="2"/>
        <v>46143</v>
      </c>
      <c r="J81" t="str">
        <f t="shared" si="3"/>
        <v>Personal - Health</v>
      </c>
    </row>
    <row r="82" spans="1:10" ht="60" customHeight="1" x14ac:dyDescent="0.25">
      <c r="A82" s="8" t="s">
        <v>162</v>
      </c>
      <c r="B82" s="8" t="s">
        <v>165</v>
      </c>
      <c r="C82" s="8" t="s">
        <v>4</v>
      </c>
      <c r="D82" s="8" t="s">
        <v>17</v>
      </c>
      <c r="E82" s="6">
        <v>60.5</v>
      </c>
      <c r="F82" s="8" t="s">
        <v>166</v>
      </c>
      <c r="G82" s="8" t="s">
        <v>165</v>
      </c>
      <c r="H82" s="8" t="s">
        <v>631</v>
      </c>
      <c r="I82" s="10">
        <f t="shared" si="2"/>
        <v>46143</v>
      </c>
      <c r="J82" t="str">
        <f t="shared" si="3"/>
        <v>Personal - ?</v>
      </c>
    </row>
    <row r="83" spans="1:10" ht="60" customHeight="1" x14ac:dyDescent="0.25">
      <c r="A83" s="7" t="s">
        <v>162</v>
      </c>
      <c r="B83" s="7" t="s">
        <v>165</v>
      </c>
      <c r="C83" s="7" t="s">
        <v>4</v>
      </c>
      <c r="D83" s="7" t="s">
        <v>17</v>
      </c>
      <c r="E83" s="5">
        <v>99.85</v>
      </c>
      <c r="F83" s="7" t="s">
        <v>167</v>
      </c>
      <c r="G83" s="7" t="s">
        <v>165</v>
      </c>
      <c r="H83" s="8" t="s">
        <v>631</v>
      </c>
      <c r="I83" s="10">
        <f t="shared" si="2"/>
        <v>46143</v>
      </c>
      <c r="J83" t="str">
        <f t="shared" si="3"/>
        <v>Personal - ?</v>
      </c>
    </row>
    <row r="84" spans="1:10" ht="60" customHeight="1" x14ac:dyDescent="0.25">
      <c r="A84" s="8" t="s">
        <v>162</v>
      </c>
      <c r="B84" s="8" t="s">
        <v>168</v>
      </c>
      <c r="C84" s="8" t="s">
        <v>4</v>
      </c>
      <c r="D84" s="8" t="s">
        <v>17</v>
      </c>
      <c r="E84" s="6">
        <v>113.35</v>
      </c>
      <c r="F84" s="8" t="s">
        <v>169</v>
      </c>
      <c r="G84" s="8" t="s">
        <v>168</v>
      </c>
      <c r="H84" s="8" t="s">
        <v>619</v>
      </c>
      <c r="I84" s="10">
        <f t="shared" si="2"/>
        <v>46143</v>
      </c>
      <c r="J84" t="str">
        <f t="shared" si="3"/>
        <v>Personal - Food</v>
      </c>
    </row>
    <row r="85" spans="1:10" ht="60" customHeight="1" x14ac:dyDescent="0.25">
      <c r="A85" s="7" t="s">
        <v>170</v>
      </c>
      <c r="B85" s="7" t="s">
        <v>171</v>
      </c>
      <c r="C85" s="7" t="s">
        <v>4</v>
      </c>
      <c r="D85" s="7" t="s">
        <v>17</v>
      </c>
      <c r="E85" s="5">
        <v>99.49</v>
      </c>
      <c r="F85" s="7" t="s">
        <v>172</v>
      </c>
      <c r="G85" s="7" t="s">
        <v>171</v>
      </c>
      <c r="H85" s="7" t="s">
        <v>619</v>
      </c>
      <c r="I85" s="10">
        <f t="shared" si="2"/>
        <v>46143</v>
      </c>
      <c r="J85" t="str">
        <f t="shared" si="3"/>
        <v>Personal - Food</v>
      </c>
    </row>
    <row r="86" spans="1:10" ht="60" customHeight="1" x14ac:dyDescent="0.25">
      <c r="A86" s="8" t="s">
        <v>173</v>
      </c>
      <c r="B86" s="8" t="s">
        <v>174</v>
      </c>
      <c r="C86" s="8" t="s">
        <v>4</v>
      </c>
      <c r="D86" s="8" t="s">
        <v>17</v>
      </c>
      <c r="E86" s="6">
        <v>26.56</v>
      </c>
      <c r="F86" s="8" t="s">
        <v>175</v>
      </c>
      <c r="G86" s="8" t="s">
        <v>174</v>
      </c>
      <c r="H86" s="8" t="s">
        <v>619</v>
      </c>
      <c r="I86" s="10">
        <f t="shared" si="2"/>
        <v>46143</v>
      </c>
      <c r="J86" t="str">
        <f t="shared" si="3"/>
        <v>Personal - Food</v>
      </c>
    </row>
    <row r="87" spans="1:10" ht="60" customHeight="1" x14ac:dyDescent="0.25">
      <c r="A87" s="7" t="s">
        <v>173</v>
      </c>
      <c r="B87" s="7" t="s">
        <v>176</v>
      </c>
      <c r="C87" s="7" t="s">
        <v>4</v>
      </c>
      <c r="D87" s="7" t="s">
        <v>17</v>
      </c>
      <c r="E87" s="5">
        <v>53.03</v>
      </c>
      <c r="F87" s="7" t="s">
        <v>177</v>
      </c>
      <c r="G87" s="7" t="s">
        <v>176</v>
      </c>
      <c r="H87" s="7" t="s">
        <v>619</v>
      </c>
      <c r="I87" s="10">
        <f t="shared" si="2"/>
        <v>46143</v>
      </c>
      <c r="J87" t="str">
        <f t="shared" si="3"/>
        <v>Personal - Food</v>
      </c>
    </row>
    <row r="88" spans="1:10" ht="60" customHeight="1" x14ac:dyDescent="0.25">
      <c r="A88" s="8" t="s">
        <v>178</v>
      </c>
      <c r="B88" s="8" t="s">
        <v>163</v>
      </c>
      <c r="C88" s="8" t="s">
        <v>4</v>
      </c>
      <c r="D88" s="8" t="s">
        <v>17</v>
      </c>
      <c r="E88" s="6">
        <v>155</v>
      </c>
      <c r="F88" s="8" t="s">
        <v>179</v>
      </c>
      <c r="G88" s="8" t="s">
        <v>163</v>
      </c>
      <c r="H88" s="8" t="s">
        <v>621</v>
      </c>
      <c r="I88" s="10">
        <f t="shared" si="2"/>
        <v>46143</v>
      </c>
      <c r="J88" t="str">
        <f t="shared" si="3"/>
        <v>Personal - Health</v>
      </c>
    </row>
    <row r="89" spans="1:10" ht="60" customHeight="1" x14ac:dyDescent="0.25">
      <c r="A89" s="7" t="s">
        <v>178</v>
      </c>
      <c r="B89" s="7" t="s">
        <v>180</v>
      </c>
      <c r="C89" s="7" t="s">
        <v>4</v>
      </c>
      <c r="D89" s="7" t="s">
        <v>17</v>
      </c>
      <c r="E89" s="5">
        <v>3.25</v>
      </c>
      <c r="F89" s="7" t="s">
        <v>181</v>
      </c>
      <c r="G89" s="7" t="s">
        <v>180</v>
      </c>
      <c r="H89" s="7" t="s">
        <v>622</v>
      </c>
      <c r="I89" s="10">
        <f t="shared" si="2"/>
        <v>46143</v>
      </c>
      <c r="J89" t="str">
        <f t="shared" si="3"/>
        <v>Personal - Car</v>
      </c>
    </row>
    <row r="90" spans="1:10" ht="60" customHeight="1" x14ac:dyDescent="0.25">
      <c r="A90" s="8" t="s">
        <v>178</v>
      </c>
      <c r="B90" s="8" t="s">
        <v>182</v>
      </c>
      <c r="C90" s="8" t="s">
        <v>4</v>
      </c>
      <c r="D90" s="8" t="s">
        <v>17</v>
      </c>
      <c r="E90" s="6">
        <v>20.03</v>
      </c>
      <c r="F90" s="8" t="s">
        <v>183</v>
      </c>
      <c r="G90" s="8" t="s">
        <v>182</v>
      </c>
      <c r="H90" s="8" t="s">
        <v>619</v>
      </c>
      <c r="I90" s="10">
        <f t="shared" si="2"/>
        <v>46143</v>
      </c>
      <c r="J90" t="str">
        <f t="shared" si="3"/>
        <v>Personal - Food</v>
      </c>
    </row>
    <row r="91" spans="1:10" ht="60" customHeight="1" x14ac:dyDescent="0.25">
      <c r="A91" s="7" t="s">
        <v>178</v>
      </c>
      <c r="B91" s="7" t="s">
        <v>184</v>
      </c>
      <c r="C91" s="7" t="s">
        <v>4</v>
      </c>
      <c r="D91" s="7" t="s">
        <v>17</v>
      </c>
      <c r="E91" s="5">
        <v>101.82</v>
      </c>
      <c r="F91" s="7" t="s">
        <v>185</v>
      </c>
      <c r="G91" s="7" t="s">
        <v>184</v>
      </c>
      <c r="H91" s="8" t="s">
        <v>619</v>
      </c>
      <c r="I91" s="10">
        <f t="shared" si="2"/>
        <v>46143</v>
      </c>
      <c r="J91" t="str">
        <f t="shared" si="3"/>
        <v>Personal - Food</v>
      </c>
    </row>
    <row r="92" spans="1:10" ht="60" customHeight="1" x14ac:dyDescent="0.25">
      <c r="A92" s="8" t="s">
        <v>178</v>
      </c>
      <c r="B92" s="8" t="s">
        <v>186</v>
      </c>
      <c r="C92" s="8" t="s">
        <v>4</v>
      </c>
      <c r="D92" s="8" t="s">
        <v>17</v>
      </c>
      <c r="E92" s="6">
        <v>48.7</v>
      </c>
      <c r="F92" s="8" t="s">
        <v>187</v>
      </c>
      <c r="G92" s="8" t="s">
        <v>186</v>
      </c>
      <c r="H92" s="8" t="s">
        <v>620</v>
      </c>
      <c r="I92" s="10">
        <f t="shared" si="2"/>
        <v>46143</v>
      </c>
      <c r="J92" t="str">
        <f t="shared" si="3"/>
        <v>Personal - House</v>
      </c>
    </row>
    <row r="93" spans="1:10" ht="60" customHeight="1" x14ac:dyDescent="0.25">
      <c r="A93" s="7" t="s">
        <v>188</v>
      </c>
      <c r="B93" s="7" t="s">
        <v>189</v>
      </c>
      <c r="C93" s="7" t="s">
        <v>4</v>
      </c>
      <c r="D93" s="7" t="s">
        <v>17</v>
      </c>
      <c r="E93" s="5">
        <v>7</v>
      </c>
      <c r="F93" s="7" t="s">
        <v>190</v>
      </c>
      <c r="G93" s="7" t="s">
        <v>189</v>
      </c>
      <c r="H93" s="7" t="s">
        <v>622</v>
      </c>
      <c r="I93" s="10">
        <f t="shared" si="2"/>
        <v>46143</v>
      </c>
      <c r="J93" t="str">
        <f t="shared" si="3"/>
        <v>Personal - Car</v>
      </c>
    </row>
    <row r="94" spans="1:10" ht="60" customHeight="1" x14ac:dyDescent="0.25">
      <c r="A94" s="8" t="s">
        <v>188</v>
      </c>
      <c r="B94" s="8" t="s">
        <v>191</v>
      </c>
      <c r="C94" s="8" t="s">
        <v>4</v>
      </c>
      <c r="D94" s="8" t="s">
        <v>17</v>
      </c>
      <c r="E94" s="6">
        <v>129.69999999999999</v>
      </c>
      <c r="F94" s="8" t="s">
        <v>192</v>
      </c>
      <c r="G94" s="8" t="s">
        <v>191</v>
      </c>
      <c r="H94" s="8" t="s">
        <v>619</v>
      </c>
      <c r="I94" s="10">
        <f t="shared" si="2"/>
        <v>46143</v>
      </c>
      <c r="J94" t="str">
        <f t="shared" si="3"/>
        <v>Personal - Food</v>
      </c>
    </row>
    <row r="95" spans="1:10" ht="60" customHeight="1" x14ac:dyDescent="0.25">
      <c r="A95" s="7" t="s">
        <v>193</v>
      </c>
      <c r="B95" s="7" t="s">
        <v>194</v>
      </c>
      <c r="C95" s="7" t="s">
        <v>4</v>
      </c>
      <c r="D95" s="7" t="s">
        <v>17</v>
      </c>
      <c r="E95" s="5">
        <v>64.17</v>
      </c>
      <c r="F95" s="7" t="s">
        <v>195</v>
      </c>
      <c r="G95" s="7" t="s">
        <v>194</v>
      </c>
      <c r="H95" s="7" t="s">
        <v>619</v>
      </c>
      <c r="I95" s="10">
        <f t="shared" si="2"/>
        <v>46143</v>
      </c>
      <c r="J95" t="str">
        <f t="shared" si="3"/>
        <v>Personal - Food</v>
      </c>
    </row>
    <row r="96" spans="1:10" ht="60" customHeight="1" x14ac:dyDescent="0.25">
      <c r="A96" s="8" t="s">
        <v>193</v>
      </c>
      <c r="B96" s="8" t="s">
        <v>196</v>
      </c>
      <c r="C96" s="8" t="s">
        <v>4</v>
      </c>
      <c r="D96" s="8" t="s">
        <v>17</v>
      </c>
      <c r="E96" s="6">
        <v>109.59</v>
      </c>
      <c r="F96" s="8" t="s">
        <v>197</v>
      </c>
      <c r="G96" s="8" t="s">
        <v>196</v>
      </c>
      <c r="H96" s="8" t="s">
        <v>619</v>
      </c>
      <c r="I96" s="10">
        <f t="shared" si="2"/>
        <v>46143</v>
      </c>
      <c r="J96" t="str">
        <f t="shared" si="3"/>
        <v>Personal - Food</v>
      </c>
    </row>
    <row r="97" spans="1:10" ht="60" customHeight="1" x14ac:dyDescent="0.25">
      <c r="A97" s="7" t="s">
        <v>198</v>
      </c>
      <c r="B97" s="7" t="s">
        <v>199</v>
      </c>
      <c r="C97" s="7" t="s">
        <v>4</v>
      </c>
      <c r="D97" s="7" t="s">
        <v>17</v>
      </c>
      <c r="E97" s="5">
        <v>230</v>
      </c>
      <c r="F97" s="7" t="s">
        <v>200</v>
      </c>
      <c r="G97" s="7" t="s">
        <v>199</v>
      </c>
      <c r="H97" s="7" t="s">
        <v>621</v>
      </c>
      <c r="I97" s="10">
        <f t="shared" si="2"/>
        <v>46143</v>
      </c>
      <c r="J97" t="str">
        <f t="shared" si="3"/>
        <v>Personal - Health</v>
      </c>
    </row>
    <row r="98" spans="1:10" ht="60" customHeight="1" x14ac:dyDescent="0.25">
      <c r="A98" s="8" t="s">
        <v>201</v>
      </c>
      <c r="B98" s="8" t="s">
        <v>143</v>
      </c>
      <c r="C98" s="8" t="s">
        <v>4</v>
      </c>
      <c r="D98" s="8" t="s">
        <v>17</v>
      </c>
      <c r="E98" s="6">
        <v>56.17</v>
      </c>
      <c r="F98" s="8" t="s">
        <v>202</v>
      </c>
      <c r="G98" s="8" t="s">
        <v>143</v>
      </c>
      <c r="H98" s="8" t="s">
        <v>619</v>
      </c>
      <c r="I98" s="10">
        <f t="shared" si="2"/>
        <v>46143</v>
      </c>
      <c r="J98" t="str">
        <f t="shared" si="3"/>
        <v>Personal - Food</v>
      </c>
    </row>
    <row r="99" spans="1:10" ht="60" customHeight="1" x14ac:dyDescent="0.25">
      <c r="A99" s="7" t="s">
        <v>201</v>
      </c>
      <c r="B99" s="7" t="s">
        <v>203</v>
      </c>
      <c r="C99" s="7" t="s">
        <v>4</v>
      </c>
      <c r="D99" s="7" t="s">
        <v>17</v>
      </c>
      <c r="E99" s="5">
        <v>262.83999999999997</v>
      </c>
      <c r="F99" s="7" t="s">
        <v>204</v>
      </c>
      <c r="G99" s="7" t="s">
        <v>203</v>
      </c>
      <c r="H99" s="7" t="s">
        <v>619</v>
      </c>
      <c r="I99" s="10">
        <f t="shared" si="2"/>
        <v>46143</v>
      </c>
      <c r="J99" t="str">
        <f t="shared" si="3"/>
        <v>Personal - Food</v>
      </c>
    </row>
    <row r="100" spans="1:10" ht="60" customHeight="1" x14ac:dyDescent="0.25">
      <c r="A100" s="8" t="s">
        <v>205</v>
      </c>
      <c r="B100" s="8" t="s">
        <v>206</v>
      </c>
      <c r="C100" s="8" t="s">
        <v>4</v>
      </c>
      <c r="D100" s="8" t="s">
        <v>17</v>
      </c>
      <c r="E100" s="6">
        <v>176.82</v>
      </c>
      <c r="F100" s="8" t="s">
        <v>207</v>
      </c>
      <c r="G100" s="8" t="s">
        <v>206</v>
      </c>
      <c r="H100" s="8" t="s">
        <v>634</v>
      </c>
      <c r="I100" s="10">
        <f t="shared" si="2"/>
        <v>46143</v>
      </c>
      <c r="J100" t="str">
        <f t="shared" si="3"/>
        <v>Judd &amp; Angela - Portugal</v>
      </c>
    </row>
    <row r="101" spans="1:10" ht="60" customHeight="1" x14ac:dyDescent="0.25">
      <c r="A101" s="7" t="s">
        <v>205</v>
      </c>
      <c r="B101" s="7" t="s">
        <v>208</v>
      </c>
      <c r="C101" s="7" t="s">
        <v>4</v>
      </c>
      <c r="D101" s="7" t="s">
        <v>17</v>
      </c>
      <c r="E101" s="5">
        <v>74.45</v>
      </c>
      <c r="F101" s="7" t="s">
        <v>209</v>
      </c>
      <c r="G101" s="7" t="s">
        <v>208</v>
      </c>
      <c r="H101" s="7" t="s">
        <v>619</v>
      </c>
      <c r="I101" s="10">
        <f t="shared" si="2"/>
        <v>46143</v>
      </c>
      <c r="J101" t="str">
        <f t="shared" si="3"/>
        <v>Personal - Food</v>
      </c>
    </row>
    <row r="102" spans="1:10" ht="60" customHeight="1" x14ac:dyDescent="0.25">
      <c r="A102" s="8" t="s">
        <v>210</v>
      </c>
      <c r="B102" s="8" t="s">
        <v>211</v>
      </c>
      <c r="C102" s="8" t="s">
        <v>4</v>
      </c>
      <c r="D102" s="8" t="s">
        <v>17</v>
      </c>
      <c r="E102" s="6">
        <v>7.58</v>
      </c>
      <c r="F102" s="8" t="s">
        <v>212</v>
      </c>
      <c r="G102" s="8" t="s">
        <v>211</v>
      </c>
      <c r="H102" s="8" t="s">
        <v>619</v>
      </c>
      <c r="I102" s="10">
        <f t="shared" si="2"/>
        <v>46143</v>
      </c>
      <c r="J102" t="str">
        <f t="shared" si="3"/>
        <v>Personal - Food</v>
      </c>
    </row>
    <row r="103" spans="1:10" ht="60" customHeight="1" x14ac:dyDescent="0.25">
      <c r="A103" s="7" t="s">
        <v>210</v>
      </c>
      <c r="B103" s="7" t="s">
        <v>213</v>
      </c>
      <c r="C103" s="7" t="s">
        <v>4</v>
      </c>
      <c r="D103" s="7" t="s">
        <v>17</v>
      </c>
      <c r="E103" s="5">
        <v>53.11</v>
      </c>
      <c r="F103" s="7" t="s">
        <v>214</v>
      </c>
      <c r="G103" s="7" t="s">
        <v>213</v>
      </c>
      <c r="H103" s="7" t="s">
        <v>621</v>
      </c>
      <c r="I103" s="10">
        <f t="shared" si="2"/>
        <v>46143</v>
      </c>
      <c r="J103" t="str">
        <f t="shared" si="3"/>
        <v>Personal - Health</v>
      </c>
    </row>
    <row r="104" spans="1:10" ht="60" customHeight="1" x14ac:dyDescent="0.25">
      <c r="A104" s="8" t="s">
        <v>210</v>
      </c>
      <c r="B104" s="8" t="s">
        <v>168</v>
      </c>
      <c r="C104" s="8" t="s">
        <v>4</v>
      </c>
      <c r="D104" s="8" t="s">
        <v>17</v>
      </c>
      <c r="E104" s="6">
        <v>112.64</v>
      </c>
      <c r="F104" s="8" t="s">
        <v>215</v>
      </c>
      <c r="G104" s="8" t="s">
        <v>168</v>
      </c>
      <c r="H104" s="8" t="s">
        <v>619</v>
      </c>
      <c r="I104" s="10">
        <f t="shared" si="2"/>
        <v>46143</v>
      </c>
      <c r="J104" t="str">
        <f t="shared" si="3"/>
        <v>Personal - Food</v>
      </c>
    </row>
    <row r="105" spans="1:10" ht="60" customHeight="1" x14ac:dyDescent="0.25">
      <c r="A105" s="7" t="s">
        <v>210</v>
      </c>
      <c r="B105" s="7" t="s">
        <v>216</v>
      </c>
      <c r="C105" s="7" t="s">
        <v>4</v>
      </c>
      <c r="D105" s="7" t="s">
        <v>17</v>
      </c>
      <c r="E105" s="5">
        <v>67.739999999999995</v>
      </c>
      <c r="F105" s="7" t="s">
        <v>217</v>
      </c>
      <c r="G105" s="7" t="s">
        <v>216</v>
      </c>
      <c r="H105" s="7" t="s">
        <v>619</v>
      </c>
      <c r="I105" s="10">
        <f t="shared" si="2"/>
        <v>46143</v>
      </c>
      <c r="J105" t="str">
        <f t="shared" si="3"/>
        <v>Personal - Food</v>
      </c>
    </row>
    <row r="106" spans="1:10" ht="60" customHeight="1" x14ac:dyDescent="0.25">
      <c r="A106" s="8" t="s">
        <v>210</v>
      </c>
      <c r="B106" s="8" t="s">
        <v>218</v>
      </c>
      <c r="C106" s="8" t="s">
        <v>4</v>
      </c>
      <c r="D106" s="8" t="s">
        <v>17</v>
      </c>
      <c r="E106" s="6">
        <v>30.18</v>
      </c>
      <c r="F106" s="8" t="s">
        <v>219</v>
      </c>
      <c r="G106" s="8" t="s">
        <v>218</v>
      </c>
      <c r="H106" s="8" t="s">
        <v>618</v>
      </c>
      <c r="I106" s="10">
        <f t="shared" si="2"/>
        <v>46143</v>
      </c>
      <c r="J106" t="str">
        <f t="shared" si="3"/>
        <v>Personal</v>
      </c>
    </row>
    <row r="107" spans="1:10" ht="60" customHeight="1" x14ac:dyDescent="0.25">
      <c r="A107" s="7" t="s">
        <v>220</v>
      </c>
      <c r="B107" s="7" t="s">
        <v>221</v>
      </c>
      <c r="C107" s="7" t="s">
        <v>4</v>
      </c>
      <c r="D107" s="7" t="s">
        <v>17</v>
      </c>
      <c r="E107" s="5">
        <v>25</v>
      </c>
      <c r="F107" s="7" t="s">
        <v>222</v>
      </c>
      <c r="G107" s="7" t="s">
        <v>221</v>
      </c>
      <c r="H107" s="7" t="s">
        <v>622</v>
      </c>
      <c r="I107" s="10">
        <f t="shared" si="2"/>
        <v>46143</v>
      </c>
      <c r="J107" t="str">
        <f t="shared" si="3"/>
        <v>Personal - Car</v>
      </c>
    </row>
    <row r="108" spans="1:10" ht="60" customHeight="1" x14ac:dyDescent="0.25">
      <c r="A108" s="8" t="s">
        <v>220</v>
      </c>
      <c r="B108" s="8" t="s">
        <v>194</v>
      </c>
      <c r="C108" s="8" t="s">
        <v>4</v>
      </c>
      <c r="D108" s="8" t="s">
        <v>17</v>
      </c>
      <c r="E108" s="6">
        <v>135.35</v>
      </c>
      <c r="F108" s="8" t="s">
        <v>223</v>
      </c>
      <c r="G108" s="8" t="s">
        <v>194</v>
      </c>
      <c r="H108" s="8" t="s">
        <v>619</v>
      </c>
      <c r="I108" s="10">
        <f t="shared" si="2"/>
        <v>46143</v>
      </c>
      <c r="J108" t="str">
        <f t="shared" si="3"/>
        <v>Personal - Food</v>
      </c>
    </row>
    <row r="109" spans="1:10" ht="60" customHeight="1" x14ac:dyDescent="0.25">
      <c r="A109" s="7" t="s">
        <v>220</v>
      </c>
      <c r="B109" s="7" t="s">
        <v>163</v>
      </c>
      <c r="C109" s="7" t="s">
        <v>4</v>
      </c>
      <c r="D109" s="7" t="s">
        <v>17</v>
      </c>
      <c r="E109" s="5">
        <v>155</v>
      </c>
      <c r="F109" s="7" t="s">
        <v>224</v>
      </c>
      <c r="G109" s="7" t="s">
        <v>163</v>
      </c>
      <c r="H109" s="7" t="s">
        <v>621</v>
      </c>
      <c r="I109" s="10">
        <f t="shared" si="2"/>
        <v>46143</v>
      </c>
      <c r="J109" t="str">
        <f t="shared" si="3"/>
        <v>Personal - Health</v>
      </c>
    </row>
    <row r="110" spans="1:10" ht="60" customHeight="1" x14ac:dyDescent="0.25">
      <c r="A110" s="8" t="s">
        <v>220</v>
      </c>
      <c r="B110" s="8" t="s">
        <v>225</v>
      </c>
      <c r="C110" s="8" t="s">
        <v>4</v>
      </c>
      <c r="D110" s="8" t="s">
        <v>17</v>
      </c>
      <c r="E110" s="6">
        <v>131.01</v>
      </c>
      <c r="F110" s="8" t="s">
        <v>226</v>
      </c>
      <c r="G110" s="8" t="s">
        <v>225</v>
      </c>
      <c r="H110" s="8" t="s">
        <v>622</v>
      </c>
      <c r="I110" s="10">
        <f t="shared" si="2"/>
        <v>46143</v>
      </c>
      <c r="J110" t="str">
        <f t="shared" si="3"/>
        <v>Personal - Car</v>
      </c>
    </row>
    <row r="111" spans="1:10" ht="60" customHeight="1" x14ac:dyDescent="0.25">
      <c r="A111" s="7" t="s">
        <v>220</v>
      </c>
      <c r="B111" s="7" t="s">
        <v>227</v>
      </c>
      <c r="C111" s="7" t="s">
        <v>4</v>
      </c>
      <c r="D111" s="7" t="s">
        <v>17</v>
      </c>
      <c r="E111" s="5">
        <v>131.69999999999999</v>
      </c>
      <c r="F111" s="7" t="s">
        <v>228</v>
      </c>
      <c r="G111" s="7" t="s">
        <v>227</v>
      </c>
      <c r="H111" s="7" t="s">
        <v>632</v>
      </c>
      <c r="I111" s="10">
        <f t="shared" si="2"/>
        <v>46143</v>
      </c>
      <c r="J111" t="str">
        <f t="shared" si="3"/>
        <v>Personal - Clothing</v>
      </c>
    </row>
    <row r="112" spans="1:10" ht="60" customHeight="1" x14ac:dyDescent="0.25">
      <c r="A112" s="8" t="s">
        <v>220</v>
      </c>
      <c r="B112" s="8" t="s">
        <v>229</v>
      </c>
      <c r="C112" s="8" t="s">
        <v>4</v>
      </c>
      <c r="D112" s="8" t="s">
        <v>17</v>
      </c>
      <c r="E112" s="6">
        <v>19.55</v>
      </c>
      <c r="F112" s="8" t="s">
        <v>230</v>
      </c>
      <c r="G112" s="8" t="s">
        <v>229</v>
      </c>
      <c r="H112" s="8" t="s">
        <v>619</v>
      </c>
      <c r="I112" s="10">
        <f t="shared" si="2"/>
        <v>46143</v>
      </c>
      <c r="J112" t="str">
        <f t="shared" si="3"/>
        <v>Personal - Food</v>
      </c>
    </row>
    <row r="113" spans="1:10" ht="60" customHeight="1" x14ac:dyDescent="0.25">
      <c r="A113" s="7" t="s">
        <v>231</v>
      </c>
      <c r="B113" s="7" t="s">
        <v>232</v>
      </c>
      <c r="C113" s="7" t="s">
        <v>4</v>
      </c>
      <c r="D113" s="7" t="s">
        <v>17</v>
      </c>
      <c r="E113" s="5">
        <v>-350</v>
      </c>
      <c r="F113" s="7" t="s">
        <v>233</v>
      </c>
      <c r="G113" s="7" t="s">
        <v>232</v>
      </c>
      <c r="H113" s="7" t="s">
        <v>232</v>
      </c>
      <c r="I113" s="10">
        <f t="shared" si="2"/>
        <v>46143</v>
      </c>
      <c r="J113" t="str">
        <f t="shared" si="3"/>
        <v>AMEX TRAVEL PAY WITH POINTS CREDIT</v>
      </c>
    </row>
    <row r="114" spans="1:10" ht="60" customHeight="1" x14ac:dyDescent="0.25">
      <c r="A114" s="8" t="s">
        <v>234</v>
      </c>
      <c r="B114" s="8" t="s">
        <v>235</v>
      </c>
      <c r="C114" s="8" t="s">
        <v>4</v>
      </c>
      <c r="D114" s="8" t="s">
        <v>17</v>
      </c>
      <c r="E114" s="6">
        <v>463.4</v>
      </c>
      <c r="F114" s="8" t="s">
        <v>236</v>
      </c>
      <c r="G114" s="8" t="s">
        <v>235</v>
      </c>
      <c r="H114" s="8" t="s">
        <v>624</v>
      </c>
      <c r="I114" s="10">
        <f t="shared" si="2"/>
        <v>46143</v>
      </c>
      <c r="J114" t="str">
        <f t="shared" si="3"/>
        <v>Team Travel</v>
      </c>
    </row>
    <row r="115" spans="1:10" ht="60" customHeight="1" x14ac:dyDescent="0.25">
      <c r="A115" s="7" t="s">
        <v>237</v>
      </c>
      <c r="B115" s="7" t="s">
        <v>238</v>
      </c>
      <c r="C115" s="7" t="s">
        <v>4</v>
      </c>
      <c r="D115" s="7" t="s">
        <v>17</v>
      </c>
      <c r="E115" s="5">
        <v>144.91999999999999</v>
      </c>
      <c r="F115" s="7" t="s">
        <v>239</v>
      </c>
      <c r="G115" s="7" t="s">
        <v>238</v>
      </c>
      <c r="H115" s="7" t="s">
        <v>620</v>
      </c>
      <c r="I115" s="10">
        <f t="shared" si="2"/>
        <v>46143</v>
      </c>
      <c r="J115" t="str">
        <f t="shared" si="3"/>
        <v>Personal - House</v>
      </c>
    </row>
    <row r="116" spans="1:10" ht="60" customHeight="1" x14ac:dyDescent="0.25">
      <c r="A116" s="8" t="s">
        <v>237</v>
      </c>
      <c r="B116" s="8" t="s">
        <v>206</v>
      </c>
      <c r="C116" s="8" t="s">
        <v>4</v>
      </c>
      <c r="D116" s="8" t="s">
        <v>17</v>
      </c>
      <c r="E116" s="6">
        <v>25.16</v>
      </c>
      <c r="F116" s="8" t="s">
        <v>240</v>
      </c>
      <c r="G116" s="8" t="s">
        <v>206</v>
      </c>
      <c r="H116" s="8" t="s">
        <v>634</v>
      </c>
      <c r="I116" s="10">
        <f t="shared" si="2"/>
        <v>46143</v>
      </c>
      <c r="J116" t="str">
        <f t="shared" si="3"/>
        <v>Judd &amp; Angela - Portugal</v>
      </c>
    </row>
    <row r="117" spans="1:10" ht="60" customHeight="1" x14ac:dyDescent="0.25">
      <c r="A117" s="7" t="s">
        <v>241</v>
      </c>
      <c r="B117" s="7" t="s">
        <v>238</v>
      </c>
      <c r="C117" s="7" t="s">
        <v>4</v>
      </c>
      <c r="D117" s="7" t="s">
        <v>17</v>
      </c>
      <c r="E117" s="5">
        <v>425.2</v>
      </c>
      <c r="F117" s="7" t="s">
        <v>242</v>
      </c>
      <c r="G117" s="7" t="s">
        <v>238</v>
      </c>
      <c r="H117" s="7" t="s">
        <v>620</v>
      </c>
      <c r="I117" s="10">
        <f t="shared" si="2"/>
        <v>46143</v>
      </c>
      <c r="J117" t="str">
        <f t="shared" si="3"/>
        <v>Personal - House</v>
      </c>
    </row>
    <row r="118" spans="1:10" ht="60" customHeight="1" x14ac:dyDescent="0.25">
      <c r="A118" s="8" t="s">
        <v>241</v>
      </c>
      <c r="B118" s="8" t="s">
        <v>171</v>
      </c>
      <c r="C118" s="8" t="s">
        <v>4</v>
      </c>
      <c r="D118" s="8" t="s">
        <v>17</v>
      </c>
      <c r="E118" s="6">
        <v>189.96</v>
      </c>
      <c r="F118" s="8" t="s">
        <v>243</v>
      </c>
      <c r="G118" s="8" t="s">
        <v>171</v>
      </c>
      <c r="H118" s="8" t="s">
        <v>619</v>
      </c>
      <c r="I118" s="10">
        <f t="shared" si="2"/>
        <v>46143</v>
      </c>
      <c r="J118" t="str">
        <f t="shared" si="3"/>
        <v>Personal - Food</v>
      </c>
    </row>
    <row r="119" spans="1:10" ht="60" customHeight="1" x14ac:dyDescent="0.25">
      <c r="A119" s="7" t="s">
        <v>244</v>
      </c>
      <c r="B119" s="7" t="s">
        <v>245</v>
      </c>
      <c r="C119" s="7" t="s">
        <v>4</v>
      </c>
      <c r="D119" s="7" t="s">
        <v>17</v>
      </c>
      <c r="E119" s="5">
        <v>10.06</v>
      </c>
      <c r="F119" s="7" t="s">
        <v>246</v>
      </c>
      <c r="G119" s="7" t="s">
        <v>245</v>
      </c>
      <c r="H119" s="8" t="s">
        <v>619</v>
      </c>
      <c r="I119" s="10">
        <f t="shared" si="2"/>
        <v>46113</v>
      </c>
      <c r="J119" t="str">
        <f t="shared" si="3"/>
        <v>Personal - Food</v>
      </c>
    </row>
    <row r="120" spans="1:10" ht="60" customHeight="1" x14ac:dyDescent="0.25">
      <c r="A120" s="8" t="s">
        <v>247</v>
      </c>
      <c r="B120" s="8" t="s">
        <v>248</v>
      </c>
      <c r="C120" s="8" t="s">
        <v>4</v>
      </c>
      <c r="D120" s="8" t="s">
        <v>17</v>
      </c>
      <c r="E120" s="6">
        <v>109.21</v>
      </c>
      <c r="F120" s="8" t="s">
        <v>249</v>
      </c>
      <c r="G120" s="8" t="s">
        <v>248</v>
      </c>
      <c r="H120" s="8" t="s">
        <v>619</v>
      </c>
      <c r="I120" s="10">
        <f t="shared" si="2"/>
        <v>46113</v>
      </c>
      <c r="J120" t="str">
        <f t="shared" si="3"/>
        <v>Personal - Food</v>
      </c>
    </row>
    <row r="121" spans="1:10" ht="60" customHeight="1" x14ac:dyDescent="0.25">
      <c r="A121" s="7" t="s">
        <v>250</v>
      </c>
      <c r="B121" s="7" t="s">
        <v>163</v>
      </c>
      <c r="C121" s="7" t="s">
        <v>4</v>
      </c>
      <c r="D121" s="7" t="s">
        <v>17</v>
      </c>
      <c r="E121" s="5">
        <v>150</v>
      </c>
      <c r="F121" s="7" t="s">
        <v>251</v>
      </c>
      <c r="G121" s="7" t="s">
        <v>163</v>
      </c>
      <c r="H121" s="7" t="s">
        <v>621</v>
      </c>
      <c r="I121" s="10">
        <f t="shared" si="2"/>
        <v>46113</v>
      </c>
      <c r="J121" t="str">
        <f t="shared" si="3"/>
        <v>Personal - Health</v>
      </c>
    </row>
    <row r="122" spans="1:10" ht="60" customHeight="1" x14ac:dyDescent="0.25">
      <c r="A122" s="8" t="s">
        <v>250</v>
      </c>
      <c r="B122" s="8" t="s">
        <v>252</v>
      </c>
      <c r="C122" s="8" t="s">
        <v>4</v>
      </c>
      <c r="D122" s="8" t="s">
        <v>17</v>
      </c>
      <c r="E122" s="6">
        <v>146.57</v>
      </c>
      <c r="F122" s="8" t="s">
        <v>253</v>
      </c>
      <c r="G122" s="8" t="s">
        <v>252</v>
      </c>
      <c r="H122" s="8" t="s">
        <v>619</v>
      </c>
      <c r="I122" s="10">
        <f t="shared" si="2"/>
        <v>46113</v>
      </c>
      <c r="J122" t="str">
        <f t="shared" si="3"/>
        <v>Personal - Food</v>
      </c>
    </row>
    <row r="123" spans="1:10" ht="60" customHeight="1" x14ac:dyDescent="0.25">
      <c r="A123" s="7" t="s">
        <v>250</v>
      </c>
      <c r="B123" s="7" t="s">
        <v>254</v>
      </c>
      <c r="C123" s="7" t="s">
        <v>4</v>
      </c>
      <c r="D123" s="7" t="s">
        <v>17</v>
      </c>
      <c r="E123" s="5">
        <v>114.1</v>
      </c>
      <c r="F123" s="7" t="s">
        <v>255</v>
      </c>
      <c r="G123" s="7" t="s">
        <v>254</v>
      </c>
      <c r="H123" s="7" t="s">
        <v>619</v>
      </c>
      <c r="I123" s="10">
        <f t="shared" si="2"/>
        <v>46113</v>
      </c>
      <c r="J123" t="str">
        <f t="shared" si="3"/>
        <v>Personal - Food</v>
      </c>
    </row>
    <row r="124" spans="1:10" ht="60" customHeight="1" x14ac:dyDescent="0.25">
      <c r="A124" s="8" t="s">
        <v>256</v>
      </c>
      <c r="B124" s="8" t="s">
        <v>118</v>
      </c>
      <c r="C124" s="8" t="s">
        <v>4</v>
      </c>
      <c r="D124" s="8" t="s">
        <v>17</v>
      </c>
      <c r="E124" s="6">
        <v>-2586.23</v>
      </c>
      <c r="F124" s="8" t="s">
        <v>119</v>
      </c>
      <c r="G124" s="8" t="s">
        <v>118</v>
      </c>
      <c r="H124" s="8" t="s">
        <v>626</v>
      </c>
      <c r="I124" s="10">
        <f t="shared" si="2"/>
        <v>46113</v>
      </c>
      <c r="J124" t="str">
        <f t="shared" si="3"/>
        <v>Online AMEX Payment</v>
      </c>
    </row>
    <row r="125" spans="1:10" ht="60" customHeight="1" x14ac:dyDescent="0.25">
      <c r="A125" s="7" t="s">
        <v>257</v>
      </c>
      <c r="B125" s="7" t="s">
        <v>248</v>
      </c>
      <c r="C125" s="7" t="s">
        <v>4</v>
      </c>
      <c r="D125" s="7" t="s">
        <v>17</v>
      </c>
      <c r="E125" s="5">
        <v>222.85</v>
      </c>
      <c r="F125" s="7" t="s">
        <v>258</v>
      </c>
      <c r="G125" s="7" t="s">
        <v>248</v>
      </c>
      <c r="H125" s="7" t="s">
        <v>619</v>
      </c>
      <c r="I125" s="10">
        <f t="shared" si="2"/>
        <v>46113</v>
      </c>
      <c r="J125" t="str">
        <f t="shared" si="3"/>
        <v>Personal - Food</v>
      </c>
    </row>
    <row r="126" spans="1:10" ht="60" customHeight="1" x14ac:dyDescent="0.25">
      <c r="A126" s="8" t="s">
        <v>257</v>
      </c>
      <c r="B126" s="8" t="s">
        <v>168</v>
      </c>
      <c r="C126" s="8" t="s">
        <v>4</v>
      </c>
      <c r="D126" s="8" t="s">
        <v>17</v>
      </c>
      <c r="E126" s="6">
        <v>67.2</v>
      </c>
      <c r="F126" s="8" t="s">
        <v>259</v>
      </c>
      <c r="G126" s="8" t="s">
        <v>168</v>
      </c>
      <c r="H126" s="8" t="s">
        <v>619</v>
      </c>
      <c r="I126" s="10">
        <f t="shared" si="2"/>
        <v>46113</v>
      </c>
      <c r="J126" t="str">
        <f t="shared" si="3"/>
        <v>Personal - Food</v>
      </c>
    </row>
    <row r="127" spans="1:10" ht="60" customHeight="1" x14ac:dyDescent="0.25">
      <c r="A127" s="7" t="s">
        <v>260</v>
      </c>
      <c r="B127" s="7" t="s">
        <v>227</v>
      </c>
      <c r="C127" s="7" t="s">
        <v>4</v>
      </c>
      <c r="D127" s="7" t="s">
        <v>17</v>
      </c>
      <c r="E127" s="5">
        <v>49.39</v>
      </c>
      <c r="F127" s="7" t="s">
        <v>261</v>
      </c>
      <c r="G127" s="7" t="s">
        <v>227</v>
      </c>
      <c r="H127" s="7" t="s">
        <v>632</v>
      </c>
      <c r="I127" s="10">
        <f t="shared" si="2"/>
        <v>46113</v>
      </c>
      <c r="J127" t="str">
        <f t="shared" si="3"/>
        <v>Personal - Clothing</v>
      </c>
    </row>
    <row r="128" spans="1:10" ht="60" customHeight="1" x14ac:dyDescent="0.25">
      <c r="A128" s="8" t="s">
        <v>260</v>
      </c>
      <c r="B128" s="8" t="s">
        <v>262</v>
      </c>
      <c r="C128" s="8" t="s">
        <v>4</v>
      </c>
      <c r="D128" s="8" t="s">
        <v>17</v>
      </c>
      <c r="E128" s="6">
        <v>72.77</v>
      </c>
      <c r="F128" s="8" t="s">
        <v>263</v>
      </c>
      <c r="G128" s="8" t="s">
        <v>262</v>
      </c>
      <c r="H128" s="8" t="s">
        <v>632</v>
      </c>
      <c r="I128" s="10">
        <f t="shared" si="2"/>
        <v>46113</v>
      </c>
      <c r="J128" t="str">
        <f t="shared" si="3"/>
        <v>Personal - Clothing</v>
      </c>
    </row>
    <row r="129" spans="1:10" ht="60" customHeight="1" x14ac:dyDescent="0.25">
      <c r="A129" s="7" t="s">
        <v>264</v>
      </c>
      <c r="B129" s="7" t="s">
        <v>265</v>
      </c>
      <c r="C129" s="7" t="s">
        <v>4</v>
      </c>
      <c r="D129" s="7" t="s">
        <v>17</v>
      </c>
      <c r="E129" s="5">
        <v>98.99</v>
      </c>
      <c r="F129" s="7" t="s">
        <v>266</v>
      </c>
      <c r="G129" s="7" t="s">
        <v>265</v>
      </c>
      <c r="H129" s="7" t="s">
        <v>619</v>
      </c>
      <c r="I129" s="10">
        <f t="shared" si="2"/>
        <v>46113</v>
      </c>
      <c r="J129" t="str">
        <f t="shared" si="3"/>
        <v>Personal - Food</v>
      </c>
    </row>
    <row r="130" spans="1:10" ht="60" customHeight="1" x14ac:dyDescent="0.25">
      <c r="A130" s="8" t="s">
        <v>264</v>
      </c>
      <c r="B130" s="8" t="s">
        <v>238</v>
      </c>
      <c r="C130" s="8" t="s">
        <v>4</v>
      </c>
      <c r="D130" s="8" t="s">
        <v>17</v>
      </c>
      <c r="E130" s="6">
        <v>241.96</v>
      </c>
      <c r="F130" s="8" t="s">
        <v>267</v>
      </c>
      <c r="G130" s="8" t="s">
        <v>238</v>
      </c>
      <c r="H130" s="8" t="s">
        <v>620</v>
      </c>
      <c r="I130" s="10">
        <f t="shared" si="2"/>
        <v>46113</v>
      </c>
      <c r="J130" t="str">
        <f t="shared" si="3"/>
        <v>Personal - House</v>
      </c>
    </row>
    <row r="131" spans="1:10" ht="60" customHeight="1" x14ac:dyDescent="0.25">
      <c r="A131" s="7" t="s">
        <v>264</v>
      </c>
      <c r="B131" s="7" t="s">
        <v>248</v>
      </c>
      <c r="C131" s="7" t="s">
        <v>4</v>
      </c>
      <c r="D131" s="7" t="s">
        <v>17</v>
      </c>
      <c r="E131" s="5">
        <v>76.5</v>
      </c>
      <c r="F131" s="7" t="s">
        <v>268</v>
      </c>
      <c r="G131" s="7" t="s">
        <v>248</v>
      </c>
      <c r="H131" s="7" t="s">
        <v>619</v>
      </c>
      <c r="I131" s="10">
        <f t="shared" si="2"/>
        <v>46113</v>
      </c>
      <c r="J131" t="str">
        <f t="shared" si="3"/>
        <v>Personal - Food</v>
      </c>
    </row>
    <row r="132" spans="1:10" ht="60" customHeight="1" x14ac:dyDescent="0.25">
      <c r="A132" s="8" t="s">
        <v>269</v>
      </c>
      <c r="B132" s="8" t="s">
        <v>270</v>
      </c>
      <c r="C132" s="8" t="s">
        <v>4</v>
      </c>
      <c r="D132" s="8" t="s">
        <v>17</v>
      </c>
      <c r="E132" s="6">
        <v>67.14</v>
      </c>
      <c r="F132" s="8" t="s">
        <v>271</v>
      </c>
      <c r="G132" s="8" t="s">
        <v>270</v>
      </c>
      <c r="H132" s="8" t="s">
        <v>619</v>
      </c>
      <c r="I132" s="10">
        <f t="shared" si="2"/>
        <v>46113</v>
      </c>
      <c r="J132" t="str">
        <f t="shared" si="3"/>
        <v>Personal - Food</v>
      </c>
    </row>
    <row r="133" spans="1:10" ht="60" customHeight="1" x14ac:dyDescent="0.25">
      <c r="A133" s="7" t="s">
        <v>269</v>
      </c>
      <c r="B133" s="7" t="s">
        <v>272</v>
      </c>
      <c r="C133" s="7" t="s">
        <v>4</v>
      </c>
      <c r="D133" s="7" t="s">
        <v>17</v>
      </c>
      <c r="E133" s="5">
        <v>35</v>
      </c>
      <c r="F133" s="7" t="s">
        <v>273</v>
      </c>
      <c r="G133" s="7" t="s">
        <v>272</v>
      </c>
      <c r="H133" s="7" t="s">
        <v>635</v>
      </c>
      <c r="I133" s="10">
        <f t="shared" si="2"/>
        <v>46113</v>
      </c>
      <c r="J133" t="str">
        <f t="shared" si="3"/>
        <v>DWG Business Development</v>
      </c>
    </row>
    <row r="134" spans="1:10" ht="60" customHeight="1" x14ac:dyDescent="0.25">
      <c r="A134" s="8" t="s">
        <v>274</v>
      </c>
      <c r="B134" s="8" t="s">
        <v>143</v>
      </c>
      <c r="C134" s="8" t="s">
        <v>4</v>
      </c>
      <c r="D134" s="8" t="s">
        <v>17</v>
      </c>
      <c r="E134" s="6">
        <v>56.17</v>
      </c>
      <c r="F134" s="8" t="s">
        <v>275</v>
      </c>
      <c r="G134" s="8" t="s">
        <v>143</v>
      </c>
      <c r="H134" s="8" t="s">
        <v>619</v>
      </c>
      <c r="I134" s="10">
        <f t="shared" si="2"/>
        <v>46113</v>
      </c>
      <c r="J134" t="str">
        <f t="shared" si="3"/>
        <v>Personal - Food</v>
      </c>
    </row>
    <row r="135" spans="1:10" ht="60" customHeight="1" x14ac:dyDescent="0.25">
      <c r="A135" s="7" t="s">
        <v>276</v>
      </c>
      <c r="B135" s="7" t="s">
        <v>277</v>
      </c>
      <c r="C135" s="7" t="s">
        <v>4</v>
      </c>
      <c r="D135" s="7" t="s">
        <v>17</v>
      </c>
      <c r="E135" s="5">
        <v>1050</v>
      </c>
      <c r="F135" s="7" t="s">
        <v>278</v>
      </c>
      <c r="G135" s="7" t="s">
        <v>277</v>
      </c>
      <c r="H135" s="7" t="s">
        <v>621</v>
      </c>
      <c r="I135" s="10">
        <f t="shared" si="2"/>
        <v>46113</v>
      </c>
      <c r="J135" t="str">
        <f t="shared" si="3"/>
        <v>Personal - Health</v>
      </c>
    </row>
    <row r="136" spans="1:10" ht="60" customHeight="1" x14ac:dyDescent="0.25">
      <c r="A136" s="8" t="s">
        <v>276</v>
      </c>
      <c r="B136" s="8" t="s">
        <v>279</v>
      </c>
      <c r="C136" s="8" t="s">
        <v>4</v>
      </c>
      <c r="D136" s="8" t="s">
        <v>17</v>
      </c>
      <c r="E136" s="6">
        <v>358.09</v>
      </c>
      <c r="F136" s="8" t="s">
        <v>280</v>
      </c>
      <c r="G136" s="8" t="s">
        <v>279</v>
      </c>
      <c r="H136" s="8" t="s">
        <v>636</v>
      </c>
      <c r="I136" s="10">
        <f t="shared" si="2"/>
        <v>46113</v>
      </c>
      <c r="J136" t="str">
        <f t="shared" si="3"/>
        <v>Personal - House</v>
      </c>
    </row>
    <row r="137" spans="1:10" ht="60" customHeight="1" x14ac:dyDescent="0.25">
      <c r="A137" s="7" t="s">
        <v>281</v>
      </c>
      <c r="B137" s="7" t="s">
        <v>282</v>
      </c>
      <c r="C137" s="7" t="s">
        <v>4</v>
      </c>
      <c r="D137" s="7" t="s">
        <v>17</v>
      </c>
      <c r="E137" s="5">
        <v>17.079999999999998</v>
      </c>
      <c r="F137" s="7" t="s">
        <v>283</v>
      </c>
      <c r="G137" s="7" t="s">
        <v>282</v>
      </c>
      <c r="H137" s="7" t="s">
        <v>625</v>
      </c>
      <c r="I137" s="10">
        <f t="shared" ref="I137:I200" si="4">DATE(RIGHT(A137,4)+0,LEFT(A137,2)+0,1)</f>
        <v>46113</v>
      </c>
      <c r="J137" t="str">
        <f t="shared" ref="J137:J200" si="5">IF(TRIM(H137)="","(Uncategorized)",TRIM(H137))</f>
        <v>Personal - Entertainment</v>
      </c>
    </row>
    <row r="138" spans="1:10" ht="60" customHeight="1" x14ac:dyDescent="0.25">
      <c r="A138" s="8" t="s">
        <v>281</v>
      </c>
      <c r="B138" s="8" t="s">
        <v>284</v>
      </c>
      <c r="C138" s="8" t="s">
        <v>4</v>
      </c>
      <c r="D138" s="8" t="s">
        <v>17</v>
      </c>
      <c r="E138" s="6">
        <v>7.97</v>
      </c>
      <c r="F138" s="8" t="s">
        <v>285</v>
      </c>
      <c r="G138" s="8" t="s">
        <v>284</v>
      </c>
      <c r="H138" s="8" t="s">
        <v>619</v>
      </c>
      <c r="I138" s="10">
        <f t="shared" si="4"/>
        <v>46113</v>
      </c>
      <c r="J138" t="str">
        <f t="shared" si="5"/>
        <v>Personal - Food</v>
      </c>
    </row>
    <row r="139" spans="1:10" ht="60" customHeight="1" x14ac:dyDescent="0.25">
      <c r="A139" s="7" t="s">
        <v>281</v>
      </c>
      <c r="B139" s="7" t="s">
        <v>284</v>
      </c>
      <c r="C139" s="7" t="s">
        <v>4</v>
      </c>
      <c r="D139" s="7" t="s">
        <v>17</v>
      </c>
      <c r="E139" s="5">
        <v>10.32</v>
      </c>
      <c r="F139" s="7" t="s">
        <v>286</v>
      </c>
      <c r="G139" s="7" t="s">
        <v>284</v>
      </c>
      <c r="H139" s="7" t="s">
        <v>619</v>
      </c>
      <c r="I139" s="10">
        <f t="shared" si="4"/>
        <v>46113</v>
      </c>
      <c r="J139" t="str">
        <f t="shared" si="5"/>
        <v>Personal - Food</v>
      </c>
    </row>
    <row r="140" spans="1:10" ht="60" customHeight="1" x14ac:dyDescent="0.25">
      <c r="A140" s="8" t="s">
        <v>281</v>
      </c>
      <c r="B140" s="8" t="s">
        <v>248</v>
      </c>
      <c r="C140" s="8" t="s">
        <v>4</v>
      </c>
      <c r="D140" s="8" t="s">
        <v>17</v>
      </c>
      <c r="E140" s="6">
        <v>90.72</v>
      </c>
      <c r="F140" s="8" t="s">
        <v>287</v>
      </c>
      <c r="G140" s="8" t="s">
        <v>248</v>
      </c>
      <c r="H140" s="8" t="s">
        <v>619</v>
      </c>
      <c r="I140" s="10">
        <f t="shared" si="4"/>
        <v>46113</v>
      </c>
      <c r="J140" t="str">
        <f t="shared" si="5"/>
        <v>Personal - Food</v>
      </c>
    </row>
    <row r="141" spans="1:10" ht="60" customHeight="1" x14ac:dyDescent="0.25">
      <c r="A141" s="7" t="s">
        <v>288</v>
      </c>
      <c r="B141" s="7" t="s">
        <v>289</v>
      </c>
      <c r="C141" s="7" t="s">
        <v>4</v>
      </c>
      <c r="D141" s="7" t="s">
        <v>17</v>
      </c>
      <c r="E141" s="5">
        <v>79.58</v>
      </c>
      <c r="F141" s="7" t="s">
        <v>290</v>
      </c>
      <c r="G141" s="7" t="s">
        <v>289</v>
      </c>
      <c r="H141" s="7" t="s">
        <v>634</v>
      </c>
      <c r="I141" s="10">
        <f t="shared" si="4"/>
        <v>46113</v>
      </c>
      <c r="J141" t="str">
        <f t="shared" si="5"/>
        <v>Judd &amp; Angela - Portugal</v>
      </c>
    </row>
    <row r="142" spans="1:10" ht="60" customHeight="1" x14ac:dyDescent="0.25">
      <c r="A142" s="8" t="s">
        <v>288</v>
      </c>
      <c r="B142" s="8" t="s">
        <v>171</v>
      </c>
      <c r="C142" s="8" t="s">
        <v>4</v>
      </c>
      <c r="D142" s="8" t="s">
        <v>17</v>
      </c>
      <c r="E142" s="6">
        <v>100</v>
      </c>
      <c r="F142" s="8" t="s">
        <v>291</v>
      </c>
      <c r="G142" s="8" t="s">
        <v>171</v>
      </c>
      <c r="H142" s="8" t="s">
        <v>619</v>
      </c>
      <c r="I142" s="10">
        <f t="shared" si="4"/>
        <v>46113</v>
      </c>
      <c r="J142" t="str">
        <f t="shared" si="5"/>
        <v>Personal - Food</v>
      </c>
    </row>
    <row r="143" spans="1:10" ht="60" customHeight="1" x14ac:dyDescent="0.25">
      <c r="A143" s="7" t="s">
        <v>288</v>
      </c>
      <c r="B143" s="7" t="s">
        <v>292</v>
      </c>
      <c r="C143" s="7" t="s">
        <v>4</v>
      </c>
      <c r="D143" s="7" t="s">
        <v>17</v>
      </c>
      <c r="E143" s="5">
        <v>29.52</v>
      </c>
      <c r="F143" s="7" t="s">
        <v>293</v>
      </c>
      <c r="G143" s="7" t="s">
        <v>292</v>
      </c>
      <c r="H143" s="7" t="s">
        <v>619</v>
      </c>
      <c r="I143" s="10">
        <f t="shared" si="4"/>
        <v>46113</v>
      </c>
      <c r="J143" t="str">
        <f t="shared" si="5"/>
        <v>Personal - Food</v>
      </c>
    </row>
    <row r="144" spans="1:10" ht="60" customHeight="1" x14ac:dyDescent="0.25">
      <c r="A144" s="8" t="s">
        <v>288</v>
      </c>
      <c r="B144" s="8" t="s">
        <v>294</v>
      </c>
      <c r="C144" s="8" t="s">
        <v>4</v>
      </c>
      <c r="D144" s="8" t="s">
        <v>17</v>
      </c>
      <c r="E144" s="6">
        <v>212.53</v>
      </c>
      <c r="F144" s="8" t="s">
        <v>295</v>
      </c>
      <c r="G144" s="8" t="s">
        <v>294</v>
      </c>
      <c r="H144" s="8" t="s">
        <v>634</v>
      </c>
      <c r="I144" s="10">
        <f t="shared" si="4"/>
        <v>46113</v>
      </c>
      <c r="J144" t="str">
        <f t="shared" si="5"/>
        <v>Judd &amp; Angela - Portugal</v>
      </c>
    </row>
    <row r="145" spans="1:10" ht="60" customHeight="1" x14ac:dyDescent="0.25">
      <c r="A145" s="7" t="s">
        <v>288</v>
      </c>
      <c r="B145" s="7" t="s">
        <v>296</v>
      </c>
      <c r="C145" s="7" t="s">
        <v>4</v>
      </c>
      <c r="D145" s="7" t="s">
        <v>17</v>
      </c>
      <c r="E145" s="5">
        <v>821.77</v>
      </c>
      <c r="F145" s="7" t="s">
        <v>297</v>
      </c>
      <c r="G145" s="7" t="s">
        <v>296</v>
      </c>
      <c r="H145" s="7" t="s">
        <v>634</v>
      </c>
      <c r="I145" s="10">
        <f t="shared" si="4"/>
        <v>46113</v>
      </c>
      <c r="J145" t="str">
        <f t="shared" si="5"/>
        <v>Judd &amp; Angela - Portugal</v>
      </c>
    </row>
    <row r="146" spans="1:10" ht="60" customHeight="1" x14ac:dyDescent="0.25">
      <c r="A146" s="8" t="s">
        <v>298</v>
      </c>
      <c r="B146" s="8" t="s">
        <v>299</v>
      </c>
      <c r="C146" s="8" t="s">
        <v>4</v>
      </c>
      <c r="D146" s="8" t="s">
        <v>17</v>
      </c>
      <c r="E146" s="6">
        <v>100.99</v>
      </c>
      <c r="F146" s="8" t="s">
        <v>300</v>
      </c>
      <c r="G146" s="8" t="s">
        <v>299</v>
      </c>
      <c r="H146" s="8" t="s">
        <v>634</v>
      </c>
      <c r="I146" s="10">
        <f t="shared" si="4"/>
        <v>46113</v>
      </c>
      <c r="J146" t="str">
        <f t="shared" si="5"/>
        <v>Judd &amp; Angela - Portugal</v>
      </c>
    </row>
    <row r="147" spans="1:10" ht="60" customHeight="1" x14ac:dyDescent="0.25">
      <c r="A147" s="7" t="s">
        <v>301</v>
      </c>
      <c r="B147" s="7" t="s">
        <v>289</v>
      </c>
      <c r="C147" s="7" t="s">
        <v>4</v>
      </c>
      <c r="D147" s="7" t="s">
        <v>17</v>
      </c>
      <c r="E147" s="5">
        <v>31.11</v>
      </c>
      <c r="F147" s="7" t="s">
        <v>302</v>
      </c>
      <c r="G147" s="7" t="s">
        <v>289</v>
      </c>
      <c r="H147" s="7" t="s">
        <v>634</v>
      </c>
      <c r="I147" s="10">
        <f t="shared" si="4"/>
        <v>46113</v>
      </c>
      <c r="J147" t="str">
        <f t="shared" si="5"/>
        <v>Judd &amp; Angela - Portugal</v>
      </c>
    </row>
    <row r="148" spans="1:10" ht="60" customHeight="1" x14ac:dyDescent="0.25">
      <c r="A148" s="8" t="s">
        <v>301</v>
      </c>
      <c r="B148" s="8" t="s">
        <v>303</v>
      </c>
      <c r="C148" s="8" t="s">
        <v>4</v>
      </c>
      <c r="D148" s="8" t="s">
        <v>17</v>
      </c>
      <c r="E148" s="6">
        <v>2236.6799999999998</v>
      </c>
      <c r="F148" s="8" t="s">
        <v>304</v>
      </c>
      <c r="G148" s="8" t="s">
        <v>303</v>
      </c>
      <c r="H148" s="8" t="s">
        <v>634</v>
      </c>
      <c r="I148" s="10">
        <f t="shared" si="4"/>
        <v>46113</v>
      </c>
      <c r="J148" t="str">
        <f t="shared" si="5"/>
        <v>Judd &amp; Angela - Portugal</v>
      </c>
    </row>
    <row r="149" spans="1:10" ht="60" customHeight="1" x14ac:dyDescent="0.25">
      <c r="A149" s="7" t="s">
        <v>301</v>
      </c>
      <c r="B149" s="7" t="s">
        <v>206</v>
      </c>
      <c r="C149" s="7" t="s">
        <v>4</v>
      </c>
      <c r="D149" s="7" t="s">
        <v>17</v>
      </c>
      <c r="E149" s="5">
        <v>1662.56</v>
      </c>
      <c r="F149" s="7" t="s">
        <v>305</v>
      </c>
      <c r="G149" s="7" t="s">
        <v>206</v>
      </c>
      <c r="H149" s="7" t="s">
        <v>634</v>
      </c>
      <c r="I149" s="10">
        <f t="shared" si="4"/>
        <v>46113</v>
      </c>
      <c r="J149" t="str">
        <f t="shared" si="5"/>
        <v>Judd &amp; Angela - Portugal</v>
      </c>
    </row>
    <row r="150" spans="1:10" ht="60" customHeight="1" x14ac:dyDescent="0.25">
      <c r="A150" s="8" t="s">
        <v>301</v>
      </c>
      <c r="B150" s="8" t="s">
        <v>306</v>
      </c>
      <c r="C150" s="8" t="s">
        <v>4</v>
      </c>
      <c r="D150" s="8" t="s">
        <v>17</v>
      </c>
      <c r="E150" s="6">
        <v>102.13</v>
      </c>
      <c r="F150" s="8" t="s">
        <v>307</v>
      </c>
      <c r="G150" s="8" t="s">
        <v>306</v>
      </c>
      <c r="H150" s="8" t="s">
        <v>634</v>
      </c>
      <c r="I150" s="10">
        <f t="shared" si="4"/>
        <v>46113</v>
      </c>
      <c r="J150" t="str">
        <f t="shared" si="5"/>
        <v>Judd &amp; Angela - Portugal</v>
      </c>
    </row>
    <row r="151" spans="1:10" ht="60" customHeight="1" x14ac:dyDescent="0.25">
      <c r="A151" s="7" t="s">
        <v>301</v>
      </c>
      <c r="B151" s="7" t="s">
        <v>306</v>
      </c>
      <c r="C151" s="7" t="s">
        <v>4</v>
      </c>
      <c r="D151" s="7" t="s">
        <v>17</v>
      </c>
      <c r="E151" s="5">
        <v>102.13</v>
      </c>
      <c r="F151" s="7" t="s">
        <v>308</v>
      </c>
      <c r="G151" s="7" t="s">
        <v>306</v>
      </c>
      <c r="H151" s="7" t="s">
        <v>634</v>
      </c>
      <c r="I151" s="10">
        <f t="shared" si="4"/>
        <v>46113</v>
      </c>
      <c r="J151" t="str">
        <f t="shared" si="5"/>
        <v>Judd &amp; Angela - Portugal</v>
      </c>
    </row>
    <row r="152" spans="1:10" ht="60" customHeight="1" x14ac:dyDescent="0.25">
      <c r="A152" s="8" t="s">
        <v>301</v>
      </c>
      <c r="B152" s="8" t="s">
        <v>296</v>
      </c>
      <c r="C152" s="8" t="s">
        <v>4</v>
      </c>
      <c r="D152" s="8" t="s">
        <v>17</v>
      </c>
      <c r="E152" s="6">
        <v>655.04</v>
      </c>
      <c r="F152" s="8" t="s">
        <v>309</v>
      </c>
      <c r="G152" s="8" t="s">
        <v>296</v>
      </c>
      <c r="H152" s="8" t="s">
        <v>634</v>
      </c>
      <c r="I152" s="10">
        <f t="shared" si="4"/>
        <v>46113</v>
      </c>
      <c r="J152" t="str">
        <f t="shared" si="5"/>
        <v>Judd &amp; Angela - Portugal</v>
      </c>
    </row>
    <row r="153" spans="1:10" ht="60" customHeight="1" x14ac:dyDescent="0.25">
      <c r="A153" s="7" t="s">
        <v>310</v>
      </c>
      <c r="B153" s="7" t="s">
        <v>311</v>
      </c>
      <c r="C153" s="7" t="s">
        <v>4</v>
      </c>
      <c r="D153" s="7" t="s">
        <v>17</v>
      </c>
      <c r="E153" s="5">
        <v>178.26</v>
      </c>
      <c r="F153" s="7" t="s">
        <v>312</v>
      </c>
      <c r="G153" s="7" t="s">
        <v>311</v>
      </c>
      <c r="H153" s="7" t="s">
        <v>634</v>
      </c>
      <c r="I153" s="10">
        <f t="shared" si="4"/>
        <v>46113</v>
      </c>
      <c r="J153" t="str">
        <f t="shared" si="5"/>
        <v>Judd &amp; Angela - Portugal</v>
      </c>
    </row>
    <row r="154" spans="1:10" ht="60" customHeight="1" x14ac:dyDescent="0.25">
      <c r="A154" s="8" t="s">
        <v>310</v>
      </c>
      <c r="B154" s="8" t="s">
        <v>313</v>
      </c>
      <c r="C154" s="8" t="s">
        <v>4</v>
      </c>
      <c r="D154" s="8" t="s">
        <v>17</v>
      </c>
      <c r="E154" s="6">
        <v>55.14</v>
      </c>
      <c r="F154" s="8" t="s">
        <v>314</v>
      </c>
      <c r="G154" s="8" t="s">
        <v>313</v>
      </c>
      <c r="H154" s="8" t="s">
        <v>634</v>
      </c>
      <c r="I154" s="10">
        <f t="shared" si="4"/>
        <v>46113</v>
      </c>
      <c r="J154" t="str">
        <f t="shared" si="5"/>
        <v>Judd &amp; Angela - Portugal</v>
      </c>
    </row>
    <row r="155" spans="1:10" ht="60" customHeight="1" x14ac:dyDescent="0.25">
      <c r="A155" s="7" t="s">
        <v>310</v>
      </c>
      <c r="B155" s="7" t="s">
        <v>315</v>
      </c>
      <c r="C155" s="7" t="s">
        <v>4</v>
      </c>
      <c r="D155" s="7" t="s">
        <v>17</v>
      </c>
      <c r="E155" s="5">
        <v>70.430000000000007</v>
      </c>
      <c r="F155" s="7" t="s">
        <v>316</v>
      </c>
      <c r="G155" s="7" t="s">
        <v>315</v>
      </c>
      <c r="H155" s="7" t="s">
        <v>634</v>
      </c>
      <c r="I155" s="10">
        <f t="shared" si="4"/>
        <v>46113</v>
      </c>
      <c r="J155" t="str">
        <f t="shared" si="5"/>
        <v>Judd &amp; Angela - Portugal</v>
      </c>
    </row>
    <row r="156" spans="1:10" ht="60" customHeight="1" x14ac:dyDescent="0.25">
      <c r="A156" s="8" t="s">
        <v>310</v>
      </c>
      <c r="B156" s="8" t="s">
        <v>317</v>
      </c>
      <c r="C156" s="8" t="s">
        <v>4</v>
      </c>
      <c r="D156" s="8" t="s">
        <v>17</v>
      </c>
      <c r="E156" s="6">
        <v>108.08</v>
      </c>
      <c r="F156" s="8" t="s">
        <v>318</v>
      </c>
      <c r="G156" s="8" t="s">
        <v>317</v>
      </c>
      <c r="H156" s="8" t="s">
        <v>634</v>
      </c>
      <c r="I156" s="10">
        <f t="shared" si="4"/>
        <v>46113</v>
      </c>
      <c r="J156" t="str">
        <f t="shared" si="5"/>
        <v>Judd &amp; Angela - Portugal</v>
      </c>
    </row>
    <row r="157" spans="1:10" ht="60" customHeight="1" x14ac:dyDescent="0.25">
      <c r="A157" s="7" t="s">
        <v>319</v>
      </c>
      <c r="B157" s="7" t="s">
        <v>320</v>
      </c>
      <c r="C157" s="7" t="s">
        <v>4</v>
      </c>
      <c r="D157" s="7" t="s">
        <v>17</v>
      </c>
      <c r="E157" s="5">
        <v>323.98</v>
      </c>
      <c r="F157" s="7" t="s">
        <v>321</v>
      </c>
      <c r="G157" s="7" t="s">
        <v>320</v>
      </c>
      <c r="H157" s="7" t="s">
        <v>634</v>
      </c>
      <c r="I157" s="10">
        <f t="shared" si="4"/>
        <v>46113</v>
      </c>
      <c r="J157" t="str">
        <f t="shared" si="5"/>
        <v>Judd &amp; Angela - Portugal</v>
      </c>
    </row>
    <row r="158" spans="1:10" ht="60" customHeight="1" x14ac:dyDescent="0.25">
      <c r="A158" s="8" t="s">
        <v>322</v>
      </c>
      <c r="B158" s="8" t="s">
        <v>323</v>
      </c>
      <c r="C158" s="8" t="s">
        <v>4</v>
      </c>
      <c r="D158" s="8" t="s">
        <v>17</v>
      </c>
      <c r="E158" s="6">
        <v>10.99</v>
      </c>
      <c r="F158" s="8" t="s">
        <v>324</v>
      </c>
      <c r="G158" s="8" t="s">
        <v>323</v>
      </c>
      <c r="H158" s="8" t="s">
        <v>634</v>
      </c>
      <c r="I158" s="10">
        <f t="shared" si="4"/>
        <v>46113</v>
      </c>
      <c r="J158" t="str">
        <f t="shared" si="5"/>
        <v>Judd &amp; Angela - Portugal</v>
      </c>
    </row>
    <row r="159" spans="1:10" ht="60" customHeight="1" x14ac:dyDescent="0.25">
      <c r="A159" s="7" t="s">
        <v>322</v>
      </c>
      <c r="B159" s="7" t="s">
        <v>325</v>
      </c>
      <c r="C159" s="7" t="s">
        <v>4</v>
      </c>
      <c r="D159" s="7" t="s">
        <v>17</v>
      </c>
      <c r="E159" s="5">
        <v>73.12</v>
      </c>
      <c r="F159" s="7" t="s">
        <v>326</v>
      </c>
      <c r="G159" s="7" t="s">
        <v>325</v>
      </c>
      <c r="H159" s="7" t="s">
        <v>634</v>
      </c>
      <c r="I159" s="10">
        <f t="shared" si="4"/>
        <v>46113</v>
      </c>
      <c r="J159" t="str">
        <f t="shared" si="5"/>
        <v>Judd &amp; Angela - Portugal</v>
      </c>
    </row>
    <row r="160" spans="1:10" ht="60" customHeight="1" x14ac:dyDescent="0.25">
      <c r="A160" s="8" t="s">
        <v>322</v>
      </c>
      <c r="B160" s="8" t="s">
        <v>327</v>
      </c>
      <c r="C160" s="8" t="s">
        <v>4</v>
      </c>
      <c r="D160" s="8" t="s">
        <v>17</v>
      </c>
      <c r="E160" s="6">
        <v>15341.71</v>
      </c>
      <c r="F160" s="8" t="s">
        <v>328</v>
      </c>
      <c r="G160" s="8" t="s">
        <v>327</v>
      </c>
      <c r="H160" s="8" t="s">
        <v>634</v>
      </c>
      <c r="I160" s="10">
        <f t="shared" si="4"/>
        <v>46113</v>
      </c>
      <c r="J160" t="str">
        <f t="shared" si="5"/>
        <v>Judd &amp; Angela - Portugal</v>
      </c>
    </row>
    <row r="161" spans="1:10" ht="60" customHeight="1" x14ac:dyDescent="0.25">
      <c r="A161" s="7" t="s">
        <v>322</v>
      </c>
      <c r="B161" s="7" t="s">
        <v>329</v>
      </c>
      <c r="C161" s="7" t="s">
        <v>4</v>
      </c>
      <c r="D161" s="7" t="s">
        <v>17</v>
      </c>
      <c r="E161" s="5">
        <v>10.55</v>
      </c>
      <c r="F161" s="7" t="s">
        <v>330</v>
      </c>
      <c r="G161" s="7" t="s">
        <v>329</v>
      </c>
      <c r="H161" s="7" t="s">
        <v>634</v>
      </c>
      <c r="I161" s="10">
        <f t="shared" si="4"/>
        <v>46113</v>
      </c>
      <c r="J161" t="str">
        <f t="shared" si="5"/>
        <v>Judd &amp; Angela - Portugal</v>
      </c>
    </row>
    <row r="162" spans="1:10" ht="60" customHeight="1" x14ac:dyDescent="0.25">
      <c r="A162" s="8" t="s">
        <v>322</v>
      </c>
      <c r="B162" s="8" t="s">
        <v>329</v>
      </c>
      <c r="C162" s="8" t="s">
        <v>4</v>
      </c>
      <c r="D162" s="8" t="s">
        <v>17</v>
      </c>
      <c r="E162" s="6">
        <v>240.32</v>
      </c>
      <c r="F162" s="8" t="s">
        <v>331</v>
      </c>
      <c r="G162" s="8" t="s">
        <v>329</v>
      </c>
      <c r="H162" s="8" t="s">
        <v>634</v>
      </c>
      <c r="I162" s="10">
        <f t="shared" si="4"/>
        <v>46113</v>
      </c>
      <c r="J162" t="str">
        <f t="shared" si="5"/>
        <v>Judd &amp; Angela - Portugal</v>
      </c>
    </row>
    <row r="163" spans="1:10" ht="60" customHeight="1" x14ac:dyDescent="0.25">
      <c r="A163" s="7" t="s">
        <v>332</v>
      </c>
      <c r="B163" s="7" t="s">
        <v>333</v>
      </c>
      <c r="C163" s="7" t="s">
        <v>4</v>
      </c>
      <c r="D163" s="7" t="s">
        <v>17</v>
      </c>
      <c r="E163" s="5">
        <v>122.11</v>
      </c>
      <c r="F163" s="7" t="s">
        <v>334</v>
      </c>
      <c r="G163" s="7" t="s">
        <v>333</v>
      </c>
      <c r="H163" s="7" t="s">
        <v>634</v>
      </c>
      <c r="I163" s="10">
        <f t="shared" si="4"/>
        <v>46113</v>
      </c>
      <c r="J163" t="str">
        <f t="shared" si="5"/>
        <v>Judd &amp; Angela - Portugal</v>
      </c>
    </row>
    <row r="164" spans="1:10" ht="60" customHeight="1" x14ac:dyDescent="0.25">
      <c r="A164" s="8" t="s">
        <v>332</v>
      </c>
      <c r="B164" s="8" t="s">
        <v>335</v>
      </c>
      <c r="C164" s="8" t="s">
        <v>4</v>
      </c>
      <c r="D164" s="8" t="s">
        <v>17</v>
      </c>
      <c r="E164" s="6">
        <v>62.69</v>
      </c>
      <c r="F164" s="8" t="s">
        <v>336</v>
      </c>
      <c r="G164" s="8" t="s">
        <v>335</v>
      </c>
      <c r="H164" s="8" t="s">
        <v>634</v>
      </c>
      <c r="I164" s="10">
        <f t="shared" si="4"/>
        <v>46113</v>
      </c>
      <c r="J164" t="str">
        <f t="shared" si="5"/>
        <v>Judd &amp; Angela - Portugal</v>
      </c>
    </row>
    <row r="165" spans="1:10" ht="60" customHeight="1" x14ac:dyDescent="0.25">
      <c r="A165" s="7" t="s">
        <v>332</v>
      </c>
      <c r="B165" s="7" t="s">
        <v>337</v>
      </c>
      <c r="C165" s="7" t="s">
        <v>4</v>
      </c>
      <c r="D165" s="7" t="s">
        <v>17</v>
      </c>
      <c r="E165" s="5">
        <v>893.22</v>
      </c>
      <c r="F165" s="7" t="s">
        <v>338</v>
      </c>
      <c r="G165" s="7" t="s">
        <v>337</v>
      </c>
      <c r="H165" s="7" t="s">
        <v>634</v>
      </c>
      <c r="I165" s="10">
        <f t="shared" si="4"/>
        <v>46113</v>
      </c>
      <c r="J165" t="str">
        <f t="shared" si="5"/>
        <v>Judd &amp; Angela - Portugal</v>
      </c>
    </row>
    <row r="166" spans="1:10" ht="60" customHeight="1" x14ac:dyDescent="0.25">
      <c r="A166" s="8" t="s">
        <v>339</v>
      </c>
      <c r="B166" s="8" t="s">
        <v>340</v>
      </c>
      <c r="C166" s="8" t="s">
        <v>4</v>
      </c>
      <c r="D166" s="8" t="s">
        <v>17</v>
      </c>
      <c r="E166" s="6">
        <v>111.22</v>
      </c>
      <c r="F166" s="8" t="s">
        <v>341</v>
      </c>
      <c r="G166" s="8" t="s">
        <v>340</v>
      </c>
      <c r="H166" s="8" t="s">
        <v>634</v>
      </c>
      <c r="I166" s="10">
        <f t="shared" si="4"/>
        <v>46113</v>
      </c>
      <c r="J166" t="str">
        <f t="shared" si="5"/>
        <v>Judd &amp; Angela - Portugal</v>
      </c>
    </row>
    <row r="167" spans="1:10" ht="60" customHeight="1" x14ac:dyDescent="0.25">
      <c r="A167" s="7" t="s">
        <v>342</v>
      </c>
      <c r="B167" s="7" t="s">
        <v>343</v>
      </c>
      <c r="C167" s="7" t="s">
        <v>4</v>
      </c>
      <c r="D167" s="7" t="s">
        <v>17</v>
      </c>
      <c r="E167" s="5">
        <v>36.96</v>
      </c>
      <c r="F167" s="7" t="s">
        <v>344</v>
      </c>
      <c r="G167" s="7" t="s">
        <v>343</v>
      </c>
      <c r="H167" s="7" t="s">
        <v>634</v>
      </c>
      <c r="I167" s="10">
        <f t="shared" si="4"/>
        <v>46113</v>
      </c>
      <c r="J167" t="str">
        <f t="shared" si="5"/>
        <v>Judd &amp; Angela - Portugal</v>
      </c>
    </row>
    <row r="168" spans="1:10" ht="60" customHeight="1" x14ac:dyDescent="0.25">
      <c r="A168" s="8" t="s">
        <v>342</v>
      </c>
      <c r="B168" s="8" t="s">
        <v>345</v>
      </c>
      <c r="C168" s="8" t="s">
        <v>4</v>
      </c>
      <c r="D168" s="8" t="s">
        <v>17</v>
      </c>
      <c r="E168" s="6">
        <v>92.45</v>
      </c>
      <c r="F168" s="8" t="s">
        <v>346</v>
      </c>
      <c r="G168" s="8" t="s">
        <v>345</v>
      </c>
      <c r="H168" s="8" t="s">
        <v>634</v>
      </c>
      <c r="I168" s="10">
        <f t="shared" si="4"/>
        <v>46113</v>
      </c>
      <c r="J168" t="str">
        <f t="shared" si="5"/>
        <v>Judd &amp; Angela - Portugal</v>
      </c>
    </row>
    <row r="169" spans="1:10" ht="60" customHeight="1" x14ac:dyDescent="0.25">
      <c r="A169" s="7" t="s">
        <v>342</v>
      </c>
      <c r="B169" s="7" t="s">
        <v>347</v>
      </c>
      <c r="C169" s="7" t="s">
        <v>4</v>
      </c>
      <c r="D169" s="7" t="s">
        <v>17</v>
      </c>
      <c r="E169" s="5">
        <v>68</v>
      </c>
      <c r="F169" s="7" t="s">
        <v>348</v>
      </c>
      <c r="G169" s="7" t="s">
        <v>347</v>
      </c>
      <c r="H169" s="7" t="s">
        <v>634</v>
      </c>
      <c r="I169" s="10">
        <f t="shared" si="4"/>
        <v>46113</v>
      </c>
      <c r="J169" t="str">
        <f t="shared" si="5"/>
        <v>Judd &amp; Angela - Portugal</v>
      </c>
    </row>
    <row r="170" spans="1:10" ht="60" customHeight="1" x14ac:dyDescent="0.25">
      <c r="A170" s="8" t="s">
        <v>349</v>
      </c>
      <c r="B170" s="8" t="s">
        <v>350</v>
      </c>
      <c r="C170" s="8" t="s">
        <v>4</v>
      </c>
      <c r="D170" s="8" t="s">
        <v>17</v>
      </c>
      <c r="E170" s="6">
        <v>3.81</v>
      </c>
      <c r="F170" s="8" t="s">
        <v>351</v>
      </c>
      <c r="G170" s="8" t="s">
        <v>350</v>
      </c>
      <c r="H170" s="8" t="s">
        <v>634</v>
      </c>
      <c r="I170" s="10">
        <f t="shared" si="4"/>
        <v>46113</v>
      </c>
      <c r="J170" t="str">
        <f t="shared" si="5"/>
        <v>Judd &amp; Angela - Portugal</v>
      </c>
    </row>
    <row r="171" spans="1:10" ht="60" customHeight="1" x14ac:dyDescent="0.25">
      <c r="A171" s="7" t="s">
        <v>349</v>
      </c>
      <c r="B171" s="7" t="s">
        <v>343</v>
      </c>
      <c r="C171" s="7" t="s">
        <v>4</v>
      </c>
      <c r="D171" s="7" t="s">
        <v>17</v>
      </c>
      <c r="E171" s="5">
        <v>6.93</v>
      </c>
      <c r="F171" s="7" t="s">
        <v>352</v>
      </c>
      <c r="G171" s="7" t="s">
        <v>343</v>
      </c>
      <c r="H171" s="7" t="s">
        <v>634</v>
      </c>
      <c r="I171" s="10">
        <f t="shared" si="4"/>
        <v>46113</v>
      </c>
      <c r="J171" t="str">
        <f t="shared" si="5"/>
        <v>Judd &amp; Angela - Portugal</v>
      </c>
    </row>
    <row r="172" spans="1:10" ht="60" customHeight="1" x14ac:dyDescent="0.25">
      <c r="A172" s="8" t="s">
        <v>349</v>
      </c>
      <c r="B172" s="8" t="s">
        <v>353</v>
      </c>
      <c r="C172" s="8" t="s">
        <v>4</v>
      </c>
      <c r="D172" s="8" t="s">
        <v>17</v>
      </c>
      <c r="E172" s="6">
        <v>71.62</v>
      </c>
      <c r="F172" s="8" t="s">
        <v>354</v>
      </c>
      <c r="G172" s="8" t="s">
        <v>353</v>
      </c>
      <c r="H172" s="8" t="s">
        <v>634</v>
      </c>
      <c r="I172" s="10">
        <f t="shared" si="4"/>
        <v>46113</v>
      </c>
      <c r="J172" t="str">
        <f t="shared" si="5"/>
        <v>Judd &amp; Angela - Portugal</v>
      </c>
    </row>
    <row r="173" spans="1:10" ht="60" customHeight="1" x14ac:dyDescent="0.25">
      <c r="A173" s="7" t="s">
        <v>355</v>
      </c>
      <c r="B173" s="7" t="s">
        <v>356</v>
      </c>
      <c r="C173" s="7" t="s">
        <v>4</v>
      </c>
      <c r="D173" s="7" t="s">
        <v>17</v>
      </c>
      <c r="E173" s="5">
        <v>-246.73</v>
      </c>
      <c r="F173" s="7" t="s">
        <v>357</v>
      </c>
      <c r="G173" s="7" t="s">
        <v>356</v>
      </c>
      <c r="H173" s="7" t="s">
        <v>637</v>
      </c>
      <c r="I173" s="10">
        <f t="shared" si="4"/>
        <v>46113</v>
      </c>
      <c r="J173" t="str">
        <f t="shared" si="5"/>
        <v>AT&amp;T</v>
      </c>
    </row>
    <row r="174" spans="1:10" ht="60" customHeight="1" x14ac:dyDescent="0.25">
      <c r="A174" s="8" t="s">
        <v>355</v>
      </c>
      <c r="B174" s="8" t="s">
        <v>358</v>
      </c>
      <c r="C174" s="8" t="s">
        <v>4</v>
      </c>
      <c r="D174" s="8" t="s">
        <v>17</v>
      </c>
      <c r="E174" s="6">
        <v>43.95</v>
      </c>
      <c r="F174" s="8" t="s">
        <v>359</v>
      </c>
      <c r="G174" s="8" t="s">
        <v>358</v>
      </c>
      <c r="H174" s="8" t="s">
        <v>634</v>
      </c>
      <c r="I174" s="10">
        <f t="shared" si="4"/>
        <v>46113</v>
      </c>
      <c r="J174" t="str">
        <f t="shared" si="5"/>
        <v>Judd &amp; Angela - Portugal</v>
      </c>
    </row>
    <row r="175" spans="1:10" ht="60" customHeight="1" x14ac:dyDescent="0.25">
      <c r="A175" s="7" t="s">
        <v>355</v>
      </c>
      <c r="B175" s="7" t="s">
        <v>360</v>
      </c>
      <c r="C175" s="7" t="s">
        <v>4</v>
      </c>
      <c r="D175" s="7" t="s">
        <v>17</v>
      </c>
      <c r="E175" s="5">
        <v>75.17</v>
      </c>
      <c r="F175" s="7" t="s">
        <v>361</v>
      </c>
      <c r="G175" s="7" t="s">
        <v>360</v>
      </c>
      <c r="H175" s="7" t="s">
        <v>634</v>
      </c>
      <c r="I175" s="10">
        <f t="shared" si="4"/>
        <v>46113</v>
      </c>
      <c r="J175" t="str">
        <f t="shared" si="5"/>
        <v>Judd &amp; Angela - Portugal</v>
      </c>
    </row>
    <row r="176" spans="1:10" ht="60" customHeight="1" x14ac:dyDescent="0.25">
      <c r="A176" s="8" t="s">
        <v>362</v>
      </c>
      <c r="B176" s="8" t="s">
        <v>363</v>
      </c>
      <c r="C176" s="8" t="s">
        <v>4</v>
      </c>
      <c r="D176" s="8" t="s">
        <v>17</v>
      </c>
      <c r="E176" s="6">
        <v>5.67</v>
      </c>
      <c r="F176" s="8" t="s">
        <v>364</v>
      </c>
      <c r="G176" s="8" t="s">
        <v>363</v>
      </c>
      <c r="H176" s="8" t="s">
        <v>634</v>
      </c>
      <c r="I176" s="10">
        <f t="shared" si="4"/>
        <v>46113</v>
      </c>
      <c r="J176" t="str">
        <f t="shared" si="5"/>
        <v>Judd &amp; Angela - Portugal</v>
      </c>
    </row>
    <row r="177" spans="1:10" ht="60" customHeight="1" x14ac:dyDescent="0.25">
      <c r="A177" s="7" t="s">
        <v>362</v>
      </c>
      <c r="B177" s="7" t="s">
        <v>365</v>
      </c>
      <c r="C177" s="7" t="s">
        <v>4</v>
      </c>
      <c r="D177" s="7" t="s">
        <v>17</v>
      </c>
      <c r="E177" s="5">
        <v>90.2</v>
      </c>
      <c r="F177" s="7" t="s">
        <v>366</v>
      </c>
      <c r="G177" s="7" t="s">
        <v>365</v>
      </c>
      <c r="H177" s="7" t="s">
        <v>634</v>
      </c>
      <c r="I177" s="10">
        <f t="shared" si="4"/>
        <v>46113</v>
      </c>
      <c r="J177" t="str">
        <f t="shared" si="5"/>
        <v>Judd &amp; Angela - Portugal</v>
      </c>
    </row>
    <row r="178" spans="1:10" ht="60" customHeight="1" x14ac:dyDescent="0.25">
      <c r="A178" s="8" t="s">
        <v>362</v>
      </c>
      <c r="B178" s="8" t="s">
        <v>296</v>
      </c>
      <c r="C178" s="8" t="s">
        <v>4</v>
      </c>
      <c r="D178" s="8" t="s">
        <v>17</v>
      </c>
      <c r="E178" s="6">
        <v>1014.54</v>
      </c>
      <c r="F178" s="8" t="s">
        <v>367</v>
      </c>
      <c r="G178" s="8" t="s">
        <v>296</v>
      </c>
      <c r="H178" s="8" t="s">
        <v>634</v>
      </c>
      <c r="I178" s="10">
        <f t="shared" si="4"/>
        <v>46113</v>
      </c>
      <c r="J178" t="str">
        <f t="shared" si="5"/>
        <v>Judd &amp; Angela - Portugal</v>
      </c>
    </row>
    <row r="179" spans="1:10" ht="60" customHeight="1" x14ac:dyDescent="0.25">
      <c r="A179" s="7" t="s">
        <v>362</v>
      </c>
      <c r="B179" s="7" t="s">
        <v>368</v>
      </c>
      <c r="C179" s="7" t="s">
        <v>4</v>
      </c>
      <c r="D179" s="7" t="s">
        <v>17</v>
      </c>
      <c r="E179" s="5">
        <v>136.69999999999999</v>
      </c>
      <c r="F179" s="7" t="s">
        <v>369</v>
      </c>
      <c r="G179" s="7" t="s">
        <v>368</v>
      </c>
      <c r="H179" s="7" t="s">
        <v>634</v>
      </c>
      <c r="I179" s="10">
        <f t="shared" si="4"/>
        <v>46113</v>
      </c>
      <c r="J179" t="str">
        <f t="shared" si="5"/>
        <v>Judd &amp; Angela - Portugal</v>
      </c>
    </row>
    <row r="180" spans="1:10" ht="60" customHeight="1" x14ac:dyDescent="0.25">
      <c r="A180" s="8" t="s">
        <v>362</v>
      </c>
      <c r="B180" s="8" t="s">
        <v>370</v>
      </c>
      <c r="C180" s="8" t="s">
        <v>4</v>
      </c>
      <c r="D180" s="8" t="s">
        <v>17</v>
      </c>
      <c r="E180" s="6">
        <v>87.72</v>
      </c>
      <c r="F180" s="8" t="s">
        <v>371</v>
      </c>
      <c r="G180" s="8" t="s">
        <v>370</v>
      </c>
      <c r="H180" s="8" t="s">
        <v>634</v>
      </c>
      <c r="I180" s="10">
        <f t="shared" si="4"/>
        <v>46113</v>
      </c>
      <c r="J180" t="str">
        <f t="shared" si="5"/>
        <v>Judd &amp; Angela - Portugal</v>
      </c>
    </row>
    <row r="181" spans="1:10" ht="60" customHeight="1" x14ac:dyDescent="0.25">
      <c r="A181" s="7" t="s">
        <v>372</v>
      </c>
      <c r="B181" s="7" t="s">
        <v>373</v>
      </c>
      <c r="C181" s="7" t="s">
        <v>4</v>
      </c>
      <c r="D181" s="7" t="s">
        <v>17</v>
      </c>
      <c r="E181" s="5">
        <v>2.99</v>
      </c>
      <c r="F181" s="7" t="s">
        <v>374</v>
      </c>
      <c r="G181" s="7" t="s">
        <v>373</v>
      </c>
      <c r="H181" s="7" t="s">
        <v>634</v>
      </c>
      <c r="I181" s="10">
        <f t="shared" si="4"/>
        <v>46113</v>
      </c>
      <c r="J181" t="str">
        <f t="shared" si="5"/>
        <v>Judd &amp; Angela - Portugal</v>
      </c>
    </row>
    <row r="182" spans="1:10" ht="60" customHeight="1" x14ac:dyDescent="0.25">
      <c r="A182" s="8" t="s">
        <v>375</v>
      </c>
      <c r="B182" s="8" t="s">
        <v>363</v>
      </c>
      <c r="C182" s="8" t="s">
        <v>4</v>
      </c>
      <c r="D182" s="8" t="s">
        <v>17</v>
      </c>
      <c r="E182" s="6">
        <v>9.23</v>
      </c>
      <c r="F182" s="8" t="s">
        <v>376</v>
      </c>
      <c r="G182" s="8" t="s">
        <v>363</v>
      </c>
      <c r="H182" s="8" t="s">
        <v>634</v>
      </c>
      <c r="I182" s="10">
        <f t="shared" si="4"/>
        <v>46082</v>
      </c>
      <c r="J182" t="str">
        <f t="shared" si="5"/>
        <v>Judd &amp; Angela - Portugal</v>
      </c>
    </row>
    <row r="183" spans="1:10" ht="60" customHeight="1" x14ac:dyDescent="0.25">
      <c r="A183" s="7" t="s">
        <v>375</v>
      </c>
      <c r="B183" s="7" t="s">
        <v>377</v>
      </c>
      <c r="C183" s="7" t="s">
        <v>4</v>
      </c>
      <c r="D183" s="7" t="s">
        <v>17</v>
      </c>
      <c r="E183" s="5">
        <v>73.569999999999993</v>
      </c>
      <c r="F183" s="7" t="s">
        <v>378</v>
      </c>
      <c r="G183" s="7" t="s">
        <v>377</v>
      </c>
      <c r="H183" s="7" t="s">
        <v>634</v>
      </c>
      <c r="I183" s="10">
        <f t="shared" si="4"/>
        <v>46082</v>
      </c>
      <c r="J183" t="str">
        <f t="shared" si="5"/>
        <v>Judd &amp; Angela - Portugal</v>
      </c>
    </row>
    <row r="184" spans="1:10" ht="60" customHeight="1" x14ac:dyDescent="0.25">
      <c r="A184" s="8" t="s">
        <v>375</v>
      </c>
      <c r="B184" s="8" t="s">
        <v>379</v>
      </c>
      <c r="C184" s="8" t="s">
        <v>4</v>
      </c>
      <c r="D184" s="8" t="s">
        <v>17</v>
      </c>
      <c r="E184" s="6">
        <v>93.26</v>
      </c>
      <c r="F184" s="8" t="s">
        <v>380</v>
      </c>
      <c r="G184" s="8" t="s">
        <v>379</v>
      </c>
      <c r="H184" s="8" t="s">
        <v>634</v>
      </c>
      <c r="I184" s="10">
        <f t="shared" si="4"/>
        <v>46082</v>
      </c>
      <c r="J184" t="str">
        <f t="shared" si="5"/>
        <v>Judd &amp; Angela - Portugal</v>
      </c>
    </row>
    <row r="185" spans="1:10" ht="60" customHeight="1" x14ac:dyDescent="0.25">
      <c r="A185" s="7" t="s">
        <v>381</v>
      </c>
      <c r="B185" s="7" t="s">
        <v>382</v>
      </c>
      <c r="C185" s="7" t="s">
        <v>4</v>
      </c>
      <c r="D185" s="7" t="s">
        <v>17</v>
      </c>
      <c r="E185" s="5">
        <v>16.12</v>
      </c>
      <c r="F185" s="7" t="s">
        <v>383</v>
      </c>
      <c r="G185" s="7" t="s">
        <v>382</v>
      </c>
      <c r="H185" s="7" t="s">
        <v>634</v>
      </c>
      <c r="I185" s="10">
        <f t="shared" si="4"/>
        <v>46082</v>
      </c>
      <c r="J185" t="str">
        <f t="shared" si="5"/>
        <v>Judd &amp; Angela - Portugal</v>
      </c>
    </row>
    <row r="186" spans="1:10" ht="60" customHeight="1" x14ac:dyDescent="0.25">
      <c r="A186" s="8" t="s">
        <v>381</v>
      </c>
      <c r="B186" s="8" t="s">
        <v>384</v>
      </c>
      <c r="C186" s="8" t="s">
        <v>4</v>
      </c>
      <c r="D186" s="8" t="s">
        <v>17</v>
      </c>
      <c r="E186" s="6">
        <v>282.60000000000002</v>
      </c>
      <c r="F186" s="8" t="s">
        <v>385</v>
      </c>
      <c r="G186" s="8" t="s">
        <v>384</v>
      </c>
      <c r="H186" s="8" t="s">
        <v>634</v>
      </c>
      <c r="I186" s="10">
        <f t="shared" si="4"/>
        <v>46082</v>
      </c>
      <c r="J186" t="str">
        <f t="shared" si="5"/>
        <v>Judd &amp; Angela - Portugal</v>
      </c>
    </row>
    <row r="187" spans="1:10" ht="60" customHeight="1" x14ac:dyDescent="0.25">
      <c r="A187" s="7" t="s">
        <v>386</v>
      </c>
      <c r="B187" s="7" t="s">
        <v>387</v>
      </c>
      <c r="C187" s="7" t="s">
        <v>4</v>
      </c>
      <c r="D187" s="7" t="s">
        <v>17</v>
      </c>
      <c r="E187" s="5">
        <v>-54.86</v>
      </c>
      <c r="F187" s="7" t="s">
        <v>388</v>
      </c>
      <c r="G187" s="7" t="s">
        <v>387</v>
      </c>
      <c r="H187" s="7" t="s">
        <v>634</v>
      </c>
      <c r="I187" s="10">
        <f t="shared" si="4"/>
        <v>46082</v>
      </c>
      <c r="J187" t="str">
        <f t="shared" si="5"/>
        <v>Judd &amp; Angela - Portugal</v>
      </c>
    </row>
    <row r="188" spans="1:10" ht="60" customHeight="1" x14ac:dyDescent="0.25">
      <c r="A188" s="8" t="s">
        <v>386</v>
      </c>
      <c r="B188" s="8" t="s">
        <v>387</v>
      </c>
      <c r="C188" s="8" t="s">
        <v>4</v>
      </c>
      <c r="D188" s="8" t="s">
        <v>17</v>
      </c>
      <c r="E188" s="6">
        <v>229.38</v>
      </c>
      <c r="F188" s="8" t="s">
        <v>389</v>
      </c>
      <c r="G188" s="8" t="s">
        <v>387</v>
      </c>
      <c r="H188" s="8" t="s">
        <v>634</v>
      </c>
      <c r="I188" s="10">
        <f t="shared" si="4"/>
        <v>46082</v>
      </c>
      <c r="J188" t="str">
        <f t="shared" si="5"/>
        <v>Judd &amp; Angela - Portugal</v>
      </c>
    </row>
    <row r="189" spans="1:10" ht="60" customHeight="1" x14ac:dyDescent="0.25">
      <c r="A189" s="7" t="s">
        <v>386</v>
      </c>
      <c r="B189" s="7" t="s">
        <v>387</v>
      </c>
      <c r="C189" s="7" t="s">
        <v>4</v>
      </c>
      <c r="D189" s="7" t="s">
        <v>17</v>
      </c>
      <c r="E189" s="5">
        <v>284.24</v>
      </c>
      <c r="F189" s="7" t="s">
        <v>390</v>
      </c>
      <c r="G189" s="7" t="s">
        <v>387</v>
      </c>
      <c r="H189" s="7" t="s">
        <v>634</v>
      </c>
      <c r="I189" s="10">
        <f t="shared" si="4"/>
        <v>46082</v>
      </c>
      <c r="J189" t="str">
        <f t="shared" si="5"/>
        <v>Judd &amp; Angela - Portugal</v>
      </c>
    </row>
    <row r="190" spans="1:10" ht="60" customHeight="1" x14ac:dyDescent="0.25">
      <c r="A190" s="8" t="s">
        <v>386</v>
      </c>
      <c r="B190" s="8" t="s">
        <v>118</v>
      </c>
      <c r="C190" s="8" t="s">
        <v>4</v>
      </c>
      <c r="D190" s="8" t="s">
        <v>17</v>
      </c>
      <c r="E190" s="6">
        <v>-14941.94</v>
      </c>
      <c r="F190" s="8" t="s">
        <v>119</v>
      </c>
      <c r="G190" s="8" t="s">
        <v>118</v>
      </c>
      <c r="H190" s="8" t="s">
        <v>626</v>
      </c>
      <c r="I190" s="10">
        <f t="shared" si="4"/>
        <v>46082</v>
      </c>
      <c r="J190" t="str">
        <f t="shared" si="5"/>
        <v>Online AMEX Payment</v>
      </c>
    </row>
    <row r="191" spans="1:10" ht="60" customHeight="1" x14ac:dyDescent="0.25">
      <c r="A191" s="7" t="s">
        <v>386</v>
      </c>
      <c r="B191" s="7" t="s">
        <v>391</v>
      </c>
      <c r="C191" s="7" t="s">
        <v>4</v>
      </c>
      <c r="D191" s="7" t="s">
        <v>17</v>
      </c>
      <c r="E191" s="5">
        <v>36.11</v>
      </c>
      <c r="F191" s="7" t="s">
        <v>392</v>
      </c>
      <c r="G191" s="7" t="s">
        <v>391</v>
      </c>
      <c r="H191" s="7" t="s">
        <v>634</v>
      </c>
      <c r="I191" s="10">
        <f t="shared" si="4"/>
        <v>46082</v>
      </c>
      <c r="J191" t="str">
        <f t="shared" si="5"/>
        <v>Judd &amp; Angela - Portugal</v>
      </c>
    </row>
    <row r="192" spans="1:10" ht="60" customHeight="1" x14ac:dyDescent="0.25">
      <c r="A192" s="8" t="s">
        <v>386</v>
      </c>
      <c r="B192" s="8" t="s">
        <v>252</v>
      </c>
      <c r="C192" s="8" t="s">
        <v>4</v>
      </c>
      <c r="D192" s="8" t="s">
        <v>17</v>
      </c>
      <c r="E192" s="6">
        <v>73.349999999999994</v>
      </c>
      <c r="F192" s="8" t="s">
        <v>393</v>
      </c>
      <c r="G192" s="8" t="s">
        <v>252</v>
      </c>
      <c r="H192" s="8" t="s">
        <v>619</v>
      </c>
      <c r="I192" s="10">
        <f t="shared" si="4"/>
        <v>46082</v>
      </c>
      <c r="J192" t="str">
        <f t="shared" si="5"/>
        <v>Personal - Food</v>
      </c>
    </row>
    <row r="193" spans="1:10" ht="60" customHeight="1" x14ac:dyDescent="0.25">
      <c r="A193" s="7" t="s">
        <v>386</v>
      </c>
      <c r="B193" s="7" t="s">
        <v>394</v>
      </c>
      <c r="C193" s="7" t="s">
        <v>4</v>
      </c>
      <c r="D193" s="7" t="s">
        <v>17</v>
      </c>
      <c r="E193" s="5">
        <v>49.78</v>
      </c>
      <c r="F193" s="7" t="s">
        <v>395</v>
      </c>
      <c r="G193" s="7" t="s">
        <v>394</v>
      </c>
      <c r="H193" s="7" t="s">
        <v>625</v>
      </c>
      <c r="I193" s="10">
        <f t="shared" si="4"/>
        <v>46082</v>
      </c>
      <c r="J193" t="str">
        <f t="shared" si="5"/>
        <v>Personal - Entertainment</v>
      </c>
    </row>
    <row r="194" spans="1:10" ht="60" customHeight="1" x14ac:dyDescent="0.25">
      <c r="A194" s="8" t="s">
        <v>396</v>
      </c>
      <c r="B194" s="8" t="s">
        <v>397</v>
      </c>
      <c r="C194" s="8" t="s">
        <v>4</v>
      </c>
      <c r="D194" s="8" t="s">
        <v>17</v>
      </c>
      <c r="E194" s="6">
        <v>105.44</v>
      </c>
      <c r="F194" s="8" t="s">
        <v>398</v>
      </c>
      <c r="G194" s="8" t="s">
        <v>397</v>
      </c>
      <c r="H194" s="8" t="s">
        <v>632</v>
      </c>
      <c r="I194" s="10">
        <f t="shared" si="4"/>
        <v>46082</v>
      </c>
      <c r="J194" t="str">
        <f t="shared" si="5"/>
        <v>Personal - Clothing</v>
      </c>
    </row>
    <row r="195" spans="1:10" ht="60" customHeight="1" x14ac:dyDescent="0.25">
      <c r="A195" s="7" t="s">
        <v>396</v>
      </c>
      <c r="B195" s="7" t="s">
        <v>248</v>
      </c>
      <c r="C195" s="7" t="s">
        <v>4</v>
      </c>
      <c r="D195" s="7" t="s">
        <v>17</v>
      </c>
      <c r="E195" s="5">
        <v>100.51</v>
      </c>
      <c r="F195" s="7" t="s">
        <v>399</v>
      </c>
      <c r="G195" s="7" t="s">
        <v>248</v>
      </c>
      <c r="H195" s="7" t="s">
        <v>619</v>
      </c>
      <c r="I195" s="10">
        <f t="shared" si="4"/>
        <v>46082</v>
      </c>
      <c r="J195" t="str">
        <f t="shared" si="5"/>
        <v>Personal - Food</v>
      </c>
    </row>
    <row r="196" spans="1:10" ht="60" customHeight="1" x14ac:dyDescent="0.25">
      <c r="A196" s="8" t="s">
        <v>396</v>
      </c>
      <c r="B196" s="8" t="s">
        <v>400</v>
      </c>
      <c r="C196" s="8" t="s">
        <v>4</v>
      </c>
      <c r="D196" s="8" t="s">
        <v>17</v>
      </c>
      <c r="E196" s="6">
        <v>77.290000000000006</v>
      </c>
      <c r="F196" s="8" t="s">
        <v>401</v>
      </c>
      <c r="G196" s="8" t="s">
        <v>400</v>
      </c>
      <c r="H196" s="8" t="s">
        <v>622</v>
      </c>
      <c r="I196" s="10">
        <f t="shared" si="4"/>
        <v>46082</v>
      </c>
      <c r="J196" t="str">
        <f t="shared" si="5"/>
        <v>Personal - Car</v>
      </c>
    </row>
    <row r="197" spans="1:10" ht="60" customHeight="1" x14ac:dyDescent="0.25">
      <c r="A197" s="7" t="s">
        <v>402</v>
      </c>
      <c r="B197" s="7" t="s">
        <v>403</v>
      </c>
      <c r="C197" s="7" t="s">
        <v>4</v>
      </c>
      <c r="D197" s="7" t="s">
        <v>17</v>
      </c>
      <c r="E197" s="5">
        <v>131.69999999999999</v>
      </c>
      <c r="F197" s="7" t="s">
        <v>404</v>
      </c>
      <c r="G197" s="7" t="s">
        <v>403</v>
      </c>
      <c r="H197" s="7" t="s">
        <v>632</v>
      </c>
      <c r="I197" s="10">
        <f t="shared" si="4"/>
        <v>46082</v>
      </c>
      <c r="J197" t="str">
        <f t="shared" si="5"/>
        <v>Personal - Clothing</v>
      </c>
    </row>
    <row r="198" spans="1:10" ht="60" customHeight="1" x14ac:dyDescent="0.25">
      <c r="A198" s="8" t="s">
        <v>402</v>
      </c>
      <c r="B198" s="8" t="s">
        <v>405</v>
      </c>
      <c r="C198" s="8" t="s">
        <v>4</v>
      </c>
      <c r="D198" s="8" t="s">
        <v>17</v>
      </c>
      <c r="E198" s="6">
        <v>215.12</v>
      </c>
      <c r="F198" s="8" t="s">
        <v>406</v>
      </c>
      <c r="G198" s="8" t="s">
        <v>405</v>
      </c>
      <c r="H198" s="8" t="s">
        <v>632</v>
      </c>
      <c r="I198" s="10">
        <f t="shared" si="4"/>
        <v>46082</v>
      </c>
      <c r="J198" t="str">
        <f t="shared" si="5"/>
        <v>Personal - Clothing</v>
      </c>
    </row>
    <row r="199" spans="1:10" ht="60" customHeight="1" x14ac:dyDescent="0.25">
      <c r="A199" s="7" t="s">
        <v>402</v>
      </c>
      <c r="B199" s="7" t="s">
        <v>407</v>
      </c>
      <c r="C199" s="7" t="s">
        <v>4</v>
      </c>
      <c r="D199" s="7" t="s">
        <v>17</v>
      </c>
      <c r="E199" s="5">
        <v>15.6</v>
      </c>
      <c r="F199" s="7" t="s">
        <v>408</v>
      </c>
      <c r="G199" s="7" t="s">
        <v>407</v>
      </c>
      <c r="H199" s="7" t="s">
        <v>625</v>
      </c>
      <c r="I199" s="10">
        <f t="shared" si="4"/>
        <v>46082</v>
      </c>
      <c r="J199" t="str">
        <f t="shared" si="5"/>
        <v>Personal - Entertainment</v>
      </c>
    </row>
    <row r="200" spans="1:10" ht="60" customHeight="1" x14ac:dyDescent="0.25">
      <c r="A200" s="8" t="s">
        <v>402</v>
      </c>
      <c r="B200" s="8" t="s">
        <v>409</v>
      </c>
      <c r="C200" s="8" t="s">
        <v>4</v>
      </c>
      <c r="D200" s="8" t="s">
        <v>17</v>
      </c>
      <c r="E200" s="6">
        <v>186.58</v>
      </c>
      <c r="F200" s="8" t="s">
        <v>410</v>
      </c>
      <c r="G200" s="8" t="s">
        <v>409</v>
      </c>
      <c r="H200" s="8" t="s">
        <v>632</v>
      </c>
      <c r="I200" s="10">
        <f t="shared" si="4"/>
        <v>46082</v>
      </c>
      <c r="J200" t="str">
        <f t="shared" si="5"/>
        <v>Personal - Clothing</v>
      </c>
    </row>
    <row r="201" spans="1:10" ht="60" customHeight="1" x14ac:dyDescent="0.25">
      <c r="A201" s="7" t="s">
        <v>402</v>
      </c>
      <c r="B201" s="7" t="s">
        <v>411</v>
      </c>
      <c r="C201" s="7" t="s">
        <v>4</v>
      </c>
      <c r="D201" s="7" t="s">
        <v>17</v>
      </c>
      <c r="E201" s="5">
        <v>80.67</v>
      </c>
      <c r="F201" s="7" t="s">
        <v>412</v>
      </c>
      <c r="G201" s="7" t="s">
        <v>411</v>
      </c>
      <c r="H201" s="7" t="s">
        <v>632</v>
      </c>
      <c r="I201" s="10">
        <f t="shared" ref="I201:I264" si="6">DATE(RIGHT(A201,4)+0,LEFT(A201,2)+0,1)</f>
        <v>46082</v>
      </c>
      <c r="J201" t="str">
        <f t="shared" ref="J201:J264" si="7">IF(TRIM(H201)="","(Uncategorized)",TRIM(H201))</f>
        <v>Personal - Clothing</v>
      </c>
    </row>
    <row r="202" spans="1:10" ht="60" customHeight="1" x14ac:dyDescent="0.25">
      <c r="A202" s="8" t="s">
        <v>402</v>
      </c>
      <c r="B202" s="8" t="s">
        <v>262</v>
      </c>
      <c r="C202" s="8" t="s">
        <v>4</v>
      </c>
      <c r="D202" s="8" t="s">
        <v>17</v>
      </c>
      <c r="E202" s="6">
        <v>85.61</v>
      </c>
      <c r="F202" s="8" t="s">
        <v>413</v>
      </c>
      <c r="G202" s="8" t="s">
        <v>262</v>
      </c>
      <c r="H202" s="8" t="s">
        <v>632</v>
      </c>
      <c r="I202" s="10">
        <f t="shared" si="6"/>
        <v>46082</v>
      </c>
      <c r="J202" t="str">
        <f t="shared" si="7"/>
        <v>Personal - Clothing</v>
      </c>
    </row>
    <row r="203" spans="1:10" ht="60" customHeight="1" x14ac:dyDescent="0.25">
      <c r="A203" s="7" t="s">
        <v>402</v>
      </c>
      <c r="B203" s="7" t="s">
        <v>414</v>
      </c>
      <c r="C203" s="7" t="s">
        <v>4</v>
      </c>
      <c r="D203" s="7" t="s">
        <v>17</v>
      </c>
      <c r="E203" s="5">
        <v>3</v>
      </c>
      <c r="F203" s="7" t="s">
        <v>415</v>
      </c>
      <c r="G203" s="7" t="s">
        <v>414</v>
      </c>
      <c r="H203" s="7" t="s">
        <v>619</v>
      </c>
      <c r="I203" s="10">
        <f t="shared" si="6"/>
        <v>46082</v>
      </c>
      <c r="J203" t="str">
        <f t="shared" si="7"/>
        <v>Personal - Food</v>
      </c>
    </row>
    <row r="204" spans="1:10" ht="60" customHeight="1" x14ac:dyDescent="0.25">
      <c r="A204" s="8" t="s">
        <v>416</v>
      </c>
      <c r="B204" s="8" t="s">
        <v>417</v>
      </c>
      <c r="C204" s="8" t="s">
        <v>4</v>
      </c>
      <c r="D204" s="8" t="s">
        <v>17</v>
      </c>
      <c r="E204" s="6">
        <v>12.88</v>
      </c>
      <c r="F204" s="8" t="s">
        <v>418</v>
      </c>
      <c r="G204" s="8" t="s">
        <v>417</v>
      </c>
      <c r="H204" s="8" t="s">
        <v>619</v>
      </c>
      <c r="I204" s="10">
        <f t="shared" si="6"/>
        <v>46082</v>
      </c>
      <c r="J204" t="str">
        <f t="shared" si="7"/>
        <v>Personal - Food</v>
      </c>
    </row>
    <row r="205" spans="1:10" ht="60" customHeight="1" x14ac:dyDescent="0.25">
      <c r="A205" s="7" t="s">
        <v>416</v>
      </c>
      <c r="B205" s="7" t="s">
        <v>417</v>
      </c>
      <c r="C205" s="7" t="s">
        <v>4</v>
      </c>
      <c r="D205" s="7" t="s">
        <v>17</v>
      </c>
      <c r="E205" s="5">
        <v>15.28</v>
      </c>
      <c r="F205" s="7" t="s">
        <v>419</v>
      </c>
      <c r="G205" s="7" t="s">
        <v>417</v>
      </c>
      <c r="H205" s="7" t="s">
        <v>619</v>
      </c>
      <c r="I205" s="10">
        <f t="shared" si="6"/>
        <v>46082</v>
      </c>
      <c r="J205" t="str">
        <f t="shared" si="7"/>
        <v>Personal - Food</v>
      </c>
    </row>
    <row r="206" spans="1:10" ht="60" customHeight="1" x14ac:dyDescent="0.25">
      <c r="A206" s="8" t="s">
        <v>416</v>
      </c>
      <c r="B206" s="8" t="s">
        <v>420</v>
      </c>
      <c r="C206" s="8" t="s">
        <v>4</v>
      </c>
      <c r="D206" s="8" t="s">
        <v>17</v>
      </c>
      <c r="E206" s="6">
        <v>129.5</v>
      </c>
      <c r="F206" s="8" t="s">
        <v>421</v>
      </c>
      <c r="G206" s="8" t="s">
        <v>420</v>
      </c>
      <c r="H206" s="8" t="s">
        <v>619</v>
      </c>
      <c r="I206" s="10">
        <f t="shared" si="6"/>
        <v>46082</v>
      </c>
      <c r="J206" t="str">
        <f t="shared" si="7"/>
        <v>Personal - Food</v>
      </c>
    </row>
    <row r="207" spans="1:10" ht="60" customHeight="1" x14ac:dyDescent="0.25">
      <c r="A207" s="7" t="s">
        <v>422</v>
      </c>
      <c r="B207" s="7" t="s">
        <v>180</v>
      </c>
      <c r="C207" s="7" t="s">
        <v>4</v>
      </c>
      <c r="D207" s="7" t="s">
        <v>17</v>
      </c>
      <c r="E207" s="5">
        <v>3.25</v>
      </c>
      <c r="F207" s="7" t="s">
        <v>423</v>
      </c>
      <c r="G207" s="7" t="s">
        <v>180</v>
      </c>
      <c r="H207" s="7" t="s">
        <v>622</v>
      </c>
      <c r="I207" s="10">
        <f t="shared" si="6"/>
        <v>46082</v>
      </c>
      <c r="J207" t="str">
        <f t="shared" si="7"/>
        <v>Personal - Car</v>
      </c>
    </row>
    <row r="208" spans="1:10" ht="60" customHeight="1" x14ac:dyDescent="0.25">
      <c r="A208" s="8" t="s">
        <v>422</v>
      </c>
      <c r="B208" s="8" t="s">
        <v>171</v>
      </c>
      <c r="C208" s="8" t="s">
        <v>4</v>
      </c>
      <c r="D208" s="8" t="s">
        <v>17</v>
      </c>
      <c r="E208" s="6">
        <v>169.07</v>
      </c>
      <c r="F208" s="8" t="s">
        <v>424</v>
      </c>
      <c r="G208" s="8" t="s">
        <v>171</v>
      </c>
      <c r="H208" s="8" t="s">
        <v>619</v>
      </c>
      <c r="I208" s="10">
        <f t="shared" si="6"/>
        <v>46082</v>
      </c>
      <c r="J208" t="str">
        <f t="shared" si="7"/>
        <v>Personal - Food</v>
      </c>
    </row>
    <row r="209" spans="1:10" ht="60" customHeight="1" x14ac:dyDescent="0.25">
      <c r="A209" s="7" t="s">
        <v>422</v>
      </c>
      <c r="B209" s="7" t="s">
        <v>176</v>
      </c>
      <c r="C209" s="7" t="s">
        <v>4</v>
      </c>
      <c r="D209" s="7" t="s">
        <v>17</v>
      </c>
      <c r="E209" s="5">
        <v>53.03</v>
      </c>
      <c r="F209" s="7" t="s">
        <v>425</v>
      </c>
      <c r="G209" s="7" t="s">
        <v>176</v>
      </c>
      <c r="H209" s="7" t="s">
        <v>619</v>
      </c>
      <c r="I209" s="10">
        <f t="shared" si="6"/>
        <v>46082</v>
      </c>
      <c r="J209" t="str">
        <f t="shared" si="7"/>
        <v>Personal - Food</v>
      </c>
    </row>
    <row r="210" spans="1:10" ht="60" customHeight="1" x14ac:dyDescent="0.25">
      <c r="A210" s="8" t="s">
        <v>426</v>
      </c>
      <c r="B210" s="8" t="s">
        <v>427</v>
      </c>
      <c r="C210" s="8" t="s">
        <v>4</v>
      </c>
      <c r="D210" s="8" t="s">
        <v>17</v>
      </c>
      <c r="E210" s="6">
        <v>48.4</v>
      </c>
      <c r="F210" s="8" t="s">
        <v>428</v>
      </c>
      <c r="G210" s="8" t="s">
        <v>427</v>
      </c>
      <c r="H210" s="8" t="s">
        <v>619</v>
      </c>
      <c r="I210" s="10">
        <f t="shared" si="6"/>
        <v>46082</v>
      </c>
      <c r="J210" t="str">
        <f t="shared" si="7"/>
        <v>Personal - Food</v>
      </c>
    </row>
    <row r="211" spans="1:10" ht="60" customHeight="1" x14ac:dyDescent="0.25">
      <c r="A211" s="7" t="s">
        <v>429</v>
      </c>
      <c r="B211" s="7" t="s">
        <v>430</v>
      </c>
      <c r="C211" s="7" t="s">
        <v>4</v>
      </c>
      <c r="D211" s="7" t="s">
        <v>17</v>
      </c>
      <c r="E211" s="5">
        <v>12</v>
      </c>
      <c r="F211" s="7" t="s">
        <v>431</v>
      </c>
      <c r="G211" s="7" t="s">
        <v>430</v>
      </c>
      <c r="H211" s="7" t="s">
        <v>622</v>
      </c>
      <c r="I211" s="10">
        <f t="shared" si="6"/>
        <v>46082</v>
      </c>
      <c r="J211" t="str">
        <f t="shared" si="7"/>
        <v>Personal - Car</v>
      </c>
    </row>
    <row r="212" spans="1:10" ht="60" customHeight="1" x14ac:dyDescent="0.25">
      <c r="A212" s="8" t="s">
        <v>429</v>
      </c>
      <c r="B212" s="8" t="s">
        <v>432</v>
      </c>
      <c r="C212" s="8" t="s">
        <v>4</v>
      </c>
      <c r="D212" s="8" t="s">
        <v>17</v>
      </c>
      <c r="E212" s="6">
        <v>195.26</v>
      </c>
      <c r="F212" s="8" t="s">
        <v>433</v>
      </c>
      <c r="G212" s="8" t="s">
        <v>432</v>
      </c>
      <c r="H212" s="8" t="s">
        <v>619</v>
      </c>
      <c r="I212" s="10">
        <f t="shared" si="6"/>
        <v>46082</v>
      </c>
      <c r="J212" t="str">
        <f t="shared" si="7"/>
        <v>Personal - Food</v>
      </c>
    </row>
    <row r="213" spans="1:10" ht="60" customHeight="1" x14ac:dyDescent="0.25">
      <c r="A213" s="7" t="s">
        <v>429</v>
      </c>
      <c r="B213" s="7" t="s">
        <v>252</v>
      </c>
      <c r="C213" s="7" t="s">
        <v>4</v>
      </c>
      <c r="D213" s="7" t="s">
        <v>17</v>
      </c>
      <c r="E213" s="5">
        <v>188.09</v>
      </c>
      <c r="F213" s="7" t="s">
        <v>434</v>
      </c>
      <c r="G213" s="7" t="s">
        <v>252</v>
      </c>
      <c r="H213" s="7" t="s">
        <v>619</v>
      </c>
      <c r="I213" s="10">
        <f t="shared" si="6"/>
        <v>46082</v>
      </c>
      <c r="J213" t="str">
        <f t="shared" si="7"/>
        <v>Personal - Food</v>
      </c>
    </row>
    <row r="214" spans="1:10" ht="60" customHeight="1" x14ac:dyDescent="0.25">
      <c r="A214" s="8" t="s">
        <v>435</v>
      </c>
      <c r="B214" s="8" t="s">
        <v>436</v>
      </c>
      <c r="C214" s="8" t="s">
        <v>4</v>
      </c>
      <c r="D214" s="8" t="s">
        <v>17</v>
      </c>
      <c r="E214" s="6">
        <v>89.68</v>
      </c>
      <c r="F214" s="8" t="s">
        <v>437</v>
      </c>
      <c r="G214" s="8" t="s">
        <v>436</v>
      </c>
      <c r="H214" s="8" t="s">
        <v>622</v>
      </c>
      <c r="I214" s="10">
        <f t="shared" si="6"/>
        <v>46082</v>
      </c>
      <c r="J214" t="str">
        <f t="shared" si="7"/>
        <v>Personal - Car</v>
      </c>
    </row>
    <row r="215" spans="1:10" ht="60" customHeight="1" x14ac:dyDescent="0.25">
      <c r="A215" s="7" t="s">
        <v>438</v>
      </c>
      <c r="B215" s="7" t="s">
        <v>439</v>
      </c>
      <c r="C215" s="7" t="s">
        <v>4</v>
      </c>
      <c r="D215" s="7" t="s">
        <v>17</v>
      </c>
      <c r="E215" s="5">
        <v>25.5</v>
      </c>
      <c r="F215" s="7" t="s">
        <v>440</v>
      </c>
      <c r="G215" s="7" t="s">
        <v>439</v>
      </c>
      <c r="H215" s="7" t="s">
        <v>694</v>
      </c>
      <c r="I215" s="10">
        <f t="shared" si="6"/>
        <v>46082</v>
      </c>
      <c r="J215" t="str">
        <f t="shared" si="7"/>
        <v>Insurance</v>
      </c>
    </row>
    <row r="216" spans="1:10" ht="60" customHeight="1" x14ac:dyDescent="0.25">
      <c r="A216" s="8" t="s">
        <v>438</v>
      </c>
      <c r="B216" s="8" t="s">
        <v>441</v>
      </c>
      <c r="C216" s="8" t="s">
        <v>4</v>
      </c>
      <c r="D216" s="8" t="s">
        <v>17</v>
      </c>
      <c r="E216" s="6">
        <v>50</v>
      </c>
      <c r="F216" s="8" t="s">
        <v>442</v>
      </c>
      <c r="G216" s="8" t="s">
        <v>443</v>
      </c>
      <c r="H216" s="8" t="s">
        <v>625</v>
      </c>
      <c r="I216" s="10">
        <f t="shared" si="6"/>
        <v>46082</v>
      </c>
      <c r="J216" t="str">
        <f t="shared" si="7"/>
        <v>Personal - Entertainment</v>
      </c>
    </row>
    <row r="217" spans="1:10" ht="60" customHeight="1" x14ac:dyDescent="0.25">
      <c r="A217" s="7" t="s">
        <v>444</v>
      </c>
      <c r="B217" s="7" t="s">
        <v>150</v>
      </c>
      <c r="C217" s="7" t="s">
        <v>4</v>
      </c>
      <c r="D217" s="7" t="s">
        <v>17</v>
      </c>
      <c r="E217" s="5">
        <v>6.75</v>
      </c>
      <c r="F217" s="7" t="s">
        <v>445</v>
      </c>
      <c r="G217" s="7" t="s">
        <v>150</v>
      </c>
      <c r="H217" s="7" t="s">
        <v>619</v>
      </c>
      <c r="I217" s="10">
        <f t="shared" si="6"/>
        <v>46082</v>
      </c>
      <c r="J217" t="str">
        <f t="shared" si="7"/>
        <v>Personal - Food</v>
      </c>
    </row>
    <row r="218" spans="1:10" ht="60" customHeight="1" x14ac:dyDescent="0.25">
      <c r="A218" s="8" t="s">
        <v>444</v>
      </c>
      <c r="B218" s="8" t="s">
        <v>248</v>
      </c>
      <c r="C218" s="8" t="s">
        <v>4</v>
      </c>
      <c r="D218" s="8" t="s">
        <v>17</v>
      </c>
      <c r="E218" s="6">
        <v>111.91</v>
      </c>
      <c r="F218" s="8" t="s">
        <v>446</v>
      </c>
      <c r="G218" s="8" t="s">
        <v>248</v>
      </c>
      <c r="H218" s="8" t="s">
        <v>619</v>
      </c>
      <c r="I218" s="10">
        <f t="shared" si="6"/>
        <v>46082</v>
      </c>
      <c r="J218" t="str">
        <f t="shared" si="7"/>
        <v>Personal - Food</v>
      </c>
    </row>
    <row r="219" spans="1:10" ht="60" customHeight="1" x14ac:dyDescent="0.25">
      <c r="A219" s="7" t="s">
        <v>447</v>
      </c>
      <c r="B219" s="7" t="s">
        <v>448</v>
      </c>
      <c r="C219" s="7" t="s">
        <v>4</v>
      </c>
      <c r="D219" s="7" t="s">
        <v>17</v>
      </c>
      <c r="E219" s="5">
        <v>50</v>
      </c>
      <c r="F219" s="7" t="s">
        <v>449</v>
      </c>
      <c r="G219" s="7" t="s">
        <v>448</v>
      </c>
      <c r="H219" s="7" t="s">
        <v>633</v>
      </c>
      <c r="I219" s="10">
        <f t="shared" si="6"/>
        <v>46082</v>
      </c>
      <c r="J219" t="str">
        <f t="shared" si="7"/>
        <v>Software &amp; Subscriptions</v>
      </c>
    </row>
    <row r="220" spans="1:10" ht="60" customHeight="1" x14ac:dyDescent="0.25">
      <c r="A220" s="8" t="s">
        <v>450</v>
      </c>
      <c r="B220" s="8" t="s">
        <v>451</v>
      </c>
      <c r="C220" s="8" t="s">
        <v>4</v>
      </c>
      <c r="D220" s="8" t="s">
        <v>17</v>
      </c>
      <c r="E220" s="6">
        <v>69.62</v>
      </c>
      <c r="F220" s="8" t="s">
        <v>452</v>
      </c>
      <c r="G220" s="8" t="s">
        <v>451</v>
      </c>
      <c r="H220" s="8" t="s">
        <v>633</v>
      </c>
      <c r="I220" s="10">
        <f t="shared" si="6"/>
        <v>46082</v>
      </c>
      <c r="J220" t="str">
        <f t="shared" si="7"/>
        <v>Software &amp; Subscriptions</v>
      </c>
    </row>
    <row r="221" spans="1:10" ht="60" customHeight="1" x14ac:dyDescent="0.25">
      <c r="A221" s="7" t="s">
        <v>450</v>
      </c>
      <c r="B221" s="7" t="s">
        <v>453</v>
      </c>
      <c r="C221" s="7" t="s">
        <v>4</v>
      </c>
      <c r="D221" s="7" t="s">
        <v>17</v>
      </c>
      <c r="E221" s="5">
        <v>359.64</v>
      </c>
      <c r="F221" s="7" t="s">
        <v>454</v>
      </c>
      <c r="G221" s="7" t="s">
        <v>453</v>
      </c>
      <c r="H221" s="7" t="s">
        <v>633</v>
      </c>
      <c r="I221" s="10">
        <f t="shared" si="6"/>
        <v>46082</v>
      </c>
      <c r="J221" t="str">
        <f t="shared" si="7"/>
        <v>Software &amp; Subscriptions</v>
      </c>
    </row>
    <row r="222" spans="1:10" ht="60" customHeight="1" x14ac:dyDescent="0.25">
      <c r="A222" s="8" t="s">
        <v>450</v>
      </c>
      <c r="B222" s="8" t="s">
        <v>199</v>
      </c>
      <c r="C222" s="8" t="s">
        <v>4</v>
      </c>
      <c r="D222" s="8" t="s">
        <v>17</v>
      </c>
      <c r="E222" s="6">
        <v>199</v>
      </c>
      <c r="F222" s="8" t="s">
        <v>455</v>
      </c>
      <c r="G222" s="8" t="s">
        <v>199</v>
      </c>
      <c r="H222" s="8" t="s">
        <v>621</v>
      </c>
      <c r="I222" s="10">
        <f t="shared" si="6"/>
        <v>46082</v>
      </c>
      <c r="J222" t="str">
        <f t="shared" si="7"/>
        <v>Personal - Health</v>
      </c>
    </row>
    <row r="223" spans="1:10" ht="60" customHeight="1" x14ac:dyDescent="0.25">
      <c r="A223" s="7" t="s">
        <v>456</v>
      </c>
      <c r="B223" s="7" t="s">
        <v>457</v>
      </c>
      <c r="C223" s="7" t="s">
        <v>4</v>
      </c>
      <c r="D223" s="7" t="s">
        <v>17</v>
      </c>
      <c r="E223" s="5">
        <v>49</v>
      </c>
      <c r="F223" s="7" t="s">
        <v>458</v>
      </c>
      <c r="G223" s="7" t="s">
        <v>457</v>
      </c>
      <c r="H223" s="7" t="s">
        <v>633</v>
      </c>
      <c r="I223" s="10">
        <f t="shared" si="6"/>
        <v>46082</v>
      </c>
      <c r="J223" t="str">
        <f t="shared" si="7"/>
        <v>Software &amp; Subscriptions</v>
      </c>
    </row>
    <row r="224" spans="1:10" ht="60" customHeight="1" x14ac:dyDescent="0.25">
      <c r="A224" s="8" t="s">
        <v>459</v>
      </c>
      <c r="B224" s="8" t="s">
        <v>460</v>
      </c>
      <c r="C224" s="8" t="s">
        <v>4</v>
      </c>
      <c r="D224" s="8" t="s">
        <v>17</v>
      </c>
      <c r="E224" s="6">
        <v>65</v>
      </c>
      <c r="F224" s="8" t="s">
        <v>461</v>
      </c>
      <c r="G224" s="8" t="s">
        <v>460</v>
      </c>
      <c r="H224" s="8" t="s">
        <v>633</v>
      </c>
      <c r="I224" s="10">
        <f t="shared" si="6"/>
        <v>46082</v>
      </c>
      <c r="J224" t="str">
        <f t="shared" si="7"/>
        <v>Software &amp; Subscriptions</v>
      </c>
    </row>
    <row r="225" spans="1:10" ht="60" customHeight="1" x14ac:dyDescent="0.25">
      <c r="A225" s="7" t="s">
        <v>459</v>
      </c>
      <c r="B225" s="7" t="s">
        <v>462</v>
      </c>
      <c r="C225" s="7" t="s">
        <v>4</v>
      </c>
      <c r="D225" s="7" t="s">
        <v>17</v>
      </c>
      <c r="E225" s="5">
        <v>5</v>
      </c>
      <c r="F225" s="7" t="s">
        <v>463</v>
      </c>
      <c r="G225" s="7" t="s">
        <v>462</v>
      </c>
      <c r="H225" s="7" t="s">
        <v>624</v>
      </c>
      <c r="I225" s="10">
        <f t="shared" si="6"/>
        <v>46082</v>
      </c>
      <c r="J225" t="str">
        <f t="shared" si="7"/>
        <v>Team Travel</v>
      </c>
    </row>
    <row r="226" spans="1:10" ht="60" customHeight="1" x14ac:dyDescent="0.25">
      <c r="A226" s="8" t="s">
        <v>459</v>
      </c>
      <c r="B226" s="8" t="s">
        <v>464</v>
      </c>
      <c r="C226" s="8" t="s">
        <v>4</v>
      </c>
      <c r="D226" s="8" t="s">
        <v>17</v>
      </c>
      <c r="E226" s="6">
        <v>59.99</v>
      </c>
      <c r="F226" s="8" t="s">
        <v>465</v>
      </c>
      <c r="G226" s="8" t="s">
        <v>466</v>
      </c>
      <c r="H226" s="8" t="s">
        <v>624</v>
      </c>
      <c r="I226" s="10">
        <f t="shared" si="6"/>
        <v>46082</v>
      </c>
      <c r="J226" t="str">
        <f t="shared" si="7"/>
        <v>Team Travel</v>
      </c>
    </row>
    <row r="227" spans="1:10" ht="60" customHeight="1" x14ac:dyDescent="0.25">
      <c r="A227" s="7" t="s">
        <v>459</v>
      </c>
      <c r="B227" s="7" t="s">
        <v>467</v>
      </c>
      <c r="C227" s="7" t="s">
        <v>4</v>
      </c>
      <c r="D227" s="7" t="s">
        <v>17</v>
      </c>
      <c r="E227" s="5">
        <v>45.96</v>
      </c>
      <c r="F227" s="7" t="s">
        <v>468</v>
      </c>
      <c r="G227" s="7" t="s">
        <v>467</v>
      </c>
      <c r="H227" s="7" t="s">
        <v>633</v>
      </c>
      <c r="I227" s="10">
        <f t="shared" si="6"/>
        <v>46082</v>
      </c>
      <c r="J227" t="str">
        <f t="shared" si="7"/>
        <v>Software &amp; Subscriptions</v>
      </c>
    </row>
    <row r="228" spans="1:10" ht="60" customHeight="1" x14ac:dyDescent="0.25">
      <c r="A228" s="8" t="s">
        <v>459</v>
      </c>
      <c r="B228" s="8" t="s">
        <v>469</v>
      </c>
      <c r="C228" s="8" t="s">
        <v>4</v>
      </c>
      <c r="D228" s="8" t="s">
        <v>17</v>
      </c>
      <c r="E228" s="6">
        <v>-57.5</v>
      </c>
      <c r="F228" s="8" t="s">
        <v>470</v>
      </c>
      <c r="G228" s="8" t="s">
        <v>469</v>
      </c>
      <c r="H228" s="8" t="s">
        <v>638</v>
      </c>
      <c r="I228" s="10">
        <f t="shared" si="6"/>
        <v>46082</v>
      </c>
      <c r="J228" t="str">
        <f t="shared" si="7"/>
        <v>Scam</v>
      </c>
    </row>
    <row r="229" spans="1:10" ht="60" customHeight="1" x14ac:dyDescent="0.25">
      <c r="A229" s="7" t="s">
        <v>459</v>
      </c>
      <c r="B229" s="7" t="s">
        <v>469</v>
      </c>
      <c r="C229" s="7" t="s">
        <v>4</v>
      </c>
      <c r="D229" s="7" t="s">
        <v>17</v>
      </c>
      <c r="E229" s="5">
        <v>57.5</v>
      </c>
      <c r="F229" s="7" t="s">
        <v>471</v>
      </c>
      <c r="G229" s="7" t="s">
        <v>469</v>
      </c>
      <c r="H229" s="7" t="s">
        <v>638</v>
      </c>
      <c r="I229" s="10">
        <f t="shared" si="6"/>
        <v>46082</v>
      </c>
      <c r="J229" t="str">
        <f t="shared" si="7"/>
        <v>Scam</v>
      </c>
    </row>
    <row r="230" spans="1:10" ht="60" customHeight="1" x14ac:dyDescent="0.25">
      <c r="A230" s="8" t="s">
        <v>459</v>
      </c>
      <c r="B230" s="8" t="s">
        <v>472</v>
      </c>
      <c r="C230" s="8" t="s">
        <v>4</v>
      </c>
      <c r="D230" s="8" t="s">
        <v>17</v>
      </c>
      <c r="E230" s="6">
        <v>59.99</v>
      </c>
      <c r="F230" s="8" t="s">
        <v>473</v>
      </c>
      <c r="G230" s="8" t="s">
        <v>472</v>
      </c>
      <c r="H230" s="8" t="s">
        <v>633</v>
      </c>
      <c r="I230" s="10">
        <f t="shared" si="6"/>
        <v>46082</v>
      </c>
      <c r="J230" t="str">
        <f t="shared" si="7"/>
        <v>Software &amp; Subscriptions</v>
      </c>
    </row>
    <row r="231" spans="1:10" ht="60" customHeight="1" x14ac:dyDescent="0.25">
      <c r="A231" s="7" t="s">
        <v>474</v>
      </c>
      <c r="B231" s="7" t="s">
        <v>475</v>
      </c>
      <c r="C231" s="7" t="s">
        <v>4</v>
      </c>
      <c r="D231" s="7" t="s">
        <v>17</v>
      </c>
      <c r="E231" s="5">
        <v>271.02999999999997</v>
      </c>
      <c r="F231" s="7" t="s">
        <v>476</v>
      </c>
      <c r="G231" s="7" t="s">
        <v>475</v>
      </c>
      <c r="H231" s="7" t="s">
        <v>624</v>
      </c>
      <c r="I231" s="10">
        <f t="shared" si="6"/>
        <v>46082</v>
      </c>
      <c r="J231" t="str">
        <f t="shared" si="7"/>
        <v>Team Travel</v>
      </c>
    </row>
    <row r="232" spans="1:10" ht="60" customHeight="1" x14ac:dyDescent="0.25">
      <c r="A232" s="8" t="s">
        <v>474</v>
      </c>
      <c r="B232" s="8" t="s">
        <v>477</v>
      </c>
      <c r="C232" s="8" t="s">
        <v>4</v>
      </c>
      <c r="D232" s="8" t="s">
        <v>17</v>
      </c>
      <c r="E232" s="6">
        <v>-539.98</v>
      </c>
      <c r="F232" s="8" t="s">
        <v>478</v>
      </c>
      <c r="G232" s="8" t="s">
        <v>477</v>
      </c>
      <c r="H232" s="8" t="s">
        <v>638</v>
      </c>
      <c r="I232" s="10">
        <f t="shared" si="6"/>
        <v>46082</v>
      </c>
      <c r="J232" t="str">
        <f t="shared" si="7"/>
        <v>Scam</v>
      </c>
    </row>
    <row r="233" spans="1:10" ht="60" customHeight="1" x14ac:dyDescent="0.25">
      <c r="A233" s="7" t="s">
        <v>474</v>
      </c>
      <c r="B233" s="7" t="s">
        <v>477</v>
      </c>
      <c r="C233" s="7" t="s">
        <v>4</v>
      </c>
      <c r="D233" s="7" t="s">
        <v>17</v>
      </c>
      <c r="E233" s="5">
        <v>539.98</v>
      </c>
      <c r="F233" s="7" t="s">
        <v>479</v>
      </c>
      <c r="G233" s="7" t="s">
        <v>477</v>
      </c>
      <c r="H233" s="7" t="s">
        <v>638</v>
      </c>
      <c r="I233" s="10">
        <f t="shared" si="6"/>
        <v>46082</v>
      </c>
      <c r="J233" t="str">
        <f t="shared" si="7"/>
        <v>Scam</v>
      </c>
    </row>
    <row r="234" spans="1:10" ht="60" customHeight="1" x14ac:dyDescent="0.25">
      <c r="A234" s="8" t="s">
        <v>474</v>
      </c>
      <c r="B234" s="8" t="s">
        <v>480</v>
      </c>
      <c r="C234" s="8" t="s">
        <v>4</v>
      </c>
      <c r="D234" s="8" t="s">
        <v>17</v>
      </c>
      <c r="E234" s="6">
        <v>-97.19</v>
      </c>
      <c r="F234" s="8" t="s">
        <v>481</v>
      </c>
      <c r="G234" s="8" t="s">
        <v>480</v>
      </c>
      <c r="H234" s="8" t="s">
        <v>638</v>
      </c>
      <c r="I234" s="10">
        <f t="shared" si="6"/>
        <v>46082</v>
      </c>
      <c r="J234" t="str">
        <f t="shared" si="7"/>
        <v>Scam</v>
      </c>
    </row>
    <row r="235" spans="1:10" ht="60" customHeight="1" x14ac:dyDescent="0.25">
      <c r="A235" s="7" t="s">
        <v>474</v>
      </c>
      <c r="B235" s="7" t="s">
        <v>480</v>
      </c>
      <c r="C235" s="7" t="s">
        <v>4</v>
      </c>
      <c r="D235" s="7" t="s">
        <v>17</v>
      </c>
      <c r="E235" s="5">
        <v>5.19</v>
      </c>
      <c r="F235" s="7" t="s">
        <v>482</v>
      </c>
      <c r="G235" s="7" t="s">
        <v>480</v>
      </c>
      <c r="H235" s="7" t="s">
        <v>624</v>
      </c>
      <c r="I235" s="10">
        <f t="shared" si="6"/>
        <v>46082</v>
      </c>
      <c r="J235" t="str">
        <f t="shared" si="7"/>
        <v>Team Travel</v>
      </c>
    </row>
    <row r="236" spans="1:10" ht="60" customHeight="1" x14ac:dyDescent="0.25">
      <c r="A236" s="8" t="s">
        <v>474</v>
      </c>
      <c r="B236" s="8" t="s">
        <v>480</v>
      </c>
      <c r="C236" s="8" t="s">
        <v>4</v>
      </c>
      <c r="D236" s="8" t="s">
        <v>17</v>
      </c>
      <c r="E236" s="6">
        <v>24.69</v>
      </c>
      <c r="F236" s="8" t="s">
        <v>483</v>
      </c>
      <c r="G236" s="8" t="s">
        <v>480</v>
      </c>
      <c r="H236" s="8" t="s">
        <v>624</v>
      </c>
      <c r="I236" s="10">
        <f t="shared" si="6"/>
        <v>46082</v>
      </c>
      <c r="J236" t="str">
        <f t="shared" si="7"/>
        <v>Team Travel</v>
      </c>
    </row>
    <row r="237" spans="1:10" ht="60" customHeight="1" x14ac:dyDescent="0.25">
      <c r="A237" s="7" t="s">
        <v>474</v>
      </c>
      <c r="B237" s="7" t="s">
        <v>480</v>
      </c>
      <c r="C237" s="7" t="s">
        <v>4</v>
      </c>
      <c r="D237" s="7" t="s">
        <v>17</v>
      </c>
      <c r="E237" s="5">
        <v>97.19</v>
      </c>
      <c r="F237" s="7" t="s">
        <v>484</v>
      </c>
      <c r="G237" s="7" t="s">
        <v>480</v>
      </c>
      <c r="H237" s="7" t="s">
        <v>638</v>
      </c>
      <c r="I237" s="10">
        <f t="shared" si="6"/>
        <v>46082</v>
      </c>
      <c r="J237" t="str">
        <f t="shared" si="7"/>
        <v>Scam</v>
      </c>
    </row>
    <row r="238" spans="1:10" ht="60" customHeight="1" x14ac:dyDescent="0.25">
      <c r="A238" s="8" t="s">
        <v>474</v>
      </c>
      <c r="B238" s="8" t="s">
        <v>485</v>
      </c>
      <c r="C238" s="8" t="s">
        <v>4</v>
      </c>
      <c r="D238" s="8" t="s">
        <v>17</v>
      </c>
      <c r="E238" s="6">
        <v>-987.52</v>
      </c>
      <c r="F238" s="8" t="s">
        <v>486</v>
      </c>
      <c r="G238" s="8" t="s">
        <v>485</v>
      </c>
      <c r="H238" s="8" t="s">
        <v>638</v>
      </c>
      <c r="I238" s="10">
        <f t="shared" si="6"/>
        <v>46082</v>
      </c>
      <c r="J238" t="str">
        <f t="shared" si="7"/>
        <v>Scam</v>
      </c>
    </row>
    <row r="239" spans="1:10" ht="60" customHeight="1" x14ac:dyDescent="0.25">
      <c r="A239" s="7" t="s">
        <v>474</v>
      </c>
      <c r="B239" s="7" t="s">
        <v>485</v>
      </c>
      <c r="C239" s="7" t="s">
        <v>4</v>
      </c>
      <c r="D239" s="7" t="s">
        <v>17</v>
      </c>
      <c r="E239" s="5">
        <v>987.52</v>
      </c>
      <c r="F239" s="7" t="s">
        <v>487</v>
      </c>
      <c r="G239" s="7" t="s">
        <v>485</v>
      </c>
      <c r="H239" s="7" t="s">
        <v>638</v>
      </c>
      <c r="I239" s="10">
        <f t="shared" si="6"/>
        <v>46082</v>
      </c>
      <c r="J239" t="str">
        <f t="shared" si="7"/>
        <v>Scam</v>
      </c>
    </row>
    <row r="240" spans="1:10" ht="60" customHeight="1" x14ac:dyDescent="0.25">
      <c r="A240" s="8" t="s">
        <v>474</v>
      </c>
      <c r="B240" s="8" t="s">
        <v>488</v>
      </c>
      <c r="C240" s="8" t="s">
        <v>4</v>
      </c>
      <c r="D240" s="8" t="s">
        <v>17</v>
      </c>
      <c r="E240" s="6">
        <v>1031</v>
      </c>
      <c r="F240" s="8" t="s">
        <v>489</v>
      </c>
      <c r="G240" s="8" t="s">
        <v>488</v>
      </c>
      <c r="H240" s="8" t="s">
        <v>639</v>
      </c>
      <c r="I240" s="10">
        <f t="shared" si="6"/>
        <v>46082</v>
      </c>
      <c r="J240" t="str">
        <f t="shared" si="7"/>
        <v>Realtor Association</v>
      </c>
    </row>
    <row r="241" spans="1:10" ht="60" customHeight="1" x14ac:dyDescent="0.25">
      <c r="A241" s="7" t="s">
        <v>474</v>
      </c>
      <c r="B241" s="7" t="s">
        <v>490</v>
      </c>
      <c r="C241" s="7" t="s">
        <v>4</v>
      </c>
      <c r="D241" s="7" t="s">
        <v>17</v>
      </c>
      <c r="E241" s="5">
        <v>14.06</v>
      </c>
      <c r="F241" s="7" t="s">
        <v>491</v>
      </c>
      <c r="G241" s="7" t="s">
        <v>490</v>
      </c>
      <c r="H241" s="7" t="s">
        <v>633</v>
      </c>
      <c r="I241" s="10">
        <f t="shared" si="6"/>
        <v>46082</v>
      </c>
      <c r="J241" t="str">
        <f t="shared" si="7"/>
        <v>Software &amp; Subscriptions</v>
      </c>
    </row>
    <row r="242" spans="1:10" ht="60" customHeight="1" x14ac:dyDescent="0.25">
      <c r="A242" s="8" t="s">
        <v>474</v>
      </c>
      <c r="B242" s="8" t="s">
        <v>492</v>
      </c>
      <c r="C242" s="8" t="s">
        <v>4</v>
      </c>
      <c r="D242" s="8" t="s">
        <v>17</v>
      </c>
      <c r="E242" s="6">
        <v>29.31</v>
      </c>
      <c r="F242" s="8" t="s">
        <v>493</v>
      </c>
      <c r="G242" s="8" t="s">
        <v>492</v>
      </c>
      <c r="H242" s="8" t="s">
        <v>624</v>
      </c>
      <c r="I242" s="10">
        <f t="shared" si="6"/>
        <v>46082</v>
      </c>
      <c r="J242" t="str">
        <f t="shared" si="7"/>
        <v>Team Travel</v>
      </c>
    </row>
    <row r="243" spans="1:10" ht="60" customHeight="1" x14ac:dyDescent="0.25">
      <c r="A243" s="7" t="s">
        <v>474</v>
      </c>
      <c r="B243" s="7" t="s">
        <v>492</v>
      </c>
      <c r="C243" s="7" t="s">
        <v>4</v>
      </c>
      <c r="D243" s="7" t="s">
        <v>17</v>
      </c>
      <c r="E243" s="5">
        <v>46.76</v>
      </c>
      <c r="F243" s="7" t="s">
        <v>493</v>
      </c>
      <c r="G243" s="7" t="s">
        <v>492</v>
      </c>
      <c r="H243" s="7" t="s">
        <v>624</v>
      </c>
      <c r="I243" s="10">
        <f t="shared" si="6"/>
        <v>46082</v>
      </c>
      <c r="J243" t="str">
        <f t="shared" si="7"/>
        <v>Team Travel</v>
      </c>
    </row>
    <row r="244" spans="1:10" ht="60" customHeight="1" x14ac:dyDescent="0.25">
      <c r="A244" s="8" t="s">
        <v>474</v>
      </c>
      <c r="B244" s="8" t="s">
        <v>492</v>
      </c>
      <c r="C244" s="8" t="s">
        <v>4</v>
      </c>
      <c r="D244" s="8" t="s">
        <v>17</v>
      </c>
      <c r="E244" s="6">
        <v>64.25</v>
      </c>
      <c r="F244" s="8" t="s">
        <v>493</v>
      </c>
      <c r="G244" s="8" t="s">
        <v>492</v>
      </c>
      <c r="H244" s="8" t="s">
        <v>624</v>
      </c>
      <c r="I244" s="10">
        <f t="shared" si="6"/>
        <v>46082</v>
      </c>
      <c r="J244" t="str">
        <f t="shared" si="7"/>
        <v>Team Travel</v>
      </c>
    </row>
    <row r="245" spans="1:10" ht="60" customHeight="1" x14ac:dyDescent="0.25">
      <c r="A245" s="7" t="s">
        <v>494</v>
      </c>
      <c r="B245" s="7" t="s">
        <v>495</v>
      </c>
      <c r="C245" s="7" t="s">
        <v>4</v>
      </c>
      <c r="D245" s="7" t="s">
        <v>17</v>
      </c>
      <c r="E245" s="5">
        <v>12.4</v>
      </c>
      <c r="F245" s="7" t="s">
        <v>496</v>
      </c>
      <c r="G245" s="7" t="s">
        <v>495</v>
      </c>
      <c r="H245" s="8" t="s">
        <v>624</v>
      </c>
      <c r="I245" s="10">
        <f t="shared" si="6"/>
        <v>46082</v>
      </c>
      <c r="J245" t="str">
        <f t="shared" si="7"/>
        <v>Team Travel</v>
      </c>
    </row>
    <row r="246" spans="1:10" ht="60" customHeight="1" x14ac:dyDescent="0.25">
      <c r="A246" s="8" t="s">
        <v>494</v>
      </c>
      <c r="B246" s="8" t="s">
        <v>497</v>
      </c>
      <c r="C246" s="8" t="s">
        <v>4</v>
      </c>
      <c r="D246" s="8" t="s">
        <v>17</v>
      </c>
      <c r="E246" s="6">
        <v>28</v>
      </c>
      <c r="F246" s="8" t="s">
        <v>498</v>
      </c>
      <c r="G246" s="8" t="s">
        <v>497</v>
      </c>
      <c r="H246" s="8" t="s">
        <v>624</v>
      </c>
      <c r="I246" s="10">
        <f t="shared" si="6"/>
        <v>46082</v>
      </c>
      <c r="J246" t="str">
        <f t="shared" si="7"/>
        <v>Team Travel</v>
      </c>
    </row>
    <row r="247" spans="1:10" ht="60" customHeight="1" x14ac:dyDescent="0.25">
      <c r="A247" s="7" t="s">
        <v>494</v>
      </c>
      <c r="B247" s="7" t="s">
        <v>499</v>
      </c>
      <c r="C247" s="7" t="s">
        <v>4</v>
      </c>
      <c r="D247" s="7" t="s">
        <v>17</v>
      </c>
      <c r="E247" s="5">
        <v>20</v>
      </c>
      <c r="F247" s="7" t="s">
        <v>500</v>
      </c>
      <c r="G247" s="7" t="s">
        <v>499</v>
      </c>
      <c r="H247" s="8" t="s">
        <v>624</v>
      </c>
      <c r="I247" s="10">
        <f t="shared" si="6"/>
        <v>46082</v>
      </c>
      <c r="J247" t="str">
        <f t="shared" si="7"/>
        <v>Team Travel</v>
      </c>
    </row>
    <row r="248" spans="1:10" ht="60" customHeight="1" x14ac:dyDescent="0.25">
      <c r="A248" s="8" t="s">
        <v>494</v>
      </c>
      <c r="B248" s="8" t="s">
        <v>501</v>
      </c>
      <c r="C248" s="8" t="s">
        <v>4</v>
      </c>
      <c r="D248" s="8" t="s">
        <v>17</v>
      </c>
      <c r="E248" s="6">
        <v>60.73</v>
      </c>
      <c r="F248" s="8" t="s">
        <v>502</v>
      </c>
      <c r="G248" s="8" t="s">
        <v>501</v>
      </c>
      <c r="H248" s="8" t="s">
        <v>633</v>
      </c>
      <c r="I248" s="10">
        <f t="shared" si="6"/>
        <v>46082</v>
      </c>
      <c r="J248" t="str">
        <f t="shared" si="7"/>
        <v>Software &amp; Subscriptions</v>
      </c>
    </row>
    <row r="249" spans="1:10" ht="60" customHeight="1" x14ac:dyDescent="0.25">
      <c r="A249" s="7" t="s">
        <v>494</v>
      </c>
      <c r="B249" s="7" t="s">
        <v>147</v>
      </c>
      <c r="C249" s="7" t="s">
        <v>4</v>
      </c>
      <c r="D249" s="7" t="s">
        <v>17</v>
      </c>
      <c r="E249" s="5">
        <v>21.4</v>
      </c>
      <c r="F249" s="7" t="s">
        <v>503</v>
      </c>
      <c r="G249" s="7" t="s">
        <v>147</v>
      </c>
      <c r="H249" s="7" t="s">
        <v>619</v>
      </c>
      <c r="I249" s="10">
        <f t="shared" si="6"/>
        <v>46082</v>
      </c>
      <c r="J249" t="str">
        <f t="shared" si="7"/>
        <v>Personal - Food</v>
      </c>
    </row>
    <row r="250" spans="1:10" ht="60" customHeight="1" x14ac:dyDescent="0.25">
      <c r="A250" s="8" t="s">
        <v>494</v>
      </c>
      <c r="B250" s="8" t="s">
        <v>504</v>
      </c>
      <c r="C250" s="8" t="s">
        <v>4</v>
      </c>
      <c r="D250" s="8" t="s">
        <v>17</v>
      </c>
      <c r="E250" s="6">
        <v>23.42</v>
      </c>
      <c r="F250" s="8" t="s">
        <v>505</v>
      </c>
      <c r="G250" s="8" t="s">
        <v>504</v>
      </c>
      <c r="H250" s="8" t="s">
        <v>624</v>
      </c>
      <c r="I250" s="10">
        <f t="shared" si="6"/>
        <v>46082</v>
      </c>
      <c r="J250" t="str">
        <f t="shared" si="7"/>
        <v>Team Travel</v>
      </c>
    </row>
    <row r="251" spans="1:10" ht="60" customHeight="1" x14ac:dyDescent="0.25">
      <c r="A251" s="7" t="s">
        <v>494</v>
      </c>
      <c r="B251" s="7" t="s">
        <v>506</v>
      </c>
      <c r="C251" s="7" t="s">
        <v>4</v>
      </c>
      <c r="D251" s="7" t="s">
        <v>17</v>
      </c>
      <c r="E251" s="5">
        <v>280.33</v>
      </c>
      <c r="F251" s="7" t="s">
        <v>507</v>
      </c>
      <c r="G251" s="7" t="s">
        <v>506</v>
      </c>
      <c r="H251" s="7" t="s">
        <v>624</v>
      </c>
      <c r="I251" s="10">
        <f t="shared" si="6"/>
        <v>46082</v>
      </c>
      <c r="J251" t="str">
        <f t="shared" si="7"/>
        <v>Team Travel</v>
      </c>
    </row>
    <row r="252" spans="1:10" ht="60" customHeight="1" x14ac:dyDescent="0.25">
      <c r="A252" s="8" t="s">
        <v>508</v>
      </c>
      <c r="B252" s="8" t="s">
        <v>150</v>
      </c>
      <c r="C252" s="8" t="s">
        <v>4</v>
      </c>
      <c r="D252" s="8" t="s">
        <v>17</v>
      </c>
      <c r="E252" s="6">
        <v>12.8</v>
      </c>
      <c r="F252" s="8" t="s">
        <v>509</v>
      </c>
      <c r="G252" s="8" t="s">
        <v>150</v>
      </c>
      <c r="H252" s="8" t="s">
        <v>624</v>
      </c>
      <c r="I252" s="10">
        <f t="shared" si="6"/>
        <v>46082</v>
      </c>
      <c r="J252" t="str">
        <f t="shared" si="7"/>
        <v>Team Travel</v>
      </c>
    </row>
    <row r="253" spans="1:10" ht="60" customHeight="1" x14ac:dyDescent="0.25">
      <c r="A253" s="7" t="s">
        <v>508</v>
      </c>
      <c r="B253" s="7" t="s">
        <v>510</v>
      </c>
      <c r="C253" s="7" t="s">
        <v>4</v>
      </c>
      <c r="D253" s="7" t="s">
        <v>17</v>
      </c>
      <c r="E253" s="5">
        <v>28.98</v>
      </c>
      <c r="F253" s="7" t="s">
        <v>511</v>
      </c>
      <c r="G253" s="7" t="s">
        <v>510</v>
      </c>
      <c r="H253" s="7" t="s">
        <v>633</v>
      </c>
      <c r="I253" s="10">
        <f t="shared" si="6"/>
        <v>46082</v>
      </c>
      <c r="J253" t="str">
        <f t="shared" si="7"/>
        <v>Software &amp; Subscriptions</v>
      </c>
    </row>
    <row r="254" spans="1:10" ht="60" customHeight="1" x14ac:dyDescent="0.25">
      <c r="A254" s="8" t="s">
        <v>508</v>
      </c>
      <c r="B254" s="8" t="s">
        <v>512</v>
      </c>
      <c r="C254" s="8" t="s">
        <v>4</v>
      </c>
      <c r="D254" s="8" t="s">
        <v>17</v>
      </c>
      <c r="E254" s="6">
        <v>636.57000000000005</v>
      </c>
      <c r="F254" s="8" t="s">
        <v>513</v>
      </c>
      <c r="G254" s="8" t="s">
        <v>512</v>
      </c>
      <c r="H254" s="8" t="s">
        <v>640</v>
      </c>
      <c r="I254" s="10">
        <f t="shared" si="6"/>
        <v>46082</v>
      </c>
      <c r="J254" t="str">
        <f t="shared" si="7"/>
        <v>Linkedin</v>
      </c>
    </row>
    <row r="255" spans="1:10" ht="60" customHeight="1" x14ac:dyDescent="0.25">
      <c r="A255" s="7" t="s">
        <v>508</v>
      </c>
      <c r="B255" s="7" t="s">
        <v>514</v>
      </c>
      <c r="C255" s="7" t="s">
        <v>4</v>
      </c>
      <c r="D255" s="7" t="s">
        <v>17</v>
      </c>
      <c r="E255" s="5">
        <v>21.77</v>
      </c>
      <c r="F255" s="7" t="s">
        <v>515</v>
      </c>
      <c r="G255" s="7" t="s">
        <v>514</v>
      </c>
      <c r="H255" s="7" t="s">
        <v>636</v>
      </c>
      <c r="I255" s="10">
        <f t="shared" si="6"/>
        <v>46082</v>
      </c>
      <c r="J255" t="str">
        <f t="shared" si="7"/>
        <v>Personal - House</v>
      </c>
    </row>
    <row r="256" spans="1:10" ht="60" customHeight="1" x14ac:dyDescent="0.25">
      <c r="A256" s="8" t="s">
        <v>508</v>
      </c>
      <c r="B256" s="8" t="s">
        <v>199</v>
      </c>
      <c r="C256" s="8" t="s">
        <v>4</v>
      </c>
      <c r="D256" s="8" t="s">
        <v>17</v>
      </c>
      <c r="E256" s="6">
        <v>230</v>
      </c>
      <c r="F256" s="8" t="s">
        <v>516</v>
      </c>
      <c r="G256" s="8" t="s">
        <v>199</v>
      </c>
      <c r="H256" s="8" t="s">
        <v>621</v>
      </c>
      <c r="I256" s="10">
        <f t="shared" si="6"/>
        <v>46082</v>
      </c>
      <c r="J256" t="str">
        <f t="shared" si="7"/>
        <v>Personal - Health</v>
      </c>
    </row>
    <row r="257" spans="1:10" ht="60" customHeight="1" x14ac:dyDescent="0.25">
      <c r="A257" s="7" t="s">
        <v>508</v>
      </c>
      <c r="B257" s="7" t="s">
        <v>248</v>
      </c>
      <c r="C257" s="7" t="s">
        <v>4</v>
      </c>
      <c r="D257" s="7" t="s">
        <v>17</v>
      </c>
      <c r="E257" s="5">
        <v>107.41</v>
      </c>
      <c r="F257" s="7" t="s">
        <v>517</v>
      </c>
      <c r="G257" s="7" t="s">
        <v>248</v>
      </c>
      <c r="H257" s="7" t="s">
        <v>619</v>
      </c>
      <c r="I257" s="10">
        <f t="shared" si="6"/>
        <v>46082</v>
      </c>
      <c r="J257" t="str">
        <f t="shared" si="7"/>
        <v>Personal - Food</v>
      </c>
    </row>
    <row r="258" spans="1:10" ht="60" customHeight="1" x14ac:dyDescent="0.25">
      <c r="A258" s="8" t="s">
        <v>508</v>
      </c>
      <c r="B258" s="8" t="s">
        <v>518</v>
      </c>
      <c r="C258" s="8" t="s">
        <v>4</v>
      </c>
      <c r="D258" s="8" t="s">
        <v>17</v>
      </c>
      <c r="E258" s="6">
        <v>24</v>
      </c>
      <c r="F258" s="8" t="s">
        <v>519</v>
      </c>
      <c r="G258" s="8" t="s">
        <v>518</v>
      </c>
      <c r="H258" s="8" t="s">
        <v>633</v>
      </c>
      <c r="I258" s="10">
        <f t="shared" si="6"/>
        <v>46082</v>
      </c>
      <c r="J258" t="str">
        <f t="shared" si="7"/>
        <v>Software &amp; Subscriptions</v>
      </c>
    </row>
    <row r="259" spans="1:10" ht="60" customHeight="1" x14ac:dyDescent="0.25">
      <c r="A259" s="7" t="s">
        <v>520</v>
      </c>
      <c r="B259" s="7" t="s">
        <v>521</v>
      </c>
      <c r="C259" s="7" t="s">
        <v>4</v>
      </c>
      <c r="D259" s="7" t="s">
        <v>17</v>
      </c>
      <c r="E259" s="5">
        <v>5.6</v>
      </c>
      <c r="F259" s="7" t="s">
        <v>522</v>
      </c>
      <c r="G259" s="7" t="s">
        <v>521</v>
      </c>
      <c r="H259" s="7" t="s">
        <v>624</v>
      </c>
      <c r="I259" s="10">
        <f t="shared" si="6"/>
        <v>46082</v>
      </c>
      <c r="J259" t="str">
        <f t="shared" si="7"/>
        <v>Team Travel</v>
      </c>
    </row>
    <row r="260" spans="1:10" ht="60" customHeight="1" x14ac:dyDescent="0.25">
      <c r="A260" s="8" t="s">
        <v>520</v>
      </c>
      <c r="B260" s="8" t="s">
        <v>521</v>
      </c>
      <c r="C260" s="8" t="s">
        <v>4</v>
      </c>
      <c r="D260" s="8" t="s">
        <v>17</v>
      </c>
      <c r="E260" s="6">
        <v>35</v>
      </c>
      <c r="F260" s="8" t="s">
        <v>523</v>
      </c>
      <c r="G260" s="8" t="s">
        <v>521</v>
      </c>
      <c r="H260" s="8" t="s">
        <v>624</v>
      </c>
      <c r="I260" s="10">
        <f t="shared" si="6"/>
        <v>46082</v>
      </c>
      <c r="J260" t="str">
        <f t="shared" si="7"/>
        <v>Team Travel</v>
      </c>
    </row>
    <row r="261" spans="1:10" ht="60" customHeight="1" x14ac:dyDescent="0.25">
      <c r="A261" s="7" t="s">
        <v>520</v>
      </c>
      <c r="B261" s="7" t="s">
        <v>521</v>
      </c>
      <c r="C261" s="7" t="s">
        <v>4</v>
      </c>
      <c r="D261" s="7" t="s">
        <v>17</v>
      </c>
      <c r="E261" s="5">
        <v>39.54</v>
      </c>
      <c r="F261" s="7" t="s">
        <v>524</v>
      </c>
      <c r="G261" s="7" t="s">
        <v>521</v>
      </c>
      <c r="H261" s="7" t="s">
        <v>624</v>
      </c>
      <c r="I261" s="10">
        <f t="shared" si="6"/>
        <v>46082</v>
      </c>
      <c r="J261" t="str">
        <f t="shared" si="7"/>
        <v>Team Travel</v>
      </c>
    </row>
    <row r="262" spans="1:10" ht="60" customHeight="1" x14ac:dyDescent="0.25">
      <c r="A262" s="8" t="s">
        <v>520</v>
      </c>
      <c r="B262" s="8" t="s">
        <v>232</v>
      </c>
      <c r="C262" s="8" t="s">
        <v>4</v>
      </c>
      <c r="D262" s="8" t="s">
        <v>17</v>
      </c>
      <c r="E262" s="6">
        <v>-250</v>
      </c>
      <c r="F262" s="8" t="s">
        <v>233</v>
      </c>
      <c r="G262" s="8" t="s">
        <v>232</v>
      </c>
      <c r="H262" s="8" t="s">
        <v>232</v>
      </c>
      <c r="I262" s="10">
        <f t="shared" si="6"/>
        <v>46082</v>
      </c>
      <c r="J262" t="str">
        <f t="shared" si="7"/>
        <v>AMEX TRAVEL PAY WITH POINTS CREDIT</v>
      </c>
    </row>
    <row r="263" spans="1:10" ht="60" customHeight="1" x14ac:dyDescent="0.25">
      <c r="A263" s="7" t="s">
        <v>520</v>
      </c>
      <c r="B263" s="7" t="s">
        <v>525</v>
      </c>
      <c r="C263" s="7" t="s">
        <v>4</v>
      </c>
      <c r="D263" s="7" t="s">
        <v>17</v>
      </c>
      <c r="E263" s="5">
        <v>-151.19999999999999</v>
      </c>
      <c r="F263" s="7" t="s">
        <v>526</v>
      </c>
      <c r="G263" s="7" t="s">
        <v>525</v>
      </c>
      <c r="H263" s="7" t="s">
        <v>525</v>
      </c>
      <c r="I263" s="10">
        <f t="shared" si="6"/>
        <v>46082</v>
      </c>
      <c r="J263" t="str">
        <f t="shared" si="7"/>
        <v>Amex Online Flight Statement Credit</v>
      </c>
    </row>
    <row r="264" spans="1:10" ht="60" customHeight="1" x14ac:dyDescent="0.25">
      <c r="A264" s="8" t="s">
        <v>520</v>
      </c>
      <c r="B264" s="8" t="s">
        <v>527</v>
      </c>
      <c r="C264" s="8" t="s">
        <v>4</v>
      </c>
      <c r="D264" s="8" t="s">
        <v>17</v>
      </c>
      <c r="E264" s="6">
        <v>90.5</v>
      </c>
      <c r="F264" s="8" t="s">
        <v>528</v>
      </c>
      <c r="G264" s="8" t="s">
        <v>527</v>
      </c>
      <c r="H264" s="8" t="s">
        <v>625</v>
      </c>
      <c r="I264" s="10">
        <f t="shared" si="6"/>
        <v>46082</v>
      </c>
      <c r="J264" t="str">
        <f t="shared" si="7"/>
        <v>Personal - Entertainment</v>
      </c>
    </row>
    <row r="265" spans="1:10" ht="60" customHeight="1" x14ac:dyDescent="0.25">
      <c r="A265" s="7" t="s">
        <v>520</v>
      </c>
      <c r="B265" s="7" t="s">
        <v>529</v>
      </c>
      <c r="C265" s="7" t="s">
        <v>4</v>
      </c>
      <c r="D265" s="7" t="s">
        <v>17</v>
      </c>
      <c r="E265" s="5">
        <v>13.79</v>
      </c>
      <c r="F265" s="7" t="s">
        <v>530</v>
      </c>
      <c r="G265" s="7" t="s">
        <v>529</v>
      </c>
      <c r="H265" s="7" t="s">
        <v>633</v>
      </c>
      <c r="I265" s="10">
        <f t="shared" ref="I265:I312" si="8">DATE(RIGHT(A265,4)+0,LEFT(A265,2)+0,1)</f>
        <v>46082</v>
      </c>
      <c r="J265" t="str">
        <f t="shared" ref="J265:J312" si="9">IF(TRIM(H265)="","(Uncategorized)",TRIM(H265))</f>
        <v>Software &amp; Subscriptions</v>
      </c>
    </row>
    <row r="266" spans="1:10" ht="60" customHeight="1" x14ac:dyDescent="0.25">
      <c r="A266" s="8" t="s">
        <v>520</v>
      </c>
      <c r="B266" s="8" t="s">
        <v>531</v>
      </c>
      <c r="C266" s="8" t="s">
        <v>4</v>
      </c>
      <c r="D266" s="8" t="s">
        <v>17</v>
      </c>
      <c r="E266" s="6">
        <v>295.70999999999998</v>
      </c>
      <c r="F266" s="8" t="s">
        <v>532</v>
      </c>
      <c r="G266" s="8" t="s">
        <v>531</v>
      </c>
      <c r="H266" s="8" t="s">
        <v>624</v>
      </c>
      <c r="I266" s="10">
        <f t="shared" si="8"/>
        <v>46082</v>
      </c>
      <c r="J266" t="str">
        <f t="shared" si="9"/>
        <v>Team Travel</v>
      </c>
    </row>
    <row r="267" spans="1:10" ht="60" customHeight="1" x14ac:dyDescent="0.25">
      <c r="A267" s="7" t="s">
        <v>520</v>
      </c>
      <c r="B267" s="7" t="s">
        <v>533</v>
      </c>
      <c r="C267" s="7" t="s">
        <v>4</v>
      </c>
      <c r="D267" s="7" t="s">
        <v>17</v>
      </c>
      <c r="E267" s="5">
        <v>668.4</v>
      </c>
      <c r="F267" s="7" t="s">
        <v>534</v>
      </c>
      <c r="G267" s="7" t="s">
        <v>533</v>
      </c>
      <c r="H267" s="7" t="s">
        <v>624</v>
      </c>
      <c r="I267" s="10">
        <f t="shared" si="8"/>
        <v>46082</v>
      </c>
      <c r="J267" t="str">
        <f t="shared" si="9"/>
        <v>Team Travel</v>
      </c>
    </row>
    <row r="268" spans="1:10" ht="60" customHeight="1" x14ac:dyDescent="0.25">
      <c r="A268" s="8" t="s">
        <v>520</v>
      </c>
      <c r="B268" s="8" t="s">
        <v>535</v>
      </c>
      <c r="C268" s="8" t="s">
        <v>4</v>
      </c>
      <c r="D268" s="8" t="s">
        <v>17</v>
      </c>
      <c r="E268" s="6">
        <v>456.08</v>
      </c>
      <c r="F268" s="8" t="s">
        <v>536</v>
      </c>
      <c r="G268" s="8" t="s">
        <v>535</v>
      </c>
      <c r="H268" s="8" t="s">
        <v>619</v>
      </c>
      <c r="I268" s="10">
        <f t="shared" si="8"/>
        <v>46082</v>
      </c>
      <c r="J268" t="str">
        <f t="shared" si="9"/>
        <v>Personal - Food</v>
      </c>
    </row>
    <row r="269" spans="1:10" ht="60" customHeight="1" x14ac:dyDescent="0.25">
      <c r="A269" s="7" t="s">
        <v>537</v>
      </c>
      <c r="B269" s="7" t="s">
        <v>538</v>
      </c>
      <c r="C269" s="7" t="s">
        <v>4</v>
      </c>
      <c r="D269" s="7" t="s">
        <v>17</v>
      </c>
      <c r="E269" s="5">
        <v>86.65</v>
      </c>
      <c r="F269" s="7" t="s">
        <v>539</v>
      </c>
      <c r="G269" s="7" t="s">
        <v>538</v>
      </c>
      <c r="H269" s="7" t="s">
        <v>621</v>
      </c>
      <c r="I269" s="10">
        <f t="shared" si="8"/>
        <v>46082</v>
      </c>
      <c r="J269" t="str">
        <f t="shared" si="9"/>
        <v>Personal - Health</v>
      </c>
    </row>
    <row r="270" spans="1:10" ht="60" customHeight="1" x14ac:dyDescent="0.25">
      <c r="A270" s="8" t="s">
        <v>537</v>
      </c>
      <c r="B270" s="8" t="s">
        <v>540</v>
      </c>
      <c r="C270" s="8" t="s">
        <v>4</v>
      </c>
      <c r="D270" s="8" t="s">
        <v>17</v>
      </c>
      <c r="E270" s="6">
        <v>333.73</v>
      </c>
      <c r="F270" s="8" t="s">
        <v>541</v>
      </c>
      <c r="G270" s="8" t="s">
        <v>540</v>
      </c>
      <c r="H270" s="8" t="s">
        <v>633</v>
      </c>
      <c r="I270" s="10">
        <f t="shared" si="8"/>
        <v>46082</v>
      </c>
      <c r="J270" t="str">
        <f t="shared" si="9"/>
        <v>Software &amp; Subscriptions</v>
      </c>
    </row>
    <row r="271" spans="1:10" ht="60" customHeight="1" x14ac:dyDescent="0.25">
      <c r="A271" s="7" t="s">
        <v>537</v>
      </c>
      <c r="B271" s="7" t="s">
        <v>542</v>
      </c>
      <c r="C271" s="7" t="s">
        <v>4</v>
      </c>
      <c r="D271" s="7" t="s">
        <v>17</v>
      </c>
      <c r="E271" s="5">
        <v>21.98</v>
      </c>
      <c r="F271" s="7" t="s">
        <v>543</v>
      </c>
      <c r="G271" s="7" t="s">
        <v>542</v>
      </c>
      <c r="H271" s="7" t="s">
        <v>620</v>
      </c>
      <c r="I271" s="10">
        <f t="shared" si="8"/>
        <v>46082</v>
      </c>
      <c r="J271" t="str">
        <f t="shared" si="9"/>
        <v>Personal - House</v>
      </c>
    </row>
    <row r="272" spans="1:10" ht="60" customHeight="1" x14ac:dyDescent="0.25">
      <c r="A272" s="8" t="s">
        <v>537</v>
      </c>
      <c r="B272" s="8" t="s">
        <v>542</v>
      </c>
      <c r="C272" s="8" t="s">
        <v>4</v>
      </c>
      <c r="D272" s="8" t="s">
        <v>17</v>
      </c>
      <c r="E272" s="6">
        <v>48.71</v>
      </c>
      <c r="F272" s="8" t="s">
        <v>544</v>
      </c>
      <c r="G272" s="8" t="s">
        <v>542</v>
      </c>
      <c r="H272" s="7" t="s">
        <v>620</v>
      </c>
      <c r="I272" s="10">
        <f t="shared" si="8"/>
        <v>46082</v>
      </c>
      <c r="J272" t="str">
        <f t="shared" si="9"/>
        <v>Personal - House</v>
      </c>
    </row>
    <row r="273" spans="1:10" ht="60" customHeight="1" x14ac:dyDescent="0.25">
      <c r="A273" s="7" t="s">
        <v>537</v>
      </c>
      <c r="B273" s="7" t="s">
        <v>432</v>
      </c>
      <c r="C273" s="7" t="s">
        <v>4</v>
      </c>
      <c r="D273" s="7" t="s">
        <v>17</v>
      </c>
      <c r="E273" s="5">
        <v>135.65</v>
      </c>
      <c r="F273" s="7" t="s">
        <v>545</v>
      </c>
      <c r="G273" s="7" t="s">
        <v>432</v>
      </c>
      <c r="H273" s="7" t="s">
        <v>619</v>
      </c>
      <c r="I273" s="10">
        <f t="shared" si="8"/>
        <v>46082</v>
      </c>
      <c r="J273" t="str">
        <f t="shared" si="9"/>
        <v>Personal - Food</v>
      </c>
    </row>
    <row r="274" spans="1:10" ht="60" customHeight="1" x14ac:dyDescent="0.25">
      <c r="A274" s="8" t="s">
        <v>537</v>
      </c>
      <c r="B274" s="8" t="s">
        <v>546</v>
      </c>
      <c r="C274" s="8" t="s">
        <v>4</v>
      </c>
      <c r="D274" s="8" t="s">
        <v>17</v>
      </c>
      <c r="E274" s="6">
        <v>20</v>
      </c>
      <c r="F274" s="8" t="s">
        <v>547</v>
      </c>
      <c r="G274" s="8" t="s">
        <v>546</v>
      </c>
      <c r="H274" s="8" t="s">
        <v>641</v>
      </c>
      <c r="I274" s="10">
        <f t="shared" si="8"/>
        <v>46082</v>
      </c>
      <c r="J274" t="str">
        <f t="shared" si="9"/>
        <v>AI Subscription</v>
      </c>
    </row>
    <row r="275" spans="1:10" ht="60" customHeight="1" x14ac:dyDescent="0.25">
      <c r="A275" s="7" t="s">
        <v>537</v>
      </c>
      <c r="B275" s="7" t="s">
        <v>548</v>
      </c>
      <c r="C275" s="7" t="s">
        <v>4</v>
      </c>
      <c r="D275" s="7" t="s">
        <v>17</v>
      </c>
      <c r="E275" s="5">
        <v>213.65</v>
      </c>
      <c r="F275" s="7" t="s">
        <v>549</v>
      </c>
      <c r="G275" s="7" t="s">
        <v>548</v>
      </c>
      <c r="H275" s="7" t="s">
        <v>625</v>
      </c>
      <c r="I275" s="10">
        <f t="shared" si="8"/>
        <v>46082</v>
      </c>
      <c r="J275" t="str">
        <f t="shared" si="9"/>
        <v>Personal - Entertainment</v>
      </c>
    </row>
    <row r="276" spans="1:10" ht="60" customHeight="1" x14ac:dyDescent="0.25">
      <c r="A276" s="8" t="s">
        <v>537</v>
      </c>
      <c r="B276" s="8" t="s">
        <v>252</v>
      </c>
      <c r="C276" s="8" t="s">
        <v>4</v>
      </c>
      <c r="D276" s="8" t="s">
        <v>17</v>
      </c>
      <c r="E276" s="6">
        <v>217.93</v>
      </c>
      <c r="F276" s="8" t="s">
        <v>550</v>
      </c>
      <c r="G276" s="8" t="s">
        <v>252</v>
      </c>
      <c r="H276" s="8" t="s">
        <v>619</v>
      </c>
      <c r="I276" s="10">
        <f t="shared" si="8"/>
        <v>46082</v>
      </c>
      <c r="J276" t="str">
        <f t="shared" si="9"/>
        <v>Personal - Food</v>
      </c>
    </row>
    <row r="277" spans="1:10" ht="60" customHeight="1" x14ac:dyDescent="0.25">
      <c r="A277" s="7" t="s">
        <v>551</v>
      </c>
      <c r="B277" s="7" t="s">
        <v>272</v>
      </c>
      <c r="C277" s="7" t="s">
        <v>4</v>
      </c>
      <c r="D277" s="7" t="s">
        <v>17</v>
      </c>
      <c r="E277" s="5">
        <v>459</v>
      </c>
      <c r="F277" s="7" t="s">
        <v>552</v>
      </c>
      <c r="G277" s="7" t="s">
        <v>272</v>
      </c>
      <c r="H277" s="7" t="s">
        <v>635</v>
      </c>
      <c r="I277" s="10">
        <f t="shared" si="8"/>
        <v>46082</v>
      </c>
      <c r="J277" t="str">
        <f t="shared" si="9"/>
        <v>DWG Business Development</v>
      </c>
    </row>
    <row r="278" spans="1:10" ht="60" customHeight="1" x14ac:dyDescent="0.25">
      <c r="A278" s="8" t="s">
        <v>551</v>
      </c>
      <c r="B278" s="8" t="s">
        <v>553</v>
      </c>
      <c r="C278" s="8" t="s">
        <v>4</v>
      </c>
      <c r="D278" s="8" t="s">
        <v>17</v>
      </c>
      <c r="E278" s="6">
        <v>11.99</v>
      </c>
      <c r="F278" s="8" t="s">
        <v>554</v>
      </c>
      <c r="G278" s="8" t="s">
        <v>553</v>
      </c>
      <c r="H278" s="8" t="s">
        <v>633</v>
      </c>
      <c r="I278" s="10">
        <f t="shared" si="8"/>
        <v>46082</v>
      </c>
      <c r="J278" t="str">
        <f t="shared" si="9"/>
        <v>Software &amp; Subscriptions</v>
      </c>
    </row>
    <row r="279" spans="1:10" ht="60" customHeight="1" x14ac:dyDescent="0.25">
      <c r="A279" s="7" t="s">
        <v>551</v>
      </c>
      <c r="B279" s="7" t="s">
        <v>555</v>
      </c>
      <c r="C279" s="7" t="s">
        <v>4</v>
      </c>
      <c r="D279" s="7" t="s">
        <v>17</v>
      </c>
      <c r="E279" s="5">
        <v>195</v>
      </c>
      <c r="F279" s="7" t="s">
        <v>556</v>
      </c>
      <c r="G279" s="7" t="s">
        <v>555</v>
      </c>
      <c r="H279" s="7" t="s">
        <v>642</v>
      </c>
      <c r="I279" s="10">
        <f t="shared" si="8"/>
        <v>46082</v>
      </c>
      <c r="J279" t="str">
        <f t="shared" si="9"/>
        <v>DWG Listing Platform</v>
      </c>
    </row>
    <row r="280" spans="1:10" ht="60" customHeight="1" x14ac:dyDescent="0.25">
      <c r="A280" s="8" t="s">
        <v>551</v>
      </c>
      <c r="B280" s="8" t="s">
        <v>557</v>
      </c>
      <c r="C280" s="8" t="s">
        <v>4</v>
      </c>
      <c r="D280" s="8" t="s">
        <v>17</v>
      </c>
      <c r="E280" s="6">
        <v>26.34</v>
      </c>
      <c r="F280" s="8" t="s">
        <v>558</v>
      </c>
      <c r="G280" s="8" t="s">
        <v>557</v>
      </c>
      <c r="H280" s="8" t="s">
        <v>625</v>
      </c>
      <c r="I280" s="10">
        <f t="shared" si="8"/>
        <v>46082</v>
      </c>
      <c r="J280" t="str">
        <f t="shared" si="9"/>
        <v>Personal - Entertainment</v>
      </c>
    </row>
    <row r="281" spans="1:10" ht="60" customHeight="1" x14ac:dyDescent="0.25">
      <c r="A281" s="7" t="s">
        <v>551</v>
      </c>
      <c r="B281" s="7" t="s">
        <v>559</v>
      </c>
      <c r="C281" s="7" t="s">
        <v>4</v>
      </c>
      <c r="D281" s="7" t="s">
        <v>17</v>
      </c>
      <c r="E281" s="5">
        <v>21.28</v>
      </c>
      <c r="F281" s="7" t="s">
        <v>560</v>
      </c>
      <c r="G281" s="7" t="s">
        <v>559</v>
      </c>
      <c r="H281" s="7" t="s">
        <v>641</v>
      </c>
      <c r="I281" s="10">
        <f t="shared" si="8"/>
        <v>46082</v>
      </c>
      <c r="J281" t="str">
        <f t="shared" si="9"/>
        <v>AI Subscription</v>
      </c>
    </row>
    <row r="282" spans="1:10" ht="60" customHeight="1" x14ac:dyDescent="0.25">
      <c r="A282" s="8" t="s">
        <v>561</v>
      </c>
      <c r="B282" s="8" t="s">
        <v>562</v>
      </c>
      <c r="C282" s="8" t="s">
        <v>4</v>
      </c>
      <c r="D282" s="8" t="s">
        <v>17</v>
      </c>
      <c r="E282" s="6">
        <v>23.98</v>
      </c>
      <c r="F282" s="8" t="s">
        <v>563</v>
      </c>
      <c r="G282" s="8" t="s">
        <v>562</v>
      </c>
      <c r="H282" s="8" t="s">
        <v>633</v>
      </c>
      <c r="I282" s="10">
        <f t="shared" si="8"/>
        <v>46082</v>
      </c>
      <c r="J282" t="str">
        <f t="shared" si="9"/>
        <v>Software &amp; Subscriptions</v>
      </c>
    </row>
    <row r="283" spans="1:10" ht="60" customHeight="1" x14ac:dyDescent="0.25">
      <c r="A283" s="7" t="s">
        <v>561</v>
      </c>
      <c r="B283" s="7" t="s">
        <v>564</v>
      </c>
      <c r="C283" s="7" t="s">
        <v>4</v>
      </c>
      <c r="D283" s="7" t="s">
        <v>17</v>
      </c>
      <c r="E283" s="5">
        <v>15</v>
      </c>
      <c r="F283" s="7" t="s">
        <v>565</v>
      </c>
      <c r="G283" s="7" t="s">
        <v>564</v>
      </c>
      <c r="H283" s="7" t="s">
        <v>622</v>
      </c>
      <c r="I283" s="10">
        <f t="shared" si="8"/>
        <v>46082</v>
      </c>
      <c r="J283" t="str">
        <f t="shared" si="9"/>
        <v>Personal - Car</v>
      </c>
    </row>
    <row r="284" spans="1:10" ht="60" customHeight="1" x14ac:dyDescent="0.25">
      <c r="A284" s="8" t="s">
        <v>561</v>
      </c>
      <c r="B284" s="8" t="s">
        <v>163</v>
      </c>
      <c r="C284" s="8" t="s">
        <v>4</v>
      </c>
      <c r="D284" s="8" t="s">
        <v>17</v>
      </c>
      <c r="E284" s="6">
        <v>149.5</v>
      </c>
      <c r="F284" s="8" t="s">
        <v>566</v>
      </c>
      <c r="G284" s="8" t="s">
        <v>163</v>
      </c>
      <c r="H284" s="8" t="s">
        <v>621</v>
      </c>
      <c r="I284" s="10">
        <f t="shared" si="8"/>
        <v>46082</v>
      </c>
      <c r="J284" t="str">
        <f t="shared" si="9"/>
        <v>Personal - Health</v>
      </c>
    </row>
    <row r="285" spans="1:10" ht="60" customHeight="1" x14ac:dyDescent="0.25">
      <c r="A285" s="7" t="s">
        <v>561</v>
      </c>
      <c r="B285" s="7" t="s">
        <v>567</v>
      </c>
      <c r="C285" s="7" t="s">
        <v>4</v>
      </c>
      <c r="D285" s="7" t="s">
        <v>17</v>
      </c>
      <c r="E285" s="5">
        <v>9.99</v>
      </c>
      <c r="F285" s="7" t="s">
        <v>568</v>
      </c>
      <c r="G285" s="7" t="s">
        <v>567</v>
      </c>
      <c r="H285" s="7" t="s">
        <v>633</v>
      </c>
      <c r="I285" s="10">
        <f t="shared" si="8"/>
        <v>46082</v>
      </c>
      <c r="J285" t="str">
        <f t="shared" si="9"/>
        <v>Software &amp; Subscriptions</v>
      </c>
    </row>
    <row r="286" spans="1:10" ht="60" customHeight="1" x14ac:dyDescent="0.25">
      <c r="A286" s="8" t="s">
        <v>561</v>
      </c>
      <c r="B286" s="8" t="s">
        <v>569</v>
      </c>
      <c r="C286" s="8" t="s">
        <v>4</v>
      </c>
      <c r="D286" s="8" t="s">
        <v>17</v>
      </c>
      <c r="E286" s="6">
        <v>260</v>
      </c>
      <c r="F286" s="8" t="s">
        <v>570</v>
      </c>
      <c r="G286" s="8" t="s">
        <v>569</v>
      </c>
      <c r="H286" s="8" t="s">
        <v>642</v>
      </c>
      <c r="I286" s="10">
        <f t="shared" si="8"/>
        <v>46082</v>
      </c>
      <c r="J286" t="str">
        <f t="shared" si="9"/>
        <v>DWG Listing Platform</v>
      </c>
    </row>
    <row r="287" spans="1:10" ht="60" customHeight="1" x14ac:dyDescent="0.25">
      <c r="A287" s="7" t="s">
        <v>561</v>
      </c>
      <c r="B287" s="7" t="s">
        <v>571</v>
      </c>
      <c r="C287" s="7" t="s">
        <v>4</v>
      </c>
      <c r="D287" s="7" t="s">
        <v>17</v>
      </c>
      <c r="E287" s="5">
        <v>4.5</v>
      </c>
      <c r="F287" s="7" t="s">
        <v>572</v>
      </c>
      <c r="G287" s="7" t="s">
        <v>571</v>
      </c>
      <c r="H287" s="7" t="s">
        <v>622</v>
      </c>
      <c r="I287" s="10">
        <f t="shared" si="8"/>
        <v>46082</v>
      </c>
      <c r="J287" t="str">
        <f t="shared" si="9"/>
        <v>Personal - Car</v>
      </c>
    </row>
    <row r="288" spans="1:10" ht="60" customHeight="1" x14ac:dyDescent="0.25">
      <c r="A288" s="8" t="s">
        <v>573</v>
      </c>
      <c r="B288" s="8" t="s">
        <v>150</v>
      </c>
      <c r="C288" s="8" t="s">
        <v>4</v>
      </c>
      <c r="D288" s="8" t="s">
        <v>17</v>
      </c>
      <c r="E288" s="6">
        <v>23.25</v>
      </c>
      <c r="F288" s="8" t="s">
        <v>574</v>
      </c>
      <c r="G288" s="8" t="s">
        <v>150</v>
      </c>
      <c r="H288" s="8" t="s">
        <v>619</v>
      </c>
      <c r="I288" s="10">
        <f t="shared" si="8"/>
        <v>46082</v>
      </c>
      <c r="J288" t="str">
        <f t="shared" si="9"/>
        <v>Personal - Food</v>
      </c>
    </row>
    <row r="289" spans="1:10" ht="60" customHeight="1" x14ac:dyDescent="0.25">
      <c r="A289" s="7" t="s">
        <v>573</v>
      </c>
      <c r="B289" s="7" t="s">
        <v>538</v>
      </c>
      <c r="C289" s="7" t="s">
        <v>4</v>
      </c>
      <c r="D289" s="7" t="s">
        <v>17</v>
      </c>
      <c r="E289" s="5">
        <v>39.340000000000003</v>
      </c>
      <c r="F289" s="7" t="s">
        <v>575</v>
      </c>
      <c r="G289" s="7" t="s">
        <v>538</v>
      </c>
      <c r="H289" s="7" t="s">
        <v>643</v>
      </c>
      <c r="I289" s="10">
        <f t="shared" si="8"/>
        <v>46082</v>
      </c>
      <c r="J289" t="str">
        <f t="shared" si="9"/>
        <v>Personal - Health</v>
      </c>
    </row>
    <row r="290" spans="1:10" ht="60" customHeight="1" x14ac:dyDescent="0.25">
      <c r="A290" s="8" t="s">
        <v>573</v>
      </c>
      <c r="B290" s="8" t="s">
        <v>576</v>
      </c>
      <c r="C290" s="8" t="s">
        <v>4</v>
      </c>
      <c r="D290" s="8" t="s">
        <v>17</v>
      </c>
      <c r="E290" s="6">
        <v>19.97</v>
      </c>
      <c r="F290" s="8" t="s">
        <v>577</v>
      </c>
      <c r="G290" s="8" t="s">
        <v>576</v>
      </c>
      <c r="H290" s="8" t="s">
        <v>633</v>
      </c>
      <c r="I290" s="10">
        <f t="shared" si="8"/>
        <v>46082</v>
      </c>
      <c r="J290" t="str">
        <f t="shared" si="9"/>
        <v>Software &amp; Subscriptions</v>
      </c>
    </row>
    <row r="291" spans="1:10" ht="60" customHeight="1" x14ac:dyDescent="0.25">
      <c r="A291" s="7" t="s">
        <v>573</v>
      </c>
      <c r="B291" s="7" t="s">
        <v>578</v>
      </c>
      <c r="C291" s="7" t="s">
        <v>4</v>
      </c>
      <c r="D291" s="7" t="s">
        <v>17</v>
      </c>
      <c r="E291" s="5">
        <v>1050</v>
      </c>
      <c r="F291" s="7" t="s">
        <v>579</v>
      </c>
      <c r="G291" s="7" t="s">
        <v>578</v>
      </c>
      <c r="H291" s="7" t="s">
        <v>642</v>
      </c>
      <c r="I291" s="10">
        <f t="shared" si="8"/>
        <v>46082</v>
      </c>
      <c r="J291" t="str">
        <f t="shared" si="9"/>
        <v>DWG Listing Platform</v>
      </c>
    </row>
    <row r="292" spans="1:10" ht="60" customHeight="1" x14ac:dyDescent="0.25">
      <c r="A292" s="8" t="s">
        <v>573</v>
      </c>
      <c r="B292" s="8" t="s">
        <v>248</v>
      </c>
      <c r="C292" s="8" t="s">
        <v>4</v>
      </c>
      <c r="D292" s="8" t="s">
        <v>17</v>
      </c>
      <c r="E292" s="6">
        <v>58.38</v>
      </c>
      <c r="F292" s="8" t="s">
        <v>580</v>
      </c>
      <c r="G292" s="8" t="s">
        <v>248</v>
      </c>
      <c r="H292" s="8" t="s">
        <v>619</v>
      </c>
      <c r="I292" s="10">
        <f t="shared" si="8"/>
        <v>46082</v>
      </c>
      <c r="J292" t="str">
        <f t="shared" si="9"/>
        <v>Personal - Food</v>
      </c>
    </row>
    <row r="293" spans="1:10" ht="60" customHeight="1" x14ac:dyDescent="0.25">
      <c r="A293" s="7" t="s">
        <v>581</v>
      </c>
      <c r="B293" s="7" t="s">
        <v>582</v>
      </c>
      <c r="C293" s="7" t="s">
        <v>4</v>
      </c>
      <c r="D293" s="7" t="s">
        <v>17</v>
      </c>
      <c r="E293" s="5">
        <v>30.8</v>
      </c>
      <c r="F293" s="7" t="s">
        <v>583</v>
      </c>
      <c r="G293" s="7" t="s">
        <v>582</v>
      </c>
      <c r="H293" s="7" t="s">
        <v>622</v>
      </c>
      <c r="I293" s="10">
        <f t="shared" si="8"/>
        <v>46082</v>
      </c>
      <c r="J293" t="str">
        <f t="shared" si="9"/>
        <v>Personal - Car</v>
      </c>
    </row>
    <row r="294" spans="1:10" ht="60" customHeight="1" x14ac:dyDescent="0.25">
      <c r="A294" s="8" t="s">
        <v>581</v>
      </c>
      <c r="B294" s="8" t="s">
        <v>584</v>
      </c>
      <c r="C294" s="8" t="s">
        <v>4</v>
      </c>
      <c r="D294" s="8" t="s">
        <v>17</v>
      </c>
      <c r="E294" s="6">
        <v>149</v>
      </c>
      <c r="F294" s="8" t="s">
        <v>585</v>
      </c>
      <c r="G294" s="8" t="s">
        <v>584</v>
      </c>
      <c r="H294" s="8" t="s">
        <v>635</v>
      </c>
      <c r="I294" s="10">
        <f t="shared" si="8"/>
        <v>46082</v>
      </c>
      <c r="J294" t="str">
        <f t="shared" si="9"/>
        <v>DWG Business Development</v>
      </c>
    </row>
    <row r="295" spans="1:10" ht="60" customHeight="1" x14ac:dyDescent="0.25">
      <c r="A295" s="7" t="s">
        <v>581</v>
      </c>
      <c r="B295" s="7" t="s">
        <v>586</v>
      </c>
      <c r="C295" s="7" t="s">
        <v>4</v>
      </c>
      <c r="D295" s="7" t="s">
        <v>17</v>
      </c>
      <c r="E295" s="5">
        <v>166.53</v>
      </c>
      <c r="F295" s="7" t="s">
        <v>587</v>
      </c>
      <c r="G295" s="7" t="s">
        <v>586</v>
      </c>
      <c r="H295" s="7" t="s">
        <v>635</v>
      </c>
      <c r="I295" s="10">
        <f t="shared" si="8"/>
        <v>46082</v>
      </c>
      <c r="J295" t="str">
        <f t="shared" si="9"/>
        <v>DWG Business Development</v>
      </c>
    </row>
    <row r="296" spans="1:10" ht="60" customHeight="1" x14ac:dyDescent="0.25">
      <c r="A296" s="8" t="s">
        <v>588</v>
      </c>
      <c r="B296" s="8" t="s">
        <v>589</v>
      </c>
      <c r="C296" s="8" t="s">
        <v>4</v>
      </c>
      <c r="D296" s="8" t="s">
        <v>17</v>
      </c>
      <c r="E296" s="6">
        <v>13.99</v>
      </c>
      <c r="F296" s="8" t="s">
        <v>590</v>
      </c>
      <c r="G296" s="8" t="s">
        <v>589</v>
      </c>
      <c r="H296" s="8" t="s">
        <v>621</v>
      </c>
      <c r="I296" s="10">
        <f t="shared" si="8"/>
        <v>46082</v>
      </c>
      <c r="J296" t="str">
        <f t="shared" si="9"/>
        <v>Personal - Health</v>
      </c>
    </row>
    <row r="297" spans="1:10" ht="60" customHeight="1" x14ac:dyDescent="0.25">
      <c r="A297" s="7" t="s">
        <v>588</v>
      </c>
      <c r="B297" s="7" t="s">
        <v>582</v>
      </c>
      <c r="C297" s="7" t="s">
        <v>4</v>
      </c>
      <c r="D297" s="7" t="s">
        <v>17</v>
      </c>
      <c r="E297" s="5">
        <v>30.8</v>
      </c>
      <c r="F297" s="7" t="s">
        <v>591</v>
      </c>
      <c r="G297" s="7" t="s">
        <v>582</v>
      </c>
      <c r="H297" s="7" t="s">
        <v>622</v>
      </c>
      <c r="I297" s="10">
        <f t="shared" si="8"/>
        <v>46082</v>
      </c>
      <c r="J297" t="str">
        <f t="shared" si="9"/>
        <v>Personal - Car</v>
      </c>
    </row>
    <row r="298" spans="1:10" ht="60" customHeight="1" x14ac:dyDescent="0.25">
      <c r="A298" s="8" t="s">
        <v>588</v>
      </c>
      <c r="B298" s="8" t="s">
        <v>592</v>
      </c>
      <c r="C298" s="8" t="s">
        <v>4</v>
      </c>
      <c r="D298" s="8" t="s">
        <v>17</v>
      </c>
      <c r="E298" s="6">
        <v>52.14</v>
      </c>
      <c r="F298" s="8" t="s">
        <v>593</v>
      </c>
      <c r="G298" s="8" t="s">
        <v>592</v>
      </c>
      <c r="H298" s="8" t="s">
        <v>633</v>
      </c>
      <c r="I298" s="10">
        <f t="shared" si="8"/>
        <v>46082</v>
      </c>
      <c r="J298" t="str">
        <f t="shared" si="9"/>
        <v>Software &amp; Subscriptions</v>
      </c>
    </row>
    <row r="299" spans="1:10" ht="60" customHeight="1" x14ac:dyDescent="0.25">
      <c r="A299" s="7" t="s">
        <v>594</v>
      </c>
      <c r="B299" s="7" t="s">
        <v>595</v>
      </c>
      <c r="C299" s="7" t="s">
        <v>4</v>
      </c>
      <c r="D299" s="7" t="s">
        <v>17</v>
      </c>
      <c r="E299" s="5">
        <v>164.49</v>
      </c>
      <c r="F299" s="7" t="s">
        <v>596</v>
      </c>
      <c r="G299" s="7" t="s">
        <v>595</v>
      </c>
      <c r="H299" s="7" t="s">
        <v>637</v>
      </c>
      <c r="I299" s="10">
        <f t="shared" si="8"/>
        <v>46082</v>
      </c>
      <c r="J299" t="str">
        <f t="shared" si="9"/>
        <v>AT&amp;T</v>
      </c>
    </row>
    <row r="300" spans="1:10" ht="60" customHeight="1" x14ac:dyDescent="0.25">
      <c r="A300" s="8" t="s">
        <v>594</v>
      </c>
      <c r="B300" s="8" t="s">
        <v>538</v>
      </c>
      <c r="C300" s="8" t="s">
        <v>4</v>
      </c>
      <c r="D300" s="8" t="s">
        <v>17</v>
      </c>
      <c r="E300" s="6">
        <v>120.2</v>
      </c>
      <c r="F300" s="8" t="s">
        <v>597</v>
      </c>
      <c r="G300" s="8" t="s">
        <v>538</v>
      </c>
      <c r="H300" s="8" t="s">
        <v>621</v>
      </c>
      <c r="I300" s="10">
        <f t="shared" si="8"/>
        <v>46082</v>
      </c>
      <c r="J300" t="str">
        <f t="shared" si="9"/>
        <v>Personal - Health</v>
      </c>
    </row>
    <row r="301" spans="1:10" ht="60" customHeight="1" x14ac:dyDescent="0.25">
      <c r="A301" s="7" t="s">
        <v>594</v>
      </c>
      <c r="B301" s="7" t="s">
        <v>598</v>
      </c>
      <c r="C301" s="7" t="s">
        <v>4</v>
      </c>
      <c r="D301" s="7" t="s">
        <v>17</v>
      </c>
      <c r="E301" s="5">
        <v>43.22</v>
      </c>
      <c r="F301" s="7" t="s">
        <v>599</v>
      </c>
      <c r="G301" s="7" t="s">
        <v>598</v>
      </c>
      <c r="H301" s="7" t="s">
        <v>619</v>
      </c>
      <c r="I301" s="10">
        <f t="shared" si="8"/>
        <v>46082</v>
      </c>
      <c r="J301" t="str">
        <f t="shared" si="9"/>
        <v>Personal - Food</v>
      </c>
    </row>
    <row r="302" spans="1:10" ht="60" customHeight="1" x14ac:dyDescent="0.25">
      <c r="A302" s="8" t="s">
        <v>594</v>
      </c>
      <c r="B302" s="8" t="s">
        <v>168</v>
      </c>
      <c r="C302" s="8" t="s">
        <v>4</v>
      </c>
      <c r="D302" s="8" t="s">
        <v>17</v>
      </c>
      <c r="E302" s="6">
        <v>76.92</v>
      </c>
      <c r="F302" s="8" t="s">
        <v>600</v>
      </c>
      <c r="G302" s="8" t="s">
        <v>168</v>
      </c>
      <c r="H302" s="8" t="s">
        <v>619</v>
      </c>
      <c r="I302" s="10">
        <f t="shared" si="8"/>
        <v>46082</v>
      </c>
      <c r="J302" t="str">
        <f t="shared" si="9"/>
        <v>Personal - Food</v>
      </c>
    </row>
    <row r="303" spans="1:10" ht="60" customHeight="1" x14ac:dyDescent="0.25">
      <c r="A303" s="7" t="s">
        <v>601</v>
      </c>
      <c r="B303" s="7" t="s">
        <v>75</v>
      </c>
      <c r="C303" s="7" t="s">
        <v>4</v>
      </c>
      <c r="D303" s="7" t="s">
        <v>17</v>
      </c>
      <c r="E303" s="5">
        <v>129.52000000000001</v>
      </c>
      <c r="F303" s="7" t="s">
        <v>602</v>
      </c>
      <c r="G303" s="7" t="s">
        <v>75</v>
      </c>
      <c r="H303" s="7" t="s">
        <v>621</v>
      </c>
      <c r="I303" s="10">
        <f t="shared" si="8"/>
        <v>46082</v>
      </c>
      <c r="J303" t="str">
        <f t="shared" si="9"/>
        <v>Personal - Health</v>
      </c>
    </row>
    <row r="304" spans="1:10" ht="60" customHeight="1" x14ac:dyDescent="0.25">
      <c r="A304" s="8" t="s">
        <v>601</v>
      </c>
      <c r="B304" s="8" t="s">
        <v>356</v>
      </c>
      <c r="C304" s="8" t="s">
        <v>4</v>
      </c>
      <c r="D304" s="8" t="s">
        <v>17</v>
      </c>
      <c r="E304" s="6">
        <v>58.24</v>
      </c>
      <c r="F304" s="8" t="s">
        <v>603</v>
      </c>
      <c r="G304" s="8" t="s">
        <v>356</v>
      </c>
      <c r="H304" s="8" t="s">
        <v>637</v>
      </c>
      <c r="I304" s="10">
        <f t="shared" si="8"/>
        <v>46082</v>
      </c>
      <c r="J304" t="str">
        <f t="shared" si="9"/>
        <v>AT&amp;T</v>
      </c>
    </row>
    <row r="305" spans="1:10" ht="60" customHeight="1" x14ac:dyDescent="0.25">
      <c r="A305" s="7" t="s">
        <v>601</v>
      </c>
      <c r="B305" s="7" t="s">
        <v>356</v>
      </c>
      <c r="C305" s="7" t="s">
        <v>4</v>
      </c>
      <c r="D305" s="7" t="s">
        <v>17</v>
      </c>
      <c r="E305" s="5">
        <v>246.73</v>
      </c>
      <c r="F305" s="7" t="s">
        <v>604</v>
      </c>
      <c r="G305" s="7" t="s">
        <v>356</v>
      </c>
      <c r="H305" s="7" t="s">
        <v>637</v>
      </c>
      <c r="I305" s="10">
        <f t="shared" si="8"/>
        <v>46082</v>
      </c>
      <c r="J305" t="str">
        <f t="shared" si="9"/>
        <v>AT&amp;T</v>
      </c>
    </row>
    <row r="306" spans="1:10" ht="60" customHeight="1" x14ac:dyDescent="0.25">
      <c r="A306" s="8" t="s">
        <v>601</v>
      </c>
      <c r="B306" s="8" t="s">
        <v>356</v>
      </c>
      <c r="C306" s="8" t="s">
        <v>4</v>
      </c>
      <c r="D306" s="8" t="s">
        <v>17</v>
      </c>
      <c r="E306" s="6">
        <v>246.73</v>
      </c>
      <c r="F306" s="8" t="s">
        <v>605</v>
      </c>
      <c r="G306" s="8" t="s">
        <v>356</v>
      </c>
      <c r="H306" s="8" t="s">
        <v>637</v>
      </c>
      <c r="I306" s="10">
        <f t="shared" si="8"/>
        <v>46082</v>
      </c>
      <c r="J306" t="str">
        <f t="shared" si="9"/>
        <v>AT&amp;T</v>
      </c>
    </row>
    <row r="307" spans="1:10" ht="60" customHeight="1" x14ac:dyDescent="0.25">
      <c r="A307" s="7" t="s">
        <v>601</v>
      </c>
      <c r="B307" s="7" t="s">
        <v>356</v>
      </c>
      <c r="C307" s="7" t="s">
        <v>4</v>
      </c>
      <c r="D307" s="7" t="s">
        <v>17</v>
      </c>
      <c r="E307" s="5">
        <v>276.55</v>
      </c>
      <c r="F307" s="7" t="s">
        <v>606</v>
      </c>
      <c r="G307" s="7" t="s">
        <v>356</v>
      </c>
      <c r="H307" s="7" t="s">
        <v>637</v>
      </c>
      <c r="I307" s="10">
        <f t="shared" si="8"/>
        <v>46082</v>
      </c>
      <c r="J307" t="str">
        <f t="shared" si="9"/>
        <v>AT&amp;T</v>
      </c>
    </row>
    <row r="308" spans="1:10" ht="60" customHeight="1" x14ac:dyDescent="0.25">
      <c r="A308" s="8" t="s">
        <v>601</v>
      </c>
      <c r="B308" s="8" t="s">
        <v>163</v>
      </c>
      <c r="C308" s="8" t="s">
        <v>4</v>
      </c>
      <c r="D308" s="8" t="s">
        <v>17</v>
      </c>
      <c r="E308" s="6">
        <v>155</v>
      </c>
      <c r="F308" s="8" t="s">
        <v>607</v>
      </c>
      <c r="G308" s="8" t="s">
        <v>163</v>
      </c>
      <c r="H308" s="8" t="s">
        <v>621</v>
      </c>
      <c r="I308" s="10">
        <f t="shared" si="8"/>
        <v>46082</v>
      </c>
      <c r="J308" t="str">
        <f t="shared" si="9"/>
        <v>Personal - Health</v>
      </c>
    </row>
    <row r="309" spans="1:10" ht="60" customHeight="1" x14ac:dyDescent="0.25">
      <c r="A309" s="7" t="s">
        <v>601</v>
      </c>
      <c r="B309" s="7" t="s">
        <v>608</v>
      </c>
      <c r="C309" s="7" t="s">
        <v>4</v>
      </c>
      <c r="D309" s="7" t="s">
        <v>17</v>
      </c>
      <c r="E309" s="5">
        <v>33.97</v>
      </c>
      <c r="F309" s="7" t="s">
        <v>609</v>
      </c>
      <c r="G309" s="7" t="s">
        <v>608</v>
      </c>
      <c r="H309" s="7" t="s">
        <v>633</v>
      </c>
      <c r="I309" s="10">
        <f t="shared" si="8"/>
        <v>46082</v>
      </c>
      <c r="J309" t="str">
        <f t="shared" si="9"/>
        <v>Software &amp; Subscriptions</v>
      </c>
    </row>
    <row r="310" spans="1:10" ht="60" customHeight="1" x14ac:dyDescent="0.25">
      <c r="A310" s="8" t="s">
        <v>601</v>
      </c>
      <c r="B310" s="8" t="s">
        <v>610</v>
      </c>
      <c r="C310" s="8" t="s">
        <v>4</v>
      </c>
      <c r="D310" s="8" t="s">
        <v>17</v>
      </c>
      <c r="E310" s="6">
        <v>174</v>
      </c>
      <c r="F310" s="8" t="s">
        <v>611</v>
      </c>
      <c r="G310" s="8" t="s">
        <v>610</v>
      </c>
      <c r="H310" s="8" t="s">
        <v>625</v>
      </c>
      <c r="I310" s="10">
        <f t="shared" si="8"/>
        <v>46082</v>
      </c>
      <c r="J310" t="str">
        <f t="shared" si="9"/>
        <v>Personal - Entertainment</v>
      </c>
    </row>
    <row r="311" spans="1:10" ht="60" customHeight="1" x14ac:dyDescent="0.25">
      <c r="A311" s="7" t="s">
        <v>601</v>
      </c>
      <c r="B311" s="7" t="s">
        <v>612</v>
      </c>
      <c r="C311" s="7" t="s">
        <v>4</v>
      </c>
      <c r="D311" s="7" t="s">
        <v>17</v>
      </c>
      <c r="E311" s="5">
        <v>20</v>
      </c>
      <c r="F311" s="7" t="s">
        <v>613</v>
      </c>
      <c r="G311" s="7" t="s">
        <v>612</v>
      </c>
      <c r="H311" s="7" t="s">
        <v>633</v>
      </c>
      <c r="I311" s="10">
        <f t="shared" si="8"/>
        <v>46082</v>
      </c>
      <c r="J311" t="str">
        <f t="shared" si="9"/>
        <v>Software &amp; Subscriptions</v>
      </c>
    </row>
    <row r="312" spans="1:10" ht="60" customHeight="1" x14ac:dyDescent="0.25">
      <c r="A312" s="8" t="s">
        <v>601</v>
      </c>
      <c r="B312" s="8" t="s">
        <v>227</v>
      </c>
      <c r="C312" s="8" t="s">
        <v>4</v>
      </c>
      <c r="D312" s="8" t="s">
        <v>17</v>
      </c>
      <c r="E312" s="6">
        <v>82.32</v>
      </c>
      <c r="F312" s="8" t="s">
        <v>614</v>
      </c>
      <c r="G312" s="8" t="s">
        <v>227</v>
      </c>
      <c r="H312" s="8" t="s">
        <v>632</v>
      </c>
      <c r="I312" s="10">
        <f t="shared" si="8"/>
        <v>46082</v>
      </c>
      <c r="J312" t="str">
        <f t="shared" si="9"/>
        <v>Personal - Clothing</v>
      </c>
    </row>
    <row r="314" spans="1:10" x14ac:dyDescent="0.25">
      <c r="A314" s="11" t="s">
        <v>647</v>
      </c>
      <c r="D314" s="11" t="s">
        <v>615</v>
      </c>
      <c r="E314" s="12">
        <f>SUMIF(E8:E312,"&gt;0")</f>
        <v>55260.920000000013</v>
      </c>
    </row>
    <row r="315" spans="1:10" x14ac:dyDescent="0.25">
      <c r="D315" t="s">
        <v>648</v>
      </c>
      <c r="E315" s="13">
        <f>SUMIF(E8:E312,"&lt;0")</f>
        <v>-47495.040000000001</v>
      </c>
    </row>
    <row r="316" spans="1:10" x14ac:dyDescent="0.25">
      <c r="D316" s="11" t="s">
        <v>649</v>
      </c>
      <c r="E316" s="12">
        <f>E314+E315</f>
        <v>7765.8800000000119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 Summary</vt:lpstr>
      <vt:lpstr>Monthly Breakdown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2026-06-11T20:04:01Z</dcterms:created>
  <dcterms:modified xsi:type="dcterms:W3CDTF">2026-06-11T21:16:38Z</dcterms:modified>
</cp:coreProperties>
</file>