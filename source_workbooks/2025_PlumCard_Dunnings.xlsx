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American Express_Buckets\4. Plum Card\"/>
    </mc:Choice>
  </mc:AlternateContent>
  <xr:revisionPtr revIDLastSave="0" documentId="8_{663BFBA8-AC7C-44E8-A47E-EA5CCDCF10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nsaction Summary" sheetId="2" r:id="rId1"/>
    <sheet name="Monthly Breakdown" sheetId="4" r:id="rId2"/>
    <sheet name="Transaction Details" sheetId="3" r:id="rId3"/>
    <sheet name="Raw Data" sheetId="1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6" i="4" l="1"/>
  <c r="B205" i="4"/>
  <c r="B204" i="4"/>
  <c r="C203" i="4" s="1"/>
  <c r="B203" i="4"/>
  <c r="B202" i="4"/>
  <c r="B201" i="4"/>
  <c r="B200" i="4"/>
  <c r="B199" i="4"/>
  <c r="B198" i="4"/>
  <c r="B197" i="4"/>
  <c r="B196" i="4"/>
  <c r="B195" i="4"/>
  <c r="B194" i="4"/>
  <c r="A192" i="4"/>
  <c r="B190" i="4"/>
  <c r="B189" i="4"/>
  <c r="B188" i="4"/>
  <c r="C187" i="4" s="1"/>
  <c r="B187" i="4"/>
  <c r="B186" i="4"/>
  <c r="B185" i="4"/>
  <c r="B184" i="4"/>
  <c r="B183" i="4"/>
  <c r="B182" i="4"/>
  <c r="B181" i="4"/>
  <c r="B180" i="4"/>
  <c r="B179" i="4"/>
  <c r="B178" i="4"/>
  <c r="A176" i="4"/>
  <c r="B174" i="4"/>
  <c r="B173" i="4"/>
  <c r="B172" i="4"/>
  <c r="C171" i="4" s="1"/>
  <c r="B171" i="4"/>
  <c r="B170" i="4"/>
  <c r="B169" i="4"/>
  <c r="B168" i="4"/>
  <c r="B167" i="4"/>
  <c r="B166" i="4"/>
  <c r="B165" i="4"/>
  <c r="A163" i="4"/>
  <c r="B161" i="4"/>
  <c r="B160" i="4"/>
  <c r="B159" i="4"/>
  <c r="C158" i="4" s="1"/>
  <c r="B158" i="4"/>
  <c r="B157" i="4"/>
  <c r="B156" i="4"/>
  <c r="B155" i="4"/>
  <c r="B154" i="4"/>
  <c r="B153" i="4"/>
  <c r="B152" i="4"/>
  <c r="B151" i="4"/>
  <c r="B150" i="4"/>
  <c r="A148" i="4"/>
  <c r="B146" i="4"/>
  <c r="B145" i="4"/>
  <c r="B144" i="4"/>
  <c r="C143" i="4" s="1"/>
  <c r="B143" i="4"/>
  <c r="B142" i="4"/>
  <c r="B141" i="4"/>
  <c r="B140" i="4"/>
  <c r="B139" i="4"/>
  <c r="B138" i="4"/>
  <c r="B137" i="4"/>
  <c r="B136" i="4"/>
  <c r="B135" i="4"/>
  <c r="A133" i="4"/>
  <c r="B131" i="4"/>
  <c r="B130" i="4"/>
  <c r="B129" i="4"/>
  <c r="C128" i="4" s="1"/>
  <c r="B128" i="4"/>
  <c r="B127" i="4"/>
  <c r="B126" i="4"/>
  <c r="B125" i="4"/>
  <c r="B124" i="4"/>
  <c r="C123" i="4"/>
  <c r="B123" i="4"/>
  <c r="B122" i="4"/>
  <c r="B121" i="4"/>
  <c r="B120" i="4"/>
  <c r="B119" i="4"/>
  <c r="B118" i="4"/>
  <c r="A116" i="4"/>
  <c r="B114" i="4"/>
  <c r="B113" i="4"/>
  <c r="B112" i="4"/>
  <c r="C111" i="4" s="1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A92" i="4"/>
  <c r="B90" i="4"/>
  <c r="B89" i="4"/>
  <c r="B88" i="4"/>
  <c r="C87" i="4" s="1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A71" i="4"/>
  <c r="B69" i="4"/>
  <c r="B68" i="4"/>
  <c r="B67" i="4"/>
  <c r="C66" i="4" s="1"/>
  <c r="B66" i="4"/>
  <c r="B65" i="4"/>
  <c r="B64" i="4"/>
  <c r="B63" i="4"/>
  <c r="B62" i="4"/>
  <c r="B61" i="4"/>
  <c r="B60" i="4"/>
  <c r="B59" i="4"/>
  <c r="B58" i="4"/>
  <c r="B57" i="4"/>
  <c r="B56" i="4"/>
  <c r="A54" i="4"/>
  <c r="B52" i="4"/>
  <c r="B51" i="4"/>
  <c r="B50" i="4"/>
  <c r="C49" i="4" s="1"/>
  <c r="B49" i="4"/>
  <c r="B48" i="4"/>
  <c r="B47" i="4"/>
  <c r="B46" i="4"/>
  <c r="B45" i="4"/>
  <c r="B44" i="4"/>
  <c r="B43" i="4"/>
  <c r="B42" i="4"/>
  <c r="B41" i="4"/>
  <c r="A39" i="4"/>
  <c r="B37" i="4"/>
  <c r="B36" i="4"/>
  <c r="B35" i="4"/>
  <c r="C34" i="4" s="1"/>
  <c r="B34" i="4"/>
  <c r="B33" i="4"/>
  <c r="B32" i="4"/>
  <c r="B31" i="4"/>
  <c r="B30" i="4"/>
  <c r="B29" i="4"/>
  <c r="B28" i="4"/>
  <c r="B27" i="4"/>
  <c r="B26" i="4"/>
  <c r="B25" i="4"/>
  <c r="B24" i="4"/>
  <c r="A22" i="4"/>
  <c r="B20" i="4"/>
  <c r="B19" i="4"/>
  <c r="B18" i="4"/>
  <c r="C17" i="4" s="1"/>
  <c r="B17" i="4"/>
  <c r="B16" i="4"/>
  <c r="B15" i="4"/>
  <c r="C14" i="4"/>
  <c r="B14" i="4"/>
  <c r="B13" i="4"/>
  <c r="C12" i="4"/>
  <c r="B12" i="4"/>
  <c r="C11" i="4"/>
  <c r="B11" i="4"/>
  <c r="C10" i="4"/>
  <c r="B10" i="4"/>
  <c r="C9" i="4"/>
  <c r="B9" i="4"/>
  <c r="C8" i="4"/>
  <c r="B8" i="4"/>
  <c r="A6" i="4"/>
  <c r="D125" i="2"/>
  <c r="D90" i="2"/>
  <c r="C90" i="2"/>
  <c r="B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B72" i="2"/>
  <c r="C71" i="2"/>
  <c r="B71" i="2"/>
  <c r="C70" i="2"/>
  <c r="B70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B57" i="2"/>
  <c r="C57" i="2" s="1"/>
  <c r="C56" i="2"/>
  <c r="B56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B11" i="2"/>
  <c r="B10" i="2"/>
  <c r="B9" i="2"/>
  <c r="D429" i="3"/>
  <c r="D428" i="3"/>
  <c r="D427" i="3"/>
  <c r="B67" i="2" l="1"/>
  <c r="B74" i="2" s="1"/>
  <c r="C74" i="2" s="1"/>
  <c r="C194" i="4"/>
  <c r="C199" i="4"/>
  <c r="C201" i="4"/>
  <c r="C196" i="4"/>
  <c r="C200" i="4"/>
  <c r="C202" i="4"/>
  <c r="C195" i="4"/>
  <c r="C198" i="4"/>
  <c r="C197" i="4"/>
  <c r="C181" i="4"/>
  <c r="C183" i="4"/>
  <c r="C178" i="4"/>
  <c r="C182" i="4"/>
  <c r="C186" i="4"/>
  <c r="C185" i="4"/>
  <c r="C179" i="4"/>
  <c r="C180" i="4"/>
  <c r="C184" i="4"/>
  <c r="C165" i="4"/>
  <c r="C169" i="4"/>
  <c r="C170" i="4"/>
  <c r="C168" i="4"/>
  <c r="C166" i="4"/>
  <c r="C167" i="4"/>
  <c r="C154" i="4"/>
  <c r="C150" i="4"/>
  <c r="C151" i="4"/>
  <c r="C152" i="4"/>
  <c r="C157" i="4"/>
  <c r="C156" i="4"/>
  <c r="C153" i="4"/>
  <c r="C155" i="4"/>
  <c r="C139" i="4"/>
  <c r="C140" i="4"/>
  <c r="C141" i="4"/>
  <c r="C135" i="4"/>
  <c r="C136" i="4"/>
  <c r="C137" i="4"/>
  <c r="C142" i="4"/>
  <c r="C138" i="4"/>
  <c r="C121" i="4"/>
  <c r="C126" i="4"/>
  <c r="C118" i="4"/>
  <c r="C119" i="4"/>
  <c r="C120" i="4"/>
  <c r="C122" i="4"/>
  <c r="C124" i="4"/>
  <c r="C125" i="4"/>
  <c r="C127" i="4"/>
  <c r="C108" i="4"/>
  <c r="C99" i="4"/>
  <c r="C95" i="4"/>
  <c r="C101" i="4"/>
  <c r="C109" i="4"/>
  <c r="C103" i="4"/>
  <c r="C96" i="4"/>
  <c r="C100" i="4"/>
  <c r="C104" i="4"/>
  <c r="C105" i="4"/>
  <c r="C106" i="4"/>
  <c r="C107" i="4"/>
  <c r="C94" i="4"/>
  <c r="C110" i="4"/>
  <c r="C98" i="4"/>
  <c r="C102" i="4"/>
  <c r="C97" i="4"/>
  <c r="C75" i="4"/>
  <c r="C74" i="4"/>
  <c r="C76" i="4"/>
  <c r="C77" i="4"/>
  <c r="C79" i="4"/>
  <c r="C84" i="4"/>
  <c r="C78" i="4"/>
  <c r="C85" i="4"/>
  <c r="C80" i="4"/>
  <c r="C81" i="4"/>
  <c r="C82" i="4"/>
  <c r="C83" i="4"/>
  <c r="C86" i="4"/>
  <c r="C73" i="4"/>
  <c r="C56" i="4"/>
  <c r="C59" i="4"/>
  <c r="C58" i="4"/>
  <c r="C62" i="4"/>
  <c r="C65" i="4"/>
  <c r="C57" i="4"/>
  <c r="C60" i="4"/>
  <c r="C61" i="4"/>
  <c r="C63" i="4"/>
  <c r="C64" i="4"/>
  <c r="C41" i="4"/>
  <c r="C42" i="4"/>
  <c r="C43" i="4"/>
  <c r="C44" i="4"/>
  <c r="C45" i="4"/>
  <c r="C46" i="4"/>
  <c r="C47" i="4"/>
  <c r="C48" i="4"/>
  <c r="C24" i="4"/>
  <c r="C25" i="4"/>
  <c r="C26" i="4"/>
  <c r="C30" i="4"/>
  <c r="C28" i="4"/>
  <c r="C33" i="4"/>
  <c r="C27" i="4"/>
  <c r="C29" i="4"/>
  <c r="C31" i="4"/>
  <c r="C32" i="4"/>
  <c r="C13" i="4"/>
  <c r="C15" i="4"/>
  <c r="C16" i="4"/>
</calcChain>
</file>

<file path=xl/sharedStrings.xml><?xml version="1.0" encoding="utf-8"?>
<sst xmlns="http://schemas.openxmlformats.org/spreadsheetml/2006/main" count="4754" uniqueCount="1165">
  <si>
    <t/>
  </si>
  <si>
    <t>Transaction Details</t>
  </si>
  <si>
    <t>The Plum Card® / Jan 01, 2025 to Dec 31, 2025</t>
  </si>
  <si>
    <t>Prepared for</t>
  </si>
  <si>
    <t>JOHN B DUNNING</t>
  </si>
  <si>
    <t>Account Number</t>
  </si>
  <si>
    <t>XXXX-XXXXXX-27008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</si>
  <si>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</si>
  <si>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</si>
  <si>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</si>
  <si>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</si>
  <si>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</si>
  <si>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</si>
  <si>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</si>
  <si>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Category</t>
  </si>
  <si>
    <t>12/31/2025</t>
  </si>
  <si>
    <t>ETERNAL ABUNDANCE   VANCOUVER           CA</t>
  </si>
  <si>
    <t>-27008</t>
  </si>
  <si>
    <t>OXOYI5      squareup.com/receipts
ETERNAL ABUNDANCE
VANCOUVER
CA
squareup.com/receiptsForeign Spend Amount: 72.60 CANADIAN DOLLAR Commission Amount:  Currency Exchange Rate: null</t>
  </si>
  <si>
    <t>ICONS SPORTS BAR &amp; GRICHMOND            CA</t>
  </si>
  <si>
    <t>4379        RESTAURANT
ICONS SPORTS BAR &amp; G
RICHMOND
CA
RESTAURANTForeign Spend Amount: 125.38 CANADIAN DOLLAR Commission Amount:  Currency Exchange Rate: null</t>
  </si>
  <si>
    <t>STARBUCKS US        RICHMOND            CA</t>
  </si>
  <si>
    <t>481210      FAST FOOD RESTAURANT
STARBUCKS US
RICHMOND
CA
FAST FOOD RESTAURANTForeign Spend Amount: 5.25 CANADIAN DOLLAR Commission Amount:  Currency Exchange Rate: null</t>
  </si>
  <si>
    <t>481204      FAST FOOD RESTAURANT
STARBUCKS US
RICHMOND
CA
FAST FOOD RESTAURANTForeign Spend Amount: 45.98 CANADIAN DOLLAR Commission Amount:  Currency Exchange Rate: null</t>
  </si>
  <si>
    <t>UNITED AIRLINES     VANCOUVER           CA</t>
  </si>
  <si>
    <t>00183460    WWW.UNITED.COM
EXCESS BAGGAGE
UNITED AIRLINES
VANCOUVER
CA
Carrier : UNITED AIRLINES
Passenger Name : DUNNING   /SPORTING EQUIP
Ticket Number : 01643581108562
Departure Day : 12/31
Additional Info : EXCESS BAGGAGE
From : VANCOUVER INTERNAT
To : LOS ANGELES INTERNForeign Spend Amount: 52.50 CANADIAN DOLLAR Commission Amount:  Currency Exchange Rate: null</t>
  </si>
  <si>
    <t>12/30/2025</t>
  </si>
  <si>
    <t>BANANA REPUBLIC 6734VANCOUVER           CA</t>
  </si>
  <si>
    <t>06734659044 FAMILY CLOTHING
BANANA REPUBLIC 6734
VANCOUVER
CA
FAMILY CLOTHINGForeign Spend Amount: 176.39 CANADIAN DOLLAR Commission Amount:  Currency Exchange Rate: null</t>
  </si>
  <si>
    <t>MOLTAQA MOROCCAN RESVANCOUVER           CA</t>
  </si>
  <si>
    <t>01858251    604-696-4055
MOLTAQA MOROCCAN RESTAUR 001
VANCOUVER
CA
604-696-4055Foreign Spend Amount: 300.61 CANADIAN DOLLAR Commission Amount:  Currency Exchange Rate: null</t>
  </si>
  <si>
    <t>Restaurant-Restaurant</t>
  </si>
  <si>
    <t>MUJI ROBSON STREET 4VANCOUVER           CA</t>
  </si>
  <si>
    <t>11106582536 DEPARTMENT STORE
MUJI ROBSON STREET 409756081
VANCOUVER
CA
DEPARTMENT STOREForeign Spend Amount: 133.27 CANADIAN DOLLAR Commission Amount:  Currency Exchange Rate: null</t>
  </si>
  <si>
    <t>PUERTO MEXICO       VANCOUVER           CA</t>
  </si>
  <si>
    <t>OXHHYK      squareup.com/receipts
PUERTO MEXICO
VANCOUVER
CA
squareup.com/receiptsForeign Spend Amount: 16.47 CANADIAN DOLLAR Commission Amount:  Currency Exchange Rate: null</t>
  </si>
  <si>
    <t>SAVE ON FOODS #999  NORTH VANCOUVER     CA</t>
  </si>
  <si>
    <t>18002429229
SAVE ON FOODS #999
NORTH VANCOUVER
CA
18002429229Foreign Spend Amount: 4.34 CANADIAN DOLLAR Commission Amount:  Currency Exchange Rate: null</t>
  </si>
  <si>
    <t>STEVE MADDEN (SM16 VVANCOUVER           CA</t>
  </si>
  <si>
    <t>8           SHOE STORE
STEVE MADDEN (SM16 VANCOUVER
VANCOUVER
CA
Description : 12303598 Price : 0.00
SHOE STOREForeign Spend Amount: 277.17 CANADIAN DOLLAR Commission Amount:  Currency Exchange Rate: null</t>
  </si>
  <si>
    <t>THE NAAM RESTAURANT VANCOUVER           CA</t>
  </si>
  <si>
    <t>21105185365 RESTAURANT
THE NAAM RESTAURANT
VANCOUVER
CA
RESTAURANTForeign Spend Amount: 284.59 CANADIAN DOLLAR Commission Amount:  Currency Exchange Rate: null</t>
  </si>
  <si>
    <t>ZARA ROBSON ST #3083VANCOUVER           CA</t>
  </si>
  <si>
    <t>29          MEN'S/WOMEN'S CLOTHNG
ZARA ROBSON ST #3083 VANCOUVER
VANCOUVER
CA
Description : 123000129 Price : 0.00
MEN'S/WOMEN'S CLOTHNGForeign Spend Amount: 116.52 CANADIAN DOLLAR Commission Amount:  Currency Exchange Rate: null</t>
  </si>
  <si>
    <t>12/29/2025</t>
  </si>
  <si>
    <t>BCF-SWARTZ BAY      VICTORIA            CA</t>
  </si>
  <si>
    <t>8882233779
BCF-SWARTZ BAY
VICTORIA
CA
8882233779Foreign Spend Amount: 155.00 CANADIAN DOLLAR Commission Amount:  Currency Exchange Rate: null</t>
  </si>
  <si>
    <t>BE LOVE RESTAURANT 0VICTORIA            CA</t>
  </si>
  <si>
    <t>73401970    778-433-7181
BE LOVE RESTAURANT 001
VICTORIA
CA
778-433-7181Foreign Spend Amount: 267.58 CANADIAN DOLLAR Commission Amount:  Currency Exchange Rate: null</t>
  </si>
  <si>
    <t>FS *WICKANINNISH INNTOFINO              CA</t>
  </si>
  <si>
    <t>164616      2507253102
LODGING
FS *WICKANINNISH INN LIMI 000000018
TOFINO
CA
Foreign Spend Amount: 9088.76 CANADIAN DOLLAR Commission Amount:  Currency Exchange Rate: null</t>
  </si>
  <si>
    <t>Travel-Lodging</t>
  </si>
  <si>
    <t>PARADOX VANCOUVER HOVANCOUVER           CA</t>
  </si>
  <si>
    <t>53649244153 6049798888
PARADOX VANCOUVER HOTEL 3992555847
VANCOUVER
CA
6049798888Foreign Spend Amount: 2235.56 CANADIAN DOLLAR Commission Amount:  Currency Exchange Rate: null</t>
  </si>
  <si>
    <t>VANCOUVER KARMA LOUNVANCOUVER           CA</t>
  </si>
  <si>
    <t>11106582536 BAR/NIGHTCLUB
VANCOUVER KARMA LOUNGE LTD. 411842275
VANCOUVER
CA
BAR/NIGHTCLUBForeign Spend Amount: 50.40 CANADIAN DOLLAR Commission Amount:  Currency Exchange Rate: null</t>
  </si>
  <si>
    <t>12/28/2025</t>
  </si>
  <si>
    <t>LONG BEACH LODGE RESTOFINO              CA</t>
  </si>
  <si>
    <t>52509116    250-725-2442
LONG BEACH LODGE RESORT 001
TOFINO
CA
250-725-2442Foreign Spend Amount: 337.32 CANADIAN DOLLAR Commission Amount:  Currency Exchange Rate: null</t>
  </si>
  <si>
    <t>LS STORM SURF SHOP  TOFINO              CA</t>
  </si>
  <si>
    <t>CH_3SJSMNKK +12507253344
LS STORM SURF SHOP
TOFINO
CA
+12507253344Foreign Spend Amount: 299.67 CANADIAN DOLLAR Commission Amount:  Currency Exchange Rate: null</t>
  </si>
  <si>
    <t>TOFINO MOBILE MASSAGTOFINO              CA</t>
  </si>
  <si>
    <t>OWSGJW      squareup.com/receipts
TOFINO MOBILE MASSAGE
TOFINO
CA
squareup.com/receiptsForeign Spend Amount: 315.00 CANADIAN DOLLAR Commission Amount:  Currency Exchange Rate: null</t>
  </si>
  <si>
    <t>12/27/2025</t>
  </si>
  <si>
    <t>TST-TACOFINO - TOFINTOFINO              CA</t>
  </si>
  <si>
    <t>######ZPJVO support@toasttab.com
TST-TACOFINO - TOFINO
TOFINO
CA
support@toasttab.comForeign Spend Amount: 84.40 CANADIAN DOLLAR Commission Amount:  Currency Exchange Rate: null</t>
  </si>
  <si>
    <t>12/26/2025</t>
  </si>
  <si>
    <t>UCLUELET CO-OP GAS QUCLUELET CO         CA</t>
  </si>
  <si>
    <t>3062443311
UCLUELET CO-OP GAS QPE
UCLUELET CO
CA
3062443311Foreign Spend Amount: 36.89 CANADIAN DOLLAR Commission Amount:  Currency Exchange Rate: null</t>
  </si>
  <si>
    <t>UCLUELET CO-OP PAY @UCLUELET            CA</t>
  </si>
  <si>
    <t>3062443311
UCLUELET CO-OP PAY @ PUMP
UCLUELET
CA
3062443311Foreign Spend Amount: 113.32 CANADIAN DOLLAR Commission Amount:  Currency Exchange Rate: null</t>
  </si>
  <si>
    <t>WILDSIDE GRILL      TOFINO              CA</t>
  </si>
  <si>
    <t>21105185361 RESTAURANT
WILDSIDE GRILL
TOFINO
CA
RESTAURANTForeign Spend Amount: 2.52 CANADIAN DOLLAR Commission Amount:  Currency Exchange Rate: null</t>
  </si>
  <si>
    <t>21105185361 RESTAURANT
WILDSIDE GRILL
TOFINO
CA
RESTAURANTForeign Spend Amount: 42.50 CANADIAN DOLLAR Commission Amount:  Currency Exchange Rate: null</t>
  </si>
  <si>
    <t>12/23/2025</t>
  </si>
  <si>
    <t>90003109    250-725-2442
LONG BEACH LODGE RESORT 001
TOFINO
CA
250-725-2442Foreign Spend Amount: 384.13 CANADIAN DOLLAR Commission Amount:  Currency Exchange Rate: null</t>
  </si>
  <si>
    <t>12/22/2025</t>
  </si>
  <si>
    <t>LS DRIFTWOOD GIFTS  TOFINO              CA</t>
  </si>
  <si>
    <t>CH_3SHHFHKK +12507253905
LS DRIFTWOOD GIFTS
TOFINO
CA
+12507253905Foreign Spend Amount: 15.66 CANADIAN DOLLAR Commission Amount:  Currency Exchange Rate: null</t>
  </si>
  <si>
    <t>VIHA TOFINO HOSPITALTOFINO              CA</t>
  </si>
  <si>
    <t>1222468     HOSPITAL
VIHA TOFINO HOSPITAL VIHA TOFINO HOS
TOFINO
CA
HOSPITALForeign Spend Amount: 1355.00 CANADIAN DOLLAR Commission Amount:  Currency Exchange Rate: null</t>
  </si>
  <si>
    <t>12/21/2025</t>
  </si>
  <si>
    <t>69765912    250-725-2442
LONG BEACH LODGE RESORT 001
TOFINO
CA
250-725-2442Foreign Spend Amount: 170.56 CANADIAN DOLLAR Commission Amount:  Currency Exchange Rate: null</t>
  </si>
  <si>
    <t>PHARMASAVE HEALTH CETOFINO              CA</t>
  </si>
  <si>
    <t>9028322490
PHARMASAVE HEALTH CENTRE 049
TOFINO
CA
9028322490Foreign Spend Amount: 65.47 CANADIAN DOLLAR Commission Amount:  Currency Exchange Rate: null</t>
  </si>
  <si>
    <t>SHELTER RESTAURANT STOFINO              CA</t>
  </si>
  <si>
    <t>1221C19     RESTAURANT
SHELTER RESTAURANT SHELTER RESTAUR
TOFINO
CA
RESTAURANTForeign Spend Amount: 282.50 CANADIAN DOLLAR Commission Amount:  Currency Exchange Rate: null</t>
  </si>
  <si>
    <t>12/20/2025</t>
  </si>
  <si>
    <t>OUEH7S      squareup.com/receipts
TOFINO MOBILE MASSAGE
TOFINO
CA
squareup.com/receiptsForeign Spend Amount: 956.00 CANADIAN DOLLAR Commission Amount:  Currency Exchange Rate: null</t>
  </si>
  <si>
    <t>TST-BASIC GOODNESS PTOFINO              CA</t>
  </si>
  <si>
    <t>######UP8ll support@toasttab.com
TST-BASIC GOODNESS PIZ
TOFINO
CA
support@toasttab.comForeign Spend Amount: 121.42 CANADIAN DOLLAR Commission Amount:  Currency Exchange Rate: null</t>
  </si>
  <si>
    <t>12/19/2025</t>
  </si>
  <si>
    <t>NETGEAR INC         408-890-3088        CA</t>
  </si>
  <si>
    <t>171102524  171102524        90066
NETGEAR INC
408-890-3088
CA
171102524        90066</t>
  </si>
  <si>
    <t>9028322490
PHARMASAVE HEALTH CENTRE 049
TOFINO
CA
9028322490Foreign Spend Amount: 209.65 CANADIAN DOLLAR Commission Amount:  Currency Exchange Rate: null</t>
  </si>
  <si>
    <t>12/18/2025</t>
  </si>
  <si>
    <t>BCF - COASTAL RENAISVICTORIA            CA</t>
  </si>
  <si>
    <t>9237        8882233779
BCF - COASTAL RENAISSANCE
VICTORIA
CA
8882233779Foreign Spend Amount: 5.24 CANADIAN DOLLAR Commission Amount:  Currency Exchange Rate: null</t>
  </si>
  <si>
    <t>9266        8882233779
BCF - COASTAL RENAISSANCE
VICTORIA
CA
8882233779Foreign Spend Amount: 8.58 CANADIAN DOLLAR Commission Amount:  Currency Exchange Rate: null</t>
  </si>
  <si>
    <t>BOOK SOUP ST1475 147CARSON              CA</t>
  </si>
  <si>
    <t>218144031  1218094031       90746
BOOKS/SUPPLIES/GIFTS
BOOK SOUP ST1475 1475
CARSON
CA
BOOKS/SUPPLIES/GIFTS
1218094031       90746</t>
  </si>
  <si>
    <t>FLOHEALTH.COM       WILMINGTON          DE</t>
  </si>
  <si>
    <t>CH_3SFRFJF9 +18779691991
FLOHEALTH.COM
WILMINGTON
DE
+18779691991</t>
  </si>
  <si>
    <t>FRANKIE'S BARBEQUE 0DELTA               CA</t>
  </si>
  <si>
    <t>38745372    604-349-1826
FRANKIE'S BARBEQUE 001
DELTA
CA
604-349-1826Foreign Spend Amount: 26.18 CANADIAN DOLLAR Commission Amount:  Currency Exchange Rate: null</t>
  </si>
  <si>
    <t>I SALAD DELTA       DELTA               CA</t>
  </si>
  <si>
    <t>71109045353 FAST FOOD RESTAURANT
I SALAD DELTA
DELTA
CA
Description : 1218928GA2388187001 Price : 0.00
FAST FOOD RESTAURANTForeign Spend Amount: 28.08 CANADIAN DOLLAR Commission Amount:  Currency Exchange Rate: null</t>
  </si>
  <si>
    <t>LAX AIRP BGRILL BY BLOS ANGELES         CA</t>
  </si>
  <si>
    <t>083113268   866-820-1178
LAX AIRP BGRILL BY BOA LAX AIRP BGRILL
LOS ANGELES
CA
866-820-1178</t>
  </si>
  <si>
    <t>STARBUCKS 04615     DELTA               CA</t>
  </si>
  <si>
    <t>65DF5CF3C24 FAST FOOD RESTAURANT
STARBUCKS 04615
DELTA
CA
FAST FOOD RESTAURANTForeign Spend Amount: 37.23 CANADIAN DOLLAR Commission Amount:  Currency Exchange Rate: null</t>
  </si>
  <si>
    <t>STARBUCKS 04686     PORT ALBERNI        CA</t>
  </si>
  <si>
    <t>28172B80D6A FAST FOOD RESTAURANT
STARBUCKS 04686
PORT ALBERNI
CA
FAST FOOD RESTAURANTForeign Spend Amount: 75.23 CANADIAN DOLLAR Commission Amount:  Currency Exchange Rate: null</t>
  </si>
  <si>
    <t>VANCOUVER SKYCAP LTDVANCOUVER           CA</t>
  </si>
  <si>
    <t>11106582535 COURIER SERVICE
VANCOUVER SKYCAP LTD. 413627591
VANCOUVER
CA
COURIER SERVICEForeign Spend Amount: 35.00 CANADIAN DOLLAR Commission Amount:  Currency Exchange Rate: null</t>
  </si>
  <si>
    <t>WOK N ROLL RESTAURANDELTA               CA</t>
  </si>
  <si>
    <t>11106582535 FAST FOOD RESTAURANT
WOK N ROLL RESTAURANT 410504082
DELTA
CA
FAST FOOD RESTAURANTForeign Spend Amount: 6.52 CANADIAN DOLLAR Commission Amount:  Currency Exchange Rate: null</t>
  </si>
  <si>
    <t>12/16/2025</t>
  </si>
  <si>
    <t>LEV INC             NEW YORK            NY</t>
  </si>
  <si>
    <t>CH_3SF7M1DL +18884827768
LEV INC
NEW YORK
NY
+18884827768</t>
  </si>
  <si>
    <t>12/14/2025</t>
  </si>
  <si>
    <t>SETHAN HILL         SAN FRANCISCO       CA</t>
  </si>
  <si>
    <t>CH_3SEJTKJM +14156399034
SETHAN HILL
SAN FRANCISCO
CA
+14156399034</t>
  </si>
  <si>
    <t>12/08/2025</t>
  </si>
  <si>
    <t>PUBLICGOODS.COM     NEW YORK            NY</t>
  </si>
  <si>
    <t>CH_3SCI7CCE +18009594099
PUBLICGOODS.COM
NEW YORK
NY
+18009594099</t>
  </si>
  <si>
    <t>12/05/2025</t>
  </si>
  <si>
    <t>AMERICAN AIRLINES   800-433-7300        TX</t>
  </si>
  <si>
    <t>20251204    AMERICAN AIR
PREFERRED SEAT UPGRADE
AMERICAN AIRLINES
800-433-7300
TX
Carrier : American Airlines
Passenger Name : DUNNING/JOHN
Ticket Number : 0010639359506
Departure Day : 12/10
Additional Info : PREFERRED SEAT UPGRADE
From : ATLANTA HARTSFIELD
To : WASHINGTON NATIONA
Class : M
From : WASHINGTON NATIONA
To : COLUMBUS PORT COLU
Class : M</t>
  </si>
  <si>
    <t>20251204    AMERICAN AIR
PASSENGER TICKET
AMERICAN AIRLINES
800-433-7300
TX
Carrier : American Airlines
Passenger Name : DUNNING/JOHN
Ticket Number : 0012295885570
Departure Day : 12/10
Additional Info : PASSENGER TICKET
From : ATLANTA HARTSFIELD
To : WASHINGTON NATIONA
Class : M
From : WASHINGTON NATIONA
To : COLUMBUS PORT COLU
Class : M</t>
  </si>
  <si>
    <t>CUSTOMER SERVICE PAYMENT - THANK YOU</t>
  </si>
  <si>
    <t xml:space="preserve">CUSTOMER SERVICE PAYMENT - THANK YOU
</t>
  </si>
  <si>
    <t>EXPEDIA 733192261296EXPEDIA.COM         WA</t>
  </si>
  <si>
    <t>40BWYR4DADU TRAVEL AGENCY
EXPEDIA 73319226129605
EXPEDIA.COM
WA
TRAVEL AGENCY</t>
  </si>
  <si>
    <t>MCTO TAX PAYMENT    602-506-8511        AZ</t>
  </si>
  <si>
    <t>20035846705 PROPERTYTAX
MCTO TAX PAYMENT
602-506-8511
AZ
PROPERTYTAX</t>
  </si>
  <si>
    <t>PAYMENTUS CORPORATIO800-420-1663        NC</t>
  </si>
  <si>
    <t>20035846706 MISC PAYMENT
PAYMENTUS CORPORATIO
800-420-1663
NC
MISC PAYMENT</t>
  </si>
  <si>
    <t>12/04/2025</t>
  </si>
  <si>
    <t>GOOGLE *HURDLR MILEA G.CO/HELPPAY#      CA</t>
  </si>
  <si>
    <t>A13TMEHX    COMPUTER PROGRAMMING
GOOGLE *HURDLR MILEAGE
G.CO/HELPPAY#
CA
COMPUTER PROGRAMMING</t>
  </si>
  <si>
    <t>ONLINE PAYMENT - THANK YOU</t>
  </si>
  <si>
    <t xml:space="preserve">ONLINE PAYMENT - THANK YOU
</t>
  </si>
  <si>
    <t>UNITED AIRLINES     HOUSTON             TX</t>
  </si>
  <si>
    <t>33983553    WWW.UNITED.COM
PREFERRED SEAT UPGRADE
UNITED AIRLINES
HOUSTON
TX
Carrier : UNITED AIRLINES
Passenger Name : DUNNING   /PREFERRED ZONE
Ticket Number : 01643511545745
Departure Day : 12/12
Additional Info : PREFERRED SEAT UPGRADE
"From : CLEVELAND, OHIO,US"
To : LOS ANGELES INTERN</t>
  </si>
  <si>
    <t>33891917    WWW.UNITED.COM
PASSENGER TICKET
UNITED AIRLINES
HOUSTON
TX
Carrier : UNITED AIRLINES
Passenger Name : DUNNING/JOHNB
Ticket Number : 01623542135655
Departure Day : 12/12
Additional Info : PASSENGER TICKET
"From : CLEVELAND, OHIO,US"
To : LOS ANGELES INTERN</t>
  </si>
  <si>
    <t>12/03/2025</t>
  </si>
  <si>
    <t>163724      2507253102
LODGING
CARDEPOSIT
FS *WICKANINNISH INN LIMI 000000018
TOFINO
CA
Foreign Spend Amount: 5967.00 CANADIAN DOLLAR Commission Amount:  Currency Exchange Rate: null</t>
  </si>
  <si>
    <t>MOBILE PAYMENT - THANK YOU</t>
  </si>
  <si>
    <t xml:space="preserve">MOBILE PAYMENT - THANK YOU
</t>
  </si>
  <si>
    <t>PROPERTYRATE APPRAISORANGE              CA</t>
  </si>
  <si>
    <t>99999995351 8777777283
PROPERTYRATE APPRAISAL 000000001
ORANGE
CA
Description : PROFF SVCS Price : 2.50
8777777283</t>
  </si>
  <si>
    <t>12/01/2025</t>
  </si>
  <si>
    <t>PAYPAL *WALMART COM 8009256278          CA</t>
  </si>
  <si>
    <t>10196998229 8009256278
PAYPAL *WALMART COM WALMA
8009256278
CA
Description : GENERAL Price : 0.00
8009256278</t>
  </si>
  <si>
    <t>11/30/2025</t>
  </si>
  <si>
    <t>PAYPAL *APPLE.COM/BI8002752273          CA</t>
  </si>
  <si>
    <t>10196881473 8002752273
PAYPAL *APPLE.COM/BILL
8002752273
CA
Description : MUSIC Price : 0.00
8002752273</t>
  </si>
  <si>
    <t>11/29/2025</t>
  </si>
  <si>
    <t>10196781853 8002752273
PAYPAL *APPLE.COM/BILL
8002752273
CA
Description : MUSIC Price : 0.00
8002752273</t>
  </si>
  <si>
    <t>10196866020 8009256278
PAYPAL *WALMART COM WALMA
8009256278
CA
Description : GENERAL Price : 0.00
8009256278</t>
  </si>
  <si>
    <t>VENMO *JAMES BRANAMA8558124430          NY</t>
  </si>
  <si>
    <t>10196820737 8558124430
VENMO *JAMES BRANAMAN
8558124430
NY
"Description : BUSINESS SERVICES, Price : 0.00"
8558124430</t>
  </si>
  <si>
    <t>11/28/2025</t>
  </si>
  <si>
    <t>WORDPRESS BLAZE     SAN FRANCISCO       CA</t>
  </si>
  <si>
    <t>CH_3SYVB6F5 +16503880901
WORDPRESS BLAZE
SAN FRANCISCO
CA
+16503880901</t>
  </si>
  <si>
    <t>11/26/2025</t>
  </si>
  <si>
    <t>CH_3SXO9VDL +18884827768
LEV INC
NEW YORK
NY
+18884827768</t>
  </si>
  <si>
    <t>VENMO *JAMES PHILLIP8558124430          NY</t>
  </si>
  <si>
    <t>10196544013 8558124430
VENMO *JAMES PHILLIPS
8558124430
NY
"Description : BUSINESS SERVICES, Price : 0.00"
8558124430</t>
  </si>
  <si>
    <t>11/24/2025</t>
  </si>
  <si>
    <t>DD *DOORDASHDASHPASSSAN FRANCISCO       CA</t>
  </si>
  <si>
    <t>CH_2SXA8GRW +16506819470
DD *DOORDASHDASHPASS
SAN FRANCISCO
CA
+16506819470</t>
  </si>
  <si>
    <t>PAYPAL *TICKETMASTER8006538000          CA</t>
  </si>
  <si>
    <t>10196352036 8006538000
PAYPAL *TICKETMASTER
8006538000
CA
Description : CONCERT TICKETS Price : 0.00
8006538000</t>
  </si>
  <si>
    <t>11/18/2025</t>
  </si>
  <si>
    <t>CH_3SUZOKF9 +18779691991
FLOHEALTH.COM
WILMINGTON
DE
+18779691991</t>
  </si>
  <si>
    <t>11/14/2025</t>
  </si>
  <si>
    <t>CH_3STQVNF5 +16503880901
WORDPRESS BLAZE
SAN FRANCISCO
CA
+16503880901</t>
  </si>
  <si>
    <t>11/10/2025</t>
  </si>
  <si>
    <t>PREMIER PHOTOGRAPHY,FORT SMITH          AR</t>
  </si>
  <si>
    <t>pmxSTsrEV0K squareup.com/receipts
PREMIER PHOTOGRAPHY, LLC
FORT SMITH
AR
squareup.com/receipts</t>
  </si>
  <si>
    <t>11/07/2025</t>
  </si>
  <si>
    <t>CH_3SQTBWF5 +16503880901
WORDPRESS BLAZE
SAN FRANCISCO
CA
+16503880901</t>
  </si>
  <si>
    <t>11/05/2025</t>
  </si>
  <si>
    <t>CH_2SQFFRRW +16506819470
DD *DOORDASHDASHPASS
SAN FRANCISCO
CA
+16506819470</t>
  </si>
  <si>
    <t>11/04/2025</t>
  </si>
  <si>
    <t>A13C119G    DIGITAL GOODS: APPS
GOOGLE *HURDLR MILEAGE
G.CO/HELPPAY#
CA
DIGITAL GOODS: APPS</t>
  </si>
  <si>
    <t>11/03/2025</t>
  </si>
  <si>
    <t>161280      2507253102
LODGING
CARDEPOSIT
FS *WICKANINNISH INN LIMI 000000018
TOFINO
CA
Foreign Spend Amount: 5967.00 CANADIAN DOLLAR Commission Amount:  Currency Exchange Rate: null</t>
  </si>
  <si>
    <t>10/29/2025</t>
  </si>
  <si>
    <t>CORPORATE FILINGS LLSHERIDAN            WY</t>
  </si>
  <si>
    <t>31099535302 888-4072122
CORPORATE FILINGS LLC 00-08029641761
SHERIDAN
WY
888-4072122</t>
  </si>
  <si>
    <t>Other-Miscellaneous</t>
  </si>
  <si>
    <t>10/26/2025</t>
  </si>
  <si>
    <t>CH_3SMERMF5 +16503880901
WORDPRESS BLAZE
SAN FRANCISCO
CA
+16503880901</t>
  </si>
  <si>
    <t>10/21/2025</t>
  </si>
  <si>
    <t>COMMONLOTS LLC 65000CAMARILLO           CA</t>
  </si>
  <si>
    <t>10156320251 2133059621
COMMONLOTS LLC 650000013497618
CAMARILLO
CA
Description : APARTMENT BUILDING Price : 113.00
2133059621</t>
  </si>
  <si>
    <t>10/19/2025</t>
  </si>
  <si>
    <t>PAYPAL *SARAHDETCHMA4029357733          CA</t>
  </si>
  <si>
    <t>10193255859 4029357733
PAYPAL *SARAHDETCHMAN
4029357733
CA
Description : PROFESSIONAL SERVIC Price : 0.00
4029357733</t>
  </si>
  <si>
    <t>10/18/2025</t>
  </si>
  <si>
    <t>CH_3SJKB4F9 +18779691991
FLOHEALTH.COM
WILMINGTON
DE
+18779691991</t>
  </si>
  <si>
    <t>10/17/2025</t>
  </si>
  <si>
    <t>COMMON LOTS         CAMARILLO           CA</t>
  </si>
  <si>
    <t>77200001    213-305-9621
COMMON LOTS
CAMARILLO
CA
"Description : REAL ESTATE (E.G.,R Price : 0.00"
213-305-9621</t>
  </si>
  <si>
    <t>77200002    213-305-9621
COMMON LOTS
CAMARILLO
CA
"Description : REAL ESTATE (E.G.,R Price : 0.00"
213-305-9621</t>
  </si>
  <si>
    <t>10/09/2025</t>
  </si>
  <si>
    <t>COMMON LOTS 0000    CAMARILLO           CA</t>
  </si>
  <si>
    <t>77500001    213-305-9621
COMMON LOTS 0000
CAMARILLO
CA
"Description : REAL ESTATE (E.G.,R Price : 0.00"
213-305-9621</t>
  </si>
  <si>
    <t>10/07/2025</t>
  </si>
  <si>
    <t>77300003    213-305-9621
COMMON LOTS 0000
CAMARILLO
CA
"Description : REAL ESTATE (E.G.,R Price : 0.00"
213-305-9621</t>
  </si>
  <si>
    <t>10/04/2025</t>
  </si>
  <si>
    <t>A12ULM8M    DIGITAL GOODS: APPS
GOOGLE *HURDLR MILEAGE
G.CO/HELPPAY#
CA
DIGITAL GOODS: APPS</t>
  </si>
  <si>
    <t>10/01/2025</t>
  </si>
  <si>
    <t>99999995287 8777777283
PROPERTYRATE APPRAISAL 000000001
ORANGE
CA
Description : PROFF SVCS Price : 7.50
8777777283</t>
  </si>
  <si>
    <t>99999995287 8777777283
PROPERTYRATE APPRAISAL 000000001
ORANGE
CA
Description : PROFF SVCS Price : 9.25
8777777283</t>
  </si>
  <si>
    <t>09/28/2025</t>
  </si>
  <si>
    <t>09/24/2025</t>
  </si>
  <si>
    <t>CH_2SB33NRW +16506819470
DD *DOORDASHDASHPASS
SAN FRANCISCO
CA
+16506819470</t>
  </si>
  <si>
    <t>09/21/2025</t>
  </si>
  <si>
    <t>LA EATS AT SOFI STADInglewood           CA</t>
  </si>
  <si>
    <t>Fycys22jdxg squareup.com/receipts
LA EATS AT SOFI STADIUM
Inglewood
CA
squareup.com/receipts</t>
  </si>
  <si>
    <t>CH_3S9XLIF5 +16503880901
WORDPRESS BLAZE
SAN FRANCISCO
CA
+16503880901</t>
  </si>
  <si>
    <t>09/18/2025</t>
  </si>
  <si>
    <t>EXPEDIA 732463466178EXPEDIA.COM         WA</t>
  </si>
  <si>
    <t xml:space="preserve">HOTEL JEROM TRAVEL
LODGING
EXPEDIA 73246346617860
EXPEDIA.COM
WA
</t>
  </si>
  <si>
    <t>CH_3S8SKFF9 +18779691991
FLOHEALTH.COM
WILMINGTON
DE
+18779691991</t>
  </si>
  <si>
    <t>09/15/2025</t>
  </si>
  <si>
    <t>TST* BLUEYS KITCHEN LOS ANGELES         CA</t>
  </si>
  <si>
    <t>21105175259 RESTAURANT
TST* BLUEYS KITCHEN MAR V 00098618
LOS ANGELES
CA
RESTAURANT</t>
  </si>
  <si>
    <t>09/14/2025</t>
  </si>
  <si>
    <t>CH_3S7QQKF5 +16503880901
WORDPRESS BLAZE
SAN FRANCISCO
CA
+16503880901</t>
  </si>
  <si>
    <t>09/13/2025</t>
  </si>
  <si>
    <t>LA CABANA - VENICE 5877-8144102         CA</t>
  </si>
  <si>
    <t>73011545257 CARLOS@LACABANAVENICE
CARLOS@LACABANAVENICE.COM
LA CABANA - VENICE 545500001823608
877-8144102
CA
CARLOS@LACABANAVENICE.COM</t>
  </si>
  <si>
    <t>PAYA THAI LA LLC. BLLOS ANGELES         CA</t>
  </si>
  <si>
    <t>psSv6So4Cj6 squareup.com/receipts
PAYA THAI LA LLC. BLUE LOTUS MASSAGE.
LOS ANGELES
CA
squareup.com/receipts</t>
  </si>
  <si>
    <t>TST* VESPAIO 0008079LOS ANGELES         CA</t>
  </si>
  <si>
    <t>21105175257 RESTAURANT
TST* VESPAIO 00080795
LOS ANGELES
CA
RESTAURANT</t>
  </si>
  <si>
    <t>09/12/2025</t>
  </si>
  <si>
    <t>RIDER SHACK         LOS ANGELES         CA</t>
  </si>
  <si>
    <t>73064709    310-821-7873
RIDER SHACK
LOS ANGELES
CA
Description : BUSINESS SERVICES Price : 0.00
310-821-7873</t>
  </si>
  <si>
    <t>09/05/2025</t>
  </si>
  <si>
    <t>CH_2S49JBRW +16506819470
DD *DOORDASHDASHPASS
SAN FRANCISCO
CA
+16506819470</t>
  </si>
  <si>
    <t>09/04/2025</t>
  </si>
  <si>
    <t>A12CLZUJ    DIGITAL GOODS: GAMES
GOOGLE *HURDLR MILEAGE
G.CO/HELPPAY#
CA
DIGITAL GOODS: GAMES</t>
  </si>
  <si>
    <t>08/28/2025</t>
  </si>
  <si>
    <t>08/20/2025</t>
  </si>
  <si>
    <t>LOVE'S #0273 INSIDE/WEATHERFORD         TX</t>
  </si>
  <si>
    <t>27300325082 GASSTATION
LOVE'S #0273 INSIDE/UNBRANDED 02730018
WEATHERFORD
TX
Description : UNBRANDED Price : 0.00
Description : TAX Price : 0.00
GASSTATION</t>
  </si>
  <si>
    <t>08/19/2025</t>
  </si>
  <si>
    <t>BLVD   *PREMIER IV &amp;WEATHERFORD         TX</t>
  </si>
  <si>
    <t>99999995232 8334849376
BLVD   *PREMIER IV &amp; WELL 000010059
WEATHERFORD
TX
Description : MED/HEALTH SERV Price : 1.3905
8334849376</t>
  </si>
  <si>
    <t>SHEP'S 5455000014071702-5672666         TX</t>
  </si>
  <si>
    <t>73011545232 SHEPSWFORD@GMAIL.COM
SHEP'S 545500001407139
702-5672666
TX
SHEPSWFORD@GMAIL.COM</t>
  </si>
  <si>
    <t>08/18/2025</t>
  </si>
  <si>
    <t>FIVE STAR FORD LEWISLEWISVILLE          TX</t>
  </si>
  <si>
    <t>21105175231 AUTO DEALER (NEW/USED
FIVE STAR FORD LEWISV
LEWISVILLE
TX
AUTO DEALER (NEW/USED</t>
  </si>
  <si>
    <t>CH_3RXDWFF9 +18779691991
FLOHEALTH.COM
WILMINGTON
DE
+18779691991</t>
  </si>
  <si>
    <t>08/10/2025</t>
  </si>
  <si>
    <t>NaAdT7BN0eh squareup.com/receipts
PAYA THAI LA LLC. BLUE LOTUS MASSAGE.
LOS ANGELES
CA
squareup.com/receipts</t>
  </si>
  <si>
    <t>08/09/2025</t>
  </si>
  <si>
    <t>ROSS DRESS FOR LESS VENICE              CA</t>
  </si>
  <si>
    <t>00311007967 999-000-0000
ROSS DRESS FOR LESS
VENICE
CA
999-000-0000</t>
  </si>
  <si>
    <t>08/04/2025</t>
  </si>
  <si>
    <t>GOOGLE *REA APP      G.CO/HELPPAY#      CA</t>
  </si>
  <si>
    <t>A11UDDZG    COMPUTER STORE
GOOGLE *REA APP
G.CO/HELPPAY#
CA
COMPUTER STORE</t>
  </si>
  <si>
    <t>HYATT REGENCY NEWPORNEWPORT BEACH       CA</t>
  </si>
  <si>
    <t xml:space="preserve">04274688    949-729-1234
LODGING
HYATT REGENCY NEWPORT BC NEWP
NEWPORT BEACH
CA
</t>
  </si>
  <si>
    <t>08/03/2025</t>
  </si>
  <si>
    <t>MERCEDES BENZ OF LAGLAGUNA NIGUEL       CA</t>
  </si>
  <si>
    <t>730110052150000052150433583592677
MERCEDES BENZ OF LAGUNA N 739292500305
LAGUNA NIGUEL
CA
0000052150433583592677</t>
  </si>
  <si>
    <t>08/02/2025</t>
  </si>
  <si>
    <t>ABM PARKING CARDIFF CULVER CITY         CA</t>
  </si>
  <si>
    <t>183501004   1112537750
ABM PARKING CARDIFF GARAG 084870021120
CULVER CITY
CA
1112537750</t>
  </si>
  <si>
    <t>PHOVORITE VIETNAMESECULVER CITY         CA</t>
  </si>
  <si>
    <t>85230725216424-603-4191
PHOVORITE VIETNAMESE K
CULVER CITY
CA
424-603-4191</t>
  </si>
  <si>
    <t>07/24/2025</t>
  </si>
  <si>
    <t>07/18/2025</t>
  </si>
  <si>
    <t>CH_3RMOJOF9 +18779691991
FLOHEALTH.COM
WILMINGTON
DE
+18779691991</t>
  </si>
  <si>
    <t>07/13/2025</t>
  </si>
  <si>
    <t>TST* WILDSEED - UNIOSAN FRANCISCO       CA</t>
  </si>
  <si>
    <t>NFjYRAKee00 4158727350
TST* WILDSEED - UNION 300560060
SAN FRANCISCO
CA
Description : RESTAURANTS Price : 1.9319
4158727350</t>
  </si>
  <si>
    <t>UBER EATS           help.uber.com       CA</t>
  </si>
  <si>
    <t>9BAJ8W1F   3XP7QFVT         94103
UBER EATS
help.uber.com
CA
3XP7QFVT         94103</t>
  </si>
  <si>
    <t>07/12/2025</t>
  </si>
  <si>
    <t>GOOGLE *INAPP PURCHA G.CO/HELPPAY#      CA</t>
  </si>
  <si>
    <t>A11HD9LU    DIGITAL GOODS: GAMES
GOOGLE *INAPP PURCHASE
G.CO/HELPPAY#
CA
DIGITAL GOODS: GAMES</t>
  </si>
  <si>
    <t>SP TAYLOR STITCH    SAN FRANCISCO       CA</t>
  </si>
  <si>
    <t>CH_3RKE652M +14153159930
SP TAYLOR STITCH
SAN FRANCISCO
CA
+14153159930</t>
  </si>
  <si>
    <t>TST* GREENS 30056944SAN FRANCISCO       CA</t>
  </si>
  <si>
    <t>IYkLLnI1K00 4157716222
TST* GREENS 300569442
SAN FRANCISCO
CA
Description : RESTAURANTS Price : 1.642
4157716222</t>
  </si>
  <si>
    <t>07/10/2025</t>
  </si>
  <si>
    <t>BEACON GRAND 00-0803SAN FRANCISCO       CA</t>
  </si>
  <si>
    <t>31099535194 LODGING
BEACON GRAND 00-08039634376
SAN FRANCISCO
CA
LODGING</t>
  </si>
  <si>
    <t>DNH*GODADDY#38128367Tempe               AZ</t>
  </si>
  <si>
    <t>3812836748 4805058855
Business Professional  - Renewal - month
Email - Archiving - Renewal
DNH*GODADDY#3812836748
Tempe
AZ
Business Professional  - Renewal - month
Email - Archiving - Renewal
4805058855</t>
  </si>
  <si>
    <t>LAZY DOG RESTAURANT NEWARK              CA</t>
  </si>
  <si>
    <t>25071020040 510-925-2424
LAZY DOG RESTAURANT 29 0000
NEWARK
CA
Description : FOOD/BEVERAGE Price : 0.00
510-925-2424</t>
  </si>
  <si>
    <t>SANDCASTLE HOTEL ON PISMO BEACH         CA</t>
  </si>
  <si>
    <t xml:space="preserve">0000095429  8057732422
LODGING
SANDCASTLE HOTEL ON TH
PISMO BEACH
CA
</t>
  </si>
  <si>
    <t>UBER ONE            help.uber.com       CA</t>
  </si>
  <si>
    <t>8YA1BDFT    8005928996
UBER ONE
help.uber.com
CA
8005928996</t>
  </si>
  <si>
    <t>07/09/2025</t>
  </si>
  <si>
    <t>DNH*GODADDY#38116158Tempe               AZ</t>
  </si>
  <si>
    <t>3811615801 4805058855
Conversations Deluxe - 1 Month - Renewal
DNH*GODADDY#3811615801
Tempe
AZ
Conversations Deluxe - 1 Month - Renewal
4805058855</t>
  </si>
  <si>
    <t>EXPEDIA 731692243494EXPEDIA.COM         WA</t>
  </si>
  <si>
    <t xml:space="preserve">SANDCASTLE  TRAVEL
LODGING
EXPEDIA 73169224349443
EXPEDIA.COM
WA
</t>
  </si>
  <si>
    <t>TST* CORAZON COCINA SANTA BARBARA       CA</t>
  </si>
  <si>
    <t>21105175191 RESTAURANT
TST* CORAZON COCINA 00152733
SANTA BARBARA
CA
RESTAURANT</t>
  </si>
  <si>
    <t>07/08/2025</t>
  </si>
  <si>
    <t>DNH*GODADDY#38104833Tempe               AZ</t>
  </si>
  <si>
    <t>3810483381 4805058855
Microsoft 365 Business Professional- Ren
Email - Archiving - Renewal
Microsoft 365 Email Backup - Renewal
DNH*GODADDY#3810483381
Tempe
AZ
Microsoft 365 Business Professional- Ren
Email - Archiving - Renewal
Microsoft 365 Email Backup - Renewal
4805058855</t>
  </si>
  <si>
    <t>07/06/2025</t>
  </si>
  <si>
    <t>AplPay BIRD APP* PENMIAMI               FL</t>
  </si>
  <si>
    <t>CH_3RHZUKFN +18662052442
AplPay BIRD APP* PENDING.BIRD
MIAMI
FL
+18662052442</t>
  </si>
  <si>
    <t>CH_3RI0ZSFN +18662052442
AplPay BIRD APP* PENDING.BIRD
MIAMI
FL
+18662052442</t>
  </si>
  <si>
    <t>07/04/2025</t>
  </si>
  <si>
    <t>A11DL69T    DIGITAL GOODS: GAMES
GOOGLE *REA APP
G.CO/HELPPAY#
CA
DIGITAL GOODS: GAMES</t>
  </si>
  <si>
    <t>0XPEAB3S   J4TAWTFR         94103
UBER EATS
help.uber.com
CA
J4TAWTFR         94103</t>
  </si>
  <si>
    <t>07/02/2025</t>
  </si>
  <si>
    <t>DNH*GODADDY#38032481Tempe               AZ</t>
  </si>
  <si>
    <t>3803248112 4805058855
Microsoft 365 Email Essentials - Renewal
Email - Archiving - Renewal
DNH*GODADDY#3803248112
Tempe
AZ
Microsoft 365 Email Essentials - Renewal
Email - Archiving - Renewal
4805058855</t>
  </si>
  <si>
    <t>07/01/2025</t>
  </si>
  <si>
    <t>FUND LAUNCH         LEHI                UT</t>
  </si>
  <si>
    <t>CH_3RFYLSGE +14352443532
FUND LAUNCH
LEHI
UT
+14352443532</t>
  </si>
  <si>
    <t>IPFS*IPFS INS PMT   KANSAS CITY         MO</t>
  </si>
  <si>
    <t xml:space="preserve">######CtCKq INSURANCE SALES
IPFS*IPFS INS PMT
KANSAS CITY
MO
</t>
  </si>
  <si>
    <t>06/30/2025</t>
  </si>
  <si>
    <t>20027782423 PROPERTYTAX
MCTO TAX PAYMENT
602-506-8511
AZ
PROPERTYTAX</t>
  </si>
  <si>
    <t>20027782376 MISC PAYMENT
PAYMENTUS CORPORATIO
800-420-1663
NC
MISC PAYMENT</t>
  </si>
  <si>
    <t>06/29/2025</t>
  </si>
  <si>
    <t>UBER</t>
  </si>
  <si>
    <t>9X5WHA4C   3UMVK7VX         78217
Uber Trip
help.uber.com
CA
3UMVK7VX         78217</t>
  </si>
  <si>
    <t>Uber Trip           help.uber.com       CA</t>
  </si>
  <si>
    <t>06/27/2025</t>
  </si>
  <si>
    <t>06/26/2025</t>
  </si>
  <si>
    <t>AplPay SP 7 FOR ALL LOS ANGELES         CA</t>
  </si>
  <si>
    <t>CH_3REFNLQP +12134884208
AplPay SP 7 FOR ALL MANKIND
LOS ANGELES
CA
+12134884208</t>
  </si>
  <si>
    <t>06/25/2025</t>
  </si>
  <si>
    <t>10183712061 8006538000
PAYPAL *TICKETMASTER
8006538000
CA
Description : CONCERT TICKETS Price : 0.00
8006538000</t>
  </si>
  <si>
    <t>06/23/2025</t>
  </si>
  <si>
    <t>BLS*MONDAY COM      NEW YORK            NY</t>
  </si>
  <si>
    <t>00040389144 COMPUTER STORE
BLS*MONDAY COM
NEW YORK
NY
COMPUTER STORE</t>
  </si>
  <si>
    <t>06/22/2025</t>
  </si>
  <si>
    <t>81WBZ82B   ZDKT2BAO         94103
UBER EATS
help.uber.com
CA
ZDKT2BAO         94103</t>
  </si>
  <si>
    <t>06/20/2025</t>
  </si>
  <si>
    <t>AIRBNB * HMHNXEC9FA SAN FRANCISCO       CA</t>
  </si>
  <si>
    <t>KT092MRD    4158005959
AIRBNB * HMHNXEC9FA
SAN FRANCISCO
CA
4158005959</t>
  </si>
  <si>
    <t>PAYPAL *SENTHA      4029357733          CA</t>
  </si>
  <si>
    <t>10183256718 4029357733
PAYPAL *SENTHA
4029357733
CA
Description : PROFESSIONAL SERVIC Price : 0.00
4029357733</t>
  </si>
  <si>
    <t>06/19/2025</t>
  </si>
  <si>
    <t>AplPay DESCRIPT     SAN FRANCISCO       CA</t>
  </si>
  <si>
    <t>CH_3RBYISAP +14152317449
AplPay DESCRIPT
SAN FRANCISCO
CA
+14152317449</t>
  </si>
  <si>
    <t>J72EBC50   UR5RIDJA         94103
UBER EATS
help.uber.com
CA
UR5RIDJA         94103</t>
  </si>
  <si>
    <t>06/18/2025</t>
  </si>
  <si>
    <t>CH_3RBWSEF9 +18779691991
FLOHEALTH.COM
WILMINGTON
DE
+18779691991</t>
  </si>
  <si>
    <t>06/17/2025</t>
  </si>
  <si>
    <t>DNH*GODADDY#37865867Tempe               AZ</t>
  </si>
  <si>
    <t>3786586799 4805058855
Microsoft 365 Email Plus- Renewal - mont
Email - Archiving - Renewal
Microsoft 365 Email Backup - Renewal
DNH*GODADDY#3786586799
Tempe
AZ
Microsoft 365 Email Plus- Renewal - mont
Email - Archiving - Renewal
Microsoft 365 Email Backup - Renewal
4805058855</t>
  </si>
  <si>
    <t>06/15/2025</t>
  </si>
  <si>
    <t>N62TCKPQ   OEYZ3ZEN         76040
Uber Trip
help.uber.com
CA
OEYZ3ZEN         76040</t>
  </si>
  <si>
    <t>06/14/2025</t>
  </si>
  <si>
    <t>APPLE.COM/BILL      INTERNET CHARGE     CA</t>
  </si>
  <si>
    <t>MVWSFDTLVJA RECORD STORE
APPLE.COM/BILL
INTERNET CHARGE
CA
RECORD STORE</t>
  </si>
  <si>
    <t>06/13/2025</t>
  </si>
  <si>
    <t>AIRBNB * HMAQP82TKX SAN FRANCISCO       CA</t>
  </si>
  <si>
    <t>DATXAB86    4158005959
AIRBNB * HMAQP82TKX
SAN FRANCISCO
CA
4158005959</t>
  </si>
  <si>
    <t>4PWFWWJ1    4158005959
AIRBNB * HMAQP82TKX
SAN FRANCISCO
CA
4158005959</t>
  </si>
  <si>
    <t>NAGWKJRK    4158005959
AIRBNB * HMHNXEC9FA
SAN FRANCISCO
CA
4158005959</t>
  </si>
  <si>
    <t>DNH*GODADDY#37821793Tempe               AZ</t>
  </si>
  <si>
    <t>3782179353 4805058855
Microsoft 365 Email Plus- Renewal - mont
Email - Archiving - Renewal
DNH*GODADDY#3782179353
Tempe
AZ
Microsoft 365 Email Plus- Renewal - mont
Email - Archiving - Renewal
4805058855</t>
  </si>
  <si>
    <t>PAYPAL *BIGBOYSBLAS 7275437907          FL</t>
  </si>
  <si>
    <t>10182697700 7275437907
PAYPAL *BIGBOYSBLAS
7275437907
FL
"Description : MANAGEMENT, CONSULT Price : 0.00"
7275437907</t>
  </si>
  <si>
    <t>PAYPAL *CREPUSHCOM  4029357733          FL</t>
  </si>
  <si>
    <t>10182702835 4029357733
PAYPAL *CREPUSHCOM
4029357733
FL
"Description : MANAGEMENT, CONSULT Price : 0.00"
4029357733</t>
  </si>
  <si>
    <t>06/11/2025</t>
  </si>
  <si>
    <t>TGFHSXTPNZC TAXICAB &amp; LIMOUSINE
Uber Trip
help.uber.com
CA
TAXICAB &amp; LIMOUSINE</t>
  </si>
  <si>
    <t>WXN2CGT2LCC TAXICAB &amp; LIMOUSINE
Uber Trip
help.uber.com
CA
TAXICAB &amp; LIMOUSINE</t>
  </si>
  <si>
    <t>06/10/2025</t>
  </si>
  <si>
    <t>DNH*GODADDY#37785516Tempe               AZ</t>
  </si>
  <si>
    <t>3778551602 4805058855
Business Professional  - Renewal - month
Email - Archiving - Renewal
DNH*GODADDY#3778551602
Tempe
AZ
Business Professional  - Renewal - month
Email - Archiving - Renewal
4805058855</t>
  </si>
  <si>
    <t>2FQEBXNG    8005928996
UBER ONE
help.uber.com
CA
8005928996</t>
  </si>
  <si>
    <t>06/09/2025</t>
  </si>
  <si>
    <t>DNH*GODADDY#37773730Tempe               AZ</t>
  </si>
  <si>
    <t>3777373078 4805058855
Conversations Deluxe - 1 Month - Renewal
DNH*GODADDY#3777373078
Tempe
AZ
Conversations Deluxe - 1 Month - Renewal
4805058855</t>
  </si>
  <si>
    <t>06/08/2025</t>
  </si>
  <si>
    <t>DNH*GODADDY#37755959Tempe               AZ</t>
  </si>
  <si>
    <t>3775595943 4805058855
Microsoft 365 Business Professional- Ren
Email - Archiving - Renewal
Microsoft 365 Email Backup - Renewal
DNH*GODADDY#3775595943
Tempe
AZ
Microsoft 365 Business Professional- Ren
Email - Archiving - Renewal
Microsoft 365 Email Backup - Renewal
4805058855</t>
  </si>
  <si>
    <t>06/05/2025</t>
  </si>
  <si>
    <t>UBER EATS           HTTPS://HELP.UBER.COCA</t>
  </si>
  <si>
    <t>GSYKX2ZR   AJB3UGL7         94103
UBER EATS
HTTPS://HELP.UBER.COM
CA
AJB3UGL7         94103</t>
  </si>
  <si>
    <t>A20GWZ94   7KWPZAPX         94103
UBER EATS
help.uber.com
CA
7KWPZAPX         94103</t>
  </si>
  <si>
    <t>06/04/2025</t>
  </si>
  <si>
    <t>A10X9NV8    DIGITAL GOODS: APPS
GOOGLE *REA APP
G.CO/HELPPAY#
CA
DIGITAL GOODS: APPS</t>
  </si>
  <si>
    <t>06/03/2025</t>
  </si>
  <si>
    <t>AplPay AA WIFI SALESFORT WORTH          TX</t>
  </si>
  <si>
    <t>AA0010008YB COMPUTER NETWORK/INFO
WIFI
AplPay AA WIFI SALES
FORT WORTH
TX
Carrier : American Airlines
Passenger Name : John  Dunning
Ticket Number : AA0010008YBRP
Departure Day : 12/31
Additional Info : WIFI</t>
  </si>
  <si>
    <t>EARLY PAY DISCOUNT</t>
  </si>
  <si>
    <t xml:space="preserve">EARLY PAY DISCOUNT
</t>
  </si>
  <si>
    <t>Fees &amp; Adjustments-Fees &amp; Adjustments</t>
  </si>
  <si>
    <t>06/02/2025</t>
  </si>
  <si>
    <t>DNH*GODADDY#37693848Tempe               AZ</t>
  </si>
  <si>
    <t>3769384804 4805058855
Microsoft 365 Email Essentials - Renewal
Email - Archiving - Renewal
DNH*GODADDY#3769384804
Tempe
AZ
Microsoft 365 Email Essentials - Renewal
Email - Archiving - Renewal
4805058855</t>
  </si>
  <si>
    <t>05/28/2025</t>
  </si>
  <si>
    <t>AA0010008TX COMPUTER NETWORK/INFO
WIFI
AplPay AA WIFI SALES
FORT WORTH
TX
Carrier : American Airlines
Passenger Name : John  Dunning
Ticket Number : AA0010008TXO0
Departure Day : 12/31
Additional Info : WIFI</t>
  </si>
  <si>
    <t>05/27/2025</t>
  </si>
  <si>
    <t>COLLAB SIGN &amp; DESIGNCHANDLER            AZ</t>
  </si>
  <si>
    <t>26379066   PO 647126379066  55555
Fabrication and installati
COLLAB SIGN &amp; DESIGN
CHANDLER
AZ
Fabrication and installati
PO 647126379066  55555</t>
  </si>
  <si>
    <t>05/26/2025</t>
  </si>
  <si>
    <t>PAYPAL *JEFFD1980   4029357733          CA</t>
  </si>
  <si>
    <t>10181212779 4029357733
PAYPAL *JEFFD1980
4029357733
CA
Description : PROFESSIONAL SERVIC Price : 0.00
4029357733</t>
  </si>
  <si>
    <t>05/25/2025</t>
  </si>
  <si>
    <t>AplPay SIGNAL FOUNDAMOUNTAIN VIEW       CA</t>
  </si>
  <si>
    <t>CH_3RSQWKAD +16503368080
AplPay SIGNAL FOUNDATION
MOUNTAIN VIEW
CA
+16503368080</t>
  </si>
  <si>
    <t>10181134885 4029357733
PAYPAL *JEFFD1980
4029357733
CA
Description : PROFESSIONAL SERVIC Price : 0.00
4029357733</t>
  </si>
  <si>
    <t>05/24/2025</t>
  </si>
  <si>
    <t>10181066060 4029357733
PAYPAL *JEFFD1980
4029357733
CA
Description : PROFESSIONAL SERVIC Price : 0.00
4029357733</t>
  </si>
  <si>
    <t>THE HOME DEPOT      MESA                AZ</t>
  </si>
  <si>
    <t>05240046923 800-654-0688
THE HOME DEPOT
MESA
AZ
800-654-0688</t>
  </si>
  <si>
    <t>05240046932 800-654-0688
THE HOME DEPOT
MESA
AZ
800-654-0688</t>
  </si>
  <si>
    <t>4ER1SP9F   A2ZZXMJM         76051
Uber Trip
help.uber.com
CA
A2ZZXMJM         76051</t>
  </si>
  <si>
    <t>PT9HYF5M   FV4SJ7TH         76131
Uber Trip
help.uber.com
CA
FV4SJ7TH         76131</t>
  </si>
  <si>
    <t>05/22/2025</t>
  </si>
  <si>
    <t>AA0010008PI COMPUTER NETWORK/INFO
WIFI
AplPay AA WIFI SALES
FORT WORTH
TX
Carrier : American Airlines
Passenger Name : John  Dunning
Ticket Number : AA0010008PISW
Departure Day : 12/31
Additional Info : WIFI</t>
  </si>
  <si>
    <t>AplPay PREMIUM PARKINEW ORLEANS         LA</t>
  </si>
  <si>
    <t>CH_2RRGZMOW +18442362011
AplPay PREMIUM PARKING
NEW ORLEANS
LA
+18442362011</t>
  </si>
  <si>
    <t>00039568574 COMPUTER STORE
BLS*MONDAY COM
NEW YORK
NY
COMPUTER STORE</t>
  </si>
  <si>
    <t>VIATOR              LONDON              GB</t>
  </si>
  <si>
    <t>1637078265  447776075114
VIATOR
LONDON
GB
447776075114</t>
  </si>
  <si>
    <t>05/21/2025</t>
  </si>
  <si>
    <t>AplPay CARDONE TRAINAVENTURA            FL</t>
  </si>
  <si>
    <t>CH_3RRQODD5 +13107770255
AplPay CARDONE TRAINING TECH
AVENTURA
FL
+13107770255</t>
  </si>
  <si>
    <t>PAYPAL *INFANTSOLUT 3022504336          DE</t>
  </si>
  <si>
    <t>10180808317 3022504336
PAYPAL *INFANTSOLUT
3022504336
DE
Description : CONSULTING SERVICES Price : 0.00
3022504336</t>
  </si>
  <si>
    <t>1636446649  447776075114
VIATOR
LONDON
GB
447776075114</t>
  </si>
  <si>
    <t>1636452029  447776075114
VIATOR
LONDON
GB
447776075114</t>
  </si>
  <si>
    <t>05/20/2025</t>
  </si>
  <si>
    <t>56069196   PO 640656069196  55555
Fabrication and installati
COLLAB SIGN &amp; DESIGN
CHANDLER
AZ
Fabrication and installati
PO 640656069196  55555</t>
  </si>
  <si>
    <t>05/19/2025</t>
  </si>
  <si>
    <t>GTA0BWHQ   SLAIOSJA         94103
UBER EATS
HTTPS://HELP.UBER.COM
CA
SLAIOSJA         94103</t>
  </si>
  <si>
    <t>05/18/2025</t>
  </si>
  <si>
    <t>CH_3RQHGPF9 +18779691991
FLOHEALTH.COM
WILMINGTON
DE
+18779691991</t>
  </si>
  <si>
    <t>P1RYSK5K   3Q4ETMY7         94103
UBER EATS
HTTPS://HELP.UBER.COM
CA
3Q4ETMY7         94103</t>
  </si>
  <si>
    <t>KM3EZBGH   MWHKKGJZ         32218
Uber Trip
help.uber.com
CA
MWHKKGJZ         32218</t>
  </si>
  <si>
    <t>05/17/2025</t>
  </si>
  <si>
    <t>AMAZON PRIME*NW35D0G888-802-3080        WA</t>
  </si>
  <si>
    <t>15M06AYQKCC DIGITAL
AMAZON PRIME*NW35D0GC1
888-802-3080
WA
DIGITAL</t>
  </si>
  <si>
    <t>DNH*GODADDY#37506600Tempe               AZ</t>
  </si>
  <si>
    <t>3750660090 4805058855
Microsoft 365 Email Plus- Renewal - mont
Email - Archiving - Renewal
Microsoft 365 Email Backup - Renewal
DNH*GODADDY#3750660090
Tempe
AZ
Microsoft 365 Email Plus- Renewal - mont
Email - Archiving - Renewal
Microsoft 365 Email Backup - Renewal
4805058855</t>
  </si>
  <si>
    <t>KAZ0X9V6   MQYZTDWB         94103
UBER EATS
HTTPS://HELP.UBER.COM
CA
MQYZTDWB         94103</t>
  </si>
  <si>
    <t>BS9Z7SKH   U7RYLKIR         94103
UBER EATS
help.uber.com
CA
U7RYLKIR         94103</t>
  </si>
  <si>
    <t>05/16/2025</t>
  </si>
  <si>
    <t>BYH78HVE   AICQLXAP         32250
Uber Trip
help.uber.com
CA
AICQLXAP         32250</t>
  </si>
  <si>
    <t>8PX40VQ1   LAWUNRVV         32246
Uber Trip
help.uber.com
CA
LAWUNRVV         32246</t>
  </si>
  <si>
    <t>05/15/2025</t>
  </si>
  <si>
    <t>3GBTEGD1   2OF7N4CP         32202
Uber Trip
help.uber.com
CA
2OF7N4CP         32202</t>
  </si>
  <si>
    <t>BEW1CES8   VGP2OUKN         32224
Uber Trip
help.uber.com
CA
VGP2OUKN         32224</t>
  </si>
  <si>
    <t>EE9CC0FR   2OF7N4CP         32202
Uber Trip
help.uber.com
CA
2OF7N4CP         32202</t>
  </si>
  <si>
    <t>05/14/2025</t>
  </si>
  <si>
    <t>MVWS9SMTBKA RECORD STORE
APPLE.COM/BILL
INTERNET CHARGE
CA
RECORD STORE</t>
  </si>
  <si>
    <t>RHBY9PSR   OREEW3RW         32250
Uber Trip
help.uber.com
CA
OREEW3RW         32250</t>
  </si>
  <si>
    <t>MB1K7ND8   VGP2OUKN         32224
Uber Trip
help.uber.com
CA
VGP2OUKN         32224</t>
  </si>
  <si>
    <t>QG27F1PW   3BQCX5SW         32246
Uber Trip
help.uber.com
CA
3BQCX5SW         32246</t>
  </si>
  <si>
    <t>HYR0F815   7LQB5JZG         32246
Uber Trip
help.uber.com
CA
7LQB5JZG         32246</t>
  </si>
  <si>
    <t>05/13/2025</t>
  </si>
  <si>
    <t>DNH*GODADDY#37457245Tempe               AZ</t>
  </si>
  <si>
    <t>3745724535 4805058855
Microsoft 365 Email Plus- Renewal - mont
Email - Archiving - Renewal
DNH*GODADDY#3745724535
Tempe
AZ
Microsoft 365 Email Plus- Renewal - mont
Email - Archiving - Renewal
4805058855</t>
  </si>
  <si>
    <t>THE HOME DEPOT 6515 WEATHERFORD         TX</t>
  </si>
  <si>
    <t>25051365156 HOME SUPPLY WAREHOUSE
THE HOME DEPOT 6515
WEATHERFORD
TX
HOME SUPPLY WAREHOUSE</t>
  </si>
  <si>
    <t>05/12/2025</t>
  </si>
  <si>
    <t>AA0010008HB COMPUTER NETWORK/INFO
WIFI
AplPay AA WIFI SALES
FORT WORTH
TX
Carrier : American Airlines
Passenger Name : John  Dunning
Ticket Number : AA0010008HBL4
Departure Day : 12/31
Additional Info : WIFI</t>
  </si>
  <si>
    <t>05/10/2025</t>
  </si>
  <si>
    <t>DNH*GODADDY#37423483Tempe               AZ</t>
  </si>
  <si>
    <t>3742348317 4805058855
Business Professional  - Renewal - month
Email - Archiving - Renewal
DNH*GODADDY#3742348317
Tempe
AZ
Business Professional  - Renewal - month
Email - Archiving - Renewal
4805058855</t>
  </si>
  <si>
    <t>BH2NGMTJ   IQQZWYU7         94103
UBER EATS
help.uber.com
CA
IQQZWYU7         94103</t>
  </si>
  <si>
    <t>GSJGSMH7    8005928996
UBER ONE
help.uber.com
CA
8005928996</t>
  </si>
  <si>
    <t>05/09/2025</t>
  </si>
  <si>
    <t>AplPay EB *MOTHERS DSAN FRANCISCO       CA</t>
  </si>
  <si>
    <t>PF6NKPH9   12413668833      94105
AplPay EB *MOTHERS DAY CONCER
SAN FRANCISCO
CA
12413668833      94105</t>
  </si>
  <si>
    <t>DNH*GODADDY#37414051Tempe               AZ</t>
  </si>
  <si>
    <t>3741405119 4805058855
Conversations Deluxe - 1 Month - Renewal
DNH*GODADDY#3741405119
Tempe
AZ
Conversations Deluxe - 1 Month - Renewal
4805058855</t>
  </si>
  <si>
    <t>PAYPAL *TICKETMASTE 4029357733          CA</t>
  </si>
  <si>
    <t>10179865226 4029357733
PAYPAL *TICKETMASTE TICKETMASTER
4029357733
CA
Description : GENERAL Price : 0.00
4029357733</t>
  </si>
  <si>
    <t>05/08/2025</t>
  </si>
  <si>
    <t>DNH*GODADDY#37396861Tempe               AZ</t>
  </si>
  <si>
    <t>3739686183 4805058855
Microsoft 365 Business Professional- Ren
Email - Archiving - Renewal
Microsoft 365 Email Backup - Renewal
DNH*GODADDY#3739686183
Tempe
AZ
Microsoft 365 Business Professional- Ren
Email - Archiving - Renewal
Microsoft 365 Email Backup - Renewal
4805058855</t>
  </si>
  <si>
    <t>05/07/2025</t>
  </si>
  <si>
    <t>RGDX9J9T   SORUJKTH         94103
UBER EATS
help.uber.com
CA
SORUJKTH         94103</t>
  </si>
  <si>
    <t>05/04/2025</t>
  </si>
  <si>
    <t>A10HDDEW    COMPUTER PROGRAMMING
GOOGLE *REA APP
G.CO/HELPPAY#
CA
COMPUTER PROGRAMMING</t>
  </si>
  <si>
    <t>05/02/2025</t>
  </si>
  <si>
    <t>DNH*GODADDY#37324488Tempe               AZ</t>
  </si>
  <si>
    <t>3732448887 4805058855
Microsoft 365 Email Essentials - Renewal
Email - Archiving - Renewal
DNH*GODADDY#3732448887
Tempe
AZ
Microsoft 365 Email Essentials - Renewal
Email - Archiving - Renewal
4805058855</t>
  </si>
  <si>
    <t>04/29/2025</t>
  </si>
  <si>
    <t>HOMEDEPOT.COM       800-430-3376        GA</t>
  </si>
  <si>
    <t>04290811949 800-430-3376
HOMEDEPOT.COM
800-430-3376
GA
800-430-3376</t>
  </si>
  <si>
    <t>04/28/2025</t>
  </si>
  <si>
    <t>EXPEDIA 730930753940EXPEDIA.COM         WA</t>
  </si>
  <si>
    <t>PTX0LHZ2L   TRAVEL
EXPEDIA 73093075394033
EXPEDIA.COM
WA
TRAVEL</t>
  </si>
  <si>
    <t>04/26/2025</t>
  </si>
  <si>
    <t>D3EQZAB9   OBOAXAKU         94103
UBER EATS
help.uber.com
CA
OBOAXAKU         94103</t>
  </si>
  <si>
    <t>04/24/2025</t>
  </si>
  <si>
    <t>EXPEDIA 730888307782EXPEDIA.COM         WA</t>
  </si>
  <si>
    <t>T23YPHANY   TRAVEL
EXPEDIA 73088830778207
EXPEDIA.COM
WA
TRAVEL</t>
  </si>
  <si>
    <t>QFAC3TG9   BSP7TBEG         94103
UBER EATS
help.uber.com
CA
BSP7TBEG         94103</t>
  </si>
  <si>
    <t>04/22/2025</t>
  </si>
  <si>
    <t>00038743945 COMPUTER STORE
BLS*MONDAY COM
NEW YORK
NY
COMPUTER STORE</t>
  </si>
  <si>
    <t>04/21/2025</t>
  </si>
  <si>
    <t>H513KXMK   Q4BG5CVF         94103
UBER EATS
help.uber.com
CA
Q4BG5CVF         94103</t>
  </si>
  <si>
    <t>04/20/2025</t>
  </si>
  <si>
    <t>dSCcuebRVm9 squareup.com/receipts
PAYA THAI LA LLC. BLUE LOTUS MASSAGE.
LOS ANGELES
CA
squareup.com/receipts</t>
  </si>
  <si>
    <t>VITA JUICE          DOWNEY              CA</t>
  </si>
  <si>
    <t>dYl6fH7VrHH squareup.com/receipts
VITA JUICE
DOWNEY
CA
squareup.com/receipts</t>
  </si>
  <si>
    <t>ZOZOSFRESHJUICE     Los Angeles         CA</t>
  </si>
  <si>
    <t>xehJjDW0NsM squareup.com/receipts
ZOZOSFRESHJUICE
Los Angeles
CA
squareup.com/receipts</t>
  </si>
  <si>
    <t>04/19/2025</t>
  </si>
  <si>
    <t>HOTELVILON          ROMA</t>
  </si>
  <si>
    <t>LODGING
HOTELVILON
ROMA
LODGINGForeign Spend Amount: 4784.00 EURO Commission Amount:  Currency Exchange Rate: null</t>
  </si>
  <si>
    <t>MOON JUICE          Venice              CA</t>
  </si>
  <si>
    <t>ZUIeotoUl0Z squareup.com/receipts
MOON JUICE
Venice
CA
squareup.com/receipts</t>
  </si>
  <si>
    <t>WHSMITH ITALIA SRL  MILANO              IT</t>
  </si>
  <si>
    <t>1010034782  OFFICE SUPPLY STORE
WHSMITH ITALIA SRL
MILANO
IT
OFFICE SUPPLY STOREForeign Spend Amount: 208.95 EURO Commission Amount:  Currency Exchange Rate: null</t>
  </si>
  <si>
    <t>04/18/2025</t>
  </si>
  <si>
    <t>CH_3RFPOQF9 +18779691991
FLOHEALTH.COM
WILMINGTON
DE
+18779691991</t>
  </si>
  <si>
    <t>FRANCESCHINI        ROMA</t>
  </si>
  <si>
    <t>FAMILY CLOTHING
FRANCESCHINI
ROMA
FAMILY CLOTHINGForeign Spend Amount: 1098.90 EURO Commission Amount:  Currency Exchange Rate: null</t>
  </si>
  <si>
    <t>ITA AIRWAYS         FIUMICINO           IT</t>
  </si>
  <si>
    <t>27U75Y_3906 AIRLINE/AIR CARRIER
PASSENGER TICKET
ITA AIRWAYS
FIUMICINO
IT
Carrier : Alitalia
Passenger Name : DUNNING/ANGELA LISA
Ticket Number : 0554205630880
Departure Day : 03/31
Additional Info : PASSENGER TICKET
From : LOS ANGELES INTERN
To : ROME LEONARDO DA V
Class : F
From : ROME LEONARDO DA V
To : LOS ANGELES INTERN
Class : FForeign Spend Amount: 149.00 EURO Commission Amount:  Currency Exchange Rate: null</t>
  </si>
  <si>
    <t>27U75Y_3906 AIRLINE/AIR CARRIER
PASSENGER TICKET
ITA AIRWAYS
FIUMICINO
IT
Carrier : Alitalia
Passenger Name : DUNNING/ANGELA LISA
Ticket Number : 0554205630879
Departure Day : 03/31
Additional Info : PASSENGER TICKET
From : LOS ANGELES INTERN
To : ROME LEONARDO DA V
Class : F
From : ROME LEONARDO DA V
To : LOS ANGELES INTERN
Class : FForeign Spend Amount: 149.00 EURO Commission Amount:  Currency Exchange Rate: null</t>
  </si>
  <si>
    <t>27U75Y_3906 AIRLINE/AIR CARRIER
PASSENGER TICKET
ITA AIRWAYS
FIUMICINO
IT
Carrier : Alitalia
Passenger Name : DUNNING/ANGELA LISA
Ticket Number : 0554205630882
Departure Day : 03/31
Additional Info : PASSENGER TICKET
From : LOS ANGELES INTERN
To : ROME LEONARDO DA V
Class : F
From : ROME LEONARDO DA V
To : LOS ANGELES INTERN
Class : FForeign Spend Amount: 230.00 EURO Commission Amount:  Currency Exchange Rate: null</t>
  </si>
  <si>
    <t>27U75Y_3906 AIRLINE/AIR CARRIER
PASSENGER TICKET
ITA AIRWAYS
FIUMICINO
IT
Carrier : Alitalia
Passenger Name : DUNNING/ANGELA LISA
Ticket Number : 0554205630883
Departure Day : 03/31
Additional Info : PASSENGER TICKET
From : LOS ANGELES INTERN
To : ROME LEONARDO DA V
Class : F
From : ROME LEONARDO DA V
To : LOS ANGELES INTERN
Class : FForeign Spend Amount: 230.00 EURO Commission Amount:  Currency Exchange Rate: null</t>
  </si>
  <si>
    <t>27U75Y_3906 AIRLINE/AIR CARRIER
PASSENGER TICKET
ITA AIRWAYS
FIUMICINO
IT
Carrier : Alitalia
Passenger Name : DUNNING/ANGELA LISA
Ticket Number : 0554205630881
Departure Day : 03/31
Additional Info : PASSENGER TICKET
From : LOS ANGELES INTERN
To : ROME LEONARDO DA V
Class : F
From : ROME LEONARDO DA V
To : LOS ANGELES INTERN
Class : FForeign Spend Amount: 250.00 EURO Commission Amount:  Currency Exchange Rate: null</t>
  </si>
  <si>
    <t>RIFUGIO ROMANO RISTOROMA</t>
  </si>
  <si>
    <t>RESTAURANT
RIFUGIO ROMANO RISTORANTE
ROMA
RESTAURANTForeign Spend Amount: 94.50 EURO Commission Amount:  Currency Exchange Rate: null</t>
  </si>
  <si>
    <t>SIXT CAR RENTAL ITALFRANGARTO-BOLZANO   IT</t>
  </si>
  <si>
    <t>000001700   AUTOMOBILE RENTAL
Sixt9600429473
50407TXR98Q3ZCOISB
SIXT CAR RENTAL ITALY POS
FRANGARTO-BOLZANO
IT
Sixt9600429473
50407TXR98Q3ZCOISB
AUTOMOBILE RENTALForeign Spend Amount: 480.52 EURO Commission Amount:  Currency Exchange Rate: null</t>
  </si>
  <si>
    <t>3S1BVX4D   ELXBFXJT         94103
UBER EATS
help.uber.com
CA
ELXBFXJT         94103</t>
  </si>
  <si>
    <t>ZANNETTI RICCARDO SRROMA</t>
  </si>
  <si>
    <t>JEWELRY/WATCH/SILVRWR
ZANNETTI RICCARDO SRL
ROMA
JEWELRY/WATCH/SILVRWRForeign Spend Amount: 150.00 EURO Commission Amount:  Currency Exchange Rate: null</t>
  </si>
  <si>
    <t>04/17/2025</t>
  </si>
  <si>
    <t>AMAZON MUSIC*VG69324888-802-3080        WA</t>
  </si>
  <si>
    <t>2C4G90QUT83 DIGITAL
AMAZON MUSIC*VG69324W3
888-802-3080
WA
DIGITAL</t>
  </si>
  <si>
    <t>DNH*GODADDY#37132236Tempe               AZ</t>
  </si>
  <si>
    <t>3713223601 4805058855
Microsoft 365 Email Plus- Renewal - mont
Email - Archiving - Renewal
Microsoft 365 Email Backup - Renewal
DNH*GODADDY#3713223601
Tempe
AZ
Microsoft 365 Email Plus- Renewal - mont
Email - Archiving - Renewal
Microsoft 365 Email Backup - Renewal
4805058855</t>
  </si>
  <si>
    <t>PALAZETTO HASSLER   ROMA</t>
  </si>
  <si>
    <t>LODGING
PALAZETTO HASSLER
ROMA
LODGINGForeign Spend Amount: 68.00 EURO Commission Amount:  Currency Exchange Rate: null</t>
  </si>
  <si>
    <t>04/16/2025</t>
  </si>
  <si>
    <t>ALLERE' ART SHOP CAFCONCA DEI MARINI</t>
  </si>
  <si>
    <t>RESTAURANT
ALLERE' ART SHOP CAFE'
CONCA DEI MARINI
RESTAURANTForeign Spend Amount: 576.00 EURO Commission Amount:  Currency Exchange Rate: null</t>
  </si>
  <si>
    <t>CALAJANARA RESTAURANCONCA DEI MARINI</t>
  </si>
  <si>
    <t>RESTAURANT
CALAJANARA RESTAURANT
CONCA DEI MARINI
RESTAURANTForeign Spend Amount: 142.00 EURO Commission Amount:  Currency Exchange Rate: null</t>
  </si>
  <si>
    <t>ENI27100            ROMA</t>
  </si>
  <si>
    <t>AUTO FUEL DISPENSER
ENI27100
ROMA
AUTO FUEL DISPENSERForeign Spend Amount: 55.20 EURO Commission Amount:  Currency Exchange Rate: null</t>
  </si>
  <si>
    <t>38632964    AIRLINE/AIR CARRIER
PASSENGER TICKET
ITA AIRWAYS
FIUMICINO
IT
Carrier : Alitalia
Passenger Name : ANGELA LISA DUNNING
Ticket Number : 0554205618068
Departure Day : 04/19
Additional Info : PASSENGER TICKET
From : ROME LEONARDO DA V
To : LOS ANGELES INTERNForeign Spend Amount: 2980.00 EURO Commission Amount:  Currency Exchange Rate: null</t>
  </si>
  <si>
    <t>Q8 PV7418           TEANO</t>
  </si>
  <si>
    <t>GAS STATION
Q8 PV7418
TEANO
GAS STATIONForeign Spend Amount: 48.53 EURO Commission Amount:  Currency Exchange Rate: null</t>
  </si>
  <si>
    <t>04/15/2025</t>
  </si>
  <si>
    <t>BOUTIQUE LACOSTE    ROMA</t>
  </si>
  <si>
    <t>FAMILY CLOTHING
BOUTIQUE LACOSTE
ROMA
FAMILY CLOTHINGForeign Spend Amount: 190.00 EURO Commission Amount:  Currency Exchange Rate: null</t>
  </si>
  <si>
    <t>MINIATI ROMA        ROMA</t>
  </si>
  <si>
    <t>JEWELRY/WATCH/SILVRWR
MINIATI ROMA
ROMA
JEWELRY/WATCH/SILVRWRForeign Spend Amount: 537.00 EURO Commission Amount:  Currency Exchange Rate: null</t>
  </si>
  <si>
    <t>VIVA*GINGER FOOD ITAROMA                IT</t>
  </si>
  <si>
    <t>RESTAURANT
VIVA*GINGER FOOD ITALY
ROMA
IT
RESTAURANTForeign Spend Amount: 67.50 EURO Commission Amount:  Currency Exchange Rate: null</t>
  </si>
  <si>
    <t>WWW.VIENNA-CONCERT.CWien                AU</t>
  </si>
  <si>
    <t>11426651534 https://www.vienna-co
https://www.vienna-concer
WWW.VIENNA-CONCERT.COM
Wien
AU
https://www.vienna-concerForeign Spend Amount: 126.00 EURO Commission Amount:  Currency Exchange Rate: null</t>
  </si>
  <si>
    <t>04/14/2025</t>
  </si>
  <si>
    <t>MVWS75F3NHA RECORD STORE
APPLE.COM/BILL
INTERNET CHARGE
CA
RECORD STORE</t>
  </si>
  <si>
    <t>CKO*WWW.HEADOUT.COM BERLIN              BE</t>
  </si>
  <si>
    <t>67719311505 33644632370
CKO*WWW.HEADOUT.COM 205626
BERLIN
BE
33644632370Foreign Spend Amount: 77.80 EURO Commission Amount:  Currency Exchange Rate: null</t>
  </si>
  <si>
    <t>04/13/2025</t>
  </si>
  <si>
    <t>DNH*GODADDY#37054810Tempe               AZ</t>
  </si>
  <si>
    <t>3705481052 4805058855
Microsoft 365 Email Plus- Renewal - mont
Email - Archiving - Renewal
DNH*GODADDY#3705481052
Tempe
AZ
Microsoft 365 Email Plus- Renewal - mont
Email - Archiving - Renewal
4805058855</t>
  </si>
  <si>
    <t>EXPEDIA.COM TRAVEL  SEATTLE      WA     WA</t>
  </si>
  <si>
    <t>2530037610  WWW.ALITALIA.COM
PASSENGER TICKET
EXPEDIA.COM TRAVEL
SEATTLE      WA
WA
Carrier : ALITALIA
Passenger Name : DUNNING/ANGELA LISA
Ticket Number : 0557286882925
Departure Day : 04/19
Additional Info : PASSENGER TICKET
From : ROME LEONARDO DA V
To : LOS ANGELES INTERN
Class : N</t>
  </si>
  <si>
    <t>2530037610  WWW.ALITALIA.COM
PASSENGER TICKET
EXPEDIA.COM TRAVEL
SEATTLE      WA
WA
Carrier : ALITALIA
Passenger Name : DUNNING/JOHN BARKER
Ticket Number : 0557286882926
Departure Day : 04/19
Additional Info : PASSENGER TICKET
From : ROME LEONARDO DA V
To : LOS ANGELES INTERN
Class : N</t>
  </si>
  <si>
    <t>HOTEL PALAZZO CASTRIFIRENZE</t>
  </si>
  <si>
    <t>LODGING
HOTEL PALAZZO CASTRI
FIRENZE
LODGINGForeign Spend Amount: 451.90 EURO Commission Amount:  Currency Exchange Rate: null</t>
  </si>
  <si>
    <t>HOTEL RAPHAEL       ROMA</t>
  </si>
  <si>
    <t>LODGING
HOTEL RAPHAEL
ROMA
LODGINGForeign Spend Amount: 278.00 EURO Commission Amount:  Currency Exchange Rate: null</t>
  </si>
  <si>
    <t>RISTORANTE NESSUN DOCORTONA</t>
  </si>
  <si>
    <t>RESTAURANT
RISTORANTE NESSUN DORMA
CORTONA
RESTAURANTForeign Spend Amount: 87.00 EURO Commission Amount:  Currency Exchange Rate: null</t>
  </si>
  <si>
    <t>STAZ.SERVIZIO GIOVE GIOVE</t>
  </si>
  <si>
    <t>GAS STATION
STAZ.SERVIZIO GIOVE DUE SAS
GIOVE
GAS STATIONForeign Spend Amount: 10.00 EURO Commission Amount:  Currency Exchange Rate: null</t>
  </si>
  <si>
    <t>GAS STATION
STAZ.SERVIZIO GIOVE DUE SAS
GIOVE
GAS STATIONForeign Spend Amount: 119.50 EURO Commission Amount:  Currency Exchange Rate: null</t>
  </si>
  <si>
    <t>04/11/2025</t>
  </si>
  <si>
    <t>EXPEDIA 730783520596EXPEDIA.COM         WA</t>
  </si>
  <si>
    <t xml:space="preserve">HOTEL VILON TRAVEL
LODGING
EXPEDIA 73078352059649
EXPEDIA.COM
WA
</t>
  </si>
  <si>
    <t>RISTORANTE CAFFE' ILFIRENZE</t>
  </si>
  <si>
    <t>RESTAURANT
RISTORANTE CAFFE' IL DAVI
FIRENZE
RESTAURANTForeign Spend Amount: 177.50 EURO Commission Amount:  Currency Exchange Rate: null</t>
  </si>
  <si>
    <t>9FFWK7F6   BLTTYP5J         94103
UBER EATS
help.uber.com
CA
BLTTYP5J         94103</t>
  </si>
  <si>
    <t>04/10/2025</t>
  </si>
  <si>
    <t>AA TICKETS ONLINE   BENIDORM ALIC       ES</t>
  </si>
  <si>
    <t>20250410135 DIRECT MKTG MISC
AA TICKETS ONLINE
BENIDORM ALIC
ES
DIRECT MKTG MISCForeign Spend Amount: 68.00 EURO Commission Amount:  Currency Exchange Rate: null</t>
  </si>
  <si>
    <t>DNH*GODADDY#36993696Tempe               AZ</t>
  </si>
  <si>
    <t>3699369654 4805058855
Business Professional  - Renewal - month
Email - Archiving - Renewal
DNH*GODADDY#3699369654
Tempe
AZ
Business Professional  - Renewal - month
Email - Archiving - Renewal
4805058855</t>
  </si>
  <si>
    <t>GALLERIA UFFIZI     FIRENZE</t>
  </si>
  <si>
    <t>TOURIST ATTRACTION
GALLERIA UFFIZI
FIRENZE
TOURIST ATTRACTIONForeign Spend Amount: 70.30 EURO Commission Amount:  Currency Exchange Rate: null</t>
  </si>
  <si>
    <t>GN0CC8TK    8005928996
UBER ONE
help.uber.com
CA
8005928996</t>
  </si>
  <si>
    <t>ZETTLE *TAMARINDO JUFIRENZE             IT</t>
  </si>
  <si>
    <t>06501255827 RESTAURANT
ZETTLE *TAMARINDO JUICERY S.R.L.
FIRENZE
IT
RESTAURANTForeign Spend Amount: 68.20 EURO Commission Amount:  Currency Exchange Rate: null</t>
  </si>
  <si>
    <t>04/09/2025</t>
  </si>
  <si>
    <t>DNH*GODADDY#36973106Tempe               AZ</t>
  </si>
  <si>
    <t>3697310649 4805058855
Conversations Deluxe - 1 Month - Renewal
DNH*GODADDY#3697310649
Tempe
AZ
Conversations Deluxe - 1 Month - Renewal
4805058855</t>
  </si>
  <si>
    <t>ESSO                SIENA</t>
  </si>
  <si>
    <t>GAS STATION
ESSO
SIENA
GAS STATIONForeign Spend Amount: 61.00 EURO Commission Amount:  Currency Exchange Rate: null</t>
  </si>
  <si>
    <t>GRAND HOTEL CONTINENSIENA</t>
  </si>
  <si>
    <t>LODGING
GRAND HOTEL CONTINENTAL SIENA- STARHOT
SIENA
LODGINGForeign Spend Amount: 130.00 EURO Commission Amount:  Currency Exchange Rate: null</t>
  </si>
  <si>
    <t>LA BOTTEGA DEL CASTEMONTERIGGIONI</t>
  </si>
  <si>
    <t>CANDY &amp; CONFECTIONERY
LA BOTTEGA DEL CASTELLO
MONTERIGGIONI
CANDY &amp; CONFECTIONERYForeign Spend Amount: 50.00 EURO Commission Amount:  Currency Exchange Rate: null</t>
  </si>
  <si>
    <t>1629078733  447776075114
VIATOR
LONDON
GB
447776075114</t>
  </si>
  <si>
    <t>1629079825  447776075114
VIATOR
LONDON
GB
447776075114</t>
  </si>
  <si>
    <t>04/08/2025</t>
  </si>
  <si>
    <t>DNH*GODADDY#36947179Tempe               AZ</t>
  </si>
  <si>
    <t>3694717961 4805058855
Microsoft 365 Business Professional- Ren
Email - Archiving - Renewal
Microsoft 365 Email Backup - Renewal
DNH*GODADDY#3694717961
Tempe
AZ
Microsoft 365 Business Professional- Ren
Email - Archiving - Renewal
Microsoft 365 Email Backup - Renewal
4805058855</t>
  </si>
  <si>
    <t>PAYPAL *CLAUDIAFRACA4029357733          IT</t>
  </si>
  <si>
    <t>10177248784 4029357733
PAYPAL *CLAUDIAFRACAT95
4029357733
IT
Description : PROFESSIONAL SERVIC Price : 0.00
4029357733Foreign Spend Amount: 65.95 EURO Commission Amount:  Currency Exchange Rate: null</t>
  </si>
  <si>
    <t>10177248340 4029357733
PAYPAL *CLAUDIAFRACAT95
4029357733
IT
Description : PROFESSIONAL SERVIC Price : 0.00
4029357733Foreign Spend Amount: 133.31 EURO Commission Amount:  Currency Exchange Rate: null</t>
  </si>
  <si>
    <t>1622754611  447776075114
VIATOR
LONDON
GB
447776075114</t>
  </si>
  <si>
    <t>04/07/2025</t>
  </si>
  <si>
    <t>ALBERGO VILLA SPALLEROMA</t>
  </si>
  <si>
    <t>LODGING
ALBERGO VILLA SPALLETTI TRIVELLI
ROMA
LODGINGForeign Spend Amount: 1415.00 EURO Commission Amount:  Currency Exchange Rate: null</t>
  </si>
  <si>
    <t>AplPay YESGLASSES* NNEWARK              DE</t>
  </si>
  <si>
    <t>CH_3RBNHPIK +18449374527
AplPay YESGLASSES* NO1366503
NEWARK
DE
+18449374527</t>
  </si>
  <si>
    <t>EXPEDIA 730619054646EXPEDIA.COM         WA</t>
  </si>
  <si>
    <t>60001A0AHYR TRAVEL AGENCY
EXPEDIA 73061905464661
EXPEDIA.COM
WA
TRAVEL AGENCY</t>
  </si>
  <si>
    <t>GRAN CAFE           GIOVE</t>
  </si>
  <si>
    <t>FAST FOOD RESTAURANT
GRAN CAFE
GIOVE
FAST FOOD RESTAURANTForeign Spend Amount: 15.70 EURO Commission Amount:  Currency Exchange Rate: null</t>
  </si>
  <si>
    <t>IL DIALOGO 18       ORVIETO</t>
  </si>
  <si>
    <t>RESTAURANT
IL DIALOGO 18
ORVIETO
RESTAURANTForeign Spend Amount: 53.00 EURO Commission Amount:  Currency Exchange Rate: null</t>
  </si>
  <si>
    <t>04/06/2025</t>
  </si>
  <si>
    <t>1622755679  447776075114
VIATOR
LONDON
GB
447776075114</t>
  </si>
  <si>
    <t>04/04/2025</t>
  </si>
  <si>
    <t>A102A2V6    LARGE DIGITAL GOODS M
LARGE DIGITAL GOODS MERCH
GOOGLE *REA APP
G.CO/HELPPAY#
CA
LARGE DIGITAL GOODS MERCH</t>
  </si>
  <si>
    <t>SUMUP*JESSICA 95 - SROMA                IT</t>
  </si>
  <si>
    <t>8231740429  null
SUMUP*JESSICA 95 - SRL
ROMA
IT
nullForeign Spend Amount: 87.00 EURO Commission Amount:  Currency Exchange Rate: null</t>
  </si>
  <si>
    <t>1622751053  447776075114
VIATOR
LONDON
GB
447776075114</t>
  </si>
  <si>
    <t>04/03/2025</t>
  </si>
  <si>
    <t>RENEWAL MEMBERSHIP FEE</t>
  </si>
  <si>
    <t xml:space="preserve">RENEWAL MEMBERSHIP FEE
</t>
  </si>
  <si>
    <t>RISTORANTE PIPERNO  ROMA</t>
  </si>
  <si>
    <t>RESTAURANT
RISTORANTE PIPERNO
ROMA
RESTAURANTForeign Spend Amount: 127.00 EURO Commission Amount:  Currency Exchange Rate: null</t>
  </si>
  <si>
    <t>67ZGE83X   FHXSMAJ7         94103
UBER EATS
help.uber.com
CA
FHXSMAJ7         94103</t>
  </si>
  <si>
    <t>1625709223  447776075114
VIATOR
LONDON
GB
447776075114</t>
  </si>
  <si>
    <t>1628264427  447776075114
VIATOR
LONDON
GB
447776075114</t>
  </si>
  <si>
    <t>1628394439  447776075114
VIATOR
LONDON
GB
447776075114</t>
  </si>
  <si>
    <t>1623888291  447776075114
VIATOR
LONDON
GB
447776075114</t>
  </si>
  <si>
    <t>04/02/2025</t>
  </si>
  <si>
    <t>DNH*GODADDY#36835422Tempe               AZ</t>
  </si>
  <si>
    <t>3683542271 4805058855
Microsoft 365 Email Essentials - Renewal
Email - Archiving - Renewal
DNH*GODADDY#3683542271
Tempe
AZ
Microsoft 365 Email Essentials - Renewal
Email - Archiving - Renewal
4805058855</t>
  </si>
  <si>
    <t>04/01/2025</t>
  </si>
  <si>
    <t>CAFFE' ILLY MOLO E  ROMA</t>
  </si>
  <si>
    <t>RESTAURANT
CAFFE' ILLY MOLO E
ROMA
RESTAURANTForeign Spend Amount: 6.00 EURO Commission Amount:  Currency Exchange Rate: null</t>
  </si>
  <si>
    <t>FARMACIA            ROMA</t>
  </si>
  <si>
    <t>DRUG STORE/PHARMACY
FARMACIA
ROMA
DRUG STORE/PHARMACYForeign Spend Amount: 55.13 EURO Commission Amount:  Currency Exchange Rate: null</t>
  </si>
  <si>
    <t>SORACI ALBERTO      ROMA</t>
  </si>
  <si>
    <t>TAXICAB &amp; LIMOUSINE
SORACI ALBERTO
ROMA
TAXICAB &amp; LIMOUSINEForeign Spend Amount: 20.00 EURO Commission Amount:  Currency Exchange Rate: null</t>
  </si>
  <si>
    <t>SUMUP*BUDDLEIA SRL  ROMA                IT</t>
  </si>
  <si>
    <t>8213365818  +390632650577
SUMUP*BUDDLEIA SRL
ROMA
IT
+390632650577Foreign Spend Amount: 68.50 EURO Commission Amount:  Currency Exchange Rate: null</t>
  </si>
  <si>
    <t>03/31/2025</t>
  </si>
  <si>
    <t>ITA AIRWAYS         FIUMICINO</t>
  </si>
  <si>
    <t>27U75Y_2517 SPORTING GOODS STORE
PASSENGER TICKET
ITA AIRWAYS
FIUMICINO
Carrier : Alitalia
Passenger Name : DUNNING/JOHN BARKER
Ticket Number : 0554205498875
Departure Day : 03/31
Additional Info : PASSENGER TICKET
From : LOS ANGELES INTERN
To : ROME LEONARDO DA V
Class : F
From : ROME LEONARDO DA V
To : LOS ANGELES INTERN
Class : F</t>
  </si>
  <si>
    <t>LAX AIRP LAMILL LAX LOS ANGELES         CA</t>
  </si>
  <si>
    <t>072164060   866-820-1178
LAX AIRP LAMILL LAX AIRP LAMILL
LOS ANGELES
CA
866-820-1178</t>
  </si>
  <si>
    <t>LS &amp; PARTNERS @ LAX LOS ANGELES         GA</t>
  </si>
  <si>
    <t>######ZPzbt MISC/SPECIALTY RETAIL
LS &amp; PARTNERS @ LAX LLC
LOS ANGELES
GA
MISC/SPECIALTY RETAIL</t>
  </si>
  <si>
    <t>M9QV49VC   YBIUTEZC         94103
UBER EATS
help.uber.com
CA
YBIUTEZC         94103</t>
  </si>
  <si>
    <t>03/29/2025</t>
  </si>
  <si>
    <t>AplPay BT*WAYMO     MOUNTAIN VIEW       CA</t>
  </si>
  <si>
    <t>D4K7SQ7F    8442613753
AplPay BT*WAYMO
MOUNTAIN VIEW
CA
8442613753</t>
  </si>
  <si>
    <t>03/28/2025</t>
  </si>
  <si>
    <t>03/27/2025</t>
  </si>
  <si>
    <t>1625644275  447776075114
VIATOR
LONDON
GB
447776075114</t>
  </si>
  <si>
    <t>03/25/2025</t>
  </si>
  <si>
    <t>EXPEDIA 730619164038EXPEDIA.COM         WA</t>
  </si>
  <si>
    <t>40001C1PHDY TRAVEL AGENCY
EXPEDIA 73061916403896
EXPEDIA.COM
WA
TRAVEL AGENCY</t>
  </si>
  <si>
    <t>03/24/2025</t>
  </si>
  <si>
    <t>1622746227  447776075114
VIATOR
LONDON
GB
447776075114</t>
  </si>
  <si>
    <t>03/23/2025</t>
  </si>
  <si>
    <t>EXPEDIA 730623009872EXPEDIA.COM         WA</t>
  </si>
  <si>
    <t>40001C1WJDF TRAVEL AGENCY
EXPEDIA 73062300987207
EXPEDIA.COM
WA
TRAVEL AGENCY</t>
  </si>
  <si>
    <t>5AGB13CR   EIETOXFA         94103
UBER EATS
help.uber.com
CA
EIETOXFA         94103</t>
  </si>
  <si>
    <t>FRPMHYWK   EIETOXFA         94103
UBER EATS
help.uber.com
CA
EIETOXFA         94103</t>
  </si>
  <si>
    <t>03/22/2025</t>
  </si>
  <si>
    <t>00037937630 COMPUTER STORE
BLS*MONDAY COM
NEW YORK
NY
COMPUTER STORE</t>
  </si>
  <si>
    <t>03/21/2025</t>
  </si>
  <si>
    <t>EXPEDIA 730585273032EXPEDIA.COM         WA</t>
  </si>
  <si>
    <t>40001BZTPRW TRAVEL AGENCY
EXPEDIA 73058527303239
EXPEDIA.COM
WA
TRAVEL AGENCY</t>
  </si>
  <si>
    <t>SIXT                APPIANO SULLA STRADAIT</t>
  </si>
  <si>
    <t>50321N6N56B SIXT CAR RENTAL
SIXT
APPIANO SULLA STRADA
IT
SIXT CAR RENTALForeign Spend Amount: 1148.70 EURO Commission Amount:  Currency Exchange Rate: null</t>
  </si>
  <si>
    <t>03/20/2025</t>
  </si>
  <si>
    <t>EXPEDIA 730592258288EXPEDIA.COM         WA</t>
  </si>
  <si>
    <t>40001C0981M TRAVEL AGENCY
EXPEDIA 73059225828870
EXPEDIA.COM
WA
TRAVEL AGENCY</t>
  </si>
  <si>
    <t>EXPEDIA 730592342456EXPEDIA.COM         WA</t>
  </si>
  <si>
    <t>600019YUSJB TRAVEL AGENCY
EXPEDIA 73059234245677
EXPEDIA.COM
WA
TRAVEL AGENCY</t>
  </si>
  <si>
    <t>1622742877  447776075114
VIATOR
LONDON
GB
447776075114</t>
  </si>
  <si>
    <t>03/19/2025</t>
  </si>
  <si>
    <t>03/18/2025</t>
  </si>
  <si>
    <t>2530027676  WWW.ALITALIA.COM
PASSENGER TICKET
EXPEDIA.COM TRAVEL
SEATTLE      WA
WA
Carrier : ALITALIA
Passenger Name : DUNNING/JOHN BARKER
Ticket Number : 0557210486691
Departure Day : 03/31
Additional Info : PASSENGER TICKET
From : LOS ANGELES INTERN
To : ROME LEONARDO DA V
Class : F
From : ROME LEONARDO DA V
To : LOS ANGELES INTERN
Class : F</t>
  </si>
  <si>
    <t>2530027676  WWW.ALITALIA.COM
PASSENGER TICKET
EXPEDIA.COM TRAVEL
SEATTLE      WA
WA
Carrier : ALITALIA
Passenger Name : DUNNING/ANGELA LISA
Ticket Number : 0557210486692
Departure Day : 03/31
Additional Info : PASSENGER TICKET
From : LOS ANGELES INTERN
To : ROME LEONARDO DA V
Class : F
From : ROME LEONARDO DA V
To : LOS ANGELES INTERN
Class : F</t>
  </si>
  <si>
    <t>CH_3R4ABYF9 +18779691991
FLOHEALTH.COM
WILMINGTON
DE
+18779691991</t>
  </si>
  <si>
    <t>03/17/2025</t>
  </si>
  <si>
    <t>AMAZON MUSIC*Y79KU0W888-802-3080        WA</t>
  </si>
  <si>
    <t>5DM74RO08WM DIGITAL
AMAZON MUSIC*Y79KU0WC3
888-802-3080
WA
DIGITAL</t>
  </si>
  <si>
    <t>DNH*GODADDY#36521486Tempe               AZ</t>
  </si>
  <si>
    <t>3652148696 4805058855
Email Plus  - monthly
Microsoft 365 Email Backup
Email - Archiving
DNH*GODADDY#3652148696
Tempe
AZ
Email Plus  - monthly
Microsoft 365 Email Backup
Email - Archiving
4805058855</t>
  </si>
  <si>
    <t>03/15/2025</t>
  </si>
  <si>
    <t>EH0HGTPK   MQERDG2R         94103
UBER EATS
help.uber.com
CA
MQERDG2R         94103</t>
  </si>
  <si>
    <t>03/14/2025</t>
  </si>
  <si>
    <t>MVWS4KF58JA RECORD STORE
APPLE.COM/BILL
INTERNET CHARGE
CA
RECORD STORE</t>
  </si>
  <si>
    <t>03/13/2025</t>
  </si>
  <si>
    <t>DNH*GODADDY#36430405Tempe               AZ</t>
  </si>
  <si>
    <t>3643040501 4805058855
Microsoft 365 Email Plus- Renewal - mont
Email - Archiving - Renewal
DNH*GODADDY#3643040501
Tempe
AZ
Microsoft 365 Email Plus- Renewal - mont
Email - Archiving - Renewal
4805058855</t>
  </si>
  <si>
    <t>03/10/2025</t>
  </si>
  <si>
    <t>DNH*GODADDY#36376521Tempe               AZ</t>
  </si>
  <si>
    <t>3637652133 4805058855
Business Professional  - Renewal - month
Email - Archiving - Renewal
DNH*GODADDY#3637652133
Tempe
AZ
Business Professional  - Renewal - month
Email - Archiving - Renewal
4805058855</t>
  </si>
  <si>
    <t>2WX210ST    8005928996
UBER ONE
help.uber.com
CA
8005928996</t>
  </si>
  <si>
    <t>03/09/2025</t>
  </si>
  <si>
    <t>DNH*GODADDY#36353714Tempe               AZ</t>
  </si>
  <si>
    <t>3635371439 4805058855
Conversations Deluxe - 1 Month - Renewal
DNH*GODADDY#3635371439
Tempe
AZ
Conversations Deluxe - 1 Month - Renewal
4805058855</t>
  </si>
  <si>
    <t>03/08/2025</t>
  </si>
  <si>
    <t>DNH*GODADDY#36334880Tempe               AZ</t>
  </si>
  <si>
    <t>3633488028 4805058855
Microsoft 365 Business Professional- Ren
Email - Archiving - Renewal
Microsoft 365 Email Backup - Renewal
DNH*GODADDY#3633488028
Tempe
AZ
Microsoft 365 Business Professional- Ren
Email - Archiving - Renewal
Microsoft 365 Email Backup - Renewal
4805058855</t>
  </si>
  <si>
    <t>03/04/2025</t>
  </si>
  <si>
    <t>A0ZN21ZR    DIGITAL GOODS: APPS
GOOGLE *REA APP
G.CO/HELPPAY#
CA
DIGITAL GOODS: APPS</t>
  </si>
  <si>
    <t>03/03/2025</t>
  </si>
  <si>
    <t>39S3NGP1   HBZ2KNZU         94103
UBER EATS
help.uber.com
CA
HBZ2KNZU         94103</t>
  </si>
  <si>
    <t>03/02/2025</t>
  </si>
  <si>
    <t>DNH*GODADDY#36204870Tempe               AZ</t>
  </si>
  <si>
    <t>3620487027 4805058855
Microsoft 365 Email Essentials - Renewal
Email - Archiving - Renewal
DNH*GODADDY#3620487027
Tempe
AZ
Microsoft 365 Email Essentials - Renewal
Email - Archiving - Renewal
4805058855</t>
  </si>
  <si>
    <t>03/01/2025</t>
  </si>
  <si>
    <t>8QF8GPKM   7C6H3HAM         94103
UBER EATS
help.uber.com
CA
7C6H3HAM         94103</t>
  </si>
  <si>
    <t>02/28/2025</t>
  </si>
  <si>
    <t>GQRBVGN6   I4PTKHCE         94103
UBER EATS
help.uber.com
CA
I4PTKHCE         94103</t>
  </si>
  <si>
    <t>02/24/2025</t>
  </si>
  <si>
    <t>DD *DOORDASH CANTINASAN FRANCISCO       CA</t>
  </si>
  <si>
    <t>NT_RPRLPDC1 +16506819470
DD *DOORDASH CANTINALI
SAN FRANCISCO
CA
+16506819470</t>
  </si>
  <si>
    <t>NT_RPRKQN7M +16506819470
DD *DOORDASHDASHPASS
SAN FRANCISCO
CA
+16506819470</t>
  </si>
  <si>
    <t>02/23/2025</t>
  </si>
  <si>
    <t>G8B9YCWY   AD76PCCZ         94103
UBER EATS
help.uber.com
CA
AD76PCCZ         94103</t>
  </si>
  <si>
    <t>02/22/2025</t>
  </si>
  <si>
    <t>00037180738 COMPUTER STORE
BLS*MONDAY COM
NEW YORK
NY
COMPUTER STORE</t>
  </si>
  <si>
    <t>02/21/2025</t>
  </si>
  <si>
    <t>AA0010006R4 COMPUTER NETWORK/INFO
WIFI
AplPay AA WIFI SALES
FORT WORTH
TX
Carrier : American Airlines
Passenger Name : John  Dunning
Ticket Number : AA0010006R4WG
Departure Day : 12/31
Additional Info : WIFI</t>
  </si>
  <si>
    <t>02/18/2025</t>
  </si>
  <si>
    <t>NT_RNCUEGBI +18779691991
FLOHEALTH.COM
WILMINGTON
DE
+18779691991</t>
  </si>
  <si>
    <t>02/17/2025</t>
  </si>
  <si>
    <t>AMAZON MUSIC*U66EB5Y888-802-3080        WA</t>
  </si>
  <si>
    <t>3H1O4G2E56L DIGITAL
AMAZON MUSIC*U66EB5YG3
888-802-3080
WA
DIGITAL</t>
  </si>
  <si>
    <t>02/16/2025</t>
  </si>
  <si>
    <t>A4PGJE1F   BAVTPB3F         94103
UBER EATS
help.uber.com
CA
BAVTPB3F         94103</t>
  </si>
  <si>
    <t>02/15/2025</t>
  </si>
  <si>
    <t>AplPay FRANKLIN PLAN800-654-1776        UT</t>
  </si>
  <si>
    <t>71374876N6M PLANNERS
AplPay FRANKLIN PLANNER
800-654-1776
UT
PLANNERS</t>
  </si>
  <si>
    <t>02/14/2025</t>
  </si>
  <si>
    <t>MVWS22Z80LA RECORD STORE
APPLE.COM/BILL
INTERNET CHARGE
CA
RECORD STORE</t>
  </si>
  <si>
    <t>02/13/2025</t>
  </si>
  <si>
    <t>DNH*GODADDY#35846443Tempe               AZ</t>
  </si>
  <si>
    <t>3584644375 4805058855
Microsoft 365 Email Plus- Renewal - mont
Email - Archiving - Renewal
DNH*GODADDY#3584644375
Tempe
AZ
Microsoft 365 Email Plus- Renewal - mont
Email - Archiving - Renewal
4805058855</t>
  </si>
  <si>
    <t>9XMC9Z9C   46SPIVVB         94103
UBER EATS
help.uber.com
CA
46SPIVVB         94103</t>
  </si>
  <si>
    <t>02/12/2025</t>
  </si>
  <si>
    <t>COSTAR GROUP INC    WASHINGTON          DC</t>
  </si>
  <si>
    <t>90561182    888-414-1243
COSTAR GROUP INC
WASHINGTON
DC
Description : COMPUTER NETWORK Price : 0.00
888-414-1243</t>
  </si>
  <si>
    <t>DNH*GODADDY#35825888Tempe               AZ</t>
  </si>
  <si>
    <t>3582588855 4805058855
Professional Email - Individual - 1 mont
DNH*GODADDY#3582588855
Tempe
AZ
Professional Email - Individual - 1 mont
4805058855</t>
  </si>
  <si>
    <t>02/11/2025</t>
  </si>
  <si>
    <t>DNH*GODADDY#33925291Tempe               AZ</t>
  </si>
  <si>
    <t>3392529182 4805058855
COM Domain Name Renewal - 1 Year recur
DNH*GODADDY#3392529182
Tempe
AZ
COM Domain Name Renewal - 1 Year recur
4805058855</t>
  </si>
  <si>
    <t>02/10/2025</t>
  </si>
  <si>
    <t>DNH*GODADDY#35770875Tempe               AZ</t>
  </si>
  <si>
    <t>3577087527 4805058855
Business Professional  - Renewal - month
Email - Archiving - Renewal
DNH*GODADDY#3577087527
Tempe
AZ
Business Professional  - Renewal - month
Email - Archiving - Renewal
4805058855</t>
  </si>
  <si>
    <t>THE BRANDON LAW FIRMLANTANA             TX</t>
  </si>
  <si>
    <t>######ORM5Q PROFESSIONAL SERVICE
THE BRANDON LAW FIRM PLL
LANTANA
TX
PROFESSIONAL SERVICE</t>
  </si>
  <si>
    <t>1BKN262N    8005928996
UBER ONE
help.uber.com
CA
8005928996</t>
  </si>
  <si>
    <t>02/09/2025</t>
  </si>
  <si>
    <t>AA0010006HZ COMPUTER NETWORK/INFO
WIFI
AplPay AA WIFI SALES
FORT WORTH
TX
Carrier : American Airlines
Passenger Name : John  Dunning
Ticket Number : AA0010006HZ2D
Departure Day : 12/31
Additional Info : WIFI</t>
  </si>
  <si>
    <t>DNH*GODADDY#35765382Tempe               AZ</t>
  </si>
  <si>
    <t>3576538260 4805058855
Conversations Deluxe - 1 Month - Renewal
DNH*GODADDY#3576538260
Tempe
AZ
Conversations Deluxe - 1 Month - Renewal
4805058855</t>
  </si>
  <si>
    <t>02/08/2025</t>
  </si>
  <si>
    <t>DNH*GODADDY#35741722Tempe               AZ</t>
  </si>
  <si>
    <t>3574172234 4805058855
Microsoft 365 Business Professional- Ren
Email - Archiving - Renewal
Microsoft 365 Email Backup - Renewal
DNH*GODADDY#3574172234
Tempe
AZ
Microsoft 365 Business Professional- Ren
Email - Archiving - Renewal
Microsoft 365 Email Backup - Renewal
4805058855</t>
  </si>
  <si>
    <t>02/05/2025</t>
  </si>
  <si>
    <t>MR1WK4HJ   WVBVNBSN         94103
UBER EATS
help.uber.com
CA
WVBVNBSN         94103</t>
  </si>
  <si>
    <t>02/04/2025</t>
  </si>
  <si>
    <t>A0Z8EIAS    DIGITAL GOODS: GAMES
GOOGLE *REA APP
G.CO/HELPPAY#
CA
DIGITAL GOODS: GAMES</t>
  </si>
  <si>
    <t>02/02/2025</t>
  </si>
  <si>
    <t>DNH*GODADDY#35604281Tempe               AZ</t>
  </si>
  <si>
    <t>3560428161 4805058855
Microsoft 365 Email Essentials - Renewal
Email - Archiving - Renewal
DNH*GODADDY#3560428161
Tempe
AZ
Microsoft 365 Email Essentials - Renewal
Email - Archiving - Renewal
4805058855</t>
  </si>
  <si>
    <t>02/01/2025</t>
  </si>
  <si>
    <t>AplPay TELEFLORA.COMLOS ANGELES         CA</t>
  </si>
  <si>
    <t>ci735500175 800-493-5610
AplPay TELEFLORA.COM
LOS ANGELES
CA
800-493-5610</t>
  </si>
  <si>
    <t>J88XVHWV   JYZ3MNS7         94103
UBER EATS
help.uber.com
CA
JYZ3MNS7         94103</t>
  </si>
  <si>
    <t>01/28/2025</t>
  </si>
  <si>
    <t>FRPW2V58   BN7TURVF         94103
UBER EATS
help.uber.com
CA
BN7TURVF         94103</t>
  </si>
  <si>
    <t>01/26/2025</t>
  </si>
  <si>
    <t>TST* GJELINA 3006427VENICE              CA</t>
  </si>
  <si>
    <t>od75xaQsx00 3104501429
TST* GJELINA 300642770
VENICE
CA
Description : RESTAURANTS Price : 5.00
3104501429</t>
  </si>
  <si>
    <t>01/23/2025</t>
  </si>
  <si>
    <t>ALPHAGRAPHICS US 607WEATHERFORD         TX</t>
  </si>
  <si>
    <t>99999995023 8177278939
ALPHAGRAPHICS US 607 000000001
WEATHERFORD
TX
Description : REFER TO RECEIPT Price : 0.00
8177278939</t>
  </si>
  <si>
    <t>01/22/2025</t>
  </si>
  <si>
    <t>2N95Q4MY    8005928996
AplPay Uber Trip
help.uber.com
CA
8005928996</t>
  </si>
  <si>
    <t>AplPay Uber Trip    help.uber.com       CA</t>
  </si>
  <si>
    <t>00131264542 COMPUTER STORE
BLS*MONDAY COM
NEW YORK
NY
COMPUTER STORE</t>
  </si>
  <si>
    <t>01/21/2025</t>
  </si>
  <si>
    <t>AA00100065S COMPUTER NETWORK/INFO
WIFI
AplPay AA WIFI SALES
FORT WORTH
TX
Carrier : American Airlines
Passenger Name : John  Dunning
Ticket Number : AA00100065SJU
Departure Day : 12/31
Additional Info : WIFI</t>
  </si>
  <si>
    <t>BJREREP4    8005928996
AplPay Uber Trip
help.uber.com
CA
8005928996</t>
  </si>
  <si>
    <t>CMT PHOENIX   330016PHOENIX             AZ</t>
  </si>
  <si>
    <t>001420453   718-9374444
CMT PHOENIX   330016 09029330016
PHOENIX
AZ
Description : TAXICABS Price : 0.3636
718-9374444</t>
  </si>
  <si>
    <t>01/18/2025</t>
  </si>
  <si>
    <t>NT_RC0V2MCD +18779691991
FLOHEALTH.COM
WILMINGTON
DE
+18779691991</t>
  </si>
  <si>
    <t>01/17/2025</t>
  </si>
  <si>
    <t>AMAZON MUSIC*ZG6G908888-802-3080        WA</t>
  </si>
  <si>
    <t>6R80RBOCLMB DIGITAL
AMAZON MUSIC*ZG6G908H2
888-802-3080
WA
DIGITAL</t>
  </si>
  <si>
    <t>01/14/2025</t>
  </si>
  <si>
    <t>MVWQZBT28XA RECORD STORE
APPLE.COM/BILL
INTERNET CHARGE
CA
RECORD STORE</t>
  </si>
  <si>
    <t>PAYPAL *GOFUNDME AID8448964938          CA</t>
  </si>
  <si>
    <t>10170320593 8448964938
PAYPAL *GOFUNDME AID SCOT
8448964938
CA
Description : CHARITABLE AND SOCI Price : 0.00
8448964938</t>
  </si>
  <si>
    <t>5QXS0DD6   SFLJGWX2         94103
UBER EATS
help.uber.com
CA
SFLJGWX2         94103</t>
  </si>
  <si>
    <t>01/13/2025</t>
  </si>
  <si>
    <t>DNH*GODADDY#35227931Tempe               AZ</t>
  </si>
  <si>
    <t>3522793173 4805058855
Microsoft 365 Email Plus- Renewal - mont
Email - Archiving - Renewal
DNH*GODADDY#3522793173
Tempe
AZ
Microsoft 365 Email Plus- Renewal - mont
Email - Archiving - Renewal
4805058855</t>
  </si>
  <si>
    <t>PAYPAL *CHANGE ORG  4029357733          CA</t>
  </si>
  <si>
    <t>10170265726 4029357733
PAYPAL *CHANGE ORG
4029357733
CA
Description : OTHER Price : 0.00
4029357733</t>
  </si>
  <si>
    <t>01/10/2025</t>
  </si>
  <si>
    <t>DNH*GODADDY#35159805Tempe               AZ</t>
  </si>
  <si>
    <t>3515980518 4805058855
Business Professional  - Renewal - month
Email - Archiving - Renewal
DNH*GODADDY#3515980518
Tempe
AZ
Business Professional  - Renewal - month
Email - Archiving - Renewal
4805058855</t>
  </si>
  <si>
    <t>FHYR0J64    8005928996
UBER ONE
help.uber.com
CA
8005928996</t>
  </si>
  <si>
    <t>01/09/2025</t>
  </si>
  <si>
    <t>DNH*GODADDY#35151625Tempe               AZ</t>
  </si>
  <si>
    <t>3515162587 4805058855
Conversations Deluxe - 1 Month - Renewal
DNH*GODADDY#3515162587
Tempe
AZ
Conversations Deluxe - 1 Month - Renewal
4805058855</t>
  </si>
  <si>
    <t>01/08/2025</t>
  </si>
  <si>
    <t>DNH*GODADDY#35125585Tempe               AZ</t>
  </si>
  <si>
    <t>3512558589 4805058855
Microsoft 365 Business Professional- Ren
Email - Archiving - Renewal
Microsoft 365 Email Backup - Renewal
DNH*GODADDY#3512558589
Tempe
AZ
Microsoft 365 Business Professional- Ren
Email - Archiving - Renewal
Microsoft 365 Email Backup - Renewal
4805058855</t>
  </si>
  <si>
    <t>01/04/2025</t>
  </si>
  <si>
    <t>AplPay GOFUNDME*SUPPSAN DIEGO           CA</t>
  </si>
  <si>
    <t>######MXCkL CHARITABLE ORG
AplPay GOFUNDME*SUPPORT MIKE AS HE FIGHTS
SAN DIEGO
CA
CHARITABLE ORG</t>
  </si>
  <si>
    <t>H782JQM5    8005928996
AplPay Uber Trip
help.uber.com
CA
8005928996</t>
  </si>
  <si>
    <t>M0SV5WKN    8005928996
AplPay Uber Trip
help.uber.com
CA
8005928996</t>
  </si>
  <si>
    <t>A0YTX1CB    COMPUTER PROGRAMMING
GOOGLE *REA APP
G.CO/HELPPAY#
CA
COMPUTER PROGRAMMING</t>
  </si>
  <si>
    <t>01/02/2025</t>
  </si>
  <si>
    <t>BNFMHW9A    8005928996
AplPay Uber Trip
help.uber.com
CA
8005928996</t>
  </si>
  <si>
    <t>DNH*GODADDY#35011484Tempe               AZ</t>
  </si>
  <si>
    <t>3501148425 4805058855
Microsoft 365 Email Essentials - Renewal
Email - Archiving - Renewal
DNH*GODADDY#3501148425
Tempe
AZ
Microsoft 365 Email Essentials - Renewal
Email - Archiving - Renewal
4805058855</t>
  </si>
  <si>
    <t>01/01/2025</t>
  </si>
  <si>
    <t>AplPay WIFIONBOARD AVANCOUVER           CA</t>
  </si>
  <si>
    <t>409214217SS INFLIGHTWIFI
AplPay WIFIONBOARD AIR CANA
VANCOUVER
CA
INFLIGHTWIFIForeign Spend Amount: 16.28 CANADIAN DOLLAR Commission Amount:  Currency Exchange Rate: null</t>
  </si>
  <si>
    <t>Charges</t>
  </si>
  <si>
    <t>Total</t>
  </si>
  <si>
    <t>Family Trip</t>
  </si>
  <si>
    <t>DWG-RE Listing Platform (Redirected)</t>
  </si>
  <si>
    <t>Employee Bonus</t>
  </si>
  <si>
    <t>Personal - House</t>
  </si>
  <si>
    <t>Team Travel (Judd)</t>
  </si>
  <si>
    <t>Online AMEX Payment</t>
  </si>
  <si>
    <t>Utilities</t>
  </si>
  <si>
    <t>Software &amp; Subscriptions</t>
  </si>
  <si>
    <t>Moab Appraisal</t>
  </si>
  <si>
    <t>Venmo</t>
  </si>
  <si>
    <t>Onlie</t>
  </si>
  <si>
    <t>Personal - Entertainment</t>
  </si>
  <si>
    <t>Personal - Family</t>
  </si>
  <si>
    <t>Deal Specific: Stryten Energy</t>
  </si>
  <si>
    <t>Wordpress</t>
  </si>
  <si>
    <t>Bridge Loan (Cash Reimbursement) - $11,300 total loss</t>
  </si>
  <si>
    <t>Adameer</t>
  </si>
  <si>
    <t>Personal - Eureka, NV Property</t>
  </si>
  <si>
    <t>Colorado Trip</t>
  </si>
  <si>
    <t>Team Lunch</t>
  </si>
  <si>
    <t>Personal - Food</t>
  </si>
  <si>
    <t>Personal - Clothing</t>
  </si>
  <si>
    <t>Personal - Car</t>
  </si>
  <si>
    <t>Personal - Health</t>
  </si>
  <si>
    <t>Go Daddy</t>
  </si>
  <si>
    <t>DWG Investor Meeting (San Francisco)</t>
  </si>
  <si>
    <t>Fund Launch</t>
  </si>
  <si>
    <t>Deal Specific: 260 S Hibbert - Insurance</t>
  </si>
  <si>
    <t>Deal Specific: 260 S Hibbert - Taxes</t>
  </si>
  <si>
    <t>Deal Specific: 260 S Hibbert - Utilities</t>
  </si>
  <si>
    <t>DWG Canceled Software</t>
  </si>
  <si>
    <t>Mike Paytonjian (Salary/Stay)</t>
  </si>
  <si>
    <t>DWG Marketing</t>
  </si>
  <si>
    <t>Deal Specific - 260 S Hibbert - Marketing</t>
  </si>
  <si>
    <t>XXX? - Jeff Farjado?</t>
  </si>
  <si>
    <t>Judd/Angela Italy Trip</t>
  </si>
  <si>
    <t>Costar Billing</t>
  </si>
  <si>
    <t>The Brandon Law Firm</t>
  </si>
  <si>
    <t>Deal Specific - Bankhead Marketing</t>
  </si>
  <si>
    <t>Donation</t>
  </si>
  <si>
    <t>DWG CAPITAL PARTNERS</t>
  </si>
  <si>
    <t>The Plum Card®  |  Transaction Detail</t>
  </si>
  <si>
    <t>Account Holder</t>
  </si>
  <si>
    <t>John B Dunning</t>
  </si>
  <si>
    <t>Account</t>
  </si>
  <si>
    <t>Statement Period</t>
  </si>
  <si>
    <t>Jan 1, 2025 – Dec 31, 2025</t>
  </si>
  <si>
    <t>Entity</t>
  </si>
  <si>
    <t>DWG Capital Partners</t>
  </si>
  <si>
    <t>Merchant</t>
  </si>
  <si>
    <t>B/P</t>
  </si>
  <si>
    <t>Reimb.</t>
  </si>
  <si>
    <t>Notes</t>
  </si>
  <si>
    <t>ETERNAL ABUNDANCE</t>
  </si>
  <si>
    <t>P</t>
  </si>
  <si>
    <t>Yes</t>
  </si>
  <si>
    <t>ICONS SPORTS BAR &amp; GRICHMOND</t>
  </si>
  <si>
    <t>STARBUCKS US</t>
  </si>
  <si>
    <t>UNITED AIRLINES</t>
  </si>
  <si>
    <t>BANANA REPUBLIC 6734VANCOUVER</t>
  </si>
  <si>
    <t>MOLTAQA MOROCCAN RESVANCOUVER</t>
  </si>
  <si>
    <t>MUJI ROBSON STREET 4VANCOUVER</t>
  </si>
  <si>
    <t>PUERTO MEXICO</t>
  </si>
  <si>
    <t>SAVE ON FOODS #999</t>
  </si>
  <si>
    <t>STEVE MADDEN (SM16 VVANCOUVER</t>
  </si>
  <si>
    <t>THE NAAM RESTAURANT VANCOUVER</t>
  </si>
  <si>
    <t>ZARA ROBSON ST #3083VANCOUVER</t>
  </si>
  <si>
    <t>BCF-SWARTZ BAY</t>
  </si>
  <si>
    <t>BE LOVE RESTAURANT 0VICTORIA</t>
  </si>
  <si>
    <t>FS *WICKANINNISH INNTOFINO</t>
  </si>
  <si>
    <t>PARADOX VANCOUVER HOVANCOUVER</t>
  </si>
  <si>
    <t>VANCOUVER KARMA LOUNVANCOUVER</t>
  </si>
  <si>
    <t>LONG BEACH LODGE RESTOFINO</t>
  </si>
  <si>
    <t>LS STORM SURF SHOP</t>
  </si>
  <si>
    <t>TOFINO MOBILE MASSAGTOFINO</t>
  </si>
  <si>
    <t>TST-TACOFINO - TOFINTOFINO</t>
  </si>
  <si>
    <t>UCLUELET CO-OP GAS QUCLUELET CO</t>
  </si>
  <si>
    <t>UCLUELET CO-OP PAY @UCLUELET</t>
  </si>
  <si>
    <t>WILDSIDE GRILL</t>
  </si>
  <si>
    <t>LS DRIFTWOOD GIFTS</t>
  </si>
  <si>
    <t>VIHA TOFINO HOSPITALTOFINO</t>
  </si>
  <si>
    <t>PHARMASAVE HEALTH CETOFINO</t>
  </si>
  <si>
    <t>SHELTER RESTAURANT STOFINO</t>
  </si>
  <si>
    <t>TST-BASIC GOODNESS PTOFINO</t>
  </si>
  <si>
    <t>NETGEAR INC</t>
  </si>
  <si>
    <t>BCF - COASTAL RENAISVICTORIA</t>
  </si>
  <si>
    <t>BOOK SOUP ST1475 147CARSON</t>
  </si>
  <si>
    <t>FLOHEALTH.COM</t>
  </si>
  <si>
    <t>FRANKIE'S BARBEQUE 0DELTA</t>
  </si>
  <si>
    <t>I SALAD DELTA</t>
  </si>
  <si>
    <t>LAX AIRP BGRILL BY BLOS ANGELES</t>
  </si>
  <si>
    <t>STARBUCKS 04615</t>
  </si>
  <si>
    <t>STARBUCKS 04686</t>
  </si>
  <si>
    <t>VANCOUVER SKYCAP LTDVANCOUVER</t>
  </si>
  <si>
    <t>WOK N ROLL RESTAURANDELTA</t>
  </si>
  <si>
    <t>LEV INC</t>
  </si>
  <si>
    <t>B</t>
  </si>
  <si>
    <t>SETHAN HILL</t>
  </si>
  <si>
    <t>PUBLICGOODS.COM</t>
  </si>
  <si>
    <t>AMERICAN AIRLINES</t>
  </si>
  <si>
    <t>EXPEDIA 733192261296EXPEDIA.COM</t>
  </si>
  <si>
    <t>MCTO TAX PAYMENT</t>
  </si>
  <si>
    <t>PAYMENTUS CORPORATIO800-420-1663</t>
  </si>
  <si>
    <t>GOOGLE *HURDLR MILEA G.CO/HELPPAY#</t>
  </si>
  <si>
    <t>PROPERTYRATE APPRAISORANGE</t>
  </si>
  <si>
    <t>PAYPAL *WALMART COM 8009256278</t>
  </si>
  <si>
    <t>PAYPAL *APPLE.COM/BI8002752273</t>
  </si>
  <si>
    <t>VENMO *JAMES BRANAMA8558124430</t>
  </si>
  <si>
    <t>WORDPRESS BLAZE</t>
  </si>
  <si>
    <t>VENMO *JAMES PHILLIP8558124430</t>
  </si>
  <si>
    <t>DD *DOORDASHDASHPASSSAN FRANCISCO</t>
  </si>
  <si>
    <t>PAYPAL *TICKETMASTER8006538000</t>
  </si>
  <si>
    <t>PREMIER PHOTOGRAPHY,FORT SMITH</t>
  </si>
  <si>
    <t>CORPORATE FILINGS LLSHERIDAN</t>
  </si>
  <si>
    <t>COMMONLOTS LLC 65000CAMARILLO</t>
  </si>
  <si>
    <t>PAYPAL *SARAHDETCHMA4029357733</t>
  </si>
  <si>
    <t>COMMON LOTS</t>
  </si>
  <si>
    <t>COMMON LOTS 0000</t>
  </si>
  <si>
    <t>LA EATS AT SOFI STADInglewood</t>
  </si>
  <si>
    <t>EXPEDIA 732463466178EXPEDIA.COM</t>
  </si>
  <si>
    <t>TST* BLUEYS KITCHEN LOS ANGELES</t>
  </si>
  <si>
    <t>LA CABANA - VENICE 5877-8144102</t>
  </si>
  <si>
    <t>PAYA THAI LA LLC. BLLOS ANGELES</t>
  </si>
  <si>
    <t>TST* VESPAIO 0008079LOS ANGELES</t>
  </si>
  <si>
    <t>RIDER SHACK</t>
  </si>
  <si>
    <t>LOVE'S #0273 INSIDE/WEATHERFORD</t>
  </si>
  <si>
    <t>BLVD</t>
  </si>
  <si>
    <t>SHEP'S 5455000014071702-5672666</t>
  </si>
  <si>
    <t>FIVE STAR FORD LEWISLEWISVILLE</t>
  </si>
  <si>
    <t>ROSS DRESS FOR LESS VENICE</t>
  </si>
  <si>
    <t>GOOGLE *REA APP</t>
  </si>
  <si>
    <t>HYATT REGENCY NEWPORNEWPORT BEACH</t>
  </si>
  <si>
    <t>MERCEDES BENZ OF LAGLAGUNA NIGUEL</t>
  </si>
  <si>
    <t>ABM PARKING CARDIFF CULVER CITY</t>
  </si>
  <si>
    <t>PHOVORITE VIETNAMESECULVER CITY</t>
  </si>
  <si>
    <t>TST* WILDSEED - UNIOSAN FRANCISCO</t>
  </si>
  <si>
    <t>UBER EATS</t>
  </si>
  <si>
    <t>GOOGLE *INAPP PURCHA G.CO/HELPPAY#</t>
  </si>
  <si>
    <t>SP TAYLOR STITCH</t>
  </si>
  <si>
    <t>TST* GREENS 30056944SAN FRANCISCO</t>
  </si>
  <si>
    <t>BEACON GRAND 00-0803SAN FRANCISCO</t>
  </si>
  <si>
    <t>DNH*GODADDY#38128367Tempe</t>
  </si>
  <si>
    <t>LAZY DOG RESTAURANT NEWARK</t>
  </si>
  <si>
    <t>SANDCASTLE HOTEL ON PISMO BEACH</t>
  </si>
  <si>
    <t>Travel - Lodging</t>
  </si>
  <si>
    <t>UBER ONE</t>
  </si>
  <si>
    <t>DNH*GODADDY#38116158Tempe</t>
  </si>
  <si>
    <t>EXPEDIA 731692243494EXPEDIA.COM</t>
  </si>
  <si>
    <t>TST* CORAZON COCINA SANTA BARBARA</t>
  </si>
  <si>
    <t>DNH*GODADDY#38104833Tempe</t>
  </si>
  <si>
    <t>AplPay BIRD APP* PENMIAMI</t>
  </si>
  <si>
    <t>DNH*GODADDY#38032481Tempe</t>
  </si>
  <si>
    <t>FUND LAUNCH</t>
  </si>
  <si>
    <t>IPFS*IPFS INS PMT</t>
  </si>
  <si>
    <t>AplPay SP 7 FOR ALL LOS ANGELES</t>
  </si>
  <si>
    <t>BLS*MONDAY COM</t>
  </si>
  <si>
    <t>AIRBNB * HMHNXEC9FA SAN FRANCISCO</t>
  </si>
  <si>
    <t>PAYPAL *SENTHA</t>
  </si>
  <si>
    <t>AplPay DESCRIPT</t>
  </si>
  <si>
    <t>DNH*GODADDY#37865867Tempe</t>
  </si>
  <si>
    <t>APPLE.COM/BILL</t>
  </si>
  <si>
    <t>AIRBNB * HMAQP82TKX SAN FRANCISCO</t>
  </si>
  <si>
    <t>DNH*GODADDY#37821793Tempe</t>
  </si>
  <si>
    <t>PAYPAL *BIGBOYSBLAS 7275437907</t>
  </si>
  <si>
    <t>PAYPAL *CREPUSHCOM</t>
  </si>
  <si>
    <t>DNH*GODADDY#37785516Tempe</t>
  </si>
  <si>
    <t>Miscellaneous</t>
  </si>
  <si>
    <t>DNH*GODADDY#37773730Tempe</t>
  </si>
  <si>
    <t>DNH*GODADDY#37755959Tempe</t>
  </si>
  <si>
    <t>Restaurant</t>
  </si>
  <si>
    <t>AplPay AA WIFI SALESFORT WORTH</t>
  </si>
  <si>
    <t>Early Pay Discount</t>
  </si>
  <si>
    <t>DNH*GODADDY#37693848Tempe</t>
  </si>
  <si>
    <t>COLLAB SIGN &amp; DESIGNCHANDLER</t>
  </si>
  <si>
    <t>PAYPAL *JEFFD1980</t>
  </si>
  <si>
    <t>Jeff Farjado - Unconfirmed</t>
  </si>
  <si>
    <t>AplPay SIGNAL FOUNDAMOUNTAIN VIEW</t>
  </si>
  <si>
    <t>THE HOME DEPOT</t>
  </si>
  <si>
    <t>AplPay PREMIUM PARKINEW ORLEANS</t>
  </si>
  <si>
    <t>VIATOR</t>
  </si>
  <si>
    <t>AplPay CARDONE TRAINAVENTURA</t>
  </si>
  <si>
    <t>PAYPAL *INFANTSOLUT 3022504336</t>
  </si>
  <si>
    <t>AMAZON PRIME*NW35D0G888-802-3080</t>
  </si>
  <si>
    <t>DNH*GODADDY#37506600Tempe</t>
  </si>
  <si>
    <t>DNH*GODADDY#37457245Tempe</t>
  </si>
  <si>
    <t>THE HOME DEPOT 6515 WEATHERFORD</t>
  </si>
  <si>
    <t>DNH*GODADDY#37423483Tempe</t>
  </si>
  <si>
    <t>AplPay EB *MOTHERS DSAN FRANCISCO</t>
  </si>
  <si>
    <t>DNH*GODADDY#37414051Tempe</t>
  </si>
  <si>
    <t>PAYPAL *TICKETMASTE 4029357733</t>
  </si>
  <si>
    <t>DNH*GODADDY#37396861Tempe</t>
  </si>
  <si>
    <t>DNH*GODADDY#37324488Tempe</t>
  </si>
  <si>
    <t>HOMEDEPOT.COM</t>
  </si>
  <si>
    <t>EXPEDIA 730930753940EXPEDIA.COM</t>
  </si>
  <si>
    <t>EXPEDIA 730888307782EXPEDIA.COM</t>
  </si>
  <si>
    <t>VITA JUICE</t>
  </si>
  <si>
    <t>ZOZOSFRESHJUICE</t>
  </si>
  <si>
    <t>HOTELVILON</t>
  </si>
  <si>
    <t>MOON JUICE</t>
  </si>
  <si>
    <t>WHSMITH ITALIA SRL</t>
  </si>
  <si>
    <t>FRANCESCHINI</t>
  </si>
  <si>
    <t>ITA AIRWAYS</t>
  </si>
  <si>
    <t>SIXT CAR RENTAL ITALFRANGARTO-BOLZANO</t>
  </si>
  <si>
    <t>AMAZON MUSIC*VG69324888-802-3080</t>
  </si>
  <si>
    <t>DNH*GODADDY#37132236Tempe</t>
  </si>
  <si>
    <t>PALAZETTO HASSLER</t>
  </si>
  <si>
    <t>ENI27100</t>
  </si>
  <si>
    <t>Q8 PV7418</t>
  </si>
  <si>
    <t>BOUTIQUE LACOSTE</t>
  </si>
  <si>
    <t>MINIATI ROMA</t>
  </si>
  <si>
    <t>VIVA*GINGER FOOD ITAROMA</t>
  </si>
  <si>
    <t>WWW.VIENNA-CONCERT.CWien</t>
  </si>
  <si>
    <t>CKO*WWW.HEADOUT.COM BERLIN</t>
  </si>
  <si>
    <t>DNH*GODADDY#37054810Tempe</t>
  </si>
  <si>
    <t>EXPEDIA.COM TRAVEL</t>
  </si>
  <si>
    <t>HOTEL RAPHAEL</t>
  </si>
  <si>
    <t>EXPEDIA 730783520596EXPEDIA.COM</t>
  </si>
  <si>
    <t>AA TICKETS ONLINE</t>
  </si>
  <si>
    <t>DNH*GODADDY#36993696Tempe</t>
  </si>
  <si>
    <t>GALLERIA UFFIZI</t>
  </si>
  <si>
    <t>ZETTLE *TAMARINDO JUFIRENZE</t>
  </si>
  <si>
    <t>DNH*GODADDY#36973106Tempe</t>
  </si>
  <si>
    <t>ESSO</t>
  </si>
  <si>
    <t>DNH*GODADDY#36947179Tempe</t>
  </si>
  <si>
    <t>PAYPAL *CLAUDIAFRACA4029357733</t>
  </si>
  <si>
    <t>AplPay YESGLASSES* NNEWARK</t>
  </si>
  <si>
    <t>EXPEDIA 730619054646EXPEDIA.COM</t>
  </si>
  <si>
    <t>GRAN CAFE</t>
  </si>
  <si>
    <t>IL DIALOGO 18</t>
  </si>
  <si>
    <t>SUMUP*JESSICA 95 - SROMA</t>
  </si>
  <si>
    <t>Renewal Membership Fee</t>
  </si>
  <si>
    <t>RISTORANTE PIPERNO</t>
  </si>
  <si>
    <t>DNH*GODADDY#36835422Tempe</t>
  </si>
  <si>
    <t>CAFFE' ILLY MOLO E</t>
  </si>
  <si>
    <t>FARMACIA</t>
  </si>
  <si>
    <t>SORACI ALBERTO</t>
  </si>
  <si>
    <t>SUMUP*BUDDLEIA SRL</t>
  </si>
  <si>
    <t>LAX AIRP LAMILL LAX LOS ANGELES</t>
  </si>
  <si>
    <t>LS &amp; PARTNERS @ LAX LOS ANGELES</t>
  </si>
  <si>
    <t>AplPay BT*WAYMO</t>
  </si>
  <si>
    <t>EXPEDIA 730619164038EXPEDIA.COM</t>
  </si>
  <si>
    <t>EXPEDIA 730623009872EXPEDIA.COM</t>
  </si>
  <si>
    <t>EXPEDIA 730585273032EXPEDIA.COM</t>
  </si>
  <si>
    <t>SIXT</t>
  </si>
  <si>
    <t>EXPEDIA 730592258288EXPEDIA.COM</t>
  </si>
  <si>
    <t>EXPEDIA 730592342456EXPEDIA.COM</t>
  </si>
  <si>
    <t>AMAZON MUSIC*Y79KU0W888-802-3080</t>
  </si>
  <si>
    <t>DNH*GODADDY#36521486Tempe</t>
  </si>
  <si>
    <t>DNH*GODADDY#36430405Tempe</t>
  </si>
  <si>
    <t>DNH*GODADDY#36376521Tempe</t>
  </si>
  <si>
    <t>DNH*GODADDY#36353714Tempe</t>
  </si>
  <si>
    <t>DNH*GODADDY#36334880Tempe</t>
  </si>
  <si>
    <t>DNH*GODADDY#36204870Tempe</t>
  </si>
  <si>
    <t>DD *DOORDASH CANTINASAN FRANCISCO</t>
  </si>
  <si>
    <t>AMAZON MUSIC*U66EB5Y888-802-3080</t>
  </si>
  <si>
    <t>AplPay FRANKLIN PLAN800-654-1776</t>
  </si>
  <si>
    <t>DNH*GODADDY#35846443Tempe</t>
  </si>
  <si>
    <t>COSTAR GROUP INC</t>
  </si>
  <si>
    <t>DNH*GODADDY#35825888Tempe</t>
  </si>
  <si>
    <t>DNH*GODADDY#33925291Tempe</t>
  </si>
  <si>
    <t>DNH*GODADDY#35770875Tempe</t>
  </si>
  <si>
    <t>THE BRANDON LAW FIRMLANTANA</t>
  </si>
  <si>
    <t>DNH*GODADDY#35765382Tempe</t>
  </si>
  <si>
    <t>DNH*GODADDY#35741722Tempe</t>
  </si>
  <si>
    <t>DNH*GODADDY#35604281Tempe</t>
  </si>
  <si>
    <t>AplPay TELEFLORA.COMLOS ANGELES</t>
  </si>
  <si>
    <t>TST* GJELINA 3006427VENICE</t>
  </si>
  <si>
    <t>ALPHAGRAPHICS US 607WEATHERFORD</t>
  </si>
  <si>
    <t>CMT PHOENIX</t>
  </si>
  <si>
    <t>AMAZON MUSIC*ZG6G908888-802-3080</t>
  </si>
  <si>
    <t>PAYPAL *GOFUNDME AID8448964938</t>
  </si>
  <si>
    <t>DNH*GODADDY#35227931Tempe</t>
  </si>
  <si>
    <t>PAYPAL *CHANGE ORG</t>
  </si>
  <si>
    <t>DNH*GODADDY#35159805Tempe</t>
  </si>
  <si>
    <t>DNH*GODADDY#35151625Tempe</t>
  </si>
  <si>
    <t>DNH*GODADDY#35125585Tempe</t>
  </si>
  <si>
    <t>AplPay GOFUNDME*SUPPSAN DIEGO</t>
  </si>
  <si>
    <t>DNH*GODADDY#35011484Tempe</t>
  </si>
  <si>
    <t>AplPay WIFIONBOARD AVANCOUVER</t>
  </si>
  <si>
    <t>Totals</t>
  </si>
  <si>
    <t>Credits &amp; Payments</t>
  </si>
  <si>
    <t>Net Balance</t>
  </si>
  <si>
    <t>American Express - The Plum Card</t>
  </si>
  <si>
    <t>The Plum Card®  |  Statement Summary</t>
  </si>
  <si>
    <t>Statement Period (Full Year)</t>
  </si>
  <si>
    <t>Jan 2025 - Dec 2025</t>
  </si>
  <si>
    <t>TOTALS</t>
  </si>
  <si>
    <t>SPEND BY CATEGORY</t>
  </si>
  <si>
    <t>% of Charges</t>
  </si>
  <si>
    <t>DWGCP / DWG Operating</t>
  </si>
  <si>
    <t xml:space="preserve">  Subtotal — Operating</t>
  </si>
  <si>
    <t>Deal-Specific</t>
  </si>
  <si>
    <t xml:space="preserve">  Subtotal — Deal-Specific</t>
  </si>
  <si>
    <t>Legal / Professional / Other</t>
  </si>
  <si>
    <t xml:space="preserve">  Subtotal — Other</t>
  </si>
  <si>
    <t>Personal — Reimburse to Company</t>
  </si>
  <si>
    <t xml:space="preserve">  Subtotal — Personal</t>
  </si>
  <si>
    <t>Credits, Refunds &amp; Payments</t>
  </si>
  <si>
    <t xml:space="preserve">  Subtotal — Credits/Payments</t>
  </si>
  <si>
    <t>GRAND TOTAL</t>
  </si>
  <si>
    <t>SPEND BY MONTH</t>
  </si>
  <si>
    <t>Month</t>
  </si>
  <si>
    <t>Credits</t>
  </si>
  <si>
    <t>Net</t>
  </si>
  <si>
    <t>PAYMENTS, CREDITS &amp; REFUNDS DETAIL</t>
  </si>
  <si>
    <t>Type</t>
  </si>
  <si>
    <t>Payment</t>
  </si>
  <si>
    <t>Refund/Credit</t>
  </si>
  <si>
    <t>Credit</t>
  </si>
  <si>
    <t>Total Credits &amp; Payments</t>
  </si>
  <si>
    <t>The Plum Card®  |  Monthly Breakdown</t>
  </si>
  <si>
    <t>Period</t>
  </si>
  <si>
    <t>% of Month Charges</t>
  </si>
  <si>
    <t>Total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</si>
</sst>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;\(&quot;$&quot;#,##0.00\);\-"/>
    <numFmt numFmtId="166" formatCode="0.0%;\(0.0%\);\-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0"/>
      <color rgb="FF6B6B6B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  <fill>
      <patternFill patternType="solid">
        <fgColor rgb="FF2C2C2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center" wrapText="1"/>
    </xf>
    <xf numFmtId="2" fontId="5" fillId="3" borderId="3" xfId="0" applyNumberFormat="1" applyFont="1" applyFill="1" applyBorder="1" applyAlignment="1">
      <alignment horizontal="right" wrapText="1"/>
    </xf>
    <xf numFmtId="2" fontId="6" fillId="2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7" fillId="5" borderId="1" xfId="0" applyFont="1" applyFill="1" applyBorder="1"/>
    <xf numFmtId="0" fontId="8" fillId="5" borderId="1" xfId="0" applyFont="1" applyFill="1" applyBorder="1"/>
    <xf numFmtId="0" fontId="9" fillId="0" borderId="0" xfId="0" applyFont="1"/>
    <xf numFmtId="0" fontId="10" fillId="0" borderId="0" xfId="0" applyFont="1"/>
    <xf numFmtId="0" fontId="11" fillId="5" borderId="0" xfId="0" applyFont="1" applyFill="1"/>
    <xf numFmtId="0" fontId="12" fillId="5" borderId="0" xfId="0" applyFont="1" applyFill="1"/>
    <xf numFmtId="0" fontId="12" fillId="5" borderId="0" xfId="0" applyFont="1" applyFill="1" applyAlignment="1">
      <alignment horizontal="right"/>
    </xf>
    <xf numFmtId="0" fontId="12" fillId="5" borderId="0" xfId="0" applyFont="1" applyFill="1" applyAlignment="1">
      <alignment horizontal="center"/>
    </xf>
    <xf numFmtId="164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center"/>
    </xf>
    <xf numFmtId="0" fontId="13" fillId="0" borderId="0" xfId="0" applyFont="1"/>
    <xf numFmtId="165" fontId="13" fillId="0" borderId="0" xfId="0" applyNumberFormat="1" applyFont="1" applyAlignment="1">
      <alignment horizontal="right"/>
    </xf>
    <xf numFmtId="0" fontId="13" fillId="6" borderId="0" xfId="0" applyFont="1" applyFill="1"/>
    <xf numFmtId="165" fontId="13" fillId="6" borderId="0" xfId="0" applyNumberFormat="1" applyFont="1" applyFill="1" applyAlignment="1">
      <alignment horizontal="right"/>
    </xf>
    <xf numFmtId="0" fontId="14" fillId="7" borderId="0" xfId="0" applyFont="1" applyFill="1"/>
    <xf numFmtId="165" fontId="0" fillId="7" borderId="0" xfId="0" applyNumberFormat="1" applyFill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5" fontId="11" fillId="5" borderId="0" xfId="0" applyNumberFormat="1" applyFont="1" applyFill="1" applyAlignment="1">
      <alignment horizontal="right"/>
    </xf>
    <xf numFmtId="166" fontId="11" fillId="5" borderId="0" xfId="0" applyNumberFormat="1" applyFont="1" applyFill="1" applyAlignment="1">
      <alignment horizontal="right"/>
    </xf>
    <xf numFmtId="17" fontId="10" fillId="0" borderId="0" xfId="0" applyNumberFormat="1" applyFont="1"/>
    <xf numFmtId="17" fontId="15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836957-2ABE-4777-A1B4-E07B5E47CB7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c043240-6fa7-432c-a5eb-3a98cba78f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5"/>
  <sheetViews>
    <sheetView topLeftCell="A78" workbookViewId="0">
      <selection activeCell="E59" sqref="E59"/>
    </sheetView>
  </sheetViews>
  <sheetFormatPr defaultColWidth="26.28515625" defaultRowHeight="15" x14ac:dyDescent="0.25"/>
  <cols>
    <col min="1" max="1" width="61" customWidth="1"/>
    <col min="2" max="2" width="38.85546875" customWidth="1"/>
    <col min="3" max="4" width="22.85546875" customWidth="1"/>
  </cols>
  <sheetData>
    <row r="1" spans="1:3" ht="21" x14ac:dyDescent="0.35">
      <c r="A1" s="10" t="s">
        <v>1133</v>
      </c>
      <c r="B1" s="9"/>
      <c r="C1" s="9"/>
    </row>
    <row r="2" spans="1:3" x14ac:dyDescent="0.25">
      <c r="A2" s="9" t="s">
        <v>1134</v>
      </c>
      <c r="B2" s="9"/>
      <c r="C2" s="9"/>
    </row>
    <row r="4" spans="1:3" x14ac:dyDescent="0.25">
      <c r="A4" s="11" t="s">
        <v>893</v>
      </c>
      <c r="B4" t="s">
        <v>894</v>
      </c>
    </row>
    <row r="5" spans="1:3" x14ac:dyDescent="0.25">
      <c r="A5" s="11" t="s">
        <v>895</v>
      </c>
      <c r="B5" t="s">
        <v>6</v>
      </c>
    </row>
    <row r="6" spans="1:3" x14ac:dyDescent="0.25">
      <c r="A6" s="11" t="s">
        <v>1135</v>
      </c>
      <c r="B6" t="s">
        <v>1136</v>
      </c>
    </row>
    <row r="8" spans="1:3" x14ac:dyDescent="0.25">
      <c r="A8" s="13" t="s">
        <v>1137</v>
      </c>
      <c r="B8" s="13"/>
      <c r="C8" s="13"/>
    </row>
    <row r="9" spans="1:3" x14ac:dyDescent="0.25">
      <c r="A9" s="24" t="s">
        <v>849</v>
      </c>
      <c r="B9" s="25">
        <f>'Transaction Details'!D427</f>
        <v>218574.68999999992</v>
      </c>
    </row>
    <row r="10" spans="1:3" x14ac:dyDescent="0.25">
      <c r="A10" s="24" t="s">
        <v>1131</v>
      </c>
      <c r="B10" s="25">
        <f>'Transaction Details'!D428</f>
        <v>-182795.92</v>
      </c>
    </row>
    <row r="11" spans="1:3" x14ac:dyDescent="0.25">
      <c r="A11" s="24" t="s">
        <v>1132</v>
      </c>
      <c r="B11" s="25">
        <f>B9+B10</f>
        <v>35778.769999999902</v>
      </c>
    </row>
    <row r="13" spans="1:3" x14ac:dyDescent="0.25">
      <c r="A13" s="13" t="s">
        <v>1138</v>
      </c>
      <c r="B13" s="13"/>
      <c r="C13" s="13"/>
    </row>
    <row r="14" spans="1:3" x14ac:dyDescent="0.25">
      <c r="A14" s="11" t="s">
        <v>14</v>
      </c>
      <c r="B14" s="26" t="s">
        <v>11</v>
      </c>
      <c r="C14" s="26" t="s">
        <v>1139</v>
      </c>
    </row>
    <row r="15" spans="1:3" x14ac:dyDescent="0.25">
      <c r="A15" s="11" t="s">
        <v>1140</v>
      </c>
      <c r="B15" s="11"/>
      <c r="C15" s="11"/>
    </row>
    <row r="16" spans="1:3" x14ac:dyDescent="0.25">
      <c r="A16" s="12" t="s">
        <v>852</v>
      </c>
      <c r="B16" s="27">
        <f>SUMIFS('Transaction Details'!D:D,'Transaction Details'!C:C,A16)</f>
        <v>4000</v>
      </c>
      <c r="C16" s="28">
        <f>IFERROR(B16/$B$9,0)</f>
        <v>1.8300380524387348E-2</v>
      </c>
    </row>
    <row r="17" spans="1:3" x14ac:dyDescent="0.25">
      <c r="A17" s="12" t="s">
        <v>876</v>
      </c>
      <c r="B17" s="27">
        <f>SUMIFS('Transaction Details'!D:D,'Transaction Details'!C:C,A17)</f>
        <v>3235.05</v>
      </c>
      <c r="C17" s="28">
        <f>IFERROR(B17/$B$9,0)</f>
        <v>1.4800661503854822E-2</v>
      </c>
    </row>
    <row r="18" spans="1:3" x14ac:dyDescent="0.25">
      <c r="A18" s="12" t="s">
        <v>883</v>
      </c>
      <c r="B18" s="27">
        <f>SUMIFS('Transaction Details'!D:D,'Transaction Details'!C:C,A18)</f>
        <v>2133.9300000000003</v>
      </c>
      <c r="C18" s="28">
        <f>IFERROR(B18/$B$9,0)</f>
        <v>9.7629327531014738E-3</v>
      </c>
    </row>
    <row r="19" spans="1:3" x14ac:dyDescent="0.25">
      <c r="A19" s="12" t="s">
        <v>881</v>
      </c>
      <c r="B19" s="27">
        <f>SUMIFS('Transaction Details'!D:D,'Transaction Details'!C:C,A19)</f>
        <v>1358</v>
      </c>
      <c r="C19" s="28">
        <f>IFERROR(B19/$B$9,0)</f>
        <v>6.2129791880295038E-3</v>
      </c>
    </row>
    <row r="20" spans="1:3" x14ac:dyDescent="0.25">
      <c r="A20" s="12" t="s">
        <v>858</v>
      </c>
      <c r="B20" s="27">
        <f>SUMIFS('Transaction Details'!D:D,'Transaction Details'!C:C,A20)</f>
        <v>471.89000000000016</v>
      </c>
      <c r="C20" s="28">
        <f>IFERROR(B20/$B$9,0)</f>
        <v>2.1589416414132868E-3</v>
      </c>
    </row>
    <row r="21" spans="1:3" x14ac:dyDescent="0.25">
      <c r="A21" s="12" t="s">
        <v>875</v>
      </c>
      <c r="B21" s="27">
        <f>SUMIFS('Transaction Details'!D:D,'Transaction Details'!C:C,A21)</f>
        <v>778.98000000000025</v>
      </c>
      <c r="C21" s="28">
        <f>IFERROR(B21/$B$9,0)</f>
        <v>3.5639076052218148E-3</v>
      </c>
    </row>
    <row r="22" spans="1:3" x14ac:dyDescent="0.25">
      <c r="A22" s="12" t="s">
        <v>865</v>
      </c>
      <c r="B22" s="27">
        <f>SUMIFS('Transaction Details'!D:D,'Transaction Details'!C:C,A22)</f>
        <v>621</v>
      </c>
      <c r="C22" s="28">
        <f>IFERROR(B22/$B$9,0)</f>
        <v>2.8411340764111356E-3</v>
      </c>
    </row>
    <row r="23" spans="1:3" x14ac:dyDescent="0.25">
      <c r="A23" s="12" t="s">
        <v>887</v>
      </c>
      <c r="B23" s="27">
        <f>SUMIFS('Transaction Details'!D:D,'Transaction Details'!C:C,A23)</f>
        <v>9247.18</v>
      </c>
      <c r="C23" s="28">
        <f>IFERROR(B23/$B$9,0)</f>
        <v>4.2306728194376045E-2</v>
      </c>
    </row>
    <row r="24" spans="1:3" x14ac:dyDescent="0.25">
      <c r="A24" s="12" t="s">
        <v>877</v>
      </c>
      <c r="B24" s="27">
        <f>SUMIFS('Transaction Details'!D:D,'Transaction Details'!C:C,A24)</f>
        <v>883</v>
      </c>
      <c r="C24" s="28">
        <f>IFERROR(B24/$B$9,0)</f>
        <v>4.0398090007585062E-3</v>
      </c>
    </row>
    <row r="25" spans="1:3" x14ac:dyDescent="0.25">
      <c r="A25" s="12" t="s">
        <v>855</v>
      </c>
      <c r="B25" s="27">
        <f>SUMIFS('Transaction Details'!D:D,'Transaction Details'!C:C,A25)</f>
        <v>1813.46</v>
      </c>
      <c r="C25" s="28">
        <f>IFERROR(B25/$B$9,0)</f>
        <v>8.2967520164388686E-3</v>
      </c>
    </row>
    <row r="26" spans="1:3" x14ac:dyDescent="0.25">
      <c r="A26" s="12" t="s">
        <v>870</v>
      </c>
      <c r="B26" s="27">
        <f>SUMIFS('Transaction Details'!D:D,'Transaction Details'!C:C,A26)</f>
        <v>184.45</v>
      </c>
      <c r="C26" s="28">
        <f>IFERROR(B26/$B$9,0)</f>
        <v>8.4387629693081145E-4</v>
      </c>
    </row>
    <row r="27" spans="1:3" x14ac:dyDescent="0.25">
      <c r="A27" s="12" t="s">
        <v>853</v>
      </c>
      <c r="B27" s="27">
        <f>SUMIFS('Transaction Details'!D:D,'Transaction Details'!C:C,A27)</f>
        <v>6657.5</v>
      </c>
      <c r="C27" s="28">
        <f>IFERROR(B27/$B$9,0)</f>
        <v>3.0458695835277189E-2</v>
      </c>
    </row>
    <row r="28" spans="1:3" x14ac:dyDescent="0.25">
      <c r="A28" s="12" t="s">
        <v>882</v>
      </c>
      <c r="B28" s="27">
        <f>SUMIFS('Transaction Details'!D:D,'Transaction Details'!C:C,A28)</f>
        <v>2396.02</v>
      </c>
      <c r="C28" s="28">
        <f>IFERROR(B28/$B$9,0)</f>
        <v>1.0962019436010642E-2</v>
      </c>
    </row>
    <row r="29" spans="1:3" x14ac:dyDescent="0.25">
      <c r="A29" s="12" t="s">
        <v>1081</v>
      </c>
      <c r="B29" s="27">
        <f>SUMIFS('Transaction Details'!D:D,'Transaction Details'!C:C,A29)</f>
        <v>250</v>
      </c>
      <c r="C29" s="28">
        <f>IFERROR(B29/$B$9,0)</f>
        <v>1.1437737827742092E-3</v>
      </c>
    </row>
    <row r="30" spans="1:3" x14ac:dyDescent="0.25">
      <c r="A30" s="22" t="s">
        <v>1141</v>
      </c>
      <c r="B30" s="23">
        <f>SUM(B16:B29)</f>
        <v>34030.46</v>
      </c>
      <c r="C30" s="22"/>
    </row>
    <row r="32" spans="1:3" x14ac:dyDescent="0.25">
      <c r="A32" s="11" t="s">
        <v>1142</v>
      </c>
      <c r="B32" s="11"/>
      <c r="C32" s="11"/>
    </row>
    <row r="33" spans="1:3" x14ac:dyDescent="0.25">
      <c r="A33" s="12" t="s">
        <v>879</v>
      </c>
      <c r="B33" s="27">
        <f>SUMIFS('Transaction Details'!D:D,'Transaction Details'!C:C,A33)</f>
        <v>23243.89</v>
      </c>
      <c r="C33" s="28">
        <f>IFERROR(B33/$B$9,0)</f>
        <v>0.10634300796675045</v>
      </c>
    </row>
    <row r="34" spans="1:3" x14ac:dyDescent="0.25">
      <c r="A34" s="12" t="s">
        <v>878</v>
      </c>
      <c r="B34" s="27">
        <f>SUMIFS('Transaction Details'!D:D,'Transaction Details'!C:C,A34)</f>
        <v>8287.6200000000008</v>
      </c>
      <c r="C34" s="28">
        <f>IFERROR(B34/$B$9,0)</f>
        <v>3.7916649910380767E-2</v>
      </c>
    </row>
    <row r="35" spans="1:3" x14ac:dyDescent="0.25">
      <c r="A35" s="12" t="s">
        <v>880</v>
      </c>
      <c r="B35" s="27">
        <f>SUMIFS('Transaction Details'!D:D,'Transaction Details'!C:C,A35)</f>
        <v>67.5</v>
      </c>
      <c r="C35" s="28">
        <f>IFERROR(B35/$B$9,0)</f>
        <v>3.0881892134903644E-4</v>
      </c>
    </row>
    <row r="36" spans="1:3" x14ac:dyDescent="0.25">
      <c r="A36" s="12" t="s">
        <v>884</v>
      </c>
      <c r="B36" s="27">
        <f>SUMIFS('Transaction Details'!D:D,'Transaction Details'!C:C,A36)</f>
        <v>1055.92</v>
      </c>
      <c r="C36" s="28">
        <f>IFERROR(B36/$B$9,0)</f>
        <v>4.8309344508277721E-3</v>
      </c>
    </row>
    <row r="37" spans="1:3" x14ac:dyDescent="0.25">
      <c r="A37" s="12" t="s">
        <v>864</v>
      </c>
      <c r="B37" s="27">
        <f>SUMIFS('Transaction Details'!D:D,'Transaction Details'!C:C,A37)</f>
        <v>399.67</v>
      </c>
      <c r="C37" s="28">
        <f>IFERROR(B37/$B$9,0)</f>
        <v>1.8285282710454728E-3</v>
      </c>
    </row>
    <row r="38" spans="1:3" x14ac:dyDescent="0.25">
      <c r="A38" s="12" t="s">
        <v>889</v>
      </c>
      <c r="B38" s="27">
        <f>SUMIFS('Transaction Details'!D:D,'Transaction Details'!C:C,A38)</f>
        <v>1323.03</v>
      </c>
      <c r="C38" s="28">
        <f>IFERROR(B38/$B$9,0)</f>
        <v>6.0529881112950474E-3</v>
      </c>
    </row>
    <row r="39" spans="1:3" x14ac:dyDescent="0.25">
      <c r="A39" s="12" t="s">
        <v>859</v>
      </c>
      <c r="B39" s="27">
        <f>SUMIFS('Transaction Details'!D:D,'Transaction Details'!C:C,A39)</f>
        <v>2175</v>
      </c>
      <c r="C39" s="28">
        <f>IFERROR(B39/$B$9,0)</f>
        <v>9.9508319101356199E-3</v>
      </c>
    </row>
    <row r="40" spans="1:3" x14ac:dyDescent="0.25">
      <c r="A40" s="22" t="s">
        <v>1143</v>
      </c>
      <c r="B40" s="23">
        <f>SUM(B33:B39)</f>
        <v>36552.629999999997</v>
      </c>
      <c r="C40" s="22"/>
    </row>
    <row r="42" spans="1:3" x14ac:dyDescent="0.25">
      <c r="A42" s="11" t="s">
        <v>1144</v>
      </c>
      <c r="B42" s="11"/>
      <c r="C42" s="11"/>
    </row>
    <row r="43" spans="1:3" x14ac:dyDescent="0.25">
      <c r="A43" s="12" t="s">
        <v>1026</v>
      </c>
      <c r="B43" s="27">
        <f>SUMIFS('Transaction Details'!D:D,'Transaction Details'!C:C,A43)</f>
        <v>17778.800000000003</v>
      </c>
      <c r="C43" s="28">
        <f>IFERROR(B43/$B$9,0)</f>
        <v>8.133970131674445E-2</v>
      </c>
    </row>
    <row r="44" spans="1:3" x14ac:dyDescent="0.25">
      <c r="A44" s="12" t="s">
        <v>888</v>
      </c>
      <c r="B44" s="27">
        <f>SUMIFS('Transaction Details'!D:D,'Transaction Details'!C:C,A44)</f>
        <v>507.35</v>
      </c>
      <c r="C44" s="28">
        <f>IFERROR(B44/$B$9,0)</f>
        <v>2.3211745147619801E-3</v>
      </c>
    </row>
    <row r="45" spans="1:3" x14ac:dyDescent="0.25">
      <c r="A45" s="12" t="s">
        <v>867</v>
      </c>
      <c r="B45" s="27">
        <f>SUMIFS('Transaction Details'!D:D,'Transaction Details'!C:C,A45)</f>
        <v>4116.3</v>
      </c>
      <c r="C45" s="28">
        <f>IFERROR(B45/$B$9,0)</f>
        <v>1.883246408813391E-2</v>
      </c>
    </row>
    <row r="46" spans="1:3" x14ac:dyDescent="0.25">
      <c r="A46" s="12" t="s">
        <v>866</v>
      </c>
      <c r="B46" s="27">
        <f>SUMIFS('Transaction Details'!D:D,'Transaction Details'!C:C,A46)</f>
        <v>11300</v>
      </c>
      <c r="C46" s="28">
        <f>IFERROR(B46/$B$9,0)</f>
        <v>5.1698574981394255E-2</v>
      </c>
    </row>
    <row r="47" spans="1:3" x14ac:dyDescent="0.25">
      <c r="A47" s="12" t="s">
        <v>890</v>
      </c>
      <c r="B47" s="27">
        <f>SUMIFS('Transaction Details'!D:D,'Transaction Details'!C:C,A47)</f>
        <v>818</v>
      </c>
      <c r="C47" s="28">
        <f>IFERROR(B47/$B$9,0)</f>
        <v>3.7424278172372124E-3</v>
      </c>
    </row>
    <row r="48" spans="1:3" x14ac:dyDescent="0.25">
      <c r="A48" s="12" t="s">
        <v>860</v>
      </c>
      <c r="B48" s="27">
        <f>SUMIFS('Transaction Details'!D:D,'Transaction Details'!C:C,A48)</f>
        <v>144.20000000000002</v>
      </c>
      <c r="C48" s="28">
        <f>IFERROR(B48/$B$9,0)</f>
        <v>6.597287179041639E-4</v>
      </c>
    </row>
    <row r="49" spans="1:3" x14ac:dyDescent="0.25">
      <c r="A49" s="12" t="s">
        <v>857</v>
      </c>
      <c r="B49" s="27">
        <f>SUMIFS('Transaction Details'!D:D,'Transaction Details'!C:C,A49)</f>
        <v>455.49</v>
      </c>
      <c r="C49" s="28">
        <f>IFERROR(B49/$B$9,0)</f>
        <v>2.0839100812632982E-3</v>
      </c>
    </row>
    <row r="50" spans="1:3" x14ac:dyDescent="0.25">
      <c r="A50" s="12" t="s">
        <v>995</v>
      </c>
      <c r="B50" s="27">
        <f>SUMIFS('Transaction Details'!D:D,'Transaction Details'!C:C,A50)</f>
        <v>46.07</v>
      </c>
      <c r="C50" s="28">
        <f>IFERROR(B50/$B$9,0)</f>
        <v>2.1077463268963126E-4</v>
      </c>
    </row>
    <row r="51" spans="1:3" x14ac:dyDescent="0.25">
      <c r="A51" s="12" t="s">
        <v>1020</v>
      </c>
      <c r="B51" s="27">
        <f>SUMIFS('Transaction Details'!D:D,'Transaction Details'!C:C,A51)</f>
        <v>27.68</v>
      </c>
      <c r="C51" s="28">
        <f>IFERROR(B51/$B$9,0)</f>
        <v>1.2663863322876043E-4</v>
      </c>
    </row>
    <row r="52" spans="1:3" x14ac:dyDescent="0.25">
      <c r="A52" s="12" t="s">
        <v>1017</v>
      </c>
      <c r="B52" s="27">
        <f>SUMIFS('Transaction Details'!D:D,'Transaction Details'!C:C,A52)</f>
        <v>26.98</v>
      </c>
      <c r="C52" s="28">
        <f>IFERROR(B52/$B$9,0)</f>
        <v>1.2343606663699265E-4</v>
      </c>
    </row>
    <row r="53" spans="1:3" x14ac:dyDescent="0.25">
      <c r="A53" s="22" t="s">
        <v>1145</v>
      </c>
      <c r="B53" s="23">
        <f>SUM(B43:B52)</f>
        <v>35220.869999999995</v>
      </c>
      <c r="C53" s="22"/>
    </row>
    <row r="55" spans="1:3" x14ac:dyDescent="0.25">
      <c r="A55" s="11" t="s">
        <v>1146</v>
      </c>
      <c r="B55" s="11"/>
      <c r="C55" s="11"/>
    </row>
    <row r="56" spans="1:3" x14ac:dyDescent="0.25">
      <c r="A56" s="12" t="s">
        <v>886</v>
      </c>
      <c r="B56" s="27">
        <f>SUMIFS('Transaction Details'!D:D,'Transaction Details'!C:C,A56)</f>
        <v>46924.98</v>
      </c>
      <c r="C56" s="28">
        <f>IFERROR(B56/$B$9,0)</f>
        <v>0.21468624752481644</v>
      </c>
    </row>
    <row r="57" spans="1:3" x14ac:dyDescent="0.25">
      <c r="A57" s="12" t="s">
        <v>851</v>
      </c>
      <c r="B57" s="27">
        <f>SUMIFS('Transaction Details'!D:D,'Transaction Details'!C:C,A57)</f>
        <v>22193.309999999998</v>
      </c>
      <c r="C57" s="28">
        <f>IFERROR(B57/$B$9,0)</f>
        <v>0.10153650452392272</v>
      </c>
    </row>
    <row r="58" spans="1:3" x14ac:dyDescent="0.25">
      <c r="A58" s="12" t="s">
        <v>873</v>
      </c>
      <c r="B58" s="27">
        <f>SUMIFS('Transaction Details'!D:D,'Transaction Details'!C:C,A58)</f>
        <v>6299.3499999999995</v>
      </c>
      <c r="C58" s="28">
        <f>IFERROR(B58/$B$9,0)</f>
        <v>2.8820125514074854E-2</v>
      </c>
    </row>
    <row r="59" spans="1:3" x14ac:dyDescent="0.25">
      <c r="A59" s="12" t="s">
        <v>854</v>
      </c>
      <c r="B59" s="27">
        <f>SUMIFS('Transaction Details'!D:D,'Transaction Details'!C:C,A59)</f>
        <v>3824.54</v>
      </c>
      <c r="C59" s="28">
        <f>IFERROR(B59/$B$9,0)</f>
        <v>1.7497634332685096E-2</v>
      </c>
    </row>
    <row r="60" spans="1:3" x14ac:dyDescent="0.25">
      <c r="A60" s="12" t="s">
        <v>871</v>
      </c>
      <c r="B60" s="27">
        <f>SUMIFS('Transaction Details'!D:D,'Transaction Details'!C:C,A60)</f>
        <v>3592.7100000000005</v>
      </c>
      <c r="C60" s="28">
        <f>IFERROR(B60/$B$9,0)</f>
        <v>1.6436990028442917E-2</v>
      </c>
    </row>
    <row r="61" spans="1:3" x14ac:dyDescent="0.25">
      <c r="A61" s="12" t="s">
        <v>869</v>
      </c>
      <c r="B61" s="27">
        <f>SUMIFS('Transaction Details'!D:D,'Transaction Details'!C:C,A61)</f>
        <v>2661.33</v>
      </c>
      <c r="C61" s="28">
        <f>IFERROR(B61/$B$9,0)</f>
        <v>1.2175837925241944E-2</v>
      </c>
    </row>
    <row r="62" spans="1:3" x14ac:dyDescent="0.25">
      <c r="A62" s="12" t="s">
        <v>862</v>
      </c>
      <c r="B62" s="27">
        <f>SUMIFS('Transaction Details'!D:D,'Transaction Details'!C:C,A62)</f>
        <v>717.17000000000007</v>
      </c>
      <c r="C62" s="28">
        <f>IFERROR(B62/$B$9,0)</f>
        <v>3.2811209751687186E-3</v>
      </c>
    </row>
    <row r="63" spans="1:3" x14ac:dyDescent="0.25">
      <c r="A63" s="12" t="s">
        <v>872</v>
      </c>
      <c r="B63" s="27">
        <f>SUMIFS('Transaction Details'!D:D,'Transaction Details'!C:C,A63)</f>
        <v>711.69</v>
      </c>
      <c r="C63" s="28">
        <f>IFERROR(B63/$B$9,0)</f>
        <v>3.2560494538503076E-3</v>
      </c>
    </row>
    <row r="64" spans="1:3" x14ac:dyDescent="0.25">
      <c r="A64" s="12" t="s">
        <v>868</v>
      </c>
      <c r="B64" s="27">
        <f>SUMIFS('Transaction Details'!D:D,'Transaction Details'!C:C,A64)</f>
        <v>595</v>
      </c>
      <c r="C64" s="28">
        <f>IFERROR(B64/$B$9,0)</f>
        <v>2.7221816030026176E-3</v>
      </c>
    </row>
    <row r="65" spans="1:4" x14ac:dyDescent="0.25">
      <c r="A65" s="12" t="s">
        <v>874</v>
      </c>
      <c r="B65" s="27">
        <f>SUMIFS('Transaction Details'!D:D,'Transaction Details'!C:C,A65)</f>
        <v>507.15999999999997</v>
      </c>
      <c r="C65" s="28">
        <f>IFERROR(B65/$B$9,0)</f>
        <v>2.3203052466870713E-3</v>
      </c>
    </row>
    <row r="66" spans="1:4" x14ac:dyDescent="0.25">
      <c r="A66" s="12" t="s">
        <v>863</v>
      </c>
      <c r="B66" s="27">
        <f>SUMIFS('Transaction Details'!D:D,'Transaction Details'!C:C,A66)</f>
        <v>249.90000000000003</v>
      </c>
      <c r="C66" s="28">
        <f>IFERROR(B66/$B$9,0)</f>
        <v>1.1433162732610996E-3</v>
      </c>
    </row>
    <row r="67" spans="1:4" x14ac:dyDescent="0.25">
      <c r="A67" s="22" t="s">
        <v>1147</v>
      </c>
      <c r="B67" s="23">
        <f>SUM(B56:B66)</f>
        <v>88277.140000000014</v>
      </c>
      <c r="C67" s="22"/>
    </row>
    <row r="69" spans="1:4" x14ac:dyDescent="0.25">
      <c r="A69" s="11" t="s">
        <v>1148</v>
      </c>
      <c r="B69" s="11"/>
      <c r="C69" s="11"/>
    </row>
    <row r="70" spans="1:4" x14ac:dyDescent="0.25">
      <c r="A70" s="12" t="s">
        <v>856</v>
      </c>
      <c r="B70" s="27">
        <f>SUMIFS('Transaction Details'!D:D,'Transaction Details'!C:C,A70)</f>
        <v>-157731.26</v>
      </c>
      <c r="C70" s="28">
        <f>IFERROR(B70/$B$9,0)</f>
        <v>-0.72163551964776929</v>
      </c>
    </row>
    <row r="71" spans="1:4" x14ac:dyDescent="0.25">
      <c r="A71" s="12" t="s">
        <v>1022</v>
      </c>
      <c r="B71" s="27">
        <f>SUMIFS('Transaction Details'!D:D,'Transaction Details'!C:C,A71)</f>
        <v>-571.07000000000005</v>
      </c>
      <c r="C71" s="28">
        <f>IFERROR(B71/$B$9,0)</f>
        <v>-2.6126995765154708E-3</v>
      </c>
    </row>
    <row r="72" spans="1:4" x14ac:dyDescent="0.25">
      <c r="A72" s="22" t="s">
        <v>1149</v>
      </c>
      <c r="B72" s="23">
        <f>SUM(B70:B71)</f>
        <v>-158302.33000000002</v>
      </c>
      <c r="C72" s="22"/>
    </row>
    <row r="74" spans="1:4" x14ac:dyDescent="0.25">
      <c r="A74" s="13" t="s">
        <v>1150</v>
      </c>
      <c r="B74" s="29">
        <f>B30+B40+B53+B67+B72</f>
        <v>35778.76999999999</v>
      </c>
      <c r="C74" s="30">
        <f>IFERROR(B74/$B$9,0)</f>
        <v>0.16369127642363351</v>
      </c>
    </row>
    <row r="76" spans="1:4" x14ac:dyDescent="0.25">
      <c r="A76" s="13" t="s">
        <v>1151</v>
      </c>
      <c r="B76" s="13"/>
      <c r="C76" s="13"/>
      <c r="D76" s="13"/>
    </row>
    <row r="77" spans="1:4" x14ac:dyDescent="0.25">
      <c r="A77" s="11" t="s">
        <v>1152</v>
      </c>
      <c r="B77" s="26" t="s">
        <v>849</v>
      </c>
      <c r="C77" s="26" t="s">
        <v>1153</v>
      </c>
      <c r="D77" s="26" t="s">
        <v>1154</v>
      </c>
    </row>
    <row r="78" spans="1:4" x14ac:dyDescent="0.25">
      <c r="A78" s="31">
        <f>DATE(2025,1,1)</f>
        <v>45658</v>
      </c>
      <c r="B78" s="27">
        <f>SUMIFS('Transaction Details'!D:D,'Transaction Details'!A:A,"&gt;="&amp;DATE(2025,1,1),'Transaction Details'!A:A,"&lt;"&amp;DATE(2025,2,1),'Transaction Details'!D:D,"&gt;0")</f>
        <v>3295.9299999999989</v>
      </c>
      <c r="C78" s="27">
        <f>SUMIFS('Transaction Details'!D:D,'Transaction Details'!A:A,"&gt;="&amp;DATE(2025,1,1),'Transaction Details'!A:A,"&lt;"&amp;DATE(2025,2,1),'Transaction Details'!D:D,"&lt;0")</f>
        <v>-3951.39</v>
      </c>
      <c r="D78" s="27">
        <f>B78+C78</f>
        <v>-655.46000000000095</v>
      </c>
    </row>
    <row r="79" spans="1:4" x14ac:dyDescent="0.25">
      <c r="A79" s="31">
        <f>DATE(2025,2,1)</f>
        <v>45689</v>
      </c>
      <c r="B79" s="27">
        <f>SUMIFS('Transaction Details'!D:D,'Transaction Details'!A:A,"&gt;="&amp;DATE(2025,2,1),'Transaction Details'!A:A,"&lt;"&amp;DATE(2025,3,1),'Transaction Details'!D:D,"&gt;0")</f>
        <v>10924.319999999998</v>
      </c>
      <c r="C79" s="27">
        <f>SUMIFS('Transaction Details'!D:D,'Transaction Details'!A:A,"&gt;="&amp;DATE(2025,2,1),'Transaction Details'!A:A,"&lt;"&amp;DATE(2025,3,1),'Transaction Details'!D:D,"&lt;0")</f>
        <v>-14054.21</v>
      </c>
      <c r="D79" s="27">
        <f>B79+C79</f>
        <v>-3129.8900000000012</v>
      </c>
    </row>
    <row r="80" spans="1:4" x14ac:dyDescent="0.25">
      <c r="A80" s="31">
        <f>DATE(2025,3,1)</f>
        <v>45717</v>
      </c>
      <c r="B80" s="27">
        <f>SUMIFS('Transaction Details'!D:D,'Transaction Details'!A:A,"&gt;="&amp;DATE(2025,3,1),'Transaction Details'!A:A,"&lt;"&amp;DATE(2025,4,1),'Transaction Details'!D:D,"&gt;0")</f>
        <v>28470.110000000008</v>
      </c>
      <c r="C80" s="27">
        <f>SUMIFS('Transaction Details'!D:D,'Transaction Details'!A:A,"&gt;="&amp;DATE(2025,3,1),'Transaction Details'!A:A,"&lt;"&amp;DATE(2025,4,1),'Transaction Details'!D:D,"&lt;0")</f>
        <v>-28325.729999999996</v>
      </c>
      <c r="D80" s="27">
        <f>B80+C80</f>
        <v>144.38000000001193</v>
      </c>
    </row>
    <row r="81" spans="1:4" x14ac:dyDescent="0.25">
      <c r="A81" s="31">
        <f>DATE(2025,4,1)</f>
        <v>45748</v>
      </c>
      <c r="B81" s="27">
        <f>SUMIFS('Transaction Details'!D:D,'Transaction Details'!A:A,"&gt;="&amp;DATE(2025,4,1),'Transaction Details'!A:A,"&lt;"&amp;DATE(2025,5,1),'Transaction Details'!D:D,"&gt;0")</f>
        <v>33631.940000000024</v>
      </c>
      <c r="C81" s="27">
        <f>SUMIFS('Transaction Details'!D:D,'Transaction Details'!A:A,"&gt;="&amp;DATE(2025,4,1),'Transaction Details'!A:A,"&lt;"&amp;DATE(2025,5,1),'Transaction Details'!D:D,"&lt;0")</f>
        <v>-2258.41</v>
      </c>
      <c r="D81" s="27">
        <f>B81+C81</f>
        <v>31373.530000000024</v>
      </c>
    </row>
    <row r="82" spans="1:4" x14ac:dyDescent="0.25">
      <c r="A82" s="31">
        <f>DATE(2025,5,1)</f>
        <v>45778</v>
      </c>
      <c r="B82" s="27">
        <f>SUMIFS('Transaction Details'!D:D,'Transaction Details'!A:A,"&gt;="&amp;DATE(2025,5,1),'Transaction Details'!A:A,"&lt;"&amp;DATE(2025,6,1),'Transaction Details'!D:D,"&gt;0")</f>
        <v>24171.19000000001</v>
      </c>
      <c r="C82" s="27">
        <f>SUMIFS('Transaction Details'!D:D,'Transaction Details'!A:A,"&gt;="&amp;DATE(2025,5,1),'Transaction Details'!A:A,"&lt;"&amp;DATE(2025,6,1),'Transaction Details'!D:D,"&lt;0")</f>
        <v>-20785.030000000002</v>
      </c>
      <c r="D82" s="27">
        <f>B82+C82</f>
        <v>3386.1600000000071</v>
      </c>
    </row>
    <row r="83" spans="1:4" x14ac:dyDescent="0.25">
      <c r="A83" s="31">
        <f>DATE(2025,6,1)</f>
        <v>45809</v>
      </c>
      <c r="B83" s="27">
        <f>SUMIFS('Transaction Details'!D:D,'Transaction Details'!A:A,"&gt;="&amp;DATE(2025,6,1),'Transaction Details'!A:A,"&lt;"&amp;DATE(2025,7,1),'Transaction Details'!D:D,"&gt;0")</f>
        <v>8810.7099999999973</v>
      </c>
      <c r="C83" s="27">
        <f>SUMIFS('Transaction Details'!D:D,'Transaction Details'!A:A,"&gt;="&amp;DATE(2025,6,1),'Transaction Details'!A:A,"&lt;"&amp;DATE(2025,7,1),'Transaction Details'!D:D,"&lt;0")</f>
        <v>-13301.49</v>
      </c>
      <c r="D83" s="27">
        <f>B83+C83</f>
        <v>-4490.7800000000025</v>
      </c>
    </row>
    <row r="84" spans="1:4" x14ac:dyDescent="0.25">
      <c r="A84" s="31">
        <f>DATE(2025,7,1)</f>
        <v>45839</v>
      </c>
      <c r="B84" s="27">
        <f>SUMIFS('Transaction Details'!D:D,'Transaction Details'!A:A,"&gt;="&amp;DATE(2025,7,1),'Transaction Details'!A:A,"&lt;"&amp;DATE(2025,8,1),'Transaction Details'!D:D,"&gt;0")</f>
        <v>13281.82</v>
      </c>
      <c r="C84" s="27">
        <f>SUMIFS('Transaction Details'!D:D,'Transaction Details'!A:A,"&gt;="&amp;DATE(2025,7,1),'Transaction Details'!A:A,"&lt;"&amp;DATE(2025,8,1),'Transaction Details'!D:D,"&lt;0")</f>
        <v>-23574.61</v>
      </c>
      <c r="D84" s="27">
        <f>B84+C84</f>
        <v>-10292.790000000001</v>
      </c>
    </row>
    <row r="85" spans="1:4" x14ac:dyDescent="0.25">
      <c r="A85" s="31">
        <f>DATE(2025,8,1)</f>
        <v>45870</v>
      </c>
      <c r="B85" s="27">
        <f>SUMIFS('Transaction Details'!D:D,'Transaction Details'!A:A,"&gt;="&amp;DATE(2025,8,1),'Transaction Details'!A:A,"&lt;"&amp;DATE(2025,9,1),'Transaction Details'!D:D,"&gt;0")</f>
        <v>11799.44</v>
      </c>
      <c r="C85" s="27">
        <f>SUMIFS('Transaction Details'!D:D,'Transaction Details'!A:A,"&gt;="&amp;DATE(2025,8,1),'Transaction Details'!A:A,"&lt;"&amp;DATE(2025,9,1),'Transaction Details'!D:D,"&lt;0")</f>
        <v>-17183.32</v>
      </c>
      <c r="D85" s="27">
        <f>B85+C85</f>
        <v>-5383.8799999999992</v>
      </c>
    </row>
    <row r="86" spans="1:4" x14ac:dyDescent="0.25">
      <c r="A86" s="31">
        <f>DATE(2025,9,1)</f>
        <v>45901</v>
      </c>
      <c r="B86" s="27">
        <f>SUMIFS('Transaction Details'!D:D,'Transaction Details'!A:A,"&gt;="&amp;DATE(2025,9,1),'Transaction Details'!A:A,"&lt;"&amp;DATE(2025,10,1),'Transaction Details'!D:D,"&gt;0")</f>
        <v>3516.2799999999997</v>
      </c>
      <c r="C86" s="27">
        <f>SUMIFS('Transaction Details'!D:D,'Transaction Details'!A:A,"&gt;="&amp;DATE(2025,9,1),'Transaction Details'!A:A,"&lt;"&amp;DATE(2025,10,1),'Transaction Details'!D:D,"&lt;0")</f>
        <v>-14871.34</v>
      </c>
      <c r="D86" s="27">
        <f>B86+C86</f>
        <v>-11355.060000000001</v>
      </c>
    </row>
    <row r="87" spans="1:4" x14ac:dyDescent="0.25">
      <c r="A87" s="31">
        <f>DATE(2025,10,1)</f>
        <v>45931</v>
      </c>
      <c r="B87" s="27">
        <f>SUMIFS('Transaction Details'!D:D,'Transaction Details'!A:A,"&gt;="&amp;DATE(2025,10,1),'Transaction Details'!A:A,"&lt;"&amp;DATE(2025,11,1),'Transaction Details'!D:D,"&gt;0")</f>
        <v>29177.100000000002</v>
      </c>
      <c r="C87" s="27">
        <f>SUMIFS('Transaction Details'!D:D,'Transaction Details'!A:A,"&gt;="&amp;DATE(2025,10,1),'Transaction Details'!A:A,"&lt;"&amp;DATE(2025,11,1),'Transaction Details'!D:D,"&lt;0")</f>
        <v>-11350</v>
      </c>
      <c r="D87" s="27">
        <f>B87+C87</f>
        <v>17827.100000000002</v>
      </c>
    </row>
    <row r="88" spans="1:4" x14ac:dyDescent="0.25">
      <c r="A88" s="31">
        <f>DATE(2025,11,1)</f>
        <v>45962</v>
      </c>
      <c r="B88" s="27">
        <f>SUMIFS('Transaction Details'!D:D,'Transaction Details'!A:A,"&gt;="&amp;DATE(2025,11,1),'Transaction Details'!A:A,"&lt;"&amp;DATE(2025,12,1),'Transaction Details'!D:D,"&gt;0")</f>
        <v>7515.2899999999991</v>
      </c>
      <c r="C88" s="27">
        <f>SUMIFS('Transaction Details'!D:D,'Transaction Details'!A:A,"&gt;="&amp;DATE(2025,11,1),'Transaction Details'!A:A,"&lt;"&amp;DATE(2025,12,1),'Transaction Details'!D:D,"&lt;0")</f>
        <v>-2134.33</v>
      </c>
      <c r="D88" s="27">
        <f>B88+C88</f>
        <v>5380.9599999999991</v>
      </c>
    </row>
    <row r="89" spans="1:4" x14ac:dyDescent="0.25">
      <c r="A89" s="31">
        <f>DATE(2025,12,1)</f>
        <v>45992</v>
      </c>
      <c r="B89" s="27">
        <f>SUMIFS('Transaction Details'!D:D,'Transaction Details'!A:A,"&gt;="&amp;DATE(2025,12,1),'Transaction Details'!A:A,"&lt;"&amp;DATE(2026,1,1),'Transaction Details'!D:D,"&gt;0")</f>
        <v>43980.56</v>
      </c>
      <c r="C89" s="27">
        <f>SUMIFS('Transaction Details'!D:D,'Transaction Details'!A:A,"&gt;="&amp;DATE(2025,12,1),'Transaction Details'!A:A,"&lt;"&amp;DATE(2026,1,1),'Transaction Details'!D:D,"&lt;0")</f>
        <v>-31006.06</v>
      </c>
      <c r="D89" s="27">
        <f>B89+C89</f>
        <v>12974.499999999996</v>
      </c>
    </row>
    <row r="90" spans="1:4" x14ac:dyDescent="0.25">
      <c r="A90" s="22" t="s">
        <v>850</v>
      </c>
      <c r="B90" s="23">
        <f>SUM(B78:B89)</f>
        <v>218574.69000000003</v>
      </c>
      <c r="C90" s="23">
        <f>SUM(C78:C89)</f>
        <v>-182795.91999999998</v>
      </c>
      <c r="D90" s="23">
        <f>B90+C90</f>
        <v>35778.770000000048</v>
      </c>
    </row>
    <row r="92" spans="1:4" x14ac:dyDescent="0.25">
      <c r="A92" s="13" t="s">
        <v>1155</v>
      </c>
      <c r="B92" s="13"/>
      <c r="C92" s="13"/>
      <c r="D92" s="13"/>
    </row>
    <row r="93" spans="1:4" x14ac:dyDescent="0.25">
      <c r="A93" s="11" t="s">
        <v>7</v>
      </c>
      <c r="B93" s="11" t="s">
        <v>8</v>
      </c>
      <c r="C93" s="11" t="s">
        <v>1156</v>
      </c>
      <c r="D93" s="26" t="s">
        <v>11</v>
      </c>
    </row>
    <row r="94" spans="1:4" x14ac:dyDescent="0.25">
      <c r="A94" s="17">
        <v>45996</v>
      </c>
      <c r="B94" s="12" t="s">
        <v>130</v>
      </c>
      <c r="C94" s="12" t="s">
        <v>1157</v>
      </c>
      <c r="D94" s="27">
        <v>-4281.72</v>
      </c>
    </row>
    <row r="95" spans="1:4" x14ac:dyDescent="0.25">
      <c r="A95" s="17">
        <v>45995</v>
      </c>
      <c r="B95" s="12" t="s">
        <v>141</v>
      </c>
      <c r="C95" s="12" t="s">
        <v>1157</v>
      </c>
      <c r="D95" s="27">
        <v>-16724.330000000002</v>
      </c>
    </row>
    <row r="96" spans="1:4" x14ac:dyDescent="0.25">
      <c r="A96" s="17">
        <v>45994</v>
      </c>
      <c r="B96" s="12" t="s">
        <v>148</v>
      </c>
      <c r="C96" s="12" t="s">
        <v>1157</v>
      </c>
      <c r="D96" s="27">
        <v>-10000</v>
      </c>
    </row>
    <row r="97" spans="1:4" x14ac:dyDescent="0.25">
      <c r="A97" s="17">
        <v>45992</v>
      </c>
      <c r="B97" s="12" t="s">
        <v>956</v>
      </c>
      <c r="C97" s="12" t="s">
        <v>1158</v>
      </c>
      <c r="D97" s="27">
        <v>-0.01</v>
      </c>
    </row>
    <row r="98" spans="1:4" x14ac:dyDescent="0.25">
      <c r="A98" s="17">
        <v>45987</v>
      </c>
      <c r="B98" s="12" t="s">
        <v>130</v>
      </c>
      <c r="C98" s="12" t="s">
        <v>1157</v>
      </c>
      <c r="D98" s="27">
        <v>-2134.33</v>
      </c>
    </row>
    <row r="99" spans="1:4" x14ac:dyDescent="0.25">
      <c r="A99" s="17">
        <v>45947</v>
      </c>
      <c r="B99" s="12" t="s">
        <v>967</v>
      </c>
      <c r="C99" s="12" t="s">
        <v>1158</v>
      </c>
      <c r="D99" s="27">
        <v>-11300</v>
      </c>
    </row>
    <row r="100" spans="1:4" x14ac:dyDescent="0.25">
      <c r="A100" s="17">
        <v>45947</v>
      </c>
      <c r="B100" s="12" t="s">
        <v>967</v>
      </c>
      <c r="C100" s="12" t="s">
        <v>1158</v>
      </c>
      <c r="D100" s="27">
        <v>-50</v>
      </c>
    </row>
    <row r="101" spans="1:4" x14ac:dyDescent="0.25">
      <c r="A101" s="17">
        <v>45928</v>
      </c>
      <c r="B101" s="12" t="s">
        <v>141</v>
      </c>
      <c r="C101" s="12" t="s">
        <v>1157</v>
      </c>
      <c r="D101" s="27">
        <v>-14871.34</v>
      </c>
    </row>
    <row r="102" spans="1:4" x14ac:dyDescent="0.25">
      <c r="A102" s="17">
        <v>45897</v>
      </c>
      <c r="B102" s="12" t="s">
        <v>141</v>
      </c>
      <c r="C102" s="12" t="s">
        <v>1157</v>
      </c>
      <c r="D102" s="27">
        <v>-17183.32</v>
      </c>
    </row>
    <row r="103" spans="1:4" x14ac:dyDescent="0.25">
      <c r="A103" s="17">
        <v>45862</v>
      </c>
      <c r="B103" s="12" t="s">
        <v>141</v>
      </c>
      <c r="C103" s="12" t="s">
        <v>1157</v>
      </c>
      <c r="D103" s="27">
        <v>-23574.61</v>
      </c>
    </row>
    <row r="104" spans="1:4" x14ac:dyDescent="0.25">
      <c r="A104" s="17">
        <v>45835</v>
      </c>
      <c r="B104" s="12" t="s">
        <v>130</v>
      </c>
      <c r="C104" s="12" t="s">
        <v>1157</v>
      </c>
      <c r="D104" s="27">
        <v>-11337.06</v>
      </c>
    </row>
    <row r="105" spans="1:4" x14ac:dyDescent="0.25">
      <c r="A105" s="17">
        <v>45821</v>
      </c>
      <c r="B105" s="12" t="s">
        <v>1012</v>
      </c>
      <c r="C105" s="12" t="s">
        <v>1158</v>
      </c>
      <c r="D105" s="27">
        <v>-1841.03</v>
      </c>
    </row>
    <row r="106" spans="1:4" x14ac:dyDescent="0.25">
      <c r="A106" s="17">
        <v>45811</v>
      </c>
      <c r="B106" s="12" t="s">
        <v>400</v>
      </c>
      <c r="C106" s="12" t="s">
        <v>1159</v>
      </c>
      <c r="D106" s="27">
        <v>-123.4</v>
      </c>
    </row>
    <row r="107" spans="1:4" x14ac:dyDescent="0.25">
      <c r="A107" s="17">
        <v>45803</v>
      </c>
      <c r="B107" s="12" t="s">
        <v>130</v>
      </c>
      <c r="C107" s="12" t="s">
        <v>1157</v>
      </c>
      <c r="D107" s="27">
        <v>-12500</v>
      </c>
    </row>
    <row r="108" spans="1:4" x14ac:dyDescent="0.25">
      <c r="A108" s="17">
        <v>45801</v>
      </c>
      <c r="B108" s="12" t="s">
        <v>1028</v>
      </c>
      <c r="C108" s="12" t="s">
        <v>1158</v>
      </c>
      <c r="D108" s="27">
        <v>-54.15</v>
      </c>
    </row>
    <row r="109" spans="1:4" x14ac:dyDescent="0.25">
      <c r="A109" s="17">
        <v>45781</v>
      </c>
      <c r="B109" s="12" t="s">
        <v>130</v>
      </c>
      <c r="C109" s="12" t="s">
        <v>1157</v>
      </c>
      <c r="D109" s="27">
        <v>-8226.61</v>
      </c>
    </row>
    <row r="110" spans="1:4" x14ac:dyDescent="0.25">
      <c r="A110" s="17">
        <v>45779</v>
      </c>
      <c r="B110" s="12" t="s">
        <v>400</v>
      </c>
      <c r="C110" s="12" t="s">
        <v>1159</v>
      </c>
      <c r="D110" s="27">
        <v>-4.2699999999999996</v>
      </c>
    </row>
    <row r="111" spans="1:4" x14ac:dyDescent="0.25">
      <c r="A111" s="17">
        <v>45756</v>
      </c>
      <c r="B111" s="12" t="s">
        <v>1030</v>
      </c>
      <c r="C111" s="12" t="s">
        <v>1158</v>
      </c>
      <c r="D111" s="27">
        <v>-122.94</v>
      </c>
    </row>
    <row r="112" spans="1:4" x14ac:dyDescent="0.25">
      <c r="A112" s="17">
        <v>45756</v>
      </c>
      <c r="B112" s="12" t="s">
        <v>1030</v>
      </c>
      <c r="C112" s="12" t="s">
        <v>1158</v>
      </c>
      <c r="D112" s="27">
        <v>-67.06</v>
      </c>
    </row>
    <row r="113" spans="1:4" x14ac:dyDescent="0.25">
      <c r="A113" s="17">
        <v>45754</v>
      </c>
      <c r="B113" s="12" t="s">
        <v>1077</v>
      </c>
      <c r="C113" s="12" t="s">
        <v>1158</v>
      </c>
      <c r="D113" s="27">
        <v>-1734.48</v>
      </c>
    </row>
    <row r="114" spans="1:4" x14ac:dyDescent="0.25">
      <c r="A114" s="17">
        <v>45750</v>
      </c>
      <c r="B114" s="12" t="s">
        <v>400</v>
      </c>
      <c r="C114" s="12" t="s">
        <v>1159</v>
      </c>
      <c r="D114" s="27">
        <v>-284.98</v>
      </c>
    </row>
    <row r="115" spans="1:4" x14ac:dyDescent="0.25">
      <c r="A115" s="17">
        <v>45750</v>
      </c>
      <c r="B115" s="12" t="s">
        <v>1030</v>
      </c>
      <c r="C115" s="12" t="s">
        <v>1158</v>
      </c>
      <c r="D115" s="27">
        <v>-48.95</v>
      </c>
    </row>
    <row r="116" spans="1:4" x14ac:dyDescent="0.25">
      <c r="A116" s="17">
        <v>45744</v>
      </c>
      <c r="B116" s="12" t="s">
        <v>130</v>
      </c>
      <c r="C116" s="12" t="s">
        <v>1157</v>
      </c>
      <c r="D116" s="27">
        <v>-18892.34</v>
      </c>
    </row>
    <row r="117" spans="1:4" x14ac:dyDescent="0.25">
      <c r="A117" s="17">
        <v>45741</v>
      </c>
      <c r="B117" s="12" t="s">
        <v>1091</v>
      </c>
      <c r="C117" s="12" t="s">
        <v>1158</v>
      </c>
      <c r="D117" s="27">
        <v>-7194.44</v>
      </c>
    </row>
    <row r="118" spans="1:4" x14ac:dyDescent="0.25">
      <c r="A118" s="17">
        <v>45740</v>
      </c>
      <c r="B118" s="12" t="s">
        <v>1030</v>
      </c>
      <c r="C118" s="12" t="s">
        <v>1158</v>
      </c>
      <c r="D118" s="27">
        <v>-8.44</v>
      </c>
    </row>
    <row r="119" spans="1:4" x14ac:dyDescent="0.25">
      <c r="A119" s="17">
        <v>45739</v>
      </c>
      <c r="B119" s="12" t="s">
        <v>987</v>
      </c>
      <c r="C119" s="12" t="s">
        <v>1158</v>
      </c>
      <c r="D119" s="27">
        <v>-2.5099999999999998</v>
      </c>
    </row>
    <row r="120" spans="1:4" x14ac:dyDescent="0.25">
      <c r="A120" s="17">
        <v>45737</v>
      </c>
      <c r="B120" s="12" t="s">
        <v>1093</v>
      </c>
      <c r="C120" s="12" t="s">
        <v>1158</v>
      </c>
      <c r="D120" s="27">
        <v>-2069.58</v>
      </c>
    </row>
    <row r="121" spans="1:4" x14ac:dyDescent="0.25">
      <c r="A121" s="17">
        <v>45719</v>
      </c>
      <c r="B121" s="12" t="s">
        <v>400</v>
      </c>
      <c r="C121" s="12" t="s">
        <v>1159</v>
      </c>
      <c r="D121" s="27">
        <v>-158.41999999999999</v>
      </c>
    </row>
    <row r="122" spans="1:4" x14ac:dyDescent="0.25">
      <c r="A122" s="17">
        <v>45712</v>
      </c>
      <c r="B122" s="12" t="s">
        <v>141</v>
      </c>
      <c r="C122" s="12" t="s">
        <v>1157</v>
      </c>
      <c r="D122" s="27">
        <v>-14054.21</v>
      </c>
    </row>
    <row r="123" spans="1:4" x14ac:dyDescent="0.25">
      <c r="A123" s="17">
        <v>45685</v>
      </c>
      <c r="B123" s="12" t="s">
        <v>141</v>
      </c>
      <c r="C123" s="12" t="s">
        <v>1157</v>
      </c>
      <c r="D123" s="27">
        <v>-2951.39</v>
      </c>
    </row>
    <row r="124" spans="1:4" x14ac:dyDescent="0.25">
      <c r="A124" s="17">
        <v>45685</v>
      </c>
      <c r="B124" s="12" t="s">
        <v>141</v>
      </c>
      <c r="C124" s="12" t="s">
        <v>1157</v>
      </c>
      <c r="D124" s="27">
        <v>-1000</v>
      </c>
    </row>
    <row r="125" spans="1:4" x14ac:dyDescent="0.25">
      <c r="A125" s="22" t="s">
        <v>1160</v>
      </c>
      <c r="B125" s="22"/>
      <c r="C125" s="22"/>
      <c r="D125" s="23">
        <f>SUM(D94:D124)</f>
        <v>-182795.92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8BBD-1799-4690-AE68-6614E99D18E0}">
  <dimension ref="A1:C206"/>
  <sheetViews>
    <sheetView tabSelected="1" topLeftCell="A120" workbookViewId="0">
      <selection activeCell="D208" sqref="D208"/>
    </sheetView>
  </sheetViews>
  <sheetFormatPr defaultRowHeight="15" x14ac:dyDescent="0.25"/>
  <cols>
    <col min="1" max="1" width="61" customWidth="1"/>
    <col min="2" max="2" width="26.7109375" customWidth="1"/>
    <col min="3" max="3" width="24.7109375" customWidth="1"/>
  </cols>
  <sheetData>
    <row r="1" spans="1:3" ht="21" x14ac:dyDescent="0.35">
      <c r="A1" s="10" t="s">
        <v>891</v>
      </c>
      <c r="B1" s="9"/>
      <c r="C1" s="9"/>
    </row>
    <row r="2" spans="1:3" x14ac:dyDescent="0.25">
      <c r="A2" s="9" t="s">
        <v>1161</v>
      </c>
      <c r="B2" s="9"/>
      <c r="C2" s="9"/>
    </row>
    <row r="4" spans="1:3" x14ac:dyDescent="0.25">
      <c r="A4" s="11" t="s">
        <v>1162</v>
      </c>
      <c r="B4" t="s">
        <v>1136</v>
      </c>
    </row>
    <row r="6" spans="1:3" ht="15.75" x14ac:dyDescent="0.25">
      <c r="A6" s="32">
        <f>DATE(2025,1,1)</f>
        <v>45658</v>
      </c>
      <c r="B6" s="13"/>
      <c r="C6" s="13"/>
    </row>
    <row r="7" spans="1:3" x14ac:dyDescent="0.25">
      <c r="A7" s="11" t="s">
        <v>14</v>
      </c>
      <c r="B7" s="26" t="s">
        <v>11</v>
      </c>
      <c r="C7" s="26" t="s">
        <v>1163</v>
      </c>
    </row>
    <row r="8" spans="1:3" x14ac:dyDescent="0.25">
      <c r="A8" s="12" t="s">
        <v>856</v>
      </c>
      <c r="B8" s="27">
        <f>SUMIFS('Transaction Details'!D:D,'Transaction Details'!C:C,A8,'Transaction Details'!A:A,"&gt;="&amp;DATE(2025,1,1),'Transaction Details'!A:A,"&lt;"&amp;DATE(2025,2,1))</f>
        <v>-3951.39</v>
      </c>
      <c r="C8" s="28">
        <f>IFERROR(B8/$B$18,0)</f>
        <v>-1.1988695148258612</v>
      </c>
    </row>
    <row r="9" spans="1:3" x14ac:dyDescent="0.25">
      <c r="A9" s="12" t="s">
        <v>889</v>
      </c>
      <c r="B9" s="27">
        <f>SUMIFS('Transaction Details'!D:D,'Transaction Details'!C:C,A9,'Transaction Details'!A:A,"&gt;="&amp;DATE(2025,1,1),'Transaction Details'!A:A,"&lt;"&amp;DATE(2025,2,1))</f>
        <v>1323.03</v>
      </c>
      <c r="C9" s="28">
        <f>IFERROR(B9/$B$18,0)</f>
        <v>0.40141325816992485</v>
      </c>
    </row>
    <row r="10" spans="1:3" x14ac:dyDescent="0.25">
      <c r="A10" s="12" t="s">
        <v>890</v>
      </c>
      <c r="B10" s="27">
        <f>SUMIFS('Transaction Details'!D:D,'Transaction Details'!C:C,A10,'Transaction Details'!A:A,"&gt;="&amp;DATE(2025,1,1),'Transaction Details'!A:A,"&lt;"&amp;DATE(2025,2,1))</f>
        <v>818</v>
      </c>
      <c r="C10" s="28">
        <f>IFERROR(B10/$B$18,0)</f>
        <v>0.2481848825672876</v>
      </c>
    </row>
    <row r="11" spans="1:3" x14ac:dyDescent="0.25">
      <c r="A11" s="12" t="s">
        <v>871</v>
      </c>
      <c r="B11" s="27">
        <f>SUMIFS('Transaction Details'!D:D,'Transaction Details'!C:C,A11,'Transaction Details'!A:A,"&gt;="&amp;DATE(2025,1,1),'Transaction Details'!A:A,"&lt;"&amp;DATE(2025,2,1))</f>
        <v>582</v>
      </c>
      <c r="C11" s="28">
        <f>IFERROR(B11/$B$18,0)</f>
        <v>0.17658142011511171</v>
      </c>
    </row>
    <row r="12" spans="1:3" x14ac:dyDescent="0.25">
      <c r="A12" s="12" t="s">
        <v>881</v>
      </c>
      <c r="B12" s="27">
        <f>SUMIFS('Transaction Details'!D:D,'Transaction Details'!C:C,A12,'Transaction Details'!A:A,"&gt;="&amp;DATE(2025,1,1),'Transaction Details'!A:A,"&lt;"&amp;DATE(2025,2,1))</f>
        <v>219</v>
      </c>
      <c r="C12" s="28">
        <f>IFERROR(B12/$B$18,0)</f>
        <v>6.6445585919603894E-2</v>
      </c>
    </row>
    <row r="13" spans="1:3" x14ac:dyDescent="0.25">
      <c r="A13" s="12" t="s">
        <v>855</v>
      </c>
      <c r="B13" s="27">
        <f>SUMIFS('Transaction Details'!D:D,'Transaction Details'!C:C,A13,'Transaction Details'!A:A,"&gt;="&amp;DATE(2025,1,1),'Transaction Details'!A:A,"&lt;"&amp;DATE(2025,2,1))</f>
        <v>152.54</v>
      </c>
      <c r="C13" s="28">
        <f>IFERROR(B13/$B$18,0)</f>
        <v>4.6281322722266566E-2</v>
      </c>
    </row>
    <row r="14" spans="1:3" x14ac:dyDescent="0.25">
      <c r="A14" s="12" t="s">
        <v>875</v>
      </c>
      <c r="B14" s="27">
        <f>SUMIFS('Transaction Details'!D:D,'Transaction Details'!C:C,A14,'Transaction Details'!A:A,"&gt;="&amp;DATE(2025,1,1),'Transaction Details'!A:A,"&lt;"&amp;DATE(2025,2,1))</f>
        <v>104.7</v>
      </c>
      <c r="C14" s="28">
        <f>IFERROR(B14/$B$18,0)</f>
        <v>3.176645135060515E-2</v>
      </c>
    </row>
    <row r="15" spans="1:3" x14ac:dyDescent="0.25">
      <c r="A15" s="12" t="s">
        <v>858</v>
      </c>
      <c r="B15" s="27">
        <f>SUMIFS('Transaction Details'!D:D,'Transaction Details'!C:C,A15,'Transaction Details'!A:A,"&gt;="&amp;DATE(2025,1,1),'Transaction Details'!A:A,"&lt;"&amp;DATE(2025,2,1))</f>
        <v>37.6</v>
      </c>
      <c r="C15" s="28">
        <f>IFERROR(B15/$B$18,0)</f>
        <v>1.1408009272041582E-2</v>
      </c>
    </row>
    <row r="16" spans="1:3" x14ac:dyDescent="0.25">
      <c r="A16" s="12" t="s">
        <v>873</v>
      </c>
      <c r="B16" s="27">
        <f>SUMIFS('Transaction Details'!D:D,'Transaction Details'!C:C,A16,'Transaction Details'!A:A,"&gt;="&amp;DATE(2025,1,1),'Transaction Details'!A:A,"&lt;"&amp;DATE(2025,2,1))</f>
        <v>34.07</v>
      </c>
      <c r="C16" s="28">
        <f>IFERROR(B16/$B$18,0)</f>
        <v>1.0336991380278104E-2</v>
      </c>
    </row>
    <row r="17" spans="1:3" x14ac:dyDescent="0.25">
      <c r="A17" s="12" t="s">
        <v>863</v>
      </c>
      <c r="B17" s="27">
        <f>SUMIFS('Transaction Details'!D:D,'Transaction Details'!C:C,A17,'Transaction Details'!A:A,"&gt;="&amp;DATE(2025,1,1),'Transaction Details'!A:A,"&lt;"&amp;DATE(2025,2,1))</f>
        <v>24.99</v>
      </c>
      <c r="C17" s="28">
        <f>IFERROR(B17/$B$18,0)</f>
        <v>7.582078502880828E-3</v>
      </c>
    </row>
    <row r="18" spans="1:3" x14ac:dyDescent="0.25">
      <c r="A18" s="22" t="s">
        <v>1164</v>
      </c>
      <c r="B18" s="23">
        <f>SUMIFS('Transaction Details'!D:D,'Transaction Details'!A:A,"&gt;="&amp;DATE(2025,1,1),'Transaction Details'!A:A,"&lt;"&amp;DATE(2025,2,1),'Transaction Details'!D:D,"&gt;0")</f>
        <v>3295.9299999999989</v>
      </c>
      <c r="C18" s="22"/>
    </row>
    <row r="19" spans="1:3" x14ac:dyDescent="0.25">
      <c r="A19" s="12" t="s">
        <v>1131</v>
      </c>
      <c r="B19" s="27">
        <f>SUMIFS('Transaction Details'!D:D,'Transaction Details'!A:A,"&gt;="&amp;DATE(2025,1,1),'Transaction Details'!A:A,"&lt;"&amp;DATE(2025,2,1),'Transaction Details'!D:D,"&lt;0")</f>
        <v>-3951.39</v>
      </c>
      <c r="C19" s="12"/>
    </row>
    <row r="20" spans="1:3" x14ac:dyDescent="0.25">
      <c r="A20" s="20" t="s">
        <v>1154</v>
      </c>
      <c r="B20" s="21">
        <f>B18+B19</f>
        <v>-655.46000000000095</v>
      </c>
      <c r="C20" s="20"/>
    </row>
    <row r="22" spans="1:3" ht="15.75" x14ac:dyDescent="0.25">
      <c r="A22" s="32">
        <f>DATE(2025,2,1)</f>
        <v>45689</v>
      </c>
      <c r="B22" s="13"/>
      <c r="C22" s="13"/>
    </row>
    <row r="23" spans="1:3" x14ac:dyDescent="0.25">
      <c r="A23" s="11" t="s">
        <v>14</v>
      </c>
      <c r="B23" s="26" t="s">
        <v>11</v>
      </c>
      <c r="C23" s="26" t="s">
        <v>1163</v>
      </c>
    </row>
    <row r="24" spans="1:3" x14ac:dyDescent="0.25">
      <c r="A24" s="12" t="s">
        <v>856</v>
      </c>
      <c r="B24" s="27">
        <f>SUMIFS('Transaction Details'!D:D,'Transaction Details'!C:C,A24,'Transaction Details'!A:A,"&gt;="&amp;DATE(2025,2,1),'Transaction Details'!A:A,"&lt;"&amp;DATE(2025,3,1))</f>
        <v>-14054.21</v>
      </c>
      <c r="C24" s="28">
        <f>IFERROR(B24/$B$35,0)</f>
        <v>-1.2865066200916855</v>
      </c>
    </row>
    <row r="25" spans="1:3" x14ac:dyDescent="0.25">
      <c r="A25" s="12" t="s">
        <v>887</v>
      </c>
      <c r="B25" s="27">
        <f>SUMIFS('Transaction Details'!D:D,'Transaction Details'!C:C,A25,'Transaction Details'!A:A,"&gt;="&amp;DATE(2025,2,1),'Transaction Details'!A:A,"&lt;"&amp;DATE(2025,3,1))</f>
        <v>9247.18</v>
      </c>
      <c r="C25" s="28">
        <f>IFERROR(B25/$B$35,0)</f>
        <v>0.84647648549291876</v>
      </c>
    </row>
    <row r="26" spans="1:3" x14ac:dyDescent="0.25">
      <c r="A26" s="12" t="s">
        <v>888</v>
      </c>
      <c r="B26" s="27">
        <f>SUMIFS('Transaction Details'!D:D,'Transaction Details'!C:C,A26,'Transaction Details'!A:A,"&gt;="&amp;DATE(2025,2,1),'Transaction Details'!A:A,"&lt;"&amp;DATE(2025,3,1))</f>
        <v>507.35</v>
      </c>
      <c r="C26" s="28">
        <f>IFERROR(B26/$B$35,0)</f>
        <v>4.6442249952399796E-2</v>
      </c>
    </row>
    <row r="27" spans="1:3" x14ac:dyDescent="0.25">
      <c r="A27" s="12" t="s">
        <v>871</v>
      </c>
      <c r="B27" s="27">
        <f>SUMIFS('Transaction Details'!D:D,'Transaction Details'!C:C,A27,'Transaction Details'!A:A,"&gt;="&amp;DATE(2025,2,1),'Transaction Details'!A:A,"&lt;"&amp;DATE(2025,3,1))</f>
        <v>486.73</v>
      </c>
      <c r="C27" s="28">
        <f>IFERROR(B27/$B$35,0)</f>
        <v>4.4554718279947871E-2</v>
      </c>
    </row>
    <row r="28" spans="1:3" x14ac:dyDescent="0.25">
      <c r="A28" s="12" t="s">
        <v>881</v>
      </c>
      <c r="B28" s="27">
        <f>SUMIFS('Transaction Details'!D:D,'Transaction Details'!C:C,A28,'Transaction Details'!A:A,"&gt;="&amp;DATE(2025,2,1),'Transaction Details'!A:A,"&lt;"&amp;DATE(2025,3,1))</f>
        <v>219</v>
      </c>
      <c r="C28" s="28">
        <f>IFERROR(B28/$B$35,0)</f>
        <v>2.0047014367942356E-2</v>
      </c>
    </row>
    <row r="29" spans="1:3" x14ac:dyDescent="0.25">
      <c r="A29" s="12" t="s">
        <v>875</v>
      </c>
      <c r="B29" s="27">
        <f>SUMIFS('Transaction Details'!D:D,'Transaction Details'!C:C,A29,'Transaction Details'!A:A,"&gt;="&amp;DATE(2025,2,1),'Transaction Details'!A:A,"&lt;"&amp;DATE(2025,3,1))</f>
        <v>132.85999999999999</v>
      </c>
      <c r="C29" s="28">
        <f>IFERROR(B29/$B$35,0)</f>
        <v>1.2161855383218361E-2</v>
      </c>
    </row>
    <row r="30" spans="1:3" x14ac:dyDescent="0.25">
      <c r="A30" s="12" t="s">
        <v>874</v>
      </c>
      <c r="B30" s="27">
        <f>SUMIFS('Transaction Details'!D:D,'Transaction Details'!C:C,A30,'Transaction Details'!A:A,"&gt;="&amp;DATE(2025,2,1),'Transaction Details'!A:A,"&lt;"&amp;DATE(2025,3,1))</f>
        <v>114.91</v>
      </c>
      <c r="C30" s="28">
        <f>IFERROR(B30/$B$35,0)</f>
        <v>1.051873251607423E-2</v>
      </c>
    </row>
    <row r="31" spans="1:3" x14ac:dyDescent="0.25">
      <c r="A31" s="12" t="s">
        <v>862</v>
      </c>
      <c r="B31" s="27">
        <f>SUMIFS('Transaction Details'!D:D,'Transaction Details'!C:C,A31,'Transaction Details'!A:A,"&gt;="&amp;DATE(2025,2,1),'Transaction Details'!A:A,"&lt;"&amp;DATE(2025,3,1))</f>
        <v>109.71</v>
      </c>
      <c r="C31" s="28">
        <f>IFERROR(B31/$B$35,0)</f>
        <v>1.0042730348433587E-2</v>
      </c>
    </row>
    <row r="32" spans="1:3" x14ac:dyDescent="0.25">
      <c r="A32" s="12" t="s">
        <v>858</v>
      </c>
      <c r="B32" s="27">
        <f>SUMIFS('Transaction Details'!D:D,'Transaction Details'!C:C,A32,'Transaction Details'!A:A,"&gt;="&amp;DATE(2025,2,1),'Transaction Details'!A:A,"&lt;"&amp;DATE(2025,3,1))</f>
        <v>42.59</v>
      </c>
      <c r="C32" s="28">
        <f>IFERROR(B32/$B$35,0)</f>
        <v>3.8986408307336304E-3</v>
      </c>
    </row>
    <row r="33" spans="1:3" x14ac:dyDescent="0.25">
      <c r="A33" s="12" t="s">
        <v>855</v>
      </c>
      <c r="B33" s="27">
        <f>SUMIFS('Transaction Details'!D:D,'Transaction Details'!C:C,A33,'Transaction Details'!A:A,"&gt;="&amp;DATE(2025,2,1),'Transaction Details'!A:A,"&lt;"&amp;DATE(2025,3,1))</f>
        <v>39</v>
      </c>
      <c r="C33" s="28">
        <f>IFERROR(B33/$B$35,0)</f>
        <v>3.570016257304803E-3</v>
      </c>
    </row>
    <row r="34" spans="1:3" x14ac:dyDescent="0.25">
      <c r="A34" s="12" t="s">
        <v>863</v>
      </c>
      <c r="B34" s="27">
        <f>SUMIFS('Transaction Details'!D:D,'Transaction Details'!C:C,A34,'Transaction Details'!A:A,"&gt;="&amp;DATE(2025,2,1),'Transaction Details'!A:A,"&lt;"&amp;DATE(2025,3,1))</f>
        <v>24.99</v>
      </c>
      <c r="C34" s="28">
        <f>IFERROR(B34/$B$35,0)</f>
        <v>2.287556571026847E-3</v>
      </c>
    </row>
    <row r="35" spans="1:3" x14ac:dyDescent="0.25">
      <c r="A35" s="22" t="s">
        <v>1164</v>
      </c>
      <c r="B35" s="23">
        <f>SUMIFS('Transaction Details'!D:D,'Transaction Details'!A:A,"&gt;="&amp;DATE(2025,2,1),'Transaction Details'!A:A,"&lt;"&amp;DATE(2025,3,1),'Transaction Details'!D:D,"&gt;0")</f>
        <v>10924.319999999998</v>
      </c>
      <c r="C35" s="22"/>
    </row>
    <row r="36" spans="1:3" x14ac:dyDescent="0.25">
      <c r="A36" s="12" t="s">
        <v>1131</v>
      </c>
      <c r="B36" s="27">
        <f>SUMIFS('Transaction Details'!D:D,'Transaction Details'!A:A,"&gt;="&amp;DATE(2025,2,1),'Transaction Details'!A:A,"&lt;"&amp;DATE(2025,3,1),'Transaction Details'!D:D,"&lt;0")</f>
        <v>-14054.21</v>
      </c>
      <c r="C36" s="12"/>
    </row>
    <row r="37" spans="1:3" x14ac:dyDescent="0.25">
      <c r="A37" s="20" t="s">
        <v>1154</v>
      </c>
      <c r="B37" s="21">
        <f>B35+B36</f>
        <v>-3129.8900000000012</v>
      </c>
      <c r="C37" s="20"/>
    </row>
    <row r="39" spans="1:3" ht="15.75" x14ac:dyDescent="0.25">
      <c r="A39" s="32">
        <f>DATE(2025,3,1)</f>
        <v>45717</v>
      </c>
      <c r="B39" s="13"/>
      <c r="C39" s="13"/>
    </row>
    <row r="40" spans="1:3" x14ac:dyDescent="0.25">
      <c r="A40" s="11" t="s">
        <v>14</v>
      </c>
      <c r="B40" s="26" t="s">
        <v>11</v>
      </c>
      <c r="C40" s="26" t="s">
        <v>1163</v>
      </c>
    </row>
    <row r="41" spans="1:3" x14ac:dyDescent="0.25">
      <c r="A41" s="12" t="s">
        <v>856</v>
      </c>
      <c r="B41" s="27">
        <f>SUMIFS('Transaction Details'!D:D,'Transaction Details'!C:C,A41,'Transaction Details'!A:A,"&gt;="&amp;DATE(2025,3,1),'Transaction Details'!A:A,"&lt;"&amp;DATE(2025,4,1))</f>
        <v>-18892.34</v>
      </c>
      <c r="C41" s="28">
        <f>IFERROR(B41/$B$50,0)</f>
        <v>-0.66358507220379526</v>
      </c>
    </row>
    <row r="42" spans="1:3" x14ac:dyDescent="0.25">
      <c r="A42" s="12" t="s">
        <v>886</v>
      </c>
      <c r="B42" s="27">
        <f>SUMIFS('Transaction Details'!D:D,'Transaction Details'!C:C,A42,'Transaction Details'!A:A,"&gt;="&amp;DATE(2025,3,1),'Transaction Details'!A:A,"&lt;"&amp;DATE(2025,4,1))</f>
        <v>18579.800000000003</v>
      </c>
      <c r="C42" s="28">
        <f>IFERROR(B42/$B$50,0)</f>
        <v>0.65260724317538632</v>
      </c>
    </row>
    <row r="43" spans="1:3" x14ac:dyDescent="0.25">
      <c r="A43" s="12" t="s">
        <v>881</v>
      </c>
      <c r="B43" s="27">
        <f>SUMIFS('Transaction Details'!D:D,'Transaction Details'!C:C,A43,'Transaction Details'!A:A,"&gt;="&amp;DATE(2025,3,1),'Transaction Details'!A:A,"&lt;"&amp;DATE(2025,4,1))</f>
        <v>219</v>
      </c>
      <c r="C43" s="28">
        <f>IFERROR(B43/$B$50,0)</f>
        <v>7.6922779715287342E-3</v>
      </c>
    </row>
    <row r="44" spans="1:3" x14ac:dyDescent="0.25">
      <c r="A44" s="12" t="s">
        <v>871</v>
      </c>
      <c r="B44" s="27">
        <f>SUMIFS('Transaction Details'!D:D,'Transaction Details'!C:C,A44,'Transaction Details'!A:A,"&gt;="&amp;DATE(2025,3,1),'Transaction Details'!A:A,"&lt;"&amp;DATE(2025,4,1))</f>
        <v>177.70999999999998</v>
      </c>
      <c r="C44" s="28">
        <f>IFERROR(B44/$B$50,0)</f>
        <v>6.2419850151615129E-3</v>
      </c>
    </row>
    <row r="45" spans="1:3" x14ac:dyDescent="0.25">
      <c r="A45" s="12" t="s">
        <v>1022</v>
      </c>
      <c r="B45" s="27">
        <f>SUMIFS('Transaction Details'!D:D,'Transaction Details'!C:C,A45,'Transaction Details'!A:A,"&gt;="&amp;DATE(2025,3,1),'Transaction Details'!A:A,"&lt;"&amp;DATE(2025,4,1))</f>
        <v>-158.41999999999999</v>
      </c>
      <c r="C45" s="28">
        <f>IFERROR(B45/$B$50,0)</f>
        <v>-5.5644323116419269E-3</v>
      </c>
    </row>
    <row r="46" spans="1:3" x14ac:dyDescent="0.25">
      <c r="A46" s="12" t="s">
        <v>875</v>
      </c>
      <c r="B46" s="27">
        <f>SUMIFS('Transaction Details'!D:D,'Transaction Details'!C:C,A46,'Transaction Details'!A:A,"&gt;="&amp;DATE(2025,3,1),'Transaction Details'!A:A,"&lt;"&amp;DATE(2025,4,1))</f>
        <v>118.67</v>
      </c>
      <c r="C46" s="28">
        <f>IFERROR(B46/$B$50,0)</f>
        <v>4.168231172974041E-3</v>
      </c>
    </row>
    <row r="47" spans="1:3" x14ac:dyDescent="0.25">
      <c r="A47" s="12" t="s">
        <v>858</v>
      </c>
      <c r="B47" s="27">
        <f>SUMIFS('Transaction Details'!D:D,'Transaction Details'!C:C,A47,'Transaction Details'!A:A,"&gt;="&amp;DATE(2025,3,1),'Transaction Details'!A:A,"&lt;"&amp;DATE(2025,4,1))</f>
        <v>37.6</v>
      </c>
      <c r="C47" s="28">
        <f>IFERROR(B47/$B$50,0)</f>
        <v>1.3206833412305042E-3</v>
      </c>
    </row>
    <row r="48" spans="1:3" x14ac:dyDescent="0.25">
      <c r="A48" s="12" t="s">
        <v>873</v>
      </c>
      <c r="B48" s="27">
        <f>SUMIFS('Transaction Details'!D:D,'Transaction Details'!C:C,A48,'Transaction Details'!A:A,"&gt;="&amp;DATE(2025,3,1),'Transaction Details'!A:A,"&lt;"&amp;DATE(2025,4,1))</f>
        <v>37.369999999999997</v>
      </c>
      <c r="C48" s="28">
        <f>IFERROR(B48/$B$50,0)</f>
        <v>1.3126046931325516E-3</v>
      </c>
    </row>
    <row r="49" spans="1:3" x14ac:dyDescent="0.25">
      <c r="A49" s="12" t="s">
        <v>863</v>
      </c>
      <c r="B49" s="27">
        <f>SUMIFS('Transaction Details'!D:D,'Transaction Details'!C:C,A49,'Transaction Details'!A:A,"&gt;="&amp;DATE(2025,3,1),'Transaction Details'!A:A,"&lt;"&amp;DATE(2025,4,1))</f>
        <v>24.99</v>
      </c>
      <c r="C49" s="28">
        <f>IFERROR(B49/$B$50,0)</f>
        <v>8.7776267812101857E-4</v>
      </c>
    </row>
    <row r="50" spans="1:3" x14ac:dyDescent="0.25">
      <c r="A50" s="22" t="s">
        <v>1164</v>
      </c>
      <c r="B50" s="23">
        <f>SUMIFS('Transaction Details'!D:D,'Transaction Details'!A:A,"&gt;="&amp;DATE(2025,3,1),'Transaction Details'!A:A,"&lt;"&amp;DATE(2025,4,1),'Transaction Details'!D:D,"&gt;0")</f>
        <v>28470.110000000008</v>
      </c>
      <c r="C50" s="22"/>
    </row>
    <row r="51" spans="1:3" x14ac:dyDescent="0.25">
      <c r="A51" s="12" t="s">
        <v>1131</v>
      </c>
      <c r="B51" s="27">
        <f>SUMIFS('Transaction Details'!D:D,'Transaction Details'!A:A,"&gt;="&amp;DATE(2025,3,1),'Transaction Details'!A:A,"&lt;"&amp;DATE(2025,4,1),'Transaction Details'!D:D,"&lt;0")</f>
        <v>-28325.729999999996</v>
      </c>
      <c r="C51" s="12"/>
    </row>
    <row r="52" spans="1:3" x14ac:dyDescent="0.25">
      <c r="A52" s="20" t="s">
        <v>1154</v>
      </c>
      <c r="B52" s="21">
        <f>B50+B51</f>
        <v>144.38000000001193</v>
      </c>
      <c r="C52" s="20"/>
    </row>
    <row r="54" spans="1:3" ht="15.75" x14ac:dyDescent="0.25">
      <c r="A54" s="32">
        <f>DATE(2025,4,1)</f>
        <v>45748</v>
      </c>
      <c r="B54" s="13"/>
      <c r="C54" s="13"/>
    </row>
    <row r="55" spans="1:3" x14ac:dyDescent="0.25">
      <c r="A55" s="11" t="s">
        <v>14</v>
      </c>
      <c r="B55" s="26" t="s">
        <v>11</v>
      </c>
      <c r="C55" s="26" t="s">
        <v>1163</v>
      </c>
    </row>
    <row r="56" spans="1:3" x14ac:dyDescent="0.25">
      <c r="A56" s="12" t="s">
        <v>886</v>
      </c>
      <c r="B56" s="27">
        <f>SUMIFS('Transaction Details'!D:D,'Transaction Details'!C:C,A56,'Transaction Details'!A:A,"&gt;="&amp;DATE(2025,4,1),'Transaction Details'!A:A,"&lt;"&amp;DATE(2025,5,1))</f>
        <v>26603.770000000004</v>
      </c>
      <c r="C56" s="28">
        <f>IFERROR(B56/$B$67,0)</f>
        <v>0.79102692262176921</v>
      </c>
    </row>
    <row r="57" spans="1:3" x14ac:dyDescent="0.25">
      <c r="A57" s="12" t="s">
        <v>854</v>
      </c>
      <c r="B57" s="27">
        <f>SUMIFS('Transaction Details'!D:D,'Transaction Details'!C:C,A57,'Transaction Details'!A:A,"&gt;="&amp;DATE(2025,4,1),'Transaction Details'!A:A,"&lt;"&amp;DATE(2025,5,1))</f>
        <v>3316.02</v>
      </c>
      <c r="C57" s="28">
        <f>IFERROR(B57/$B$67,0)</f>
        <v>9.859734526167678E-2</v>
      </c>
    </row>
    <row r="58" spans="1:3" x14ac:dyDescent="0.25">
      <c r="A58" s="12" t="s">
        <v>871</v>
      </c>
      <c r="B58" s="27">
        <f>SUMIFS('Transaction Details'!D:D,'Transaction Details'!C:C,A58,'Transaction Details'!A:A,"&gt;="&amp;DATE(2025,4,1),'Transaction Details'!A:A,"&lt;"&amp;DATE(2025,5,1))</f>
        <v>786.46</v>
      </c>
      <c r="C58" s="28">
        <f>IFERROR(B58/$B$67,0)</f>
        <v>2.3384318597143058E-2</v>
      </c>
    </row>
    <row r="59" spans="1:3" x14ac:dyDescent="0.25">
      <c r="A59" s="12" t="s">
        <v>1022</v>
      </c>
      <c r="B59" s="27">
        <f>SUMIFS('Transaction Details'!D:D,'Transaction Details'!C:C,A59,'Transaction Details'!A:A,"&gt;="&amp;DATE(2025,4,1),'Transaction Details'!A:A,"&lt;"&amp;DATE(2025,5,1))</f>
        <v>-284.98</v>
      </c>
      <c r="C59" s="28">
        <f>IFERROR(B59/$B$67,0)</f>
        <v>-8.4734927571826005E-3</v>
      </c>
    </row>
    <row r="60" spans="1:3" x14ac:dyDescent="0.25">
      <c r="A60" s="12" t="s">
        <v>1081</v>
      </c>
      <c r="B60" s="27">
        <f>SUMIFS('Transaction Details'!D:D,'Transaction Details'!C:C,A60,'Transaction Details'!A:A,"&gt;="&amp;DATE(2025,4,1),'Transaction Details'!A:A,"&lt;"&amp;DATE(2025,5,1))</f>
        <v>250</v>
      </c>
      <c r="C60" s="28">
        <f>IFERROR(B60/$B$67,0)</f>
        <v>7.4334100263023723E-3</v>
      </c>
    </row>
    <row r="61" spans="1:3" x14ac:dyDescent="0.25">
      <c r="A61" s="12" t="s">
        <v>881</v>
      </c>
      <c r="B61" s="27">
        <f>SUMIFS('Transaction Details'!D:D,'Transaction Details'!C:C,A61,'Transaction Details'!A:A,"&gt;="&amp;DATE(2025,4,1),'Transaction Details'!A:A,"&lt;"&amp;DATE(2025,5,1))</f>
        <v>219</v>
      </c>
      <c r="C61" s="28">
        <f>IFERROR(B61/$B$67,0)</f>
        <v>6.5116671830408781E-3</v>
      </c>
    </row>
    <row r="62" spans="1:3" x14ac:dyDescent="0.25">
      <c r="A62" s="12" t="s">
        <v>855</v>
      </c>
      <c r="B62" s="27">
        <f>SUMIFS('Transaction Details'!D:D,'Transaction Details'!C:C,A62,'Transaction Details'!A:A,"&gt;="&amp;DATE(2025,4,1),'Transaction Details'!A:A,"&lt;"&amp;DATE(2025,5,1))</f>
        <v>150</v>
      </c>
      <c r="C62" s="28">
        <f>IFERROR(B62/$B$67,0)</f>
        <v>4.4600460157814235E-3</v>
      </c>
    </row>
    <row r="63" spans="1:3" x14ac:dyDescent="0.25">
      <c r="A63" s="12" t="s">
        <v>874</v>
      </c>
      <c r="B63" s="27">
        <f>SUMIFS('Transaction Details'!D:D,'Transaction Details'!C:C,A63,'Transaction Details'!A:A,"&gt;="&amp;DATE(2025,4,1),'Transaction Details'!A:A,"&lt;"&amp;DATE(2025,5,1))</f>
        <v>150</v>
      </c>
      <c r="C63" s="28">
        <f>IFERROR(B63/$B$67,0)</f>
        <v>4.4600460157814235E-3</v>
      </c>
    </row>
    <row r="64" spans="1:3" x14ac:dyDescent="0.25">
      <c r="A64" s="12" t="s">
        <v>875</v>
      </c>
      <c r="B64" s="27">
        <f>SUMIFS('Transaction Details'!D:D,'Transaction Details'!C:C,A64,'Transaction Details'!A:A,"&gt;="&amp;DATE(2025,4,1),'Transaction Details'!A:A,"&lt;"&amp;DATE(2025,5,1))</f>
        <v>120.67</v>
      </c>
      <c r="C64" s="28">
        <f>IFERROR(B64/$B$67,0)</f>
        <v>3.5879583514956295E-3</v>
      </c>
    </row>
    <row r="65" spans="1:3" x14ac:dyDescent="0.25">
      <c r="A65" s="12" t="s">
        <v>858</v>
      </c>
      <c r="B65" s="27">
        <f>SUMIFS('Transaction Details'!D:D,'Transaction Details'!C:C,A65,'Transaction Details'!A:A,"&gt;="&amp;DATE(2025,4,1),'Transaction Details'!A:A,"&lt;"&amp;DATE(2025,5,1))</f>
        <v>37.6</v>
      </c>
      <c r="C65" s="28">
        <f>IFERROR(B65/$B$67,0)</f>
        <v>1.1179848679558769E-3</v>
      </c>
    </row>
    <row r="66" spans="1:3" x14ac:dyDescent="0.25">
      <c r="A66" s="12" t="s">
        <v>863</v>
      </c>
      <c r="B66" s="27">
        <f>SUMIFS('Transaction Details'!D:D,'Transaction Details'!C:C,A66,'Transaction Details'!A:A,"&gt;="&amp;DATE(2025,4,1),'Transaction Details'!A:A,"&lt;"&amp;DATE(2025,5,1))</f>
        <v>24.99</v>
      </c>
      <c r="C66" s="28">
        <f>IFERROR(B66/$B$67,0)</f>
        <v>7.4304366622918508E-4</v>
      </c>
    </row>
    <row r="67" spans="1:3" x14ac:dyDescent="0.25">
      <c r="A67" s="22" t="s">
        <v>1164</v>
      </c>
      <c r="B67" s="23">
        <f>SUMIFS('Transaction Details'!D:D,'Transaction Details'!A:A,"&gt;="&amp;DATE(2025,4,1),'Transaction Details'!A:A,"&lt;"&amp;DATE(2025,5,1),'Transaction Details'!D:D,"&gt;0")</f>
        <v>33631.940000000024</v>
      </c>
      <c r="C67" s="22"/>
    </row>
    <row r="68" spans="1:3" x14ac:dyDescent="0.25">
      <c r="A68" s="12" t="s">
        <v>1131</v>
      </c>
      <c r="B68" s="27">
        <f>SUMIFS('Transaction Details'!D:D,'Transaction Details'!A:A,"&gt;="&amp;DATE(2025,4,1),'Transaction Details'!A:A,"&lt;"&amp;DATE(2025,5,1),'Transaction Details'!D:D,"&lt;0")</f>
        <v>-2258.41</v>
      </c>
      <c r="C68" s="12"/>
    </row>
    <row r="69" spans="1:3" x14ac:dyDescent="0.25">
      <c r="A69" s="20" t="s">
        <v>1154</v>
      </c>
      <c r="B69" s="21">
        <f>B67+B68</f>
        <v>31373.530000000024</v>
      </c>
      <c r="C69" s="20"/>
    </row>
    <row r="71" spans="1:3" ht="15.75" x14ac:dyDescent="0.25">
      <c r="A71" s="32">
        <f>DATE(2025,5,1)</f>
        <v>45778</v>
      </c>
      <c r="B71" s="13"/>
      <c r="C71" s="13"/>
    </row>
    <row r="72" spans="1:3" x14ac:dyDescent="0.25">
      <c r="A72" s="11" t="s">
        <v>14</v>
      </c>
      <c r="B72" s="26" t="s">
        <v>11</v>
      </c>
      <c r="C72" s="26" t="s">
        <v>1163</v>
      </c>
    </row>
    <row r="73" spans="1:3" x14ac:dyDescent="0.25">
      <c r="A73" s="12" t="s">
        <v>856</v>
      </c>
      <c r="B73" s="27">
        <f>SUMIFS('Transaction Details'!D:D,'Transaction Details'!C:C,A73,'Transaction Details'!A:A,"&gt;="&amp;DATE(2025,5,1),'Transaction Details'!A:A,"&lt;"&amp;DATE(2025,6,1))</f>
        <v>-20726.61</v>
      </c>
      <c r="C73" s="28">
        <f>IFERROR(B73/$B$88,0)</f>
        <v>-0.85749232867723901</v>
      </c>
    </row>
    <row r="74" spans="1:3" x14ac:dyDescent="0.25">
      <c r="A74" s="12" t="s">
        <v>1026</v>
      </c>
      <c r="B74" s="27">
        <f>SUMIFS('Transaction Details'!D:D,'Transaction Details'!C:C,A74,'Transaction Details'!A:A,"&gt;="&amp;DATE(2025,5,1),'Transaction Details'!A:A,"&lt;"&amp;DATE(2025,6,1))</f>
        <v>17778.800000000003</v>
      </c>
      <c r="C74" s="28">
        <f>IFERROR(B74/$B$88,0)</f>
        <v>0.73553681055835463</v>
      </c>
    </row>
    <row r="75" spans="1:3" x14ac:dyDescent="0.25">
      <c r="A75" s="12" t="s">
        <v>883</v>
      </c>
      <c r="B75" s="27">
        <f>SUMIFS('Transaction Details'!D:D,'Transaction Details'!C:C,A75,'Transaction Details'!A:A,"&gt;="&amp;DATE(2025,5,1),'Transaction Details'!A:A,"&lt;"&amp;DATE(2025,6,1))</f>
        <v>1855.93</v>
      </c>
      <c r="C75" s="28">
        <f>IFERROR(B75/$B$88,0)</f>
        <v>7.6782731839019902E-2</v>
      </c>
    </row>
    <row r="76" spans="1:3" x14ac:dyDescent="0.25">
      <c r="A76" s="12" t="s">
        <v>886</v>
      </c>
      <c r="B76" s="27">
        <f>SUMIFS('Transaction Details'!D:D,'Transaction Details'!C:C,A76,'Transaction Details'!A:A,"&gt;="&amp;DATE(2025,5,1),'Transaction Details'!A:A,"&lt;"&amp;DATE(2025,6,1))</f>
        <v>1741.41</v>
      </c>
      <c r="C76" s="28">
        <f>IFERROR(B76/$B$88,0)</f>
        <v>7.2044860017235368E-2</v>
      </c>
    </row>
    <row r="77" spans="1:3" x14ac:dyDescent="0.25">
      <c r="A77" s="12" t="s">
        <v>884</v>
      </c>
      <c r="B77" s="27">
        <f>SUMIFS('Transaction Details'!D:D,'Transaction Details'!C:C,A77,'Transaction Details'!A:A,"&gt;="&amp;DATE(2025,5,1),'Transaction Details'!A:A,"&lt;"&amp;DATE(2025,6,1))</f>
        <v>1055.92</v>
      </c>
      <c r="C77" s="28">
        <f>IFERROR(B77/$B$88,0)</f>
        <v>4.3685064740296181E-2</v>
      </c>
    </row>
    <row r="78" spans="1:3" x14ac:dyDescent="0.25">
      <c r="A78" s="12" t="s">
        <v>862</v>
      </c>
      <c r="B78" s="27">
        <f>SUMIFS('Transaction Details'!D:D,'Transaction Details'!C:C,A78,'Transaction Details'!A:A,"&gt;="&amp;DATE(2025,5,1),'Transaction Details'!A:A,"&lt;"&amp;DATE(2025,6,1))</f>
        <v>394.23</v>
      </c>
      <c r="C78" s="28">
        <f>IFERROR(B78/$B$88,0)</f>
        <v>1.6309912751502918E-2</v>
      </c>
    </row>
    <row r="79" spans="1:3" x14ac:dyDescent="0.25">
      <c r="A79" s="12" t="s">
        <v>871</v>
      </c>
      <c r="B79" s="27">
        <f>SUMIFS('Transaction Details'!D:D,'Transaction Details'!C:C,A79,'Transaction Details'!A:A,"&gt;="&amp;DATE(2025,5,1),'Transaction Details'!A:A,"&lt;"&amp;DATE(2025,6,1))</f>
        <v>305.04999999999995</v>
      </c>
      <c r="C79" s="28">
        <f>IFERROR(B79/$B$88,0)</f>
        <v>1.2620396430626702E-2</v>
      </c>
    </row>
    <row r="80" spans="1:3" x14ac:dyDescent="0.25">
      <c r="A80" s="12" t="s">
        <v>855</v>
      </c>
      <c r="B80" s="27">
        <f>SUMIFS('Transaction Details'!D:D,'Transaction Details'!C:C,A80,'Transaction Details'!A:A,"&gt;="&amp;DATE(2025,5,1),'Transaction Details'!A:A,"&lt;"&amp;DATE(2025,6,1))</f>
        <v>283.27</v>
      </c>
      <c r="C80" s="28">
        <f>IFERROR(B80/$B$88,0)</f>
        <v>1.1719323707272992E-2</v>
      </c>
    </row>
    <row r="81" spans="1:3" x14ac:dyDescent="0.25">
      <c r="A81" s="12" t="s">
        <v>881</v>
      </c>
      <c r="B81" s="27">
        <f>SUMIFS('Transaction Details'!D:D,'Transaction Details'!C:C,A81,'Transaction Details'!A:A,"&gt;="&amp;DATE(2025,5,1),'Transaction Details'!A:A,"&lt;"&amp;DATE(2025,6,1))</f>
        <v>263</v>
      </c>
      <c r="C81" s="28">
        <f>IFERROR(B81/$B$88,0)</f>
        <v>1.0880722049679801E-2</v>
      </c>
    </row>
    <row r="82" spans="1:3" x14ac:dyDescent="0.25">
      <c r="A82" s="12" t="s">
        <v>854</v>
      </c>
      <c r="B82" s="27">
        <f>SUMIFS('Transaction Details'!D:D,'Transaction Details'!C:C,A82,'Transaction Details'!A:A,"&gt;="&amp;DATE(2025,5,1),'Transaction Details'!A:A,"&lt;"&amp;DATE(2025,6,1))</f>
        <v>205.17</v>
      </c>
      <c r="C82" s="28">
        <f>IFERROR(B82/$B$88,0)</f>
        <v>8.4882043457521084E-3</v>
      </c>
    </row>
    <row r="83" spans="1:3" x14ac:dyDescent="0.25">
      <c r="A83" s="12" t="s">
        <v>875</v>
      </c>
      <c r="B83" s="27">
        <f>SUMIFS('Transaction Details'!D:D,'Transaction Details'!C:C,A83,'Transaction Details'!A:A,"&gt;="&amp;DATE(2025,5,1),'Transaction Details'!A:A,"&lt;"&amp;DATE(2025,6,1))</f>
        <v>121.67</v>
      </c>
      <c r="C83" s="28">
        <f>IFERROR(B83/$B$88,0)</f>
        <v>5.0336785238955942E-3</v>
      </c>
    </row>
    <row r="84" spans="1:3" x14ac:dyDescent="0.25">
      <c r="A84" s="12" t="s">
        <v>858</v>
      </c>
      <c r="B84" s="27">
        <f>SUMIFS('Transaction Details'!D:D,'Transaction Details'!C:C,A84,'Transaction Details'!A:A,"&gt;="&amp;DATE(2025,5,1),'Transaction Details'!A:A,"&lt;"&amp;DATE(2025,6,1))</f>
        <v>51.610000000000007</v>
      </c>
      <c r="C84" s="28">
        <f>IFERROR(B84/$B$88,0)</f>
        <v>2.1351865588744279E-3</v>
      </c>
    </row>
    <row r="85" spans="1:3" x14ac:dyDescent="0.25">
      <c r="A85" s="12" t="s">
        <v>873</v>
      </c>
      <c r="B85" s="27">
        <f>SUMIFS('Transaction Details'!D:D,'Transaction Details'!C:C,A85,'Transaction Details'!A:A,"&gt;="&amp;DATE(2025,5,1),'Transaction Details'!A:A,"&lt;"&amp;DATE(2025,6,1))</f>
        <v>35.99</v>
      </c>
      <c r="C85" s="28">
        <f>IFERROR(B85/$B$88,0)</f>
        <v>1.4889626865702511E-3</v>
      </c>
    </row>
    <row r="86" spans="1:3" x14ac:dyDescent="0.25">
      <c r="A86" s="12" t="s">
        <v>863</v>
      </c>
      <c r="B86" s="27">
        <f>SUMIFS('Transaction Details'!D:D,'Transaction Details'!C:C,A86,'Transaction Details'!A:A,"&gt;="&amp;DATE(2025,5,1),'Transaction Details'!A:A,"&lt;"&amp;DATE(2025,6,1))</f>
        <v>24.99</v>
      </c>
      <c r="C86" s="28">
        <f>IFERROR(B86/$B$88,0)</f>
        <v>1.033875452553225E-3</v>
      </c>
    </row>
    <row r="87" spans="1:3" x14ac:dyDescent="0.25">
      <c r="A87" s="12" t="s">
        <v>1022</v>
      </c>
      <c r="B87" s="27">
        <f>SUMIFS('Transaction Details'!D:D,'Transaction Details'!C:C,A87,'Transaction Details'!A:A,"&gt;="&amp;DATE(2025,5,1),'Transaction Details'!A:A,"&lt;"&amp;DATE(2025,6,1))</f>
        <v>-4.2699999999999996</v>
      </c>
      <c r="C87" s="28">
        <f>IFERROR(B87/$B$88,0)</f>
        <v>-1.7665658993206367E-4</v>
      </c>
    </row>
    <row r="88" spans="1:3" x14ac:dyDescent="0.25">
      <c r="A88" s="22" t="s">
        <v>1164</v>
      </c>
      <c r="B88" s="23">
        <f>SUMIFS('Transaction Details'!D:D,'Transaction Details'!A:A,"&gt;="&amp;DATE(2025,5,1),'Transaction Details'!A:A,"&lt;"&amp;DATE(2025,6,1),'Transaction Details'!D:D,"&gt;0")</f>
        <v>24171.19000000001</v>
      </c>
      <c r="C88" s="22"/>
    </row>
    <row r="89" spans="1:3" x14ac:dyDescent="0.25">
      <c r="A89" s="12" t="s">
        <v>1131</v>
      </c>
      <c r="B89" s="27">
        <f>SUMIFS('Transaction Details'!D:D,'Transaction Details'!A:A,"&gt;="&amp;DATE(2025,5,1),'Transaction Details'!A:A,"&lt;"&amp;DATE(2025,6,1),'Transaction Details'!D:D,"&lt;0")</f>
        <v>-20785.030000000002</v>
      </c>
      <c r="C89" s="12"/>
    </row>
    <row r="90" spans="1:3" x14ac:dyDescent="0.25">
      <c r="A90" s="20" t="s">
        <v>1154</v>
      </c>
      <c r="B90" s="21">
        <f>B88+B89</f>
        <v>3386.1600000000071</v>
      </c>
      <c r="C90" s="20"/>
    </row>
    <row r="92" spans="1:3" ht="15.75" x14ac:dyDescent="0.25">
      <c r="A92" s="32">
        <f>DATE(2025,6,1)</f>
        <v>45809</v>
      </c>
      <c r="B92" s="13"/>
      <c r="C92" s="13"/>
    </row>
    <row r="93" spans="1:3" x14ac:dyDescent="0.25">
      <c r="A93" s="11" t="s">
        <v>14</v>
      </c>
      <c r="B93" s="26" t="s">
        <v>11</v>
      </c>
      <c r="C93" s="26" t="s">
        <v>1163</v>
      </c>
    </row>
    <row r="94" spans="1:3" x14ac:dyDescent="0.25">
      <c r="A94" s="12" t="s">
        <v>856</v>
      </c>
      <c r="B94" s="27">
        <f>SUMIFS('Transaction Details'!D:D,'Transaction Details'!C:C,A94,'Transaction Details'!A:A,"&gt;="&amp;DATE(2025,6,1),'Transaction Details'!A:A,"&lt;"&amp;DATE(2025,7,1))</f>
        <v>-11337.06</v>
      </c>
      <c r="C94" s="28">
        <f>IFERROR(B94/$B$112,0)</f>
        <v>-1.2867362562154472</v>
      </c>
    </row>
    <row r="95" spans="1:3" x14ac:dyDescent="0.25">
      <c r="A95" s="12" t="s">
        <v>879</v>
      </c>
      <c r="B95" s="27">
        <f>SUMIFS('Transaction Details'!D:D,'Transaction Details'!C:C,A95,'Transaction Details'!A:A,"&gt;="&amp;DATE(2025,6,1),'Transaction Details'!A:A,"&lt;"&amp;DATE(2025,7,1))</f>
        <v>3000</v>
      </c>
      <c r="C95" s="28">
        <f>IFERROR(B95/$B$112,0)</f>
        <v>0.34049469339020361</v>
      </c>
    </row>
    <row r="96" spans="1:3" x14ac:dyDescent="0.25">
      <c r="A96" s="12" t="s">
        <v>882</v>
      </c>
      <c r="B96" s="27">
        <f>SUMIFS('Transaction Details'!D:D,'Transaction Details'!C:C,A96,'Transaction Details'!A:A,"&gt;="&amp;DATE(2025,6,1),'Transaction Details'!A:A,"&lt;"&amp;DATE(2025,7,1))</f>
        <v>2396.02</v>
      </c>
      <c r="C96" s="28">
        <f>IFERROR(B96/$B$112,0)</f>
        <v>0.27194403175226523</v>
      </c>
    </row>
    <row r="97" spans="1:3" x14ac:dyDescent="0.25">
      <c r="A97" s="12" t="s">
        <v>872</v>
      </c>
      <c r="B97" s="27">
        <f>SUMIFS('Transaction Details'!D:D,'Transaction Details'!C:C,A97,'Transaction Details'!A:A,"&gt;="&amp;DATE(2025,6,1),'Transaction Details'!A:A,"&lt;"&amp;DATE(2025,7,1))</f>
        <v>283.16000000000003</v>
      </c>
      <c r="C97" s="28">
        <f>IFERROR(B97/$B$112,0)</f>
        <v>3.2138159126790022E-2</v>
      </c>
    </row>
    <row r="98" spans="1:3" x14ac:dyDescent="0.25">
      <c r="A98" s="12" t="s">
        <v>883</v>
      </c>
      <c r="B98" s="27">
        <f>SUMIFS('Transaction Details'!D:D,'Transaction Details'!C:C,A98,'Transaction Details'!A:A,"&gt;="&amp;DATE(2025,6,1),'Transaction Details'!A:A,"&lt;"&amp;DATE(2025,7,1))</f>
        <v>278</v>
      </c>
      <c r="C98" s="28">
        <f>IFERROR(B98/$B$112,0)</f>
        <v>3.1552508254158868E-2</v>
      </c>
    </row>
    <row r="99" spans="1:3" x14ac:dyDescent="0.25">
      <c r="A99" s="12" t="s">
        <v>871</v>
      </c>
      <c r="B99" s="27">
        <f>SUMIFS('Transaction Details'!D:D,'Transaction Details'!C:C,A99,'Transaction Details'!A:A,"&gt;="&amp;DATE(2025,6,1),'Transaction Details'!A:A,"&lt;"&amp;DATE(2025,7,1))</f>
        <v>250.39000000000001</v>
      </c>
      <c r="C99" s="28">
        <f>IFERROR(B99/$B$112,0)</f>
        <v>2.8418822092657697E-2</v>
      </c>
    </row>
    <row r="100" spans="1:3" x14ac:dyDescent="0.25">
      <c r="A100" s="12" t="s">
        <v>881</v>
      </c>
      <c r="B100" s="27">
        <f>SUMIFS('Transaction Details'!D:D,'Transaction Details'!C:C,A100,'Transaction Details'!A:A,"&gt;="&amp;DATE(2025,6,1),'Transaction Details'!A:A,"&lt;"&amp;DATE(2025,7,1))</f>
        <v>219</v>
      </c>
      <c r="C100" s="28">
        <f>IFERROR(B100/$B$112,0)</f>
        <v>2.4856112617484865E-2</v>
      </c>
    </row>
    <row r="101" spans="1:3" x14ac:dyDescent="0.25">
      <c r="A101" s="12" t="s">
        <v>1022</v>
      </c>
      <c r="B101" s="27">
        <f>SUMIFS('Transaction Details'!D:D,'Transaction Details'!C:C,A101,'Transaction Details'!A:A,"&gt;="&amp;DATE(2025,6,1),'Transaction Details'!A:A,"&lt;"&amp;DATE(2025,7,1))</f>
        <v>-123.4</v>
      </c>
      <c r="C101" s="28">
        <f>IFERROR(B101/$B$112,0)</f>
        <v>-1.4005681721450376E-2</v>
      </c>
    </row>
    <row r="102" spans="1:3" x14ac:dyDescent="0.25">
      <c r="A102" s="12" t="s">
        <v>874</v>
      </c>
      <c r="B102" s="27">
        <f>SUMIFS('Transaction Details'!D:D,'Transaction Details'!C:C,A102,'Transaction Details'!A:A,"&gt;="&amp;DATE(2025,6,1),'Transaction Details'!A:A,"&lt;"&amp;DATE(2025,7,1))</f>
        <v>103.2</v>
      </c>
      <c r="C102" s="28">
        <f>IFERROR(B102/$B$112,0)</f>
        <v>1.1713017452623004E-2</v>
      </c>
    </row>
    <row r="103" spans="1:3" x14ac:dyDescent="0.25">
      <c r="A103" s="12" t="s">
        <v>875</v>
      </c>
      <c r="B103" s="27">
        <f>SUMIFS('Transaction Details'!D:D,'Transaction Details'!C:C,A103,'Transaction Details'!A:A,"&gt;="&amp;DATE(2025,6,1),'Transaction Details'!A:A,"&lt;"&amp;DATE(2025,7,1))</f>
        <v>94.690000000000012</v>
      </c>
      <c r="C103" s="28">
        <f>IFERROR(B103/$B$112,0)</f>
        <v>1.0747147505706128E-2</v>
      </c>
    </row>
    <row r="104" spans="1:3" x14ac:dyDescent="0.25">
      <c r="A104" s="12" t="s">
        <v>862</v>
      </c>
      <c r="B104" s="27">
        <f>SUMIFS('Transaction Details'!D:D,'Transaction Details'!C:C,A104,'Transaction Details'!A:A,"&gt;="&amp;DATE(2025,6,1),'Transaction Details'!A:A,"&lt;"&amp;DATE(2025,7,1))</f>
        <v>81.31</v>
      </c>
      <c r="C104" s="28">
        <f>IFERROR(B104/$B$112,0)</f>
        <v>9.2285411731858197E-3</v>
      </c>
    </row>
    <row r="105" spans="1:3" x14ac:dyDescent="0.25">
      <c r="A105" s="12" t="s">
        <v>880</v>
      </c>
      <c r="B105" s="27">
        <f>SUMIFS('Transaction Details'!D:D,'Transaction Details'!C:C,A105,'Transaction Details'!A:A,"&gt;="&amp;DATE(2025,6,1),'Transaction Details'!A:A,"&lt;"&amp;DATE(2025,7,1))</f>
        <v>67.5</v>
      </c>
      <c r="C105" s="28">
        <f>IFERROR(B105/$B$112,0)</f>
        <v>7.6611306012795812E-3</v>
      </c>
    </row>
    <row r="106" spans="1:3" x14ac:dyDescent="0.25">
      <c r="A106" s="12" t="s">
        <v>855</v>
      </c>
      <c r="B106" s="27">
        <f>SUMIFS('Transaction Details'!D:D,'Transaction Details'!C:C,A106,'Transaction Details'!A:A,"&gt;="&amp;DATE(2025,6,1),'Transaction Details'!A:A,"&lt;"&amp;DATE(2025,7,1))</f>
        <v>44.81</v>
      </c>
      <c r="C106" s="28">
        <f>IFERROR(B106/$B$112,0)</f>
        <v>5.0858557369383413E-3</v>
      </c>
    </row>
    <row r="107" spans="1:3" x14ac:dyDescent="0.25">
      <c r="A107" s="12" t="s">
        <v>858</v>
      </c>
      <c r="B107" s="27">
        <f>SUMIFS('Transaction Details'!D:D,'Transaction Details'!C:C,A107,'Transaction Details'!A:A,"&gt;="&amp;DATE(2025,6,1),'Transaction Details'!A:A,"&lt;"&amp;DATE(2025,7,1))</f>
        <v>44.800000000000004</v>
      </c>
      <c r="C107" s="28">
        <f>IFERROR(B107/$B$112,0)</f>
        <v>5.0847207546270414E-3</v>
      </c>
    </row>
    <row r="108" spans="1:3" x14ac:dyDescent="0.25">
      <c r="A108" s="12" t="s">
        <v>1020</v>
      </c>
      <c r="B108" s="27">
        <f>SUMIFS('Transaction Details'!D:D,'Transaction Details'!C:C,A108,'Transaction Details'!A:A,"&gt;="&amp;DATE(2025,6,1),'Transaction Details'!A:A,"&lt;"&amp;DATE(2025,7,1))</f>
        <v>27.68</v>
      </c>
      <c r="C108" s="28">
        <f>IFERROR(B108/$B$112,0)</f>
        <v>3.1416310376802788E-3</v>
      </c>
    </row>
    <row r="109" spans="1:3" x14ac:dyDescent="0.25">
      <c r="A109" s="12" t="s">
        <v>873</v>
      </c>
      <c r="B109" s="27">
        <f>SUMIFS('Transaction Details'!D:D,'Transaction Details'!C:C,A109,'Transaction Details'!A:A,"&gt;="&amp;DATE(2025,6,1),'Transaction Details'!A:A,"&lt;"&amp;DATE(2025,7,1))</f>
        <v>27.15</v>
      </c>
      <c r="C109" s="28">
        <f>IFERROR(B109/$B$112,0)</f>
        <v>3.0814769751813425E-3</v>
      </c>
    </row>
    <row r="110" spans="1:3" x14ac:dyDescent="0.25">
      <c r="A110" s="12" t="s">
        <v>1017</v>
      </c>
      <c r="B110" s="27">
        <f>SUMIFS('Transaction Details'!D:D,'Transaction Details'!C:C,A110,'Transaction Details'!A:A,"&gt;="&amp;DATE(2025,6,1),'Transaction Details'!A:A,"&lt;"&amp;DATE(2025,7,1))</f>
        <v>26.98</v>
      </c>
      <c r="C110" s="28">
        <f>IFERROR(B110/$B$112,0)</f>
        <v>3.0621822758892313E-3</v>
      </c>
    </row>
    <row r="111" spans="1:3" x14ac:dyDescent="0.25">
      <c r="A111" s="12" t="s">
        <v>863</v>
      </c>
      <c r="B111" s="27">
        <f>SUMIFS('Transaction Details'!D:D,'Transaction Details'!C:C,A111,'Transaction Details'!A:A,"&gt;="&amp;DATE(2025,6,1),'Transaction Details'!A:A,"&lt;"&amp;DATE(2025,7,1))</f>
        <v>24.99</v>
      </c>
      <c r="C111" s="28">
        <f>IFERROR(B111/$B$112,0)</f>
        <v>2.8363207959403959E-3</v>
      </c>
    </row>
    <row r="112" spans="1:3" x14ac:dyDescent="0.25">
      <c r="A112" s="22" t="s">
        <v>1164</v>
      </c>
      <c r="B112" s="23">
        <f>SUMIFS('Transaction Details'!D:D,'Transaction Details'!A:A,"&gt;="&amp;DATE(2025,6,1),'Transaction Details'!A:A,"&lt;"&amp;DATE(2025,7,1),'Transaction Details'!D:D,"&gt;0")</f>
        <v>8810.7099999999973</v>
      </c>
      <c r="C112" s="22"/>
    </row>
    <row r="113" spans="1:3" x14ac:dyDescent="0.25">
      <c r="A113" s="12" t="s">
        <v>1131</v>
      </c>
      <c r="B113" s="27">
        <f>SUMIFS('Transaction Details'!D:D,'Transaction Details'!A:A,"&gt;="&amp;DATE(2025,6,1),'Transaction Details'!A:A,"&lt;"&amp;DATE(2025,7,1),'Transaction Details'!D:D,"&lt;0")</f>
        <v>-13301.49</v>
      </c>
      <c r="C113" s="12"/>
    </row>
    <row r="114" spans="1:3" x14ac:dyDescent="0.25">
      <c r="A114" s="20" t="s">
        <v>1154</v>
      </c>
      <c r="B114" s="21">
        <f>B112+B113</f>
        <v>-4490.7800000000025</v>
      </c>
      <c r="C114" s="20"/>
    </row>
    <row r="116" spans="1:3" ht="15.75" x14ac:dyDescent="0.25">
      <c r="A116" s="32">
        <f>DATE(2025,7,1)</f>
        <v>45839</v>
      </c>
      <c r="B116" s="13"/>
      <c r="C116" s="13"/>
    </row>
    <row r="117" spans="1:3" x14ac:dyDescent="0.25">
      <c r="A117" s="11" t="s">
        <v>14</v>
      </c>
      <c r="B117" s="26" t="s">
        <v>11</v>
      </c>
      <c r="C117" s="26" t="s">
        <v>1163</v>
      </c>
    </row>
    <row r="118" spans="1:3" x14ac:dyDescent="0.25">
      <c r="A118" s="12" t="s">
        <v>856</v>
      </c>
      <c r="B118" s="27">
        <f>SUMIFS('Transaction Details'!D:D,'Transaction Details'!C:C,A118,'Transaction Details'!A:A,"&gt;="&amp;DATE(2025,7,1),'Transaction Details'!A:A,"&lt;"&amp;DATE(2025,8,1))</f>
        <v>-23574.61</v>
      </c>
      <c r="C118" s="28">
        <f>IFERROR(B118/$B$129,0)</f>
        <v>-1.7749532820050264</v>
      </c>
    </row>
    <row r="119" spans="1:3" x14ac:dyDescent="0.25">
      <c r="A119" s="12" t="s">
        <v>878</v>
      </c>
      <c r="B119" s="27">
        <f>SUMIFS('Transaction Details'!D:D,'Transaction Details'!C:C,A119,'Transaction Details'!A:A,"&gt;="&amp;DATE(2025,7,1),'Transaction Details'!A:A,"&lt;"&amp;DATE(2025,8,1))</f>
        <v>8287.6200000000008</v>
      </c>
      <c r="C119" s="28">
        <f>IFERROR(B119/$B$129,0)</f>
        <v>0.62398225544390762</v>
      </c>
    </row>
    <row r="120" spans="1:3" x14ac:dyDescent="0.25">
      <c r="A120" s="12" t="s">
        <v>876</v>
      </c>
      <c r="B120" s="27">
        <f>SUMIFS('Transaction Details'!D:D,'Transaction Details'!C:C,A120,'Transaction Details'!A:A,"&gt;="&amp;DATE(2025,7,1),'Transaction Details'!A:A,"&lt;"&amp;DATE(2025,8,1))</f>
        <v>3235.05</v>
      </c>
      <c r="C120" s="28">
        <f>IFERROR(B120/$B$129,0)</f>
        <v>0.24356978185218595</v>
      </c>
    </row>
    <row r="121" spans="1:3" x14ac:dyDescent="0.25">
      <c r="A121" s="12" t="s">
        <v>877</v>
      </c>
      <c r="B121" s="27">
        <f>SUMIFS('Transaction Details'!D:D,'Transaction Details'!C:C,A121,'Transaction Details'!A:A,"&gt;="&amp;DATE(2025,7,1),'Transaction Details'!A:A,"&lt;"&amp;DATE(2025,8,1))</f>
        <v>883</v>
      </c>
      <c r="C121" s="28">
        <f>IFERROR(B121/$B$129,0)</f>
        <v>6.6481852637665623E-2</v>
      </c>
    </row>
    <row r="122" spans="1:3" x14ac:dyDescent="0.25">
      <c r="A122" s="12" t="s">
        <v>871</v>
      </c>
      <c r="B122" s="27">
        <f>SUMIFS('Transaction Details'!D:D,'Transaction Details'!C:C,A122,'Transaction Details'!A:A,"&gt;="&amp;DATE(2025,7,1),'Transaction Details'!A:A,"&lt;"&amp;DATE(2025,8,1))</f>
        <v>434.86999999999995</v>
      </c>
      <c r="C122" s="28">
        <f>IFERROR(B122/$B$129,0)</f>
        <v>3.2741747742402773E-2</v>
      </c>
    </row>
    <row r="123" spans="1:3" x14ac:dyDescent="0.25">
      <c r="A123" s="12" t="s">
        <v>872</v>
      </c>
      <c r="B123" s="27">
        <f>SUMIFS('Transaction Details'!D:D,'Transaction Details'!C:C,A123,'Transaction Details'!A:A,"&gt;="&amp;DATE(2025,7,1),'Transaction Details'!A:A,"&lt;"&amp;DATE(2025,8,1))</f>
        <v>236.39</v>
      </c>
      <c r="C123" s="28">
        <f>IFERROR(B123/$B$129,0)</f>
        <v>1.7798012621764184E-2</v>
      </c>
    </row>
    <row r="124" spans="1:3" x14ac:dyDescent="0.25">
      <c r="A124" s="12" t="s">
        <v>875</v>
      </c>
      <c r="B124" s="27">
        <f>SUMIFS('Transaction Details'!D:D,'Transaction Details'!C:C,A124,'Transaction Details'!A:A,"&gt;="&amp;DATE(2025,7,1),'Transaction Details'!A:A,"&lt;"&amp;DATE(2025,8,1))</f>
        <v>85.72</v>
      </c>
      <c r="C124" s="28">
        <f>IFERROR(B124/$B$129,0)</f>
        <v>6.4539347770109822E-3</v>
      </c>
    </row>
    <row r="125" spans="1:3" x14ac:dyDescent="0.25">
      <c r="A125" s="12" t="s">
        <v>995</v>
      </c>
      <c r="B125" s="27">
        <f>SUMIFS('Transaction Details'!D:D,'Transaction Details'!C:C,A125,'Transaction Details'!A:A,"&gt;="&amp;DATE(2025,7,1),'Transaction Details'!A:A,"&lt;"&amp;DATE(2025,8,1))</f>
        <v>46.07</v>
      </c>
      <c r="C125" s="28">
        <f>IFERROR(B125/$B$129,0)</f>
        <v>3.4686511336548759E-3</v>
      </c>
    </row>
    <row r="126" spans="1:3" x14ac:dyDescent="0.25">
      <c r="A126" s="12" t="s">
        <v>858</v>
      </c>
      <c r="B126" s="27">
        <f>SUMIFS('Transaction Details'!D:D,'Transaction Details'!C:C,A126,'Transaction Details'!A:A,"&gt;="&amp;DATE(2025,7,1),'Transaction Details'!A:A,"&lt;"&amp;DATE(2025,8,1))</f>
        <v>38.11</v>
      </c>
      <c r="C126" s="28">
        <f>IFERROR(B126/$B$129,0)</f>
        <v>2.8693356783934731E-3</v>
      </c>
    </row>
    <row r="127" spans="1:3" x14ac:dyDescent="0.25">
      <c r="A127" s="12" t="s">
        <v>863</v>
      </c>
      <c r="B127" s="27">
        <f>SUMIFS('Transaction Details'!D:D,'Transaction Details'!C:C,A127,'Transaction Details'!A:A,"&gt;="&amp;DATE(2025,7,1),'Transaction Details'!A:A,"&lt;"&amp;DATE(2025,8,1))</f>
        <v>24.99</v>
      </c>
      <c r="C127" s="28">
        <f>IFERROR(B127/$B$129,0)</f>
        <v>1.8815192496209102E-3</v>
      </c>
    </row>
    <row r="128" spans="1:3" x14ac:dyDescent="0.25">
      <c r="A128" s="12" t="s">
        <v>862</v>
      </c>
      <c r="B128" s="27">
        <f>SUMIFS('Transaction Details'!D:D,'Transaction Details'!C:C,A128,'Transaction Details'!A:A,"&gt;="&amp;DATE(2025,7,1),'Transaction Details'!A:A,"&lt;"&amp;DATE(2025,8,1))</f>
        <v>10</v>
      </c>
      <c r="C128" s="28">
        <f>IFERROR(B128/$B$129,0)</f>
        <v>7.5290886339372169E-4</v>
      </c>
    </row>
    <row r="129" spans="1:3" x14ac:dyDescent="0.25">
      <c r="A129" s="22" t="s">
        <v>1164</v>
      </c>
      <c r="B129" s="23">
        <f>SUMIFS('Transaction Details'!D:D,'Transaction Details'!A:A,"&gt;="&amp;DATE(2025,7,1),'Transaction Details'!A:A,"&lt;"&amp;DATE(2025,8,1),'Transaction Details'!D:D,"&gt;0")</f>
        <v>13281.82</v>
      </c>
      <c r="C129" s="22"/>
    </row>
    <row r="130" spans="1:3" x14ac:dyDescent="0.25">
      <c r="A130" s="12" t="s">
        <v>1131</v>
      </c>
      <c r="B130" s="27">
        <f>SUMIFS('Transaction Details'!D:D,'Transaction Details'!A:A,"&gt;="&amp;DATE(2025,7,1),'Transaction Details'!A:A,"&lt;"&amp;DATE(2025,8,1),'Transaction Details'!D:D,"&lt;0")</f>
        <v>-23574.61</v>
      </c>
      <c r="C130" s="12"/>
    </row>
    <row r="131" spans="1:3" x14ac:dyDescent="0.25">
      <c r="A131" s="20" t="s">
        <v>1154</v>
      </c>
      <c r="B131" s="21">
        <f>B129+B130</f>
        <v>-10292.790000000001</v>
      </c>
      <c r="C131" s="20"/>
    </row>
    <row r="133" spans="1:3" ht="15.75" x14ac:dyDescent="0.25">
      <c r="A133" s="32">
        <f>DATE(2025,8,1)</f>
        <v>45870</v>
      </c>
      <c r="B133" s="13"/>
      <c r="C133" s="13"/>
    </row>
    <row r="134" spans="1:3" x14ac:dyDescent="0.25">
      <c r="A134" s="11" t="s">
        <v>14</v>
      </c>
      <c r="B134" s="26" t="s">
        <v>11</v>
      </c>
      <c r="C134" s="26" t="s">
        <v>1163</v>
      </c>
    </row>
    <row r="135" spans="1:3" x14ac:dyDescent="0.25">
      <c r="A135" s="12" t="s">
        <v>856</v>
      </c>
      <c r="B135" s="27">
        <f>SUMIFS('Transaction Details'!D:D,'Transaction Details'!C:C,A135,'Transaction Details'!A:A,"&gt;="&amp;DATE(2025,8,1),'Transaction Details'!A:A,"&lt;"&amp;DATE(2025,9,1))</f>
        <v>-17183.32</v>
      </c>
      <c r="C135" s="28">
        <f>IFERROR(B135/$B$144,0)</f>
        <v>-1.4562826710420154</v>
      </c>
    </row>
    <row r="136" spans="1:3" x14ac:dyDescent="0.25">
      <c r="A136" s="12" t="s">
        <v>873</v>
      </c>
      <c r="B136" s="27">
        <f>SUMIFS('Transaction Details'!D:D,'Transaction Details'!C:C,A136,'Transaction Details'!A:A,"&gt;="&amp;DATE(2025,8,1),'Transaction Details'!A:A,"&lt;"&amp;DATE(2025,9,1))</f>
        <v>6164.77</v>
      </c>
      <c r="C136" s="28">
        <f>IFERROR(B136/$B$144,0)</f>
        <v>0.5224629304441567</v>
      </c>
    </row>
    <row r="137" spans="1:3" x14ac:dyDescent="0.25">
      <c r="A137" s="12" t="s">
        <v>853</v>
      </c>
      <c r="B137" s="27">
        <f>SUMIFS('Transaction Details'!D:D,'Transaction Details'!C:C,A137,'Transaction Details'!A:A,"&gt;="&amp;DATE(2025,8,1),'Transaction Details'!A:A,"&lt;"&amp;DATE(2025,9,1))</f>
        <v>5000</v>
      </c>
      <c r="C137" s="28">
        <f>IFERROR(B137/$B$144,0)</f>
        <v>0.42374892367773381</v>
      </c>
    </row>
    <row r="138" spans="1:3" x14ac:dyDescent="0.25">
      <c r="A138" s="12" t="s">
        <v>871</v>
      </c>
      <c r="B138" s="27">
        <f>SUMIFS('Transaction Details'!D:D,'Transaction Details'!C:C,A138,'Transaction Details'!A:A,"&gt;="&amp;DATE(2025,8,1),'Transaction Details'!A:A,"&lt;"&amp;DATE(2025,9,1))</f>
        <v>227.34</v>
      </c>
      <c r="C138" s="28">
        <f>IFERROR(B138/$B$144,0)</f>
        <v>1.9267016061779201E-2</v>
      </c>
    </row>
    <row r="139" spans="1:3" x14ac:dyDescent="0.25">
      <c r="A139" s="12" t="s">
        <v>854</v>
      </c>
      <c r="B139" s="27">
        <f>SUMIFS('Transaction Details'!D:D,'Transaction Details'!C:C,A139,'Transaction Details'!A:A,"&gt;="&amp;DATE(2025,8,1),'Transaction Details'!A:A,"&lt;"&amp;DATE(2025,9,1))</f>
        <v>142.18</v>
      </c>
      <c r="C139" s="28">
        <f>IFERROR(B139/$B$144,0)</f>
        <v>1.2049724393700041E-2</v>
      </c>
    </row>
    <row r="140" spans="1:3" x14ac:dyDescent="0.25">
      <c r="A140" s="12" t="s">
        <v>874</v>
      </c>
      <c r="B140" s="27">
        <f>SUMIFS('Transaction Details'!D:D,'Transaction Details'!C:C,A140,'Transaction Details'!A:A,"&gt;="&amp;DATE(2025,8,1),'Transaction Details'!A:A,"&lt;"&amp;DATE(2025,9,1))</f>
        <v>139.05000000000001</v>
      </c>
      <c r="C140" s="28">
        <f>IFERROR(B140/$B$144,0)</f>
        <v>1.1784457567477778E-2</v>
      </c>
    </row>
    <row r="141" spans="1:3" x14ac:dyDescent="0.25">
      <c r="A141" s="12" t="s">
        <v>855</v>
      </c>
      <c r="B141" s="27">
        <f>SUMIFS('Transaction Details'!D:D,'Transaction Details'!C:C,A141,'Transaction Details'!A:A,"&gt;="&amp;DATE(2025,8,1),'Transaction Details'!A:A,"&lt;"&amp;DATE(2025,9,1))</f>
        <v>46</v>
      </c>
      <c r="C141" s="28">
        <f>IFERROR(B141/$B$144,0)</f>
        <v>3.8984900978351511E-3</v>
      </c>
    </row>
    <row r="142" spans="1:3" x14ac:dyDescent="0.25">
      <c r="A142" s="12" t="s">
        <v>870</v>
      </c>
      <c r="B142" s="27">
        <f>SUMIFS('Transaction Details'!D:D,'Transaction Details'!C:C,A142,'Transaction Details'!A:A,"&gt;="&amp;DATE(2025,8,1),'Transaction Details'!A:A,"&lt;"&amp;DATE(2025,9,1))</f>
        <v>44.3</v>
      </c>
      <c r="C142" s="28">
        <f>IFERROR(B142/$B$144,0)</f>
        <v>3.7544154637847217E-3</v>
      </c>
    </row>
    <row r="143" spans="1:3" x14ac:dyDescent="0.25">
      <c r="A143" s="12" t="s">
        <v>858</v>
      </c>
      <c r="B143" s="27">
        <f>SUMIFS('Transaction Details'!D:D,'Transaction Details'!C:C,A143,'Transaction Details'!A:A,"&gt;="&amp;DATE(2025,8,1),'Transaction Details'!A:A,"&lt;"&amp;DATE(2025,9,1))</f>
        <v>35.799999999999997</v>
      </c>
      <c r="C143" s="28">
        <f>IFERROR(B143/$B$144,0)</f>
        <v>3.0340422935325739E-3</v>
      </c>
    </row>
    <row r="144" spans="1:3" x14ac:dyDescent="0.25">
      <c r="A144" s="22" t="s">
        <v>1164</v>
      </c>
      <c r="B144" s="23">
        <f>SUMIFS('Transaction Details'!D:D,'Transaction Details'!A:A,"&gt;="&amp;DATE(2025,8,1),'Transaction Details'!A:A,"&lt;"&amp;DATE(2025,9,1),'Transaction Details'!D:D,"&gt;0")</f>
        <v>11799.44</v>
      </c>
      <c r="C144" s="22"/>
    </row>
    <row r="145" spans="1:3" x14ac:dyDescent="0.25">
      <c r="A145" s="12" t="s">
        <v>1131</v>
      </c>
      <c r="B145" s="27">
        <f>SUMIFS('Transaction Details'!D:D,'Transaction Details'!A:A,"&gt;="&amp;DATE(2025,8,1),'Transaction Details'!A:A,"&lt;"&amp;DATE(2025,9,1),'Transaction Details'!D:D,"&lt;0")</f>
        <v>-17183.32</v>
      </c>
      <c r="C145" s="12"/>
    </row>
    <row r="146" spans="1:3" x14ac:dyDescent="0.25">
      <c r="A146" s="20" t="s">
        <v>1154</v>
      </c>
      <c r="B146" s="21">
        <f>B144+B145</f>
        <v>-5383.8799999999992</v>
      </c>
      <c r="C146" s="20"/>
    </row>
    <row r="148" spans="1:3" ht="15.75" x14ac:dyDescent="0.25">
      <c r="A148" s="32">
        <f>DATE(2025,9,1)</f>
        <v>45901</v>
      </c>
      <c r="B148" s="13"/>
      <c r="C148" s="13"/>
    </row>
    <row r="149" spans="1:3" x14ac:dyDescent="0.25">
      <c r="A149" s="11" t="s">
        <v>14</v>
      </c>
      <c r="B149" s="26" t="s">
        <v>11</v>
      </c>
      <c r="C149" s="26" t="s">
        <v>1163</v>
      </c>
    </row>
    <row r="150" spans="1:3" x14ac:dyDescent="0.25">
      <c r="A150" s="12" t="s">
        <v>856</v>
      </c>
      <c r="B150" s="27">
        <f>SUMIFS('Transaction Details'!D:D,'Transaction Details'!C:C,A150,'Transaction Details'!A:A,"&gt;="&amp;DATE(2025,9,1),'Transaction Details'!A:A,"&lt;"&amp;DATE(2025,10,1))</f>
        <v>-14871.34</v>
      </c>
      <c r="C150" s="28">
        <f>IFERROR(B150/$B$159,0)</f>
        <v>-4.2292820822005073</v>
      </c>
    </row>
    <row r="151" spans="1:3" x14ac:dyDescent="0.25">
      <c r="A151" s="12" t="s">
        <v>869</v>
      </c>
      <c r="B151" s="27">
        <f>SUMIFS('Transaction Details'!D:D,'Transaction Details'!C:C,A151,'Transaction Details'!A:A,"&gt;="&amp;DATE(2025,9,1),'Transaction Details'!A:A,"&lt;"&amp;DATE(2025,10,1))</f>
        <v>2661.33</v>
      </c>
      <c r="C151" s="28">
        <f>IFERROR(B151/$B$159,0)</f>
        <v>0.75685952199483553</v>
      </c>
    </row>
    <row r="152" spans="1:3" x14ac:dyDescent="0.25">
      <c r="A152" s="12" t="s">
        <v>871</v>
      </c>
      <c r="B152" s="27">
        <f>SUMIFS('Transaction Details'!D:D,'Transaction Details'!C:C,A152,'Transaction Details'!A:A,"&gt;="&amp;DATE(2025,9,1),'Transaction Details'!A:A,"&lt;"&amp;DATE(2025,10,1))</f>
        <v>342.15999999999997</v>
      </c>
      <c r="C152" s="28">
        <f>IFERROR(B152/$B$159,0)</f>
        <v>9.7307381664713838E-2</v>
      </c>
    </row>
    <row r="153" spans="1:3" x14ac:dyDescent="0.25">
      <c r="A153" s="12" t="s">
        <v>872</v>
      </c>
      <c r="B153" s="27">
        <f>SUMIFS('Transaction Details'!D:D,'Transaction Details'!C:C,A153,'Transaction Details'!A:A,"&gt;="&amp;DATE(2025,9,1),'Transaction Details'!A:A,"&lt;"&amp;DATE(2025,10,1))</f>
        <v>192.14</v>
      </c>
      <c r="C153" s="28">
        <f>IFERROR(B153/$B$159,0)</f>
        <v>5.4642974962175933E-2</v>
      </c>
    </row>
    <row r="154" spans="1:3" x14ac:dyDescent="0.25">
      <c r="A154" s="12" t="s">
        <v>870</v>
      </c>
      <c r="B154" s="27">
        <f>SUMIFS('Transaction Details'!D:D,'Transaction Details'!C:C,A154,'Transaction Details'!A:A,"&gt;="&amp;DATE(2025,9,1),'Transaction Details'!A:A,"&lt;"&amp;DATE(2025,10,1))</f>
        <v>140.15</v>
      </c>
      <c r="C154" s="28">
        <f>IFERROR(B154/$B$159,0)</f>
        <v>3.9857463000671167E-2</v>
      </c>
    </row>
    <row r="155" spans="1:3" x14ac:dyDescent="0.25">
      <c r="A155" s="12" t="s">
        <v>865</v>
      </c>
      <c r="B155" s="27">
        <f>SUMIFS('Transaction Details'!D:D,'Transaction Details'!C:C,A155,'Transaction Details'!A:A,"&gt;="&amp;DATE(2025,9,1),'Transaction Details'!A:A,"&lt;"&amp;DATE(2025,10,1))</f>
        <v>100</v>
      </c>
      <c r="C155" s="28">
        <f>IFERROR(B155/$B$159,0)</f>
        <v>2.8439145915569865E-2</v>
      </c>
    </row>
    <row r="156" spans="1:3" x14ac:dyDescent="0.25">
      <c r="A156" s="12" t="s">
        <v>858</v>
      </c>
      <c r="B156" s="27">
        <f>SUMIFS('Transaction Details'!D:D,'Transaction Details'!C:C,A156,'Transaction Details'!A:A,"&gt;="&amp;DATE(2025,9,1),'Transaction Details'!A:A,"&lt;"&amp;DATE(2025,10,1))</f>
        <v>30.79</v>
      </c>
      <c r="C156" s="28">
        <f>IFERROR(B156/$B$159,0)</f>
        <v>8.7564130274039621E-3</v>
      </c>
    </row>
    <row r="157" spans="1:3" x14ac:dyDescent="0.25">
      <c r="A157" s="12" t="s">
        <v>863</v>
      </c>
      <c r="B157" s="27">
        <f>SUMIFS('Transaction Details'!D:D,'Transaction Details'!C:C,A157,'Transaction Details'!A:A,"&gt;="&amp;DATE(2025,9,1),'Transaction Details'!A:A,"&lt;"&amp;DATE(2025,10,1))</f>
        <v>24.99</v>
      </c>
      <c r="C157" s="28">
        <f>IFERROR(B157/$B$159,0)</f>
        <v>7.1069425643009087E-3</v>
      </c>
    </row>
    <row r="158" spans="1:3" x14ac:dyDescent="0.25">
      <c r="A158" s="12" t="s">
        <v>862</v>
      </c>
      <c r="B158" s="27">
        <f>SUMIFS('Transaction Details'!D:D,'Transaction Details'!C:C,A158,'Transaction Details'!A:A,"&gt;="&amp;DATE(2025,9,1),'Transaction Details'!A:A,"&lt;"&amp;DATE(2025,10,1))</f>
        <v>24.72</v>
      </c>
      <c r="C158" s="28">
        <f>IFERROR(B158/$B$159,0)</f>
        <v>7.0301568703288707E-3</v>
      </c>
    </row>
    <row r="159" spans="1:3" x14ac:dyDescent="0.25">
      <c r="A159" s="22" t="s">
        <v>1164</v>
      </c>
      <c r="B159" s="23">
        <f>SUMIFS('Transaction Details'!D:D,'Transaction Details'!A:A,"&gt;="&amp;DATE(2025,9,1),'Transaction Details'!A:A,"&lt;"&amp;DATE(2025,10,1),'Transaction Details'!D:D,"&gt;0")</f>
        <v>3516.2799999999997</v>
      </c>
      <c r="C159" s="22"/>
    </row>
    <row r="160" spans="1:3" x14ac:dyDescent="0.25">
      <c r="A160" s="12" t="s">
        <v>1131</v>
      </c>
      <c r="B160" s="27">
        <f>SUMIFS('Transaction Details'!D:D,'Transaction Details'!A:A,"&gt;="&amp;DATE(2025,9,1),'Transaction Details'!A:A,"&lt;"&amp;DATE(2025,10,1),'Transaction Details'!D:D,"&lt;0")</f>
        <v>-14871.34</v>
      </c>
      <c r="C160" s="12"/>
    </row>
    <row r="161" spans="1:3" x14ac:dyDescent="0.25">
      <c r="A161" s="20" t="s">
        <v>1154</v>
      </c>
      <c r="B161" s="21">
        <f>B159+B160</f>
        <v>-11355.060000000001</v>
      </c>
      <c r="C161" s="20"/>
    </row>
    <row r="163" spans="1:3" ht="15.75" x14ac:dyDescent="0.25">
      <c r="A163" s="32">
        <f>DATE(2025,10,1)</f>
        <v>45931</v>
      </c>
      <c r="B163" s="13"/>
      <c r="C163" s="13"/>
    </row>
    <row r="164" spans="1:3" x14ac:dyDescent="0.25">
      <c r="A164" s="11" t="s">
        <v>14</v>
      </c>
      <c r="B164" s="26" t="s">
        <v>11</v>
      </c>
      <c r="C164" s="26" t="s">
        <v>1163</v>
      </c>
    </row>
    <row r="165" spans="1:3" x14ac:dyDescent="0.25">
      <c r="A165" s="12" t="s">
        <v>866</v>
      </c>
      <c r="B165" s="27">
        <f>SUMIFS('Transaction Details'!D:D,'Transaction Details'!C:C,A165,'Transaction Details'!A:A,"&gt;="&amp;DATE(2025,10,1),'Transaction Details'!A:A,"&lt;"&amp;DATE(2025,11,1))</f>
        <v>11300</v>
      </c>
      <c r="C165" s="28">
        <f>IFERROR(B165/$B$172,0)</f>
        <v>0.38729003225132036</v>
      </c>
    </row>
    <row r="166" spans="1:3" x14ac:dyDescent="0.25">
      <c r="A166" s="12" t="s">
        <v>867</v>
      </c>
      <c r="B166" s="27">
        <f>SUMIFS('Transaction Details'!D:D,'Transaction Details'!C:C,A166,'Transaction Details'!A:A,"&gt;="&amp;DATE(2025,10,1),'Transaction Details'!A:A,"&lt;"&amp;DATE(2025,11,1))</f>
        <v>4116.3</v>
      </c>
      <c r="C166" s="28">
        <f>IFERROR(B166/$B$172,0)</f>
        <v>0.14107981944744336</v>
      </c>
    </row>
    <row r="167" spans="1:3" x14ac:dyDescent="0.25">
      <c r="A167" s="12" t="s">
        <v>859</v>
      </c>
      <c r="B167" s="27">
        <f>SUMIFS('Transaction Details'!D:D,'Transaction Details'!C:C,A167,'Transaction Details'!A:A,"&gt;="&amp;DATE(2025,10,1),'Transaction Details'!A:A,"&lt;"&amp;DATE(2025,11,1))</f>
        <v>1675</v>
      </c>
      <c r="C167" s="28">
        <f>IFERROR(B167/$B$172,0)</f>
        <v>5.7408035754067395E-2</v>
      </c>
    </row>
    <row r="168" spans="1:3" x14ac:dyDescent="0.25">
      <c r="A168" s="12" t="s">
        <v>868</v>
      </c>
      <c r="B168" s="27">
        <f>SUMIFS('Transaction Details'!D:D,'Transaction Details'!C:C,A168,'Transaction Details'!A:A,"&gt;="&amp;DATE(2025,10,1),'Transaction Details'!A:A,"&lt;"&amp;DATE(2025,11,1))</f>
        <v>595</v>
      </c>
      <c r="C168" s="28">
        <f>IFERROR(B168/$B$172,0)</f>
        <v>2.0392705238012E-2</v>
      </c>
    </row>
    <row r="169" spans="1:3" x14ac:dyDescent="0.25">
      <c r="A169" s="12" t="s">
        <v>865</v>
      </c>
      <c r="B169" s="27">
        <f>SUMIFS('Transaction Details'!D:D,'Transaction Details'!C:C,A169,'Transaction Details'!A:A,"&gt;="&amp;DATE(2025,10,1),'Transaction Details'!A:A,"&lt;"&amp;DATE(2025,11,1))</f>
        <v>70</v>
      </c>
      <c r="C169" s="28">
        <f>IFERROR(B169/$B$172,0)</f>
        <v>2.3991417927072944E-3</v>
      </c>
    </row>
    <row r="170" spans="1:3" x14ac:dyDescent="0.25">
      <c r="A170" s="12" t="s">
        <v>858</v>
      </c>
      <c r="B170" s="27">
        <f>SUMIFS('Transaction Details'!D:D,'Transaction Details'!C:C,A170,'Transaction Details'!A:A,"&gt;="&amp;DATE(2025,10,1),'Transaction Details'!A:A,"&lt;"&amp;DATE(2025,11,1))</f>
        <v>45.81</v>
      </c>
      <c r="C170" s="28">
        <f>IFERROR(B170/$B$172,0)</f>
        <v>1.5700669360560165E-3</v>
      </c>
    </row>
    <row r="171" spans="1:3" x14ac:dyDescent="0.25">
      <c r="A171" s="12" t="s">
        <v>863</v>
      </c>
      <c r="B171" s="27">
        <f>SUMIFS('Transaction Details'!D:D,'Transaction Details'!C:C,A171,'Transaction Details'!A:A,"&gt;="&amp;DATE(2025,10,1),'Transaction Details'!A:A,"&lt;"&amp;DATE(2025,11,1))</f>
        <v>24.99</v>
      </c>
      <c r="C171" s="28">
        <f>IFERROR(B171/$B$172,0)</f>
        <v>8.5649361999650395E-4</v>
      </c>
    </row>
    <row r="172" spans="1:3" x14ac:dyDescent="0.25">
      <c r="A172" s="22" t="s">
        <v>1164</v>
      </c>
      <c r="B172" s="23">
        <f>SUMIFS('Transaction Details'!D:D,'Transaction Details'!A:A,"&gt;="&amp;DATE(2025,10,1),'Transaction Details'!A:A,"&lt;"&amp;DATE(2025,11,1),'Transaction Details'!D:D,"&gt;0")</f>
        <v>29177.100000000002</v>
      </c>
      <c r="C172" s="22"/>
    </row>
    <row r="173" spans="1:3" x14ac:dyDescent="0.25">
      <c r="A173" s="12" t="s">
        <v>1131</v>
      </c>
      <c r="B173" s="27">
        <f>SUMIFS('Transaction Details'!D:D,'Transaction Details'!A:A,"&gt;="&amp;DATE(2025,10,1),'Transaction Details'!A:A,"&lt;"&amp;DATE(2025,11,1),'Transaction Details'!D:D,"&lt;0")</f>
        <v>-11350</v>
      </c>
      <c r="C173" s="12"/>
    </row>
    <row r="174" spans="1:3" x14ac:dyDescent="0.25">
      <c r="A174" s="20" t="s">
        <v>1154</v>
      </c>
      <c r="B174" s="21">
        <f>B172+B173</f>
        <v>17827.100000000002</v>
      </c>
      <c r="C174" s="20"/>
    </row>
    <row r="176" spans="1:3" ht="15.75" x14ac:dyDescent="0.25">
      <c r="A176" s="32">
        <f>DATE(2025,11,1)</f>
        <v>45962</v>
      </c>
      <c r="B176" s="13"/>
      <c r="C176" s="13"/>
    </row>
    <row r="177" spans="1:3" x14ac:dyDescent="0.25">
      <c r="A177" s="11" t="s">
        <v>14</v>
      </c>
      <c r="B177" s="26" t="s">
        <v>11</v>
      </c>
      <c r="C177" s="26" t="s">
        <v>1163</v>
      </c>
    </row>
    <row r="178" spans="1:3" x14ac:dyDescent="0.25">
      <c r="A178" s="12" t="s">
        <v>851</v>
      </c>
      <c r="B178" s="27">
        <f>SUMIFS('Transaction Details'!D:D,'Transaction Details'!C:C,A178,'Transaction Details'!A:A,"&gt;="&amp;DATE(2025,11,1),'Transaction Details'!A:A,"&lt;"&amp;DATE(2025,12,1))</f>
        <v>4257.28</v>
      </c>
      <c r="C178" s="28">
        <f>IFERROR(B178/$B$188,0)</f>
        <v>0.56648246441587757</v>
      </c>
    </row>
    <row r="179" spans="1:3" x14ac:dyDescent="0.25">
      <c r="A179" s="12" t="s">
        <v>856</v>
      </c>
      <c r="B179" s="27">
        <f>SUMIFS('Transaction Details'!D:D,'Transaction Details'!C:C,A179,'Transaction Details'!A:A,"&gt;="&amp;DATE(2025,11,1),'Transaction Details'!A:A,"&lt;"&amp;DATE(2025,12,1))</f>
        <v>-2134.33</v>
      </c>
      <c r="C179" s="28">
        <f>IFERROR(B179/$B$188,0)</f>
        <v>-0.28399835535288726</v>
      </c>
    </row>
    <row r="180" spans="1:3" x14ac:dyDescent="0.25">
      <c r="A180" s="12" t="s">
        <v>852</v>
      </c>
      <c r="B180" s="27">
        <f>SUMIFS('Transaction Details'!D:D,'Transaction Details'!C:C,A180,'Transaction Details'!A:A,"&gt;="&amp;DATE(2025,11,1),'Transaction Details'!A:A,"&lt;"&amp;DATE(2025,12,1))</f>
        <v>2000</v>
      </c>
      <c r="C180" s="28">
        <f>IFERROR(B180/$B$188,0)</f>
        <v>0.26612412827715237</v>
      </c>
    </row>
    <row r="181" spans="1:3" x14ac:dyDescent="0.25">
      <c r="A181" s="12" t="s">
        <v>865</v>
      </c>
      <c r="B181" s="27">
        <f>SUMIFS('Transaction Details'!D:D,'Transaction Details'!C:C,A181,'Transaction Details'!A:A,"&gt;="&amp;DATE(2025,11,1),'Transaction Details'!A:A,"&lt;"&amp;DATE(2025,12,1))</f>
        <v>451</v>
      </c>
      <c r="C181" s="28">
        <f>IFERROR(B181/$B$188,0)</f>
        <v>6.0010990926497851E-2</v>
      </c>
    </row>
    <row r="182" spans="1:3" x14ac:dyDescent="0.25">
      <c r="A182" s="12" t="s">
        <v>864</v>
      </c>
      <c r="B182" s="27">
        <f>SUMIFS('Transaction Details'!D:D,'Transaction Details'!C:C,A182,'Transaction Details'!A:A,"&gt;="&amp;DATE(2025,11,1),'Transaction Details'!A:A,"&lt;"&amp;DATE(2025,12,1))</f>
        <v>399.67</v>
      </c>
      <c r="C182" s="28">
        <f>IFERROR(B182/$B$188,0)</f>
        <v>5.3180915174264744E-2</v>
      </c>
    </row>
    <row r="183" spans="1:3" x14ac:dyDescent="0.25">
      <c r="A183" s="12" t="s">
        <v>860</v>
      </c>
      <c r="B183" s="27">
        <f>SUMIFS('Transaction Details'!D:D,'Transaction Details'!C:C,A183,'Transaction Details'!A:A,"&gt;="&amp;DATE(2025,11,1),'Transaction Details'!A:A,"&lt;"&amp;DATE(2025,12,1))</f>
        <v>144.20000000000002</v>
      </c>
      <c r="C183" s="28">
        <f>IFERROR(B183/$B$188,0)</f>
        <v>1.9187549648782685E-2</v>
      </c>
    </row>
    <row r="184" spans="1:3" x14ac:dyDescent="0.25">
      <c r="A184" s="12" t="s">
        <v>862</v>
      </c>
      <c r="B184" s="27">
        <f>SUMIFS('Transaction Details'!D:D,'Transaction Details'!C:C,A184,'Transaction Details'!A:A,"&gt;="&amp;DATE(2025,11,1),'Transaction Details'!A:A,"&lt;"&amp;DATE(2025,12,1))</f>
        <v>97.2</v>
      </c>
      <c r="C184" s="28">
        <f>IFERROR(B184/$B$188,0)</f>
        <v>1.2933632634269604E-2</v>
      </c>
    </row>
    <row r="185" spans="1:3" x14ac:dyDescent="0.25">
      <c r="A185" s="12" t="s">
        <v>854</v>
      </c>
      <c r="B185" s="27">
        <f>SUMIFS('Transaction Details'!D:D,'Transaction Details'!C:C,A185,'Transaction Details'!A:A,"&gt;="&amp;DATE(2025,11,1),'Transaction Details'!A:A,"&lt;"&amp;DATE(2025,12,1))</f>
        <v>82.18</v>
      </c>
      <c r="C185" s="28">
        <f>IFERROR(B185/$B$188,0)</f>
        <v>1.0935040430908191E-2</v>
      </c>
    </row>
    <row r="186" spans="1:3" x14ac:dyDescent="0.25">
      <c r="A186" s="12" t="s">
        <v>858</v>
      </c>
      <c r="B186" s="27">
        <f>SUMIFS('Transaction Details'!D:D,'Transaction Details'!C:C,A186,'Transaction Details'!A:A,"&gt;="&amp;DATE(2025,11,1),'Transaction Details'!A:A,"&lt;"&amp;DATE(2025,12,1))</f>
        <v>58.77</v>
      </c>
      <c r="C186" s="28">
        <f>IFERROR(B186/$B$188,0)</f>
        <v>7.8200575094241227E-3</v>
      </c>
    </row>
    <row r="187" spans="1:3" x14ac:dyDescent="0.25">
      <c r="A187" s="12" t="s">
        <v>863</v>
      </c>
      <c r="B187" s="27">
        <f>SUMIFS('Transaction Details'!D:D,'Transaction Details'!C:C,A187,'Transaction Details'!A:A,"&gt;="&amp;DATE(2025,11,1),'Transaction Details'!A:A,"&lt;"&amp;DATE(2025,12,1))</f>
        <v>24.99</v>
      </c>
      <c r="C187" s="28">
        <f>IFERROR(B187/$B$188,0)</f>
        <v>3.3252209828230185E-3</v>
      </c>
    </row>
    <row r="188" spans="1:3" x14ac:dyDescent="0.25">
      <c r="A188" s="22" t="s">
        <v>1164</v>
      </c>
      <c r="B188" s="23">
        <f>SUMIFS('Transaction Details'!D:D,'Transaction Details'!A:A,"&gt;="&amp;DATE(2025,11,1),'Transaction Details'!A:A,"&lt;"&amp;DATE(2025,12,1),'Transaction Details'!D:D,"&gt;0")</f>
        <v>7515.2899999999991</v>
      </c>
      <c r="C188" s="22"/>
    </row>
    <row r="189" spans="1:3" x14ac:dyDescent="0.25">
      <c r="A189" s="12" t="s">
        <v>1131</v>
      </c>
      <c r="B189" s="27">
        <f>SUMIFS('Transaction Details'!D:D,'Transaction Details'!A:A,"&gt;="&amp;DATE(2025,11,1),'Transaction Details'!A:A,"&lt;"&amp;DATE(2025,12,1),'Transaction Details'!D:D,"&lt;0")</f>
        <v>-2134.33</v>
      </c>
      <c r="C189" s="12"/>
    </row>
    <row r="190" spans="1:3" x14ac:dyDescent="0.25">
      <c r="A190" s="20" t="s">
        <v>1154</v>
      </c>
      <c r="B190" s="21">
        <f>B188+B189</f>
        <v>5380.9599999999991</v>
      </c>
      <c r="C190" s="20"/>
    </row>
    <row r="192" spans="1:3" ht="15.75" x14ac:dyDescent="0.25">
      <c r="A192" s="32">
        <f>DATE(2025,12,1)</f>
        <v>45992</v>
      </c>
      <c r="B192" s="13"/>
      <c r="C192" s="13"/>
    </row>
    <row r="193" spans="1:3" x14ac:dyDescent="0.25">
      <c r="A193" s="11" t="s">
        <v>14</v>
      </c>
      <c r="B193" s="26" t="s">
        <v>11</v>
      </c>
      <c r="C193" s="26" t="s">
        <v>1163</v>
      </c>
    </row>
    <row r="194" spans="1:3" x14ac:dyDescent="0.25">
      <c r="A194" s="12" t="s">
        <v>856</v>
      </c>
      <c r="B194" s="27">
        <f>SUMIFS('Transaction Details'!D:D,'Transaction Details'!C:C,A194,'Transaction Details'!A:A,"&gt;="&amp;DATE(2025,12,1),'Transaction Details'!A:A,"&lt;"&amp;DATE(2026,1,1))</f>
        <v>-31006.050000000003</v>
      </c>
      <c r="C194" s="28">
        <f>IFERROR(B194/$B$204,0)</f>
        <v>-0.70499443390443428</v>
      </c>
    </row>
    <row r="195" spans="1:3" x14ac:dyDescent="0.25">
      <c r="A195" s="12" t="s">
        <v>879</v>
      </c>
      <c r="B195" s="27">
        <f>SUMIFS('Transaction Details'!D:D,'Transaction Details'!C:C,A195,'Transaction Details'!A:A,"&gt;="&amp;DATE(2025,12,1),'Transaction Details'!A:A,"&lt;"&amp;DATE(2026,1,1))</f>
        <v>20243.89</v>
      </c>
      <c r="C195" s="28">
        <f>IFERROR(B195/$B$204,0)</f>
        <v>0.46029177436576524</v>
      </c>
    </row>
    <row r="196" spans="1:3" x14ac:dyDescent="0.25">
      <c r="A196" s="12" t="s">
        <v>851</v>
      </c>
      <c r="B196" s="27">
        <f>SUMIFS('Transaction Details'!D:D,'Transaction Details'!C:C,A196,'Transaction Details'!A:A,"&gt;="&amp;DATE(2025,12,1),'Transaction Details'!A:A,"&lt;"&amp;DATE(2026,1,1))</f>
        <v>17936.03</v>
      </c>
      <c r="C196" s="28">
        <f>IFERROR(B196/$B$204,0)</f>
        <v>0.40781722652008068</v>
      </c>
    </row>
    <row r="197" spans="1:3" x14ac:dyDescent="0.25">
      <c r="A197" s="12" t="s">
        <v>852</v>
      </c>
      <c r="B197" s="27">
        <f>SUMIFS('Transaction Details'!D:D,'Transaction Details'!C:C,A197,'Transaction Details'!A:A,"&gt;="&amp;DATE(2025,12,1),'Transaction Details'!A:A,"&lt;"&amp;DATE(2026,1,1))</f>
        <v>2000</v>
      </c>
      <c r="C197" s="28">
        <f>IFERROR(B197/$B$204,0)</f>
        <v>4.5474636975973023E-2</v>
      </c>
    </row>
    <row r="198" spans="1:3" x14ac:dyDescent="0.25">
      <c r="A198" s="12" t="s">
        <v>853</v>
      </c>
      <c r="B198" s="27">
        <f>SUMIFS('Transaction Details'!D:D,'Transaction Details'!C:C,A198,'Transaction Details'!A:A,"&gt;="&amp;DATE(2025,12,1),'Transaction Details'!A:A,"&lt;"&amp;DATE(2026,1,1))</f>
        <v>1657.5</v>
      </c>
      <c r="C198" s="28">
        <f>IFERROR(B198/$B$204,0)</f>
        <v>3.7687105393837642E-2</v>
      </c>
    </row>
    <row r="199" spans="1:3" x14ac:dyDescent="0.25">
      <c r="A199" s="12" t="s">
        <v>855</v>
      </c>
      <c r="B199" s="27">
        <f>SUMIFS('Transaction Details'!D:D,'Transaction Details'!C:C,A199,'Transaction Details'!A:A,"&gt;="&amp;DATE(2025,12,1),'Transaction Details'!A:A,"&lt;"&amp;DATE(2026,1,1))</f>
        <v>1097.8399999999999</v>
      </c>
      <c r="C199" s="28">
        <f>IFERROR(B199/$B$204,0)</f>
        <v>2.4961937728851111E-2</v>
      </c>
    </row>
    <row r="200" spans="1:3" x14ac:dyDescent="0.25">
      <c r="A200" s="12" t="s">
        <v>859</v>
      </c>
      <c r="B200" s="27">
        <f>SUMIFS('Transaction Details'!D:D,'Transaction Details'!C:C,A200,'Transaction Details'!A:A,"&gt;="&amp;DATE(2025,12,1),'Transaction Details'!A:A,"&lt;"&amp;DATE(2026,1,1))</f>
        <v>500</v>
      </c>
      <c r="C200" s="28">
        <f>IFERROR(B200/$B$204,0)</f>
        <v>1.1368659243993256E-2</v>
      </c>
    </row>
    <row r="201" spans="1:3" x14ac:dyDescent="0.25">
      <c r="A201" s="12" t="s">
        <v>857</v>
      </c>
      <c r="B201" s="27">
        <f>SUMIFS('Transaction Details'!D:D,'Transaction Details'!C:C,A201,'Transaction Details'!A:A,"&gt;="&amp;DATE(2025,12,1),'Transaction Details'!A:A,"&lt;"&amp;DATE(2026,1,1))</f>
        <v>455.49</v>
      </c>
      <c r="C201" s="28">
        <f>IFERROR(B201/$B$204,0)</f>
        <v>1.0356621198092976E-2</v>
      </c>
    </row>
    <row r="202" spans="1:3" x14ac:dyDescent="0.25">
      <c r="A202" s="12" t="s">
        <v>854</v>
      </c>
      <c r="B202" s="27">
        <f>SUMIFS('Transaction Details'!D:D,'Transaction Details'!C:C,A202,'Transaction Details'!A:A,"&gt;="&amp;DATE(2025,12,1),'Transaction Details'!A:A,"&lt;"&amp;DATE(2026,1,1))</f>
        <v>78.989999999999995</v>
      </c>
      <c r="C202" s="28">
        <f>IFERROR(B202/$B$204,0)</f>
        <v>1.7960207873660545E-3</v>
      </c>
    </row>
    <row r="203" spans="1:3" x14ac:dyDescent="0.25">
      <c r="A203" s="12" t="s">
        <v>858</v>
      </c>
      <c r="B203" s="27">
        <f>SUMIFS('Transaction Details'!D:D,'Transaction Details'!C:C,A203,'Transaction Details'!A:A,"&gt;="&amp;DATE(2025,12,1),'Transaction Details'!A:A,"&lt;"&amp;DATE(2026,1,1))</f>
        <v>10.81</v>
      </c>
      <c r="C203" s="28">
        <f>IFERROR(B203/$B$204,0)</f>
        <v>2.4579041285513421E-4</v>
      </c>
    </row>
    <row r="204" spans="1:3" x14ac:dyDescent="0.25">
      <c r="A204" s="22" t="s">
        <v>1164</v>
      </c>
      <c r="B204" s="23">
        <f>SUMIFS('Transaction Details'!D:D,'Transaction Details'!A:A,"&gt;="&amp;DATE(2025,12,1),'Transaction Details'!A:A,"&lt;"&amp;DATE(2026,1,1),'Transaction Details'!D:D,"&gt;0")</f>
        <v>43980.56</v>
      </c>
      <c r="C204" s="22"/>
    </row>
    <row r="205" spans="1:3" x14ac:dyDescent="0.25">
      <c r="A205" s="12" t="s">
        <v>1131</v>
      </c>
      <c r="B205" s="27">
        <f>SUMIFS('Transaction Details'!D:D,'Transaction Details'!A:A,"&gt;="&amp;DATE(2025,12,1),'Transaction Details'!A:A,"&lt;"&amp;DATE(2026,1,1),'Transaction Details'!D:D,"&lt;0")</f>
        <v>-31006.06</v>
      </c>
      <c r="C205" s="12"/>
    </row>
    <row r="206" spans="1:3" x14ac:dyDescent="0.25">
      <c r="A206" s="20" t="s">
        <v>1154</v>
      </c>
      <c r="B206" s="21">
        <f>B204+B205</f>
        <v>12974.499999999996</v>
      </c>
      <c r="C206" s="20"/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ADD4-BFA9-4F18-A5AF-200D30A5F876}">
  <dimension ref="A1:G429"/>
  <sheetViews>
    <sheetView workbookViewId="0">
      <selection activeCell="G58" sqref="G58"/>
    </sheetView>
  </sheetViews>
  <sheetFormatPr defaultRowHeight="15" x14ac:dyDescent="0.25"/>
  <cols>
    <col min="1" max="1" width="16.140625" customWidth="1"/>
    <col min="2" max="2" width="38.140625" customWidth="1"/>
    <col min="3" max="3" width="33.28515625" customWidth="1"/>
    <col min="4" max="4" width="21.85546875" customWidth="1"/>
    <col min="5" max="5" width="9.85546875" customWidth="1"/>
    <col min="6" max="6" width="12.5703125" customWidth="1"/>
    <col min="7" max="7" width="43.85546875" customWidth="1"/>
  </cols>
  <sheetData>
    <row r="1" spans="1:7" ht="21" x14ac:dyDescent="0.35">
      <c r="A1" s="10" t="s">
        <v>891</v>
      </c>
      <c r="B1" s="9"/>
      <c r="C1" s="9"/>
      <c r="D1" s="9"/>
      <c r="E1" s="9"/>
      <c r="F1" s="9"/>
      <c r="G1" s="9"/>
    </row>
    <row r="2" spans="1:7" x14ac:dyDescent="0.25">
      <c r="A2" s="9" t="s">
        <v>892</v>
      </c>
      <c r="B2" s="9"/>
      <c r="C2" s="9"/>
      <c r="D2" s="9"/>
      <c r="E2" s="9"/>
      <c r="F2" s="9"/>
      <c r="G2" s="9"/>
    </row>
    <row r="4" spans="1:7" x14ac:dyDescent="0.25">
      <c r="A4" s="11" t="s">
        <v>893</v>
      </c>
      <c r="B4" s="12" t="s">
        <v>894</v>
      </c>
    </row>
    <row r="5" spans="1:7" x14ac:dyDescent="0.25">
      <c r="A5" s="11" t="s">
        <v>895</v>
      </c>
      <c r="B5" s="12" t="s">
        <v>6</v>
      </c>
    </row>
    <row r="6" spans="1:7" x14ac:dyDescent="0.25">
      <c r="A6" s="11" t="s">
        <v>896</v>
      </c>
      <c r="B6" s="12" t="s">
        <v>897</v>
      </c>
    </row>
    <row r="7" spans="1:7" x14ac:dyDescent="0.25">
      <c r="A7" s="11" t="s">
        <v>898</v>
      </c>
      <c r="B7" s="12" t="s">
        <v>899</v>
      </c>
    </row>
    <row r="9" spans="1:7" x14ac:dyDescent="0.25">
      <c r="A9" s="14" t="s">
        <v>7</v>
      </c>
      <c r="B9" s="14" t="s">
        <v>900</v>
      </c>
      <c r="C9" s="14" t="s">
        <v>14</v>
      </c>
      <c r="D9" s="15" t="s">
        <v>11</v>
      </c>
      <c r="E9" s="16" t="s">
        <v>901</v>
      </c>
      <c r="F9" s="16" t="s">
        <v>902</v>
      </c>
      <c r="G9" s="14" t="s">
        <v>903</v>
      </c>
    </row>
    <row r="10" spans="1:7" x14ac:dyDescent="0.25">
      <c r="A10" s="17">
        <v>46022</v>
      </c>
      <c r="B10" s="12" t="s">
        <v>904</v>
      </c>
      <c r="C10" s="12" t="s">
        <v>851</v>
      </c>
      <c r="D10" s="18">
        <v>53.09</v>
      </c>
      <c r="E10" s="19" t="s">
        <v>905</v>
      </c>
      <c r="F10" s="19" t="s">
        <v>906</v>
      </c>
      <c r="G10" s="12"/>
    </row>
    <row r="11" spans="1:7" x14ac:dyDescent="0.25">
      <c r="A11" s="17">
        <v>46022</v>
      </c>
      <c r="B11" s="12" t="s">
        <v>907</v>
      </c>
      <c r="C11" s="12" t="s">
        <v>851</v>
      </c>
      <c r="D11" s="18">
        <v>91.62</v>
      </c>
      <c r="E11" s="19" t="s">
        <v>905</v>
      </c>
      <c r="F11" s="19" t="s">
        <v>906</v>
      </c>
      <c r="G11" s="12"/>
    </row>
    <row r="12" spans="1:7" x14ac:dyDescent="0.25">
      <c r="A12" s="17">
        <v>46022</v>
      </c>
      <c r="B12" s="12" t="s">
        <v>908</v>
      </c>
      <c r="C12" s="12" t="s">
        <v>851</v>
      </c>
      <c r="D12" s="18">
        <v>3.84</v>
      </c>
      <c r="E12" s="19" t="s">
        <v>905</v>
      </c>
      <c r="F12" s="19" t="s">
        <v>906</v>
      </c>
      <c r="G12" s="12"/>
    </row>
    <row r="13" spans="1:7" x14ac:dyDescent="0.25">
      <c r="A13" s="17">
        <v>46022</v>
      </c>
      <c r="B13" s="12" t="s">
        <v>908</v>
      </c>
      <c r="C13" s="12" t="s">
        <v>851</v>
      </c>
      <c r="D13" s="18">
        <v>33.6</v>
      </c>
      <c r="E13" s="19" t="s">
        <v>905</v>
      </c>
      <c r="F13" s="19" t="s">
        <v>906</v>
      </c>
      <c r="G13" s="12"/>
    </row>
    <row r="14" spans="1:7" x14ac:dyDescent="0.25">
      <c r="A14" s="17">
        <v>46022</v>
      </c>
      <c r="B14" s="12" t="s">
        <v>909</v>
      </c>
      <c r="C14" s="12" t="s">
        <v>851</v>
      </c>
      <c r="D14" s="18">
        <v>38.36</v>
      </c>
      <c r="E14" s="19" t="s">
        <v>905</v>
      </c>
      <c r="F14" s="19" t="s">
        <v>906</v>
      </c>
      <c r="G14" s="12"/>
    </row>
    <row r="15" spans="1:7" x14ac:dyDescent="0.25">
      <c r="A15" s="17">
        <v>46021</v>
      </c>
      <c r="B15" s="12" t="s">
        <v>910</v>
      </c>
      <c r="C15" s="12" t="s">
        <v>851</v>
      </c>
      <c r="D15" s="18">
        <v>128.97999999999999</v>
      </c>
      <c r="E15" s="19" t="s">
        <v>905</v>
      </c>
      <c r="F15" s="19" t="s">
        <v>906</v>
      </c>
      <c r="G15" s="12"/>
    </row>
    <row r="16" spans="1:7" x14ac:dyDescent="0.25">
      <c r="A16" s="17">
        <v>46021</v>
      </c>
      <c r="B16" s="12" t="s">
        <v>911</v>
      </c>
      <c r="C16" s="12" t="s">
        <v>851</v>
      </c>
      <c r="D16" s="18">
        <v>219.81</v>
      </c>
      <c r="E16" s="19" t="s">
        <v>905</v>
      </c>
      <c r="F16" s="19" t="s">
        <v>906</v>
      </c>
      <c r="G16" s="12"/>
    </row>
    <row r="17" spans="1:7" x14ac:dyDescent="0.25">
      <c r="A17" s="17">
        <v>46021</v>
      </c>
      <c r="B17" s="12" t="s">
        <v>912</v>
      </c>
      <c r="C17" s="12" t="s">
        <v>851</v>
      </c>
      <c r="D17" s="18">
        <v>97.45</v>
      </c>
      <c r="E17" s="19" t="s">
        <v>905</v>
      </c>
      <c r="F17" s="19" t="s">
        <v>906</v>
      </c>
      <c r="G17" s="12"/>
    </row>
    <row r="18" spans="1:7" x14ac:dyDescent="0.25">
      <c r="A18" s="17">
        <v>46021</v>
      </c>
      <c r="B18" s="12" t="s">
        <v>913</v>
      </c>
      <c r="C18" s="12" t="s">
        <v>851</v>
      </c>
      <c r="D18" s="18">
        <v>12.06</v>
      </c>
      <c r="E18" s="19" t="s">
        <v>905</v>
      </c>
      <c r="F18" s="19" t="s">
        <v>906</v>
      </c>
      <c r="G18" s="12"/>
    </row>
    <row r="19" spans="1:7" x14ac:dyDescent="0.25">
      <c r="A19" s="17">
        <v>46021</v>
      </c>
      <c r="B19" s="12" t="s">
        <v>914</v>
      </c>
      <c r="C19" s="12" t="s">
        <v>851</v>
      </c>
      <c r="D19" s="18">
        <v>3.17</v>
      </c>
      <c r="E19" s="19" t="s">
        <v>905</v>
      </c>
      <c r="F19" s="19" t="s">
        <v>906</v>
      </c>
      <c r="G19" s="12"/>
    </row>
    <row r="20" spans="1:7" x14ac:dyDescent="0.25">
      <c r="A20" s="17">
        <v>46021</v>
      </c>
      <c r="B20" s="12" t="s">
        <v>915</v>
      </c>
      <c r="C20" s="12" t="s">
        <v>851</v>
      </c>
      <c r="D20" s="18">
        <v>202.67</v>
      </c>
      <c r="E20" s="19" t="s">
        <v>905</v>
      </c>
      <c r="F20" s="19" t="s">
        <v>906</v>
      </c>
      <c r="G20" s="12"/>
    </row>
    <row r="21" spans="1:7" x14ac:dyDescent="0.25">
      <c r="A21" s="17">
        <v>46021</v>
      </c>
      <c r="B21" s="12" t="s">
        <v>916</v>
      </c>
      <c r="C21" s="12" t="s">
        <v>851</v>
      </c>
      <c r="D21" s="18">
        <v>208.09</v>
      </c>
      <c r="E21" s="19" t="s">
        <v>905</v>
      </c>
      <c r="F21" s="19" t="s">
        <v>906</v>
      </c>
      <c r="G21" s="12"/>
    </row>
    <row r="22" spans="1:7" x14ac:dyDescent="0.25">
      <c r="A22" s="17">
        <v>46021</v>
      </c>
      <c r="B22" s="12" t="s">
        <v>917</v>
      </c>
      <c r="C22" s="12" t="s">
        <v>851</v>
      </c>
      <c r="D22" s="18">
        <v>85.2</v>
      </c>
      <c r="E22" s="19" t="s">
        <v>905</v>
      </c>
      <c r="F22" s="19" t="s">
        <v>906</v>
      </c>
      <c r="G22" s="12"/>
    </row>
    <row r="23" spans="1:7" x14ac:dyDescent="0.25">
      <c r="A23" s="17">
        <v>46020</v>
      </c>
      <c r="B23" s="12" t="s">
        <v>918</v>
      </c>
      <c r="C23" s="12" t="s">
        <v>851</v>
      </c>
      <c r="D23" s="18">
        <v>113.46</v>
      </c>
      <c r="E23" s="19" t="s">
        <v>905</v>
      </c>
      <c r="F23" s="19" t="s">
        <v>906</v>
      </c>
      <c r="G23" s="12"/>
    </row>
    <row r="24" spans="1:7" x14ac:dyDescent="0.25">
      <c r="A24" s="17">
        <v>46020</v>
      </c>
      <c r="B24" s="12" t="s">
        <v>919</v>
      </c>
      <c r="C24" s="12" t="s">
        <v>851</v>
      </c>
      <c r="D24" s="18">
        <v>195.87</v>
      </c>
      <c r="E24" s="19" t="s">
        <v>905</v>
      </c>
      <c r="F24" s="19" t="s">
        <v>906</v>
      </c>
      <c r="G24" s="12"/>
    </row>
    <row r="25" spans="1:7" x14ac:dyDescent="0.25">
      <c r="A25" s="17">
        <v>46020</v>
      </c>
      <c r="B25" s="12" t="s">
        <v>920</v>
      </c>
      <c r="C25" s="12" t="s">
        <v>851</v>
      </c>
      <c r="D25" s="18">
        <v>6653.07</v>
      </c>
      <c r="E25" s="19" t="s">
        <v>905</v>
      </c>
      <c r="F25" s="19" t="s">
        <v>906</v>
      </c>
      <c r="G25" s="12"/>
    </row>
    <row r="26" spans="1:7" x14ac:dyDescent="0.25">
      <c r="A26" s="17">
        <v>46020</v>
      </c>
      <c r="B26" s="12" t="s">
        <v>921</v>
      </c>
      <c r="C26" s="12" t="s">
        <v>851</v>
      </c>
      <c r="D26" s="18">
        <v>1633.58</v>
      </c>
      <c r="E26" s="19" t="s">
        <v>905</v>
      </c>
      <c r="F26" s="19" t="s">
        <v>906</v>
      </c>
      <c r="G26" s="12"/>
    </row>
    <row r="27" spans="1:7" x14ac:dyDescent="0.25">
      <c r="A27" s="17">
        <v>46020</v>
      </c>
      <c r="B27" s="12" t="s">
        <v>922</v>
      </c>
      <c r="C27" s="12" t="s">
        <v>851</v>
      </c>
      <c r="D27" s="18">
        <v>36.89</v>
      </c>
      <c r="E27" s="19" t="s">
        <v>905</v>
      </c>
      <c r="F27" s="19" t="s">
        <v>906</v>
      </c>
      <c r="G27" s="12"/>
    </row>
    <row r="28" spans="1:7" x14ac:dyDescent="0.25">
      <c r="A28" s="17">
        <v>46019</v>
      </c>
      <c r="B28" s="12" t="s">
        <v>923</v>
      </c>
      <c r="C28" s="12" t="s">
        <v>851</v>
      </c>
      <c r="D28" s="18">
        <v>247.3</v>
      </c>
      <c r="E28" s="19" t="s">
        <v>905</v>
      </c>
      <c r="F28" s="19" t="s">
        <v>906</v>
      </c>
      <c r="G28" s="12"/>
    </row>
    <row r="29" spans="1:7" x14ac:dyDescent="0.25">
      <c r="A29" s="17">
        <v>46019</v>
      </c>
      <c r="B29" s="12" t="s">
        <v>924</v>
      </c>
      <c r="C29" s="12" t="s">
        <v>851</v>
      </c>
      <c r="D29" s="18">
        <v>219.7</v>
      </c>
      <c r="E29" s="19" t="s">
        <v>905</v>
      </c>
      <c r="F29" s="19" t="s">
        <v>906</v>
      </c>
      <c r="G29" s="12"/>
    </row>
    <row r="30" spans="1:7" x14ac:dyDescent="0.25">
      <c r="A30" s="17">
        <v>46019</v>
      </c>
      <c r="B30" s="12" t="s">
        <v>925</v>
      </c>
      <c r="C30" s="12" t="s">
        <v>851</v>
      </c>
      <c r="D30" s="18">
        <v>230.94</v>
      </c>
      <c r="E30" s="19" t="s">
        <v>905</v>
      </c>
      <c r="F30" s="19" t="s">
        <v>906</v>
      </c>
      <c r="G30" s="12"/>
    </row>
    <row r="31" spans="1:7" x14ac:dyDescent="0.25">
      <c r="A31" s="17">
        <v>46018</v>
      </c>
      <c r="B31" s="12" t="s">
        <v>926</v>
      </c>
      <c r="C31" s="12" t="s">
        <v>851</v>
      </c>
      <c r="D31" s="18">
        <v>61.88</v>
      </c>
      <c r="E31" s="19" t="s">
        <v>905</v>
      </c>
      <c r="F31" s="19" t="s">
        <v>906</v>
      </c>
      <c r="G31" s="12"/>
    </row>
    <row r="32" spans="1:7" x14ac:dyDescent="0.25">
      <c r="A32" s="17">
        <v>46017</v>
      </c>
      <c r="B32" s="12" t="s">
        <v>927</v>
      </c>
      <c r="C32" s="12" t="s">
        <v>851</v>
      </c>
      <c r="D32" s="18">
        <v>27.05</v>
      </c>
      <c r="E32" s="19" t="s">
        <v>905</v>
      </c>
      <c r="F32" s="19" t="s">
        <v>906</v>
      </c>
      <c r="G32" s="12"/>
    </row>
    <row r="33" spans="1:7" x14ac:dyDescent="0.25">
      <c r="A33" s="17">
        <v>46017</v>
      </c>
      <c r="B33" s="12" t="s">
        <v>928</v>
      </c>
      <c r="C33" s="12" t="s">
        <v>851</v>
      </c>
      <c r="D33" s="18">
        <v>83.08</v>
      </c>
      <c r="E33" s="19" t="s">
        <v>905</v>
      </c>
      <c r="F33" s="19" t="s">
        <v>906</v>
      </c>
      <c r="G33" s="12"/>
    </row>
    <row r="34" spans="1:7" x14ac:dyDescent="0.25">
      <c r="A34" s="17">
        <v>46017</v>
      </c>
      <c r="B34" s="12" t="s">
        <v>929</v>
      </c>
      <c r="C34" s="12" t="s">
        <v>851</v>
      </c>
      <c r="D34" s="18">
        <v>1.85</v>
      </c>
      <c r="E34" s="19" t="s">
        <v>905</v>
      </c>
      <c r="F34" s="19" t="s">
        <v>906</v>
      </c>
      <c r="G34" s="12"/>
    </row>
    <row r="35" spans="1:7" x14ac:dyDescent="0.25">
      <c r="A35" s="17">
        <v>46017</v>
      </c>
      <c r="B35" s="12" t="s">
        <v>929</v>
      </c>
      <c r="C35" s="12" t="s">
        <v>851</v>
      </c>
      <c r="D35" s="18">
        <v>31.16</v>
      </c>
      <c r="E35" s="19" t="s">
        <v>905</v>
      </c>
      <c r="F35" s="19" t="s">
        <v>906</v>
      </c>
      <c r="G35" s="12"/>
    </row>
    <row r="36" spans="1:7" x14ac:dyDescent="0.25">
      <c r="A36" s="17">
        <v>46014</v>
      </c>
      <c r="B36" s="12" t="s">
        <v>923</v>
      </c>
      <c r="C36" s="12" t="s">
        <v>851</v>
      </c>
      <c r="D36" s="18">
        <v>280.67</v>
      </c>
      <c r="E36" s="19" t="s">
        <v>905</v>
      </c>
      <c r="F36" s="19" t="s">
        <v>906</v>
      </c>
      <c r="G36" s="12"/>
    </row>
    <row r="37" spans="1:7" x14ac:dyDescent="0.25">
      <c r="A37" s="17">
        <v>46013</v>
      </c>
      <c r="B37" s="12" t="s">
        <v>930</v>
      </c>
      <c r="C37" s="12" t="s">
        <v>851</v>
      </c>
      <c r="D37" s="18">
        <v>11.39</v>
      </c>
      <c r="E37" s="19" t="s">
        <v>905</v>
      </c>
      <c r="F37" s="19" t="s">
        <v>906</v>
      </c>
      <c r="G37" s="12"/>
    </row>
    <row r="38" spans="1:7" x14ac:dyDescent="0.25">
      <c r="A38" s="17">
        <v>46013</v>
      </c>
      <c r="B38" s="12" t="s">
        <v>931</v>
      </c>
      <c r="C38" s="12" t="s">
        <v>851</v>
      </c>
      <c r="D38" s="18">
        <v>986.39</v>
      </c>
      <c r="E38" s="19" t="s">
        <v>905</v>
      </c>
      <c r="F38" s="19" t="s">
        <v>906</v>
      </c>
      <c r="G38" s="12"/>
    </row>
    <row r="39" spans="1:7" x14ac:dyDescent="0.25">
      <c r="A39" s="17">
        <v>46012</v>
      </c>
      <c r="B39" s="12" t="s">
        <v>923</v>
      </c>
      <c r="C39" s="12" t="s">
        <v>851</v>
      </c>
      <c r="D39" s="18">
        <v>124.02</v>
      </c>
      <c r="E39" s="19" t="s">
        <v>905</v>
      </c>
      <c r="F39" s="19" t="s">
        <v>906</v>
      </c>
      <c r="G39" s="12"/>
    </row>
    <row r="40" spans="1:7" x14ac:dyDescent="0.25">
      <c r="A40" s="17">
        <v>46012</v>
      </c>
      <c r="B40" s="12" t="s">
        <v>932</v>
      </c>
      <c r="C40" s="12" t="s">
        <v>851</v>
      </c>
      <c r="D40" s="18">
        <v>47.6</v>
      </c>
      <c r="E40" s="19" t="s">
        <v>905</v>
      </c>
      <c r="F40" s="19" t="s">
        <v>906</v>
      </c>
      <c r="G40" s="12"/>
    </row>
    <row r="41" spans="1:7" x14ac:dyDescent="0.25">
      <c r="A41" s="17">
        <v>46012</v>
      </c>
      <c r="B41" s="12" t="s">
        <v>933</v>
      </c>
      <c r="C41" s="12" t="s">
        <v>851</v>
      </c>
      <c r="D41" s="18">
        <v>205.65</v>
      </c>
      <c r="E41" s="19" t="s">
        <v>905</v>
      </c>
      <c r="F41" s="19" t="s">
        <v>906</v>
      </c>
      <c r="G41" s="12"/>
    </row>
    <row r="42" spans="1:7" x14ac:dyDescent="0.25">
      <c r="A42" s="17">
        <v>46011</v>
      </c>
      <c r="B42" s="12" t="s">
        <v>925</v>
      </c>
      <c r="C42" s="12" t="s">
        <v>851</v>
      </c>
      <c r="D42" s="18">
        <v>695.12</v>
      </c>
      <c r="E42" s="19" t="s">
        <v>905</v>
      </c>
      <c r="F42" s="19" t="s">
        <v>906</v>
      </c>
      <c r="G42" s="12"/>
    </row>
    <row r="43" spans="1:7" x14ac:dyDescent="0.25">
      <c r="A43" s="17">
        <v>46011</v>
      </c>
      <c r="B43" s="12" t="s">
        <v>934</v>
      </c>
      <c r="C43" s="12" t="s">
        <v>851</v>
      </c>
      <c r="D43" s="18">
        <v>88.29</v>
      </c>
      <c r="E43" s="19" t="s">
        <v>905</v>
      </c>
      <c r="F43" s="19" t="s">
        <v>906</v>
      </c>
      <c r="G43" s="12"/>
    </row>
    <row r="44" spans="1:7" x14ac:dyDescent="0.25">
      <c r="A44" s="17">
        <v>46010</v>
      </c>
      <c r="B44" s="12" t="s">
        <v>935</v>
      </c>
      <c r="C44" s="12" t="s">
        <v>851</v>
      </c>
      <c r="D44" s="18">
        <v>15</v>
      </c>
      <c r="E44" s="19" t="s">
        <v>905</v>
      </c>
      <c r="F44" s="19" t="s">
        <v>906</v>
      </c>
      <c r="G44" s="12"/>
    </row>
    <row r="45" spans="1:7" x14ac:dyDescent="0.25">
      <c r="A45" s="17">
        <v>46010</v>
      </c>
      <c r="B45" s="12" t="s">
        <v>932</v>
      </c>
      <c r="C45" s="12" t="s">
        <v>851</v>
      </c>
      <c r="D45" s="18">
        <v>152.44</v>
      </c>
      <c r="E45" s="19" t="s">
        <v>905</v>
      </c>
      <c r="F45" s="19" t="s">
        <v>906</v>
      </c>
      <c r="G45" s="12"/>
    </row>
    <row r="46" spans="1:7" x14ac:dyDescent="0.25">
      <c r="A46" s="17">
        <v>46009</v>
      </c>
      <c r="B46" s="12" t="s">
        <v>936</v>
      </c>
      <c r="C46" s="12" t="s">
        <v>851</v>
      </c>
      <c r="D46" s="18">
        <v>3.81</v>
      </c>
      <c r="E46" s="19" t="s">
        <v>905</v>
      </c>
      <c r="F46" s="19" t="s">
        <v>906</v>
      </c>
      <c r="G46" s="12"/>
    </row>
    <row r="47" spans="1:7" x14ac:dyDescent="0.25">
      <c r="A47" s="17">
        <v>46009</v>
      </c>
      <c r="B47" s="12" t="s">
        <v>936</v>
      </c>
      <c r="C47" s="12" t="s">
        <v>851</v>
      </c>
      <c r="D47" s="18">
        <v>6.23</v>
      </c>
      <c r="E47" s="19" t="s">
        <v>905</v>
      </c>
      <c r="F47" s="19" t="s">
        <v>906</v>
      </c>
      <c r="G47" s="12"/>
    </row>
    <row r="48" spans="1:7" x14ac:dyDescent="0.25">
      <c r="A48" s="17">
        <v>46009</v>
      </c>
      <c r="B48" s="12" t="s">
        <v>937</v>
      </c>
      <c r="C48" s="12" t="s">
        <v>851</v>
      </c>
      <c r="D48" s="18">
        <v>104.01</v>
      </c>
      <c r="E48" s="19" t="s">
        <v>905</v>
      </c>
      <c r="F48" s="19" t="s">
        <v>906</v>
      </c>
      <c r="G48" s="12"/>
    </row>
    <row r="49" spans="1:7" x14ac:dyDescent="0.25">
      <c r="A49" s="17">
        <v>46009</v>
      </c>
      <c r="B49" s="12" t="s">
        <v>938</v>
      </c>
      <c r="C49" s="12" t="s">
        <v>851</v>
      </c>
      <c r="D49" s="18">
        <v>24.99</v>
      </c>
      <c r="E49" s="19" t="s">
        <v>905</v>
      </c>
      <c r="F49" s="19" t="s">
        <v>906</v>
      </c>
      <c r="G49" s="12"/>
    </row>
    <row r="50" spans="1:7" x14ac:dyDescent="0.25">
      <c r="A50" s="17">
        <v>46009</v>
      </c>
      <c r="B50" s="12" t="s">
        <v>939</v>
      </c>
      <c r="C50" s="12" t="s">
        <v>851</v>
      </c>
      <c r="D50" s="18">
        <v>19.02</v>
      </c>
      <c r="E50" s="19" t="s">
        <v>905</v>
      </c>
      <c r="F50" s="19" t="s">
        <v>906</v>
      </c>
      <c r="G50" s="12"/>
    </row>
    <row r="51" spans="1:7" x14ac:dyDescent="0.25">
      <c r="A51" s="17">
        <v>46009</v>
      </c>
      <c r="B51" s="12" t="s">
        <v>940</v>
      </c>
      <c r="C51" s="12" t="s">
        <v>851</v>
      </c>
      <c r="D51" s="18">
        <v>20.420000000000002</v>
      </c>
      <c r="E51" s="19" t="s">
        <v>905</v>
      </c>
      <c r="F51" s="19" t="s">
        <v>906</v>
      </c>
      <c r="G51" s="12"/>
    </row>
    <row r="52" spans="1:7" x14ac:dyDescent="0.25">
      <c r="A52" s="17">
        <v>46009</v>
      </c>
      <c r="B52" s="12" t="s">
        <v>941</v>
      </c>
      <c r="C52" s="12" t="s">
        <v>851</v>
      </c>
      <c r="D52" s="18">
        <v>43.6</v>
      </c>
      <c r="E52" s="19" t="s">
        <v>905</v>
      </c>
      <c r="F52" s="19" t="s">
        <v>906</v>
      </c>
      <c r="G52" s="12"/>
    </row>
    <row r="53" spans="1:7" x14ac:dyDescent="0.25">
      <c r="A53" s="17">
        <v>46009</v>
      </c>
      <c r="B53" s="12" t="s">
        <v>942</v>
      </c>
      <c r="C53" s="12" t="s">
        <v>851</v>
      </c>
      <c r="D53" s="18">
        <v>27.05</v>
      </c>
      <c r="E53" s="19" t="s">
        <v>905</v>
      </c>
      <c r="F53" s="19" t="s">
        <v>906</v>
      </c>
      <c r="G53" s="12"/>
    </row>
    <row r="54" spans="1:7" x14ac:dyDescent="0.25">
      <c r="A54" s="17">
        <v>46009</v>
      </c>
      <c r="B54" s="12" t="s">
        <v>943</v>
      </c>
      <c r="C54" s="12" t="s">
        <v>851</v>
      </c>
      <c r="D54" s="18">
        <v>54.67</v>
      </c>
      <c r="E54" s="19" t="s">
        <v>905</v>
      </c>
      <c r="F54" s="19" t="s">
        <v>906</v>
      </c>
      <c r="G54" s="12"/>
    </row>
    <row r="55" spans="1:7" x14ac:dyDescent="0.25">
      <c r="A55" s="17">
        <v>46009</v>
      </c>
      <c r="B55" s="12" t="s">
        <v>944</v>
      </c>
      <c r="C55" s="12" t="s">
        <v>851</v>
      </c>
      <c r="D55" s="18">
        <v>25.43</v>
      </c>
      <c r="E55" s="19" t="s">
        <v>905</v>
      </c>
      <c r="F55" s="19" t="s">
        <v>906</v>
      </c>
      <c r="G55" s="12"/>
    </row>
    <row r="56" spans="1:7" x14ac:dyDescent="0.25">
      <c r="A56" s="17">
        <v>46009</v>
      </c>
      <c r="B56" s="12" t="s">
        <v>945</v>
      </c>
      <c r="C56" s="12" t="s">
        <v>851</v>
      </c>
      <c r="D56" s="18">
        <v>4.74</v>
      </c>
      <c r="E56" s="19" t="s">
        <v>905</v>
      </c>
      <c r="F56" s="19" t="s">
        <v>906</v>
      </c>
      <c r="G56" s="12"/>
    </row>
    <row r="57" spans="1:7" x14ac:dyDescent="0.25">
      <c r="A57" s="17">
        <v>46007</v>
      </c>
      <c r="B57" s="12" t="s">
        <v>946</v>
      </c>
      <c r="C57" s="12" t="s">
        <v>852</v>
      </c>
      <c r="D57" s="18">
        <v>2000</v>
      </c>
      <c r="E57" s="19" t="s">
        <v>947</v>
      </c>
      <c r="F57" s="19"/>
      <c r="G57" s="12"/>
    </row>
    <row r="58" spans="1:7" x14ac:dyDescent="0.25">
      <c r="A58" s="17">
        <v>46005</v>
      </c>
      <c r="B58" s="12" t="s">
        <v>948</v>
      </c>
      <c r="C58" s="12" t="s">
        <v>853</v>
      </c>
      <c r="D58" s="18">
        <v>1657.5</v>
      </c>
      <c r="E58" s="19" t="s">
        <v>947</v>
      </c>
      <c r="F58" s="19"/>
      <c r="G58" s="12"/>
    </row>
    <row r="59" spans="1:7" x14ac:dyDescent="0.25">
      <c r="A59" s="17">
        <v>45999</v>
      </c>
      <c r="B59" s="12" t="s">
        <v>949</v>
      </c>
      <c r="C59" s="12" t="s">
        <v>854</v>
      </c>
      <c r="D59" s="18">
        <v>79</v>
      </c>
      <c r="E59" s="19" t="s">
        <v>905</v>
      </c>
      <c r="F59" s="19" t="s">
        <v>906</v>
      </c>
      <c r="G59" s="12"/>
    </row>
    <row r="60" spans="1:7" x14ac:dyDescent="0.25">
      <c r="A60" s="17">
        <v>45996</v>
      </c>
      <c r="B60" s="12" t="s">
        <v>950</v>
      </c>
      <c r="C60" s="12" t="s">
        <v>855</v>
      </c>
      <c r="D60" s="18">
        <v>36.14</v>
      </c>
      <c r="E60" s="19" t="s">
        <v>947</v>
      </c>
      <c r="F60" s="19"/>
      <c r="G60" s="12"/>
    </row>
    <row r="61" spans="1:7" x14ac:dyDescent="0.25">
      <c r="A61" s="17">
        <v>45996</v>
      </c>
      <c r="B61" s="12" t="s">
        <v>950</v>
      </c>
      <c r="C61" s="12" t="s">
        <v>855</v>
      </c>
      <c r="D61" s="18">
        <v>418.18</v>
      </c>
      <c r="E61" s="19" t="s">
        <v>947</v>
      </c>
      <c r="F61" s="19"/>
      <c r="G61" s="12"/>
    </row>
    <row r="62" spans="1:7" x14ac:dyDescent="0.25">
      <c r="A62" s="17">
        <v>45996</v>
      </c>
      <c r="B62" s="12" t="s">
        <v>130</v>
      </c>
      <c r="C62" s="12" t="s">
        <v>856</v>
      </c>
      <c r="D62" s="18">
        <v>-4281.72</v>
      </c>
      <c r="E62" s="19"/>
      <c r="F62" s="19"/>
      <c r="G62" s="12"/>
    </row>
    <row r="63" spans="1:7" x14ac:dyDescent="0.25">
      <c r="A63" s="17">
        <v>45996</v>
      </c>
      <c r="B63" s="12" t="s">
        <v>951</v>
      </c>
      <c r="C63" s="12" t="s">
        <v>855</v>
      </c>
      <c r="D63" s="18">
        <v>125.59</v>
      </c>
      <c r="E63" s="19" t="s">
        <v>947</v>
      </c>
      <c r="F63" s="19"/>
      <c r="G63" s="12"/>
    </row>
    <row r="64" spans="1:7" x14ac:dyDescent="0.25">
      <c r="A64" s="17">
        <v>45996</v>
      </c>
      <c r="B64" s="12" t="s">
        <v>952</v>
      </c>
      <c r="C64" s="12" t="s">
        <v>879</v>
      </c>
      <c r="D64" s="18">
        <v>20243.89</v>
      </c>
      <c r="E64" s="19" t="s">
        <v>947</v>
      </c>
      <c r="F64" s="19"/>
      <c r="G64" s="12"/>
    </row>
    <row r="65" spans="1:7" x14ac:dyDescent="0.25">
      <c r="A65" s="17">
        <v>45996</v>
      </c>
      <c r="B65" s="12" t="s">
        <v>953</v>
      </c>
      <c r="C65" s="12" t="s">
        <v>857</v>
      </c>
      <c r="D65" s="18">
        <v>455.49</v>
      </c>
      <c r="E65" s="19" t="s">
        <v>947</v>
      </c>
      <c r="F65" s="19"/>
      <c r="G65" s="12"/>
    </row>
    <row r="66" spans="1:7" x14ac:dyDescent="0.25">
      <c r="A66" s="17">
        <v>45995</v>
      </c>
      <c r="B66" s="12" t="s">
        <v>954</v>
      </c>
      <c r="C66" s="12" t="s">
        <v>858</v>
      </c>
      <c r="D66" s="18">
        <v>10.81</v>
      </c>
      <c r="E66" s="19" t="s">
        <v>947</v>
      </c>
      <c r="F66" s="19"/>
      <c r="G66" s="12"/>
    </row>
    <row r="67" spans="1:7" x14ac:dyDescent="0.25">
      <c r="A67" s="17">
        <v>45995</v>
      </c>
      <c r="B67" s="12" t="s">
        <v>141</v>
      </c>
      <c r="C67" s="12" t="s">
        <v>856</v>
      </c>
      <c r="D67" s="18">
        <v>-16724.330000000002</v>
      </c>
      <c r="E67" s="19"/>
      <c r="F67" s="19"/>
      <c r="G67" s="12"/>
    </row>
    <row r="68" spans="1:7" x14ac:dyDescent="0.25">
      <c r="A68" s="17">
        <v>45995</v>
      </c>
      <c r="B68" s="12" t="s">
        <v>909</v>
      </c>
      <c r="C68" s="12" t="s">
        <v>855</v>
      </c>
      <c r="D68" s="18">
        <v>49.44</v>
      </c>
      <c r="E68" s="19" t="s">
        <v>947</v>
      </c>
      <c r="F68" s="19"/>
      <c r="G68" s="12"/>
    </row>
    <row r="69" spans="1:7" x14ac:dyDescent="0.25">
      <c r="A69" s="17">
        <v>45995</v>
      </c>
      <c r="B69" s="12" t="s">
        <v>909</v>
      </c>
      <c r="C69" s="12" t="s">
        <v>855</v>
      </c>
      <c r="D69" s="18">
        <v>468.49</v>
      </c>
      <c r="E69" s="19" t="s">
        <v>947</v>
      </c>
      <c r="F69" s="19"/>
      <c r="G69" s="12"/>
    </row>
    <row r="70" spans="1:7" x14ac:dyDescent="0.25">
      <c r="A70" s="17">
        <v>45994</v>
      </c>
      <c r="B70" s="12" t="s">
        <v>920</v>
      </c>
      <c r="C70" s="12" t="s">
        <v>851</v>
      </c>
      <c r="D70" s="18">
        <v>4281.72</v>
      </c>
      <c r="E70" s="19" t="s">
        <v>905</v>
      </c>
      <c r="F70" s="19" t="s">
        <v>906</v>
      </c>
      <c r="G70" s="12"/>
    </row>
    <row r="71" spans="1:7" x14ac:dyDescent="0.25">
      <c r="A71" s="17">
        <v>45994</v>
      </c>
      <c r="B71" s="12" t="s">
        <v>148</v>
      </c>
      <c r="C71" s="12" t="s">
        <v>856</v>
      </c>
      <c r="D71" s="18">
        <v>-10000</v>
      </c>
      <c r="E71" s="19"/>
      <c r="F71" s="19"/>
      <c r="G71" s="12"/>
    </row>
    <row r="72" spans="1:7" x14ac:dyDescent="0.25">
      <c r="A72" s="17">
        <v>45994</v>
      </c>
      <c r="B72" s="12" t="s">
        <v>955</v>
      </c>
      <c r="C72" s="12" t="s">
        <v>859</v>
      </c>
      <c r="D72" s="18">
        <v>250</v>
      </c>
      <c r="E72" s="19" t="s">
        <v>947</v>
      </c>
      <c r="F72" s="19"/>
      <c r="G72" s="12"/>
    </row>
    <row r="73" spans="1:7" x14ac:dyDescent="0.25">
      <c r="A73" s="17">
        <v>45994</v>
      </c>
      <c r="B73" s="12" t="s">
        <v>955</v>
      </c>
      <c r="C73" s="12" t="s">
        <v>859</v>
      </c>
      <c r="D73" s="18">
        <v>250</v>
      </c>
      <c r="E73" s="19" t="s">
        <v>947</v>
      </c>
      <c r="F73" s="19"/>
      <c r="G73" s="12"/>
    </row>
    <row r="74" spans="1:7" x14ac:dyDescent="0.25">
      <c r="A74" s="17">
        <v>45992</v>
      </c>
      <c r="B74" s="12" t="s">
        <v>956</v>
      </c>
      <c r="C74" s="12" t="s">
        <v>854</v>
      </c>
      <c r="D74" s="18">
        <v>-0.01</v>
      </c>
      <c r="E74" s="19" t="s">
        <v>905</v>
      </c>
      <c r="F74" s="19" t="s">
        <v>906</v>
      </c>
      <c r="G74" s="12"/>
    </row>
    <row r="75" spans="1:7" x14ac:dyDescent="0.25">
      <c r="A75" s="17">
        <v>45991</v>
      </c>
      <c r="B75" s="12" t="s">
        <v>957</v>
      </c>
      <c r="C75" s="12" t="s">
        <v>858</v>
      </c>
      <c r="D75" s="18">
        <v>8.99</v>
      </c>
      <c r="E75" s="19" t="s">
        <v>947</v>
      </c>
      <c r="F75" s="19"/>
      <c r="G75" s="12"/>
    </row>
    <row r="76" spans="1:7" x14ac:dyDescent="0.25">
      <c r="A76" s="17">
        <v>45990</v>
      </c>
      <c r="B76" s="12" t="s">
        <v>957</v>
      </c>
      <c r="C76" s="12" t="s">
        <v>858</v>
      </c>
      <c r="D76" s="18">
        <v>18.989999999999998</v>
      </c>
      <c r="E76" s="19" t="s">
        <v>947</v>
      </c>
      <c r="F76" s="19"/>
      <c r="G76" s="12"/>
    </row>
    <row r="77" spans="1:7" x14ac:dyDescent="0.25">
      <c r="A77" s="17">
        <v>45990</v>
      </c>
      <c r="B77" s="12" t="s">
        <v>956</v>
      </c>
      <c r="C77" s="12" t="s">
        <v>854</v>
      </c>
      <c r="D77" s="18">
        <v>82.18</v>
      </c>
      <c r="E77" s="19" t="s">
        <v>905</v>
      </c>
      <c r="F77" s="19" t="s">
        <v>906</v>
      </c>
      <c r="G77" s="12"/>
    </row>
    <row r="78" spans="1:7" x14ac:dyDescent="0.25">
      <c r="A78" s="17">
        <v>45990</v>
      </c>
      <c r="B78" s="12" t="s">
        <v>958</v>
      </c>
      <c r="C78" s="12" t="s">
        <v>860</v>
      </c>
      <c r="D78" s="18">
        <v>5.15</v>
      </c>
      <c r="E78" s="19" t="s">
        <v>947</v>
      </c>
      <c r="F78" s="19"/>
      <c r="G78" s="12"/>
    </row>
    <row r="79" spans="1:7" x14ac:dyDescent="0.25">
      <c r="A79" s="17">
        <v>45989</v>
      </c>
      <c r="B79" s="12" t="s">
        <v>959</v>
      </c>
      <c r="C79" s="12" t="s">
        <v>865</v>
      </c>
      <c r="D79" s="18">
        <v>99</v>
      </c>
      <c r="E79" s="19" t="s">
        <v>947</v>
      </c>
      <c r="F79" s="19"/>
      <c r="G79" s="12"/>
    </row>
    <row r="80" spans="1:7" x14ac:dyDescent="0.25">
      <c r="A80" s="17">
        <v>45987</v>
      </c>
      <c r="B80" s="12" t="s">
        <v>130</v>
      </c>
      <c r="C80" s="12" t="s">
        <v>856</v>
      </c>
      <c r="D80" s="18">
        <v>-2134.33</v>
      </c>
      <c r="E80" s="19"/>
      <c r="F80" s="19"/>
      <c r="G80" s="12"/>
    </row>
    <row r="81" spans="1:7" x14ac:dyDescent="0.25">
      <c r="A81" s="17">
        <v>45987</v>
      </c>
      <c r="B81" s="12" t="s">
        <v>946</v>
      </c>
      <c r="C81" s="12" t="s">
        <v>852</v>
      </c>
      <c r="D81" s="18">
        <v>2000</v>
      </c>
      <c r="E81" s="19" t="s">
        <v>947</v>
      </c>
      <c r="F81" s="19"/>
      <c r="G81" s="12"/>
    </row>
    <row r="82" spans="1:7" x14ac:dyDescent="0.25">
      <c r="A82" s="17">
        <v>45987</v>
      </c>
      <c r="B82" s="12" t="s">
        <v>960</v>
      </c>
      <c r="C82" s="12" t="s">
        <v>860</v>
      </c>
      <c r="D82" s="18">
        <v>139.05000000000001</v>
      </c>
      <c r="E82" s="19" t="s">
        <v>947</v>
      </c>
      <c r="F82" s="19"/>
      <c r="G82" s="12"/>
    </row>
    <row r="83" spans="1:7" x14ac:dyDescent="0.25">
      <c r="A83" s="17">
        <v>45985</v>
      </c>
      <c r="B83" s="12" t="s">
        <v>961</v>
      </c>
      <c r="C83" s="12" t="s">
        <v>858</v>
      </c>
      <c r="D83" s="18">
        <v>9.99</v>
      </c>
      <c r="E83" s="19" t="s">
        <v>947</v>
      </c>
      <c r="F83" s="19"/>
      <c r="G83" s="12"/>
    </row>
    <row r="84" spans="1:7" x14ac:dyDescent="0.25">
      <c r="A84" s="17">
        <v>45985</v>
      </c>
      <c r="B84" s="12" t="s">
        <v>962</v>
      </c>
      <c r="C84" s="12" t="s">
        <v>862</v>
      </c>
      <c r="D84" s="18">
        <v>97.2</v>
      </c>
      <c r="E84" s="19" t="s">
        <v>905</v>
      </c>
      <c r="F84" s="19" t="s">
        <v>906</v>
      </c>
      <c r="G84" s="12"/>
    </row>
    <row r="85" spans="1:7" x14ac:dyDescent="0.25">
      <c r="A85" s="17">
        <v>45979</v>
      </c>
      <c r="B85" s="12" t="s">
        <v>938</v>
      </c>
      <c r="C85" s="12" t="s">
        <v>863</v>
      </c>
      <c r="D85" s="18">
        <v>24.99</v>
      </c>
      <c r="E85" s="19" t="s">
        <v>905</v>
      </c>
      <c r="F85" s="19" t="s">
        <v>906</v>
      </c>
      <c r="G85" s="12"/>
    </row>
    <row r="86" spans="1:7" x14ac:dyDescent="0.25">
      <c r="A86" s="17">
        <v>45975</v>
      </c>
      <c r="B86" s="12" t="s">
        <v>959</v>
      </c>
      <c r="C86" s="12" t="s">
        <v>865</v>
      </c>
      <c r="D86" s="18">
        <v>77</v>
      </c>
      <c r="E86" s="19" t="s">
        <v>947</v>
      </c>
      <c r="F86" s="19"/>
      <c r="G86" s="12"/>
    </row>
    <row r="87" spans="1:7" x14ac:dyDescent="0.25">
      <c r="A87" s="17">
        <v>45971</v>
      </c>
      <c r="B87" s="12" t="s">
        <v>963</v>
      </c>
      <c r="C87" s="12" t="s">
        <v>864</v>
      </c>
      <c r="D87" s="18">
        <v>399.67</v>
      </c>
      <c r="E87" s="19" t="s">
        <v>947</v>
      </c>
      <c r="F87" s="19"/>
      <c r="G87" s="12"/>
    </row>
    <row r="88" spans="1:7" x14ac:dyDescent="0.25">
      <c r="A88" s="17">
        <v>45968</v>
      </c>
      <c r="B88" s="12" t="s">
        <v>959</v>
      </c>
      <c r="C88" s="12" t="s">
        <v>865</v>
      </c>
      <c r="D88" s="18">
        <v>275</v>
      </c>
      <c r="E88" s="19" t="s">
        <v>947</v>
      </c>
      <c r="F88" s="19"/>
      <c r="G88" s="12"/>
    </row>
    <row r="89" spans="1:7" x14ac:dyDescent="0.25">
      <c r="A89" s="17">
        <v>45966</v>
      </c>
      <c r="B89" s="12" t="s">
        <v>961</v>
      </c>
      <c r="C89" s="12" t="s">
        <v>858</v>
      </c>
      <c r="D89" s="18">
        <v>9.99</v>
      </c>
      <c r="E89" s="19" t="s">
        <v>947</v>
      </c>
      <c r="F89" s="19"/>
      <c r="G89" s="12"/>
    </row>
    <row r="90" spans="1:7" x14ac:dyDescent="0.25">
      <c r="A90" s="17">
        <v>45965</v>
      </c>
      <c r="B90" s="12" t="s">
        <v>954</v>
      </c>
      <c r="C90" s="12" t="s">
        <v>858</v>
      </c>
      <c r="D90" s="18">
        <v>10.81</v>
      </c>
      <c r="E90" s="19" t="s">
        <v>947</v>
      </c>
      <c r="F90" s="19"/>
      <c r="G90" s="12"/>
    </row>
    <row r="91" spans="1:7" x14ac:dyDescent="0.25">
      <c r="A91" s="17">
        <v>45964</v>
      </c>
      <c r="B91" s="12" t="s">
        <v>920</v>
      </c>
      <c r="C91" s="12" t="s">
        <v>851</v>
      </c>
      <c r="D91" s="18">
        <v>4257.28</v>
      </c>
      <c r="E91" s="19" t="s">
        <v>905</v>
      </c>
      <c r="F91" s="19" t="s">
        <v>906</v>
      </c>
      <c r="G91" s="12"/>
    </row>
    <row r="92" spans="1:7" x14ac:dyDescent="0.25">
      <c r="A92" s="17">
        <v>45959</v>
      </c>
      <c r="B92" s="12" t="s">
        <v>964</v>
      </c>
      <c r="C92" s="12" t="s">
        <v>858</v>
      </c>
      <c r="D92" s="18">
        <v>35</v>
      </c>
      <c r="E92" s="19" t="s">
        <v>947</v>
      </c>
      <c r="F92" s="19"/>
      <c r="G92" s="12"/>
    </row>
    <row r="93" spans="1:7" x14ac:dyDescent="0.25">
      <c r="A93" s="17">
        <v>45956</v>
      </c>
      <c r="B93" s="12" t="s">
        <v>959</v>
      </c>
      <c r="C93" s="12" t="s">
        <v>865</v>
      </c>
      <c r="D93" s="18">
        <v>70</v>
      </c>
      <c r="E93" s="19" t="s">
        <v>947</v>
      </c>
      <c r="F93" s="19"/>
      <c r="G93" s="12"/>
    </row>
    <row r="94" spans="1:7" x14ac:dyDescent="0.25">
      <c r="A94" s="17">
        <v>45951</v>
      </c>
      <c r="B94" s="12" t="s">
        <v>965</v>
      </c>
      <c r="C94" s="12" t="s">
        <v>866</v>
      </c>
      <c r="D94" s="18">
        <v>11300</v>
      </c>
      <c r="E94" s="19" t="s">
        <v>947</v>
      </c>
      <c r="F94" s="19"/>
      <c r="G94" s="12"/>
    </row>
    <row r="95" spans="1:7" x14ac:dyDescent="0.25">
      <c r="A95" s="17">
        <v>45949</v>
      </c>
      <c r="B95" s="12" t="s">
        <v>966</v>
      </c>
      <c r="C95" s="12" t="s">
        <v>867</v>
      </c>
      <c r="D95" s="18">
        <v>4116.3</v>
      </c>
      <c r="E95" s="19" t="s">
        <v>947</v>
      </c>
      <c r="F95" s="19"/>
      <c r="G95" s="12"/>
    </row>
    <row r="96" spans="1:7" x14ac:dyDescent="0.25">
      <c r="A96" s="17">
        <v>45948</v>
      </c>
      <c r="B96" s="12" t="s">
        <v>938</v>
      </c>
      <c r="C96" s="12" t="s">
        <v>863</v>
      </c>
      <c r="D96" s="18">
        <v>24.99</v>
      </c>
      <c r="E96" s="19" t="s">
        <v>905</v>
      </c>
      <c r="F96" s="19" t="s">
        <v>906</v>
      </c>
      <c r="G96" s="12"/>
    </row>
    <row r="97" spans="1:7" x14ac:dyDescent="0.25">
      <c r="A97" s="17">
        <v>45947</v>
      </c>
      <c r="B97" s="12" t="s">
        <v>967</v>
      </c>
      <c r="C97" s="12" t="s">
        <v>866</v>
      </c>
      <c r="D97" s="18">
        <v>-11300</v>
      </c>
      <c r="E97" s="19" t="s">
        <v>947</v>
      </c>
      <c r="F97" s="19"/>
      <c r="G97" s="12"/>
    </row>
    <row r="98" spans="1:7" x14ac:dyDescent="0.25">
      <c r="A98" s="17">
        <v>45947</v>
      </c>
      <c r="B98" s="12" t="s">
        <v>967</v>
      </c>
      <c r="C98" s="12" t="s">
        <v>866</v>
      </c>
      <c r="D98" s="18">
        <v>-50</v>
      </c>
      <c r="E98" s="19" t="s">
        <v>947</v>
      </c>
      <c r="F98" s="19"/>
      <c r="G98" s="12"/>
    </row>
    <row r="99" spans="1:7" x14ac:dyDescent="0.25">
      <c r="A99" s="17">
        <v>45939</v>
      </c>
      <c r="B99" s="12" t="s">
        <v>968</v>
      </c>
      <c r="C99" s="12" t="s">
        <v>866</v>
      </c>
      <c r="D99" s="18">
        <v>11350</v>
      </c>
      <c r="E99" s="19" t="s">
        <v>947</v>
      </c>
      <c r="F99" s="19"/>
      <c r="G99" s="12"/>
    </row>
    <row r="100" spans="1:7" x14ac:dyDescent="0.25">
      <c r="A100" s="17">
        <v>45937</v>
      </c>
      <c r="B100" s="12" t="s">
        <v>968</v>
      </c>
      <c r="C100" s="12" t="s">
        <v>868</v>
      </c>
      <c r="D100" s="18">
        <v>595</v>
      </c>
      <c r="E100" s="19" t="s">
        <v>905</v>
      </c>
      <c r="F100" s="19" t="s">
        <v>906</v>
      </c>
      <c r="G100" s="12"/>
    </row>
    <row r="101" spans="1:7" x14ac:dyDescent="0.25">
      <c r="A101" s="17">
        <v>45934</v>
      </c>
      <c r="B101" s="12" t="s">
        <v>954</v>
      </c>
      <c r="C101" s="12" t="s">
        <v>858</v>
      </c>
      <c r="D101" s="18">
        <v>10.81</v>
      </c>
      <c r="E101" s="19" t="s">
        <v>947</v>
      </c>
      <c r="F101" s="19"/>
      <c r="G101" s="12"/>
    </row>
    <row r="102" spans="1:7" x14ac:dyDescent="0.25">
      <c r="A102" s="17">
        <v>45931</v>
      </c>
      <c r="B102" s="12" t="s">
        <v>955</v>
      </c>
      <c r="C102" s="12" t="s">
        <v>859</v>
      </c>
      <c r="D102" s="18">
        <v>750</v>
      </c>
      <c r="E102" s="19" t="s">
        <v>947</v>
      </c>
      <c r="F102" s="19"/>
      <c r="G102" s="12"/>
    </row>
    <row r="103" spans="1:7" x14ac:dyDescent="0.25">
      <c r="A103" s="17">
        <v>45931</v>
      </c>
      <c r="B103" s="12" t="s">
        <v>955</v>
      </c>
      <c r="C103" s="12" t="s">
        <v>859</v>
      </c>
      <c r="D103" s="18">
        <v>925</v>
      </c>
      <c r="E103" s="19" t="s">
        <v>947</v>
      </c>
      <c r="F103" s="19"/>
      <c r="G103" s="12"/>
    </row>
    <row r="104" spans="1:7" x14ac:dyDescent="0.25">
      <c r="A104" s="17">
        <v>45928</v>
      </c>
      <c r="B104" s="12" t="s">
        <v>141</v>
      </c>
      <c r="C104" s="12" t="s">
        <v>856</v>
      </c>
      <c r="D104" s="18">
        <v>-14871.34</v>
      </c>
      <c r="E104" s="19"/>
      <c r="F104" s="19"/>
      <c r="G104" s="12"/>
    </row>
    <row r="105" spans="1:7" x14ac:dyDescent="0.25">
      <c r="A105" s="17">
        <v>45924</v>
      </c>
      <c r="B105" s="12" t="s">
        <v>961</v>
      </c>
      <c r="C105" s="12" t="s">
        <v>858</v>
      </c>
      <c r="D105" s="18">
        <v>9.99</v>
      </c>
      <c r="E105" s="19" t="s">
        <v>947</v>
      </c>
      <c r="F105" s="19"/>
      <c r="G105" s="12"/>
    </row>
    <row r="106" spans="1:7" x14ac:dyDescent="0.25">
      <c r="A106" s="17">
        <v>45921</v>
      </c>
      <c r="B106" s="12" t="s">
        <v>969</v>
      </c>
      <c r="C106" s="12" t="s">
        <v>862</v>
      </c>
      <c r="D106" s="18">
        <v>24.72</v>
      </c>
      <c r="E106" s="19" t="s">
        <v>905</v>
      </c>
      <c r="F106" s="19" t="s">
        <v>906</v>
      </c>
      <c r="G106" s="12"/>
    </row>
    <row r="107" spans="1:7" x14ac:dyDescent="0.25">
      <c r="A107" s="17">
        <v>45921</v>
      </c>
      <c r="B107" s="12" t="s">
        <v>959</v>
      </c>
      <c r="C107" s="12" t="s">
        <v>865</v>
      </c>
      <c r="D107" s="18">
        <v>72.97</v>
      </c>
      <c r="E107" s="19" t="s">
        <v>947</v>
      </c>
      <c r="F107" s="19"/>
      <c r="G107" s="12"/>
    </row>
    <row r="108" spans="1:7" x14ac:dyDescent="0.25">
      <c r="A108" s="17">
        <v>45918</v>
      </c>
      <c r="B108" s="12" t="s">
        <v>970</v>
      </c>
      <c r="C108" s="12" t="s">
        <v>869</v>
      </c>
      <c r="D108" s="18">
        <v>2661.33</v>
      </c>
      <c r="E108" s="19" t="s">
        <v>905</v>
      </c>
      <c r="F108" s="19" t="s">
        <v>906</v>
      </c>
      <c r="G108" s="12"/>
    </row>
    <row r="109" spans="1:7" x14ac:dyDescent="0.25">
      <c r="A109" s="17">
        <v>45918</v>
      </c>
      <c r="B109" s="12" t="s">
        <v>938</v>
      </c>
      <c r="C109" s="12" t="s">
        <v>863</v>
      </c>
      <c r="D109" s="18">
        <v>24.99</v>
      </c>
      <c r="E109" s="19" t="s">
        <v>905</v>
      </c>
      <c r="F109" s="19" t="s">
        <v>906</v>
      </c>
      <c r="G109" s="12"/>
    </row>
    <row r="110" spans="1:7" x14ac:dyDescent="0.25">
      <c r="A110" s="17">
        <v>45915</v>
      </c>
      <c r="B110" s="12" t="s">
        <v>971</v>
      </c>
      <c r="C110" s="12" t="s">
        <v>870</v>
      </c>
      <c r="D110" s="18">
        <v>140.15</v>
      </c>
      <c r="E110" s="19" t="s">
        <v>947</v>
      </c>
      <c r="F110" s="19"/>
      <c r="G110" s="12"/>
    </row>
    <row r="111" spans="1:7" x14ac:dyDescent="0.25">
      <c r="A111" s="17">
        <v>45914</v>
      </c>
      <c r="B111" s="12" t="s">
        <v>959</v>
      </c>
      <c r="C111" s="12" t="s">
        <v>865</v>
      </c>
      <c r="D111" s="18">
        <v>27.03</v>
      </c>
      <c r="E111" s="19" t="s">
        <v>947</v>
      </c>
      <c r="F111" s="19"/>
      <c r="G111" s="12"/>
    </row>
    <row r="112" spans="1:7" x14ac:dyDescent="0.25">
      <c r="A112" s="17">
        <v>45913</v>
      </c>
      <c r="B112" s="12" t="s">
        <v>972</v>
      </c>
      <c r="C112" s="12" t="s">
        <v>871</v>
      </c>
      <c r="D112" s="18">
        <v>115.13</v>
      </c>
      <c r="E112" s="19" t="s">
        <v>905</v>
      </c>
      <c r="F112" s="19" t="s">
        <v>906</v>
      </c>
      <c r="G112" s="12"/>
    </row>
    <row r="113" spans="1:7" x14ac:dyDescent="0.25">
      <c r="A113" s="17">
        <v>45913</v>
      </c>
      <c r="B113" s="12" t="s">
        <v>973</v>
      </c>
      <c r="C113" s="12" t="s">
        <v>871</v>
      </c>
      <c r="D113" s="18">
        <v>161</v>
      </c>
      <c r="E113" s="19" t="s">
        <v>905</v>
      </c>
      <c r="F113" s="19" t="s">
        <v>906</v>
      </c>
      <c r="G113" s="12"/>
    </row>
    <row r="114" spans="1:7" x14ac:dyDescent="0.25">
      <c r="A114" s="17">
        <v>45913</v>
      </c>
      <c r="B114" s="12" t="s">
        <v>974</v>
      </c>
      <c r="C114" s="12" t="s">
        <v>871</v>
      </c>
      <c r="D114" s="18">
        <v>66.03</v>
      </c>
      <c r="E114" s="19" t="s">
        <v>905</v>
      </c>
      <c r="F114" s="19" t="s">
        <v>906</v>
      </c>
      <c r="G114" s="12"/>
    </row>
    <row r="115" spans="1:7" x14ac:dyDescent="0.25">
      <c r="A115" s="17">
        <v>45912</v>
      </c>
      <c r="B115" s="12" t="s">
        <v>975</v>
      </c>
      <c r="C115" s="12" t="s">
        <v>872</v>
      </c>
      <c r="D115" s="18">
        <v>192.14</v>
      </c>
      <c r="E115" s="19" t="s">
        <v>905</v>
      </c>
      <c r="F115" s="19" t="s">
        <v>906</v>
      </c>
      <c r="G115" s="12"/>
    </row>
    <row r="116" spans="1:7" x14ac:dyDescent="0.25">
      <c r="A116" s="17">
        <v>45905</v>
      </c>
      <c r="B116" s="12" t="s">
        <v>961</v>
      </c>
      <c r="C116" s="12" t="s">
        <v>858</v>
      </c>
      <c r="D116" s="18">
        <v>9.99</v>
      </c>
      <c r="E116" s="19" t="s">
        <v>947</v>
      </c>
      <c r="F116" s="19"/>
      <c r="G116" s="12"/>
    </row>
    <row r="117" spans="1:7" x14ac:dyDescent="0.25">
      <c r="A117" s="17">
        <v>45904</v>
      </c>
      <c r="B117" s="12" t="s">
        <v>954</v>
      </c>
      <c r="C117" s="12" t="s">
        <v>858</v>
      </c>
      <c r="D117" s="18">
        <v>10.81</v>
      </c>
      <c r="E117" s="19" t="s">
        <v>947</v>
      </c>
      <c r="F117" s="19"/>
      <c r="G117" s="12"/>
    </row>
    <row r="118" spans="1:7" x14ac:dyDescent="0.25">
      <c r="A118" s="17">
        <v>45897</v>
      </c>
      <c r="B118" s="12" t="s">
        <v>141</v>
      </c>
      <c r="C118" s="12" t="s">
        <v>856</v>
      </c>
      <c r="D118" s="18">
        <v>-17183.32</v>
      </c>
      <c r="E118" s="19"/>
      <c r="F118" s="19"/>
      <c r="G118" s="12"/>
    </row>
    <row r="119" spans="1:7" x14ac:dyDescent="0.25">
      <c r="A119" s="17">
        <v>45889</v>
      </c>
      <c r="B119" s="12" t="s">
        <v>976</v>
      </c>
      <c r="C119" s="12" t="s">
        <v>873</v>
      </c>
      <c r="D119" s="18">
        <v>6.72</v>
      </c>
      <c r="E119" s="19" t="s">
        <v>905</v>
      </c>
      <c r="F119" s="19" t="s">
        <v>906</v>
      </c>
      <c r="G119" s="12"/>
    </row>
    <row r="120" spans="1:7" x14ac:dyDescent="0.25">
      <c r="A120" s="17">
        <v>45888</v>
      </c>
      <c r="B120" s="12" t="s">
        <v>977</v>
      </c>
      <c r="C120" s="12" t="s">
        <v>874</v>
      </c>
      <c r="D120" s="18">
        <v>139.05000000000001</v>
      </c>
      <c r="E120" s="19" t="s">
        <v>905</v>
      </c>
      <c r="F120" s="19" t="s">
        <v>906</v>
      </c>
      <c r="G120" s="12"/>
    </row>
    <row r="121" spans="1:7" x14ac:dyDescent="0.25">
      <c r="A121" s="17">
        <v>45888</v>
      </c>
      <c r="B121" s="12" t="s">
        <v>978</v>
      </c>
      <c r="C121" s="12" t="s">
        <v>870</v>
      </c>
      <c r="D121" s="18">
        <v>44.3</v>
      </c>
      <c r="E121" s="19" t="s">
        <v>947</v>
      </c>
      <c r="F121" s="19"/>
      <c r="G121" s="12"/>
    </row>
    <row r="122" spans="1:7" x14ac:dyDescent="0.25">
      <c r="A122" s="17">
        <v>45887</v>
      </c>
      <c r="B122" s="12" t="s">
        <v>979</v>
      </c>
      <c r="C122" s="12" t="s">
        <v>853</v>
      </c>
      <c r="D122" s="18">
        <v>5000</v>
      </c>
      <c r="E122" s="19" t="s">
        <v>947</v>
      </c>
      <c r="F122" s="19"/>
      <c r="G122" s="12"/>
    </row>
    <row r="123" spans="1:7" x14ac:dyDescent="0.25">
      <c r="A123" s="17">
        <v>45887</v>
      </c>
      <c r="B123" s="12" t="s">
        <v>938</v>
      </c>
      <c r="C123" s="12" t="s">
        <v>858</v>
      </c>
      <c r="D123" s="18">
        <v>24.99</v>
      </c>
      <c r="E123" s="19" t="s">
        <v>947</v>
      </c>
      <c r="F123" s="19"/>
      <c r="G123" s="12"/>
    </row>
    <row r="124" spans="1:7" x14ac:dyDescent="0.25">
      <c r="A124" s="17">
        <v>45879</v>
      </c>
      <c r="B124" s="12" t="s">
        <v>973</v>
      </c>
      <c r="C124" s="12" t="s">
        <v>871</v>
      </c>
      <c r="D124" s="18">
        <v>155</v>
      </c>
      <c r="E124" s="19" t="s">
        <v>905</v>
      </c>
      <c r="F124" s="19" t="s">
        <v>906</v>
      </c>
      <c r="G124" s="12"/>
    </row>
    <row r="125" spans="1:7" x14ac:dyDescent="0.25">
      <c r="A125" s="17">
        <v>45878</v>
      </c>
      <c r="B125" s="12" t="s">
        <v>980</v>
      </c>
      <c r="C125" s="12" t="s">
        <v>854</v>
      </c>
      <c r="D125" s="18">
        <v>142.18</v>
      </c>
      <c r="E125" s="19" t="s">
        <v>905</v>
      </c>
      <c r="F125" s="19" t="s">
        <v>906</v>
      </c>
      <c r="G125" s="12"/>
    </row>
    <row r="126" spans="1:7" x14ac:dyDescent="0.25">
      <c r="A126" s="17">
        <v>45873</v>
      </c>
      <c r="B126" s="12" t="s">
        <v>981</v>
      </c>
      <c r="C126" s="12" t="s">
        <v>858</v>
      </c>
      <c r="D126" s="18">
        <v>10.81</v>
      </c>
      <c r="E126" s="19" t="s">
        <v>947</v>
      </c>
      <c r="F126" s="19"/>
      <c r="G126" s="12"/>
    </row>
    <row r="127" spans="1:7" x14ac:dyDescent="0.25">
      <c r="A127" s="17">
        <v>45873</v>
      </c>
      <c r="B127" s="12" t="s">
        <v>982</v>
      </c>
      <c r="C127" s="12" t="s">
        <v>855</v>
      </c>
      <c r="D127" s="18">
        <v>46</v>
      </c>
      <c r="E127" s="19" t="s">
        <v>947</v>
      </c>
      <c r="F127" s="19"/>
      <c r="G127" s="12"/>
    </row>
    <row r="128" spans="1:7" x14ac:dyDescent="0.25">
      <c r="A128" s="17">
        <v>45872</v>
      </c>
      <c r="B128" s="12" t="s">
        <v>983</v>
      </c>
      <c r="C128" s="12" t="s">
        <v>873</v>
      </c>
      <c r="D128" s="18">
        <v>6156.05</v>
      </c>
      <c r="E128" s="19" t="s">
        <v>905</v>
      </c>
      <c r="F128" s="19" t="s">
        <v>906</v>
      </c>
      <c r="G128" s="12"/>
    </row>
    <row r="129" spans="1:7" x14ac:dyDescent="0.25">
      <c r="A129" s="17">
        <v>45871</v>
      </c>
      <c r="B129" s="12" t="s">
        <v>984</v>
      </c>
      <c r="C129" s="12" t="s">
        <v>873</v>
      </c>
      <c r="D129" s="18">
        <v>2</v>
      </c>
      <c r="E129" s="19" t="s">
        <v>905</v>
      </c>
      <c r="F129" s="19" t="s">
        <v>906</v>
      </c>
      <c r="G129" s="12"/>
    </row>
    <row r="130" spans="1:7" x14ac:dyDescent="0.25">
      <c r="A130" s="17">
        <v>45871</v>
      </c>
      <c r="B130" s="12" t="s">
        <v>985</v>
      </c>
      <c r="C130" s="12" t="s">
        <v>871</v>
      </c>
      <c r="D130" s="18">
        <v>72.34</v>
      </c>
      <c r="E130" s="19" t="s">
        <v>905</v>
      </c>
      <c r="F130" s="19" t="s">
        <v>906</v>
      </c>
      <c r="G130" s="12"/>
    </row>
    <row r="131" spans="1:7" x14ac:dyDescent="0.25">
      <c r="A131" s="17">
        <v>45862</v>
      </c>
      <c r="B131" s="12" t="s">
        <v>141</v>
      </c>
      <c r="C131" s="12" t="s">
        <v>856</v>
      </c>
      <c r="D131" s="18">
        <v>-23574.61</v>
      </c>
      <c r="E131" s="19"/>
      <c r="F131" s="19"/>
      <c r="G131" s="12"/>
    </row>
    <row r="132" spans="1:7" x14ac:dyDescent="0.25">
      <c r="A132" s="17">
        <v>45856</v>
      </c>
      <c r="B132" s="12" t="s">
        <v>938</v>
      </c>
      <c r="C132" s="12" t="s">
        <v>863</v>
      </c>
      <c r="D132" s="18">
        <v>24.99</v>
      </c>
      <c r="E132" s="19" t="s">
        <v>905</v>
      </c>
      <c r="F132" s="19" t="s">
        <v>906</v>
      </c>
      <c r="G132" s="12"/>
    </row>
    <row r="133" spans="1:7" x14ac:dyDescent="0.25">
      <c r="A133" s="17">
        <v>45851</v>
      </c>
      <c r="B133" s="12" t="s">
        <v>986</v>
      </c>
      <c r="C133" s="12" t="s">
        <v>871</v>
      </c>
      <c r="D133" s="18">
        <v>193.19</v>
      </c>
      <c r="E133" s="19" t="s">
        <v>905</v>
      </c>
      <c r="F133" s="19" t="s">
        <v>906</v>
      </c>
      <c r="G133" s="12"/>
    </row>
    <row r="134" spans="1:7" x14ac:dyDescent="0.25">
      <c r="A134" s="17">
        <v>45851</v>
      </c>
      <c r="B134" s="12" t="s">
        <v>987</v>
      </c>
      <c r="C134" s="12" t="s">
        <v>871</v>
      </c>
      <c r="D134" s="18">
        <v>58.08</v>
      </c>
      <c r="E134" s="19" t="s">
        <v>905</v>
      </c>
      <c r="F134" s="19" t="s">
        <v>906</v>
      </c>
      <c r="G134" s="12"/>
    </row>
    <row r="135" spans="1:7" x14ac:dyDescent="0.25">
      <c r="A135" s="17">
        <v>45850</v>
      </c>
      <c r="B135" s="12" t="s">
        <v>988</v>
      </c>
      <c r="C135" s="12" t="s">
        <v>858</v>
      </c>
      <c r="D135" s="18">
        <v>17.309999999999999</v>
      </c>
      <c r="E135" s="19" t="s">
        <v>947</v>
      </c>
      <c r="F135" s="19"/>
      <c r="G135" s="12"/>
    </row>
    <row r="136" spans="1:7" x14ac:dyDescent="0.25">
      <c r="A136" s="17">
        <v>45850</v>
      </c>
      <c r="B136" s="12" t="s">
        <v>989</v>
      </c>
      <c r="C136" s="12" t="s">
        <v>872</v>
      </c>
      <c r="D136" s="18">
        <v>236.39</v>
      </c>
      <c r="E136" s="19" t="s">
        <v>905</v>
      </c>
      <c r="F136" s="19" t="s">
        <v>906</v>
      </c>
      <c r="G136" s="12"/>
    </row>
    <row r="137" spans="1:7" x14ac:dyDescent="0.25">
      <c r="A137" s="17">
        <v>45850</v>
      </c>
      <c r="B137" s="12" t="s">
        <v>990</v>
      </c>
      <c r="C137" s="12" t="s">
        <v>871</v>
      </c>
      <c r="D137" s="18">
        <v>164.2</v>
      </c>
      <c r="E137" s="19" t="s">
        <v>905</v>
      </c>
      <c r="F137" s="19" t="s">
        <v>906</v>
      </c>
      <c r="G137" s="12"/>
    </row>
    <row r="138" spans="1:7" x14ac:dyDescent="0.25">
      <c r="A138" s="17">
        <v>45848</v>
      </c>
      <c r="B138" s="12" t="s">
        <v>991</v>
      </c>
      <c r="C138" s="12" t="s">
        <v>876</v>
      </c>
      <c r="D138" s="18">
        <v>1511.3</v>
      </c>
      <c r="E138" s="19" t="s">
        <v>947</v>
      </c>
      <c r="F138" s="19"/>
      <c r="G138" s="12"/>
    </row>
    <row r="139" spans="1:7" x14ac:dyDescent="0.25">
      <c r="A139" s="17">
        <v>45848</v>
      </c>
      <c r="B139" s="12" t="s">
        <v>992</v>
      </c>
      <c r="C139" s="12" t="s">
        <v>875</v>
      </c>
      <c r="D139" s="18">
        <v>26.98</v>
      </c>
      <c r="E139" s="19" t="s">
        <v>947</v>
      </c>
      <c r="F139" s="19"/>
      <c r="G139" s="12"/>
    </row>
    <row r="140" spans="1:7" x14ac:dyDescent="0.25">
      <c r="A140" s="17">
        <v>45848</v>
      </c>
      <c r="B140" s="12" t="s">
        <v>993</v>
      </c>
      <c r="C140" s="12" t="s">
        <v>876</v>
      </c>
      <c r="D140" s="18">
        <v>1579.99</v>
      </c>
      <c r="E140" s="19" t="s">
        <v>947</v>
      </c>
      <c r="F140" s="19"/>
      <c r="G140" s="12"/>
    </row>
    <row r="141" spans="1:7" x14ac:dyDescent="0.25">
      <c r="A141" s="17">
        <v>45848</v>
      </c>
      <c r="B141" s="12" t="s">
        <v>994</v>
      </c>
      <c r="C141" s="12" t="s">
        <v>995</v>
      </c>
      <c r="D141" s="18">
        <v>46.07</v>
      </c>
      <c r="E141" s="19" t="s">
        <v>947</v>
      </c>
      <c r="F141" s="19"/>
      <c r="G141" s="12"/>
    </row>
    <row r="142" spans="1:7" x14ac:dyDescent="0.25">
      <c r="A142" s="17">
        <v>45848</v>
      </c>
      <c r="B142" s="12" t="s">
        <v>996</v>
      </c>
      <c r="C142" s="12" t="s">
        <v>858</v>
      </c>
      <c r="D142" s="18">
        <v>9.99</v>
      </c>
      <c r="E142" s="19" t="s">
        <v>947</v>
      </c>
      <c r="F142" s="19"/>
      <c r="G142" s="12"/>
    </row>
    <row r="143" spans="1:7" x14ac:dyDescent="0.25">
      <c r="A143" s="17">
        <v>45847</v>
      </c>
      <c r="B143" s="12" t="s">
        <v>997</v>
      </c>
      <c r="C143" s="12" t="s">
        <v>875</v>
      </c>
      <c r="D143" s="18">
        <v>13.79</v>
      </c>
      <c r="E143" s="19" t="s">
        <v>947</v>
      </c>
      <c r="F143" s="19"/>
      <c r="G143" s="12"/>
    </row>
    <row r="144" spans="1:7" x14ac:dyDescent="0.25">
      <c r="A144" s="17">
        <v>45847</v>
      </c>
      <c r="B144" s="12" t="s">
        <v>998</v>
      </c>
      <c r="C144" s="12" t="s">
        <v>876</v>
      </c>
      <c r="D144" s="18">
        <v>143.76</v>
      </c>
      <c r="E144" s="19" t="s">
        <v>947</v>
      </c>
      <c r="F144" s="19"/>
      <c r="G144" s="12"/>
    </row>
    <row r="145" spans="1:7" x14ac:dyDescent="0.25">
      <c r="A145" s="17">
        <v>45847</v>
      </c>
      <c r="B145" s="12" t="s">
        <v>999</v>
      </c>
      <c r="C145" s="12" t="s">
        <v>871</v>
      </c>
      <c r="D145" s="18">
        <v>7.69</v>
      </c>
      <c r="E145" s="19" t="s">
        <v>905</v>
      </c>
      <c r="F145" s="19" t="s">
        <v>906</v>
      </c>
      <c r="G145" s="12"/>
    </row>
    <row r="146" spans="1:7" x14ac:dyDescent="0.25">
      <c r="A146" s="17">
        <v>45846</v>
      </c>
      <c r="B146" s="12" t="s">
        <v>1000</v>
      </c>
      <c r="C146" s="12" t="s">
        <v>875</v>
      </c>
      <c r="D146" s="18">
        <v>30.97</v>
      </c>
      <c r="E146" s="19" t="s">
        <v>947</v>
      </c>
      <c r="F146" s="19"/>
      <c r="G146" s="12"/>
    </row>
    <row r="147" spans="1:7" x14ac:dyDescent="0.25">
      <c r="A147" s="17">
        <v>45844</v>
      </c>
      <c r="B147" s="12" t="s">
        <v>1001</v>
      </c>
      <c r="C147" s="12" t="s">
        <v>862</v>
      </c>
      <c r="D147" s="18">
        <v>5</v>
      </c>
      <c r="E147" s="19" t="s">
        <v>905</v>
      </c>
      <c r="F147" s="19" t="s">
        <v>906</v>
      </c>
      <c r="G147" s="12"/>
    </row>
    <row r="148" spans="1:7" x14ac:dyDescent="0.25">
      <c r="A148" s="17">
        <v>45844</v>
      </c>
      <c r="B148" s="12" t="s">
        <v>1001</v>
      </c>
      <c r="C148" s="12" t="s">
        <v>862</v>
      </c>
      <c r="D148" s="18">
        <v>5</v>
      </c>
      <c r="E148" s="19" t="s">
        <v>905</v>
      </c>
      <c r="F148" s="19" t="s">
        <v>906</v>
      </c>
      <c r="G148" s="12"/>
    </row>
    <row r="149" spans="1:7" x14ac:dyDescent="0.25">
      <c r="A149" s="17">
        <v>45842</v>
      </c>
      <c r="B149" s="12" t="s">
        <v>981</v>
      </c>
      <c r="C149" s="12" t="s">
        <v>858</v>
      </c>
      <c r="D149" s="18">
        <v>10.81</v>
      </c>
      <c r="E149" s="19" t="s">
        <v>947</v>
      </c>
      <c r="F149" s="19"/>
      <c r="G149" s="12"/>
    </row>
    <row r="150" spans="1:7" x14ac:dyDescent="0.25">
      <c r="A150" s="17">
        <v>45842</v>
      </c>
      <c r="B150" s="12" t="s">
        <v>987</v>
      </c>
      <c r="C150" s="12" t="s">
        <v>871</v>
      </c>
      <c r="D150" s="18">
        <v>11.71</v>
      </c>
      <c r="E150" s="19" t="s">
        <v>905</v>
      </c>
      <c r="F150" s="19" t="s">
        <v>906</v>
      </c>
      <c r="G150" s="12"/>
    </row>
    <row r="151" spans="1:7" x14ac:dyDescent="0.25">
      <c r="A151" s="17">
        <v>45840</v>
      </c>
      <c r="B151" s="12" t="s">
        <v>1002</v>
      </c>
      <c r="C151" s="12" t="s">
        <v>875</v>
      </c>
      <c r="D151" s="18">
        <v>13.98</v>
      </c>
      <c r="E151" s="19" t="s">
        <v>947</v>
      </c>
      <c r="F151" s="19"/>
      <c r="G151" s="12"/>
    </row>
    <row r="152" spans="1:7" x14ac:dyDescent="0.25">
      <c r="A152" s="17">
        <v>45839</v>
      </c>
      <c r="B152" s="12" t="s">
        <v>1003</v>
      </c>
      <c r="C152" s="12" t="s">
        <v>877</v>
      </c>
      <c r="D152" s="18">
        <v>883</v>
      </c>
      <c r="E152" s="19" t="s">
        <v>947</v>
      </c>
      <c r="F152" s="19"/>
      <c r="G152" s="12"/>
    </row>
    <row r="153" spans="1:7" x14ac:dyDescent="0.25">
      <c r="A153" s="17">
        <v>45839</v>
      </c>
      <c r="B153" s="12" t="s">
        <v>1004</v>
      </c>
      <c r="C153" s="12" t="s">
        <v>878</v>
      </c>
      <c r="D153" s="18">
        <v>8287.6200000000008</v>
      </c>
      <c r="E153" s="19" t="s">
        <v>947</v>
      </c>
      <c r="F153" s="19"/>
      <c r="G153" s="12"/>
    </row>
    <row r="154" spans="1:7" x14ac:dyDescent="0.25">
      <c r="A154" s="17">
        <v>45838</v>
      </c>
      <c r="B154" s="12" t="s">
        <v>952</v>
      </c>
      <c r="C154" s="12" t="s">
        <v>879</v>
      </c>
      <c r="D154" s="18">
        <v>3000</v>
      </c>
      <c r="E154" s="19" t="s">
        <v>947</v>
      </c>
      <c r="F154" s="19"/>
      <c r="G154" s="12"/>
    </row>
    <row r="155" spans="1:7" x14ac:dyDescent="0.25">
      <c r="A155" s="17">
        <v>45838</v>
      </c>
      <c r="B155" s="12" t="s">
        <v>953</v>
      </c>
      <c r="C155" s="12" t="s">
        <v>880</v>
      </c>
      <c r="D155" s="18">
        <v>67.5</v>
      </c>
      <c r="E155" s="19" t="s">
        <v>947</v>
      </c>
      <c r="F155" s="19"/>
      <c r="G155" s="12"/>
    </row>
    <row r="156" spans="1:7" x14ac:dyDescent="0.25">
      <c r="A156" s="17">
        <v>45837</v>
      </c>
      <c r="B156" s="12" t="s">
        <v>334</v>
      </c>
      <c r="C156" s="12" t="s">
        <v>871</v>
      </c>
      <c r="D156" s="18">
        <v>12.95</v>
      </c>
      <c r="E156" s="19" t="s">
        <v>905</v>
      </c>
      <c r="F156" s="19" t="s">
        <v>906</v>
      </c>
      <c r="G156" s="12"/>
    </row>
    <row r="157" spans="1:7" x14ac:dyDescent="0.25">
      <c r="A157" s="17">
        <v>45835</v>
      </c>
      <c r="B157" s="12" t="s">
        <v>130</v>
      </c>
      <c r="C157" s="12" t="s">
        <v>856</v>
      </c>
      <c r="D157" s="18">
        <v>-11337.06</v>
      </c>
      <c r="E157" s="19"/>
      <c r="F157" s="19"/>
      <c r="G157" s="12"/>
    </row>
    <row r="158" spans="1:7" x14ac:dyDescent="0.25">
      <c r="A158" s="17">
        <v>45834</v>
      </c>
      <c r="B158" s="12" t="s">
        <v>1005</v>
      </c>
      <c r="C158" s="12" t="s">
        <v>872</v>
      </c>
      <c r="D158" s="18">
        <v>283.16000000000003</v>
      </c>
      <c r="E158" s="19" t="s">
        <v>905</v>
      </c>
      <c r="F158" s="19" t="s">
        <v>906</v>
      </c>
      <c r="G158" s="12"/>
    </row>
    <row r="159" spans="1:7" x14ac:dyDescent="0.25">
      <c r="A159" s="17">
        <v>45833</v>
      </c>
      <c r="B159" s="12" t="s">
        <v>962</v>
      </c>
      <c r="C159" s="12" t="s">
        <v>862</v>
      </c>
      <c r="D159" s="18">
        <v>70.5</v>
      </c>
      <c r="E159" s="19" t="s">
        <v>905</v>
      </c>
      <c r="F159" s="19" t="s">
        <v>906</v>
      </c>
      <c r="G159" s="12"/>
    </row>
    <row r="160" spans="1:7" x14ac:dyDescent="0.25">
      <c r="A160" s="17">
        <v>45831</v>
      </c>
      <c r="B160" s="12" t="s">
        <v>1006</v>
      </c>
      <c r="C160" s="12" t="s">
        <v>881</v>
      </c>
      <c r="D160" s="18">
        <v>219</v>
      </c>
      <c r="E160" s="19" t="s">
        <v>947</v>
      </c>
      <c r="F160" s="19"/>
      <c r="G160" s="12"/>
    </row>
    <row r="161" spans="1:7" x14ac:dyDescent="0.25">
      <c r="A161" s="17">
        <v>45830</v>
      </c>
      <c r="B161" s="12" t="s">
        <v>987</v>
      </c>
      <c r="C161" s="12" t="s">
        <v>871</v>
      </c>
      <c r="D161" s="18">
        <v>63.19</v>
      </c>
      <c r="E161" s="19" t="s">
        <v>905</v>
      </c>
      <c r="F161" s="19" t="s">
        <v>906</v>
      </c>
      <c r="G161" s="12"/>
    </row>
    <row r="162" spans="1:7" x14ac:dyDescent="0.25">
      <c r="A162" s="17">
        <v>45828</v>
      </c>
      <c r="B162" s="12" t="s">
        <v>1007</v>
      </c>
      <c r="C162" s="12" t="s">
        <v>882</v>
      </c>
      <c r="D162" s="18">
        <v>681.57</v>
      </c>
      <c r="E162" s="19" t="s">
        <v>947</v>
      </c>
      <c r="F162" s="19"/>
      <c r="G162" s="12"/>
    </row>
    <row r="163" spans="1:7" x14ac:dyDescent="0.25">
      <c r="A163" s="17">
        <v>45828</v>
      </c>
      <c r="B163" s="12" t="s">
        <v>1008</v>
      </c>
      <c r="C163" s="12" t="s">
        <v>874</v>
      </c>
      <c r="D163" s="18">
        <v>103.2</v>
      </c>
      <c r="E163" s="19" t="s">
        <v>905</v>
      </c>
      <c r="F163" s="19" t="s">
        <v>906</v>
      </c>
      <c r="G163" s="12"/>
    </row>
    <row r="164" spans="1:7" x14ac:dyDescent="0.25">
      <c r="A164" s="17">
        <v>45827</v>
      </c>
      <c r="B164" s="12" t="s">
        <v>1009</v>
      </c>
      <c r="C164" s="12" t="s">
        <v>858</v>
      </c>
      <c r="D164" s="18">
        <v>24</v>
      </c>
      <c r="E164" s="19" t="s">
        <v>947</v>
      </c>
      <c r="F164" s="19"/>
      <c r="G164" s="12"/>
    </row>
    <row r="165" spans="1:7" x14ac:dyDescent="0.25">
      <c r="A165" s="17">
        <v>45827</v>
      </c>
      <c r="B165" s="12" t="s">
        <v>987</v>
      </c>
      <c r="C165" s="12" t="s">
        <v>871</v>
      </c>
      <c r="D165" s="18">
        <v>84.6</v>
      </c>
      <c r="E165" s="19" t="s">
        <v>905</v>
      </c>
      <c r="F165" s="19" t="s">
        <v>906</v>
      </c>
      <c r="G165" s="12"/>
    </row>
    <row r="166" spans="1:7" x14ac:dyDescent="0.25">
      <c r="A166" s="17">
        <v>45826</v>
      </c>
      <c r="B166" s="12" t="s">
        <v>938</v>
      </c>
      <c r="C166" s="12" t="s">
        <v>863</v>
      </c>
      <c r="D166" s="18">
        <v>24.99</v>
      </c>
      <c r="E166" s="19" t="s">
        <v>905</v>
      </c>
      <c r="F166" s="19" t="s">
        <v>906</v>
      </c>
      <c r="G166" s="12"/>
    </row>
    <row r="167" spans="1:7" x14ac:dyDescent="0.25">
      <c r="A167" s="17">
        <v>45825</v>
      </c>
      <c r="B167" s="12" t="s">
        <v>1010</v>
      </c>
      <c r="C167" s="12" t="s">
        <v>875</v>
      </c>
      <c r="D167" s="18">
        <v>19.97</v>
      </c>
      <c r="E167" s="19" t="s">
        <v>947</v>
      </c>
      <c r="F167" s="19"/>
      <c r="G167" s="12"/>
    </row>
    <row r="168" spans="1:7" x14ac:dyDescent="0.25">
      <c r="A168" s="17">
        <v>45823</v>
      </c>
      <c r="B168" s="12" t="s">
        <v>334</v>
      </c>
      <c r="C168" s="12" t="s">
        <v>873</v>
      </c>
      <c r="D168" s="18">
        <v>27.15</v>
      </c>
      <c r="E168" s="19" t="s">
        <v>905</v>
      </c>
      <c r="F168" s="19" t="s">
        <v>906</v>
      </c>
      <c r="G168" s="12"/>
    </row>
    <row r="169" spans="1:7" x14ac:dyDescent="0.25">
      <c r="A169" s="17">
        <v>45822</v>
      </c>
      <c r="B169" s="12" t="s">
        <v>1011</v>
      </c>
      <c r="C169" s="12" t="s">
        <v>862</v>
      </c>
      <c r="D169" s="18">
        <v>10.81</v>
      </c>
      <c r="E169" s="19" t="s">
        <v>905</v>
      </c>
      <c r="F169" s="19" t="s">
        <v>906</v>
      </c>
      <c r="G169" s="12"/>
    </row>
    <row r="170" spans="1:7" x14ac:dyDescent="0.25">
      <c r="A170" s="17">
        <v>45821</v>
      </c>
      <c r="B170" s="12" t="s">
        <v>1012</v>
      </c>
      <c r="C170" s="12" t="s">
        <v>882</v>
      </c>
      <c r="D170" s="18">
        <v>-1841.03</v>
      </c>
      <c r="E170" s="19" t="s">
        <v>947</v>
      </c>
      <c r="F170" s="19"/>
      <c r="G170" s="12"/>
    </row>
    <row r="171" spans="1:7" x14ac:dyDescent="0.25">
      <c r="A171" s="17">
        <v>45821</v>
      </c>
      <c r="B171" s="12" t="s">
        <v>1012</v>
      </c>
      <c r="C171" s="12" t="s">
        <v>882</v>
      </c>
      <c r="D171" s="18">
        <v>1841.03</v>
      </c>
      <c r="E171" s="19" t="s">
        <v>947</v>
      </c>
      <c r="F171" s="19"/>
      <c r="G171" s="12"/>
    </row>
    <row r="172" spans="1:7" x14ac:dyDescent="0.25">
      <c r="A172" s="17">
        <v>45821</v>
      </c>
      <c r="B172" s="12" t="s">
        <v>1007</v>
      </c>
      <c r="C172" s="12" t="s">
        <v>882</v>
      </c>
      <c r="D172" s="18">
        <v>1714.45</v>
      </c>
      <c r="E172" s="19" t="s">
        <v>947</v>
      </c>
      <c r="F172" s="19"/>
      <c r="G172" s="12"/>
    </row>
    <row r="173" spans="1:7" x14ac:dyDescent="0.25">
      <c r="A173" s="17">
        <v>45821</v>
      </c>
      <c r="B173" s="12" t="s">
        <v>1013</v>
      </c>
      <c r="C173" s="12" t="s">
        <v>875</v>
      </c>
      <c r="D173" s="18">
        <v>15.98</v>
      </c>
      <c r="E173" s="19" t="s">
        <v>947</v>
      </c>
      <c r="F173" s="19"/>
      <c r="G173" s="12"/>
    </row>
    <row r="174" spans="1:7" x14ac:dyDescent="0.25">
      <c r="A174" s="17">
        <v>45821</v>
      </c>
      <c r="B174" s="12" t="s">
        <v>1014</v>
      </c>
      <c r="C174" s="12" t="s">
        <v>883</v>
      </c>
      <c r="D174" s="18">
        <v>139</v>
      </c>
      <c r="E174" s="19" t="s">
        <v>947</v>
      </c>
      <c r="F174" s="19"/>
      <c r="G174" s="12"/>
    </row>
    <row r="175" spans="1:7" x14ac:dyDescent="0.25">
      <c r="A175" s="17">
        <v>45821</v>
      </c>
      <c r="B175" s="12" t="s">
        <v>1015</v>
      </c>
      <c r="C175" s="12" t="s">
        <v>883</v>
      </c>
      <c r="D175" s="18">
        <v>139</v>
      </c>
      <c r="E175" s="19" t="s">
        <v>947</v>
      </c>
      <c r="F175" s="19"/>
      <c r="G175" s="12"/>
    </row>
    <row r="176" spans="1:7" x14ac:dyDescent="0.25">
      <c r="A176" s="17">
        <v>45819</v>
      </c>
      <c r="B176" s="12" t="s">
        <v>334</v>
      </c>
      <c r="C176" s="12" t="s">
        <v>855</v>
      </c>
      <c r="D176" s="18">
        <v>3.89</v>
      </c>
      <c r="E176" s="19" t="s">
        <v>947</v>
      </c>
      <c r="F176" s="19"/>
      <c r="G176" s="12"/>
    </row>
    <row r="177" spans="1:7" x14ac:dyDescent="0.25">
      <c r="A177" s="17">
        <v>45819</v>
      </c>
      <c r="B177" s="12" t="s">
        <v>334</v>
      </c>
      <c r="C177" s="12" t="s">
        <v>855</v>
      </c>
      <c r="D177" s="18">
        <v>12.92</v>
      </c>
      <c r="E177" s="19" t="s">
        <v>947</v>
      </c>
      <c r="F177" s="19"/>
      <c r="G177" s="12"/>
    </row>
    <row r="178" spans="1:7" x14ac:dyDescent="0.25">
      <c r="A178" s="17">
        <v>45818</v>
      </c>
      <c r="B178" s="12" t="s">
        <v>1016</v>
      </c>
      <c r="C178" s="12" t="s">
        <v>1017</v>
      </c>
      <c r="D178" s="18">
        <v>26.98</v>
      </c>
      <c r="E178" s="19" t="s">
        <v>947</v>
      </c>
      <c r="F178" s="19"/>
      <c r="G178" s="12"/>
    </row>
    <row r="179" spans="1:7" x14ac:dyDescent="0.25">
      <c r="A179" s="17">
        <v>45818</v>
      </c>
      <c r="B179" s="12" t="s">
        <v>996</v>
      </c>
      <c r="C179" s="12" t="s">
        <v>858</v>
      </c>
      <c r="D179" s="18">
        <v>9.99</v>
      </c>
      <c r="E179" s="19" t="s">
        <v>947</v>
      </c>
      <c r="F179" s="19"/>
      <c r="G179" s="12"/>
    </row>
    <row r="180" spans="1:7" x14ac:dyDescent="0.25">
      <c r="A180" s="17">
        <v>45817</v>
      </c>
      <c r="B180" s="12" t="s">
        <v>1018</v>
      </c>
      <c r="C180" s="12" t="s">
        <v>875</v>
      </c>
      <c r="D180" s="18">
        <v>13.79</v>
      </c>
      <c r="E180" s="19" t="s">
        <v>947</v>
      </c>
      <c r="F180" s="19"/>
      <c r="G180" s="12"/>
    </row>
    <row r="181" spans="1:7" x14ac:dyDescent="0.25">
      <c r="A181" s="17">
        <v>45816</v>
      </c>
      <c r="B181" s="12" t="s">
        <v>1019</v>
      </c>
      <c r="C181" s="12" t="s">
        <v>875</v>
      </c>
      <c r="D181" s="18">
        <v>30.97</v>
      </c>
      <c r="E181" s="19" t="s">
        <v>947</v>
      </c>
      <c r="F181" s="19"/>
      <c r="G181" s="12"/>
    </row>
    <row r="182" spans="1:7" x14ac:dyDescent="0.25">
      <c r="A182" s="17">
        <v>45813</v>
      </c>
      <c r="B182" s="12" t="s">
        <v>987</v>
      </c>
      <c r="C182" s="12" t="s">
        <v>871</v>
      </c>
      <c r="D182" s="18">
        <v>89.65</v>
      </c>
      <c r="E182" s="19" t="s">
        <v>905</v>
      </c>
      <c r="F182" s="19" t="s">
        <v>906</v>
      </c>
      <c r="G182" s="12"/>
    </row>
    <row r="183" spans="1:7" x14ac:dyDescent="0.25">
      <c r="A183" s="17">
        <v>45813</v>
      </c>
      <c r="B183" s="12" t="s">
        <v>987</v>
      </c>
      <c r="C183" s="12" t="s">
        <v>1020</v>
      </c>
      <c r="D183" s="18">
        <v>27.68</v>
      </c>
      <c r="E183" s="19" t="s">
        <v>947</v>
      </c>
      <c r="F183" s="19"/>
      <c r="G183" s="12"/>
    </row>
    <row r="184" spans="1:7" x14ac:dyDescent="0.25">
      <c r="A184" s="17">
        <v>45812</v>
      </c>
      <c r="B184" s="12" t="s">
        <v>981</v>
      </c>
      <c r="C184" s="12" t="s">
        <v>858</v>
      </c>
      <c r="D184" s="18">
        <v>10.81</v>
      </c>
      <c r="E184" s="19" t="s">
        <v>947</v>
      </c>
      <c r="F184" s="19"/>
      <c r="G184" s="12"/>
    </row>
    <row r="185" spans="1:7" x14ac:dyDescent="0.25">
      <c r="A185" s="17">
        <v>45811</v>
      </c>
      <c r="B185" s="12" t="s">
        <v>1021</v>
      </c>
      <c r="C185" s="12" t="s">
        <v>855</v>
      </c>
      <c r="D185" s="18">
        <v>28</v>
      </c>
      <c r="E185" s="19" t="s">
        <v>947</v>
      </c>
      <c r="F185" s="19"/>
      <c r="G185" s="12"/>
    </row>
    <row r="186" spans="1:7" x14ac:dyDescent="0.25">
      <c r="A186" s="17">
        <v>45811</v>
      </c>
      <c r="B186" s="12" t="s">
        <v>400</v>
      </c>
      <c r="C186" s="12" t="s">
        <v>1022</v>
      </c>
      <c r="D186" s="18">
        <v>-123.4</v>
      </c>
      <c r="E186" s="19"/>
      <c r="F186" s="19"/>
      <c r="G186" s="12"/>
    </row>
    <row r="187" spans="1:7" x14ac:dyDescent="0.25">
      <c r="A187" s="17">
        <v>45810</v>
      </c>
      <c r="B187" s="12" t="s">
        <v>1023</v>
      </c>
      <c r="C187" s="12" t="s">
        <v>875</v>
      </c>
      <c r="D187" s="18">
        <v>13.98</v>
      </c>
      <c r="E187" s="19" t="s">
        <v>947</v>
      </c>
      <c r="F187" s="19"/>
      <c r="G187" s="12"/>
    </row>
    <row r="188" spans="1:7" x14ac:dyDescent="0.25">
      <c r="A188" s="17">
        <v>45805</v>
      </c>
      <c r="B188" s="12" t="s">
        <v>1021</v>
      </c>
      <c r="C188" s="12" t="s">
        <v>855</v>
      </c>
      <c r="D188" s="18">
        <v>15</v>
      </c>
      <c r="E188" s="19" t="s">
        <v>947</v>
      </c>
      <c r="F188" s="19"/>
      <c r="G188" s="12"/>
    </row>
    <row r="189" spans="1:7" x14ac:dyDescent="0.25">
      <c r="A189" s="17">
        <v>45804</v>
      </c>
      <c r="B189" s="12" t="s">
        <v>1024</v>
      </c>
      <c r="C189" s="12" t="s">
        <v>884</v>
      </c>
      <c r="D189" s="18">
        <v>1055.92</v>
      </c>
      <c r="E189" s="19" t="s">
        <v>947</v>
      </c>
      <c r="F189" s="19"/>
      <c r="G189" s="12"/>
    </row>
    <row r="190" spans="1:7" x14ac:dyDescent="0.25">
      <c r="A190" s="17">
        <v>45803</v>
      </c>
      <c r="B190" s="12" t="s">
        <v>130</v>
      </c>
      <c r="C190" s="12" t="s">
        <v>856</v>
      </c>
      <c r="D190" s="18">
        <v>-12500</v>
      </c>
      <c r="E190" s="19"/>
      <c r="F190" s="19"/>
      <c r="G190" s="12"/>
    </row>
    <row r="191" spans="1:7" x14ac:dyDescent="0.25">
      <c r="A191" s="17">
        <v>45803</v>
      </c>
      <c r="B191" s="12" t="s">
        <v>1025</v>
      </c>
      <c r="C191" s="12" t="s">
        <v>1026</v>
      </c>
      <c r="D191" s="18">
        <v>5145.3</v>
      </c>
      <c r="E191" s="19" t="s">
        <v>947</v>
      </c>
      <c r="F191" s="19"/>
      <c r="G191" s="12"/>
    </row>
    <row r="192" spans="1:7" x14ac:dyDescent="0.25">
      <c r="A192" s="17">
        <v>45802</v>
      </c>
      <c r="B192" s="12" t="s">
        <v>1027</v>
      </c>
      <c r="C192" s="12" t="s">
        <v>858</v>
      </c>
      <c r="D192" s="18">
        <v>20</v>
      </c>
      <c r="E192" s="19" t="s">
        <v>947</v>
      </c>
      <c r="F192" s="19"/>
      <c r="G192" s="12"/>
    </row>
    <row r="193" spans="1:7" x14ac:dyDescent="0.25">
      <c r="A193" s="17">
        <v>45802</v>
      </c>
      <c r="B193" s="12" t="s">
        <v>1025</v>
      </c>
      <c r="C193" s="12" t="s">
        <v>1026</v>
      </c>
      <c r="D193" s="18">
        <v>5145.3</v>
      </c>
      <c r="E193" s="19" t="s">
        <v>947</v>
      </c>
      <c r="F193" s="19"/>
      <c r="G193" s="12"/>
    </row>
    <row r="194" spans="1:7" x14ac:dyDescent="0.25">
      <c r="A194" s="17">
        <v>45801</v>
      </c>
      <c r="B194" s="12" t="s">
        <v>1025</v>
      </c>
      <c r="C194" s="12" t="s">
        <v>1026</v>
      </c>
      <c r="D194" s="18">
        <v>4116.3</v>
      </c>
      <c r="E194" s="19" t="s">
        <v>947</v>
      </c>
      <c r="F194" s="19"/>
      <c r="G194" s="12"/>
    </row>
    <row r="195" spans="1:7" x14ac:dyDescent="0.25">
      <c r="A195" s="17">
        <v>45801</v>
      </c>
      <c r="B195" s="12" t="s">
        <v>1028</v>
      </c>
      <c r="C195" s="12" t="s">
        <v>1026</v>
      </c>
      <c r="D195" s="18">
        <v>-54.15</v>
      </c>
      <c r="E195" s="19" t="s">
        <v>947</v>
      </c>
      <c r="F195" s="19"/>
      <c r="G195" s="12"/>
    </row>
    <row r="196" spans="1:7" x14ac:dyDescent="0.25">
      <c r="A196" s="17">
        <v>45801</v>
      </c>
      <c r="B196" s="12" t="s">
        <v>1028</v>
      </c>
      <c r="C196" s="12" t="s">
        <v>1026</v>
      </c>
      <c r="D196" s="18">
        <v>3426.05</v>
      </c>
      <c r="E196" s="19" t="s">
        <v>947</v>
      </c>
      <c r="F196" s="19"/>
      <c r="G196" s="12"/>
    </row>
    <row r="197" spans="1:7" x14ac:dyDescent="0.25">
      <c r="A197" s="17">
        <v>45801</v>
      </c>
      <c r="B197" s="12" t="s">
        <v>334</v>
      </c>
      <c r="C197" s="12" t="s">
        <v>855</v>
      </c>
      <c r="D197" s="18">
        <v>25.96</v>
      </c>
      <c r="E197" s="19" t="s">
        <v>947</v>
      </c>
      <c r="F197" s="19"/>
      <c r="G197" s="12"/>
    </row>
    <row r="198" spans="1:7" x14ac:dyDescent="0.25">
      <c r="A198" s="17">
        <v>45801</v>
      </c>
      <c r="B198" s="12" t="s">
        <v>334</v>
      </c>
      <c r="C198" s="12" t="s">
        <v>855</v>
      </c>
      <c r="D198" s="18">
        <v>36.950000000000003</v>
      </c>
      <c r="E198" s="19" t="s">
        <v>947</v>
      </c>
      <c r="F198" s="19"/>
      <c r="G198" s="12"/>
    </row>
    <row r="199" spans="1:7" x14ac:dyDescent="0.25">
      <c r="A199" s="17">
        <v>45799</v>
      </c>
      <c r="B199" s="12" t="s">
        <v>1021</v>
      </c>
      <c r="C199" s="12" t="s">
        <v>855</v>
      </c>
      <c r="D199" s="18">
        <v>12</v>
      </c>
      <c r="E199" s="19" t="s">
        <v>947</v>
      </c>
      <c r="F199" s="19"/>
      <c r="G199" s="12"/>
    </row>
    <row r="200" spans="1:7" x14ac:dyDescent="0.25">
      <c r="A200" s="17">
        <v>45799</v>
      </c>
      <c r="B200" s="12" t="s">
        <v>1029</v>
      </c>
      <c r="C200" s="12" t="s">
        <v>873</v>
      </c>
      <c r="D200" s="18">
        <v>35.99</v>
      </c>
      <c r="E200" s="19" t="s">
        <v>905</v>
      </c>
      <c r="F200" s="19" t="s">
        <v>906</v>
      </c>
      <c r="G200" s="12"/>
    </row>
    <row r="201" spans="1:7" x14ac:dyDescent="0.25">
      <c r="A201" s="17">
        <v>45799</v>
      </c>
      <c r="B201" s="12" t="s">
        <v>1006</v>
      </c>
      <c r="C201" s="12" t="s">
        <v>881</v>
      </c>
      <c r="D201" s="18">
        <v>219</v>
      </c>
      <c r="E201" s="19" t="s">
        <v>947</v>
      </c>
      <c r="F201" s="19"/>
      <c r="G201" s="12"/>
    </row>
    <row r="202" spans="1:7" x14ac:dyDescent="0.25">
      <c r="A202" s="17">
        <v>45799</v>
      </c>
      <c r="B202" s="12" t="s">
        <v>1030</v>
      </c>
      <c r="C202" s="12" t="s">
        <v>886</v>
      </c>
      <c r="D202" s="18">
        <v>1071</v>
      </c>
      <c r="E202" s="19" t="s">
        <v>905</v>
      </c>
      <c r="F202" s="19" t="s">
        <v>906</v>
      </c>
      <c r="G202" s="12"/>
    </row>
    <row r="203" spans="1:7" x14ac:dyDescent="0.25">
      <c r="A203" s="17">
        <v>45798</v>
      </c>
      <c r="B203" s="12" t="s">
        <v>1031</v>
      </c>
      <c r="C203" s="12" t="s">
        <v>881</v>
      </c>
      <c r="D203" s="18">
        <v>44</v>
      </c>
      <c r="E203" s="19" t="s">
        <v>947</v>
      </c>
      <c r="F203" s="19"/>
      <c r="G203" s="12"/>
    </row>
    <row r="204" spans="1:7" x14ac:dyDescent="0.25">
      <c r="A204" s="17">
        <v>45798</v>
      </c>
      <c r="B204" s="12" t="s">
        <v>1032</v>
      </c>
      <c r="C204" s="12" t="s">
        <v>883</v>
      </c>
      <c r="D204" s="18">
        <v>800</v>
      </c>
      <c r="E204" s="19" t="s">
        <v>947</v>
      </c>
      <c r="F204" s="19"/>
      <c r="G204" s="12"/>
    </row>
    <row r="205" spans="1:7" x14ac:dyDescent="0.25">
      <c r="A205" s="17">
        <v>45798</v>
      </c>
      <c r="B205" s="12" t="s">
        <v>1030</v>
      </c>
      <c r="C205" s="12" t="s">
        <v>886</v>
      </c>
      <c r="D205" s="18">
        <v>256.5</v>
      </c>
      <c r="E205" s="19" t="s">
        <v>905</v>
      </c>
      <c r="F205" s="19" t="s">
        <v>906</v>
      </c>
      <c r="G205" s="12"/>
    </row>
    <row r="206" spans="1:7" x14ac:dyDescent="0.25">
      <c r="A206" s="17">
        <v>45798</v>
      </c>
      <c r="B206" s="12" t="s">
        <v>1030</v>
      </c>
      <c r="C206" s="12" t="s">
        <v>886</v>
      </c>
      <c r="D206" s="18">
        <v>413.91</v>
      </c>
      <c r="E206" s="19" t="s">
        <v>905</v>
      </c>
      <c r="F206" s="19" t="s">
        <v>906</v>
      </c>
      <c r="G206" s="12"/>
    </row>
    <row r="207" spans="1:7" x14ac:dyDescent="0.25">
      <c r="A207" s="17">
        <v>45797</v>
      </c>
      <c r="B207" s="12" t="s">
        <v>1024</v>
      </c>
      <c r="C207" s="12" t="s">
        <v>883</v>
      </c>
      <c r="D207" s="18">
        <v>1055.93</v>
      </c>
      <c r="E207" s="19" t="s">
        <v>947</v>
      </c>
      <c r="F207" s="19"/>
      <c r="G207" s="12"/>
    </row>
    <row r="208" spans="1:7" x14ac:dyDescent="0.25">
      <c r="A208" s="17">
        <v>45796</v>
      </c>
      <c r="B208" s="12" t="s">
        <v>987</v>
      </c>
      <c r="C208" s="12" t="s">
        <v>871</v>
      </c>
      <c r="D208" s="18">
        <v>96.19</v>
      </c>
      <c r="E208" s="19" t="s">
        <v>905</v>
      </c>
      <c r="F208" s="19" t="s">
        <v>906</v>
      </c>
      <c r="G208" s="12"/>
    </row>
    <row r="209" spans="1:7" x14ac:dyDescent="0.25">
      <c r="A209" s="17">
        <v>45795</v>
      </c>
      <c r="B209" s="12" t="s">
        <v>938</v>
      </c>
      <c r="C209" s="12" t="s">
        <v>863</v>
      </c>
      <c r="D209" s="18">
        <v>24.99</v>
      </c>
      <c r="E209" s="19" t="s">
        <v>905</v>
      </c>
      <c r="F209" s="19" t="s">
        <v>906</v>
      </c>
      <c r="G209" s="12"/>
    </row>
    <row r="210" spans="1:7" x14ac:dyDescent="0.25">
      <c r="A210" s="17">
        <v>45795</v>
      </c>
      <c r="B210" s="12" t="s">
        <v>987</v>
      </c>
      <c r="C210" s="12" t="s">
        <v>871</v>
      </c>
      <c r="D210" s="18">
        <v>44.86</v>
      </c>
      <c r="E210" s="19" t="s">
        <v>905</v>
      </c>
      <c r="F210" s="19" t="s">
        <v>906</v>
      </c>
      <c r="G210" s="12"/>
    </row>
    <row r="211" spans="1:7" x14ac:dyDescent="0.25">
      <c r="A211" s="17">
        <v>45795</v>
      </c>
      <c r="B211" s="12" t="s">
        <v>334</v>
      </c>
      <c r="C211" s="12" t="s">
        <v>871</v>
      </c>
      <c r="D211" s="18">
        <v>29.83</v>
      </c>
      <c r="E211" s="19" t="s">
        <v>905</v>
      </c>
      <c r="F211" s="19" t="s">
        <v>906</v>
      </c>
      <c r="G211" s="12"/>
    </row>
    <row r="212" spans="1:7" x14ac:dyDescent="0.25">
      <c r="A212" s="17">
        <v>45794</v>
      </c>
      <c r="B212" s="12" t="s">
        <v>1033</v>
      </c>
      <c r="C212" s="12" t="s">
        <v>862</v>
      </c>
      <c r="D212" s="18">
        <v>5.99</v>
      </c>
      <c r="E212" s="19" t="s">
        <v>905</v>
      </c>
      <c r="F212" s="19" t="s">
        <v>906</v>
      </c>
      <c r="G212" s="12"/>
    </row>
    <row r="213" spans="1:7" x14ac:dyDescent="0.25">
      <c r="A213" s="17">
        <v>45794</v>
      </c>
      <c r="B213" s="12" t="s">
        <v>1034</v>
      </c>
      <c r="C213" s="12" t="s">
        <v>875</v>
      </c>
      <c r="D213" s="18">
        <v>19.97</v>
      </c>
      <c r="E213" s="19" t="s">
        <v>947</v>
      </c>
      <c r="F213" s="19"/>
      <c r="G213" s="12"/>
    </row>
    <row r="214" spans="1:7" x14ac:dyDescent="0.25">
      <c r="A214" s="17">
        <v>45794</v>
      </c>
      <c r="B214" s="12" t="s">
        <v>987</v>
      </c>
      <c r="C214" s="12" t="s">
        <v>871</v>
      </c>
      <c r="D214" s="18">
        <v>25.85</v>
      </c>
      <c r="E214" s="19" t="s">
        <v>905</v>
      </c>
      <c r="F214" s="19" t="s">
        <v>906</v>
      </c>
      <c r="G214" s="12"/>
    </row>
    <row r="215" spans="1:7" x14ac:dyDescent="0.25">
      <c r="A215" s="17">
        <v>45794</v>
      </c>
      <c r="B215" s="12" t="s">
        <v>987</v>
      </c>
      <c r="C215" s="12" t="s">
        <v>871</v>
      </c>
      <c r="D215" s="18">
        <v>23.23</v>
      </c>
      <c r="E215" s="19" t="s">
        <v>905</v>
      </c>
      <c r="F215" s="19" t="s">
        <v>906</v>
      </c>
      <c r="G215" s="12"/>
    </row>
    <row r="216" spans="1:7" x14ac:dyDescent="0.25">
      <c r="A216" s="17">
        <v>45793</v>
      </c>
      <c r="B216" s="12" t="s">
        <v>334</v>
      </c>
      <c r="C216" s="12" t="s">
        <v>855</v>
      </c>
      <c r="D216" s="18">
        <v>15.72</v>
      </c>
      <c r="E216" s="19" t="s">
        <v>947</v>
      </c>
      <c r="F216" s="19"/>
      <c r="G216" s="12"/>
    </row>
    <row r="217" spans="1:7" x14ac:dyDescent="0.25">
      <c r="A217" s="17">
        <v>45793</v>
      </c>
      <c r="B217" s="12" t="s">
        <v>334</v>
      </c>
      <c r="C217" s="12" t="s">
        <v>855</v>
      </c>
      <c r="D217" s="18">
        <v>16.07</v>
      </c>
      <c r="E217" s="19" t="s">
        <v>947</v>
      </c>
      <c r="F217" s="19"/>
      <c r="G217" s="12"/>
    </row>
    <row r="218" spans="1:7" x14ac:dyDescent="0.25">
      <c r="A218" s="17">
        <v>45792</v>
      </c>
      <c r="B218" s="12" t="s">
        <v>334</v>
      </c>
      <c r="C218" s="12" t="s">
        <v>855</v>
      </c>
      <c r="D218" s="18">
        <v>4.8499999999999996</v>
      </c>
      <c r="E218" s="19" t="s">
        <v>947</v>
      </c>
      <c r="F218" s="19"/>
      <c r="G218" s="12"/>
    </row>
    <row r="219" spans="1:7" x14ac:dyDescent="0.25">
      <c r="A219" s="17">
        <v>45792</v>
      </c>
      <c r="B219" s="12" t="s">
        <v>334</v>
      </c>
      <c r="C219" s="12" t="s">
        <v>855</v>
      </c>
      <c r="D219" s="18">
        <v>5</v>
      </c>
      <c r="E219" s="19" t="s">
        <v>947</v>
      </c>
      <c r="F219" s="19"/>
      <c r="G219" s="12"/>
    </row>
    <row r="220" spans="1:7" x14ac:dyDescent="0.25">
      <c r="A220" s="17">
        <v>45792</v>
      </c>
      <c r="B220" s="12" t="s">
        <v>334</v>
      </c>
      <c r="C220" s="12" t="s">
        <v>855</v>
      </c>
      <c r="D220" s="18">
        <v>32.36</v>
      </c>
      <c r="E220" s="19" t="s">
        <v>947</v>
      </c>
      <c r="F220" s="19"/>
      <c r="G220" s="12"/>
    </row>
    <row r="221" spans="1:7" x14ac:dyDescent="0.25">
      <c r="A221" s="17">
        <v>45791</v>
      </c>
      <c r="B221" s="12" t="s">
        <v>1011</v>
      </c>
      <c r="C221" s="12" t="s">
        <v>858</v>
      </c>
      <c r="D221" s="18">
        <v>10.81</v>
      </c>
      <c r="E221" s="19" t="s">
        <v>947</v>
      </c>
      <c r="F221" s="19"/>
      <c r="G221" s="12"/>
    </row>
    <row r="222" spans="1:7" x14ac:dyDescent="0.25">
      <c r="A222" s="17">
        <v>45791</v>
      </c>
      <c r="B222" s="12" t="s">
        <v>334</v>
      </c>
      <c r="C222" s="12" t="s">
        <v>855</v>
      </c>
      <c r="D222" s="18">
        <v>18.13</v>
      </c>
      <c r="E222" s="19" t="s">
        <v>947</v>
      </c>
      <c r="F222" s="19"/>
      <c r="G222" s="12"/>
    </row>
    <row r="223" spans="1:7" x14ac:dyDescent="0.25">
      <c r="A223" s="17">
        <v>45791</v>
      </c>
      <c r="B223" s="12" t="s">
        <v>334</v>
      </c>
      <c r="C223" s="12" t="s">
        <v>855</v>
      </c>
      <c r="D223" s="18">
        <v>20.37</v>
      </c>
      <c r="E223" s="19" t="s">
        <v>947</v>
      </c>
      <c r="F223" s="19"/>
      <c r="G223" s="12"/>
    </row>
    <row r="224" spans="1:7" x14ac:dyDescent="0.25">
      <c r="A224" s="17">
        <v>45791</v>
      </c>
      <c r="B224" s="12" t="s">
        <v>334</v>
      </c>
      <c r="C224" s="12" t="s">
        <v>855</v>
      </c>
      <c r="D224" s="18">
        <v>21.93</v>
      </c>
      <c r="E224" s="19" t="s">
        <v>947</v>
      </c>
      <c r="F224" s="19"/>
      <c r="G224" s="12"/>
    </row>
    <row r="225" spans="1:7" x14ac:dyDescent="0.25">
      <c r="A225" s="17">
        <v>45791</v>
      </c>
      <c r="B225" s="12" t="s">
        <v>334</v>
      </c>
      <c r="C225" s="12" t="s">
        <v>855</v>
      </c>
      <c r="D225" s="18">
        <v>34.93</v>
      </c>
      <c r="E225" s="19" t="s">
        <v>947</v>
      </c>
      <c r="F225" s="19"/>
      <c r="G225" s="12"/>
    </row>
    <row r="226" spans="1:7" x14ac:dyDescent="0.25">
      <c r="A226" s="17">
        <v>45790</v>
      </c>
      <c r="B226" s="12" t="s">
        <v>1035</v>
      </c>
      <c r="C226" s="12" t="s">
        <v>875</v>
      </c>
      <c r="D226" s="18">
        <v>15.98</v>
      </c>
      <c r="E226" s="19" t="s">
        <v>947</v>
      </c>
      <c r="F226" s="19"/>
      <c r="G226" s="12"/>
    </row>
    <row r="227" spans="1:7" x14ac:dyDescent="0.25">
      <c r="A227" s="17">
        <v>45790</v>
      </c>
      <c r="B227" s="12" t="s">
        <v>1036</v>
      </c>
      <c r="C227" s="12" t="s">
        <v>854</v>
      </c>
      <c r="D227" s="18">
        <v>205.17</v>
      </c>
      <c r="E227" s="19" t="s">
        <v>905</v>
      </c>
      <c r="F227" s="19" t="s">
        <v>906</v>
      </c>
      <c r="G227" s="12"/>
    </row>
    <row r="228" spans="1:7" x14ac:dyDescent="0.25">
      <c r="A228" s="17">
        <v>45789</v>
      </c>
      <c r="B228" s="12" t="s">
        <v>1021</v>
      </c>
      <c r="C228" s="12" t="s">
        <v>855</v>
      </c>
      <c r="D228" s="18">
        <v>24</v>
      </c>
      <c r="E228" s="19" t="s">
        <v>947</v>
      </c>
      <c r="F228" s="19"/>
      <c r="G228" s="12"/>
    </row>
    <row r="229" spans="1:7" x14ac:dyDescent="0.25">
      <c r="A229" s="17">
        <v>45787</v>
      </c>
      <c r="B229" s="12" t="s">
        <v>1037</v>
      </c>
      <c r="C229" s="12" t="s">
        <v>875</v>
      </c>
      <c r="D229" s="18">
        <v>26.98</v>
      </c>
      <c r="E229" s="19" t="s">
        <v>947</v>
      </c>
      <c r="F229" s="19"/>
      <c r="G229" s="12"/>
    </row>
    <row r="230" spans="1:7" x14ac:dyDescent="0.25">
      <c r="A230" s="17">
        <v>45787</v>
      </c>
      <c r="B230" s="12" t="s">
        <v>987</v>
      </c>
      <c r="C230" s="12" t="s">
        <v>871</v>
      </c>
      <c r="D230" s="18">
        <v>50.68</v>
      </c>
      <c r="E230" s="19" t="s">
        <v>905</v>
      </c>
      <c r="F230" s="19" t="s">
        <v>906</v>
      </c>
      <c r="G230" s="12"/>
    </row>
    <row r="231" spans="1:7" x14ac:dyDescent="0.25">
      <c r="A231" s="17">
        <v>45787</v>
      </c>
      <c r="B231" s="12" t="s">
        <v>996</v>
      </c>
      <c r="C231" s="12" t="s">
        <v>858</v>
      </c>
      <c r="D231" s="18">
        <v>9.99</v>
      </c>
      <c r="E231" s="19" t="s">
        <v>947</v>
      </c>
      <c r="F231" s="19"/>
      <c r="G231" s="12"/>
    </row>
    <row r="232" spans="1:7" x14ac:dyDescent="0.25">
      <c r="A232" s="17">
        <v>45786</v>
      </c>
      <c r="B232" s="12" t="s">
        <v>1038</v>
      </c>
      <c r="C232" s="12" t="s">
        <v>862</v>
      </c>
      <c r="D232" s="18">
        <v>300</v>
      </c>
      <c r="E232" s="19" t="s">
        <v>905</v>
      </c>
      <c r="F232" s="19" t="s">
        <v>906</v>
      </c>
      <c r="G232" s="12"/>
    </row>
    <row r="233" spans="1:7" x14ac:dyDescent="0.25">
      <c r="A233" s="17">
        <v>45786</v>
      </c>
      <c r="B233" s="12" t="s">
        <v>1039</v>
      </c>
      <c r="C233" s="12" t="s">
        <v>875</v>
      </c>
      <c r="D233" s="18">
        <v>13.79</v>
      </c>
      <c r="E233" s="19" t="s">
        <v>947</v>
      </c>
      <c r="F233" s="19"/>
      <c r="G233" s="12"/>
    </row>
    <row r="234" spans="1:7" x14ac:dyDescent="0.25">
      <c r="A234" s="17">
        <v>45786</v>
      </c>
      <c r="B234" s="12" t="s">
        <v>1040</v>
      </c>
      <c r="C234" s="12" t="s">
        <v>862</v>
      </c>
      <c r="D234" s="18">
        <v>88.24</v>
      </c>
      <c r="E234" s="19" t="s">
        <v>905</v>
      </c>
      <c r="F234" s="19" t="s">
        <v>906</v>
      </c>
      <c r="G234" s="12"/>
    </row>
    <row r="235" spans="1:7" x14ac:dyDescent="0.25">
      <c r="A235" s="17">
        <v>45785</v>
      </c>
      <c r="B235" s="12" t="s">
        <v>1041</v>
      </c>
      <c r="C235" s="12" t="s">
        <v>875</v>
      </c>
      <c r="D235" s="18">
        <v>30.97</v>
      </c>
      <c r="E235" s="19" t="s">
        <v>947</v>
      </c>
      <c r="F235" s="19"/>
      <c r="G235" s="12"/>
    </row>
    <row r="236" spans="1:7" x14ac:dyDescent="0.25">
      <c r="A236" s="17">
        <v>45784</v>
      </c>
      <c r="B236" s="12" t="s">
        <v>987</v>
      </c>
      <c r="C236" s="12" t="s">
        <v>871</v>
      </c>
      <c r="D236" s="18">
        <v>34.409999999999997</v>
      </c>
      <c r="E236" s="19" t="s">
        <v>905</v>
      </c>
      <c r="F236" s="19" t="s">
        <v>906</v>
      </c>
      <c r="G236" s="12"/>
    </row>
    <row r="237" spans="1:7" x14ac:dyDescent="0.25">
      <c r="A237" s="17">
        <v>45781</v>
      </c>
      <c r="B237" s="12" t="s">
        <v>130</v>
      </c>
      <c r="C237" s="12" t="s">
        <v>856</v>
      </c>
      <c r="D237" s="18">
        <v>-8226.61</v>
      </c>
      <c r="E237" s="19"/>
      <c r="F237" s="19"/>
      <c r="G237" s="12"/>
    </row>
    <row r="238" spans="1:7" x14ac:dyDescent="0.25">
      <c r="A238" s="17">
        <v>45781</v>
      </c>
      <c r="B238" s="12" t="s">
        <v>981</v>
      </c>
      <c r="C238" s="12" t="s">
        <v>858</v>
      </c>
      <c r="D238" s="18">
        <v>10.81</v>
      </c>
      <c r="E238" s="19" t="s">
        <v>947</v>
      </c>
      <c r="F238" s="19"/>
      <c r="G238" s="12"/>
    </row>
    <row r="239" spans="1:7" x14ac:dyDescent="0.25">
      <c r="A239" s="17">
        <v>45779</v>
      </c>
      <c r="B239" s="12" t="s">
        <v>1042</v>
      </c>
      <c r="C239" s="12" t="s">
        <v>875</v>
      </c>
      <c r="D239" s="18">
        <v>13.98</v>
      </c>
      <c r="E239" s="19" t="s">
        <v>947</v>
      </c>
      <c r="F239" s="19"/>
      <c r="G239" s="12"/>
    </row>
    <row r="240" spans="1:7" x14ac:dyDescent="0.25">
      <c r="A240" s="17">
        <v>45779</v>
      </c>
      <c r="B240" s="12" t="s">
        <v>400</v>
      </c>
      <c r="C240" s="12" t="s">
        <v>1022</v>
      </c>
      <c r="D240" s="18">
        <v>-4.2699999999999996</v>
      </c>
      <c r="E240" s="19"/>
      <c r="F240" s="19"/>
      <c r="G240" s="12"/>
    </row>
    <row r="241" spans="1:7" x14ac:dyDescent="0.25">
      <c r="A241" s="17">
        <v>45776</v>
      </c>
      <c r="B241" s="12" t="s">
        <v>1043</v>
      </c>
      <c r="C241" s="12" t="s">
        <v>854</v>
      </c>
      <c r="D241" s="18">
        <v>3316.02</v>
      </c>
      <c r="E241" s="19" t="s">
        <v>905</v>
      </c>
      <c r="F241" s="19" t="s">
        <v>906</v>
      </c>
      <c r="G241" s="12"/>
    </row>
    <row r="242" spans="1:7" x14ac:dyDescent="0.25">
      <c r="A242" s="17">
        <v>45775</v>
      </c>
      <c r="B242" s="12" t="s">
        <v>1044</v>
      </c>
      <c r="C242" s="12" t="s">
        <v>855</v>
      </c>
      <c r="D242" s="18">
        <v>110</v>
      </c>
      <c r="E242" s="19" t="s">
        <v>947</v>
      </c>
      <c r="F242" s="19"/>
      <c r="G242" s="12"/>
    </row>
    <row r="243" spans="1:7" x14ac:dyDescent="0.25">
      <c r="A243" s="17">
        <v>45773</v>
      </c>
      <c r="B243" s="12" t="s">
        <v>987</v>
      </c>
      <c r="C243" s="12" t="s">
        <v>871</v>
      </c>
      <c r="D243" s="18">
        <v>51.38</v>
      </c>
      <c r="E243" s="19" t="s">
        <v>905</v>
      </c>
      <c r="F243" s="19" t="s">
        <v>906</v>
      </c>
      <c r="G243" s="12"/>
    </row>
    <row r="244" spans="1:7" x14ac:dyDescent="0.25">
      <c r="A244" s="17">
        <v>45771</v>
      </c>
      <c r="B244" s="12" t="s">
        <v>1045</v>
      </c>
      <c r="C244" s="12" t="s">
        <v>855</v>
      </c>
      <c r="D244" s="18">
        <v>40</v>
      </c>
      <c r="E244" s="19" t="s">
        <v>947</v>
      </c>
      <c r="F244" s="19"/>
      <c r="G244" s="12"/>
    </row>
    <row r="245" spans="1:7" x14ac:dyDescent="0.25">
      <c r="A245" s="17">
        <v>45771</v>
      </c>
      <c r="B245" s="12" t="s">
        <v>987</v>
      </c>
      <c r="C245" s="12" t="s">
        <v>871</v>
      </c>
      <c r="D245" s="18">
        <v>41.39</v>
      </c>
      <c r="E245" s="19" t="s">
        <v>905</v>
      </c>
      <c r="F245" s="19" t="s">
        <v>906</v>
      </c>
      <c r="G245" s="12"/>
    </row>
    <row r="246" spans="1:7" x14ac:dyDescent="0.25">
      <c r="A246" s="17">
        <v>45769</v>
      </c>
      <c r="B246" s="12" t="s">
        <v>1006</v>
      </c>
      <c r="C246" s="12" t="s">
        <v>881</v>
      </c>
      <c r="D246" s="18">
        <v>219</v>
      </c>
      <c r="E246" s="19" t="s">
        <v>947</v>
      </c>
      <c r="F246" s="19"/>
      <c r="G246" s="12"/>
    </row>
    <row r="247" spans="1:7" x14ac:dyDescent="0.25">
      <c r="A247" s="17">
        <v>45768</v>
      </c>
      <c r="B247" s="12" t="s">
        <v>987</v>
      </c>
      <c r="C247" s="12" t="s">
        <v>871</v>
      </c>
      <c r="D247" s="18">
        <v>59.5</v>
      </c>
      <c r="E247" s="19" t="s">
        <v>905</v>
      </c>
      <c r="F247" s="19" t="s">
        <v>906</v>
      </c>
      <c r="G247" s="12"/>
    </row>
    <row r="248" spans="1:7" x14ac:dyDescent="0.25">
      <c r="A248" s="17">
        <v>45767</v>
      </c>
      <c r="B248" s="12" t="s">
        <v>973</v>
      </c>
      <c r="C248" s="12" t="s">
        <v>874</v>
      </c>
      <c r="D248" s="18">
        <v>150</v>
      </c>
      <c r="E248" s="19" t="s">
        <v>905</v>
      </c>
      <c r="F248" s="19" t="s">
        <v>906</v>
      </c>
      <c r="G248" s="12"/>
    </row>
    <row r="249" spans="1:7" x14ac:dyDescent="0.25">
      <c r="A249" s="17">
        <v>45767</v>
      </c>
      <c r="B249" s="12" t="s">
        <v>1046</v>
      </c>
      <c r="C249" s="12" t="s">
        <v>871</v>
      </c>
      <c r="D249" s="18">
        <v>92</v>
      </c>
      <c r="E249" s="19" t="s">
        <v>905</v>
      </c>
      <c r="F249" s="19" t="s">
        <v>906</v>
      </c>
      <c r="G249" s="12"/>
    </row>
    <row r="250" spans="1:7" x14ac:dyDescent="0.25">
      <c r="A250" s="17">
        <v>45767</v>
      </c>
      <c r="B250" s="12" t="s">
        <v>1047</v>
      </c>
      <c r="C250" s="12" t="s">
        <v>871</v>
      </c>
      <c r="D250" s="18">
        <v>25</v>
      </c>
      <c r="E250" s="19" t="s">
        <v>905</v>
      </c>
      <c r="F250" s="19" t="s">
        <v>906</v>
      </c>
      <c r="G250" s="12"/>
    </row>
    <row r="251" spans="1:7" x14ac:dyDescent="0.25">
      <c r="A251" s="17">
        <v>45766</v>
      </c>
      <c r="B251" s="12" t="s">
        <v>1048</v>
      </c>
      <c r="C251" s="12" t="s">
        <v>886</v>
      </c>
      <c r="D251" s="18">
        <v>5454.24</v>
      </c>
      <c r="E251" s="19" t="s">
        <v>905</v>
      </c>
      <c r="F251" s="19" t="s">
        <v>906</v>
      </c>
      <c r="G251" s="12"/>
    </row>
    <row r="252" spans="1:7" x14ac:dyDescent="0.25">
      <c r="A252" s="17">
        <v>45766</v>
      </c>
      <c r="B252" s="12" t="s">
        <v>1049</v>
      </c>
      <c r="C252" s="12" t="s">
        <v>871</v>
      </c>
      <c r="D252" s="18">
        <v>383.85</v>
      </c>
      <c r="E252" s="19" t="s">
        <v>905</v>
      </c>
      <c r="F252" s="19" t="s">
        <v>906</v>
      </c>
      <c r="G252" s="12"/>
    </row>
    <row r="253" spans="1:7" x14ac:dyDescent="0.25">
      <c r="A253" s="17">
        <v>45766</v>
      </c>
      <c r="B253" s="12" t="s">
        <v>1050</v>
      </c>
      <c r="C253" s="12" t="s">
        <v>886</v>
      </c>
      <c r="D253" s="18">
        <v>238.22</v>
      </c>
      <c r="E253" s="19" t="s">
        <v>905</v>
      </c>
      <c r="F253" s="19" t="s">
        <v>906</v>
      </c>
      <c r="G253" s="12"/>
    </row>
    <row r="254" spans="1:7" x14ac:dyDescent="0.25">
      <c r="A254" s="17">
        <v>45765</v>
      </c>
      <c r="B254" s="12" t="s">
        <v>938</v>
      </c>
      <c r="C254" s="12" t="s">
        <v>863</v>
      </c>
      <c r="D254" s="18">
        <v>24.99</v>
      </c>
      <c r="E254" s="19" t="s">
        <v>905</v>
      </c>
      <c r="F254" s="19" t="s">
        <v>906</v>
      </c>
      <c r="G254" s="12"/>
    </row>
    <row r="255" spans="1:7" x14ac:dyDescent="0.25">
      <c r="A255" s="17">
        <v>45765</v>
      </c>
      <c r="B255" s="12" t="s">
        <v>1051</v>
      </c>
      <c r="C255" s="12" t="s">
        <v>886</v>
      </c>
      <c r="D255" s="18">
        <v>1252.8599999999999</v>
      </c>
      <c r="E255" s="19" t="s">
        <v>905</v>
      </c>
      <c r="F255" s="19" t="s">
        <v>906</v>
      </c>
      <c r="G255" s="12"/>
    </row>
    <row r="256" spans="1:7" x14ac:dyDescent="0.25">
      <c r="A256" s="17">
        <v>45765</v>
      </c>
      <c r="B256" s="12" t="s">
        <v>1052</v>
      </c>
      <c r="C256" s="12" t="s">
        <v>886</v>
      </c>
      <c r="D256" s="18">
        <v>169.87</v>
      </c>
      <c r="E256" s="19" t="s">
        <v>905</v>
      </c>
      <c r="F256" s="19" t="s">
        <v>906</v>
      </c>
      <c r="G256" s="12"/>
    </row>
    <row r="257" spans="1:7" x14ac:dyDescent="0.25">
      <c r="A257" s="17">
        <v>45765</v>
      </c>
      <c r="B257" s="12" t="s">
        <v>1052</v>
      </c>
      <c r="C257" s="12" t="s">
        <v>886</v>
      </c>
      <c r="D257" s="18">
        <v>169.87</v>
      </c>
      <c r="E257" s="19" t="s">
        <v>905</v>
      </c>
      <c r="F257" s="19" t="s">
        <v>906</v>
      </c>
      <c r="G257" s="12"/>
    </row>
    <row r="258" spans="1:7" x14ac:dyDescent="0.25">
      <c r="A258" s="17">
        <v>45765</v>
      </c>
      <c r="B258" s="12" t="s">
        <v>1052</v>
      </c>
      <c r="C258" s="12" t="s">
        <v>886</v>
      </c>
      <c r="D258" s="18">
        <v>262.22000000000003</v>
      </c>
      <c r="E258" s="19" t="s">
        <v>905</v>
      </c>
      <c r="F258" s="19" t="s">
        <v>906</v>
      </c>
      <c r="G258" s="12"/>
    </row>
    <row r="259" spans="1:7" x14ac:dyDescent="0.25">
      <c r="A259" s="17">
        <v>45765</v>
      </c>
      <c r="B259" s="12" t="s">
        <v>1052</v>
      </c>
      <c r="C259" s="12" t="s">
        <v>886</v>
      </c>
      <c r="D259" s="18">
        <v>262.22000000000003</v>
      </c>
      <c r="E259" s="19" t="s">
        <v>905</v>
      </c>
      <c r="F259" s="19" t="s">
        <v>906</v>
      </c>
      <c r="G259" s="12"/>
    </row>
    <row r="260" spans="1:7" x14ac:dyDescent="0.25">
      <c r="A260" s="17">
        <v>45765</v>
      </c>
      <c r="B260" s="12" t="s">
        <v>1052</v>
      </c>
      <c r="C260" s="12" t="s">
        <v>886</v>
      </c>
      <c r="D260" s="18">
        <v>285.02999999999997</v>
      </c>
      <c r="E260" s="19" t="s">
        <v>905</v>
      </c>
      <c r="F260" s="19" t="s">
        <v>906</v>
      </c>
      <c r="G260" s="12"/>
    </row>
    <row r="261" spans="1:7" x14ac:dyDescent="0.25">
      <c r="A261" s="17">
        <v>45765</v>
      </c>
      <c r="B261" s="12" t="s">
        <v>535</v>
      </c>
      <c r="C261" s="12" t="s">
        <v>886</v>
      </c>
      <c r="D261" s="18">
        <v>107.74</v>
      </c>
      <c r="E261" s="19" t="s">
        <v>905</v>
      </c>
      <c r="F261" s="19" t="s">
        <v>906</v>
      </c>
      <c r="G261" s="12"/>
    </row>
    <row r="262" spans="1:7" x14ac:dyDescent="0.25">
      <c r="A262" s="17">
        <v>45765</v>
      </c>
      <c r="B262" s="12" t="s">
        <v>1053</v>
      </c>
      <c r="C262" s="12" t="s">
        <v>886</v>
      </c>
      <c r="D262" s="18">
        <v>547.30999999999995</v>
      </c>
      <c r="E262" s="19" t="s">
        <v>905</v>
      </c>
      <c r="F262" s="19" t="s">
        <v>906</v>
      </c>
      <c r="G262" s="12"/>
    </row>
    <row r="263" spans="1:7" x14ac:dyDescent="0.25">
      <c r="A263" s="17">
        <v>45765</v>
      </c>
      <c r="B263" s="12" t="s">
        <v>987</v>
      </c>
      <c r="C263" s="12" t="s">
        <v>886</v>
      </c>
      <c r="D263" s="18">
        <v>118.86</v>
      </c>
      <c r="E263" s="19" t="s">
        <v>905</v>
      </c>
      <c r="F263" s="19" t="s">
        <v>906</v>
      </c>
      <c r="G263" s="12"/>
    </row>
    <row r="264" spans="1:7" x14ac:dyDescent="0.25">
      <c r="A264" s="17">
        <v>45765</v>
      </c>
      <c r="B264" s="12" t="s">
        <v>540</v>
      </c>
      <c r="C264" s="12" t="s">
        <v>886</v>
      </c>
      <c r="D264" s="18">
        <v>171.02</v>
      </c>
      <c r="E264" s="19" t="s">
        <v>905</v>
      </c>
      <c r="F264" s="19" t="s">
        <v>906</v>
      </c>
      <c r="G264" s="12"/>
    </row>
    <row r="265" spans="1:7" x14ac:dyDescent="0.25">
      <c r="A265" s="17">
        <v>45764</v>
      </c>
      <c r="B265" s="12" t="s">
        <v>1054</v>
      </c>
      <c r="C265" s="12" t="s">
        <v>858</v>
      </c>
      <c r="D265" s="18">
        <v>5.99</v>
      </c>
      <c r="E265" s="19" t="s">
        <v>947</v>
      </c>
      <c r="F265" s="19"/>
      <c r="G265" s="12"/>
    </row>
    <row r="266" spans="1:7" x14ac:dyDescent="0.25">
      <c r="A266" s="17">
        <v>45764</v>
      </c>
      <c r="B266" s="12" t="s">
        <v>1055</v>
      </c>
      <c r="C266" s="12" t="s">
        <v>875</v>
      </c>
      <c r="D266" s="18">
        <v>19.97</v>
      </c>
      <c r="E266" s="19" t="s">
        <v>947</v>
      </c>
      <c r="F266" s="19"/>
      <c r="G266" s="12"/>
    </row>
    <row r="267" spans="1:7" x14ac:dyDescent="0.25">
      <c r="A267" s="17">
        <v>45764</v>
      </c>
      <c r="B267" s="12" t="s">
        <v>1056</v>
      </c>
      <c r="C267" s="12" t="s">
        <v>886</v>
      </c>
      <c r="D267" s="18">
        <v>77.45</v>
      </c>
      <c r="E267" s="19" t="s">
        <v>905</v>
      </c>
      <c r="F267" s="19" t="s">
        <v>906</v>
      </c>
      <c r="G267" s="12"/>
    </row>
    <row r="268" spans="1:7" x14ac:dyDescent="0.25">
      <c r="A268" s="17">
        <v>45763</v>
      </c>
      <c r="B268" s="12" t="s">
        <v>550</v>
      </c>
      <c r="C268" s="12" t="s">
        <v>886</v>
      </c>
      <c r="D268" s="18">
        <v>656.24</v>
      </c>
      <c r="E268" s="19" t="s">
        <v>905</v>
      </c>
      <c r="F268" s="19" t="s">
        <v>906</v>
      </c>
      <c r="G268" s="12"/>
    </row>
    <row r="269" spans="1:7" x14ac:dyDescent="0.25">
      <c r="A269" s="17">
        <v>45763</v>
      </c>
      <c r="B269" s="12" t="s">
        <v>552</v>
      </c>
      <c r="C269" s="12" t="s">
        <v>886</v>
      </c>
      <c r="D269" s="18">
        <v>161.78</v>
      </c>
      <c r="E269" s="19" t="s">
        <v>905</v>
      </c>
      <c r="F269" s="19" t="s">
        <v>906</v>
      </c>
      <c r="G269" s="12"/>
    </row>
    <row r="270" spans="1:7" x14ac:dyDescent="0.25">
      <c r="A270" s="17">
        <v>45763</v>
      </c>
      <c r="B270" s="12" t="s">
        <v>1057</v>
      </c>
      <c r="C270" s="12" t="s">
        <v>886</v>
      </c>
      <c r="D270" s="18">
        <v>62.89</v>
      </c>
      <c r="E270" s="19" t="s">
        <v>905</v>
      </c>
      <c r="F270" s="19" t="s">
        <v>906</v>
      </c>
      <c r="G270" s="12"/>
    </row>
    <row r="271" spans="1:7" x14ac:dyDescent="0.25">
      <c r="A271" s="17">
        <v>45763</v>
      </c>
      <c r="B271" s="12" t="s">
        <v>1052</v>
      </c>
      <c r="C271" s="12" t="s">
        <v>886</v>
      </c>
      <c r="D271" s="18">
        <v>3391.24</v>
      </c>
      <c r="E271" s="19" t="s">
        <v>905</v>
      </c>
      <c r="F271" s="19" t="s">
        <v>906</v>
      </c>
      <c r="G271" s="12"/>
    </row>
    <row r="272" spans="1:7" x14ac:dyDescent="0.25">
      <c r="A272" s="17">
        <v>45763</v>
      </c>
      <c r="B272" s="12" t="s">
        <v>1058</v>
      </c>
      <c r="C272" s="12" t="s">
        <v>886</v>
      </c>
      <c r="D272" s="18">
        <v>55.28</v>
      </c>
      <c r="E272" s="19" t="s">
        <v>905</v>
      </c>
      <c r="F272" s="19" t="s">
        <v>906</v>
      </c>
      <c r="G272" s="12"/>
    </row>
    <row r="273" spans="1:7" x14ac:dyDescent="0.25">
      <c r="A273" s="17">
        <v>45762</v>
      </c>
      <c r="B273" s="12" t="s">
        <v>1059</v>
      </c>
      <c r="C273" s="12" t="s">
        <v>886</v>
      </c>
      <c r="D273" s="18">
        <v>216.47</v>
      </c>
      <c r="E273" s="19" t="s">
        <v>905</v>
      </c>
      <c r="F273" s="19" t="s">
        <v>906</v>
      </c>
      <c r="G273" s="12"/>
    </row>
    <row r="274" spans="1:7" x14ac:dyDescent="0.25">
      <c r="A274" s="17">
        <v>45762</v>
      </c>
      <c r="B274" s="12" t="s">
        <v>1060</v>
      </c>
      <c r="C274" s="12" t="s">
        <v>886</v>
      </c>
      <c r="D274" s="18">
        <v>611.11</v>
      </c>
      <c r="E274" s="19" t="s">
        <v>905</v>
      </c>
      <c r="F274" s="19" t="s">
        <v>906</v>
      </c>
      <c r="G274" s="12"/>
    </row>
    <row r="275" spans="1:7" x14ac:dyDescent="0.25">
      <c r="A275" s="17">
        <v>45762</v>
      </c>
      <c r="B275" s="12" t="s">
        <v>1061</v>
      </c>
      <c r="C275" s="12" t="s">
        <v>886</v>
      </c>
      <c r="D275" s="18">
        <v>76.819999999999993</v>
      </c>
      <c r="E275" s="19" t="s">
        <v>905</v>
      </c>
      <c r="F275" s="19" t="s">
        <v>906</v>
      </c>
      <c r="G275" s="12"/>
    </row>
    <row r="276" spans="1:7" x14ac:dyDescent="0.25">
      <c r="A276" s="17">
        <v>45762</v>
      </c>
      <c r="B276" s="12" t="s">
        <v>1062</v>
      </c>
      <c r="C276" s="12" t="s">
        <v>886</v>
      </c>
      <c r="D276" s="18">
        <v>143.97</v>
      </c>
      <c r="E276" s="19" t="s">
        <v>905</v>
      </c>
      <c r="F276" s="19" t="s">
        <v>906</v>
      </c>
      <c r="G276" s="12"/>
    </row>
    <row r="277" spans="1:7" x14ac:dyDescent="0.25">
      <c r="A277" s="17">
        <v>45761</v>
      </c>
      <c r="B277" s="12" t="s">
        <v>1011</v>
      </c>
      <c r="C277" s="12" t="s">
        <v>858</v>
      </c>
      <c r="D277" s="18">
        <v>10.81</v>
      </c>
      <c r="E277" s="19" t="s">
        <v>947</v>
      </c>
      <c r="F277" s="19"/>
      <c r="G277" s="12"/>
    </row>
    <row r="278" spans="1:7" x14ac:dyDescent="0.25">
      <c r="A278" s="17">
        <v>45761</v>
      </c>
      <c r="B278" s="12" t="s">
        <v>1059</v>
      </c>
      <c r="C278" s="12" t="s">
        <v>886</v>
      </c>
      <c r="D278" s="18">
        <v>216.22</v>
      </c>
      <c r="E278" s="19" t="s">
        <v>905</v>
      </c>
      <c r="F278" s="19" t="s">
        <v>906</v>
      </c>
      <c r="G278" s="12"/>
    </row>
    <row r="279" spans="1:7" x14ac:dyDescent="0.25">
      <c r="A279" s="17">
        <v>45761</v>
      </c>
      <c r="B279" s="12" t="s">
        <v>1063</v>
      </c>
      <c r="C279" s="12" t="s">
        <v>886</v>
      </c>
      <c r="D279" s="18">
        <v>88.89</v>
      </c>
      <c r="E279" s="19" t="s">
        <v>905</v>
      </c>
      <c r="F279" s="19" t="s">
        <v>906</v>
      </c>
      <c r="G279" s="12"/>
    </row>
    <row r="280" spans="1:7" x14ac:dyDescent="0.25">
      <c r="A280" s="17">
        <v>45760</v>
      </c>
      <c r="B280" s="12" t="s">
        <v>1064</v>
      </c>
      <c r="C280" s="12" t="s">
        <v>875</v>
      </c>
      <c r="D280" s="18">
        <v>15.98</v>
      </c>
      <c r="E280" s="19" t="s">
        <v>947</v>
      </c>
      <c r="F280" s="19"/>
      <c r="G280" s="12"/>
    </row>
    <row r="281" spans="1:7" x14ac:dyDescent="0.25">
      <c r="A281" s="17">
        <v>45760</v>
      </c>
      <c r="B281" s="12" t="s">
        <v>1065</v>
      </c>
      <c r="C281" s="12" t="s">
        <v>886</v>
      </c>
      <c r="D281" s="18">
        <v>243</v>
      </c>
      <c r="E281" s="19" t="s">
        <v>905</v>
      </c>
      <c r="F281" s="19" t="s">
        <v>906</v>
      </c>
      <c r="G281" s="12"/>
    </row>
    <row r="282" spans="1:7" x14ac:dyDescent="0.25">
      <c r="A282" s="17">
        <v>45760</v>
      </c>
      <c r="B282" s="12" t="s">
        <v>1065</v>
      </c>
      <c r="C282" s="12" t="s">
        <v>886</v>
      </c>
      <c r="D282" s="18">
        <v>243</v>
      </c>
      <c r="E282" s="19" t="s">
        <v>905</v>
      </c>
      <c r="F282" s="19" t="s">
        <v>906</v>
      </c>
      <c r="G282" s="12"/>
    </row>
    <row r="283" spans="1:7" x14ac:dyDescent="0.25">
      <c r="A283" s="17">
        <v>45760</v>
      </c>
      <c r="B283" s="12" t="s">
        <v>578</v>
      </c>
      <c r="C283" s="12" t="s">
        <v>886</v>
      </c>
      <c r="D283" s="18">
        <v>518.55999999999995</v>
      </c>
      <c r="E283" s="19" t="s">
        <v>905</v>
      </c>
      <c r="F283" s="19" t="s">
        <v>906</v>
      </c>
      <c r="G283" s="12"/>
    </row>
    <row r="284" spans="1:7" x14ac:dyDescent="0.25">
      <c r="A284" s="17">
        <v>45760</v>
      </c>
      <c r="B284" s="12" t="s">
        <v>1066</v>
      </c>
      <c r="C284" s="12" t="s">
        <v>886</v>
      </c>
      <c r="D284" s="18">
        <v>319.01</v>
      </c>
      <c r="E284" s="19" t="s">
        <v>905</v>
      </c>
      <c r="F284" s="19" t="s">
        <v>906</v>
      </c>
      <c r="G284" s="12"/>
    </row>
    <row r="285" spans="1:7" x14ac:dyDescent="0.25">
      <c r="A285" s="17">
        <v>45760</v>
      </c>
      <c r="B285" s="12" t="s">
        <v>582</v>
      </c>
      <c r="C285" s="12" t="s">
        <v>886</v>
      </c>
      <c r="D285" s="18">
        <v>99.41</v>
      </c>
      <c r="E285" s="19" t="s">
        <v>905</v>
      </c>
      <c r="F285" s="19" t="s">
        <v>906</v>
      </c>
      <c r="G285" s="12"/>
    </row>
    <row r="286" spans="1:7" x14ac:dyDescent="0.25">
      <c r="A286" s="17">
        <v>45760</v>
      </c>
      <c r="B286" s="12" t="s">
        <v>584</v>
      </c>
      <c r="C286" s="12" t="s">
        <v>886</v>
      </c>
      <c r="D286" s="18">
        <v>11.48</v>
      </c>
      <c r="E286" s="19" t="s">
        <v>905</v>
      </c>
      <c r="F286" s="19" t="s">
        <v>906</v>
      </c>
      <c r="G286" s="12"/>
    </row>
    <row r="287" spans="1:7" x14ac:dyDescent="0.25">
      <c r="A287" s="17">
        <v>45760</v>
      </c>
      <c r="B287" s="12" t="s">
        <v>584</v>
      </c>
      <c r="C287" s="12" t="s">
        <v>886</v>
      </c>
      <c r="D287" s="18">
        <v>137.13</v>
      </c>
      <c r="E287" s="19" t="s">
        <v>905</v>
      </c>
      <c r="F287" s="19" t="s">
        <v>906</v>
      </c>
      <c r="G287" s="12"/>
    </row>
    <row r="288" spans="1:7" x14ac:dyDescent="0.25">
      <c r="A288" s="17">
        <v>45758</v>
      </c>
      <c r="B288" s="12" t="s">
        <v>1067</v>
      </c>
      <c r="C288" s="12" t="s">
        <v>886</v>
      </c>
      <c r="D288" s="18">
        <v>4241.25</v>
      </c>
      <c r="E288" s="19" t="s">
        <v>905</v>
      </c>
      <c r="F288" s="19" t="s">
        <v>906</v>
      </c>
      <c r="G288" s="12"/>
    </row>
    <row r="289" spans="1:7" x14ac:dyDescent="0.25">
      <c r="A289" s="17">
        <v>45758</v>
      </c>
      <c r="B289" s="12" t="s">
        <v>590</v>
      </c>
      <c r="C289" s="12" t="s">
        <v>886</v>
      </c>
      <c r="D289" s="18">
        <v>203.68</v>
      </c>
      <c r="E289" s="19" t="s">
        <v>905</v>
      </c>
      <c r="F289" s="19" t="s">
        <v>906</v>
      </c>
      <c r="G289" s="12"/>
    </row>
    <row r="290" spans="1:7" x14ac:dyDescent="0.25">
      <c r="A290" s="17">
        <v>45758</v>
      </c>
      <c r="B290" s="12" t="s">
        <v>987</v>
      </c>
      <c r="C290" s="12" t="s">
        <v>871</v>
      </c>
      <c r="D290" s="18">
        <v>47.96</v>
      </c>
      <c r="E290" s="19" t="s">
        <v>905</v>
      </c>
      <c r="F290" s="19" t="s">
        <v>906</v>
      </c>
      <c r="G290" s="12"/>
    </row>
    <row r="291" spans="1:7" x14ac:dyDescent="0.25">
      <c r="A291" s="17">
        <v>45757</v>
      </c>
      <c r="B291" s="12" t="s">
        <v>1068</v>
      </c>
      <c r="C291" s="12" t="s">
        <v>886</v>
      </c>
      <c r="D291" s="18">
        <v>76.09</v>
      </c>
      <c r="E291" s="19" t="s">
        <v>905</v>
      </c>
      <c r="F291" s="19" t="s">
        <v>906</v>
      </c>
      <c r="G291" s="12"/>
    </row>
    <row r="292" spans="1:7" x14ac:dyDescent="0.25">
      <c r="A292" s="17">
        <v>45757</v>
      </c>
      <c r="B292" s="12" t="s">
        <v>1069</v>
      </c>
      <c r="C292" s="12" t="s">
        <v>875</v>
      </c>
      <c r="D292" s="18">
        <v>26.98</v>
      </c>
      <c r="E292" s="19" t="s">
        <v>947</v>
      </c>
      <c r="F292" s="19"/>
      <c r="G292" s="12"/>
    </row>
    <row r="293" spans="1:7" x14ac:dyDescent="0.25">
      <c r="A293" s="17">
        <v>45757</v>
      </c>
      <c r="B293" s="12" t="s">
        <v>1070</v>
      </c>
      <c r="C293" s="12" t="s">
        <v>886</v>
      </c>
      <c r="D293" s="18">
        <v>78.66</v>
      </c>
      <c r="E293" s="19" t="s">
        <v>905</v>
      </c>
      <c r="F293" s="19" t="s">
        <v>906</v>
      </c>
      <c r="G293" s="12"/>
    </row>
    <row r="294" spans="1:7" x14ac:dyDescent="0.25">
      <c r="A294" s="17">
        <v>45757</v>
      </c>
      <c r="B294" s="12" t="s">
        <v>996</v>
      </c>
      <c r="C294" s="12" t="s">
        <v>858</v>
      </c>
      <c r="D294" s="18">
        <v>9.99</v>
      </c>
      <c r="E294" s="19" t="s">
        <v>947</v>
      </c>
      <c r="F294" s="19"/>
      <c r="G294" s="12"/>
    </row>
    <row r="295" spans="1:7" x14ac:dyDescent="0.25">
      <c r="A295" s="17">
        <v>45757</v>
      </c>
      <c r="B295" s="12" t="s">
        <v>1071</v>
      </c>
      <c r="C295" s="12" t="s">
        <v>886</v>
      </c>
      <c r="D295" s="18">
        <v>75.69</v>
      </c>
      <c r="E295" s="19" t="s">
        <v>905</v>
      </c>
      <c r="F295" s="19" t="s">
        <v>906</v>
      </c>
      <c r="G295" s="12"/>
    </row>
    <row r="296" spans="1:7" x14ac:dyDescent="0.25">
      <c r="A296" s="17">
        <v>45756</v>
      </c>
      <c r="B296" s="12" t="s">
        <v>1072</v>
      </c>
      <c r="C296" s="12" t="s">
        <v>875</v>
      </c>
      <c r="D296" s="18">
        <v>13.79</v>
      </c>
      <c r="E296" s="19" t="s">
        <v>947</v>
      </c>
      <c r="F296" s="19"/>
      <c r="G296" s="12"/>
    </row>
    <row r="297" spans="1:7" x14ac:dyDescent="0.25">
      <c r="A297" s="17">
        <v>45756</v>
      </c>
      <c r="B297" s="12" t="s">
        <v>1073</v>
      </c>
      <c r="C297" s="12" t="s">
        <v>886</v>
      </c>
      <c r="D297" s="18">
        <v>68.25</v>
      </c>
      <c r="E297" s="19" t="s">
        <v>905</v>
      </c>
      <c r="F297" s="19" t="s">
        <v>906</v>
      </c>
      <c r="G297" s="12"/>
    </row>
    <row r="298" spans="1:7" x14ac:dyDescent="0.25">
      <c r="A298" s="17">
        <v>45756</v>
      </c>
      <c r="B298" s="12" t="s">
        <v>608</v>
      </c>
      <c r="C298" s="12" t="s">
        <v>886</v>
      </c>
      <c r="D298" s="18">
        <v>145.46</v>
      </c>
      <c r="E298" s="19" t="s">
        <v>905</v>
      </c>
      <c r="F298" s="19" t="s">
        <v>906</v>
      </c>
      <c r="G298" s="12"/>
    </row>
    <row r="299" spans="1:7" x14ac:dyDescent="0.25">
      <c r="A299" s="17">
        <v>45756</v>
      </c>
      <c r="B299" s="12" t="s">
        <v>610</v>
      </c>
      <c r="C299" s="12" t="s">
        <v>886</v>
      </c>
      <c r="D299" s="18">
        <v>55.49</v>
      </c>
      <c r="E299" s="19" t="s">
        <v>905</v>
      </c>
      <c r="F299" s="19" t="s">
        <v>906</v>
      </c>
      <c r="G299" s="12"/>
    </row>
    <row r="300" spans="1:7" x14ac:dyDescent="0.25">
      <c r="A300" s="17">
        <v>45756</v>
      </c>
      <c r="B300" s="12" t="s">
        <v>1030</v>
      </c>
      <c r="C300" s="12" t="s">
        <v>886</v>
      </c>
      <c r="D300" s="18">
        <v>-122.94</v>
      </c>
      <c r="E300" s="19" t="s">
        <v>905</v>
      </c>
      <c r="F300" s="19" t="s">
        <v>906</v>
      </c>
      <c r="G300" s="12"/>
    </row>
    <row r="301" spans="1:7" x14ac:dyDescent="0.25">
      <c r="A301" s="17">
        <v>45756</v>
      </c>
      <c r="B301" s="12" t="s">
        <v>1030</v>
      </c>
      <c r="C301" s="12" t="s">
        <v>886</v>
      </c>
      <c r="D301" s="18">
        <v>-67.06</v>
      </c>
      <c r="E301" s="19" t="s">
        <v>905</v>
      </c>
      <c r="F301" s="19" t="s">
        <v>906</v>
      </c>
      <c r="G301" s="12"/>
    </row>
    <row r="302" spans="1:7" x14ac:dyDescent="0.25">
      <c r="A302" s="17">
        <v>45756</v>
      </c>
      <c r="B302" s="12" t="s">
        <v>1030</v>
      </c>
      <c r="C302" s="12" t="s">
        <v>886</v>
      </c>
      <c r="D302" s="18">
        <v>67.06</v>
      </c>
      <c r="E302" s="19" t="s">
        <v>905</v>
      </c>
      <c r="F302" s="19" t="s">
        <v>906</v>
      </c>
      <c r="G302" s="12"/>
    </row>
    <row r="303" spans="1:7" x14ac:dyDescent="0.25">
      <c r="A303" s="17">
        <v>45756</v>
      </c>
      <c r="B303" s="12" t="s">
        <v>1030</v>
      </c>
      <c r="C303" s="12" t="s">
        <v>886</v>
      </c>
      <c r="D303" s="18">
        <v>122.94</v>
      </c>
      <c r="E303" s="19" t="s">
        <v>905</v>
      </c>
      <c r="F303" s="19" t="s">
        <v>906</v>
      </c>
      <c r="G303" s="12"/>
    </row>
    <row r="304" spans="1:7" x14ac:dyDescent="0.25">
      <c r="A304" s="17">
        <v>45755</v>
      </c>
      <c r="B304" s="12" t="s">
        <v>1074</v>
      </c>
      <c r="C304" s="12" t="s">
        <v>875</v>
      </c>
      <c r="D304" s="18">
        <v>29.97</v>
      </c>
      <c r="E304" s="19" t="s">
        <v>947</v>
      </c>
      <c r="F304" s="19"/>
      <c r="G304" s="12"/>
    </row>
    <row r="305" spans="1:7" x14ac:dyDescent="0.25">
      <c r="A305" s="17">
        <v>45755</v>
      </c>
      <c r="B305" s="12" t="s">
        <v>1075</v>
      </c>
      <c r="C305" s="12" t="s">
        <v>886</v>
      </c>
      <c r="D305" s="18">
        <v>73.19</v>
      </c>
      <c r="E305" s="19" t="s">
        <v>905</v>
      </c>
      <c r="F305" s="19" t="s">
        <v>906</v>
      </c>
      <c r="G305" s="12"/>
    </row>
    <row r="306" spans="1:7" x14ac:dyDescent="0.25">
      <c r="A306" s="17">
        <v>45755</v>
      </c>
      <c r="B306" s="12" t="s">
        <v>1075</v>
      </c>
      <c r="C306" s="12" t="s">
        <v>886</v>
      </c>
      <c r="D306" s="18">
        <v>147.94999999999999</v>
      </c>
      <c r="E306" s="19" t="s">
        <v>905</v>
      </c>
      <c r="F306" s="19" t="s">
        <v>906</v>
      </c>
      <c r="G306" s="12"/>
    </row>
    <row r="307" spans="1:7" x14ac:dyDescent="0.25">
      <c r="A307" s="17">
        <v>45755</v>
      </c>
      <c r="B307" s="12" t="s">
        <v>1030</v>
      </c>
      <c r="C307" s="12" t="s">
        <v>886</v>
      </c>
      <c r="D307" s="18">
        <v>1334.16</v>
      </c>
      <c r="E307" s="19" t="s">
        <v>905</v>
      </c>
      <c r="F307" s="19" t="s">
        <v>906</v>
      </c>
      <c r="G307" s="12"/>
    </row>
    <row r="308" spans="1:7" x14ac:dyDescent="0.25">
      <c r="A308" s="17">
        <v>45754</v>
      </c>
      <c r="B308" s="12" t="s">
        <v>622</v>
      </c>
      <c r="C308" s="12" t="s">
        <v>886</v>
      </c>
      <c r="D308" s="18">
        <v>1563.86</v>
      </c>
      <c r="E308" s="19" t="s">
        <v>905</v>
      </c>
      <c r="F308" s="19" t="s">
        <v>906</v>
      </c>
      <c r="G308" s="12"/>
    </row>
    <row r="309" spans="1:7" x14ac:dyDescent="0.25">
      <c r="A309" s="17">
        <v>45754</v>
      </c>
      <c r="B309" s="12" t="s">
        <v>1076</v>
      </c>
      <c r="C309" s="12" t="s">
        <v>886</v>
      </c>
      <c r="D309" s="18">
        <v>271.60000000000002</v>
      </c>
      <c r="E309" s="19" t="s">
        <v>905</v>
      </c>
      <c r="F309" s="19" t="s">
        <v>906</v>
      </c>
      <c r="G309" s="12"/>
    </row>
    <row r="310" spans="1:7" x14ac:dyDescent="0.25">
      <c r="A310" s="17">
        <v>45754</v>
      </c>
      <c r="B310" s="12" t="s">
        <v>1077</v>
      </c>
      <c r="C310" s="12" t="s">
        <v>886</v>
      </c>
      <c r="D310" s="18">
        <v>-1734.48</v>
      </c>
      <c r="E310" s="19" t="s">
        <v>905</v>
      </c>
      <c r="F310" s="19" t="s">
        <v>906</v>
      </c>
      <c r="G310" s="12"/>
    </row>
    <row r="311" spans="1:7" x14ac:dyDescent="0.25">
      <c r="A311" s="17">
        <v>45754</v>
      </c>
      <c r="B311" s="12" t="s">
        <v>1078</v>
      </c>
      <c r="C311" s="12" t="s">
        <v>886</v>
      </c>
      <c r="D311" s="18">
        <v>17.350000000000001</v>
      </c>
      <c r="E311" s="19" t="s">
        <v>905</v>
      </c>
      <c r="F311" s="19" t="s">
        <v>906</v>
      </c>
      <c r="G311" s="12"/>
    </row>
    <row r="312" spans="1:7" x14ac:dyDescent="0.25">
      <c r="A312" s="17">
        <v>45754</v>
      </c>
      <c r="B312" s="12" t="s">
        <v>1079</v>
      </c>
      <c r="C312" s="12" t="s">
        <v>886</v>
      </c>
      <c r="D312" s="18">
        <v>58.58</v>
      </c>
      <c r="E312" s="19" t="s">
        <v>905</v>
      </c>
      <c r="F312" s="19" t="s">
        <v>906</v>
      </c>
      <c r="G312" s="12"/>
    </row>
    <row r="313" spans="1:7" x14ac:dyDescent="0.25">
      <c r="A313" s="17">
        <v>45753</v>
      </c>
      <c r="B313" s="12" t="s">
        <v>1030</v>
      </c>
      <c r="C313" s="12" t="s">
        <v>886</v>
      </c>
      <c r="D313" s="18">
        <v>211.24</v>
      </c>
      <c r="E313" s="19" t="s">
        <v>905</v>
      </c>
      <c r="F313" s="19" t="s">
        <v>906</v>
      </c>
      <c r="G313" s="12"/>
    </row>
    <row r="314" spans="1:7" x14ac:dyDescent="0.25">
      <c r="A314" s="17">
        <v>45751</v>
      </c>
      <c r="B314" s="12" t="s">
        <v>981</v>
      </c>
      <c r="C314" s="12" t="s">
        <v>858</v>
      </c>
      <c r="D314" s="18">
        <v>10.81</v>
      </c>
      <c r="E314" s="19" t="s">
        <v>947</v>
      </c>
      <c r="F314" s="19"/>
      <c r="G314" s="12"/>
    </row>
    <row r="315" spans="1:7" x14ac:dyDescent="0.25">
      <c r="A315" s="17">
        <v>45751</v>
      </c>
      <c r="B315" s="12" t="s">
        <v>1080</v>
      </c>
      <c r="C315" s="12" t="s">
        <v>886</v>
      </c>
      <c r="D315" s="18">
        <v>96.99</v>
      </c>
      <c r="E315" s="19" t="s">
        <v>905</v>
      </c>
      <c r="F315" s="19" t="s">
        <v>906</v>
      </c>
      <c r="G315" s="12"/>
    </row>
    <row r="316" spans="1:7" x14ac:dyDescent="0.25">
      <c r="A316" s="17">
        <v>45751</v>
      </c>
      <c r="B316" s="12" t="s">
        <v>1030</v>
      </c>
      <c r="C316" s="12" t="s">
        <v>886</v>
      </c>
      <c r="D316" s="18">
        <v>729.34</v>
      </c>
      <c r="E316" s="19" t="s">
        <v>905</v>
      </c>
      <c r="F316" s="19" t="s">
        <v>906</v>
      </c>
      <c r="G316" s="12"/>
    </row>
    <row r="317" spans="1:7" x14ac:dyDescent="0.25">
      <c r="A317" s="17">
        <v>45750</v>
      </c>
      <c r="B317" s="12" t="s">
        <v>400</v>
      </c>
      <c r="C317" s="12" t="s">
        <v>1022</v>
      </c>
      <c r="D317" s="18">
        <v>-284.98</v>
      </c>
      <c r="E317" s="19"/>
      <c r="F317" s="19"/>
      <c r="G317" s="12"/>
    </row>
    <row r="318" spans="1:7" x14ac:dyDescent="0.25">
      <c r="A318" s="17">
        <v>45750</v>
      </c>
      <c r="B318" s="12" t="s">
        <v>640</v>
      </c>
      <c r="C318" s="12" t="s">
        <v>1081</v>
      </c>
      <c r="D318" s="18">
        <v>250</v>
      </c>
      <c r="E318" s="19" t="s">
        <v>947</v>
      </c>
      <c r="F318" s="19"/>
      <c r="G318" s="12"/>
    </row>
    <row r="319" spans="1:7" x14ac:dyDescent="0.25">
      <c r="A319" s="17">
        <v>45750</v>
      </c>
      <c r="B319" s="12" t="s">
        <v>1082</v>
      </c>
      <c r="C319" s="12" t="s">
        <v>886</v>
      </c>
      <c r="D319" s="18">
        <v>141.58000000000001</v>
      </c>
      <c r="E319" s="19" t="s">
        <v>905</v>
      </c>
      <c r="F319" s="19" t="s">
        <v>906</v>
      </c>
      <c r="G319" s="12"/>
    </row>
    <row r="320" spans="1:7" x14ac:dyDescent="0.25">
      <c r="A320" s="17">
        <v>45750</v>
      </c>
      <c r="B320" s="12" t="s">
        <v>987</v>
      </c>
      <c r="C320" s="12" t="s">
        <v>871</v>
      </c>
      <c r="D320" s="18">
        <v>85.38</v>
      </c>
      <c r="E320" s="19" t="s">
        <v>905</v>
      </c>
      <c r="F320" s="19" t="s">
        <v>906</v>
      </c>
      <c r="G320" s="12"/>
    </row>
    <row r="321" spans="1:7" x14ac:dyDescent="0.25">
      <c r="A321" s="17">
        <v>45750</v>
      </c>
      <c r="B321" s="12" t="s">
        <v>1030</v>
      </c>
      <c r="C321" s="12" t="s">
        <v>886</v>
      </c>
      <c r="D321" s="18">
        <v>-48.95</v>
      </c>
      <c r="E321" s="19" t="s">
        <v>905</v>
      </c>
      <c r="F321" s="19" t="s">
        <v>906</v>
      </c>
      <c r="G321" s="12"/>
    </row>
    <row r="322" spans="1:7" x14ac:dyDescent="0.25">
      <c r="A322" s="17">
        <v>45750</v>
      </c>
      <c r="B322" s="12" t="s">
        <v>1030</v>
      </c>
      <c r="C322" s="12" t="s">
        <v>886</v>
      </c>
      <c r="D322" s="18">
        <v>179.9</v>
      </c>
      <c r="E322" s="19" t="s">
        <v>905</v>
      </c>
      <c r="F322" s="19" t="s">
        <v>906</v>
      </c>
      <c r="G322" s="12"/>
    </row>
    <row r="323" spans="1:7" x14ac:dyDescent="0.25">
      <c r="A323" s="17">
        <v>45750</v>
      </c>
      <c r="B323" s="12" t="s">
        <v>1030</v>
      </c>
      <c r="C323" s="12" t="s">
        <v>886</v>
      </c>
      <c r="D323" s="18">
        <v>1038.03</v>
      </c>
      <c r="E323" s="19" t="s">
        <v>905</v>
      </c>
      <c r="F323" s="19" t="s">
        <v>906</v>
      </c>
      <c r="G323" s="12"/>
    </row>
    <row r="324" spans="1:7" x14ac:dyDescent="0.25">
      <c r="A324" s="17">
        <v>45750</v>
      </c>
      <c r="B324" s="12" t="s">
        <v>1030</v>
      </c>
      <c r="C324" s="12" t="s">
        <v>886</v>
      </c>
      <c r="D324" s="18">
        <v>1047.24</v>
      </c>
      <c r="E324" s="19" t="s">
        <v>905</v>
      </c>
      <c r="F324" s="19" t="s">
        <v>906</v>
      </c>
      <c r="G324" s="12"/>
    </row>
    <row r="325" spans="1:7" x14ac:dyDescent="0.25">
      <c r="A325" s="17">
        <v>45749</v>
      </c>
      <c r="B325" s="12" t="s">
        <v>1083</v>
      </c>
      <c r="C325" s="12" t="s">
        <v>875</v>
      </c>
      <c r="D325" s="18">
        <v>13.98</v>
      </c>
      <c r="E325" s="19" t="s">
        <v>947</v>
      </c>
      <c r="F325" s="19"/>
      <c r="G325" s="12"/>
    </row>
    <row r="326" spans="1:7" x14ac:dyDescent="0.25">
      <c r="A326" s="17">
        <v>45748</v>
      </c>
      <c r="B326" s="12" t="s">
        <v>1084</v>
      </c>
      <c r="C326" s="12" t="s">
        <v>886</v>
      </c>
      <c r="D326" s="18">
        <v>6.5</v>
      </c>
      <c r="E326" s="19" t="s">
        <v>905</v>
      </c>
      <c r="F326" s="19" t="s">
        <v>906</v>
      </c>
      <c r="G326" s="12"/>
    </row>
    <row r="327" spans="1:7" x14ac:dyDescent="0.25">
      <c r="A327" s="17">
        <v>45748</v>
      </c>
      <c r="B327" s="12" t="s">
        <v>1085</v>
      </c>
      <c r="C327" s="12" t="s">
        <v>886</v>
      </c>
      <c r="D327" s="18">
        <v>59.72</v>
      </c>
      <c r="E327" s="19" t="s">
        <v>905</v>
      </c>
      <c r="F327" s="19" t="s">
        <v>906</v>
      </c>
      <c r="G327" s="12"/>
    </row>
    <row r="328" spans="1:7" x14ac:dyDescent="0.25">
      <c r="A328" s="17">
        <v>45748</v>
      </c>
      <c r="B328" s="12" t="s">
        <v>1086</v>
      </c>
      <c r="C328" s="12" t="s">
        <v>886</v>
      </c>
      <c r="D328" s="18">
        <v>21.66</v>
      </c>
      <c r="E328" s="19" t="s">
        <v>905</v>
      </c>
      <c r="F328" s="19" t="s">
        <v>906</v>
      </c>
      <c r="G328" s="12"/>
    </row>
    <row r="329" spans="1:7" x14ac:dyDescent="0.25">
      <c r="A329" s="17">
        <v>45748</v>
      </c>
      <c r="B329" s="12" t="s">
        <v>1087</v>
      </c>
      <c r="C329" s="12" t="s">
        <v>886</v>
      </c>
      <c r="D329" s="18">
        <v>74.33</v>
      </c>
      <c r="E329" s="19" t="s">
        <v>905</v>
      </c>
      <c r="F329" s="19" t="s">
        <v>906</v>
      </c>
      <c r="G329" s="12"/>
    </row>
    <row r="330" spans="1:7" x14ac:dyDescent="0.25">
      <c r="A330" s="17">
        <v>45747</v>
      </c>
      <c r="B330" s="12" t="s">
        <v>1052</v>
      </c>
      <c r="C330" s="12" t="s">
        <v>886</v>
      </c>
      <c r="D330" s="18">
        <v>100</v>
      </c>
      <c r="E330" s="19" t="s">
        <v>905</v>
      </c>
      <c r="F330" s="19" t="s">
        <v>906</v>
      </c>
      <c r="G330" s="12"/>
    </row>
    <row r="331" spans="1:7" x14ac:dyDescent="0.25">
      <c r="A331" s="17">
        <v>45747</v>
      </c>
      <c r="B331" s="12" t="s">
        <v>1088</v>
      </c>
      <c r="C331" s="12" t="s">
        <v>886</v>
      </c>
      <c r="D331" s="18">
        <v>10.84</v>
      </c>
      <c r="E331" s="19" t="s">
        <v>905</v>
      </c>
      <c r="F331" s="19" t="s">
        <v>906</v>
      </c>
      <c r="G331" s="12"/>
    </row>
    <row r="332" spans="1:7" x14ac:dyDescent="0.25">
      <c r="A332" s="17">
        <v>45747</v>
      </c>
      <c r="B332" s="12" t="s">
        <v>1089</v>
      </c>
      <c r="C332" s="12" t="s">
        <v>886</v>
      </c>
      <c r="D332" s="18">
        <v>49.25</v>
      </c>
      <c r="E332" s="19" t="s">
        <v>905</v>
      </c>
      <c r="F332" s="19" t="s">
        <v>906</v>
      </c>
      <c r="G332" s="12"/>
    </row>
    <row r="333" spans="1:7" x14ac:dyDescent="0.25">
      <c r="A333" s="17">
        <v>45747</v>
      </c>
      <c r="B333" s="12" t="s">
        <v>987</v>
      </c>
      <c r="C333" s="12" t="s">
        <v>871</v>
      </c>
      <c r="D333" s="18">
        <v>81.64</v>
      </c>
      <c r="E333" s="19" t="s">
        <v>905</v>
      </c>
      <c r="F333" s="19" t="s">
        <v>906</v>
      </c>
      <c r="G333" s="12"/>
    </row>
    <row r="334" spans="1:7" x14ac:dyDescent="0.25">
      <c r="A334" s="17">
        <v>45745</v>
      </c>
      <c r="B334" s="12" t="s">
        <v>1090</v>
      </c>
      <c r="C334" s="12" t="s">
        <v>873</v>
      </c>
      <c r="D334" s="18">
        <v>37.369999999999997</v>
      </c>
      <c r="E334" s="19" t="s">
        <v>905</v>
      </c>
      <c r="F334" s="19" t="s">
        <v>906</v>
      </c>
      <c r="G334" s="12"/>
    </row>
    <row r="335" spans="1:7" x14ac:dyDescent="0.25">
      <c r="A335" s="17">
        <v>45744</v>
      </c>
      <c r="B335" s="12" t="s">
        <v>130</v>
      </c>
      <c r="C335" s="12" t="s">
        <v>856</v>
      </c>
      <c r="D335" s="18">
        <v>-18892.34</v>
      </c>
      <c r="E335" s="19"/>
      <c r="F335" s="19"/>
      <c r="G335" s="12"/>
    </row>
    <row r="336" spans="1:7" x14ac:dyDescent="0.25">
      <c r="A336" s="17">
        <v>45743</v>
      </c>
      <c r="B336" s="12" t="s">
        <v>1030</v>
      </c>
      <c r="C336" s="12" t="s">
        <v>886</v>
      </c>
      <c r="D336" s="18">
        <v>48.95</v>
      </c>
      <c r="E336" s="19" t="s">
        <v>905</v>
      </c>
      <c r="F336" s="19" t="s">
        <v>906</v>
      </c>
      <c r="G336" s="12"/>
    </row>
    <row r="337" spans="1:7" x14ac:dyDescent="0.25">
      <c r="A337" s="17">
        <v>45743</v>
      </c>
      <c r="B337" s="12" t="s">
        <v>1030</v>
      </c>
      <c r="C337" s="12" t="s">
        <v>886</v>
      </c>
      <c r="D337" s="18">
        <v>734.61</v>
      </c>
      <c r="E337" s="19" t="s">
        <v>905</v>
      </c>
      <c r="F337" s="19" t="s">
        <v>906</v>
      </c>
      <c r="G337" s="12"/>
    </row>
    <row r="338" spans="1:7" x14ac:dyDescent="0.25">
      <c r="A338" s="17">
        <v>45741</v>
      </c>
      <c r="B338" s="12" t="s">
        <v>1091</v>
      </c>
      <c r="C338" s="12" t="s">
        <v>886</v>
      </c>
      <c r="D338" s="18">
        <v>-7194.44</v>
      </c>
      <c r="E338" s="19" t="s">
        <v>905</v>
      </c>
      <c r="F338" s="19" t="s">
        <v>906</v>
      </c>
      <c r="G338" s="12"/>
    </row>
    <row r="339" spans="1:7" x14ac:dyDescent="0.25">
      <c r="A339" s="17">
        <v>45740</v>
      </c>
      <c r="B339" s="12" t="s">
        <v>1030</v>
      </c>
      <c r="C339" s="12" t="s">
        <v>886</v>
      </c>
      <c r="D339" s="18">
        <v>-8.44</v>
      </c>
      <c r="E339" s="19" t="s">
        <v>905</v>
      </c>
      <c r="F339" s="19" t="s">
        <v>906</v>
      </c>
      <c r="G339" s="12"/>
    </row>
    <row r="340" spans="1:7" x14ac:dyDescent="0.25">
      <c r="A340" s="17">
        <v>45739</v>
      </c>
      <c r="B340" s="12" t="s">
        <v>1077</v>
      </c>
      <c r="C340" s="12" t="s">
        <v>886</v>
      </c>
      <c r="D340" s="18">
        <v>1734.48</v>
      </c>
      <c r="E340" s="19" t="s">
        <v>905</v>
      </c>
      <c r="F340" s="19" t="s">
        <v>906</v>
      </c>
      <c r="G340" s="12"/>
    </row>
    <row r="341" spans="1:7" x14ac:dyDescent="0.25">
      <c r="A341" s="17">
        <v>45739</v>
      </c>
      <c r="B341" s="12" t="s">
        <v>1091</v>
      </c>
      <c r="C341" s="12" t="s">
        <v>886</v>
      </c>
      <c r="D341" s="18">
        <v>7194.44</v>
      </c>
      <c r="E341" s="19" t="s">
        <v>905</v>
      </c>
      <c r="F341" s="19" t="s">
        <v>906</v>
      </c>
      <c r="G341" s="12"/>
    </row>
    <row r="342" spans="1:7" x14ac:dyDescent="0.25">
      <c r="A342" s="17">
        <v>45739</v>
      </c>
      <c r="B342" s="12" t="s">
        <v>1092</v>
      </c>
      <c r="C342" s="12" t="s">
        <v>886</v>
      </c>
      <c r="D342" s="18">
        <v>9210.1200000000008</v>
      </c>
      <c r="E342" s="19" t="s">
        <v>905</v>
      </c>
      <c r="F342" s="19" t="s">
        <v>906</v>
      </c>
      <c r="G342" s="12"/>
    </row>
    <row r="343" spans="1:7" x14ac:dyDescent="0.25">
      <c r="A343" s="17">
        <v>45739</v>
      </c>
      <c r="B343" s="12" t="s">
        <v>987</v>
      </c>
      <c r="C343" s="12" t="s">
        <v>886</v>
      </c>
      <c r="D343" s="18">
        <v>-2.5099999999999998</v>
      </c>
      <c r="E343" s="19" t="s">
        <v>905</v>
      </c>
      <c r="F343" s="19" t="s">
        <v>906</v>
      </c>
      <c r="G343" s="12"/>
    </row>
    <row r="344" spans="1:7" x14ac:dyDescent="0.25">
      <c r="A344" s="17">
        <v>45739</v>
      </c>
      <c r="B344" s="12" t="s">
        <v>987</v>
      </c>
      <c r="C344" s="12" t="s">
        <v>886</v>
      </c>
      <c r="D344" s="18">
        <v>36.85</v>
      </c>
      <c r="E344" s="19" t="s">
        <v>905</v>
      </c>
      <c r="F344" s="19" t="s">
        <v>906</v>
      </c>
      <c r="G344" s="12"/>
    </row>
    <row r="345" spans="1:7" x14ac:dyDescent="0.25">
      <c r="A345" s="17">
        <v>45738</v>
      </c>
      <c r="B345" s="12" t="s">
        <v>1006</v>
      </c>
      <c r="C345" s="12" t="s">
        <v>881</v>
      </c>
      <c r="D345" s="18">
        <v>219</v>
      </c>
      <c r="E345" s="19" t="s">
        <v>947</v>
      </c>
      <c r="F345" s="19"/>
      <c r="G345" s="12"/>
    </row>
    <row r="346" spans="1:7" x14ac:dyDescent="0.25">
      <c r="A346" s="17">
        <v>45737</v>
      </c>
      <c r="B346" s="12" t="s">
        <v>1093</v>
      </c>
      <c r="C346" s="12" t="s">
        <v>886</v>
      </c>
      <c r="D346" s="18">
        <v>-2069.58</v>
      </c>
      <c r="E346" s="19" t="s">
        <v>905</v>
      </c>
      <c r="F346" s="19" t="s">
        <v>906</v>
      </c>
      <c r="G346" s="12"/>
    </row>
    <row r="347" spans="1:7" x14ac:dyDescent="0.25">
      <c r="A347" s="17">
        <v>45737</v>
      </c>
      <c r="B347" s="12" t="s">
        <v>1094</v>
      </c>
      <c r="C347" s="12" t="s">
        <v>886</v>
      </c>
      <c r="D347" s="18">
        <v>1250.5899999999999</v>
      </c>
      <c r="E347" s="19" t="s">
        <v>905</v>
      </c>
      <c r="F347" s="19" t="s">
        <v>906</v>
      </c>
      <c r="G347" s="12"/>
    </row>
    <row r="348" spans="1:7" x14ac:dyDescent="0.25">
      <c r="A348" s="17">
        <v>45736</v>
      </c>
      <c r="B348" s="12" t="s">
        <v>1095</v>
      </c>
      <c r="C348" s="12" t="s">
        <v>886</v>
      </c>
      <c r="D348" s="18">
        <v>1126.22</v>
      </c>
      <c r="E348" s="19" t="s">
        <v>905</v>
      </c>
      <c r="F348" s="19" t="s">
        <v>906</v>
      </c>
      <c r="G348" s="12"/>
    </row>
    <row r="349" spans="1:7" x14ac:dyDescent="0.25">
      <c r="A349" s="17">
        <v>45736</v>
      </c>
      <c r="B349" s="12" t="s">
        <v>1096</v>
      </c>
      <c r="C349" s="12" t="s">
        <v>886</v>
      </c>
      <c r="D349" s="18">
        <v>1863.82</v>
      </c>
      <c r="E349" s="19" t="s">
        <v>905</v>
      </c>
      <c r="F349" s="19" t="s">
        <v>906</v>
      </c>
      <c r="G349" s="12"/>
    </row>
    <row r="350" spans="1:7" x14ac:dyDescent="0.25">
      <c r="A350" s="17">
        <v>45736</v>
      </c>
      <c r="B350" s="12" t="s">
        <v>1030</v>
      </c>
      <c r="C350" s="12" t="s">
        <v>886</v>
      </c>
      <c r="D350" s="18">
        <v>8.44</v>
      </c>
      <c r="E350" s="19" t="s">
        <v>905</v>
      </c>
      <c r="F350" s="19" t="s">
        <v>906</v>
      </c>
      <c r="G350" s="12"/>
    </row>
    <row r="351" spans="1:7" x14ac:dyDescent="0.25">
      <c r="A351" s="17">
        <v>45736</v>
      </c>
      <c r="B351" s="12" t="s">
        <v>1030</v>
      </c>
      <c r="C351" s="12" t="s">
        <v>886</v>
      </c>
      <c r="D351" s="18">
        <v>466.96</v>
      </c>
      <c r="E351" s="19" t="s">
        <v>905</v>
      </c>
      <c r="F351" s="19" t="s">
        <v>906</v>
      </c>
      <c r="G351" s="12"/>
    </row>
    <row r="352" spans="1:7" x14ac:dyDescent="0.25">
      <c r="A352" s="17">
        <v>45735</v>
      </c>
      <c r="B352" s="12" t="s">
        <v>1093</v>
      </c>
      <c r="C352" s="12" t="s">
        <v>886</v>
      </c>
      <c r="D352" s="18">
        <v>2069.58</v>
      </c>
      <c r="E352" s="19" t="s">
        <v>905</v>
      </c>
      <c r="F352" s="19" t="s">
        <v>906</v>
      </c>
      <c r="G352" s="12"/>
    </row>
    <row r="353" spans="1:7" x14ac:dyDescent="0.25">
      <c r="A353" s="17">
        <v>45734</v>
      </c>
      <c r="B353" s="12" t="s">
        <v>1065</v>
      </c>
      <c r="C353" s="12" t="s">
        <v>886</v>
      </c>
      <c r="D353" s="18">
        <v>974.81</v>
      </c>
      <c r="E353" s="19" t="s">
        <v>905</v>
      </c>
      <c r="F353" s="19" t="s">
        <v>906</v>
      </c>
      <c r="G353" s="12"/>
    </row>
    <row r="354" spans="1:7" x14ac:dyDescent="0.25">
      <c r="A354" s="17">
        <v>45734</v>
      </c>
      <c r="B354" s="12" t="s">
        <v>1065</v>
      </c>
      <c r="C354" s="12" t="s">
        <v>886</v>
      </c>
      <c r="D354" s="18">
        <v>974.81</v>
      </c>
      <c r="E354" s="19" t="s">
        <v>905</v>
      </c>
      <c r="F354" s="19" t="s">
        <v>906</v>
      </c>
      <c r="G354" s="12"/>
    </row>
    <row r="355" spans="1:7" x14ac:dyDescent="0.25">
      <c r="A355" s="17">
        <v>45734</v>
      </c>
      <c r="B355" s="12" t="s">
        <v>938</v>
      </c>
      <c r="C355" s="12" t="s">
        <v>863</v>
      </c>
      <c r="D355" s="18">
        <v>24.99</v>
      </c>
      <c r="E355" s="19" t="s">
        <v>905</v>
      </c>
      <c r="F355" s="19" t="s">
        <v>906</v>
      </c>
      <c r="G355" s="12"/>
    </row>
    <row r="356" spans="1:7" x14ac:dyDescent="0.25">
      <c r="A356" s="17">
        <v>45733</v>
      </c>
      <c r="B356" s="12" t="s">
        <v>1097</v>
      </c>
      <c r="C356" s="12" t="s">
        <v>858</v>
      </c>
      <c r="D356" s="18">
        <v>5.99</v>
      </c>
      <c r="E356" s="19" t="s">
        <v>947</v>
      </c>
      <c r="F356" s="19"/>
      <c r="G356" s="12"/>
    </row>
    <row r="357" spans="1:7" x14ac:dyDescent="0.25">
      <c r="A357" s="17">
        <v>45733</v>
      </c>
      <c r="B357" s="12" t="s">
        <v>1098</v>
      </c>
      <c r="C357" s="12" t="s">
        <v>875</v>
      </c>
      <c r="D357" s="18">
        <v>17.97</v>
      </c>
      <c r="E357" s="19" t="s">
        <v>947</v>
      </c>
      <c r="F357" s="19"/>
      <c r="G357" s="12"/>
    </row>
    <row r="358" spans="1:7" x14ac:dyDescent="0.25">
      <c r="A358" s="17">
        <v>45731</v>
      </c>
      <c r="B358" s="12" t="s">
        <v>987</v>
      </c>
      <c r="C358" s="12" t="s">
        <v>871</v>
      </c>
      <c r="D358" s="18">
        <v>34.340000000000003</v>
      </c>
      <c r="E358" s="19" t="s">
        <v>905</v>
      </c>
      <c r="F358" s="19" t="s">
        <v>906</v>
      </c>
      <c r="G358" s="12"/>
    </row>
    <row r="359" spans="1:7" x14ac:dyDescent="0.25">
      <c r="A359" s="17">
        <v>45730</v>
      </c>
      <c r="B359" s="12" t="s">
        <v>1011</v>
      </c>
      <c r="C359" s="12" t="s">
        <v>858</v>
      </c>
      <c r="D359" s="18">
        <v>10.81</v>
      </c>
      <c r="E359" s="19" t="s">
        <v>947</v>
      </c>
      <c r="F359" s="19"/>
      <c r="G359" s="12"/>
    </row>
    <row r="360" spans="1:7" x14ac:dyDescent="0.25">
      <c r="A360" s="17">
        <v>45729</v>
      </c>
      <c r="B360" s="12" t="s">
        <v>1099</v>
      </c>
      <c r="C360" s="12" t="s">
        <v>875</v>
      </c>
      <c r="D360" s="18">
        <v>15.98</v>
      </c>
      <c r="E360" s="19" t="s">
        <v>947</v>
      </c>
      <c r="F360" s="19"/>
      <c r="G360" s="12"/>
    </row>
    <row r="361" spans="1:7" x14ac:dyDescent="0.25">
      <c r="A361" s="17">
        <v>45726</v>
      </c>
      <c r="B361" s="12" t="s">
        <v>1100</v>
      </c>
      <c r="C361" s="12" t="s">
        <v>875</v>
      </c>
      <c r="D361" s="18">
        <v>26.98</v>
      </c>
      <c r="E361" s="19" t="s">
        <v>947</v>
      </c>
      <c r="F361" s="19"/>
      <c r="G361" s="12"/>
    </row>
    <row r="362" spans="1:7" x14ac:dyDescent="0.25">
      <c r="A362" s="17">
        <v>45726</v>
      </c>
      <c r="B362" s="12" t="s">
        <v>996</v>
      </c>
      <c r="C362" s="12" t="s">
        <v>858</v>
      </c>
      <c r="D362" s="18">
        <v>9.99</v>
      </c>
      <c r="E362" s="19" t="s">
        <v>947</v>
      </c>
      <c r="F362" s="19"/>
      <c r="G362" s="12"/>
    </row>
    <row r="363" spans="1:7" x14ac:dyDescent="0.25">
      <c r="A363" s="17">
        <v>45725</v>
      </c>
      <c r="B363" s="12" t="s">
        <v>1101</v>
      </c>
      <c r="C363" s="12" t="s">
        <v>875</v>
      </c>
      <c r="D363" s="18">
        <v>13.79</v>
      </c>
      <c r="E363" s="19" t="s">
        <v>947</v>
      </c>
      <c r="F363" s="19"/>
      <c r="G363" s="12"/>
    </row>
    <row r="364" spans="1:7" x14ac:dyDescent="0.25">
      <c r="A364" s="17">
        <v>45724</v>
      </c>
      <c r="B364" s="12" t="s">
        <v>1102</v>
      </c>
      <c r="C364" s="12" t="s">
        <v>875</v>
      </c>
      <c r="D364" s="18">
        <v>29.97</v>
      </c>
      <c r="E364" s="19" t="s">
        <v>947</v>
      </c>
      <c r="F364" s="19"/>
      <c r="G364" s="12"/>
    </row>
    <row r="365" spans="1:7" x14ac:dyDescent="0.25">
      <c r="A365" s="17">
        <v>45720</v>
      </c>
      <c r="B365" s="12" t="s">
        <v>981</v>
      </c>
      <c r="C365" s="12" t="s">
        <v>858</v>
      </c>
      <c r="D365" s="18">
        <v>10.81</v>
      </c>
      <c r="E365" s="19" t="s">
        <v>947</v>
      </c>
      <c r="F365" s="19"/>
      <c r="G365" s="12"/>
    </row>
    <row r="366" spans="1:7" x14ac:dyDescent="0.25">
      <c r="A366" s="17">
        <v>45719</v>
      </c>
      <c r="B366" s="12" t="s">
        <v>400</v>
      </c>
      <c r="C366" s="12" t="s">
        <v>1022</v>
      </c>
      <c r="D366" s="18">
        <v>-158.41999999999999</v>
      </c>
      <c r="E366" s="19"/>
      <c r="F366" s="19"/>
      <c r="G366" s="12"/>
    </row>
    <row r="367" spans="1:7" x14ac:dyDescent="0.25">
      <c r="A367" s="17">
        <v>45719</v>
      </c>
      <c r="B367" s="12" t="s">
        <v>987</v>
      </c>
      <c r="C367" s="12" t="s">
        <v>871</v>
      </c>
      <c r="D367" s="18">
        <v>34.28</v>
      </c>
      <c r="E367" s="19" t="s">
        <v>905</v>
      </c>
      <c r="F367" s="19" t="s">
        <v>906</v>
      </c>
      <c r="G367" s="12"/>
    </row>
    <row r="368" spans="1:7" x14ac:dyDescent="0.25">
      <c r="A368" s="17">
        <v>45718</v>
      </c>
      <c r="B368" s="12" t="s">
        <v>1103</v>
      </c>
      <c r="C368" s="12" t="s">
        <v>875</v>
      </c>
      <c r="D368" s="18">
        <v>13.98</v>
      </c>
      <c r="E368" s="19" t="s">
        <v>947</v>
      </c>
      <c r="F368" s="19"/>
      <c r="G368" s="12"/>
    </row>
    <row r="369" spans="1:7" x14ac:dyDescent="0.25">
      <c r="A369" s="17">
        <v>45717</v>
      </c>
      <c r="B369" s="12" t="s">
        <v>987</v>
      </c>
      <c r="C369" s="12" t="s">
        <v>871</v>
      </c>
      <c r="D369" s="18">
        <v>27.45</v>
      </c>
      <c r="E369" s="19" t="s">
        <v>905</v>
      </c>
      <c r="F369" s="19" t="s">
        <v>906</v>
      </c>
      <c r="G369" s="12"/>
    </row>
    <row r="370" spans="1:7" x14ac:dyDescent="0.25">
      <c r="A370" s="17">
        <v>45716</v>
      </c>
      <c r="B370" s="12" t="s">
        <v>987</v>
      </c>
      <c r="C370" s="12" t="s">
        <v>871</v>
      </c>
      <c r="D370" s="18">
        <v>55.52</v>
      </c>
      <c r="E370" s="19" t="s">
        <v>905</v>
      </c>
      <c r="F370" s="19" t="s">
        <v>906</v>
      </c>
      <c r="G370" s="12"/>
    </row>
    <row r="371" spans="1:7" x14ac:dyDescent="0.25">
      <c r="A371" s="17">
        <v>45712</v>
      </c>
      <c r="B371" s="12" t="s">
        <v>1104</v>
      </c>
      <c r="C371" s="12" t="s">
        <v>871</v>
      </c>
      <c r="D371" s="18">
        <v>74.209999999999994</v>
      </c>
      <c r="E371" s="19" t="s">
        <v>905</v>
      </c>
      <c r="F371" s="19" t="s">
        <v>906</v>
      </c>
      <c r="G371" s="12"/>
    </row>
    <row r="372" spans="1:7" x14ac:dyDescent="0.25">
      <c r="A372" s="17">
        <v>45712</v>
      </c>
      <c r="B372" s="12" t="s">
        <v>961</v>
      </c>
      <c r="C372" s="12" t="s">
        <v>858</v>
      </c>
      <c r="D372" s="18">
        <v>4.99</v>
      </c>
      <c r="E372" s="19" t="s">
        <v>947</v>
      </c>
      <c r="F372" s="19"/>
      <c r="G372" s="12"/>
    </row>
    <row r="373" spans="1:7" x14ac:dyDescent="0.25">
      <c r="A373" s="17">
        <v>45712</v>
      </c>
      <c r="B373" s="12" t="s">
        <v>141</v>
      </c>
      <c r="C373" s="12" t="s">
        <v>856</v>
      </c>
      <c r="D373" s="18">
        <v>-14054.21</v>
      </c>
      <c r="E373" s="19"/>
      <c r="F373" s="19"/>
      <c r="G373" s="12"/>
    </row>
    <row r="374" spans="1:7" x14ac:dyDescent="0.25">
      <c r="A374" s="17">
        <v>45711</v>
      </c>
      <c r="B374" s="12" t="s">
        <v>987</v>
      </c>
      <c r="C374" s="12" t="s">
        <v>871</v>
      </c>
      <c r="D374" s="18">
        <v>94.95</v>
      </c>
      <c r="E374" s="19" t="s">
        <v>905</v>
      </c>
      <c r="F374" s="19" t="s">
        <v>906</v>
      </c>
      <c r="G374" s="12"/>
    </row>
    <row r="375" spans="1:7" x14ac:dyDescent="0.25">
      <c r="A375" s="17">
        <v>45710</v>
      </c>
      <c r="B375" s="12" t="s">
        <v>1006</v>
      </c>
      <c r="C375" s="12" t="s">
        <v>881</v>
      </c>
      <c r="D375" s="18">
        <v>219</v>
      </c>
      <c r="E375" s="19" t="s">
        <v>947</v>
      </c>
      <c r="F375" s="19"/>
      <c r="G375" s="12"/>
    </row>
    <row r="376" spans="1:7" x14ac:dyDescent="0.25">
      <c r="A376" s="17">
        <v>45709</v>
      </c>
      <c r="B376" s="12" t="s">
        <v>1021</v>
      </c>
      <c r="C376" s="12" t="s">
        <v>855</v>
      </c>
      <c r="D376" s="18">
        <v>24</v>
      </c>
      <c r="E376" s="19" t="s">
        <v>947</v>
      </c>
      <c r="F376" s="19"/>
      <c r="G376" s="12"/>
    </row>
    <row r="377" spans="1:7" x14ac:dyDescent="0.25">
      <c r="A377" s="17">
        <v>45706</v>
      </c>
      <c r="B377" s="12" t="s">
        <v>938</v>
      </c>
      <c r="C377" s="12" t="s">
        <v>863</v>
      </c>
      <c r="D377" s="18">
        <v>24.99</v>
      </c>
      <c r="E377" s="19" t="s">
        <v>905</v>
      </c>
      <c r="F377" s="19" t="s">
        <v>906</v>
      </c>
      <c r="G377" s="12"/>
    </row>
    <row r="378" spans="1:7" x14ac:dyDescent="0.25">
      <c r="A378" s="17">
        <v>45705</v>
      </c>
      <c r="B378" s="12" t="s">
        <v>1105</v>
      </c>
      <c r="C378" s="12" t="s">
        <v>858</v>
      </c>
      <c r="D378" s="18">
        <v>5.99</v>
      </c>
      <c r="E378" s="19" t="s">
        <v>947</v>
      </c>
      <c r="F378" s="19"/>
      <c r="G378" s="12"/>
    </row>
    <row r="379" spans="1:7" x14ac:dyDescent="0.25">
      <c r="A379" s="17">
        <v>45704</v>
      </c>
      <c r="B379" s="12" t="s">
        <v>987</v>
      </c>
      <c r="C379" s="12" t="s">
        <v>871</v>
      </c>
      <c r="D379" s="18">
        <v>59.98</v>
      </c>
      <c r="E379" s="19" t="s">
        <v>905</v>
      </c>
      <c r="F379" s="19" t="s">
        <v>906</v>
      </c>
      <c r="G379" s="12"/>
    </row>
    <row r="380" spans="1:7" x14ac:dyDescent="0.25">
      <c r="A380" s="17">
        <v>45703</v>
      </c>
      <c r="B380" s="12" t="s">
        <v>1106</v>
      </c>
      <c r="C380" s="12" t="s">
        <v>874</v>
      </c>
      <c r="D380" s="18">
        <v>114.91</v>
      </c>
      <c r="E380" s="19" t="s">
        <v>905</v>
      </c>
      <c r="F380" s="19" t="s">
        <v>906</v>
      </c>
      <c r="G380" s="12"/>
    </row>
    <row r="381" spans="1:7" x14ac:dyDescent="0.25">
      <c r="A381" s="17">
        <v>45702</v>
      </c>
      <c r="B381" s="12" t="s">
        <v>1011</v>
      </c>
      <c r="C381" s="12" t="s">
        <v>858</v>
      </c>
      <c r="D381" s="18">
        <v>10.81</v>
      </c>
      <c r="E381" s="19" t="s">
        <v>947</v>
      </c>
      <c r="F381" s="19"/>
      <c r="G381" s="12"/>
    </row>
    <row r="382" spans="1:7" x14ac:dyDescent="0.25">
      <c r="A382" s="17">
        <v>45701</v>
      </c>
      <c r="B382" s="12" t="s">
        <v>1107</v>
      </c>
      <c r="C382" s="12" t="s">
        <v>875</v>
      </c>
      <c r="D382" s="18">
        <v>15.98</v>
      </c>
      <c r="E382" s="19" t="s">
        <v>947</v>
      </c>
      <c r="F382" s="19"/>
      <c r="G382" s="12"/>
    </row>
    <row r="383" spans="1:7" x14ac:dyDescent="0.25">
      <c r="A383" s="17">
        <v>45701</v>
      </c>
      <c r="B383" s="12" t="s">
        <v>987</v>
      </c>
      <c r="C383" s="12" t="s">
        <v>871</v>
      </c>
      <c r="D383" s="18">
        <v>23.43</v>
      </c>
      <c r="E383" s="19" t="s">
        <v>905</v>
      </c>
      <c r="F383" s="19" t="s">
        <v>906</v>
      </c>
      <c r="G383" s="12"/>
    </row>
    <row r="384" spans="1:7" x14ac:dyDescent="0.25">
      <c r="A384" s="17">
        <v>45700</v>
      </c>
      <c r="B384" s="12" t="s">
        <v>1108</v>
      </c>
      <c r="C384" s="12" t="s">
        <v>887</v>
      </c>
      <c r="D384" s="18">
        <v>9247.18</v>
      </c>
      <c r="E384" s="19" t="s">
        <v>947</v>
      </c>
      <c r="F384" s="19"/>
      <c r="G384" s="12"/>
    </row>
    <row r="385" spans="1:7" x14ac:dyDescent="0.25">
      <c r="A385" s="17">
        <v>45700</v>
      </c>
      <c r="B385" s="12" t="s">
        <v>1109</v>
      </c>
      <c r="C385" s="12" t="s">
        <v>875</v>
      </c>
      <c r="D385" s="18">
        <v>5.99</v>
      </c>
      <c r="E385" s="19" t="s">
        <v>947</v>
      </c>
      <c r="F385" s="19"/>
      <c r="G385" s="12"/>
    </row>
    <row r="386" spans="1:7" x14ac:dyDescent="0.25">
      <c r="A386" s="17">
        <v>45699</v>
      </c>
      <c r="B386" s="12" t="s">
        <v>1110</v>
      </c>
      <c r="C386" s="12" t="s">
        <v>875</v>
      </c>
      <c r="D386" s="18">
        <v>22.17</v>
      </c>
      <c r="E386" s="19" t="s">
        <v>947</v>
      </c>
      <c r="F386" s="19"/>
      <c r="G386" s="12"/>
    </row>
    <row r="387" spans="1:7" x14ac:dyDescent="0.25">
      <c r="A387" s="17">
        <v>45698</v>
      </c>
      <c r="B387" s="12" t="s">
        <v>1111</v>
      </c>
      <c r="C387" s="12" t="s">
        <v>875</v>
      </c>
      <c r="D387" s="18">
        <v>27.98</v>
      </c>
      <c r="E387" s="19" t="s">
        <v>947</v>
      </c>
      <c r="F387" s="19"/>
      <c r="G387" s="12"/>
    </row>
    <row r="388" spans="1:7" x14ac:dyDescent="0.25">
      <c r="A388" s="17">
        <v>45698</v>
      </c>
      <c r="B388" s="12" t="s">
        <v>1112</v>
      </c>
      <c r="C388" s="12" t="s">
        <v>888</v>
      </c>
      <c r="D388" s="18">
        <v>507.35</v>
      </c>
      <c r="E388" s="19" t="s">
        <v>947</v>
      </c>
      <c r="F388" s="19"/>
      <c r="G388" s="12"/>
    </row>
    <row r="389" spans="1:7" x14ac:dyDescent="0.25">
      <c r="A389" s="17">
        <v>45698</v>
      </c>
      <c r="B389" s="12" t="s">
        <v>996</v>
      </c>
      <c r="C389" s="12" t="s">
        <v>858</v>
      </c>
      <c r="D389" s="18">
        <v>9.99</v>
      </c>
      <c r="E389" s="19" t="s">
        <v>947</v>
      </c>
      <c r="F389" s="19"/>
      <c r="G389" s="12"/>
    </row>
    <row r="390" spans="1:7" x14ac:dyDescent="0.25">
      <c r="A390" s="17">
        <v>45697</v>
      </c>
      <c r="B390" s="12" t="s">
        <v>1021</v>
      </c>
      <c r="C390" s="12" t="s">
        <v>855</v>
      </c>
      <c r="D390" s="18">
        <v>15</v>
      </c>
      <c r="E390" s="19" t="s">
        <v>947</v>
      </c>
      <c r="F390" s="19"/>
      <c r="G390" s="12"/>
    </row>
    <row r="391" spans="1:7" x14ac:dyDescent="0.25">
      <c r="A391" s="17">
        <v>45697</v>
      </c>
      <c r="B391" s="12" t="s">
        <v>1113</v>
      </c>
      <c r="C391" s="12" t="s">
        <v>875</v>
      </c>
      <c r="D391" s="18">
        <v>13.79</v>
      </c>
      <c r="E391" s="19" t="s">
        <v>947</v>
      </c>
      <c r="F391" s="19"/>
      <c r="G391" s="12"/>
    </row>
    <row r="392" spans="1:7" x14ac:dyDescent="0.25">
      <c r="A392" s="17">
        <v>45696</v>
      </c>
      <c r="B392" s="12" t="s">
        <v>1114</v>
      </c>
      <c r="C392" s="12" t="s">
        <v>875</v>
      </c>
      <c r="D392" s="18">
        <v>31.97</v>
      </c>
      <c r="E392" s="19" t="s">
        <v>947</v>
      </c>
      <c r="F392" s="19"/>
      <c r="G392" s="12"/>
    </row>
    <row r="393" spans="1:7" x14ac:dyDescent="0.25">
      <c r="A393" s="17">
        <v>45693</v>
      </c>
      <c r="B393" s="12" t="s">
        <v>987</v>
      </c>
      <c r="C393" s="12" t="s">
        <v>871</v>
      </c>
      <c r="D393" s="18">
        <v>75.260000000000005</v>
      </c>
      <c r="E393" s="19" t="s">
        <v>905</v>
      </c>
      <c r="F393" s="19" t="s">
        <v>906</v>
      </c>
      <c r="G393" s="12"/>
    </row>
    <row r="394" spans="1:7" x14ac:dyDescent="0.25">
      <c r="A394" s="17">
        <v>45692</v>
      </c>
      <c r="B394" s="12" t="s">
        <v>981</v>
      </c>
      <c r="C394" s="12" t="s">
        <v>858</v>
      </c>
      <c r="D394" s="18">
        <v>10.81</v>
      </c>
      <c r="E394" s="19" t="s">
        <v>947</v>
      </c>
      <c r="F394" s="19"/>
      <c r="G394" s="12"/>
    </row>
    <row r="395" spans="1:7" x14ac:dyDescent="0.25">
      <c r="A395" s="17">
        <v>45690</v>
      </c>
      <c r="B395" s="12" t="s">
        <v>1115</v>
      </c>
      <c r="C395" s="12" t="s">
        <v>875</v>
      </c>
      <c r="D395" s="18">
        <v>14.98</v>
      </c>
      <c r="E395" s="19" t="s">
        <v>947</v>
      </c>
      <c r="F395" s="19"/>
      <c r="G395" s="12"/>
    </row>
    <row r="396" spans="1:7" x14ac:dyDescent="0.25">
      <c r="A396" s="17">
        <v>45689</v>
      </c>
      <c r="B396" s="12" t="s">
        <v>1116</v>
      </c>
      <c r="C396" s="12" t="s">
        <v>862</v>
      </c>
      <c r="D396" s="18">
        <v>109.71</v>
      </c>
      <c r="E396" s="19" t="s">
        <v>905</v>
      </c>
      <c r="F396" s="19" t="s">
        <v>906</v>
      </c>
      <c r="G396" s="12"/>
    </row>
    <row r="397" spans="1:7" x14ac:dyDescent="0.25">
      <c r="A397" s="17">
        <v>45689</v>
      </c>
      <c r="B397" s="12" t="s">
        <v>987</v>
      </c>
      <c r="C397" s="12" t="s">
        <v>871</v>
      </c>
      <c r="D397" s="18">
        <v>103.38</v>
      </c>
      <c r="E397" s="19" t="s">
        <v>905</v>
      </c>
      <c r="F397" s="19" t="s">
        <v>906</v>
      </c>
      <c r="G397" s="12"/>
    </row>
    <row r="398" spans="1:7" x14ac:dyDescent="0.25">
      <c r="A398" s="17">
        <v>45685</v>
      </c>
      <c r="B398" s="12" t="s">
        <v>141</v>
      </c>
      <c r="C398" s="12" t="s">
        <v>856</v>
      </c>
      <c r="D398" s="18">
        <v>-2951.39</v>
      </c>
      <c r="E398" s="19"/>
      <c r="F398" s="19"/>
      <c r="G398" s="12"/>
    </row>
    <row r="399" spans="1:7" x14ac:dyDescent="0.25">
      <c r="A399" s="17">
        <v>45685</v>
      </c>
      <c r="B399" s="12" t="s">
        <v>141</v>
      </c>
      <c r="C399" s="12" t="s">
        <v>856</v>
      </c>
      <c r="D399" s="18">
        <v>-1000</v>
      </c>
      <c r="E399" s="19"/>
      <c r="F399" s="19"/>
      <c r="G399" s="12"/>
    </row>
    <row r="400" spans="1:7" x14ac:dyDescent="0.25">
      <c r="A400" s="17">
        <v>45685</v>
      </c>
      <c r="B400" s="12" t="s">
        <v>987</v>
      </c>
      <c r="C400" s="12" t="s">
        <v>871</v>
      </c>
      <c r="D400" s="18">
        <v>23.43</v>
      </c>
      <c r="E400" s="19" t="s">
        <v>905</v>
      </c>
      <c r="F400" s="19" t="s">
        <v>906</v>
      </c>
      <c r="G400" s="12"/>
    </row>
    <row r="401" spans="1:7" x14ac:dyDescent="0.25">
      <c r="A401" s="17">
        <v>45683</v>
      </c>
      <c r="B401" s="12" t="s">
        <v>1117</v>
      </c>
      <c r="C401" s="12" t="s">
        <v>871</v>
      </c>
      <c r="D401" s="18">
        <v>500</v>
      </c>
      <c r="E401" s="19" t="s">
        <v>905</v>
      </c>
      <c r="F401" s="19" t="s">
        <v>906</v>
      </c>
      <c r="G401" s="12"/>
    </row>
    <row r="402" spans="1:7" x14ac:dyDescent="0.25">
      <c r="A402" s="17">
        <v>45680</v>
      </c>
      <c r="B402" s="12" t="s">
        <v>1118</v>
      </c>
      <c r="C402" s="12" t="s">
        <v>889</v>
      </c>
      <c r="D402" s="18">
        <v>1323.03</v>
      </c>
      <c r="E402" s="19" t="s">
        <v>947</v>
      </c>
      <c r="F402" s="19"/>
      <c r="G402" s="12"/>
    </row>
    <row r="403" spans="1:7" x14ac:dyDescent="0.25">
      <c r="A403" s="17">
        <v>45679</v>
      </c>
      <c r="B403" s="12" t="s">
        <v>334</v>
      </c>
      <c r="C403" s="12" t="s">
        <v>873</v>
      </c>
      <c r="D403" s="18">
        <v>34.07</v>
      </c>
      <c r="E403" s="19" t="s">
        <v>905</v>
      </c>
      <c r="F403" s="19" t="s">
        <v>906</v>
      </c>
      <c r="G403" s="12"/>
    </row>
    <row r="404" spans="1:7" x14ac:dyDescent="0.25">
      <c r="A404" s="17">
        <v>45679</v>
      </c>
      <c r="B404" s="12" t="s">
        <v>1006</v>
      </c>
      <c r="C404" s="12" t="s">
        <v>881</v>
      </c>
      <c r="D404" s="18">
        <v>219</v>
      </c>
      <c r="E404" s="19" t="s">
        <v>947</v>
      </c>
      <c r="F404" s="19"/>
      <c r="G404" s="12"/>
    </row>
    <row r="405" spans="1:7" x14ac:dyDescent="0.25">
      <c r="A405" s="17">
        <v>45678</v>
      </c>
      <c r="B405" s="12" t="s">
        <v>1021</v>
      </c>
      <c r="C405" s="12" t="s">
        <v>855</v>
      </c>
      <c r="D405" s="18">
        <v>12</v>
      </c>
      <c r="E405" s="19" t="s">
        <v>947</v>
      </c>
      <c r="F405" s="19"/>
      <c r="G405" s="12"/>
    </row>
    <row r="406" spans="1:7" x14ac:dyDescent="0.25">
      <c r="A406" s="17">
        <v>45678</v>
      </c>
      <c r="B406" s="12" t="s">
        <v>334</v>
      </c>
      <c r="C406" s="12" t="s">
        <v>855</v>
      </c>
      <c r="D406" s="18">
        <v>5.92</v>
      </c>
      <c r="E406" s="19" t="s">
        <v>947</v>
      </c>
      <c r="F406" s="19"/>
      <c r="G406" s="12"/>
    </row>
    <row r="407" spans="1:7" x14ac:dyDescent="0.25">
      <c r="A407" s="17">
        <v>45678</v>
      </c>
      <c r="B407" s="12" t="s">
        <v>1119</v>
      </c>
      <c r="C407" s="12" t="s">
        <v>855</v>
      </c>
      <c r="D407" s="18">
        <v>36.36</v>
      </c>
      <c r="E407" s="19" t="s">
        <v>947</v>
      </c>
      <c r="F407" s="19"/>
      <c r="G407" s="12"/>
    </row>
    <row r="408" spans="1:7" x14ac:dyDescent="0.25">
      <c r="A408" s="17">
        <v>45675</v>
      </c>
      <c r="B408" s="12" t="s">
        <v>938</v>
      </c>
      <c r="C408" s="12" t="s">
        <v>863</v>
      </c>
      <c r="D408" s="18">
        <v>24.99</v>
      </c>
      <c r="E408" s="19" t="s">
        <v>905</v>
      </c>
      <c r="F408" s="19" t="s">
        <v>906</v>
      </c>
      <c r="G408" s="12"/>
    </row>
    <row r="409" spans="1:7" x14ac:dyDescent="0.25">
      <c r="A409" s="17">
        <v>45674</v>
      </c>
      <c r="B409" s="12" t="s">
        <v>1120</v>
      </c>
      <c r="C409" s="12" t="s">
        <v>858</v>
      </c>
      <c r="D409" s="18">
        <v>5.99</v>
      </c>
      <c r="E409" s="19" t="s">
        <v>947</v>
      </c>
      <c r="F409" s="19"/>
      <c r="G409" s="12"/>
    </row>
    <row r="410" spans="1:7" x14ac:dyDescent="0.25">
      <c r="A410" s="17">
        <v>45671</v>
      </c>
      <c r="B410" s="12" t="s">
        <v>1011</v>
      </c>
      <c r="C410" s="12" t="s">
        <v>858</v>
      </c>
      <c r="D410" s="18">
        <v>10.81</v>
      </c>
      <c r="E410" s="19" t="s">
        <v>947</v>
      </c>
      <c r="F410" s="19"/>
      <c r="G410" s="12"/>
    </row>
    <row r="411" spans="1:7" x14ac:dyDescent="0.25">
      <c r="A411" s="17">
        <v>45671</v>
      </c>
      <c r="B411" s="12" t="s">
        <v>1121</v>
      </c>
      <c r="C411" s="12" t="s">
        <v>890</v>
      </c>
      <c r="D411" s="18">
        <v>530</v>
      </c>
      <c r="E411" s="19" t="s">
        <v>947</v>
      </c>
      <c r="F411" s="19"/>
      <c r="G411" s="12"/>
    </row>
    <row r="412" spans="1:7" x14ac:dyDescent="0.25">
      <c r="A412" s="17">
        <v>45671</v>
      </c>
      <c r="B412" s="12" t="s">
        <v>987</v>
      </c>
      <c r="C412" s="12" t="s">
        <v>871</v>
      </c>
      <c r="D412" s="18">
        <v>58.57</v>
      </c>
      <c r="E412" s="19" t="s">
        <v>905</v>
      </c>
      <c r="F412" s="19" t="s">
        <v>906</v>
      </c>
      <c r="G412" s="12"/>
    </row>
    <row r="413" spans="1:7" x14ac:dyDescent="0.25">
      <c r="A413" s="17">
        <v>45670</v>
      </c>
      <c r="B413" s="12" t="s">
        <v>1122</v>
      </c>
      <c r="C413" s="12" t="s">
        <v>875</v>
      </c>
      <c r="D413" s="18">
        <v>15.98</v>
      </c>
      <c r="E413" s="19" t="s">
        <v>947</v>
      </c>
      <c r="F413" s="19"/>
      <c r="G413" s="12"/>
    </row>
    <row r="414" spans="1:7" x14ac:dyDescent="0.25">
      <c r="A414" s="17">
        <v>45670</v>
      </c>
      <c r="B414" s="12" t="s">
        <v>1123</v>
      </c>
      <c r="C414" s="12" t="s">
        <v>890</v>
      </c>
      <c r="D414" s="18">
        <v>50</v>
      </c>
      <c r="E414" s="19" t="s">
        <v>947</v>
      </c>
      <c r="F414" s="19"/>
      <c r="G414" s="12"/>
    </row>
    <row r="415" spans="1:7" x14ac:dyDescent="0.25">
      <c r="A415" s="17">
        <v>45667</v>
      </c>
      <c r="B415" s="12" t="s">
        <v>1124</v>
      </c>
      <c r="C415" s="12" t="s">
        <v>875</v>
      </c>
      <c r="D415" s="18">
        <v>27.98</v>
      </c>
      <c r="E415" s="19" t="s">
        <v>947</v>
      </c>
      <c r="F415" s="19"/>
      <c r="G415" s="12"/>
    </row>
    <row r="416" spans="1:7" x14ac:dyDescent="0.25">
      <c r="A416" s="17">
        <v>45667</v>
      </c>
      <c r="B416" s="12" t="s">
        <v>996</v>
      </c>
      <c r="C416" s="12" t="s">
        <v>858</v>
      </c>
      <c r="D416" s="18">
        <v>9.99</v>
      </c>
      <c r="E416" s="19" t="s">
        <v>947</v>
      </c>
      <c r="F416" s="19"/>
      <c r="G416" s="12"/>
    </row>
    <row r="417" spans="1:7" x14ac:dyDescent="0.25">
      <c r="A417" s="17">
        <v>45666</v>
      </c>
      <c r="B417" s="12" t="s">
        <v>1125</v>
      </c>
      <c r="C417" s="12" t="s">
        <v>875</v>
      </c>
      <c r="D417" s="18">
        <v>13.79</v>
      </c>
      <c r="E417" s="19" t="s">
        <v>947</v>
      </c>
      <c r="F417" s="19"/>
      <c r="G417" s="12"/>
    </row>
    <row r="418" spans="1:7" x14ac:dyDescent="0.25">
      <c r="A418" s="17">
        <v>45665</v>
      </c>
      <c r="B418" s="12" t="s">
        <v>1126</v>
      </c>
      <c r="C418" s="12" t="s">
        <v>875</v>
      </c>
      <c r="D418" s="18">
        <v>31.97</v>
      </c>
      <c r="E418" s="19" t="s">
        <v>947</v>
      </c>
      <c r="F418" s="19"/>
      <c r="G418" s="12"/>
    </row>
    <row r="419" spans="1:7" x14ac:dyDescent="0.25">
      <c r="A419" s="17">
        <v>45661</v>
      </c>
      <c r="B419" s="12" t="s">
        <v>1127</v>
      </c>
      <c r="C419" s="12" t="s">
        <v>890</v>
      </c>
      <c r="D419" s="18">
        <v>238</v>
      </c>
      <c r="E419" s="19" t="s">
        <v>947</v>
      </c>
      <c r="F419" s="19"/>
      <c r="G419" s="12"/>
    </row>
    <row r="420" spans="1:7" x14ac:dyDescent="0.25">
      <c r="A420" s="17">
        <v>45661</v>
      </c>
      <c r="B420" s="12" t="s">
        <v>334</v>
      </c>
      <c r="C420" s="12" t="s">
        <v>855</v>
      </c>
      <c r="D420" s="18">
        <v>39.47</v>
      </c>
      <c r="E420" s="19" t="s">
        <v>947</v>
      </c>
      <c r="F420" s="19"/>
      <c r="G420" s="12"/>
    </row>
    <row r="421" spans="1:7" x14ac:dyDescent="0.25">
      <c r="A421" s="17">
        <v>45661</v>
      </c>
      <c r="B421" s="12" t="s">
        <v>334</v>
      </c>
      <c r="C421" s="12" t="s">
        <v>855</v>
      </c>
      <c r="D421" s="18">
        <v>42.45</v>
      </c>
      <c r="E421" s="19" t="s">
        <v>947</v>
      </c>
      <c r="F421" s="19"/>
      <c r="G421" s="12"/>
    </row>
    <row r="422" spans="1:7" x14ac:dyDescent="0.25">
      <c r="A422" s="17">
        <v>45661</v>
      </c>
      <c r="B422" s="12" t="s">
        <v>981</v>
      </c>
      <c r="C422" s="12" t="s">
        <v>858</v>
      </c>
      <c r="D422" s="18">
        <v>10.81</v>
      </c>
      <c r="E422" s="19" t="s">
        <v>947</v>
      </c>
      <c r="F422" s="19"/>
      <c r="G422" s="12"/>
    </row>
    <row r="423" spans="1:7" x14ac:dyDescent="0.25">
      <c r="A423" s="17">
        <v>45659</v>
      </c>
      <c r="B423" s="12" t="s">
        <v>334</v>
      </c>
      <c r="C423" s="12" t="s">
        <v>855</v>
      </c>
      <c r="D423" s="18">
        <v>5</v>
      </c>
      <c r="E423" s="19" t="s">
        <v>947</v>
      </c>
      <c r="F423" s="19"/>
      <c r="G423" s="12"/>
    </row>
    <row r="424" spans="1:7" x14ac:dyDescent="0.25">
      <c r="A424" s="17">
        <v>45659</v>
      </c>
      <c r="B424" s="12" t="s">
        <v>1128</v>
      </c>
      <c r="C424" s="12" t="s">
        <v>875</v>
      </c>
      <c r="D424" s="18">
        <v>14.98</v>
      </c>
      <c r="E424" s="19" t="s">
        <v>947</v>
      </c>
      <c r="F424" s="19"/>
      <c r="G424" s="12"/>
    </row>
    <row r="425" spans="1:7" x14ac:dyDescent="0.25">
      <c r="A425" s="17">
        <v>45658</v>
      </c>
      <c r="B425" s="12" t="s">
        <v>1129</v>
      </c>
      <c r="C425" s="12" t="s">
        <v>855</v>
      </c>
      <c r="D425" s="18">
        <v>11.34</v>
      </c>
      <c r="E425" s="19" t="s">
        <v>947</v>
      </c>
      <c r="F425" s="19"/>
      <c r="G425" s="12"/>
    </row>
    <row r="427" spans="1:7" x14ac:dyDescent="0.25">
      <c r="A427" s="22" t="s">
        <v>1130</v>
      </c>
      <c r="B427" s="22"/>
      <c r="C427" s="22" t="s">
        <v>849</v>
      </c>
      <c r="D427" s="23">
        <f>SUMIF(D10:D425,"&gt;0")</f>
        <v>218574.68999999992</v>
      </c>
    </row>
    <row r="428" spans="1:7" x14ac:dyDescent="0.25">
      <c r="A428" s="20"/>
      <c r="B428" s="20"/>
      <c r="C428" s="20" t="s">
        <v>1131</v>
      </c>
      <c r="D428" s="21">
        <f>SUMIF(D10:D425,"&lt;0")</f>
        <v>-182795.92</v>
      </c>
    </row>
    <row r="429" spans="1:7" x14ac:dyDescent="0.25">
      <c r="A429" s="22"/>
      <c r="B429" s="22"/>
      <c r="C429" s="22" t="s">
        <v>1132</v>
      </c>
      <c r="D429" s="23">
        <f>D427+D428</f>
        <v>35778.769999999902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3"/>
  <sheetViews>
    <sheetView workbookViewId="0">
      <selection activeCell="I12" sqref="I12"/>
    </sheetView>
  </sheetViews>
  <sheetFormatPr defaultColWidth="26.28515625" defaultRowHeight="15" x14ac:dyDescent="0.25"/>
  <cols>
    <col min="3" max="3" width="14.7109375" customWidth="1"/>
    <col min="4" max="4" width="9.28515625" customWidth="1"/>
    <col min="5" max="5" width="12" customWidth="1"/>
    <col min="8" max="8" width="32.140625" customWidth="1"/>
  </cols>
  <sheetData>
    <row r="1" spans="1:8" ht="30" x14ac:dyDescent="0.25">
      <c r="A1" s="1" t="s">
        <v>1</v>
      </c>
      <c r="B1" s="1" t="s">
        <v>2</v>
      </c>
    </row>
    <row r="2" spans="1:8" x14ac:dyDescent="0.25">
      <c r="A2" s="2" t="s">
        <v>3</v>
      </c>
    </row>
    <row r="3" spans="1:8" x14ac:dyDescent="0.25">
      <c r="A3" s="3" t="s">
        <v>4</v>
      </c>
    </row>
    <row r="4" spans="1:8" x14ac:dyDescent="0.25">
      <c r="A4" s="2" t="s">
        <v>5</v>
      </c>
    </row>
    <row r="5" spans="1:8" x14ac:dyDescent="0.25">
      <c r="A5" s="3" t="s">
        <v>6</v>
      </c>
    </row>
    <row r="6" spans="1:8" x14ac:dyDescent="0.25">
      <c r="A6" s="2" t="s">
        <v>0</v>
      </c>
    </row>
    <row r="7" spans="1:8" ht="30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</row>
    <row r="8" spans="1:8" ht="60" customHeight="1" x14ac:dyDescent="0.25">
      <c r="A8" s="8" t="s">
        <v>15</v>
      </c>
      <c r="B8" s="8" t="s">
        <v>16</v>
      </c>
      <c r="C8" s="8" t="s">
        <v>4</v>
      </c>
      <c r="D8" s="8" t="s">
        <v>17</v>
      </c>
      <c r="E8" s="6">
        <v>53.09</v>
      </c>
      <c r="F8" s="8" t="s">
        <v>18</v>
      </c>
      <c r="G8" s="8" t="s">
        <v>16</v>
      </c>
      <c r="H8" s="8" t="s">
        <v>851</v>
      </c>
    </row>
    <row r="9" spans="1:8" ht="60" customHeight="1" x14ac:dyDescent="0.25">
      <c r="A9" s="7" t="s">
        <v>15</v>
      </c>
      <c r="B9" s="7" t="s">
        <v>19</v>
      </c>
      <c r="C9" s="7" t="s">
        <v>4</v>
      </c>
      <c r="D9" s="7" t="s">
        <v>17</v>
      </c>
      <c r="E9" s="5">
        <v>91.62</v>
      </c>
      <c r="F9" s="7" t="s">
        <v>20</v>
      </c>
      <c r="G9" s="7" t="s">
        <v>19</v>
      </c>
      <c r="H9" s="7" t="s">
        <v>851</v>
      </c>
    </row>
    <row r="10" spans="1:8" ht="60" customHeight="1" x14ac:dyDescent="0.25">
      <c r="A10" s="8" t="s">
        <v>15</v>
      </c>
      <c r="B10" s="8" t="s">
        <v>21</v>
      </c>
      <c r="C10" s="8" t="s">
        <v>4</v>
      </c>
      <c r="D10" s="8" t="s">
        <v>17</v>
      </c>
      <c r="E10" s="6">
        <v>3.84</v>
      </c>
      <c r="F10" s="8" t="s">
        <v>22</v>
      </c>
      <c r="G10" s="8" t="s">
        <v>21</v>
      </c>
      <c r="H10" s="8" t="s">
        <v>851</v>
      </c>
    </row>
    <row r="11" spans="1:8" ht="60" customHeight="1" x14ac:dyDescent="0.25">
      <c r="A11" s="7" t="s">
        <v>15</v>
      </c>
      <c r="B11" s="7" t="s">
        <v>21</v>
      </c>
      <c r="C11" s="7" t="s">
        <v>4</v>
      </c>
      <c r="D11" s="7" t="s">
        <v>17</v>
      </c>
      <c r="E11" s="5">
        <v>33.6</v>
      </c>
      <c r="F11" s="7" t="s">
        <v>23</v>
      </c>
      <c r="G11" s="7" t="s">
        <v>21</v>
      </c>
      <c r="H11" s="7" t="s">
        <v>851</v>
      </c>
    </row>
    <row r="12" spans="1:8" ht="60" customHeight="1" x14ac:dyDescent="0.25">
      <c r="A12" s="8" t="s">
        <v>15</v>
      </c>
      <c r="B12" s="8" t="s">
        <v>24</v>
      </c>
      <c r="C12" s="8" t="s">
        <v>4</v>
      </c>
      <c r="D12" s="8" t="s">
        <v>17</v>
      </c>
      <c r="E12" s="6">
        <v>38.36</v>
      </c>
      <c r="F12" s="8" t="s">
        <v>25</v>
      </c>
      <c r="G12" s="8" t="s">
        <v>24</v>
      </c>
      <c r="H12" s="8" t="s">
        <v>851</v>
      </c>
    </row>
    <row r="13" spans="1:8" ht="60" customHeight="1" x14ac:dyDescent="0.25">
      <c r="A13" s="7" t="s">
        <v>26</v>
      </c>
      <c r="B13" s="7" t="s">
        <v>27</v>
      </c>
      <c r="C13" s="7" t="s">
        <v>4</v>
      </c>
      <c r="D13" s="7" t="s">
        <v>17</v>
      </c>
      <c r="E13" s="5">
        <v>128.97999999999999</v>
      </c>
      <c r="F13" s="7" t="s">
        <v>28</v>
      </c>
      <c r="G13" s="7" t="s">
        <v>27</v>
      </c>
      <c r="H13" s="8" t="s">
        <v>851</v>
      </c>
    </row>
    <row r="14" spans="1:8" ht="60" customHeight="1" x14ac:dyDescent="0.25">
      <c r="A14" s="8" t="s">
        <v>26</v>
      </c>
      <c r="B14" s="8" t="s">
        <v>29</v>
      </c>
      <c r="C14" s="8" t="s">
        <v>4</v>
      </c>
      <c r="D14" s="8" t="s">
        <v>17</v>
      </c>
      <c r="E14" s="6">
        <v>219.81</v>
      </c>
      <c r="F14" s="8" t="s">
        <v>30</v>
      </c>
      <c r="G14" s="8" t="s">
        <v>29</v>
      </c>
      <c r="H14" s="8" t="s">
        <v>851</v>
      </c>
    </row>
    <row r="15" spans="1:8" ht="60" customHeight="1" x14ac:dyDescent="0.25">
      <c r="A15" s="7" t="s">
        <v>26</v>
      </c>
      <c r="B15" s="7" t="s">
        <v>32</v>
      </c>
      <c r="C15" s="7" t="s">
        <v>4</v>
      </c>
      <c r="D15" s="7" t="s">
        <v>17</v>
      </c>
      <c r="E15" s="5">
        <v>97.45</v>
      </c>
      <c r="F15" s="7" t="s">
        <v>33</v>
      </c>
      <c r="G15" s="7" t="s">
        <v>32</v>
      </c>
      <c r="H15" s="8" t="s">
        <v>851</v>
      </c>
    </row>
    <row r="16" spans="1:8" ht="60" customHeight="1" x14ac:dyDescent="0.25">
      <c r="A16" s="8" t="s">
        <v>26</v>
      </c>
      <c r="B16" s="8" t="s">
        <v>34</v>
      </c>
      <c r="C16" s="8" t="s">
        <v>4</v>
      </c>
      <c r="D16" s="8" t="s">
        <v>17</v>
      </c>
      <c r="E16" s="6">
        <v>12.06</v>
      </c>
      <c r="F16" s="8" t="s">
        <v>35</v>
      </c>
      <c r="G16" s="8" t="s">
        <v>34</v>
      </c>
      <c r="H16" s="8" t="s">
        <v>851</v>
      </c>
    </row>
    <row r="17" spans="1:8" ht="60" customHeight="1" x14ac:dyDescent="0.25">
      <c r="A17" s="7" t="s">
        <v>26</v>
      </c>
      <c r="B17" s="7" t="s">
        <v>36</v>
      </c>
      <c r="C17" s="7" t="s">
        <v>4</v>
      </c>
      <c r="D17" s="7" t="s">
        <v>17</v>
      </c>
      <c r="E17" s="5">
        <v>3.17</v>
      </c>
      <c r="F17" s="7" t="s">
        <v>37</v>
      </c>
      <c r="G17" s="7" t="s">
        <v>36</v>
      </c>
      <c r="H17" s="8" t="s">
        <v>851</v>
      </c>
    </row>
    <row r="18" spans="1:8" ht="60" customHeight="1" x14ac:dyDescent="0.25">
      <c r="A18" s="8" t="s">
        <v>26</v>
      </c>
      <c r="B18" s="8" t="s">
        <v>38</v>
      </c>
      <c r="C18" s="8" t="s">
        <v>4</v>
      </c>
      <c r="D18" s="8" t="s">
        <v>17</v>
      </c>
      <c r="E18" s="6">
        <v>202.67</v>
      </c>
      <c r="F18" s="8" t="s">
        <v>39</v>
      </c>
      <c r="G18" s="8" t="s">
        <v>38</v>
      </c>
      <c r="H18" s="8" t="s">
        <v>851</v>
      </c>
    </row>
    <row r="19" spans="1:8" ht="60" customHeight="1" x14ac:dyDescent="0.25">
      <c r="A19" s="7" t="s">
        <v>26</v>
      </c>
      <c r="B19" s="7" t="s">
        <v>40</v>
      </c>
      <c r="C19" s="7" t="s">
        <v>4</v>
      </c>
      <c r="D19" s="7" t="s">
        <v>17</v>
      </c>
      <c r="E19" s="5">
        <v>208.09</v>
      </c>
      <c r="F19" s="7" t="s">
        <v>41</v>
      </c>
      <c r="G19" s="7" t="s">
        <v>40</v>
      </c>
      <c r="H19" s="8" t="s">
        <v>851</v>
      </c>
    </row>
    <row r="20" spans="1:8" ht="60" customHeight="1" x14ac:dyDescent="0.25">
      <c r="A20" s="8" t="s">
        <v>26</v>
      </c>
      <c r="B20" s="8" t="s">
        <v>42</v>
      </c>
      <c r="C20" s="8" t="s">
        <v>4</v>
      </c>
      <c r="D20" s="8" t="s">
        <v>17</v>
      </c>
      <c r="E20" s="6">
        <v>85.2</v>
      </c>
      <c r="F20" s="8" t="s">
        <v>43</v>
      </c>
      <c r="G20" s="8" t="s">
        <v>42</v>
      </c>
      <c r="H20" s="8" t="s">
        <v>851</v>
      </c>
    </row>
    <row r="21" spans="1:8" ht="60" customHeight="1" x14ac:dyDescent="0.25">
      <c r="A21" s="7" t="s">
        <v>44</v>
      </c>
      <c r="B21" s="7" t="s">
        <v>45</v>
      </c>
      <c r="C21" s="7" t="s">
        <v>4</v>
      </c>
      <c r="D21" s="7" t="s">
        <v>17</v>
      </c>
      <c r="E21" s="5">
        <v>113.46</v>
      </c>
      <c r="F21" s="7" t="s">
        <v>46</v>
      </c>
      <c r="G21" s="7" t="s">
        <v>45</v>
      </c>
      <c r="H21" s="8" t="s">
        <v>851</v>
      </c>
    </row>
    <row r="22" spans="1:8" ht="60" customHeight="1" x14ac:dyDescent="0.25">
      <c r="A22" s="8" t="s">
        <v>44</v>
      </c>
      <c r="B22" s="8" t="s">
        <v>47</v>
      </c>
      <c r="C22" s="8" t="s">
        <v>4</v>
      </c>
      <c r="D22" s="8" t="s">
        <v>17</v>
      </c>
      <c r="E22" s="6">
        <v>195.87</v>
      </c>
      <c r="F22" s="8" t="s">
        <v>48</v>
      </c>
      <c r="G22" s="8" t="s">
        <v>47</v>
      </c>
      <c r="H22" s="8" t="s">
        <v>851</v>
      </c>
    </row>
    <row r="23" spans="1:8" ht="60" customHeight="1" x14ac:dyDescent="0.25">
      <c r="A23" s="7" t="s">
        <v>44</v>
      </c>
      <c r="B23" s="7" t="s">
        <v>49</v>
      </c>
      <c r="C23" s="7" t="s">
        <v>4</v>
      </c>
      <c r="D23" s="7" t="s">
        <v>17</v>
      </c>
      <c r="E23" s="5">
        <v>6653.07</v>
      </c>
      <c r="F23" s="7" t="s">
        <v>50</v>
      </c>
      <c r="G23" s="7" t="s">
        <v>49</v>
      </c>
      <c r="H23" s="8" t="s">
        <v>851</v>
      </c>
    </row>
    <row r="24" spans="1:8" ht="60" customHeight="1" x14ac:dyDescent="0.25">
      <c r="A24" s="8" t="s">
        <v>44</v>
      </c>
      <c r="B24" s="8" t="s">
        <v>52</v>
      </c>
      <c r="C24" s="8" t="s">
        <v>4</v>
      </c>
      <c r="D24" s="8" t="s">
        <v>17</v>
      </c>
      <c r="E24" s="6">
        <v>1633.58</v>
      </c>
      <c r="F24" s="8" t="s">
        <v>53</v>
      </c>
      <c r="G24" s="8" t="s">
        <v>52</v>
      </c>
      <c r="H24" s="8" t="s">
        <v>851</v>
      </c>
    </row>
    <row r="25" spans="1:8" ht="60" customHeight="1" x14ac:dyDescent="0.25">
      <c r="A25" s="7" t="s">
        <v>44</v>
      </c>
      <c r="B25" s="7" t="s">
        <v>54</v>
      </c>
      <c r="C25" s="7" t="s">
        <v>4</v>
      </c>
      <c r="D25" s="7" t="s">
        <v>17</v>
      </c>
      <c r="E25" s="5">
        <v>36.89</v>
      </c>
      <c r="F25" s="7" t="s">
        <v>55</v>
      </c>
      <c r="G25" s="7" t="s">
        <v>54</v>
      </c>
      <c r="H25" s="8" t="s">
        <v>851</v>
      </c>
    </row>
    <row r="26" spans="1:8" ht="60" customHeight="1" x14ac:dyDescent="0.25">
      <c r="A26" s="8" t="s">
        <v>56</v>
      </c>
      <c r="B26" s="8" t="s">
        <v>57</v>
      </c>
      <c r="C26" s="8" t="s">
        <v>4</v>
      </c>
      <c r="D26" s="8" t="s">
        <v>17</v>
      </c>
      <c r="E26" s="6">
        <v>247.3</v>
      </c>
      <c r="F26" s="8" t="s">
        <v>58</v>
      </c>
      <c r="G26" s="8" t="s">
        <v>57</v>
      </c>
      <c r="H26" s="8" t="s">
        <v>851</v>
      </c>
    </row>
    <row r="27" spans="1:8" ht="60" customHeight="1" x14ac:dyDescent="0.25">
      <c r="A27" s="7" t="s">
        <v>56</v>
      </c>
      <c r="B27" s="7" t="s">
        <v>59</v>
      </c>
      <c r="C27" s="7" t="s">
        <v>4</v>
      </c>
      <c r="D27" s="7" t="s">
        <v>17</v>
      </c>
      <c r="E27" s="5">
        <v>219.7</v>
      </c>
      <c r="F27" s="7" t="s">
        <v>60</v>
      </c>
      <c r="G27" s="7" t="s">
        <v>59</v>
      </c>
      <c r="H27" s="8" t="s">
        <v>851</v>
      </c>
    </row>
    <row r="28" spans="1:8" ht="60" customHeight="1" x14ac:dyDescent="0.25">
      <c r="A28" s="8" t="s">
        <v>56</v>
      </c>
      <c r="B28" s="8" t="s">
        <v>61</v>
      </c>
      <c r="C28" s="8" t="s">
        <v>4</v>
      </c>
      <c r="D28" s="8" t="s">
        <v>17</v>
      </c>
      <c r="E28" s="6">
        <v>230.94</v>
      </c>
      <c r="F28" s="8" t="s">
        <v>62</v>
      </c>
      <c r="G28" s="8" t="s">
        <v>61</v>
      </c>
      <c r="H28" s="8" t="s">
        <v>851</v>
      </c>
    </row>
    <row r="29" spans="1:8" ht="60" customHeight="1" x14ac:dyDescent="0.25">
      <c r="A29" s="7" t="s">
        <v>63</v>
      </c>
      <c r="B29" s="7" t="s">
        <v>64</v>
      </c>
      <c r="C29" s="7" t="s">
        <v>4</v>
      </c>
      <c r="D29" s="7" t="s">
        <v>17</v>
      </c>
      <c r="E29" s="5">
        <v>61.88</v>
      </c>
      <c r="F29" s="7" t="s">
        <v>65</v>
      </c>
      <c r="G29" s="7" t="s">
        <v>64</v>
      </c>
      <c r="H29" s="8" t="s">
        <v>851</v>
      </c>
    </row>
    <row r="30" spans="1:8" ht="60" customHeight="1" x14ac:dyDescent="0.25">
      <c r="A30" s="8" t="s">
        <v>66</v>
      </c>
      <c r="B30" s="8" t="s">
        <v>67</v>
      </c>
      <c r="C30" s="8" t="s">
        <v>4</v>
      </c>
      <c r="D30" s="8" t="s">
        <v>17</v>
      </c>
      <c r="E30" s="6">
        <v>27.05</v>
      </c>
      <c r="F30" s="8" t="s">
        <v>68</v>
      </c>
      <c r="G30" s="8" t="s">
        <v>67</v>
      </c>
      <c r="H30" s="8" t="s">
        <v>851</v>
      </c>
    </row>
    <row r="31" spans="1:8" ht="60" customHeight="1" x14ac:dyDescent="0.25">
      <c r="A31" s="7" t="s">
        <v>66</v>
      </c>
      <c r="B31" s="7" t="s">
        <v>69</v>
      </c>
      <c r="C31" s="7" t="s">
        <v>4</v>
      </c>
      <c r="D31" s="7" t="s">
        <v>17</v>
      </c>
      <c r="E31" s="5">
        <v>83.08</v>
      </c>
      <c r="F31" s="7" t="s">
        <v>70</v>
      </c>
      <c r="G31" s="7" t="s">
        <v>69</v>
      </c>
      <c r="H31" s="8" t="s">
        <v>851</v>
      </c>
    </row>
    <row r="32" spans="1:8" ht="60" customHeight="1" x14ac:dyDescent="0.25">
      <c r="A32" s="8" t="s">
        <v>66</v>
      </c>
      <c r="B32" s="8" t="s">
        <v>71</v>
      </c>
      <c r="C32" s="8" t="s">
        <v>4</v>
      </c>
      <c r="D32" s="8" t="s">
        <v>17</v>
      </c>
      <c r="E32" s="6">
        <v>1.85</v>
      </c>
      <c r="F32" s="8" t="s">
        <v>72</v>
      </c>
      <c r="G32" s="8" t="s">
        <v>71</v>
      </c>
      <c r="H32" s="8" t="s">
        <v>851</v>
      </c>
    </row>
    <row r="33" spans="1:8" ht="60" customHeight="1" x14ac:dyDescent="0.25">
      <c r="A33" s="7" t="s">
        <v>66</v>
      </c>
      <c r="B33" s="7" t="s">
        <v>71</v>
      </c>
      <c r="C33" s="7" t="s">
        <v>4</v>
      </c>
      <c r="D33" s="7" t="s">
        <v>17</v>
      </c>
      <c r="E33" s="5">
        <v>31.16</v>
      </c>
      <c r="F33" s="7" t="s">
        <v>73</v>
      </c>
      <c r="G33" s="7" t="s">
        <v>71</v>
      </c>
      <c r="H33" s="8" t="s">
        <v>851</v>
      </c>
    </row>
    <row r="34" spans="1:8" ht="60" customHeight="1" x14ac:dyDescent="0.25">
      <c r="A34" s="8" t="s">
        <v>74</v>
      </c>
      <c r="B34" s="8" t="s">
        <v>57</v>
      </c>
      <c r="C34" s="8" t="s">
        <v>4</v>
      </c>
      <c r="D34" s="8" t="s">
        <v>17</v>
      </c>
      <c r="E34" s="6">
        <v>280.67</v>
      </c>
      <c r="F34" s="8" t="s">
        <v>75</v>
      </c>
      <c r="G34" s="8" t="s">
        <v>57</v>
      </c>
      <c r="H34" s="8" t="s">
        <v>851</v>
      </c>
    </row>
    <row r="35" spans="1:8" ht="60" customHeight="1" x14ac:dyDescent="0.25">
      <c r="A35" s="7" t="s">
        <v>76</v>
      </c>
      <c r="B35" s="7" t="s">
        <v>77</v>
      </c>
      <c r="C35" s="7" t="s">
        <v>4</v>
      </c>
      <c r="D35" s="7" t="s">
        <v>17</v>
      </c>
      <c r="E35" s="5">
        <v>11.39</v>
      </c>
      <c r="F35" s="7" t="s">
        <v>78</v>
      </c>
      <c r="G35" s="7" t="s">
        <v>77</v>
      </c>
      <c r="H35" s="8" t="s">
        <v>851</v>
      </c>
    </row>
    <row r="36" spans="1:8" ht="60" customHeight="1" x14ac:dyDescent="0.25">
      <c r="A36" s="8" t="s">
        <v>76</v>
      </c>
      <c r="B36" s="8" t="s">
        <v>79</v>
      </c>
      <c r="C36" s="8" t="s">
        <v>4</v>
      </c>
      <c r="D36" s="8" t="s">
        <v>17</v>
      </c>
      <c r="E36" s="6">
        <v>986.39</v>
      </c>
      <c r="F36" s="8" t="s">
        <v>80</v>
      </c>
      <c r="G36" s="8" t="s">
        <v>79</v>
      </c>
      <c r="H36" s="8" t="s">
        <v>851</v>
      </c>
    </row>
    <row r="37" spans="1:8" ht="60" customHeight="1" x14ac:dyDescent="0.25">
      <c r="A37" s="7" t="s">
        <v>81</v>
      </c>
      <c r="B37" s="7" t="s">
        <v>57</v>
      </c>
      <c r="C37" s="7" t="s">
        <v>4</v>
      </c>
      <c r="D37" s="7" t="s">
        <v>17</v>
      </c>
      <c r="E37" s="5">
        <v>124.02</v>
      </c>
      <c r="F37" s="7" t="s">
        <v>82</v>
      </c>
      <c r="G37" s="7" t="s">
        <v>57</v>
      </c>
      <c r="H37" s="8" t="s">
        <v>851</v>
      </c>
    </row>
    <row r="38" spans="1:8" ht="60" customHeight="1" x14ac:dyDescent="0.25">
      <c r="A38" s="8" t="s">
        <v>81</v>
      </c>
      <c r="B38" s="8" t="s">
        <v>83</v>
      </c>
      <c r="C38" s="8" t="s">
        <v>4</v>
      </c>
      <c r="D38" s="8" t="s">
        <v>17</v>
      </c>
      <c r="E38" s="6">
        <v>47.6</v>
      </c>
      <c r="F38" s="8" t="s">
        <v>84</v>
      </c>
      <c r="G38" s="8" t="s">
        <v>83</v>
      </c>
      <c r="H38" s="8" t="s">
        <v>851</v>
      </c>
    </row>
    <row r="39" spans="1:8" ht="60" customHeight="1" x14ac:dyDescent="0.25">
      <c r="A39" s="7" t="s">
        <v>81</v>
      </c>
      <c r="B39" s="7" t="s">
        <v>85</v>
      </c>
      <c r="C39" s="7" t="s">
        <v>4</v>
      </c>
      <c r="D39" s="7" t="s">
        <v>17</v>
      </c>
      <c r="E39" s="5">
        <v>205.65</v>
      </c>
      <c r="F39" s="7" t="s">
        <v>86</v>
      </c>
      <c r="G39" s="7" t="s">
        <v>85</v>
      </c>
      <c r="H39" s="8" t="s">
        <v>851</v>
      </c>
    </row>
    <row r="40" spans="1:8" ht="60" customHeight="1" x14ac:dyDescent="0.25">
      <c r="A40" s="8" t="s">
        <v>87</v>
      </c>
      <c r="B40" s="8" t="s">
        <v>61</v>
      </c>
      <c r="C40" s="8" t="s">
        <v>4</v>
      </c>
      <c r="D40" s="8" t="s">
        <v>17</v>
      </c>
      <c r="E40" s="6">
        <v>695.12</v>
      </c>
      <c r="F40" s="8" t="s">
        <v>88</v>
      </c>
      <c r="G40" s="8" t="s">
        <v>61</v>
      </c>
      <c r="H40" s="8" t="s">
        <v>851</v>
      </c>
    </row>
    <row r="41" spans="1:8" ht="60" customHeight="1" x14ac:dyDescent="0.25">
      <c r="A41" s="7" t="s">
        <v>87</v>
      </c>
      <c r="B41" s="7" t="s">
        <v>89</v>
      </c>
      <c r="C41" s="7" t="s">
        <v>4</v>
      </c>
      <c r="D41" s="7" t="s">
        <v>17</v>
      </c>
      <c r="E41" s="5">
        <v>88.29</v>
      </c>
      <c r="F41" s="7" t="s">
        <v>90</v>
      </c>
      <c r="G41" s="7" t="s">
        <v>89</v>
      </c>
      <c r="H41" s="8" t="s">
        <v>851</v>
      </c>
    </row>
    <row r="42" spans="1:8" ht="60" customHeight="1" x14ac:dyDescent="0.25">
      <c r="A42" s="8" t="s">
        <v>91</v>
      </c>
      <c r="B42" s="8" t="s">
        <v>92</v>
      </c>
      <c r="C42" s="8" t="s">
        <v>4</v>
      </c>
      <c r="D42" s="8" t="s">
        <v>17</v>
      </c>
      <c r="E42" s="6">
        <v>15</v>
      </c>
      <c r="F42" s="8" t="s">
        <v>93</v>
      </c>
      <c r="G42" s="8" t="s">
        <v>92</v>
      </c>
      <c r="H42" s="8" t="s">
        <v>851</v>
      </c>
    </row>
    <row r="43" spans="1:8" ht="60" customHeight="1" x14ac:dyDescent="0.25">
      <c r="A43" s="7" t="s">
        <v>91</v>
      </c>
      <c r="B43" s="7" t="s">
        <v>83</v>
      </c>
      <c r="C43" s="7" t="s">
        <v>4</v>
      </c>
      <c r="D43" s="7" t="s">
        <v>17</v>
      </c>
      <c r="E43" s="5">
        <v>152.44</v>
      </c>
      <c r="F43" s="7" t="s">
        <v>94</v>
      </c>
      <c r="G43" s="7" t="s">
        <v>83</v>
      </c>
      <c r="H43" s="8" t="s">
        <v>851</v>
      </c>
    </row>
    <row r="44" spans="1:8" ht="60" customHeight="1" x14ac:dyDescent="0.25">
      <c r="A44" s="8" t="s">
        <v>95</v>
      </c>
      <c r="B44" s="8" t="s">
        <v>96</v>
      </c>
      <c r="C44" s="8" t="s">
        <v>4</v>
      </c>
      <c r="D44" s="8" t="s">
        <v>17</v>
      </c>
      <c r="E44" s="6">
        <v>3.81</v>
      </c>
      <c r="F44" s="8" t="s">
        <v>97</v>
      </c>
      <c r="G44" s="8" t="s">
        <v>96</v>
      </c>
      <c r="H44" s="8" t="s">
        <v>851</v>
      </c>
    </row>
    <row r="45" spans="1:8" ht="60" customHeight="1" x14ac:dyDescent="0.25">
      <c r="A45" s="7" t="s">
        <v>95</v>
      </c>
      <c r="B45" s="7" t="s">
        <v>96</v>
      </c>
      <c r="C45" s="7" t="s">
        <v>4</v>
      </c>
      <c r="D45" s="7" t="s">
        <v>17</v>
      </c>
      <c r="E45" s="5">
        <v>6.23</v>
      </c>
      <c r="F45" s="7" t="s">
        <v>98</v>
      </c>
      <c r="G45" s="7" t="s">
        <v>96</v>
      </c>
      <c r="H45" s="8" t="s">
        <v>851</v>
      </c>
    </row>
    <row r="46" spans="1:8" ht="60" customHeight="1" x14ac:dyDescent="0.25">
      <c r="A46" s="8" t="s">
        <v>95</v>
      </c>
      <c r="B46" s="8" t="s">
        <v>99</v>
      </c>
      <c r="C46" s="8" t="s">
        <v>4</v>
      </c>
      <c r="D46" s="8" t="s">
        <v>17</v>
      </c>
      <c r="E46" s="6">
        <v>104.01</v>
      </c>
      <c r="F46" s="8" t="s">
        <v>100</v>
      </c>
      <c r="G46" s="8" t="s">
        <v>99</v>
      </c>
      <c r="H46" s="8" t="s">
        <v>851</v>
      </c>
    </row>
    <row r="47" spans="1:8" ht="60" customHeight="1" x14ac:dyDescent="0.25">
      <c r="A47" s="7" t="s">
        <v>95</v>
      </c>
      <c r="B47" s="7" t="s">
        <v>101</v>
      </c>
      <c r="C47" s="7" t="s">
        <v>4</v>
      </c>
      <c r="D47" s="7" t="s">
        <v>17</v>
      </c>
      <c r="E47" s="5">
        <v>24.99</v>
      </c>
      <c r="F47" s="7" t="s">
        <v>102</v>
      </c>
      <c r="G47" s="7" t="s">
        <v>101</v>
      </c>
      <c r="H47" s="8" t="s">
        <v>851</v>
      </c>
    </row>
    <row r="48" spans="1:8" ht="60" customHeight="1" x14ac:dyDescent="0.25">
      <c r="A48" s="8" t="s">
        <v>95</v>
      </c>
      <c r="B48" s="8" t="s">
        <v>103</v>
      </c>
      <c r="C48" s="8" t="s">
        <v>4</v>
      </c>
      <c r="D48" s="8" t="s">
        <v>17</v>
      </c>
      <c r="E48" s="6">
        <v>19.02</v>
      </c>
      <c r="F48" s="8" t="s">
        <v>104</v>
      </c>
      <c r="G48" s="8" t="s">
        <v>103</v>
      </c>
      <c r="H48" s="8" t="s">
        <v>851</v>
      </c>
    </row>
    <row r="49" spans="1:8" ht="60" customHeight="1" x14ac:dyDescent="0.25">
      <c r="A49" s="7" t="s">
        <v>95</v>
      </c>
      <c r="B49" s="7" t="s">
        <v>105</v>
      </c>
      <c r="C49" s="7" t="s">
        <v>4</v>
      </c>
      <c r="D49" s="7" t="s">
        <v>17</v>
      </c>
      <c r="E49" s="5">
        <v>20.420000000000002</v>
      </c>
      <c r="F49" s="7" t="s">
        <v>106</v>
      </c>
      <c r="G49" s="7" t="s">
        <v>105</v>
      </c>
      <c r="H49" s="8" t="s">
        <v>851</v>
      </c>
    </row>
    <row r="50" spans="1:8" ht="60" customHeight="1" x14ac:dyDescent="0.25">
      <c r="A50" s="8" t="s">
        <v>95</v>
      </c>
      <c r="B50" s="8" t="s">
        <v>107</v>
      </c>
      <c r="C50" s="8" t="s">
        <v>4</v>
      </c>
      <c r="D50" s="8" t="s">
        <v>17</v>
      </c>
      <c r="E50" s="6">
        <v>43.6</v>
      </c>
      <c r="F50" s="8" t="s">
        <v>108</v>
      </c>
      <c r="G50" s="8" t="s">
        <v>107</v>
      </c>
      <c r="H50" s="8" t="s">
        <v>851</v>
      </c>
    </row>
    <row r="51" spans="1:8" ht="60" customHeight="1" x14ac:dyDescent="0.25">
      <c r="A51" s="7" t="s">
        <v>95</v>
      </c>
      <c r="B51" s="7" t="s">
        <v>109</v>
      </c>
      <c r="C51" s="7" t="s">
        <v>4</v>
      </c>
      <c r="D51" s="7" t="s">
        <v>17</v>
      </c>
      <c r="E51" s="5">
        <v>27.05</v>
      </c>
      <c r="F51" s="7" t="s">
        <v>110</v>
      </c>
      <c r="G51" s="7" t="s">
        <v>109</v>
      </c>
      <c r="H51" s="8" t="s">
        <v>851</v>
      </c>
    </row>
    <row r="52" spans="1:8" ht="60" customHeight="1" x14ac:dyDescent="0.25">
      <c r="A52" s="8" t="s">
        <v>95</v>
      </c>
      <c r="B52" s="8" t="s">
        <v>111</v>
      </c>
      <c r="C52" s="8" t="s">
        <v>4</v>
      </c>
      <c r="D52" s="8" t="s">
        <v>17</v>
      </c>
      <c r="E52" s="6">
        <v>54.67</v>
      </c>
      <c r="F52" s="8" t="s">
        <v>112</v>
      </c>
      <c r="G52" s="8" t="s">
        <v>111</v>
      </c>
      <c r="H52" s="8" t="s">
        <v>851</v>
      </c>
    </row>
    <row r="53" spans="1:8" ht="60" customHeight="1" x14ac:dyDescent="0.25">
      <c r="A53" s="7" t="s">
        <v>95</v>
      </c>
      <c r="B53" s="7" t="s">
        <v>113</v>
      </c>
      <c r="C53" s="7" t="s">
        <v>4</v>
      </c>
      <c r="D53" s="7" t="s">
        <v>17</v>
      </c>
      <c r="E53" s="5">
        <v>25.43</v>
      </c>
      <c r="F53" s="7" t="s">
        <v>114</v>
      </c>
      <c r="G53" s="7" t="s">
        <v>113</v>
      </c>
      <c r="H53" s="8" t="s">
        <v>851</v>
      </c>
    </row>
    <row r="54" spans="1:8" ht="60" customHeight="1" x14ac:dyDescent="0.25">
      <c r="A54" s="8" t="s">
        <v>95</v>
      </c>
      <c r="B54" s="8" t="s">
        <v>115</v>
      </c>
      <c r="C54" s="8" t="s">
        <v>4</v>
      </c>
      <c r="D54" s="8" t="s">
        <v>17</v>
      </c>
      <c r="E54" s="6">
        <v>4.74</v>
      </c>
      <c r="F54" s="8" t="s">
        <v>116</v>
      </c>
      <c r="G54" s="8" t="s">
        <v>115</v>
      </c>
      <c r="H54" s="8" t="s">
        <v>851</v>
      </c>
    </row>
    <row r="55" spans="1:8" ht="60" customHeight="1" x14ac:dyDescent="0.25">
      <c r="A55" s="7" t="s">
        <v>117</v>
      </c>
      <c r="B55" s="7" t="s">
        <v>118</v>
      </c>
      <c r="C55" s="7" t="s">
        <v>4</v>
      </c>
      <c r="D55" s="7" t="s">
        <v>17</v>
      </c>
      <c r="E55" s="5">
        <v>2000</v>
      </c>
      <c r="F55" s="7" t="s">
        <v>119</v>
      </c>
      <c r="G55" s="7" t="s">
        <v>118</v>
      </c>
      <c r="H55" s="7" t="s">
        <v>852</v>
      </c>
    </row>
    <row r="56" spans="1:8" ht="60" customHeight="1" x14ac:dyDescent="0.25">
      <c r="A56" s="8" t="s">
        <v>120</v>
      </c>
      <c r="B56" s="8" t="s">
        <v>121</v>
      </c>
      <c r="C56" s="8" t="s">
        <v>4</v>
      </c>
      <c r="D56" s="8" t="s">
        <v>17</v>
      </c>
      <c r="E56" s="6">
        <v>1657.5</v>
      </c>
      <c r="F56" s="8" t="s">
        <v>122</v>
      </c>
      <c r="G56" s="8" t="s">
        <v>121</v>
      </c>
      <c r="H56" s="8" t="s">
        <v>853</v>
      </c>
    </row>
    <row r="57" spans="1:8" ht="60" customHeight="1" x14ac:dyDescent="0.25">
      <c r="A57" s="7" t="s">
        <v>123</v>
      </c>
      <c r="B57" s="7" t="s">
        <v>124</v>
      </c>
      <c r="C57" s="7" t="s">
        <v>4</v>
      </c>
      <c r="D57" s="7" t="s">
        <v>17</v>
      </c>
      <c r="E57" s="5">
        <v>79</v>
      </c>
      <c r="F57" s="7" t="s">
        <v>125</v>
      </c>
      <c r="G57" s="7" t="s">
        <v>124</v>
      </c>
      <c r="H57" s="7" t="s">
        <v>854</v>
      </c>
    </row>
    <row r="58" spans="1:8" ht="60" customHeight="1" x14ac:dyDescent="0.25">
      <c r="A58" s="8" t="s">
        <v>126</v>
      </c>
      <c r="B58" s="8" t="s">
        <v>127</v>
      </c>
      <c r="C58" s="8" t="s">
        <v>4</v>
      </c>
      <c r="D58" s="8" t="s">
        <v>17</v>
      </c>
      <c r="E58" s="6">
        <v>36.14</v>
      </c>
      <c r="F58" s="8" t="s">
        <v>128</v>
      </c>
      <c r="G58" s="8" t="s">
        <v>127</v>
      </c>
      <c r="H58" s="8" t="s">
        <v>855</v>
      </c>
    </row>
    <row r="59" spans="1:8" ht="60" customHeight="1" x14ac:dyDescent="0.25">
      <c r="A59" s="7" t="s">
        <v>126</v>
      </c>
      <c r="B59" s="7" t="s">
        <v>127</v>
      </c>
      <c r="C59" s="7" t="s">
        <v>4</v>
      </c>
      <c r="D59" s="7" t="s">
        <v>17</v>
      </c>
      <c r="E59" s="5">
        <v>418.18</v>
      </c>
      <c r="F59" s="7" t="s">
        <v>129</v>
      </c>
      <c r="G59" s="7" t="s">
        <v>127</v>
      </c>
      <c r="H59" s="7" t="s">
        <v>855</v>
      </c>
    </row>
    <row r="60" spans="1:8" ht="60" customHeight="1" x14ac:dyDescent="0.25">
      <c r="A60" s="8" t="s">
        <v>126</v>
      </c>
      <c r="B60" s="8" t="s">
        <v>130</v>
      </c>
      <c r="C60" s="8" t="s">
        <v>4</v>
      </c>
      <c r="D60" s="8" t="s">
        <v>17</v>
      </c>
      <c r="E60" s="6">
        <v>-4281.72</v>
      </c>
      <c r="F60" s="8" t="s">
        <v>131</v>
      </c>
      <c r="G60" s="8" t="s">
        <v>130</v>
      </c>
      <c r="H60" s="8" t="s">
        <v>856</v>
      </c>
    </row>
    <row r="61" spans="1:8" ht="60" customHeight="1" x14ac:dyDescent="0.25">
      <c r="A61" s="7" t="s">
        <v>126</v>
      </c>
      <c r="B61" s="7" t="s">
        <v>132</v>
      </c>
      <c r="C61" s="7" t="s">
        <v>4</v>
      </c>
      <c r="D61" s="7" t="s">
        <v>17</v>
      </c>
      <c r="E61" s="5">
        <v>125.59</v>
      </c>
      <c r="F61" s="7" t="s">
        <v>133</v>
      </c>
      <c r="G61" s="7" t="s">
        <v>132</v>
      </c>
      <c r="H61" s="7" t="s">
        <v>855</v>
      </c>
    </row>
    <row r="62" spans="1:8" ht="60" customHeight="1" x14ac:dyDescent="0.25">
      <c r="A62" s="8" t="s">
        <v>126</v>
      </c>
      <c r="B62" s="8" t="s">
        <v>134</v>
      </c>
      <c r="C62" s="8" t="s">
        <v>4</v>
      </c>
      <c r="D62" s="8" t="s">
        <v>17</v>
      </c>
      <c r="E62" s="6">
        <v>20243.89</v>
      </c>
      <c r="F62" s="8" t="s">
        <v>135</v>
      </c>
      <c r="G62" s="8" t="s">
        <v>134</v>
      </c>
      <c r="H62" s="8" t="s">
        <v>879</v>
      </c>
    </row>
    <row r="63" spans="1:8" ht="60" customHeight="1" x14ac:dyDescent="0.25">
      <c r="A63" s="7" t="s">
        <v>126</v>
      </c>
      <c r="B63" s="7" t="s">
        <v>136</v>
      </c>
      <c r="C63" s="7" t="s">
        <v>4</v>
      </c>
      <c r="D63" s="7" t="s">
        <v>17</v>
      </c>
      <c r="E63" s="5">
        <v>455.49</v>
      </c>
      <c r="F63" s="7" t="s">
        <v>137</v>
      </c>
      <c r="G63" s="7" t="s">
        <v>136</v>
      </c>
      <c r="H63" s="7" t="s">
        <v>857</v>
      </c>
    </row>
    <row r="64" spans="1:8" ht="60" customHeight="1" x14ac:dyDescent="0.25">
      <c r="A64" s="8" t="s">
        <v>138</v>
      </c>
      <c r="B64" s="8" t="s">
        <v>139</v>
      </c>
      <c r="C64" s="8" t="s">
        <v>4</v>
      </c>
      <c r="D64" s="8" t="s">
        <v>17</v>
      </c>
      <c r="E64" s="6">
        <v>10.81</v>
      </c>
      <c r="F64" s="8" t="s">
        <v>140</v>
      </c>
      <c r="G64" s="8" t="s">
        <v>139</v>
      </c>
      <c r="H64" s="8" t="s">
        <v>858</v>
      </c>
    </row>
    <row r="65" spans="1:8" ht="60" customHeight="1" x14ac:dyDescent="0.25">
      <c r="A65" s="7" t="s">
        <v>138</v>
      </c>
      <c r="B65" s="7" t="s">
        <v>141</v>
      </c>
      <c r="C65" s="7" t="s">
        <v>4</v>
      </c>
      <c r="D65" s="7" t="s">
        <v>17</v>
      </c>
      <c r="E65" s="5">
        <v>-16724.330000000002</v>
      </c>
      <c r="F65" s="7" t="s">
        <v>142</v>
      </c>
      <c r="G65" s="7" t="s">
        <v>141</v>
      </c>
      <c r="H65" s="7" t="s">
        <v>856</v>
      </c>
    </row>
    <row r="66" spans="1:8" ht="60" customHeight="1" x14ac:dyDescent="0.25">
      <c r="A66" s="8" t="s">
        <v>138</v>
      </c>
      <c r="B66" s="8" t="s">
        <v>143</v>
      </c>
      <c r="C66" s="8" t="s">
        <v>4</v>
      </c>
      <c r="D66" s="8" t="s">
        <v>17</v>
      </c>
      <c r="E66" s="6">
        <v>49.44</v>
      </c>
      <c r="F66" s="8" t="s">
        <v>144</v>
      </c>
      <c r="G66" s="8" t="s">
        <v>143</v>
      </c>
      <c r="H66" s="8" t="s">
        <v>855</v>
      </c>
    </row>
    <row r="67" spans="1:8" ht="60" customHeight="1" x14ac:dyDescent="0.25">
      <c r="A67" s="7" t="s">
        <v>138</v>
      </c>
      <c r="B67" s="7" t="s">
        <v>143</v>
      </c>
      <c r="C67" s="7" t="s">
        <v>4</v>
      </c>
      <c r="D67" s="7" t="s">
        <v>17</v>
      </c>
      <c r="E67" s="5">
        <v>468.49</v>
      </c>
      <c r="F67" s="7" t="s">
        <v>145</v>
      </c>
      <c r="G67" s="7" t="s">
        <v>143</v>
      </c>
      <c r="H67" s="7" t="s">
        <v>855</v>
      </c>
    </row>
    <row r="68" spans="1:8" ht="60" customHeight="1" x14ac:dyDescent="0.25">
      <c r="A68" s="8" t="s">
        <v>146</v>
      </c>
      <c r="B68" s="8" t="s">
        <v>49</v>
      </c>
      <c r="C68" s="8" t="s">
        <v>4</v>
      </c>
      <c r="D68" s="8" t="s">
        <v>17</v>
      </c>
      <c r="E68" s="6">
        <v>4281.72</v>
      </c>
      <c r="F68" s="8" t="s">
        <v>147</v>
      </c>
      <c r="G68" s="8" t="s">
        <v>49</v>
      </c>
      <c r="H68" s="8" t="s">
        <v>851</v>
      </c>
    </row>
    <row r="69" spans="1:8" ht="60" customHeight="1" x14ac:dyDescent="0.25">
      <c r="A69" s="7" t="s">
        <v>146</v>
      </c>
      <c r="B69" s="7" t="s">
        <v>148</v>
      </c>
      <c r="C69" s="7" t="s">
        <v>4</v>
      </c>
      <c r="D69" s="7" t="s">
        <v>17</v>
      </c>
      <c r="E69" s="5">
        <v>-10000</v>
      </c>
      <c r="F69" s="7" t="s">
        <v>149</v>
      </c>
      <c r="G69" s="7" t="s">
        <v>148</v>
      </c>
      <c r="H69" s="7" t="s">
        <v>856</v>
      </c>
    </row>
    <row r="70" spans="1:8" ht="60" customHeight="1" x14ac:dyDescent="0.25">
      <c r="A70" s="8" t="s">
        <v>146</v>
      </c>
      <c r="B70" s="8" t="s">
        <v>150</v>
      </c>
      <c r="C70" s="8" t="s">
        <v>4</v>
      </c>
      <c r="D70" s="8" t="s">
        <v>17</v>
      </c>
      <c r="E70" s="6">
        <v>250</v>
      </c>
      <c r="F70" s="8" t="s">
        <v>151</v>
      </c>
      <c r="G70" s="8" t="s">
        <v>150</v>
      </c>
      <c r="H70" s="8" t="s">
        <v>859</v>
      </c>
    </row>
    <row r="71" spans="1:8" ht="60" customHeight="1" x14ac:dyDescent="0.25">
      <c r="A71" s="7" t="s">
        <v>146</v>
      </c>
      <c r="B71" s="7" t="s">
        <v>150</v>
      </c>
      <c r="C71" s="7" t="s">
        <v>4</v>
      </c>
      <c r="D71" s="7" t="s">
        <v>17</v>
      </c>
      <c r="E71" s="5">
        <v>250</v>
      </c>
      <c r="F71" s="7" t="s">
        <v>151</v>
      </c>
      <c r="G71" s="7" t="s">
        <v>150</v>
      </c>
      <c r="H71" s="7" t="s">
        <v>859</v>
      </c>
    </row>
    <row r="72" spans="1:8" ht="60" customHeight="1" x14ac:dyDescent="0.25">
      <c r="A72" s="8" t="s">
        <v>152</v>
      </c>
      <c r="B72" s="8" t="s">
        <v>153</v>
      </c>
      <c r="C72" s="8" t="s">
        <v>4</v>
      </c>
      <c r="D72" s="8" t="s">
        <v>17</v>
      </c>
      <c r="E72" s="6">
        <v>-0.01</v>
      </c>
      <c r="F72" s="8" t="s">
        <v>154</v>
      </c>
      <c r="G72" s="8" t="s">
        <v>153</v>
      </c>
      <c r="H72" s="8" t="s">
        <v>854</v>
      </c>
    </row>
    <row r="73" spans="1:8" ht="60" customHeight="1" x14ac:dyDescent="0.25">
      <c r="A73" s="7" t="s">
        <v>155</v>
      </c>
      <c r="B73" s="7" t="s">
        <v>156</v>
      </c>
      <c r="C73" s="7" t="s">
        <v>4</v>
      </c>
      <c r="D73" s="7" t="s">
        <v>17</v>
      </c>
      <c r="E73" s="5">
        <v>8.99</v>
      </c>
      <c r="F73" s="7" t="s">
        <v>157</v>
      </c>
      <c r="G73" s="7" t="s">
        <v>156</v>
      </c>
      <c r="H73" s="7" t="s">
        <v>858</v>
      </c>
    </row>
    <row r="74" spans="1:8" ht="60" customHeight="1" x14ac:dyDescent="0.25">
      <c r="A74" s="8" t="s">
        <v>158</v>
      </c>
      <c r="B74" s="8" t="s">
        <v>156</v>
      </c>
      <c r="C74" s="8" t="s">
        <v>4</v>
      </c>
      <c r="D74" s="8" t="s">
        <v>17</v>
      </c>
      <c r="E74" s="6">
        <v>18.989999999999998</v>
      </c>
      <c r="F74" s="8" t="s">
        <v>159</v>
      </c>
      <c r="G74" s="8" t="s">
        <v>156</v>
      </c>
      <c r="H74" s="8" t="s">
        <v>858</v>
      </c>
    </row>
    <row r="75" spans="1:8" ht="60" customHeight="1" x14ac:dyDescent="0.25">
      <c r="A75" s="7" t="s">
        <v>158</v>
      </c>
      <c r="B75" s="7" t="s">
        <v>153</v>
      </c>
      <c r="C75" s="7" t="s">
        <v>4</v>
      </c>
      <c r="D75" s="7" t="s">
        <v>17</v>
      </c>
      <c r="E75" s="5">
        <v>82.18</v>
      </c>
      <c r="F75" s="7" t="s">
        <v>160</v>
      </c>
      <c r="G75" s="7" t="s">
        <v>153</v>
      </c>
      <c r="H75" s="7" t="s">
        <v>854</v>
      </c>
    </row>
    <row r="76" spans="1:8" ht="60" customHeight="1" x14ac:dyDescent="0.25">
      <c r="A76" s="8" t="s">
        <v>158</v>
      </c>
      <c r="B76" s="8" t="s">
        <v>161</v>
      </c>
      <c r="C76" s="8" t="s">
        <v>4</v>
      </c>
      <c r="D76" s="8" t="s">
        <v>17</v>
      </c>
      <c r="E76" s="6">
        <v>5.15</v>
      </c>
      <c r="F76" s="8" t="s">
        <v>162</v>
      </c>
      <c r="G76" s="8" t="s">
        <v>161</v>
      </c>
      <c r="H76" s="8" t="s">
        <v>860</v>
      </c>
    </row>
    <row r="77" spans="1:8" ht="60" customHeight="1" x14ac:dyDescent="0.25">
      <c r="A77" s="7" t="s">
        <v>163</v>
      </c>
      <c r="B77" s="7" t="s">
        <v>164</v>
      </c>
      <c r="C77" s="7" t="s">
        <v>4</v>
      </c>
      <c r="D77" s="7" t="s">
        <v>17</v>
      </c>
      <c r="E77" s="5">
        <v>99</v>
      </c>
      <c r="F77" s="7" t="s">
        <v>165</v>
      </c>
      <c r="G77" s="7" t="s">
        <v>164</v>
      </c>
      <c r="H77" s="7" t="s">
        <v>865</v>
      </c>
    </row>
    <row r="78" spans="1:8" ht="60" customHeight="1" x14ac:dyDescent="0.25">
      <c r="A78" s="8" t="s">
        <v>166</v>
      </c>
      <c r="B78" s="8" t="s">
        <v>130</v>
      </c>
      <c r="C78" s="8" t="s">
        <v>4</v>
      </c>
      <c r="D78" s="8" t="s">
        <v>17</v>
      </c>
      <c r="E78" s="6">
        <v>-2134.33</v>
      </c>
      <c r="F78" s="8" t="s">
        <v>131</v>
      </c>
      <c r="G78" s="8" t="s">
        <v>130</v>
      </c>
      <c r="H78" s="8" t="s">
        <v>856</v>
      </c>
    </row>
    <row r="79" spans="1:8" ht="60" customHeight="1" x14ac:dyDescent="0.25">
      <c r="A79" s="7" t="s">
        <v>166</v>
      </c>
      <c r="B79" s="7" t="s">
        <v>118</v>
      </c>
      <c r="C79" s="7" t="s">
        <v>4</v>
      </c>
      <c r="D79" s="7" t="s">
        <v>17</v>
      </c>
      <c r="E79" s="5">
        <v>2000</v>
      </c>
      <c r="F79" s="7" t="s">
        <v>167</v>
      </c>
      <c r="G79" s="7" t="s">
        <v>118</v>
      </c>
      <c r="H79" s="7" t="s">
        <v>852</v>
      </c>
    </row>
    <row r="80" spans="1:8" ht="60" customHeight="1" x14ac:dyDescent="0.25">
      <c r="A80" s="8" t="s">
        <v>166</v>
      </c>
      <c r="B80" s="8" t="s">
        <v>168</v>
      </c>
      <c r="C80" s="8" t="s">
        <v>4</v>
      </c>
      <c r="D80" s="8" t="s">
        <v>17</v>
      </c>
      <c r="E80" s="6">
        <v>139.05000000000001</v>
      </c>
      <c r="F80" s="8" t="s">
        <v>169</v>
      </c>
      <c r="G80" s="8" t="s">
        <v>168</v>
      </c>
      <c r="H80" s="8" t="s">
        <v>860</v>
      </c>
    </row>
    <row r="81" spans="1:8" ht="60" customHeight="1" x14ac:dyDescent="0.25">
      <c r="A81" s="7" t="s">
        <v>170</v>
      </c>
      <c r="B81" s="7" t="s">
        <v>171</v>
      </c>
      <c r="C81" s="7" t="s">
        <v>4</v>
      </c>
      <c r="D81" s="7" t="s">
        <v>17</v>
      </c>
      <c r="E81" s="5">
        <v>9.99</v>
      </c>
      <c r="F81" s="7" t="s">
        <v>172</v>
      </c>
      <c r="G81" s="7" t="s">
        <v>171</v>
      </c>
      <c r="H81" s="7" t="s">
        <v>858</v>
      </c>
    </row>
    <row r="82" spans="1:8" ht="60" customHeight="1" x14ac:dyDescent="0.25">
      <c r="A82" s="8" t="s">
        <v>170</v>
      </c>
      <c r="B82" s="8" t="s">
        <v>173</v>
      </c>
      <c r="C82" s="8" t="s">
        <v>4</v>
      </c>
      <c r="D82" s="8" t="s">
        <v>17</v>
      </c>
      <c r="E82" s="6">
        <v>97.2</v>
      </c>
      <c r="F82" s="8" t="s">
        <v>174</v>
      </c>
      <c r="G82" s="8" t="s">
        <v>173</v>
      </c>
      <c r="H82" s="8" t="s">
        <v>862</v>
      </c>
    </row>
    <row r="83" spans="1:8" ht="60" customHeight="1" x14ac:dyDescent="0.25">
      <c r="A83" s="7" t="s">
        <v>175</v>
      </c>
      <c r="B83" s="7" t="s">
        <v>101</v>
      </c>
      <c r="C83" s="7" t="s">
        <v>4</v>
      </c>
      <c r="D83" s="7" t="s">
        <v>17</v>
      </c>
      <c r="E83" s="5">
        <v>24.99</v>
      </c>
      <c r="F83" s="7" t="s">
        <v>176</v>
      </c>
      <c r="G83" s="7" t="s">
        <v>101</v>
      </c>
      <c r="H83" s="7" t="s">
        <v>863</v>
      </c>
    </row>
    <row r="84" spans="1:8" ht="60" customHeight="1" x14ac:dyDescent="0.25">
      <c r="A84" s="8" t="s">
        <v>177</v>
      </c>
      <c r="B84" s="8" t="s">
        <v>164</v>
      </c>
      <c r="C84" s="8" t="s">
        <v>4</v>
      </c>
      <c r="D84" s="8" t="s">
        <v>17</v>
      </c>
      <c r="E84" s="6">
        <v>77</v>
      </c>
      <c r="F84" s="8" t="s">
        <v>178</v>
      </c>
      <c r="G84" s="8" t="s">
        <v>164</v>
      </c>
      <c r="H84" s="8" t="s">
        <v>865</v>
      </c>
    </row>
    <row r="85" spans="1:8" ht="60" customHeight="1" x14ac:dyDescent="0.25">
      <c r="A85" s="7" t="s">
        <v>179</v>
      </c>
      <c r="B85" s="7" t="s">
        <v>180</v>
      </c>
      <c r="C85" s="7" t="s">
        <v>4</v>
      </c>
      <c r="D85" s="7" t="s">
        <v>17</v>
      </c>
      <c r="E85" s="5">
        <v>399.67</v>
      </c>
      <c r="F85" s="7" t="s">
        <v>181</v>
      </c>
      <c r="G85" s="7" t="s">
        <v>180</v>
      </c>
      <c r="H85" s="7" t="s">
        <v>864</v>
      </c>
    </row>
    <row r="86" spans="1:8" ht="60" customHeight="1" x14ac:dyDescent="0.25">
      <c r="A86" s="8" t="s">
        <v>182</v>
      </c>
      <c r="B86" s="8" t="s">
        <v>164</v>
      </c>
      <c r="C86" s="8" t="s">
        <v>4</v>
      </c>
      <c r="D86" s="8" t="s">
        <v>17</v>
      </c>
      <c r="E86" s="6">
        <v>275</v>
      </c>
      <c r="F86" s="8" t="s">
        <v>183</v>
      </c>
      <c r="G86" s="8" t="s">
        <v>164</v>
      </c>
      <c r="H86" s="8" t="s">
        <v>865</v>
      </c>
    </row>
    <row r="87" spans="1:8" ht="60" customHeight="1" x14ac:dyDescent="0.25">
      <c r="A87" s="7" t="s">
        <v>184</v>
      </c>
      <c r="B87" s="7" t="s">
        <v>171</v>
      </c>
      <c r="C87" s="7" t="s">
        <v>4</v>
      </c>
      <c r="D87" s="7" t="s">
        <v>17</v>
      </c>
      <c r="E87" s="5">
        <v>9.99</v>
      </c>
      <c r="F87" s="7" t="s">
        <v>185</v>
      </c>
      <c r="G87" s="7" t="s">
        <v>171</v>
      </c>
      <c r="H87" s="7" t="s">
        <v>858</v>
      </c>
    </row>
    <row r="88" spans="1:8" ht="60" customHeight="1" x14ac:dyDescent="0.25">
      <c r="A88" s="8" t="s">
        <v>186</v>
      </c>
      <c r="B88" s="8" t="s">
        <v>139</v>
      </c>
      <c r="C88" s="8" t="s">
        <v>4</v>
      </c>
      <c r="D88" s="8" t="s">
        <v>17</v>
      </c>
      <c r="E88" s="6">
        <v>10.81</v>
      </c>
      <c r="F88" s="8" t="s">
        <v>187</v>
      </c>
      <c r="G88" s="8" t="s">
        <v>139</v>
      </c>
      <c r="H88" s="8" t="s">
        <v>858</v>
      </c>
    </row>
    <row r="89" spans="1:8" ht="60" customHeight="1" x14ac:dyDescent="0.25">
      <c r="A89" s="7" t="s">
        <v>188</v>
      </c>
      <c r="B89" s="7" t="s">
        <v>49</v>
      </c>
      <c r="C89" s="7" t="s">
        <v>4</v>
      </c>
      <c r="D89" s="7" t="s">
        <v>17</v>
      </c>
      <c r="E89" s="5">
        <v>4257.28</v>
      </c>
      <c r="F89" s="7" t="s">
        <v>189</v>
      </c>
      <c r="G89" s="7" t="s">
        <v>49</v>
      </c>
      <c r="H89" s="7" t="s">
        <v>851</v>
      </c>
    </row>
    <row r="90" spans="1:8" ht="60" customHeight="1" x14ac:dyDescent="0.25">
      <c r="A90" s="8" t="s">
        <v>190</v>
      </c>
      <c r="B90" s="8" t="s">
        <v>191</v>
      </c>
      <c r="C90" s="8" t="s">
        <v>4</v>
      </c>
      <c r="D90" s="8" t="s">
        <v>17</v>
      </c>
      <c r="E90" s="6">
        <v>35</v>
      </c>
      <c r="F90" s="8" t="s">
        <v>192</v>
      </c>
      <c r="G90" s="8" t="s">
        <v>191</v>
      </c>
      <c r="H90" s="8" t="s">
        <v>858</v>
      </c>
    </row>
    <row r="91" spans="1:8" ht="60" customHeight="1" x14ac:dyDescent="0.25">
      <c r="A91" s="7" t="s">
        <v>194</v>
      </c>
      <c r="B91" s="7" t="s">
        <v>164</v>
      </c>
      <c r="C91" s="7" t="s">
        <v>4</v>
      </c>
      <c r="D91" s="7" t="s">
        <v>17</v>
      </c>
      <c r="E91" s="5">
        <v>70</v>
      </c>
      <c r="F91" s="7" t="s">
        <v>195</v>
      </c>
      <c r="G91" s="7" t="s">
        <v>164</v>
      </c>
      <c r="H91" s="7" t="s">
        <v>865</v>
      </c>
    </row>
    <row r="92" spans="1:8" ht="60" customHeight="1" x14ac:dyDescent="0.25">
      <c r="A92" s="8" t="s">
        <v>196</v>
      </c>
      <c r="B92" s="8" t="s">
        <v>197</v>
      </c>
      <c r="C92" s="8" t="s">
        <v>4</v>
      </c>
      <c r="D92" s="8" t="s">
        <v>17</v>
      </c>
      <c r="E92" s="6">
        <v>11300</v>
      </c>
      <c r="F92" s="8" t="s">
        <v>198</v>
      </c>
      <c r="G92" s="8" t="s">
        <v>197</v>
      </c>
      <c r="H92" s="8" t="s">
        <v>866</v>
      </c>
    </row>
    <row r="93" spans="1:8" ht="60" customHeight="1" x14ac:dyDescent="0.25">
      <c r="A93" s="7" t="s">
        <v>199</v>
      </c>
      <c r="B93" s="7" t="s">
        <v>200</v>
      </c>
      <c r="C93" s="7" t="s">
        <v>4</v>
      </c>
      <c r="D93" s="7" t="s">
        <v>17</v>
      </c>
      <c r="E93" s="5">
        <v>4116.3</v>
      </c>
      <c r="F93" s="7" t="s">
        <v>201</v>
      </c>
      <c r="G93" s="7" t="s">
        <v>200</v>
      </c>
      <c r="H93" s="7" t="s">
        <v>867</v>
      </c>
    </row>
    <row r="94" spans="1:8" ht="60" customHeight="1" x14ac:dyDescent="0.25">
      <c r="A94" s="8" t="s">
        <v>202</v>
      </c>
      <c r="B94" s="8" t="s">
        <v>101</v>
      </c>
      <c r="C94" s="8" t="s">
        <v>4</v>
      </c>
      <c r="D94" s="8" t="s">
        <v>17</v>
      </c>
      <c r="E94" s="6">
        <v>24.99</v>
      </c>
      <c r="F94" s="8" t="s">
        <v>203</v>
      </c>
      <c r="G94" s="8" t="s">
        <v>101</v>
      </c>
      <c r="H94" s="8" t="s">
        <v>863</v>
      </c>
    </row>
    <row r="95" spans="1:8" ht="60" customHeight="1" x14ac:dyDescent="0.25">
      <c r="A95" s="7" t="s">
        <v>204</v>
      </c>
      <c r="B95" s="7" t="s">
        <v>205</v>
      </c>
      <c r="C95" s="7" t="s">
        <v>4</v>
      </c>
      <c r="D95" s="7" t="s">
        <v>17</v>
      </c>
      <c r="E95" s="5">
        <v>-11300</v>
      </c>
      <c r="F95" s="7" t="s">
        <v>206</v>
      </c>
      <c r="G95" s="7" t="s">
        <v>205</v>
      </c>
      <c r="H95" s="8" t="s">
        <v>866</v>
      </c>
    </row>
    <row r="96" spans="1:8" ht="60" customHeight="1" x14ac:dyDescent="0.25">
      <c r="A96" s="8" t="s">
        <v>204</v>
      </c>
      <c r="B96" s="8" t="s">
        <v>205</v>
      </c>
      <c r="C96" s="8" t="s">
        <v>4</v>
      </c>
      <c r="D96" s="8" t="s">
        <v>17</v>
      </c>
      <c r="E96" s="6">
        <v>-50</v>
      </c>
      <c r="F96" s="8" t="s">
        <v>207</v>
      </c>
      <c r="G96" s="8" t="s">
        <v>205</v>
      </c>
      <c r="H96" s="8" t="s">
        <v>866</v>
      </c>
    </row>
    <row r="97" spans="1:8" ht="60" customHeight="1" x14ac:dyDescent="0.25">
      <c r="A97" s="7" t="s">
        <v>208</v>
      </c>
      <c r="B97" s="7" t="s">
        <v>209</v>
      </c>
      <c r="C97" s="7" t="s">
        <v>4</v>
      </c>
      <c r="D97" s="7" t="s">
        <v>17</v>
      </c>
      <c r="E97" s="5">
        <v>11350</v>
      </c>
      <c r="F97" s="7" t="s">
        <v>210</v>
      </c>
      <c r="G97" s="7" t="s">
        <v>209</v>
      </c>
      <c r="H97" s="8" t="s">
        <v>866</v>
      </c>
    </row>
    <row r="98" spans="1:8" ht="60" customHeight="1" x14ac:dyDescent="0.25">
      <c r="A98" s="8" t="s">
        <v>211</v>
      </c>
      <c r="B98" s="8" t="s">
        <v>209</v>
      </c>
      <c r="C98" s="8" t="s">
        <v>4</v>
      </c>
      <c r="D98" s="8" t="s">
        <v>17</v>
      </c>
      <c r="E98" s="6">
        <v>595</v>
      </c>
      <c r="F98" s="8" t="s">
        <v>212</v>
      </c>
      <c r="G98" s="8" t="s">
        <v>209</v>
      </c>
      <c r="H98" s="8" t="s">
        <v>868</v>
      </c>
    </row>
    <row r="99" spans="1:8" ht="60" customHeight="1" x14ac:dyDescent="0.25">
      <c r="A99" s="7" t="s">
        <v>213</v>
      </c>
      <c r="B99" s="7" t="s">
        <v>139</v>
      </c>
      <c r="C99" s="7" t="s">
        <v>4</v>
      </c>
      <c r="D99" s="7" t="s">
        <v>17</v>
      </c>
      <c r="E99" s="5">
        <v>10.81</v>
      </c>
      <c r="F99" s="7" t="s">
        <v>214</v>
      </c>
      <c r="G99" s="7" t="s">
        <v>139</v>
      </c>
      <c r="H99" s="7" t="s">
        <v>858</v>
      </c>
    </row>
    <row r="100" spans="1:8" ht="60" customHeight="1" x14ac:dyDescent="0.25">
      <c r="A100" s="8" t="s">
        <v>215</v>
      </c>
      <c r="B100" s="8" t="s">
        <v>150</v>
      </c>
      <c r="C100" s="8" t="s">
        <v>4</v>
      </c>
      <c r="D100" s="8" t="s">
        <v>17</v>
      </c>
      <c r="E100" s="6">
        <v>750</v>
      </c>
      <c r="F100" s="8" t="s">
        <v>216</v>
      </c>
      <c r="G100" s="8" t="s">
        <v>150</v>
      </c>
      <c r="H100" s="8" t="s">
        <v>859</v>
      </c>
    </row>
    <row r="101" spans="1:8" ht="60" customHeight="1" x14ac:dyDescent="0.25">
      <c r="A101" s="7" t="s">
        <v>215</v>
      </c>
      <c r="B101" s="7" t="s">
        <v>150</v>
      </c>
      <c r="C101" s="7" t="s">
        <v>4</v>
      </c>
      <c r="D101" s="7" t="s">
        <v>17</v>
      </c>
      <c r="E101" s="5">
        <v>925</v>
      </c>
      <c r="F101" s="7" t="s">
        <v>217</v>
      </c>
      <c r="G101" s="7" t="s">
        <v>150</v>
      </c>
      <c r="H101" s="7" t="s">
        <v>859</v>
      </c>
    </row>
    <row r="102" spans="1:8" ht="60" customHeight="1" x14ac:dyDescent="0.25">
      <c r="A102" s="8" t="s">
        <v>218</v>
      </c>
      <c r="B102" s="8" t="s">
        <v>141</v>
      </c>
      <c r="C102" s="8" t="s">
        <v>4</v>
      </c>
      <c r="D102" s="8" t="s">
        <v>17</v>
      </c>
      <c r="E102" s="6">
        <v>-14871.34</v>
      </c>
      <c r="F102" s="8" t="s">
        <v>142</v>
      </c>
      <c r="G102" s="8" t="s">
        <v>141</v>
      </c>
      <c r="H102" s="8" t="s">
        <v>856</v>
      </c>
    </row>
    <row r="103" spans="1:8" ht="60" customHeight="1" x14ac:dyDescent="0.25">
      <c r="A103" s="7" t="s">
        <v>219</v>
      </c>
      <c r="B103" s="7" t="s">
        <v>171</v>
      </c>
      <c r="C103" s="7" t="s">
        <v>4</v>
      </c>
      <c r="D103" s="7" t="s">
        <v>17</v>
      </c>
      <c r="E103" s="5">
        <v>9.99</v>
      </c>
      <c r="F103" s="7" t="s">
        <v>220</v>
      </c>
      <c r="G103" s="7" t="s">
        <v>171</v>
      </c>
      <c r="H103" s="7" t="s">
        <v>858</v>
      </c>
    </row>
    <row r="104" spans="1:8" ht="60" customHeight="1" x14ac:dyDescent="0.25">
      <c r="A104" s="8" t="s">
        <v>221</v>
      </c>
      <c r="B104" s="8" t="s">
        <v>222</v>
      </c>
      <c r="C104" s="8" t="s">
        <v>4</v>
      </c>
      <c r="D104" s="8" t="s">
        <v>17</v>
      </c>
      <c r="E104" s="6">
        <v>24.72</v>
      </c>
      <c r="F104" s="8" t="s">
        <v>223</v>
      </c>
      <c r="G104" s="8" t="s">
        <v>222</v>
      </c>
      <c r="H104" s="8" t="s">
        <v>862</v>
      </c>
    </row>
    <row r="105" spans="1:8" ht="60" customHeight="1" x14ac:dyDescent="0.25">
      <c r="A105" s="7" t="s">
        <v>221</v>
      </c>
      <c r="B105" s="7" t="s">
        <v>164</v>
      </c>
      <c r="C105" s="7" t="s">
        <v>4</v>
      </c>
      <c r="D105" s="7" t="s">
        <v>17</v>
      </c>
      <c r="E105" s="5">
        <v>72.97</v>
      </c>
      <c r="F105" s="7" t="s">
        <v>224</v>
      </c>
      <c r="G105" s="7" t="s">
        <v>164</v>
      </c>
      <c r="H105" s="7" t="s">
        <v>865</v>
      </c>
    </row>
    <row r="106" spans="1:8" ht="60" customHeight="1" x14ac:dyDescent="0.25">
      <c r="A106" s="8" t="s">
        <v>225</v>
      </c>
      <c r="B106" s="8" t="s">
        <v>226</v>
      </c>
      <c r="C106" s="8" t="s">
        <v>4</v>
      </c>
      <c r="D106" s="8" t="s">
        <v>17</v>
      </c>
      <c r="E106" s="6">
        <v>2661.33</v>
      </c>
      <c r="F106" s="8" t="s">
        <v>227</v>
      </c>
      <c r="G106" s="8" t="s">
        <v>226</v>
      </c>
      <c r="H106" s="8" t="s">
        <v>869</v>
      </c>
    </row>
    <row r="107" spans="1:8" ht="60" customHeight="1" x14ac:dyDescent="0.25">
      <c r="A107" s="7" t="s">
        <v>225</v>
      </c>
      <c r="B107" s="7" t="s">
        <v>101</v>
      </c>
      <c r="C107" s="7" t="s">
        <v>4</v>
      </c>
      <c r="D107" s="7" t="s">
        <v>17</v>
      </c>
      <c r="E107" s="5">
        <v>24.99</v>
      </c>
      <c r="F107" s="7" t="s">
        <v>228</v>
      </c>
      <c r="G107" s="7" t="s">
        <v>101</v>
      </c>
      <c r="H107" s="7" t="s">
        <v>863</v>
      </c>
    </row>
    <row r="108" spans="1:8" ht="60" customHeight="1" x14ac:dyDescent="0.25">
      <c r="A108" s="8" t="s">
        <v>229</v>
      </c>
      <c r="B108" s="8" t="s">
        <v>230</v>
      </c>
      <c r="C108" s="8" t="s">
        <v>4</v>
      </c>
      <c r="D108" s="8" t="s">
        <v>17</v>
      </c>
      <c r="E108" s="6">
        <v>140.15</v>
      </c>
      <c r="F108" s="8" t="s">
        <v>231</v>
      </c>
      <c r="G108" s="8" t="s">
        <v>230</v>
      </c>
      <c r="H108" s="8" t="s">
        <v>870</v>
      </c>
    </row>
    <row r="109" spans="1:8" ht="60" customHeight="1" x14ac:dyDescent="0.25">
      <c r="A109" s="7" t="s">
        <v>232</v>
      </c>
      <c r="B109" s="7" t="s">
        <v>164</v>
      </c>
      <c r="C109" s="7" t="s">
        <v>4</v>
      </c>
      <c r="D109" s="7" t="s">
        <v>17</v>
      </c>
      <c r="E109" s="5">
        <v>27.03</v>
      </c>
      <c r="F109" s="7" t="s">
        <v>233</v>
      </c>
      <c r="G109" s="7" t="s">
        <v>164</v>
      </c>
      <c r="H109" s="7" t="s">
        <v>865</v>
      </c>
    </row>
    <row r="110" spans="1:8" ht="60" customHeight="1" x14ac:dyDescent="0.25">
      <c r="A110" s="8" t="s">
        <v>234</v>
      </c>
      <c r="B110" s="8" t="s">
        <v>235</v>
      </c>
      <c r="C110" s="8" t="s">
        <v>4</v>
      </c>
      <c r="D110" s="8" t="s">
        <v>17</v>
      </c>
      <c r="E110" s="6">
        <v>115.13</v>
      </c>
      <c r="F110" s="8" t="s">
        <v>236</v>
      </c>
      <c r="G110" s="8" t="s">
        <v>235</v>
      </c>
      <c r="H110" s="8" t="s">
        <v>871</v>
      </c>
    </row>
    <row r="111" spans="1:8" ht="60" customHeight="1" x14ac:dyDescent="0.25">
      <c r="A111" s="7" t="s">
        <v>234</v>
      </c>
      <c r="B111" s="7" t="s">
        <v>237</v>
      </c>
      <c r="C111" s="7" t="s">
        <v>4</v>
      </c>
      <c r="D111" s="7" t="s">
        <v>17</v>
      </c>
      <c r="E111" s="5">
        <v>161</v>
      </c>
      <c r="F111" s="7" t="s">
        <v>238</v>
      </c>
      <c r="G111" s="7" t="s">
        <v>237</v>
      </c>
      <c r="H111" s="7" t="s">
        <v>871</v>
      </c>
    </row>
    <row r="112" spans="1:8" ht="60" customHeight="1" x14ac:dyDescent="0.25">
      <c r="A112" s="8" t="s">
        <v>234</v>
      </c>
      <c r="B112" s="8" t="s">
        <v>239</v>
      </c>
      <c r="C112" s="8" t="s">
        <v>4</v>
      </c>
      <c r="D112" s="8" t="s">
        <v>17</v>
      </c>
      <c r="E112" s="6">
        <v>66.03</v>
      </c>
      <c r="F112" s="8" t="s">
        <v>240</v>
      </c>
      <c r="G112" s="8" t="s">
        <v>239</v>
      </c>
      <c r="H112" s="8" t="s">
        <v>871</v>
      </c>
    </row>
    <row r="113" spans="1:8" ht="60" customHeight="1" x14ac:dyDescent="0.25">
      <c r="A113" s="7" t="s">
        <v>241</v>
      </c>
      <c r="B113" s="7" t="s">
        <v>242</v>
      </c>
      <c r="C113" s="7" t="s">
        <v>4</v>
      </c>
      <c r="D113" s="7" t="s">
        <v>17</v>
      </c>
      <c r="E113" s="5">
        <v>192.14</v>
      </c>
      <c r="F113" s="7" t="s">
        <v>243</v>
      </c>
      <c r="G113" s="7" t="s">
        <v>242</v>
      </c>
      <c r="H113" s="7" t="s">
        <v>872</v>
      </c>
    </row>
    <row r="114" spans="1:8" ht="60" customHeight="1" x14ac:dyDescent="0.25">
      <c r="A114" s="8" t="s">
        <v>244</v>
      </c>
      <c r="B114" s="8" t="s">
        <v>171</v>
      </c>
      <c r="C114" s="8" t="s">
        <v>4</v>
      </c>
      <c r="D114" s="8" t="s">
        <v>17</v>
      </c>
      <c r="E114" s="6">
        <v>9.99</v>
      </c>
      <c r="F114" s="8" t="s">
        <v>245</v>
      </c>
      <c r="G114" s="8" t="s">
        <v>171</v>
      </c>
      <c r="H114" s="8" t="s">
        <v>858</v>
      </c>
    </row>
    <row r="115" spans="1:8" ht="60" customHeight="1" x14ac:dyDescent="0.25">
      <c r="A115" s="7" t="s">
        <v>246</v>
      </c>
      <c r="B115" s="7" t="s">
        <v>139</v>
      </c>
      <c r="C115" s="7" t="s">
        <v>4</v>
      </c>
      <c r="D115" s="7" t="s">
        <v>17</v>
      </c>
      <c r="E115" s="5">
        <v>10.81</v>
      </c>
      <c r="F115" s="7" t="s">
        <v>247</v>
      </c>
      <c r="G115" s="7" t="s">
        <v>139</v>
      </c>
      <c r="H115" s="7" t="s">
        <v>858</v>
      </c>
    </row>
    <row r="116" spans="1:8" ht="60" customHeight="1" x14ac:dyDescent="0.25">
      <c r="A116" s="8" t="s">
        <v>248</v>
      </c>
      <c r="B116" s="8" t="s">
        <v>141</v>
      </c>
      <c r="C116" s="8" t="s">
        <v>4</v>
      </c>
      <c r="D116" s="8" t="s">
        <v>17</v>
      </c>
      <c r="E116" s="6">
        <v>-17183.32</v>
      </c>
      <c r="F116" s="8" t="s">
        <v>142</v>
      </c>
      <c r="G116" s="8" t="s">
        <v>141</v>
      </c>
      <c r="H116" s="8" t="s">
        <v>856</v>
      </c>
    </row>
    <row r="117" spans="1:8" ht="60" customHeight="1" x14ac:dyDescent="0.25">
      <c r="A117" s="7" t="s">
        <v>249</v>
      </c>
      <c r="B117" s="7" t="s">
        <v>250</v>
      </c>
      <c r="C117" s="7" t="s">
        <v>4</v>
      </c>
      <c r="D117" s="7" t="s">
        <v>17</v>
      </c>
      <c r="E117" s="5">
        <v>6.72</v>
      </c>
      <c r="F117" s="7" t="s">
        <v>251</v>
      </c>
      <c r="G117" s="7" t="s">
        <v>250</v>
      </c>
      <c r="H117" s="7" t="s">
        <v>873</v>
      </c>
    </row>
    <row r="118" spans="1:8" ht="60" customHeight="1" x14ac:dyDescent="0.25">
      <c r="A118" s="8" t="s">
        <v>252</v>
      </c>
      <c r="B118" s="8" t="s">
        <v>253</v>
      </c>
      <c r="C118" s="8" t="s">
        <v>4</v>
      </c>
      <c r="D118" s="8" t="s">
        <v>17</v>
      </c>
      <c r="E118" s="6">
        <v>139.05000000000001</v>
      </c>
      <c r="F118" s="8" t="s">
        <v>254</v>
      </c>
      <c r="G118" s="8" t="s">
        <v>253</v>
      </c>
      <c r="H118" s="8" t="s">
        <v>874</v>
      </c>
    </row>
    <row r="119" spans="1:8" ht="60" customHeight="1" x14ac:dyDescent="0.25">
      <c r="A119" s="7" t="s">
        <v>252</v>
      </c>
      <c r="B119" s="7" t="s">
        <v>255</v>
      </c>
      <c r="C119" s="7" t="s">
        <v>4</v>
      </c>
      <c r="D119" s="7" t="s">
        <v>17</v>
      </c>
      <c r="E119" s="5">
        <v>44.3</v>
      </c>
      <c r="F119" s="7" t="s">
        <v>256</v>
      </c>
      <c r="G119" s="7" t="s">
        <v>255</v>
      </c>
      <c r="H119" s="7" t="s">
        <v>870</v>
      </c>
    </row>
    <row r="120" spans="1:8" ht="60" customHeight="1" x14ac:dyDescent="0.25">
      <c r="A120" s="8" t="s">
        <v>257</v>
      </c>
      <c r="B120" s="8" t="s">
        <v>258</v>
      </c>
      <c r="C120" s="8" t="s">
        <v>4</v>
      </c>
      <c r="D120" s="8" t="s">
        <v>17</v>
      </c>
      <c r="E120" s="6">
        <v>5000</v>
      </c>
      <c r="F120" s="8" t="s">
        <v>259</v>
      </c>
      <c r="G120" s="8" t="s">
        <v>258</v>
      </c>
      <c r="H120" s="8" t="s">
        <v>853</v>
      </c>
    </row>
    <row r="121" spans="1:8" ht="60" customHeight="1" x14ac:dyDescent="0.25">
      <c r="A121" s="7" t="s">
        <v>257</v>
      </c>
      <c r="B121" s="7" t="s">
        <v>101</v>
      </c>
      <c r="C121" s="7" t="s">
        <v>4</v>
      </c>
      <c r="D121" s="7" t="s">
        <v>17</v>
      </c>
      <c r="E121" s="5">
        <v>24.99</v>
      </c>
      <c r="F121" s="7" t="s">
        <v>260</v>
      </c>
      <c r="G121" s="7" t="s">
        <v>101</v>
      </c>
      <c r="H121" s="7" t="s">
        <v>858</v>
      </c>
    </row>
    <row r="122" spans="1:8" ht="60" customHeight="1" x14ac:dyDescent="0.25">
      <c r="A122" s="8" t="s">
        <v>261</v>
      </c>
      <c r="B122" s="8" t="s">
        <v>237</v>
      </c>
      <c r="C122" s="8" t="s">
        <v>4</v>
      </c>
      <c r="D122" s="8" t="s">
        <v>17</v>
      </c>
      <c r="E122" s="6">
        <v>155</v>
      </c>
      <c r="F122" s="8" t="s">
        <v>262</v>
      </c>
      <c r="G122" s="8" t="s">
        <v>237</v>
      </c>
      <c r="H122" s="8" t="s">
        <v>871</v>
      </c>
    </row>
    <row r="123" spans="1:8" ht="60" customHeight="1" x14ac:dyDescent="0.25">
      <c r="A123" s="7" t="s">
        <v>263</v>
      </c>
      <c r="B123" s="7" t="s">
        <v>264</v>
      </c>
      <c r="C123" s="7" t="s">
        <v>4</v>
      </c>
      <c r="D123" s="7" t="s">
        <v>17</v>
      </c>
      <c r="E123" s="5">
        <v>142.18</v>
      </c>
      <c r="F123" s="7" t="s">
        <v>265</v>
      </c>
      <c r="G123" s="7" t="s">
        <v>264</v>
      </c>
      <c r="H123" s="7" t="s">
        <v>854</v>
      </c>
    </row>
    <row r="124" spans="1:8" ht="60" customHeight="1" x14ac:dyDescent="0.25">
      <c r="A124" s="8" t="s">
        <v>266</v>
      </c>
      <c r="B124" s="8" t="s">
        <v>267</v>
      </c>
      <c r="C124" s="8" t="s">
        <v>4</v>
      </c>
      <c r="D124" s="8" t="s">
        <v>17</v>
      </c>
      <c r="E124" s="6">
        <v>10.81</v>
      </c>
      <c r="F124" s="8" t="s">
        <v>268</v>
      </c>
      <c r="G124" s="8" t="s">
        <v>267</v>
      </c>
      <c r="H124" s="8" t="s">
        <v>858</v>
      </c>
    </row>
    <row r="125" spans="1:8" ht="60" customHeight="1" x14ac:dyDescent="0.25">
      <c r="A125" s="7" t="s">
        <v>266</v>
      </c>
      <c r="B125" s="7" t="s">
        <v>269</v>
      </c>
      <c r="C125" s="7" t="s">
        <v>4</v>
      </c>
      <c r="D125" s="7" t="s">
        <v>17</v>
      </c>
      <c r="E125" s="5">
        <v>46</v>
      </c>
      <c r="F125" s="7" t="s">
        <v>270</v>
      </c>
      <c r="G125" s="7" t="s">
        <v>269</v>
      </c>
      <c r="H125" s="7" t="s">
        <v>855</v>
      </c>
    </row>
    <row r="126" spans="1:8" ht="60" customHeight="1" x14ac:dyDescent="0.25">
      <c r="A126" s="8" t="s">
        <v>271</v>
      </c>
      <c r="B126" s="8" t="s">
        <v>272</v>
      </c>
      <c r="C126" s="8" t="s">
        <v>4</v>
      </c>
      <c r="D126" s="8" t="s">
        <v>17</v>
      </c>
      <c r="E126" s="6">
        <v>6156.05</v>
      </c>
      <c r="F126" s="8" t="s">
        <v>273</v>
      </c>
      <c r="G126" s="8" t="s">
        <v>272</v>
      </c>
      <c r="H126" s="8" t="s">
        <v>873</v>
      </c>
    </row>
    <row r="127" spans="1:8" ht="60" customHeight="1" x14ac:dyDescent="0.25">
      <c r="A127" s="7" t="s">
        <v>274</v>
      </c>
      <c r="B127" s="7" t="s">
        <v>275</v>
      </c>
      <c r="C127" s="7" t="s">
        <v>4</v>
      </c>
      <c r="D127" s="7" t="s">
        <v>17</v>
      </c>
      <c r="E127" s="5">
        <v>2</v>
      </c>
      <c r="F127" s="7" t="s">
        <v>276</v>
      </c>
      <c r="G127" s="7" t="s">
        <v>275</v>
      </c>
      <c r="H127" s="7" t="s">
        <v>873</v>
      </c>
    </row>
    <row r="128" spans="1:8" ht="60" customHeight="1" x14ac:dyDescent="0.25">
      <c r="A128" s="8" t="s">
        <v>274</v>
      </c>
      <c r="B128" s="8" t="s">
        <v>277</v>
      </c>
      <c r="C128" s="8" t="s">
        <v>4</v>
      </c>
      <c r="D128" s="8" t="s">
        <v>17</v>
      </c>
      <c r="E128" s="6">
        <v>72.34</v>
      </c>
      <c r="F128" s="8" t="s">
        <v>278</v>
      </c>
      <c r="G128" s="8" t="s">
        <v>277</v>
      </c>
      <c r="H128" s="8" t="s">
        <v>871</v>
      </c>
    </row>
    <row r="129" spans="1:8" ht="60" customHeight="1" x14ac:dyDescent="0.25">
      <c r="A129" s="7" t="s">
        <v>279</v>
      </c>
      <c r="B129" s="7" t="s">
        <v>141</v>
      </c>
      <c r="C129" s="7" t="s">
        <v>4</v>
      </c>
      <c r="D129" s="7" t="s">
        <v>17</v>
      </c>
      <c r="E129" s="5">
        <v>-23574.61</v>
      </c>
      <c r="F129" s="7" t="s">
        <v>142</v>
      </c>
      <c r="G129" s="7" t="s">
        <v>141</v>
      </c>
      <c r="H129" s="7" t="s">
        <v>856</v>
      </c>
    </row>
    <row r="130" spans="1:8" ht="60" customHeight="1" x14ac:dyDescent="0.25">
      <c r="A130" s="8" t="s">
        <v>280</v>
      </c>
      <c r="B130" s="8" t="s">
        <v>101</v>
      </c>
      <c r="C130" s="8" t="s">
        <v>4</v>
      </c>
      <c r="D130" s="8" t="s">
        <v>17</v>
      </c>
      <c r="E130" s="6">
        <v>24.99</v>
      </c>
      <c r="F130" s="8" t="s">
        <v>281</v>
      </c>
      <c r="G130" s="8" t="s">
        <v>101</v>
      </c>
      <c r="H130" s="8" t="s">
        <v>863</v>
      </c>
    </row>
    <row r="131" spans="1:8" ht="60" customHeight="1" x14ac:dyDescent="0.25">
      <c r="A131" s="7" t="s">
        <v>282</v>
      </c>
      <c r="B131" s="7" t="s">
        <v>283</v>
      </c>
      <c r="C131" s="7" t="s">
        <v>4</v>
      </c>
      <c r="D131" s="7" t="s">
        <v>17</v>
      </c>
      <c r="E131" s="5">
        <v>193.19</v>
      </c>
      <c r="F131" s="7" t="s">
        <v>284</v>
      </c>
      <c r="G131" s="7" t="s">
        <v>283</v>
      </c>
      <c r="H131" s="7" t="s">
        <v>871</v>
      </c>
    </row>
    <row r="132" spans="1:8" ht="60" customHeight="1" x14ac:dyDescent="0.25">
      <c r="A132" s="8" t="s">
        <v>282</v>
      </c>
      <c r="B132" s="8" t="s">
        <v>285</v>
      </c>
      <c r="C132" s="8" t="s">
        <v>4</v>
      </c>
      <c r="D132" s="8" t="s">
        <v>17</v>
      </c>
      <c r="E132" s="6">
        <v>58.08</v>
      </c>
      <c r="F132" s="8" t="s">
        <v>286</v>
      </c>
      <c r="G132" s="8" t="s">
        <v>285</v>
      </c>
      <c r="H132" s="8" t="s">
        <v>871</v>
      </c>
    </row>
    <row r="133" spans="1:8" ht="60" customHeight="1" x14ac:dyDescent="0.25">
      <c r="A133" s="7" t="s">
        <v>287</v>
      </c>
      <c r="B133" s="7" t="s">
        <v>288</v>
      </c>
      <c r="C133" s="7" t="s">
        <v>4</v>
      </c>
      <c r="D133" s="7" t="s">
        <v>17</v>
      </c>
      <c r="E133" s="5">
        <v>17.309999999999999</v>
      </c>
      <c r="F133" s="7" t="s">
        <v>289</v>
      </c>
      <c r="G133" s="7" t="s">
        <v>288</v>
      </c>
      <c r="H133" s="7" t="s">
        <v>858</v>
      </c>
    </row>
    <row r="134" spans="1:8" ht="60" customHeight="1" x14ac:dyDescent="0.25">
      <c r="A134" s="8" t="s">
        <v>287</v>
      </c>
      <c r="B134" s="8" t="s">
        <v>290</v>
      </c>
      <c r="C134" s="8" t="s">
        <v>4</v>
      </c>
      <c r="D134" s="8" t="s">
        <v>17</v>
      </c>
      <c r="E134" s="6">
        <v>236.39</v>
      </c>
      <c r="F134" s="8" t="s">
        <v>291</v>
      </c>
      <c r="G134" s="8" t="s">
        <v>290</v>
      </c>
      <c r="H134" s="8" t="s">
        <v>872</v>
      </c>
    </row>
    <row r="135" spans="1:8" ht="60" customHeight="1" x14ac:dyDescent="0.25">
      <c r="A135" s="7" t="s">
        <v>287</v>
      </c>
      <c r="B135" s="7" t="s">
        <v>292</v>
      </c>
      <c r="C135" s="7" t="s">
        <v>4</v>
      </c>
      <c r="D135" s="7" t="s">
        <v>17</v>
      </c>
      <c r="E135" s="5">
        <v>164.2</v>
      </c>
      <c r="F135" s="7" t="s">
        <v>293</v>
      </c>
      <c r="G135" s="7" t="s">
        <v>292</v>
      </c>
      <c r="H135" s="7" t="s">
        <v>871</v>
      </c>
    </row>
    <row r="136" spans="1:8" ht="60" customHeight="1" x14ac:dyDescent="0.25">
      <c r="A136" s="8" t="s">
        <v>294</v>
      </c>
      <c r="B136" s="8" t="s">
        <v>295</v>
      </c>
      <c r="C136" s="8" t="s">
        <v>4</v>
      </c>
      <c r="D136" s="8" t="s">
        <v>17</v>
      </c>
      <c r="E136" s="6">
        <v>1511.3</v>
      </c>
      <c r="F136" s="8" t="s">
        <v>296</v>
      </c>
      <c r="G136" s="8" t="s">
        <v>295</v>
      </c>
      <c r="H136" s="8" t="s">
        <v>876</v>
      </c>
    </row>
    <row r="137" spans="1:8" ht="60" customHeight="1" x14ac:dyDescent="0.25">
      <c r="A137" s="7" t="s">
        <v>294</v>
      </c>
      <c r="B137" s="7" t="s">
        <v>297</v>
      </c>
      <c r="C137" s="7" t="s">
        <v>4</v>
      </c>
      <c r="D137" s="7" t="s">
        <v>17</v>
      </c>
      <c r="E137" s="5">
        <v>26.98</v>
      </c>
      <c r="F137" s="7" t="s">
        <v>298</v>
      </c>
      <c r="G137" s="7" t="s">
        <v>297</v>
      </c>
      <c r="H137" s="7" t="s">
        <v>875</v>
      </c>
    </row>
    <row r="138" spans="1:8" ht="60" customHeight="1" x14ac:dyDescent="0.25">
      <c r="A138" s="8" t="s">
        <v>294</v>
      </c>
      <c r="B138" s="8" t="s">
        <v>299</v>
      </c>
      <c r="C138" s="8" t="s">
        <v>4</v>
      </c>
      <c r="D138" s="8" t="s">
        <v>17</v>
      </c>
      <c r="E138" s="6">
        <v>1579.99</v>
      </c>
      <c r="F138" s="8" t="s">
        <v>300</v>
      </c>
      <c r="G138" s="8" t="s">
        <v>299</v>
      </c>
      <c r="H138" s="8" t="s">
        <v>876</v>
      </c>
    </row>
    <row r="139" spans="1:8" ht="60" customHeight="1" x14ac:dyDescent="0.25">
      <c r="A139" s="7" t="s">
        <v>294</v>
      </c>
      <c r="B139" s="7" t="s">
        <v>301</v>
      </c>
      <c r="C139" s="7" t="s">
        <v>4</v>
      </c>
      <c r="D139" s="7" t="s">
        <v>17</v>
      </c>
      <c r="E139" s="5">
        <v>46.07</v>
      </c>
      <c r="F139" s="7" t="s">
        <v>302</v>
      </c>
      <c r="G139" s="7" t="s">
        <v>301</v>
      </c>
      <c r="H139" s="7" t="s">
        <v>51</v>
      </c>
    </row>
    <row r="140" spans="1:8" ht="60" customHeight="1" x14ac:dyDescent="0.25">
      <c r="A140" s="8" t="s">
        <v>294</v>
      </c>
      <c r="B140" s="8" t="s">
        <v>303</v>
      </c>
      <c r="C140" s="8" t="s">
        <v>4</v>
      </c>
      <c r="D140" s="8" t="s">
        <v>17</v>
      </c>
      <c r="E140" s="6">
        <v>9.99</v>
      </c>
      <c r="F140" s="8" t="s">
        <v>304</v>
      </c>
      <c r="G140" s="8" t="s">
        <v>303</v>
      </c>
      <c r="H140" s="8" t="s">
        <v>858</v>
      </c>
    </row>
    <row r="141" spans="1:8" ht="60" customHeight="1" x14ac:dyDescent="0.25">
      <c r="A141" s="7" t="s">
        <v>305</v>
      </c>
      <c r="B141" s="7" t="s">
        <v>306</v>
      </c>
      <c r="C141" s="7" t="s">
        <v>4</v>
      </c>
      <c r="D141" s="7" t="s">
        <v>17</v>
      </c>
      <c r="E141" s="5">
        <v>13.79</v>
      </c>
      <c r="F141" s="7" t="s">
        <v>307</v>
      </c>
      <c r="G141" s="7" t="s">
        <v>306</v>
      </c>
      <c r="H141" s="7" t="s">
        <v>875</v>
      </c>
    </row>
    <row r="142" spans="1:8" ht="60" customHeight="1" x14ac:dyDescent="0.25">
      <c r="A142" s="8" t="s">
        <v>305</v>
      </c>
      <c r="B142" s="8" t="s">
        <v>308</v>
      </c>
      <c r="C142" s="8" t="s">
        <v>4</v>
      </c>
      <c r="D142" s="8" t="s">
        <v>17</v>
      </c>
      <c r="E142" s="6">
        <v>143.76</v>
      </c>
      <c r="F142" s="8" t="s">
        <v>309</v>
      </c>
      <c r="G142" s="8" t="s">
        <v>308</v>
      </c>
      <c r="H142" s="8" t="s">
        <v>876</v>
      </c>
    </row>
    <row r="143" spans="1:8" ht="60" customHeight="1" x14ac:dyDescent="0.25">
      <c r="A143" s="7" t="s">
        <v>305</v>
      </c>
      <c r="B143" s="7" t="s">
        <v>310</v>
      </c>
      <c r="C143" s="7" t="s">
        <v>4</v>
      </c>
      <c r="D143" s="7" t="s">
        <v>17</v>
      </c>
      <c r="E143" s="5">
        <v>7.69</v>
      </c>
      <c r="F143" s="7" t="s">
        <v>311</v>
      </c>
      <c r="G143" s="7" t="s">
        <v>310</v>
      </c>
      <c r="H143" s="7" t="s">
        <v>871</v>
      </c>
    </row>
    <row r="144" spans="1:8" ht="60" customHeight="1" x14ac:dyDescent="0.25">
      <c r="A144" s="8" t="s">
        <v>312</v>
      </c>
      <c r="B144" s="8" t="s">
        <v>313</v>
      </c>
      <c r="C144" s="8" t="s">
        <v>4</v>
      </c>
      <c r="D144" s="8" t="s">
        <v>17</v>
      </c>
      <c r="E144" s="6">
        <v>30.97</v>
      </c>
      <c r="F144" s="8" t="s">
        <v>314</v>
      </c>
      <c r="G144" s="8" t="s">
        <v>313</v>
      </c>
      <c r="H144" s="8" t="s">
        <v>875</v>
      </c>
    </row>
    <row r="145" spans="1:8" ht="60" customHeight="1" x14ac:dyDescent="0.25">
      <c r="A145" s="7" t="s">
        <v>315</v>
      </c>
      <c r="B145" s="7" t="s">
        <v>316</v>
      </c>
      <c r="C145" s="7" t="s">
        <v>4</v>
      </c>
      <c r="D145" s="7" t="s">
        <v>17</v>
      </c>
      <c r="E145" s="5">
        <v>5</v>
      </c>
      <c r="F145" s="7" t="s">
        <v>317</v>
      </c>
      <c r="G145" s="7" t="s">
        <v>316</v>
      </c>
      <c r="H145" s="7" t="s">
        <v>862</v>
      </c>
    </row>
    <row r="146" spans="1:8" ht="60" customHeight="1" x14ac:dyDescent="0.25">
      <c r="A146" s="8" t="s">
        <v>315</v>
      </c>
      <c r="B146" s="8" t="s">
        <v>316</v>
      </c>
      <c r="C146" s="8" t="s">
        <v>4</v>
      </c>
      <c r="D146" s="8" t="s">
        <v>17</v>
      </c>
      <c r="E146" s="6">
        <v>5</v>
      </c>
      <c r="F146" s="8" t="s">
        <v>318</v>
      </c>
      <c r="G146" s="8" t="s">
        <v>316</v>
      </c>
      <c r="H146" s="8" t="s">
        <v>862</v>
      </c>
    </row>
    <row r="147" spans="1:8" ht="60" customHeight="1" x14ac:dyDescent="0.25">
      <c r="A147" s="7" t="s">
        <v>319</v>
      </c>
      <c r="B147" s="7" t="s">
        <v>267</v>
      </c>
      <c r="C147" s="7" t="s">
        <v>4</v>
      </c>
      <c r="D147" s="7" t="s">
        <v>17</v>
      </c>
      <c r="E147" s="5">
        <v>10.81</v>
      </c>
      <c r="F147" s="7" t="s">
        <v>320</v>
      </c>
      <c r="G147" s="7" t="s">
        <v>267</v>
      </c>
      <c r="H147" s="7" t="s">
        <v>858</v>
      </c>
    </row>
    <row r="148" spans="1:8" ht="60" customHeight="1" x14ac:dyDescent="0.25">
      <c r="A148" s="8" t="s">
        <v>319</v>
      </c>
      <c r="B148" s="8" t="s">
        <v>285</v>
      </c>
      <c r="C148" s="8" t="s">
        <v>4</v>
      </c>
      <c r="D148" s="8" t="s">
        <v>17</v>
      </c>
      <c r="E148" s="6">
        <v>11.71</v>
      </c>
      <c r="F148" s="8" t="s">
        <v>321</v>
      </c>
      <c r="G148" s="8" t="s">
        <v>285</v>
      </c>
      <c r="H148" s="8" t="s">
        <v>871</v>
      </c>
    </row>
    <row r="149" spans="1:8" ht="60" customHeight="1" x14ac:dyDescent="0.25">
      <c r="A149" s="7" t="s">
        <v>322</v>
      </c>
      <c r="B149" s="7" t="s">
        <v>323</v>
      </c>
      <c r="C149" s="7" t="s">
        <v>4</v>
      </c>
      <c r="D149" s="7" t="s">
        <v>17</v>
      </c>
      <c r="E149" s="5">
        <v>13.98</v>
      </c>
      <c r="F149" s="7" t="s">
        <v>324</v>
      </c>
      <c r="G149" s="7" t="s">
        <v>323</v>
      </c>
      <c r="H149" s="7" t="s">
        <v>875</v>
      </c>
    </row>
    <row r="150" spans="1:8" ht="60" customHeight="1" x14ac:dyDescent="0.25">
      <c r="A150" s="8" t="s">
        <v>325</v>
      </c>
      <c r="B150" s="8" t="s">
        <v>326</v>
      </c>
      <c r="C150" s="8" t="s">
        <v>4</v>
      </c>
      <c r="D150" s="8" t="s">
        <v>17</v>
      </c>
      <c r="E150" s="6">
        <v>883</v>
      </c>
      <c r="F150" s="8" t="s">
        <v>327</v>
      </c>
      <c r="G150" s="8" t="s">
        <v>326</v>
      </c>
      <c r="H150" s="8" t="s">
        <v>877</v>
      </c>
    </row>
    <row r="151" spans="1:8" ht="60" customHeight="1" x14ac:dyDescent="0.25">
      <c r="A151" s="7" t="s">
        <v>325</v>
      </c>
      <c r="B151" s="7" t="s">
        <v>328</v>
      </c>
      <c r="C151" s="7" t="s">
        <v>4</v>
      </c>
      <c r="D151" s="7" t="s">
        <v>17</v>
      </c>
      <c r="E151" s="5">
        <v>8287.6200000000008</v>
      </c>
      <c r="F151" s="7" t="s">
        <v>329</v>
      </c>
      <c r="G151" s="7" t="s">
        <v>328</v>
      </c>
      <c r="H151" s="7" t="s">
        <v>878</v>
      </c>
    </row>
    <row r="152" spans="1:8" ht="60" customHeight="1" x14ac:dyDescent="0.25">
      <c r="A152" s="8" t="s">
        <v>330</v>
      </c>
      <c r="B152" s="8" t="s">
        <v>134</v>
      </c>
      <c r="C152" s="8" t="s">
        <v>4</v>
      </c>
      <c r="D152" s="8" t="s">
        <v>17</v>
      </c>
      <c r="E152" s="6">
        <v>3000</v>
      </c>
      <c r="F152" s="8" t="s">
        <v>331</v>
      </c>
      <c r="G152" s="8" t="s">
        <v>134</v>
      </c>
      <c r="H152" s="7" t="s">
        <v>879</v>
      </c>
    </row>
    <row r="153" spans="1:8" ht="60" customHeight="1" x14ac:dyDescent="0.25">
      <c r="A153" s="7" t="s">
        <v>330</v>
      </c>
      <c r="B153" s="7" t="s">
        <v>136</v>
      </c>
      <c r="C153" s="7" t="s">
        <v>4</v>
      </c>
      <c r="D153" s="7" t="s">
        <v>17</v>
      </c>
      <c r="E153" s="5">
        <v>67.5</v>
      </c>
      <c r="F153" s="7" t="s">
        <v>332</v>
      </c>
      <c r="G153" s="7" t="s">
        <v>136</v>
      </c>
      <c r="H153" s="7" t="s">
        <v>880</v>
      </c>
    </row>
    <row r="154" spans="1:8" ht="60" customHeight="1" x14ac:dyDescent="0.25">
      <c r="A154" s="8" t="s">
        <v>333</v>
      </c>
      <c r="B154" s="8" t="s">
        <v>334</v>
      </c>
      <c r="C154" s="8" t="s">
        <v>4</v>
      </c>
      <c r="D154" s="8" t="s">
        <v>17</v>
      </c>
      <c r="E154" s="6">
        <v>12.95</v>
      </c>
      <c r="F154" s="8" t="s">
        <v>335</v>
      </c>
      <c r="G154" s="8" t="s">
        <v>336</v>
      </c>
      <c r="H154" s="8" t="s">
        <v>871</v>
      </c>
    </row>
    <row r="155" spans="1:8" ht="60" customHeight="1" x14ac:dyDescent="0.25">
      <c r="A155" s="7" t="s">
        <v>337</v>
      </c>
      <c r="B155" s="7" t="s">
        <v>130</v>
      </c>
      <c r="C155" s="7" t="s">
        <v>4</v>
      </c>
      <c r="D155" s="7" t="s">
        <v>17</v>
      </c>
      <c r="E155" s="5">
        <v>-11337.06</v>
      </c>
      <c r="F155" s="7" t="s">
        <v>131</v>
      </c>
      <c r="G155" s="7" t="s">
        <v>130</v>
      </c>
      <c r="H155" s="7" t="s">
        <v>856</v>
      </c>
    </row>
    <row r="156" spans="1:8" ht="60" customHeight="1" x14ac:dyDescent="0.25">
      <c r="A156" s="8" t="s">
        <v>338</v>
      </c>
      <c r="B156" s="8" t="s">
        <v>339</v>
      </c>
      <c r="C156" s="8" t="s">
        <v>4</v>
      </c>
      <c r="D156" s="8" t="s">
        <v>17</v>
      </c>
      <c r="E156" s="6">
        <v>283.16000000000003</v>
      </c>
      <c r="F156" s="8" t="s">
        <v>340</v>
      </c>
      <c r="G156" s="8" t="s">
        <v>339</v>
      </c>
      <c r="H156" s="8" t="s">
        <v>872</v>
      </c>
    </row>
    <row r="157" spans="1:8" ht="60" customHeight="1" x14ac:dyDescent="0.25">
      <c r="A157" s="7" t="s">
        <v>341</v>
      </c>
      <c r="B157" s="7" t="s">
        <v>173</v>
      </c>
      <c r="C157" s="7" t="s">
        <v>4</v>
      </c>
      <c r="D157" s="7" t="s">
        <v>17</v>
      </c>
      <c r="E157" s="5">
        <v>70.5</v>
      </c>
      <c r="F157" s="7" t="s">
        <v>342</v>
      </c>
      <c r="G157" s="7" t="s">
        <v>173</v>
      </c>
      <c r="H157" s="7" t="s">
        <v>862</v>
      </c>
    </row>
    <row r="158" spans="1:8" ht="60" customHeight="1" x14ac:dyDescent="0.25">
      <c r="A158" s="8" t="s">
        <v>343</v>
      </c>
      <c r="B158" s="8" t="s">
        <v>344</v>
      </c>
      <c r="C158" s="8" t="s">
        <v>4</v>
      </c>
      <c r="D158" s="8" t="s">
        <v>17</v>
      </c>
      <c r="E158" s="6">
        <v>219</v>
      </c>
      <c r="F158" s="8" t="s">
        <v>345</v>
      </c>
      <c r="G158" s="8" t="s">
        <v>344</v>
      </c>
      <c r="H158" s="8" t="s">
        <v>881</v>
      </c>
    </row>
    <row r="159" spans="1:8" ht="60" customHeight="1" x14ac:dyDescent="0.25">
      <c r="A159" s="7" t="s">
        <v>346</v>
      </c>
      <c r="B159" s="7" t="s">
        <v>285</v>
      </c>
      <c r="C159" s="7" t="s">
        <v>4</v>
      </c>
      <c r="D159" s="7" t="s">
        <v>17</v>
      </c>
      <c r="E159" s="5">
        <v>63.19</v>
      </c>
      <c r="F159" s="7" t="s">
        <v>347</v>
      </c>
      <c r="G159" s="7" t="s">
        <v>285</v>
      </c>
      <c r="H159" s="7" t="s">
        <v>871</v>
      </c>
    </row>
    <row r="160" spans="1:8" ht="60" customHeight="1" x14ac:dyDescent="0.25">
      <c r="A160" s="8" t="s">
        <v>348</v>
      </c>
      <c r="B160" s="8" t="s">
        <v>349</v>
      </c>
      <c r="C160" s="8" t="s">
        <v>4</v>
      </c>
      <c r="D160" s="8" t="s">
        <v>17</v>
      </c>
      <c r="E160" s="6">
        <v>681.57</v>
      </c>
      <c r="F160" s="8" t="s">
        <v>350</v>
      </c>
      <c r="G160" s="8" t="s">
        <v>349</v>
      </c>
      <c r="H160" s="8" t="s">
        <v>882</v>
      </c>
    </row>
    <row r="161" spans="1:8" ht="60" customHeight="1" x14ac:dyDescent="0.25">
      <c r="A161" s="7" t="s">
        <v>348</v>
      </c>
      <c r="B161" s="7" t="s">
        <v>351</v>
      </c>
      <c r="C161" s="7" t="s">
        <v>4</v>
      </c>
      <c r="D161" s="7" t="s">
        <v>17</v>
      </c>
      <c r="E161" s="5">
        <v>103.2</v>
      </c>
      <c r="F161" s="7" t="s">
        <v>352</v>
      </c>
      <c r="G161" s="7" t="s">
        <v>351</v>
      </c>
      <c r="H161" s="7" t="s">
        <v>874</v>
      </c>
    </row>
    <row r="162" spans="1:8" ht="60" customHeight="1" x14ac:dyDescent="0.25">
      <c r="A162" s="8" t="s">
        <v>353</v>
      </c>
      <c r="B162" s="8" t="s">
        <v>354</v>
      </c>
      <c r="C162" s="8" t="s">
        <v>4</v>
      </c>
      <c r="D162" s="8" t="s">
        <v>17</v>
      </c>
      <c r="E162" s="6">
        <v>24</v>
      </c>
      <c r="F162" s="8" t="s">
        <v>355</v>
      </c>
      <c r="G162" s="8" t="s">
        <v>354</v>
      </c>
      <c r="H162" s="8" t="s">
        <v>858</v>
      </c>
    </row>
    <row r="163" spans="1:8" ht="60" customHeight="1" x14ac:dyDescent="0.25">
      <c r="A163" s="7" t="s">
        <v>353</v>
      </c>
      <c r="B163" s="7" t="s">
        <v>285</v>
      </c>
      <c r="C163" s="7" t="s">
        <v>4</v>
      </c>
      <c r="D163" s="7" t="s">
        <v>17</v>
      </c>
      <c r="E163" s="5">
        <v>84.6</v>
      </c>
      <c r="F163" s="7" t="s">
        <v>356</v>
      </c>
      <c r="G163" s="7" t="s">
        <v>285</v>
      </c>
      <c r="H163" s="7" t="s">
        <v>871</v>
      </c>
    </row>
    <row r="164" spans="1:8" ht="60" customHeight="1" x14ac:dyDescent="0.25">
      <c r="A164" s="8" t="s">
        <v>357</v>
      </c>
      <c r="B164" s="8" t="s">
        <v>101</v>
      </c>
      <c r="C164" s="8" t="s">
        <v>4</v>
      </c>
      <c r="D164" s="8" t="s">
        <v>17</v>
      </c>
      <c r="E164" s="6">
        <v>24.99</v>
      </c>
      <c r="F164" s="8" t="s">
        <v>358</v>
      </c>
      <c r="G164" s="8" t="s">
        <v>101</v>
      </c>
      <c r="H164" s="8" t="s">
        <v>863</v>
      </c>
    </row>
    <row r="165" spans="1:8" ht="60" customHeight="1" x14ac:dyDescent="0.25">
      <c r="A165" s="7" t="s">
        <v>359</v>
      </c>
      <c r="B165" s="7" t="s">
        <v>360</v>
      </c>
      <c r="C165" s="7" t="s">
        <v>4</v>
      </c>
      <c r="D165" s="7" t="s">
        <v>17</v>
      </c>
      <c r="E165" s="5">
        <v>19.97</v>
      </c>
      <c r="F165" s="7" t="s">
        <v>361</v>
      </c>
      <c r="G165" s="7" t="s">
        <v>360</v>
      </c>
      <c r="H165" s="7" t="s">
        <v>875</v>
      </c>
    </row>
    <row r="166" spans="1:8" ht="60" customHeight="1" x14ac:dyDescent="0.25">
      <c r="A166" s="8" t="s">
        <v>362</v>
      </c>
      <c r="B166" s="8" t="s">
        <v>334</v>
      </c>
      <c r="C166" s="8" t="s">
        <v>4</v>
      </c>
      <c r="D166" s="8" t="s">
        <v>17</v>
      </c>
      <c r="E166" s="6">
        <v>27.15</v>
      </c>
      <c r="F166" s="8" t="s">
        <v>363</v>
      </c>
      <c r="G166" s="8" t="s">
        <v>336</v>
      </c>
      <c r="H166" s="8" t="s">
        <v>873</v>
      </c>
    </row>
    <row r="167" spans="1:8" ht="60" customHeight="1" x14ac:dyDescent="0.25">
      <c r="A167" s="7" t="s">
        <v>364</v>
      </c>
      <c r="B167" s="7" t="s">
        <v>365</v>
      </c>
      <c r="C167" s="7" t="s">
        <v>4</v>
      </c>
      <c r="D167" s="7" t="s">
        <v>17</v>
      </c>
      <c r="E167" s="5">
        <v>10.81</v>
      </c>
      <c r="F167" s="7" t="s">
        <v>366</v>
      </c>
      <c r="G167" s="7" t="s">
        <v>365</v>
      </c>
      <c r="H167" s="7" t="s">
        <v>862</v>
      </c>
    </row>
    <row r="168" spans="1:8" ht="60" customHeight="1" x14ac:dyDescent="0.25">
      <c r="A168" s="8" t="s">
        <v>367</v>
      </c>
      <c r="B168" s="8" t="s">
        <v>368</v>
      </c>
      <c r="C168" s="8" t="s">
        <v>4</v>
      </c>
      <c r="D168" s="8" t="s">
        <v>17</v>
      </c>
      <c r="E168" s="6">
        <v>-1841.03</v>
      </c>
      <c r="F168" s="8" t="s">
        <v>369</v>
      </c>
      <c r="G168" s="8" t="s">
        <v>368</v>
      </c>
      <c r="H168" s="8" t="s">
        <v>882</v>
      </c>
    </row>
    <row r="169" spans="1:8" ht="60" customHeight="1" x14ac:dyDescent="0.25">
      <c r="A169" s="7" t="s">
        <v>367</v>
      </c>
      <c r="B169" s="7" t="s">
        <v>368</v>
      </c>
      <c r="C169" s="7" t="s">
        <v>4</v>
      </c>
      <c r="D169" s="7" t="s">
        <v>17</v>
      </c>
      <c r="E169" s="5">
        <v>1841.03</v>
      </c>
      <c r="F169" s="7" t="s">
        <v>370</v>
      </c>
      <c r="G169" s="7" t="s">
        <v>368</v>
      </c>
      <c r="H169" s="8" t="s">
        <v>882</v>
      </c>
    </row>
    <row r="170" spans="1:8" ht="60" customHeight="1" x14ac:dyDescent="0.25">
      <c r="A170" s="8" t="s">
        <v>367</v>
      </c>
      <c r="B170" s="8" t="s">
        <v>349</v>
      </c>
      <c r="C170" s="8" t="s">
        <v>4</v>
      </c>
      <c r="D170" s="8" t="s">
        <v>17</v>
      </c>
      <c r="E170" s="6">
        <v>1714.45</v>
      </c>
      <c r="F170" s="8" t="s">
        <v>371</v>
      </c>
      <c r="G170" s="8" t="s">
        <v>349</v>
      </c>
      <c r="H170" s="8" t="s">
        <v>882</v>
      </c>
    </row>
    <row r="171" spans="1:8" ht="60" customHeight="1" x14ac:dyDescent="0.25">
      <c r="A171" s="7" t="s">
        <v>367</v>
      </c>
      <c r="B171" s="7" t="s">
        <v>372</v>
      </c>
      <c r="C171" s="7" t="s">
        <v>4</v>
      </c>
      <c r="D171" s="7" t="s">
        <v>17</v>
      </c>
      <c r="E171" s="5">
        <v>15.98</v>
      </c>
      <c r="F171" s="7" t="s">
        <v>373</v>
      </c>
      <c r="G171" s="7" t="s">
        <v>372</v>
      </c>
      <c r="H171" s="7" t="s">
        <v>875</v>
      </c>
    </row>
    <row r="172" spans="1:8" ht="60" customHeight="1" x14ac:dyDescent="0.25">
      <c r="A172" s="8" t="s">
        <v>367</v>
      </c>
      <c r="B172" s="8" t="s">
        <v>374</v>
      </c>
      <c r="C172" s="8" t="s">
        <v>4</v>
      </c>
      <c r="D172" s="8" t="s">
        <v>17</v>
      </c>
      <c r="E172" s="6">
        <v>139</v>
      </c>
      <c r="F172" s="8" t="s">
        <v>375</v>
      </c>
      <c r="G172" s="8" t="s">
        <v>374</v>
      </c>
      <c r="H172" s="8" t="s">
        <v>883</v>
      </c>
    </row>
    <row r="173" spans="1:8" ht="60" customHeight="1" x14ac:dyDescent="0.25">
      <c r="A173" s="7" t="s">
        <v>367</v>
      </c>
      <c r="B173" s="7" t="s">
        <v>376</v>
      </c>
      <c r="C173" s="7" t="s">
        <v>4</v>
      </c>
      <c r="D173" s="7" t="s">
        <v>17</v>
      </c>
      <c r="E173" s="5">
        <v>139</v>
      </c>
      <c r="F173" s="7" t="s">
        <v>377</v>
      </c>
      <c r="G173" s="7" t="s">
        <v>376</v>
      </c>
      <c r="H173" s="7" t="s">
        <v>883</v>
      </c>
    </row>
    <row r="174" spans="1:8" ht="60" customHeight="1" x14ac:dyDescent="0.25">
      <c r="A174" s="8" t="s">
        <v>378</v>
      </c>
      <c r="B174" s="8" t="s">
        <v>334</v>
      </c>
      <c r="C174" s="8" t="s">
        <v>4</v>
      </c>
      <c r="D174" s="8" t="s">
        <v>17</v>
      </c>
      <c r="E174" s="6">
        <v>3.89</v>
      </c>
      <c r="F174" s="8" t="s">
        <v>379</v>
      </c>
      <c r="G174" s="8" t="s">
        <v>336</v>
      </c>
      <c r="H174" s="8" t="s">
        <v>855</v>
      </c>
    </row>
    <row r="175" spans="1:8" ht="60" customHeight="1" x14ac:dyDescent="0.25">
      <c r="A175" s="7" t="s">
        <v>378</v>
      </c>
      <c r="B175" s="7" t="s">
        <v>334</v>
      </c>
      <c r="C175" s="7" t="s">
        <v>4</v>
      </c>
      <c r="D175" s="7" t="s">
        <v>17</v>
      </c>
      <c r="E175" s="5">
        <v>12.92</v>
      </c>
      <c r="F175" s="7" t="s">
        <v>380</v>
      </c>
      <c r="G175" s="7" t="s">
        <v>336</v>
      </c>
      <c r="H175" s="7" t="s">
        <v>855</v>
      </c>
    </row>
    <row r="176" spans="1:8" ht="60" customHeight="1" x14ac:dyDescent="0.25">
      <c r="A176" s="8" t="s">
        <v>381</v>
      </c>
      <c r="B176" s="8" t="s">
        <v>382</v>
      </c>
      <c r="C176" s="8" t="s">
        <v>4</v>
      </c>
      <c r="D176" s="8" t="s">
        <v>17</v>
      </c>
      <c r="E176" s="6">
        <v>26.98</v>
      </c>
      <c r="F176" s="8" t="s">
        <v>383</v>
      </c>
      <c r="G176" s="8" t="s">
        <v>382</v>
      </c>
      <c r="H176" s="8" t="s">
        <v>193</v>
      </c>
    </row>
    <row r="177" spans="1:8" ht="60" customHeight="1" x14ac:dyDescent="0.25">
      <c r="A177" s="7" t="s">
        <v>381</v>
      </c>
      <c r="B177" s="7" t="s">
        <v>303</v>
      </c>
      <c r="C177" s="7" t="s">
        <v>4</v>
      </c>
      <c r="D177" s="7" t="s">
        <v>17</v>
      </c>
      <c r="E177" s="5">
        <v>9.99</v>
      </c>
      <c r="F177" s="7" t="s">
        <v>384</v>
      </c>
      <c r="G177" s="7" t="s">
        <v>303</v>
      </c>
      <c r="H177" s="7" t="s">
        <v>858</v>
      </c>
    </row>
    <row r="178" spans="1:8" ht="60" customHeight="1" x14ac:dyDescent="0.25">
      <c r="A178" s="8" t="s">
        <v>385</v>
      </c>
      <c r="B178" s="8" t="s">
        <v>386</v>
      </c>
      <c r="C178" s="8" t="s">
        <v>4</v>
      </c>
      <c r="D178" s="8" t="s">
        <v>17</v>
      </c>
      <c r="E178" s="6">
        <v>13.79</v>
      </c>
      <c r="F178" s="8" t="s">
        <v>387</v>
      </c>
      <c r="G178" s="8" t="s">
        <v>386</v>
      </c>
      <c r="H178" s="8" t="s">
        <v>875</v>
      </c>
    </row>
    <row r="179" spans="1:8" ht="60" customHeight="1" x14ac:dyDescent="0.25">
      <c r="A179" s="7" t="s">
        <v>388</v>
      </c>
      <c r="B179" s="7" t="s">
        <v>389</v>
      </c>
      <c r="C179" s="7" t="s">
        <v>4</v>
      </c>
      <c r="D179" s="7" t="s">
        <v>17</v>
      </c>
      <c r="E179" s="5">
        <v>30.97</v>
      </c>
      <c r="F179" s="7" t="s">
        <v>390</v>
      </c>
      <c r="G179" s="7" t="s">
        <v>389</v>
      </c>
      <c r="H179" s="7" t="s">
        <v>875</v>
      </c>
    </row>
    <row r="180" spans="1:8" ht="60" customHeight="1" x14ac:dyDescent="0.25">
      <c r="A180" s="8" t="s">
        <v>391</v>
      </c>
      <c r="B180" s="8" t="s">
        <v>392</v>
      </c>
      <c r="C180" s="8" t="s">
        <v>4</v>
      </c>
      <c r="D180" s="8" t="s">
        <v>17</v>
      </c>
      <c r="E180" s="6">
        <v>89.65</v>
      </c>
      <c r="F180" s="8" t="s">
        <v>393</v>
      </c>
      <c r="G180" s="8" t="s">
        <v>392</v>
      </c>
      <c r="H180" s="8" t="s">
        <v>871</v>
      </c>
    </row>
    <row r="181" spans="1:8" ht="60" customHeight="1" x14ac:dyDescent="0.25">
      <c r="A181" s="7" t="s">
        <v>391</v>
      </c>
      <c r="B181" s="7" t="s">
        <v>285</v>
      </c>
      <c r="C181" s="7" t="s">
        <v>4</v>
      </c>
      <c r="D181" s="7" t="s">
        <v>17</v>
      </c>
      <c r="E181" s="5">
        <v>27.68</v>
      </c>
      <c r="F181" s="7" t="s">
        <v>394</v>
      </c>
      <c r="G181" s="7" t="s">
        <v>285</v>
      </c>
      <c r="H181" s="7" t="s">
        <v>31</v>
      </c>
    </row>
    <row r="182" spans="1:8" ht="60" customHeight="1" x14ac:dyDescent="0.25">
      <c r="A182" s="8" t="s">
        <v>395</v>
      </c>
      <c r="B182" s="8" t="s">
        <v>267</v>
      </c>
      <c r="C182" s="8" t="s">
        <v>4</v>
      </c>
      <c r="D182" s="8" t="s">
        <v>17</v>
      </c>
      <c r="E182" s="6">
        <v>10.81</v>
      </c>
      <c r="F182" s="8" t="s">
        <v>396</v>
      </c>
      <c r="G182" s="8" t="s">
        <v>267</v>
      </c>
      <c r="H182" s="8" t="s">
        <v>858</v>
      </c>
    </row>
    <row r="183" spans="1:8" ht="60" customHeight="1" x14ac:dyDescent="0.25">
      <c r="A183" s="7" t="s">
        <v>397</v>
      </c>
      <c r="B183" s="7" t="s">
        <v>398</v>
      </c>
      <c r="C183" s="7" t="s">
        <v>4</v>
      </c>
      <c r="D183" s="7" t="s">
        <v>17</v>
      </c>
      <c r="E183" s="5">
        <v>28</v>
      </c>
      <c r="F183" s="7" t="s">
        <v>399</v>
      </c>
      <c r="G183" s="7" t="s">
        <v>398</v>
      </c>
      <c r="H183" s="7" t="s">
        <v>855</v>
      </c>
    </row>
    <row r="184" spans="1:8" ht="60" customHeight="1" x14ac:dyDescent="0.25">
      <c r="A184" s="8" t="s">
        <v>397</v>
      </c>
      <c r="B184" s="8" t="s">
        <v>400</v>
      </c>
      <c r="C184" s="8" t="s">
        <v>4</v>
      </c>
      <c r="D184" s="8" t="s">
        <v>17</v>
      </c>
      <c r="E184" s="6">
        <v>-123.4</v>
      </c>
      <c r="F184" s="8" t="s">
        <v>401</v>
      </c>
      <c r="G184" s="8" t="s">
        <v>400</v>
      </c>
      <c r="H184" s="8" t="s">
        <v>402</v>
      </c>
    </row>
    <row r="185" spans="1:8" ht="60" customHeight="1" x14ac:dyDescent="0.25">
      <c r="A185" s="7" t="s">
        <v>403</v>
      </c>
      <c r="B185" s="7" t="s">
        <v>404</v>
      </c>
      <c r="C185" s="7" t="s">
        <v>4</v>
      </c>
      <c r="D185" s="7" t="s">
        <v>17</v>
      </c>
      <c r="E185" s="5">
        <v>13.98</v>
      </c>
      <c r="F185" s="7" t="s">
        <v>405</v>
      </c>
      <c r="G185" s="7" t="s">
        <v>404</v>
      </c>
      <c r="H185" s="7" t="s">
        <v>875</v>
      </c>
    </row>
    <row r="186" spans="1:8" ht="60" customHeight="1" x14ac:dyDescent="0.25">
      <c r="A186" s="8" t="s">
        <v>406</v>
      </c>
      <c r="B186" s="8" t="s">
        <v>398</v>
      </c>
      <c r="C186" s="8" t="s">
        <v>4</v>
      </c>
      <c r="D186" s="8" t="s">
        <v>17</v>
      </c>
      <c r="E186" s="6">
        <v>15</v>
      </c>
      <c r="F186" s="8" t="s">
        <v>407</v>
      </c>
      <c r="G186" s="8" t="s">
        <v>398</v>
      </c>
      <c r="H186" s="8" t="s">
        <v>855</v>
      </c>
    </row>
    <row r="187" spans="1:8" ht="60" customHeight="1" x14ac:dyDescent="0.25">
      <c r="A187" s="7" t="s">
        <v>408</v>
      </c>
      <c r="B187" s="7" t="s">
        <v>409</v>
      </c>
      <c r="C187" s="7" t="s">
        <v>4</v>
      </c>
      <c r="D187" s="7" t="s">
        <v>17</v>
      </c>
      <c r="E187" s="5">
        <v>1055.92</v>
      </c>
      <c r="F187" s="7" t="s">
        <v>410</v>
      </c>
      <c r="G187" s="7" t="s">
        <v>409</v>
      </c>
      <c r="H187" s="7" t="s">
        <v>884</v>
      </c>
    </row>
    <row r="188" spans="1:8" ht="60" customHeight="1" x14ac:dyDescent="0.25">
      <c r="A188" s="8" t="s">
        <v>411</v>
      </c>
      <c r="B188" s="8" t="s">
        <v>130</v>
      </c>
      <c r="C188" s="8" t="s">
        <v>4</v>
      </c>
      <c r="D188" s="8" t="s">
        <v>17</v>
      </c>
      <c r="E188" s="6">
        <v>-12500</v>
      </c>
      <c r="F188" s="8" t="s">
        <v>131</v>
      </c>
      <c r="G188" s="8" t="s">
        <v>130</v>
      </c>
      <c r="H188" s="8" t="s">
        <v>861</v>
      </c>
    </row>
    <row r="189" spans="1:8" ht="60" customHeight="1" x14ac:dyDescent="0.25">
      <c r="A189" s="7" t="s">
        <v>411</v>
      </c>
      <c r="B189" s="7" t="s">
        <v>412</v>
      </c>
      <c r="C189" s="7" t="s">
        <v>4</v>
      </c>
      <c r="D189" s="7" t="s">
        <v>17</v>
      </c>
      <c r="E189" s="5">
        <v>5145.3</v>
      </c>
      <c r="F189" s="7" t="s">
        <v>413</v>
      </c>
      <c r="G189" s="7" t="s">
        <v>412</v>
      </c>
      <c r="H189" s="7" t="s">
        <v>885</v>
      </c>
    </row>
    <row r="190" spans="1:8" ht="60" customHeight="1" x14ac:dyDescent="0.25">
      <c r="A190" s="8" t="s">
        <v>414</v>
      </c>
      <c r="B190" s="8" t="s">
        <v>415</v>
      </c>
      <c r="C190" s="8" t="s">
        <v>4</v>
      </c>
      <c r="D190" s="8" t="s">
        <v>17</v>
      </c>
      <c r="E190" s="6">
        <v>20</v>
      </c>
      <c r="F190" s="8" t="s">
        <v>416</v>
      </c>
      <c r="G190" s="8" t="s">
        <v>415</v>
      </c>
      <c r="H190" s="8" t="s">
        <v>858</v>
      </c>
    </row>
    <row r="191" spans="1:8" ht="60" customHeight="1" x14ac:dyDescent="0.25">
      <c r="A191" s="7" t="s">
        <v>414</v>
      </c>
      <c r="B191" s="7" t="s">
        <v>412</v>
      </c>
      <c r="C191" s="7" t="s">
        <v>4</v>
      </c>
      <c r="D191" s="7" t="s">
        <v>17</v>
      </c>
      <c r="E191" s="5">
        <v>5145.3</v>
      </c>
      <c r="F191" s="7" t="s">
        <v>417</v>
      </c>
      <c r="G191" s="7" t="s">
        <v>412</v>
      </c>
      <c r="H191" s="7" t="s">
        <v>885</v>
      </c>
    </row>
    <row r="192" spans="1:8" ht="60" customHeight="1" x14ac:dyDescent="0.25">
      <c r="A192" s="8" t="s">
        <v>418</v>
      </c>
      <c r="B192" s="8" t="s">
        <v>412</v>
      </c>
      <c r="C192" s="8" t="s">
        <v>4</v>
      </c>
      <c r="D192" s="8" t="s">
        <v>17</v>
      </c>
      <c r="E192" s="6">
        <v>4116.3</v>
      </c>
      <c r="F192" s="8" t="s">
        <v>419</v>
      </c>
      <c r="G192" s="8" t="s">
        <v>412</v>
      </c>
      <c r="H192" s="7" t="s">
        <v>885</v>
      </c>
    </row>
    <row r="193" spans="1:8" ht="60" customHeight="1" x14ac:dyDescent="0.25">
      <c r="A193" s="7" t="s">
        <v>418</v>
      </c>
      <c r="B193" s="7" t="s">
        <v>420</v>
      </c>
      <c r="C193" s="7" t="s">
        <v>4</v>
      </c>
      <c r="D193" s="7" t="s">
        <v>17</v>
      </c>
      <c r="E193" s="5">
        <v>-54.15</v>
      </c>
      <c r="F193" s="7" t="s">
        <v>421</v>
      </c>
      <c r="G193" s="7" t="s">
        <v>420</v>
      </c>
      <c r="H193" s="7" t="s">
        <v>885</v>
      </c>
    </row>
    <row r="194" spans="1:8" ht="60" customHeight="1" x14ac:dyDescent="0.25">
      <c r="A194" s="8" t="s">
        <v>418</v>
      </c>
      <c r="B194" s="8" t="s">
        <v>420</v>
      </c>
      <c r="C194" s="8" t="s">
        <v>4</v>
      </c>
      <c r="D194" s="8" t="s">
        <v>17</v>
      </c>
      <c r="E194" s="6">
        <v>3426.05</v>
      </c>
      <c r="F194" s="8" t="s">
        <v>422</v>
      </c>
      <c r="G194" s="8" t="s">
        <v>420</v>
      </c>
      <c r="H194" s="7" t="s">
        <v>885</v>
      </c>
    </row>
    <row r="195" spans="1:8" ht="60" customHeight="1" x14ac:dyDescent="0.25">
      <c r="A195" s="7" t="s">
        <v>418</v>
      </c>
      <c r="B195" s="7" t="s">
        <v>334</v>
      </c>
      <c r="C195" s="7" t="s">
        <v>4</v>
      </c>
      <c r="D195" s="7" t="s">
        <v>17</v>
      </c>
      <c r="E195" s="5">
        <v>25.96</v>
      </c>
      <c r="F195" s="7" t="s">
        <v>423</v>
      </c>
      <c r="G195" s="7" t="s">
        <v>336</v>
      </c>
      <c r="H195" s="7" t="s">
        <v>855</v>
      </c>
    </row>
    <row r="196" spans="1:8" ht="60" customHeight="1" x14ac:dyDescent="0.25">
      <c r="A196" s="8" t="s">
        <v>418</v>
      </c>
      <c r="B196" s="8" t="s">
        <v>334</v>
      </c>
      <c r="C196" s="8" t="s">
        <v>4</v>
      </c>
      <c r="D196" s="8" t="s">
        <v>17</v>
      </c>
      <c r="E196" s="6">
        <v>36.950000000000003</v>
      </c>
      <c r="F196" s="8" t="s">
        <v>424</v>
      </c>
      <c r="G196" s="8" t="s">
        <v>336</v>
      </c>
      <c r="H196" s="8" t="s">
        <v>855</v>
      </c>
    </row>
    <row r="197" spans="1:8" ht="60" customHeight="1" x14ac:dyDescent="0.25">
      <c r="A197" s="7" t="s">
        <v>425</v>
      </c>
      <c r="B197" s="7" t="s">
        <v>398</v>
      </c>
      <c r="C197" s="7" t="s">
        <v>4</v>
      </c>
      <c r="D197" s="7" t="s">
        <v>17</v>
      </c>
      <c r="E197" s="5">
        <v>12</v>
      </c>
      <c r="F197" s="7" t="s">
        <v>426</v>
      </c>
      <c r="G197" s="7" t="s">
        <v>398</v>
      </c>
      <c r="H197" s="7" t="s">
        <v>855</v>
      </c>
    </row>
    <row r="198" spans="1:8" ht="60" customHeight="1" x14ac:dyDescent="0.25">
      <c r="A198" s="8" t="s">
        <v>425</v>
      </c>
      <c r="B198" s="8" t="s">
        <v>427</v>
      </c>
      <c r="C198" s="8" t="s">
        <v>4</v>
      </c>
      <c r="D198" s="8" t="s">
        <v>17</v>
      </c>
      <c r="E198" s="6">
        <v>35.99</v>
      </c>
      <c r="F198" s="8" t="s">
        <v>428</v>
      </c>
      <c r="G198" s="8" t="s">
        <v>427</v>
      </c>
      <c r="H198" s="8" t="s">
        <v>873</v>
      </c>
    </row>
    <row r="199" spans="1:8" ht="60" customHeight="1" x14ac:dyDescent="0.25">
      <c r="A199" s="7" t="s">
        <v>425</v>
      </c>
      <c r="B199" s="7" t="s">
        <v>344</v>
      </c>
      <c r="C199" s="7" t="s">
        <v>4</v>
      </c>
      <c r="D199" s="7" t="s">
        <v>17</v>
      </c>
      <c r="E199" s="5">
        <v>219</v>
      </c>
      <c r="F199" s="7" t="s">
        <v>429</v>
      </c>
      <c r="G199" s="7" t="s">
        <v>344</v>
      </c>
      <c r="H199" s="7" t="s">
        <v>881</v>
      </c>
    </row>
    <row r="200" spans="1:8" ht="60" customHeight="1" x14ac:dyDescent="0.25">
      <c r="A200" s="8" t="s">
        <v>425</v>
      </c>
      <c r="B200" s="8" t="s">
        <v>430</v>
      </c>
      <c r="C200" s="8" t="s">
        <v>4</v>
      </c>
      <c r="D200" s="8" t="s">
        <v>17</v>
      </c>
      <c r="E200" s="6">
        <v>1071</v>
      </c>
      <c r="F200" s="8" t="s">
        <v>431</v>
      </c>
      <c r="G200" s="8" t="s">
        <v>430</v>
      </c>
      <c r="H200" s="8" t="s">
        <v>886</v>
      </c>
    </row>
    <row r="201" spans="1:8" ht="60" customHeight="1" x14ac:dyDescent="0.25">
      <c r="A201" s="7" t="s">
        <v>432</v>
      </c>
      <c r="B201" s="7" t="s">
        <v>433</v>
      </c>
      <c r="C201" s="7" t="s">
        <v>4</v>
      </c>
      <c r="D201" s="7" t="s">
        <v>17</v>
      </c>
      <c r="E201" s="5">
        <v>44</v>
      </c>
      <c r="F201" s="7" t="s">
        <v>434</v>
      </c>
      <c r="G201" s="7" t="s">
        <v>433</v>
      </c>
      <c r="H201" s="7" t="s">
        <v>881</v>
      </c>
    </row>
    <row r="202" spans="1:8" ht="60" customHeight="1" x14ac:dyDescent="0.25">
      <c r="A202" s="8" t="s">
        <v>432</v>
      </c>
      <c r="B202" s="8" t="s">
        <v>435</v>
      </c>
      <c r="C202" s="8" t="s">
        <v>4</v>
      </c>
      <c r="D202" s="8" t="s">
        <v>17</v>
      </c>
      <c r="E202" s="6">
        <v>800</v>
      </c>
      <c r="F202" s="8" t="s">
        <v>436</v>
      </c>
      <c r="G202" s="8" t="s">
        <v>435</v>
      </c>
      <c r="H202" s="7" t="s">
        <v>883</v>
      </c>
    </row>
    <row r="203" spans="1:8" ht="60" customHeight="1" x14ac:dyDescent="0.25">
      <c r="A203" s="7" t="s">
        <v>432</v>
      </c>
      <c r="B203" s="7" t="s">
        <v>430</v>
      </c>
      <c r="C203" s="7" t="s">
        <v>4</v>
      </c>
      <c r="D203" s="7" t="s">
        <v>17</v>
      </c>
      <c r="E203" s="5">
        <v>256.5</v>
      </c>
      <c r="F203" s="7" t="s">
        <v>437</v>
      </c>
      <c r="G203" s="7" t="s">
        <v>430</v>
      </c>
      <c r="H203" s="7" t="s">
        <v>886</v>
      </c>
    </row>
    <row r="204" spans="1:8" ht="60" customHeight="1" x14ac:dyDescent="0.25">
      <c r="A204" s="8" t="s">
        <v>432</v>
      </c>
      <c r="B204" s="8" t="s">
        <v>430</v>
      </c>
      <c r="C204" s="8" t="s">
        <v>4</v>
      </c>
      <c r="D204" s="8" t="s">
        <v>17</v>
      </c>
      <c r="E204" s="6">
        <v>413.91</v>
      </c>
      <c r="F204" s="8" t="s">
        <v>438</v>
      </c>
      <c r="G204" s="8" t="s">
        <v>430</v>
      </c>
      <c r="H204" s="8" t="s">
        <v>886</v>
      </c>
    </row>
    <row r="205" spans="1:8" ht="60" customHeight="1" x14ac:dyDescent="0.25">
      <c r="A205" s="7" t="s">
        <v>439</v>
      </c>
      <c r="B205" s="7" t="s">
        <v>409</v>
      </c>
      <c r="C205" s="7" t="s">
        <v>4</v>
      </c>
      <c r="D205" s="7" t="s">
        <v>17</v>
      </c>
      <c r="E205" s="5">
        <v>1055.93</v>
      </c>
      <c r="F205" s="7" t="s">
        <v>440</v>
      </c>
      <c r="G205" s="7" t="s">
        <v>409</v>
      </c>
      <c r="H205" s="7" t="s">
        <v>883</v>
      </c>
    </row>
    <row r="206" spans="1:8" ht="60" customHeight="1" x14ac:dyDescent="0.25">
      <c r="A206" s="8" t="s">
        <v>441</v>
      </c>
      <c r="B206" s="8" t="s">
        <v>392</v>
      </c>
      <c r="C206" s="8" t="s">
        <v>4</v>
      </c>
      <c r="D206" s="8" t="s">
        <v>17</v>
      </c>
      <c r="E206" s="6">
        <v>96.19</v>
      </c>
      <c r="F206" s="8" t="s">
        <v>442</v>
      </c>
      <c r="G206" s="8" t="s">
        <v>392</v>
      </c>
      <c r="H206" s="8" t="s">
        <v>871</v>
      </c>
    </row>
    <row r="207" spans="1:8" ht="60" customHeight="1" x14ac:dyDescent="0.25">
      <c r="A207" s="7" t="s">
        <v>443</v>
      </c>
      <c r="B207" s="7" t="s">
        <v>101</v>
      </c>
      <c r="C207" s="7" t="s">
        <v>4</v>
      </c>
      <c r="D207" s="7" t="s">
        <v>17</v>
      </c>
      <c r="E207" s="5">
        <v>24.99</v>
      </c>
      <c r="F207" s="7" t="s">
        <v>444</v>
      </c>
      <c r="G207" s="7" t="s">
        <v>101</v>
      </c>
      <c r="H207" s="7" t="s">
        <v>863</v>
      </c>
    </row>
    <row r="208" spans="1:8" ht="60" customHeight="1" x14ac:dyDescent="0.25">
      <c r="A208" s="8" t="s">
        <v>443</v>
      </c>
      <c r="B208" s="8" t="s">
        <v>392</v>
      </c>
      <c r="C208" s="8" t="s">
        <v>4</v>
      </c>
      <c r="D208" s="8" t="s">
        <v>17</v>
      </c>
      <c r="E208" s="6">
        <v>44.86</v>
      </c>
      <c r="F208" s="8" t="s">
        <v>445</v>
      </c>
      <c r="G208" s="8" t="s">
        <v>392</v>
      </c>
      <c r="H208" s="8" t="s">
        <v>871</v>
      </c>
    </row>
    <row r="209" spans="1:8" ht="60" customHeight="1" x14ac:dyDescent="0.25">
      <c r="A209" s="7" t="s">
        <v>443</v>
      </c>
      <c r="B209" s="7" t="s">
        <v>334</v>
      </c>
      <c r="C209" s="7" t="s">
        <v>4</v>
      </c>
      <c r="D209" s="7" t="s">
        <v>17</v>
      </c>
      <c r="E209" s="5">
        <v>29.83</v>
      </c>
      <c r="F209" s="7" t="s">
        <v>446</v>
      </c>
      <c r="G209" s="7" t="s">
        <v>336</v>
      </c>
      <c r="H209" s="7" t="s">
        <v>871</v>
      </c>
    </row>
    <row r="210" spans="1:8" ht="60" customHeight="1" x14ac:dyDescent="0.25">
      <c r="A210" s="8" t="s">
        <v>447</v>
      </c>
      <c r="B210" s="8" t="s">
        <v>448</v>
      </c>
      <c r="C210" s="8" t="s">
        <v>4</v>
      </c>
      <c r="D210" s="8" t="s">
        <v>17</v>
      </c>
      <c r="E210" s="6">
        <v>5.99</v>
      </c>
      <c r="F210" s="8" t="s">
        <v>449</v>
      </c>
      <c r="G210" s="8" t="s">
        <v>448</v>
      </c>
      <c r="H210" s="8" t="s">
        <v>862</v>
      </c>
    </row>
    <row r="211" spans="1:8" ht="60" customHeight="1" x14ac:dyDescent="0.25">
      <c r="A211" s="7" t="s">
        <v>447</v>
      </c>
      <c r="B211" s="7" t="s">
        <v>450</v>
      </c>
      <c r="C211" s="7" t="s">
        <v>4</v>
      </c>
      <c r="D211" s="7" t="s">
        <v>17</v>
      </c>
      <c r="E211" s="5">
        <v>19.97</v>
      </c>
      <c r="F211" s="7" t="s">
        <v>451</v>
      </c>
      <c r="G211" s="7" t="s">
        <v>450</v>
      </c>
      <c r="H211" s="7" t="s">
        <v>875</v>
      </c>
    </row>
    <row r="212" spans="1:8" ht="60" customHeight="1" x14ac:dyDescent="0.25">
      <c r="A212" s="8" t="s">
        <v>447</v>
      </c>
      <c r="B212" s="8" t="s">
        <v>392</v>
      </c>
      <c r="C212" s="8" t="s">
        <v>4</v>
      </c>
      <c r="D212" s="8" t="s">
        <v>17</v>
      </c>
      <c r="E212" s="6">
        <v>25.85</v>
      </c>
      <c r="F212" s="8" t="s">
        <v>452</v>
      </c>
      <c r="G212" s="8" t="s">
        <v>392</v>
      </c>
      <c r="H212" s="8" t="s">
        <v>871</v>
      </c>
    </row>
    <row r="213" spans="1:8" ht="60" customHeight="1" x14ac:dyDescent="0.25">
      <c r="A213" s="7" t="s">
        <v>447</v>
      </c>
      <c r="B213" s="7" t="s">
        <v>285</v>
      </c>
      <c r="C213" s="7" t="s">
        <v>4</v>
      </c>
      <c r="D213" s="7" t="s">
        <v>17</v>
      </c>
      <c r="E213" s="5">
        <v>23.23</v>
      </c>
      <c r="F213" s="7" t="s">
        <v>453</v>
      </c>
      <c r="G213" s="7" t="s">
        <v>285</v>
      </c>
      <c r="H213" s="7" t="s">
        <v>871</v>
      </c>
    </row>
    <row r="214" spans="1:8" ht="60" customHeight="1" x14ac:dyDescent="0.25">
      <c r="A214" s="8" t="s">
        <v>454</v>
      </c>
      <c r="B214" s="8" t="s">
        <v>334</v>
      </c>
      <c r="C214" s="8" t="s">
        <v>4</v>
      </c>
      <c r="D214" s="8" t="s">
        <v>17</v>
      </c>
      <c r="E214" s="6">
        <v>15.72</v>
      </c>
      <c r="F214" s="8" t="s">
        <v>455</v>
      </c>
      <c r="G214" s="8" t="s">
        <v>336</v>
      </c>
      <c r="H214" s="8" t="s">
        <v>855</v>
      </c>
    </row>
    <row r="215" spans="1:8" ht="60" customHeight="1" x14ac:dyDescent="0.25">
      <c r="A215" s="7" t="s">
        <v>454</v>
      </c>
      <c r="B215" s="7" t="s">
        <v>334</v>
      </c>
      <c r="C215" s="7" t="s">
        <v>4</v>
      </c>
      <c r="D215" s="7" t="s">
        <v>17</v>
      </c>
      <c r="E215" s="5">
        <v>16.07</v>
      </c>
      <c r="F215" s="7" t="s">
        <v>456</v>
      </c>
      <c r="G215" s="7" t="s">
        <v>336</v>
      </c>
      <c r="H215" s="7" t="s">
        <v>855</v>
      </c>
    </row>
    <row r="216" spans="1:8" ht="60" customHeight="1" x14ac:dyDescent="0.25">
      <c r="A216" s="8" t="s">
        <v>457</v>
      </c>
      <c r="B216" s="8" t="s">
        <v>334</v>
      </c>
      <c r="C216" s="8" t="s">
        <v>4</v>
      </c>
      <c r="D216" s="8" t="s">
        <v>17</v>
      </c>
      <c r="E216" s="6">
        <v>4.8499999999999996</v>
      </c>
      <c r="F216" s="8" t="s">
        <v>458</v>
      </c>
      <c r="G216" s="8" t="s">
        <v>336</v>
      </c>
      <c r="H216" s="8" t="s">
        <v>855</v>
      </c>
    </row>
    <row r="217" spans="1:8" ht="60" customHeight="1" x14ac:dyDescent="0.25">
      <c r="A217" s="7" t="s">
        <v>457</v>
      </c>
      <c r="B217" s="7" t="s">
        <v>334</v>
      </c>
      <c r="C217" s="7" t="s">
        <v>4</v>
      </c>
      <c r="D217" s="7" t="s">
        <v>17</v>
      </c>
      <c r="E217" s="5">
        <v>5</v>
      </c>
      <c r="F217" s="7" t="s">
        <v>459</v>
      </c>
      <c r="G217" s="7" t="s">
        <v>336</v>
      </c>
      <c r="H217" s="7" t="s">
        <v>855</v>
      </c>
    </row>
    <row r="218" spans="1:8" ht="60" customHeight="1" x14ac:dyDescent="0.25">
      <c r="A218" s="8" t="s">
        <v>457</v>
      </c>
      <c r="B218" s="8" t="s">
        <v>334</v>
      </c>
      <c r="C218" s="8" t="s">
        <v>4</v>
      </c>
      <c r="D218" s="8" t="s">
        <v>17</v>
      </c>
      <c r="E218" s="6">
        <v>32.36</v>
      </c>
      <c r="F218" s="8" t="s">
        <v>460</v>
      </c>
      <c r="G218" s="8" t="s">
        <v>336</v>
      </c>
      <c r="H218" s="8" t="s">
        <v>855</v>
      </c>
    </row>
    <row r="219" spans="1:8" ht="60" customHeight="1" x14ac:dyDescent="0.25">
      <c r="A219" s="7" t="s">
        <v>461</v>
      </c>
      <c r="B219" s="7" t="s">
        <v>365</v>
      </c>
      <c r="C219" s="7" t="s">
        <v>4</v>
      </c>
      <c r="D219" s="7" t="s">
        <v>17</v>
      </c>
      <c r="E219" s="5">
        <v>10.81</v>
      </c>
      <c r="F219" s="7" t="s">
        <v>462</v>
      </c>
      <c r="G219" s="7" t="s">
        <v>365</v>
      </c>
      <c r="H219" s="7" t="s">
        <v>858</v>
      </c>
    </row>
    <row r="220" spans="1:8" ht="60" customHeight="1" x14ac:dyDescent="0.25">
      <c r="A220" s="8" t="s">
        <v>461</v>
      </c>
      <c r="B220" s="8" t="s">
        <v>334</v>
      </c>
      <c r="C220" s="8" t="s">
        <v>4</v>
      </c>
      <c r="D220" s="8" t="s">
        <v>17</v>
      </c>
      <c r="E220" s="6">
        <v>18.13</v>
      </c>
      <c r="F220" s="8" t="s">
        <v>463</v>
      </c>
      <c r="G220" s="8" t="s">
        <v>336</v>
      </c>
      <c r="H220" s="8" t="s">
        <v>855</v>
      </c>
    </row>
    <row r="221" spans="1:8" ht="60" customHeight="1" x14ac:dyDescent="0.25">
      <c r="A221" s="7" t="s">
        <v>461</v>
      </c>
      <c r="B221" s="7" t="s">
        <v>334</v>
      </c>
      <c r="C221" s="7" t="s">
        <v>4</v>
      </c>
      <c r="D221" s="7" t="s">
        <v>17</v>
      </c>
      <c r="E221" s="5">
        <v>20.37</v>
      </c>
      <c r="F221" s="7" t="s">
        <v>464</v>
      </c>
      <c r="G221" s="7" t="s">
        <v>336</v>
      </c>
      <c r="H221" s="7" t="s">
        <v>855</v>
      </c>
    </row>
    <row r="222" spans="1:8" ht="60" customHeight="1" x14ac:dyDescent="0.25">
      <c r="A222" s="8" t="s">
        <v>461</v>
      </c>
      <c r="B222" s="8" t="s">
        <v>334</v>
      </c>
      <c r="C222" s="8" t="s">
        <v>4</v>
      </c>
      <c r="D222" s="8" t="s">
        <v>17</v>
      </c>
      <c r="E222" s="6">
        <v>21.93</v>
      </c>
      <c r="F222" s="8" t="s">
        <v>465</v>
      </c>
      <c r="G222" s="8" t="s">
        <v>336</v>
      </c>
      <c r="H222" s="8" t="s">
        <v>855</v>
      </c>
    </row>
    <row r="223" spans="1:8" ht="60" customHeight="1" x14ac:dyDescent="0.25">
      <c r="A223" s="7" t="s">
        <v>461</v>
      </c>
      <c r="B223" s="7" t="s">
        <v>334</v>
      </c>
      <c r="C223" s="7" t="s">
        <v>4</v>
      </c>
      <c r="D223" s="7" t="s">
        <v>17</v>
      </c>
      <c r="E223" s="5">
        <v>34.93</v>
      </c>
      <c r="F223" s="7" t="s">
        <v>466</v>
      </c>
      <c r="G223" s="7" t="s">
        <v>336</v>
      </c>
      <c r="H223" s="7" t="s">
        <v>855</v>
      </c>
    </row>
    <row r="224" spans="1:8" ht="60" customHeight="1" x14ac:dyDescent="0.25">
      <c r="A224" s="8" t="s">
        <v>467</v>
      </c>
      <c r="B224" s="8" t="s">
        <v>468</v>
      </c>
      <c r="C224" s="8" t="s">
        <v>4</v>
      </c>
      <c r="D224" s="8" t="s">
        <v>17</v>
      </c>
      <c r="E224" s="6">
        <v>15.98</v>
      </c>
      <c r="F224" s="8" t="s">
        <v>469</v>
      </c>
      <c r="G224" s="8" t="s">
        <v>468</v>
      </c>
      <c r="H224" s="8" t="s">
        <v>875</v>
      </c>
    </row>
    <row r="225" spans="1:8" ht="60" customHeight="1" x14ac:dyDescent="0.25">
      <c r="A225" s="7" t="s">
        <v>467</v>
      </c>
      <c r="B225" s="7" t="s">
        <v>470</v>
      </c>
      <c r="C225" s="7" t="s">
        <v>4</v>
      </c>
      <c r="D225" s="7" t="s">
        <v>17</v>
      </c>
      <c r="E225" s="5">
        <v>205.17</v>
      </c>
      <c r="F225" s="7" t="s">
        <v>471</v>
      </c>
      <c r="G225" s="7" t="s">
        <v>470</v>
      </c>
      <c r="H225" s="7" t="s">
        <v>854</v>
      </c>
    </row>
    <row r="226" spans="1:8" ht="60" customHeight="1" x14ac:dyDescent="0.25">
      <c r="A226" s="8" t="s">
        <v>472</v>
      </c>
      <c r="B226" s="8" t="s">
        <v>398</v>
      </c>
      <c r="C226" s="8" t="s">
        <v>4</v>
      </c>
      <c r="D226" s="8" t="s">
        <v>17</v>
      </c>
      <c r="E226" s="6">
        <v>24</v>
      </c>
      <c r="F226" s="8" t="s">
        <v>473</v>
      </c>
      <c r="G226" s="8" t="s">
        <v>398</v>
      </c>
      <c r="H226" s="8" t="s">
        <v>855</v>
      </c>
    </row>
    <row r="227" spans="1:8" ht="60" customHeight="1" x14ac:dyDescent="0.25">
      <c r="A227" s="7" t="s">
        <v>474</v>
      </c>
      <c r="B227" s="7" t="s">
        <v>475</v>
      </c>
      <c r="C227" s="7" t="s">
        <v>4</v>
      </c>
      <c r="D227" s="7" t="s">
        <v>17</v>
      </c>
      <c r="E227" s="5">
        <v>26.98</v>
      </c>
      <c r="F227" s="7" t="s">
        <v>476</v>
      </c>
      <c r="G227" s="7" t="s">
        <v>475</v>
      </c>
      <c r="H227" s="7" t="s">
        <v>875</v>
      </c>
    </row>
    <row r="228" spans="1:8" ht="60" customHeight="1" x14ac:dyDescent="0.25">
      <c r="A228" s="8" t="s">
        <v>474</v>
      </c>
      <c r="B228" s="8" t="s">
        <v>285</v>
      </c>
      <c r="C228" s="8" t="s">
        <v>4</v>
      </c>
      <c r="D228" s="8" t="s">
        <v>17</v>
      </c>
      <c r="E228" s="6">
        <v>50.68</v>
      </c>
      <c r="F228" s="8" t="s">
        <v>477</v>
      </c>
      <c r="G228" s="8" t="s">
        <v>285</v>
      </c>
      <c r="H228" s="8" t="s">
        <v>871</v>
      </c>
    </row>
    <row r="229" spans="1:8" ht="60" customHeight="1" x14ac:dyDescent="0.25">
      <c r="A229" s="7" t="s">
        <v>474</v>
      </c>
      <c r="B229" s="7" t="s">
        <v>303</v>
      </c>
      <c r="C229" s="7" t="s">
        <v>4</v>
      </c>
      <c r="D229" s="7" t="s">
        <v>17</v>
      </c>
      <c r="E229" s="5">
        <v>9.99</v>
      </c>
      <c r="F229" s="7" t="s">
        <v>478</v>
      </c>
      <c r="G229" s="7" t="s">
        <v>303</v>
      </c>
      <c r="H229" s="7" t="s">
        <v>858</v>
      </c>
    </row>
    <row r="230" spans="1:8" ht="60" customHeight="1" x14ac:dyDescent="0.25">
      <c r="A230" s="8" t="s">
        <v>479</v>
      </c>
      <c r="B230" s="8" t="s">
        <v>480</v>
      </c>
      <c r="C230" s="8" t="s">
        <v>4</v>
      </c>
      <c r="D230" s="8" t="s">
        <v>17</v>
      </c>
      <c r="E230" s="6">
        <v>300</v>
      </c>
      <c r="F230" s="8" t="s">
        <v>481</v>
      </c>
      <c r="G230" s="8" t="s">
        <v>480</v>
      </c>
      <c r="H230" s="8" t="s">
        <v>862</v>
      </c>
    </row>
    <row r="231" spans="1:8" ht="60" customHeight="1" x14ac:dyDescent="0.25">
      <c r="A231" s="7" t="s">
        <v>479</v>
      </c>
      <c r="B231" s="7" t="s">
        <v>482</v>
      </c>
      <c r="C231" s="7" t="s">
        <v>4</v>
      </c>
      <c r="D231" s="7" t="s">
        <v>17</v>
      </c>
      <c r="E231" s="5">
        <v>13.79</v>
      </c>
      <c r="F231" s="7" t="s">
        <v>483</v>
      </c>
      <c r="G231" s="7" t="s">
        <v>482</v>
      </c>
      <c r="H231" s="7" t="s">
        <v>875</v>
      </c>
    </row>
    <row r="232" spans="1:8" ht="60" customHeight="1" x14ac:dyDescent="0.25">
      <c r="A232" s="8" t="s">
        <v>479</v>
      </c>
      <c r="B232" s="8" t="s">
        <v>484</v>
      </c>
      <c r="C232" s="8" t="s">
        <v>4</v>
      </c>
      <c r="D232" s="8" t="s">
        <v>17</v>
      </c>
      <c r="E232" s="6">
        <v>88.24</v>
      </c>
      <c r="F232" s="8" t="s">
        <v>485</v>
      </c>
      <c r="G232" s="8" t="s">
        <v>484</v>
      </c>
      <c r="H232" s="8" t="s">
        <v>862</v>
      </c>
    </row>
    <row r="233" spans="1:8" ht="60" customHeight="1" x14ac:dyDescent="0.25">
      <c r="A233" s="7" t="s">
        <v>486</v>
      </c>
      <c r="B233" s="7" t="s">
        <v>487</v>
      </c>
      <c r="C233" s="7" t="s">
        <v>4</v>
      </c>
      <c r="D233" s="7" t="s">
        <v>17</v>
      </c>
      <c r="E233" s="5">
        <v>30.97</v>
      </c>
      <c r="F233" s="7" t="s">
        <v>488</v>
      </c>
      <c r="G233" s="7" t="s">
        <v>487</v>
      </c>
      <c r="H233" s="7" t="s">
        <v>875</v>
      </c>
    </row>
    <row r="234" spans="1:8" ht="60" customHeight="1" x14ac:dyDescent="0.25">
      <c r="A234" s="8" t="s">
        <v>489</v>
      </c>
      <c r="B234" s="8" t="s">
        <v>285</v>
      </c>
      <c r="C234" s="8" t="s">
        <v>4</v>
      </c>
      <c r="D234" s="8" t="s">
        <v>17</v>
      </c>
      <c r="E234" s="6">
        <v>34.409999999999997</v>
      </c>
      <c r="F234" s="8" t="s">
        <v>490</v>
      </c>
      <c r="G234" s="8" t="s">
        <v>285</v>
      </c>
      <c r="H234" s="8" t="s">
        <v>871</v>
      </c>
    </row>
    <row r="235" spans="1:8" ht="60" customHeight="1" x14ac:dyDescent="0.25">
      <c r="A235" s="7" t="s">
        <v>491</v>
      </c>
      <c r="B235" s="7" t="s">
        <v>130</v>
      </c>
      <c r="C235" s="7" t="s">
        <v>4</v>
      </c>
      <c r="D235" s="7" t="s">
        <v>17</v>
      </c>
      <c r="E235" s="5">
        <v>-8226.61</v>
      </c>
      <c r="F235" s="7" t="s">
        <v>131</v>
      </c>
      <c r="G235" s="7" t="s">
        <v>130</v>
      </c>
      <c r="H235" s="7" t="s">
        <v>856</v>
      </c>
    </row>
    <row r="236" spans="1:8" ht="60" customHeight="1" x14ac:dyDescent="0.25">
      <c r="A236" s="8" t="s">
        <v>491</v>
      </c>
      <c r="B236" s="8" t="s">
        <v>267</v>
      </c>
      <c r="C236" s="8" t="s">
        <v>4</v>
      </c>
      <c r="D236" s="8" t="s">
        <v>17</v>
      </c>
      <c r="E236" s="6">
        <v>10.81</v>
      </c>
      <c r="F236" s="8" t="s">
        <v>492</v>
      </c>
      <c r="G236" s="8" t="s">
        <v>267</v>
      </c>
      <c r="H236" s="8" t="s">
        <v>858</v>
      </c>
    </row>
    <row r="237" spans="1:8" ht="60" customHeight="1" x14ac:dyDescent="0.25">
      <c r="A237" s="7" t="s">
        <v>493</v>
      </c>
      <c r="B237" s="7" t="s">
        <v>494</v>
      </c>
      <c r="C237" s="7" t="s">
        <v>4</v>
      </c>
      <c r="D237" s="7" t="s">
        <v>17</v>
      </c>
      <c r="E237" s="5">
        <v>13.98</v>
      </c>
      <c r="F237" s="7" t="s">
        <v>495</v>
      </c>
      <c r="G237" s="7" t="s">
        <v>494</v>
      </c>
      <c r="H237" s="7" t="s">
        <v>875</v>
      </c>
    </row>
    <row r="238" spans="1:8" ht="60" customHeight="1" x14ac:dyDescent="0.25">
      <c r="A238" s="8" t="s">
        <v>493</v>
      </c>
      <c r="B238" s="8" t="s">
        <v>400</v>
      </c>
      <c r="C238" s="8" t="s">
        <v>4</v>
      </c>
      <c r="D238" s="8" t="s">
        <v>17</v>
      </c>
      <c r="E238" s="6">
        <v>-4.2699999999999996</v>
      </c>
      <c r="F238" s="8" t="s">
        <v>401</v>
      </c>
      <c r="G238" s="8" t="s">
        <v>400</v>
      </c>
      <c r="H238" s="8" t="s">
        <v>402</v>
      </c>
    </row>
    <row r="239" spans="1:8" ht="60" customHeight="1" x14ac:dyDescent="0.25">
      <c r="A239" s="7" t="s">
        <v>496</v>
      </c>
      <c r="B239" s="7" t="s">
        <v>497</v>
      </c>
      <c r="C239" s="7" t="s">
        <v>4</v>
      </c>
      <c r="D239" s="7" t="s">
        <v>17</v>
      </c>
      <c r="E239" s="5">
        <v>3316.02</v>
      </c>
      <c r="F239" s="7" t="s">
        <v>498</v>
      </c>
      <c r="G239" s="7" t="s">
        <v>497</v>
      </c>
      <c r="H239" s="7" t="s">
        <v>854</v>
      </c>
    </row>
    <row r="240" spans="1:8" ht="60" customHeight="1" x14ac:dyDescent="0.25">
      <c r="A240" s="8" t="s">
        <v>499</v>
      </c>
      <c r="B240" s="8" t="s">
        <v>500</v>
      </c>
      <c r="C240" s="8" t="s">
        <v>4</v>
      </c>
      <c r="D240" s="8" t="s">
        <v>17</v>
      </c>
      <c r="E240" s="6">
        <v>110</v>
      </c>
      <c r="F240" s="8" t="s">
        <v>501</v>
      </c>
      <c r="G240" s="8" t="s">
        <v>500</v>
      </c>
      <c r="H240" s="8" t="s">
        <v>855</v>
      </c>
    </row>
    <row r="241" spans="1:8" ht="60" customHeight="1" x14ac:dyDescent="0.25">
      <c r="A241" s="7" t="s">
        <v>502</v>
      </c>
      <c r="B241" s="7" t="s">
        <v>285</v>
      </c>
      <c r="C241" s="7" t="s">
        <v>4</v>
      </c>
      <c r="D241" s="7" t="s">
        <v>17</v>
      </c>
      <c r="E241" s="5">
        <v>51.38</v>
      </c>
      <c r="F241" s="7" t="s">
        <v>503</v>
      </c>
      <c r="G241" s="7" t="s">
        <v>285</v>
      </c>
      <c r="H241" s="7" t="s">
        <v>871</v>
      </c>
    </row>
    <row r="242" spans="1:8" ht="60" customHeight="1" x14ac:dyDescent="0.25">
      <c r="A242" s="8" t="s">
        <v>504</v>
      </c>
      <c r="B242" s="8" t="s">
        <v>505</v>
      </c>
      <c r="C242" s="8" t="s">
        <v>4</v>
      </c>
      <c r="D242" s="8" t="s">
        <v>17</v>
      </c>
      <c r="E242" s="6">
        <v>40</v>
      </c>
      <c r="F242" s="8" t="s">
        <v>506</v>
      </c>
      <c r="G242" s="8" t="s">
        <v>505</v>
      </c>
      <c r="H242" s="8" t="s">
        <v>855</v>
      </c>
    </row>
    <row r="243" spans="1:8" ht="60" customHeight="1" x14ac:dyDescent="0.25">
      <c r="A243" s="7" t="s">
        <v>504</v>
      </c>
      <c r="B243" s="7" t="s">
        <v>285</v>
      </c>
      <c r="C243" s="7" t="s">
        <v>4</v>
      </c>
      <c r="D243" s="7" t="s">
        <v>17</v>
      </c>
      <c r="E243" s="5">
        <v>41.39</v>
      </c>
      <c r="F243" s="7" t="s">
        <v>507</v>
      </c>
      <c r="G243" s="7" t="s">
        <v>285</v>
      </c>
      <c r="H243" s="7" t="s">
        <v>871</v>
      </c>
    </row>
    <row r="244" spans="1:8" ht="60" customHeight="1" x14ac:dyDescent="0.25">
      <c r="A244" s="8" t="s">
        <v>508</v>
      </c>
      <c r="B244" s="8" t="s">
        <v>344</v>
      </c>
      <c r="C244" s="8" t="s">
        <v>4</v>
      </c>
      <c r="D244" s="8" t="s">
        <v>17</v>
      </c>
      <c r="E244" s="6">
        <v>219</v>
      </c>
      <c r="F244" s="8" t="s">
        <v>509</v>
      </c>
      <c r="G244" s="8" t="s">
        <v>344</v>
      </c>
      <c r="H244" s="8" t="s">
        <v>881</v>
      </c>
    </row>
    <row r="245" spans="1:8" ht="60" customHeight="1" x14ac:dyDescent="0.25">
      <c r="A245" s="7" t="s">
        <v>510</v>
      </c>
      <c r="B245" s="7" t="s">
        <v>285</v>
      </c>
      <c r="C245" s="7" t="s">
        <v>4</v>
      </c>
      <c r="D245" s="7" t="s">
        <v>17</v>
      </c>
      <c r="E245" s="5">
        <v>59.5</v>
      </c>
      <c r="F245" s="7" t="s">
        <v>511</v>
      </c>
      <c r="G245" s="7" t="s">
        <v>285</v>
      </c>
      <c r="H245" s="7" t="s">
        <v>871</v>
      </c>
    </row>
    <row r="246" spans="1:8" ht="60" customHeight="1" x14ac:dyDescent="0.25">
      <c r="A246" s="8" t="s">
        <v>512</v>
      </c>
      <c r="B246" s="8" t="s">
        <v>237</v>
      </c>
      <c r="C246" s="8" t="s">
        <v>4</v>
      </c>
      <c r="D246" s="8" t="s">
        <v>17</v>
      </c>
      <c r="E246" s="6">
        <v>150</v>
      </c>
      <c r="F246" s="8" t="s">
        <v>513</v>
      </c>
      <c r="G246" s="8" t="s">
        <v>237</v>
      </c>
      <c r="H246" s="8" t="s">
        <v>874</v>
      </c>
    </row>
    <row r="247" spans="1:8" ht="60" customHeight="1" x14ac:dyDescent="0.25">
      <c r="A247" s="7" t="s">
        <v>512</v>
      </c>
      <c r="B247" s="7" t="s">
        <v>514</v>
      </c>
      <c r="C247" s="7" t="s">
        <v>4</v>
      </c>
      <c r="D247" s="7" t="s">
        <v>17</v>
      </c>
      <c r="E247" s="5">
        <v>92</v>
      </c>
      <c r="F247" s="7" t="s">
        <v>515</v>
      </c>
      <c r="G247" s="7" t="s">
        <v>514</v>
      </c>
      <c r="H247" s="7" t="s">
        <v>871</v>
      </c>
    </row>
    <row r="248" spans="1:8" ht="60" customHeight="1" x14ac:dyDescent="0.25">
      <c r="A248" s="8" t="s">
        <v>512</v>
      </c>
      <c r="B248" s="8" t="s">
        <v>516</v>
      </c>
      <c r="C248" s="8" t="s">
        <v>4</v>
      </c>
      <c r="D248" s="8" t="s">
        <v>17</v>
      </c>
      <c r="E248" s="6">
        <v>25</v>
      </c>
      <c r="F248" s="8" t="s">
        <v>517</v>
      </c>
      <c r="G248" s="8" t="s">
        <v>516</v>
      </c>
      <c r="H248" s="8" t="s">
        <v>871</v>
      </c>
    </row>
    <row r="249" spans="1:8" ht="60" customHeight="1" x14ac:dyDescent="0.25">
      <c r="A249" s="7" t="s">
        <v>518</v>
      </c>
      <c r="B249" s="7" t="s">
        <v>519</v>
      </c>
      <c r="C249" s="7" t="s">
        <v>4</v>
      </c>
      <c r="D249" s="7" t="s">
        <v>17</v>
      </c>
      <c r="E249" s="5">
        <v>5454.24</v>
      </c>
      <c r="F249" s="7" t="s">
        <v>520</v>
      </c>
      <c r="G249" s="7" t="s">
        <v>519</v>
      </c>
      <c r="H249" s="7" t="s">
        <v>886</v>
      </c>
    </row>
    <row r="250" spans="1:8" ht="60" customHeight="1" x14ac:dyDescent="0.25">
      <c r="A250" s="8" t="s">
        <v>518</v>
      </c>
      <c r="B250" s="8" t="s">
        <v>521</v>
      </c>
      <c r="C250" s="8" t="s">
        <v>4</v>
      </c>
      <c r="D250" s="8" t="s">
        <v>17</v>
      </c>
      <c r="E250" s="6">
        <v>383.85</v>
      </c>
      <c r="F250" s="8" t="s">
        <v>522</v>
      </c>
      <c r="G250" s="8" t="s">
        <v>521</v>
      </c>
      <c r="H250" s="8" t="s">
        <v>871</v>
      </c>
    </row>
    <row r="251" spans="1:8" ht="60" customHeight="1" x14ac:dyDescent="0.25">
      <c r="A251" s="7" t="s">
        <v>518</v>
      </c>
      <c r="B251" s="7" t="s">
        <v>523</v>
      </c>
      <c r="C251" s="7" t="s">
        <v>4</v>
      </c>
      <c r="D251" s="7" t="s">
        <v>17</v>
      </c>
      <c r="E251" s="5">
        <v>238.22</v>
      </c>
      <c r="F251" s="7" t="s">
        <v>524</v>
      </c>
      <c r="G251" s="7" t="s">
        <v>523</v>
      </c>
      <c r="H251" s="7" t="s">
        <v>886</v>
      </c>
    </row>
    <row r="252" spans="1:8" ht="60" customHeight="1" x14ac:dyDescent="0.25">
      <c r="A252" s="8" t="s">
        <v>525</v>
      </c>
      <c r="B252" s="8" t="s">
        <v>101</v>
      </c>
      <c r="C252" s="8" t="s">
        <v>4</v>
      </c>
      <c r="D252" s="8" t="s">
        <v>17</v>
      </c>
      <c r="E252" s="6">
        <v>24.99</v>
      </c>
      <c r="F252" s="8" t="s">
        <v>526</v>
      </c>
      <c r="G252" s="8" t="s">
        <v>101</v>
      </c>
      <c r="H252" s="8" t="s">
        <v>863</v>
      </c>
    </row>
    <row r="253" spans="1:8" ht="60" customHeight="1" x14ac:dyDescent="0.25">
      <c r="A253" s="7" t="s">
        <v>525</v>
      </c>
      <c r="B253" s="7" t="s">
        <v>527</v>
      </c>
      <c r="C253" s="7" t="s">
        <v>4</v>
      </c>
      <c r="D253" s="7" t="s">
        <v>17</v>
      </c>
      <c r="E253" s="5">
        <v>1252.8599999999999</v>
      </c>
      <c r="F253" s="7" t="s">
        <v>528</v>
      </c>
      <c r="G253" s="7" t="s">
        <v>527</v>
      </c>
      <c r="H253" s="7" t="s">
        <v>886</v>
      </c>
    </row>
    <row r="254" spans="1:8" ht="60" customHeight="1" x14ac:dyDescent="0.25">
      <c r="A254" s="8" t="s">
        <v>525</v>
      </c>
      <c r="B254" s="8" t="s">
        <v>529</v>
      </c>
      <c r="C254" s="8" t="s">
        <v>4</v>
      </c>
      <c r="D254" s="8" t="s">
        <v>17</v>
      </c>
      <c r="E254" s="6">
        <v>169.87</v>
      </c>
      <c r="F254" s="8" t="s">
        <v>530</v>
      </c>
      <c r="G254" s="8" t="s">
        <v>529</v>
      </c>
      <c r="H254" s="8" t="s">
        <v>886</v>
      </c>
    </row>
    <row r="255" spans="1:8" ht="60" customHeight="1" x14ac:dyDescent="0.25">
      <c r="A255" s="7" t="s">
        <v>525</v>
      </c>
      <c r="B255" s="7" t="s">
        <v>529</v>
      </c>
      <c r="C255" s="7" t="s">
        <v>4</v>
      </c>
      <c r="D255" s="7" t="s">
        <v>17</v>
      </c>
      <c r="E255" s="5">
        <v>169.87</v>
      </c>
      <c r="F255" s="7" t="s">
        <v>531</v>
      </c>
      <c r="G255" s="7" t="s">
        <v>529</v>
      </c>
      <c r="H255" s="7" t="s">
        <v>886</v>
      </c>
    </row>
    <row r="256" spans="1:8" ht="60" customHeight="1" x14ac:dyDescent="0.25">
      <c r="A256" s="8" t="s">
        <v>525</v>
      </c>
      <c r="B256" s="8" t="s">
        <v>529</v>
      </c>
      <c r="C256" s="8" t="s">
        <v>4</v>
      </c>
      <c r="D256" s="8" t="s">
        <v>17</v>
      </c>
      <c r="E256" s="6">
        <v>262.22000000000003</v>
      </c>
      <c r="F256" s="8" t="s">
        <v>532</v>
      </c>
      <c r="G256" s="8" t="s">
        <v>529</v>
      </c>
      <c r="H256" s="8" t="s">
        <v>886</v>
      </c>
    </row>
    <row r="257" spans="1:8" ht="60" customHeight="1" x14ac:dyDescent="0.25">
      <c r="A257" s="7" t="s">
        <v>525</v>
      </c>
      <c r="B257" s="7" t="s">
        <v>529</v>
      </c>
      <c r="C257" s="7" t="s">
        <v>4</v>
      </c>
      <c r="D257" s="7" t="s">
        <v>17</v>
      </c>
      <c r="E257" s="5">
        <v>262.22000000000003</v>
      </c>
      <c r="F257" s="7" t="s">
        <v>533</v>
      </c>
      <c r="G257" s="7" t="s">
        <v>529</v>
      </c>
      <c r="H257" s="7" t="s">
        <v>886</v>
      </c>
    </row>
    <row r="258" spans="1:8" ht="60" customHeight="1" x14ac:dyDescent="0.25">
      <c r="A258" s="8" t="s">
        <v>525</v>
      </c>
      <c r="B258" s="8" t="s">
        <v>529</v>
      </c>
      <c r="C258" s="8" t="s">
        <v>4</v>
      </c>
      <c r="D258" s="8" t="s">
        <v>17</v>
      </c>
      <c r="E258" s="6">
        <v>285.02999999999997</v>
      </c>
      <c r="F258" s="8" t="s">
        <v>534</v>
      </c>
      <c r="G258" s="8" t="s">
        <v>529</v>
      </c>
      <c r="H258" s="8" t="s">
        <v>886</v>
      </c>
    </row>
    <row r="259" spans="1:8" ht="60" customHeight="1" x14ac:dyDescent="0.25">
      <c r="A259" s="7" t="s">
        <v>525</v>
      </c>
      <c r="B259" s="7" t="s">
        <v>535</v>
      </c>
      <c r="C259" s="7" t="s">
        <v>4</v>
      </c>
      <c r="D259" s="7" t="s">
        <v>17</v>
      </c>
      <c r="E259" s="5">
        <v>107.74</v>
      </c>
      <c r="F259" s="7" t="s">
        <v>536</v>
      </c>
      <c r="G259" s="7" t="s">
        <v>535</v>
      </c>
      <c r="H259" s="7" t="s">
        <v>886</v>
      </c>
    </row>
    <row r="260" spans="1:8" ht="60" customHeight="1" x14ac:dyDescent="0.25">
      <c r="A260" s="8" t="s">
        <v>525</v>
      </c>
      <c r="B260" s="8" t="s">
        <v>537</v>
      </c>
      <c r="C260" s="8" t="s">
        <v>4</v>
      </c>
      <c r="D260" s="8" t="s">
        <v>17</v>
      </c>
      <c r="E260" s="6">
        <v>547.30999999999995</v>
      </c>
      <c r="F260" s="8" t="s">
        <v>538</v>
      </c>
      <c r="G260" s="8" t="s">
        <v>537</v>
      </c>
      <c r="H260" s="8" t="s">
        <v>886</v>
      </c>
    </row>
    <row r="261" spans="1:8" ht="60" customHeight="1" x14ac:dyDescent="0.25">
      <c r="A261" s="7" t="s">
        <v>525</v>
      </c>
      <c r="B261" s="7" t="s">
        <v>285</v>
      </c>
      <c r="C261" s="7" t="s">
        <v>4</v>
      </c>
      <c r="D261" s="7" t="s">
        <v>17</v>
      </c>
      <c r="E261" s="5">
        <v>118.86</v>
      </c>
      <c r="F261" s="7" t="s">
        <v>539</v>
      </c>
      <c r="G261" s="7" t="s">
        <v>285</v>
      </c>
      <c r="H261" s="7" t="s">
        <v>886</v>
      </c>
    </row>
    <row r="262" spans="1:8" ht="60" customHeight="1" x14ac:dyDescent="0.25">
      <c r="A262" s="8" t="s">
        <v>525</v>
      </c>
      <c r="B262" s="8" t="s">
        <v>540</v>
      </c>
      <c r="C262" s="8" t="s">
        <v>4</v>
      </c>
      <c r="D262" s="8" t="s">
        <v>17</v>
      </c>
      <c r="E262" s="6">
        <v>171.02</v>
      </c>
      <c r="F262" s="8" t="s">
        <v>541</v>
      </c>
      <c r="G262" s="8" t="s">
        <v>540</v>
      </c>
      <c r="H262" s="8" t="s">
        <v>886</v>
      </c>
    </row>
    <row r="263" spans="1:8" ht="60" customHeight="1" x14ac:dyDescent="0.25">
      <c r="A263" s="7" t="s">
        <v>542</v>
      </c>
      <c r="B263" s="7" t="s">
        <v>543</v>
      </c>
      <c r="C263" s="7" t="s">
        <v>4</v>
      </c>
      <c r="D263" s="7" t="s">
        <v>17</v>
      </c>
      <c r="E263" s="5">
        <v>5.99</v>
      </c>
      <c r="F263" s="7" t="s">
        <v>544</v>
      </c>
      <c r="G263" s="7" t="s">
        <v>543</v>
      </c>
      <c r="H263" s="7" t="s">
        <v>858</v>
      </c>
    </row>
    <row r="264" spans="1:8" ht="60" customHeight="1" x14ac:dyDescent="0.25">
      <c r="A264" s="8" t="s">
        <v>542</v>
      </c>
      <c r="B264" s="8" t="s">
        <v>545</v>
      </c>
      <c r="C264" s="8" t="s">
        <v>4</v>
      </c>
      <c r="D264" s="8" t="s">
        <v>17</v>
      </c>
      <c r="E264" s="6">
        <v>19.97</v>
      </c>
      <c r="F264" s="8" t="s">
        <v>546</v>
      </c>
      <c r="G264" s="8" t="s">
        <v>545</v>
      </c>
      <c r="H264" s="8" t="s">
        <v>875</v>
      </c>
    </row>
    <row r="265" spans="1:8" ht="60" customHeight="1" x14ac:dyDescent="0.25">
      <c r="A265" s="7" t="s">
        <v>542</v>
      </c>
      <c r="B265" s="7" t="s">
        <v>547</v>
      </c>
      <c r="C265" s="7" t="s">
        <v>4</v>
      </c>
      <c r="D265" s="7" t="s">
        <v>17</v>
      </c>
      <c r="E265" s="5">
        <v>77.45</v>
      </c>
      <c r="F265" s="7" t="s">
        <v>548</v>
      </c>
      <c r="G265" s="7" t="s">
        <v>547</v>
      </c>
      <c r="H265" s="7" t="s">
        <v>886</v>
      </c>
    </row>
    <row r="266" spans="1:8" ht="60" customHeight="1" x14ac:dyDescent="0.25">
      <c r="A266" s="8" t="s">
        <v>549</v>
      </c>
      <c r="B266" s="8" t="s">
        <v>550</v>
      </c>
      <c r="C266" s="8" t="s">
        <v>4</v>
      </c>
      <c r="D266" s="8" t="s">
        <v>17</v>
      </c>
      <c r="E266" s="6">
        <v>656.24</v>
      </c>
      <c r="F266" s="8" t="s">
        <v>551</v>
      </c>
      <c r="G266" s="8" t="s">
        <v>550</v>
      </c>
      <c r="H266" s="8" t="s">
        <v>886</v>
      </c>
    </row>
    <row r="267" spans="1:8" ht="60" customHeight="1" x14ac:dyDescent="0.25">
      <c r="A267" s="7" t="s">
        <v>549</v>
      </c>
      <c r="B267" s="7" t="s">
        <v>552</v>
      </c>
      <c r="C267" s="7" t="s">
        <v>4</v>
      </c>
      <c r="D267" s="7" t="s">
        <v>17</v>
      </c>
      <c r="E267" s="5">
        <v>161.78</v>
      </c>
      <c r="F267" s="7" t="s">
        <v>553</v>
      </c>
      <c r="G267" s="7" t="s">
        <v>552</v>
      </c>
      <c r="H267" s="7" t="s">
        <v>886</v>
      </c>
    </row>
    <row r="268" spans="1:8" ht="60" customHeight="1" x14ac:dyDescent="0.25">
      <c r="A268" s="8" t="s">
        <v>549</v>
      </c>
      <c r="B268" s="8" t="s">
        <v>554</v>
      </c>
      <c r="C268" s="8" t="s">
        <v>4</v>
      </c>
      <c r="D268" s="8" t="s">
        <v>17</v>
      </c>
      <c r="E268" s="6">
        <v>62.89</v>
      </c>
      <c r="F268" s="8" t="s">
        <v>555</v>
      </c>
      <c r="G268" s="8" t="s">
        <v>554</v>
      </c>
      <c r="H268" s="8" t="s">
        <v>886</v>
      </c>
    </row>
    <row r="269" spans="1:8" ht="60" customHeight="1" x14ac:dyDescent="0.25">
      <c r="A269" s="7" t="s">
        <v>549</v>
      </c>
      <c r="B269" s="7" t="s">
        <v>529</v>
      </c>
      <c r="C269" s="7" t="s">
        <v>4</v>
      </c>
      <c r="D269" s="7" t="s">
        <v>17</v>
      </c>
      <c r="E269" s="5">
        <v>3391.24</v>
      </c>
      <c r="F269" s="7" t="s">
        <v>556</v>
      </c>
      <c r="G269" s="7" t="s">
        <v>529</v>
      </c>
      <c r="H269" s="7" t="s">
        <v>886</v>
      </c>
    </row>
    <row r="270" spans="1:8" ht="60" customHeight="1" x14ac:dyDescent="0.25">
      <c r="A270" s="8" t="s">
        <v>549</v>
      </c>
      <c r="B270" s="8" t="s">
        <v>557</v>
      </c>
      <c r="C270" s="8" t="s">
        <v>4</v>
      </c>
      <c r="D270" s="8" t="s">
        <v>17</v>
      </c>
      <c r="E270" s="6">
        <v>55.28</v>
      </c>
      <c r="F270" s="8" t="s">
        <v>558</v>
      </c>
      <c r="G270" s="8" t="s">
        <v>557</v>
      </c>
      <c r="H270" s="8" t="s">
        <v>886</v>
      </c>
    </row>
    <row r="271" spans="1:8" ht="60" customHeight="1" x14ac:dyDescent="0.25">
      <c r="A271" s="7" t="s">
        <v>559</v>
      </c>
      <c r="B271" s="7" t="s">
        <v>560</v>
      </c>
      <c r="C271" s="7" t="s">
        <v>4</v>
      </c>
      <c r="D271" s="7" t="s">
        <v>17</v>
      </c>
      <c r="E271" s="5">
        <v>216.47</v>
      </c>
      <c r="F271" s="7" t="s">
        <v>561</v>
      </c>
      <c r="G271" s="7" t="s">
        <v>560</v>
      </c>
      <c r="H271" s="7" t="s">
        <v>886</v>
      </c>
    </row>
    <row r="272" spans="1:8" ht="60" customHeight="1" x14ac:dyDescent="0.25">
      <c r="A272" s="8" t="s">
        <v>559</v>
      </c>
      <c r="B272" s="8" t="s">
        <v>562</v>
      </c>
      <c r="C272" s="8" t="s">
        <v>4</v>
      </c>
      <c r="D272" s="8" t="s">
        <v>17</v>
      </c>
      <c r="E272" s="6">
        <v>611.11</v>
      </c>
      <c r="F272" s="8" t="s">
        <v>563</v>
      </c>
      <c r="G272" s="8" t="s">
        <v>562</v>
      </c>
      <c r="H272" s="8" t="s">
        <v>886</v>
      </c>
    </row>
    <row r="273" spans="1:8" ht="60" customHeight="1" x14ac:dyDescent="0.25">
      <c r="A273" s="7" t="s">
        <v>559</v>
      </c>
      <c r="B273" s="7" t="s">
        <v>564</v>
      </c>
      <c r="C273" s="7" t="s">
        <v>4</v>
      </c>
      <c r="D273" s="7" t="s">
        <v>17</v>
      </c>
      <c r="E273" s="5">
        <v>76.819999999999993</v>
      </c>
      <c r="F273" s="7" t="s">
        <v>565</v>
      </c>
      <c r="G273" s="7" t="s">
        <v>564</v>
      </c>
      <c r="H273" s="7" t="s">
        <v>886</v>
      </c>
    </row>
    <row r="274" spans="1:8" ht="60" customHeight="1" x14ac:dyDescent="0.25">
      <c r="A274" s="8" t="s">
        <v>559</v>
      </c>
      <c r="B274" s="8" t="s">
        <v>566</v>
      </c>
      <c r="C274" s="8" t="s">
        <v>4</v>
      </c>
      <c r="D274" s="8" t="s">
        <v>17</v>
      </c>
      <c r="E274" s="6">
        <v>143.97</v>
      </c>
      <c r="F274" s="8" t="s">
        <v>567</v>
      </c>
      <c r="G274" s="8" t="s">
        <v>566</v>
      </c>
      <c r="H274" s="8" t="s">
        <v>886</v>
      </c>
    </row>
    <row r="275" spans="1:8" ht="60" customHeight="1" x14ac:dyDescent="0.25">
      <c r="A275" s="7" t="s">
        <v>568</v>
      </c>
      <c r="B275" s="7" t="s">
        <v>365</v>
      </c>
      <c r="C275" s="7" t="s">
        <v>4</v>
      </c>
      <c r="D275" s="7" t="s">
        <v>17</v>
      </c>
      <c r="E275" s="5">
        <v>10.81</v>
      </c>
      <c r="F275" s="7" t="s">
        <v>569</v>
      </c>
      <c r="G275" s="7" t="s">
        <v>365</v>
      </c>
      <c r="H275" s="7" t="s">
        <v>858</v>
      </c>
    </row>
    <row r="276" spans="1:8" ht="60" customHeight="1" x14ac:dyDescent="0.25">
      <c r="A276" s="8" t="s">
        <v>568</v>
      </c>
      <c r="B276" s="8" t="s">
        <v>560</v>
      </c>
      <c r="C276" s="8" t="s">
        <v>4</v>
      </c>
      <c r="D276" s="8" t="s">
        <v>17</v>
      </c>
      <c r="E276" s="6">
        <v>216.22</v>
      </c>
      <c r="F276" s="8" t="s">
        <v>561</v>
      </c>
      <c r="G276" s="8" t="s">
        <v>560</v>
      </c>
      <c r="H276" s="8" t="s">
        <v>886</v>
      </c>
    </row>
    <row r="277" spans="1:8" ht="60" customHeight="1" x14ac:dyDescent="0.25">
      <c r="A277" s="7" t="s">
        <v>568</v>
      </c>
      <c r="B277" s="7" t="s">
        <v>570</v>
      </c>
      <c r="C277" s="7" t="s">
        <v>4</v>
      </c>
      <c r="D277" s="7" t="s">
        <v>17</v>
      </c>
      <c r="E277" s="5">
        <v>88.89</v>
      </c>
      <c r="F277" s="7" t="s">
        <v>571</v>
      </c>
      <c r="G277" s="7" t="s">
        <v>570</v>
      </c>
      <c r="H277" s="7" t="s">
        <v>886</v>
      </c>
    </row>
    <row r="278" spans="1:8" ht="60" customHeight="1" x14ac:dyDescent="0.25">
      <c r="A278" s="8" t="s">
        <v>572</v>
      </c>
      <c r="B278" s="8" t="s">
        <v>573</v>
      </c>
      <c r="C278" s="8" t="s">
        <v>4</v>
      </c>
      <c r="D278" s="8" t="s">
        <v>17</v>
      </c>
      <c r="E278" s="6">
        <v>15.98</v>
      </c>
      <c r="F278" s="8" t="s">
        <v>574</v>
      </c>
      <c r="G278" s="8" t="s">
        <v>573</v>
      </c>
      <c r="H278" s="8" t="s">
        <v>875</v>
      </c>
    </row>
    <row r="279" spans="1:8" ht="60" customHeight="1" x14ac:dyDescent="0.25">
      <c r="A279" s="7" t="s">
        <v>572</v>
      </c>
      <c r="B279" s="7" t="s">
        <v>575</v>
      </c>
      <c r="C279" s="7" t="s">
        <v>4</v>
      </c>
      <c r="D279" s="7" t="s">
        <v>17</v>
      </c>
      <c r="E279" s="5">
        <v>243</v>
      </c>
      <c r="F279" s="7" t="s">
        <v>576</v>
      </c>
      <c r="G279" s="7" t="s">
        <v>575</v>
      </c>
      <c r="H279" s="7" t="s">
        <v>886</v>
      </c>
    </row>
    <row r="280" spans="1:8" ht="60" customHeight="1" x14ac:dyDescent="0.25">
      <c r="A280" s="8" t="s">
        <v>572</v>
      </c>
      <c r="B280" s="8" t="s">
        <v>575</v>
      </c>
      <c r="C280" s="8" t="s">
        <v>4</v>
      </c>
      <c r="D280" s="8" t="s">
        <v>17</v>
      </c>
      <c r="E280" s="6">
        <v>243</v>
      </c>
      <c r="F280" s="8" t="s">
        <v>577</v>
      </c>
      <c r="G280" s="8" t="s">
        <v>575</v>
      </c>
      <c r="H280" s="8" t="s">
        <v>886</v>
      </c>
    </row>
    <row r="281" spans="1:8" ht="60" customHeight="1" x14ac:dyDescent="0.25">
      <c r="A281" s="7" t="s">
        <v>572</v>
      </c>
      <c r="B281" s="7" t="s">
        <v>578</v>
      </c>
      <c r="C281" s="7" t="s">
        <v>4</v>
      </c>
      <c r="D281" s="7" t="s">
        <v>17</v>
      </c>
      <c r="E281" s="5">
        <v>518.55999999999995</v>
      </c>
      <c r="F281" s="7" t="s">
        <v>579</v>
      </c>
      <c r="G281" s="7" t="s">
        <v>578</v>
      </c>
      <c r="H281" s="7" t="s">
        <v>886</v>
      </c>
    </row>
    <row r="282" spans="1:8" ht="60" customHeight="1" x14ac:dyDescent="0.25">
      <c r="A282" s="8" t="s">
        <v>572</v>
      </c>
      <c r="B282" s="8" t="s">
        <v>580</v>
      </c>
      <c r="C282" s="8" t="s">
        <v>4</v>
      </c>
      <c r="D282" s="8" t="s">
        <v>17</v>
      </c>
      <c r="E282" s="6">
        <v>319.01</v>
      </c>
      <c r="F282" s="8" t="s">
        <v>581</v>
      </c>
      <c r="G282" s="8" t="s">
        <v>580</v>
      </c>
      <c r="H282" s="8" t="s">
        <v>886</v>
      </c>
    </row>
    <row r="283" spans="1:8" ht="60" customHeight="1" x14ac:dyDescent="0.25">
      <c r="A283" s="7" t="s">
        <v>572</v>
      </c>
      <c r="B283" s="7" t="s">
        <v>582</v>
      </c>
      <c r="C283" s="7" t="s">
        <v>4</v>
      </c>
      <c r="D283" s="7" t="s">
        <v>17</v>
      </c>
      <c r="E283" s="5">
        <v>99.41</v>
      </c>
      <c r="F283" s="7" t="s">
        <v>583</v>
      </c>
      <c r="G283" s="7" t="s">
        <v>582</v>
      </c>
      <c r="H283" s="7" t="s">
        <v>886</v>
      </c>
    </row>
    <row r="284" spans="1:8" ht="60" customHeight="1" x14ac:dyDescent="0.25">
      <c r="A284" s="8" t="s">
        <v>572</v>
      </c>
      <c r="B284" s="8" t="s">
        <v>584</v>
      </c>
      <c r="C284" s="8" t="s">
        <v>4</v>
      </c>
      <c r="D284" s="8" t="s">
        <v>17</v>
      </c>
      <c r="E284" s="6">
        <v>11.48</v>
      </c>
      <c r="F284" s="8" t="s">
        <v>585</v>
      </c>
      <c r="G284" s="8" t="s">
        <v>584</v>
      </c>
      <c r="H284" s="8" t="s">
        <v>886</v>
      </c>
    </row>
    <row r="285" spans="1:8" ht="60" customHeight="1" x14ac:dyDescent="0.25">
      <c r="A285" s="7" t="s">
        <v>572</v>
      </c>
      <c r="B285" s="7" t="s">
        <v>584</v>
      </c>
      <c r="C285" s="7" t="s">
        <v>4</v>
      </c>
      <c r="D285" s="7" t="s">
        <v>17</v>
      </c>
      <c r="E285" s="5">
        <v>137.13</v>
      </c>
      <c r="F285" s="7" t="s">
        <v>586</v>
      </c>
      <c r="G285" s="7" t="s">
        <v>584</v>
      </c>
      <c r="H285" s="7" t="s">
        <v>886</v>
      </c>
    </row>
    <row r="286" spans="1:8" ht="60" customHeight="1" x14ac:dyDescent="0.25">
      <c r="A286" s="8" t="s">
        <v>587</v>
      </c>
      <c r="B286" s="8" t="s">
        <v>588</v>
      </c>
      <c r="C286" s="8" t="s">
        <v>4</v>
      </c>
      <c r="D286" s="8" t="s">
        <v>17</v>
      </c>
      <c r="E286" s="6">
        <v>4241.25</v>
      </c>
      <c r="F286" s="8" t="s">
        <v>589</v>
      </c>
      <c r="G286" s="8" t="s">
        <v>588</v>
      </c>
      <c r="H286" s="8" t="s">
        <v>886</v>
      </c>
    </row>
    <row r="287" spans="1:8" ht="60" customHeight="1" x14ac:dyDescent="0.25">
      <c r="A287" s="7" t="s">
        <v>587</v>
      </c>
      <c r="B287" s="7" t="s">
        <v>590</v>
      </c>
      <c r="C287" s="7" t="s">
        <v>4</v>
      </c>
      <c r="D287" s="7" t="s">
        <v>17</v>
      </c>
      <c r="E287" s="5">
        <v>203.68</v>
      </c>
      <c r="F287" s="7" t="s">
        <v>591</v>
      </c>
      <c r="G287" s="7" t="s">
        <v>590</v>
      </c>
      <c r="H287" s="7" t="s">
        <v>886</v>
      </c>
    </row>
    <row r="288" spans="1:8" ht="60" customHeight="1" x14ac:dyDescent="0.25">
      <c r="A288" s="8" t="s">
        <v>587</v>
      </c>
      <c r="B288" s="8" t="s">
        <v>285</v>
      </c>
      <c r="C288" s="8" t="s">
        <v>4</v>
      </c>
      <c r="D288" s="8" t="s">
        <v>17</v>
      </c>
      <c r="E288" s="6">
        <v>47.96</v>
      </c>
      <c r="F288" s="8" t="s">
        <v>592</v>
      </c>
      <c r="G288" s="8" t="s">
        <v>285</v>
      </c>
      <c r="H288" s="8" t="s">
        <v>871</v>
      </c>
    </row>
    <row r="289" spans="1:8" ht="60" customHeight="1" x14ac:dyDescent="0.25">
      <c r="A289" s="7" t="s">
        <v>593</v>
      </c>
      <c r="B289" s="7" t="s">
        <v>594</v>
      </c>
      <c r="C289" s="7" t="s">
        <v>4</v>
      </c>
      <c r="D289" s="7" t="s">
        <v>17</v>
      </c>
      <c r="E289" s="5">
        <v>76.09</v>
      </c>
      <c r="F289" s="7" t="s">
        <v>595</v>
      </c>
      <c r="G289" s="7" t="s">
        <v>594</v>
      </c>
      <c r="H289" s="7" t="s">
        <v>886</v>
      </c>
    </row>
    <row r="290" spans="1:8" ht="60" customHeight="1" x14ac:dyDescent="0.25">
      <c r="A290" s="8" t="s">
        <v>593</v>
      </c>
      <c r="B290" s="8" t="s">
        <v>596</v>
      </c>
      <c r="C290" s="8" t="s">
        <v>4</v>
      </c>
      <c r="D290" s="8" t="s">
        <v>17</v>
      </c>
      <c r="E290" s="6">
        <v>26.98</v>
      </c>
      <c r="F290" s="8" t="s">
        <v>597</v>
      </c>
      <c r="G290" s="8" t="s">
        <v>596</v>
      </c>
      <c r="H290" s="8" t="s">
        <v>875</v>
      </c>
    </row>
    <row r="291" spans="1:8" ht="60" customHeight="1" x14ac:dyDescent="0.25">
      <c r="A291" s="7" t="s">
        <v>593</v>
      </c>
      <c r="B291" s="7" t="s">
        <v>598</v>
      </c>
      <c r="C291" s="7" t="s">
        <v>4</v>
      </c>
      <c r="D291" s="7" t="s">
        <v>17</v>
      </c>
      <c r="E291" s="5">
        <v>78.66</v>
      </c>
      <c r="F291" s="7" t="s">
        <v>599</v>
      </c>
      <c r="G291" s="7" t="s">
        <v>598</v>
      </c>
      <c r="H291" s="7" t="s">
        <v>886</v>
      </c>
    </row>
    <row r="292" spans="1:8" ht="60" customHeight="1" x14ac:dyDescent="0.25">
      <c r="A292" s="8" t="s">
        <v>593</v>
      </c>
      <c r="B292" s="8" t="s">
        <v>303</v>
      </c>
      <c r="C292" s="8" t="s">
        <v>4</v>
      </c>
      <c r="D292" s="8" t="s">
        <v>17</v>
      </c>
      <c r="E292" s="6">
        <v>9.99</v>
      </c>
      <c r="F292" s="8" t="s">
        <v>600</v>
      </c>
      <c r="G292" s="8" t="s">
        <v>303</v>
      </c>
      <c r="H292" s="8" t="s">
        <v>858</v>
      </c>
    </row>
    <row r="293" spans="1:8" ht="60" customHeight="1" x14ac:dyDescent="0.25">
      <c r="A293" s="7" t="s">
        <v>593</v>
      </c>
      <c r="B293" s="7" t="s">
        <v>601</v>
      </c>
      <c r="C293" s="7" t="s">
        <v>4</v>
      </c>
      <c r="D293" s="7" t="s">
        <v>17</v>
      </c>
      <c r="E293" s="5">
        <v>75.69</v>
      </c>
      <c r="F293" s="7" t="s">
        <v>602</v>
      </c>
      <c r="G293" s="7" t="s">
        <v>601</v>
      </c>
      <c r="H293" s="7" t="s">
        <v>886</v>
      </c>
    </row>
    <row r="294" spans="1:8" ht="60" customHeight="1" x14ac:dyDescent="0.25">
      <c r="A294" s="8" t="s">
        <v>603</v>
      </c>
      <c r="B294" s="8" t="s">
        <v>604</v>
      </c>
      <c r="C294" s="8" t="s">
        <v>4</v>
      </c>
      <c r="D294" s="8" t="s">
        <v>17</v>
      </c>
      <c r="E294" s="6">
        <v>13.79</v>
      </c>
      <c r="F294" s="8" t="s">
        <v>605</v>
      </c>
      <c r="G294" s="8" t="s">
        <v>604</v>
      </c>
      <c r="H294" s="8" t="s">
        <v>875</v>
      </c>
    </row>
    <row r="295" spans="1:8" ht="60" customHeight="1" x14ac:dyDescent="0.25">
      <c r="A295" s="7" t="s">
        <v>603</v>
      </c>
      <c r="B295" s="7" t="s">
        <v>606</v>
      </c>
      <c r="C295" s="7" t="s">
        <v>4</v>
      </c>
      <c r="D295" s="7" t="s">
        <v>17</v>
      </c>
      <c r="E295" s="5">
        <v>68.25</v>
      </c>
      <c r="F295" s="7" t="s">
        <v>607</v>
      </c>
      <c r="G295" s="7" t="s">
        <v>606</v>
      </c>
      <c r="H295" s="7" t="s">
        <v>886</v>
      </c>
    </row>
    <row r="296" spans="1:8" ht="60" customHeight="1" x14ac:dyDescent="0.25">
      <c r="A296" s="8" t="s">
        <v>603</v>
      </c>
      <c r="B296" s="8" t="s">
        <v>608</v>
      </c>
      <c r="C296" s="8" t="s">
        <v>4</v>
      </c>
      <c r="D296" s="8" t="s">
        <v>17</v>
      </c>
      <c r="E296" s="6">
        <v>145.46</v>
      </c>
      <c r="F296" s="8" t="s">
        <v>609</v>
      </c>
      <c r="G296" s="8" t="s">
        <v>608</v>
      </c>
      <c r="H296" s="8" t="s">
        <v>886</v>
      </c>
    </row>
    <row r="297" spans="1:8" ht="60" customHeight="1" x14ac:dyDescent="0.25">
      <c r="A297" s="7" t="s">
        <v>603</v>
      </c>
      <c r="B297" s="7" t="s">
        <v>610</v>
      </c>
      <c r="C297" s="7" t="s">
        <v>4</v>
      </c>
      <c r="D297" s="7" t="s">
        <v>17</v>
      </c>
      <c r="E297" s="5">
        <v>55.49</v>
      </c>
      <c r="F297" s="7" t="s">
        <v>611</v>
      </c>
      <c r="G297" s="7" t="s">
        <v>610</v>
      </c>
      <c r="H297" s="7" t="s">
        <v>886</v>
      </c>
    </row>
    <row r="298" spans="1:8" ht="60" customHeight="1" x14ac:dyDescent="0.25">
      <c r="A298" s="8" t="s">
        <v>603</v>
      </c>
      <c r="B298" s="8" t="s">
        <v>430</v>
      </c>
      <c r="C298" s="8" t="s">
        <v>4</v>
      </c>
      <c r="D298" s="8" t="s">
        <v>17</v>
      </c>
      <c r="E298" s="6">
        <v>-122.94</v>
      </c>
      <c r="F298" s="8" t="s">
        <v>612</v>
      </c>
      <c r="G298" s="8" t="s">
        <v>430</v>
      </c>
      <c r="H298" s="8" t="s">
        <v>886</v>
      </c>
    </row>
    <row r="299" spans="1:8" ht="60" customHeight="1" x14ac:dyDescent="0.25">
      <c r="A299" s="7" t="s">
        <v>603</v>
      </c>
      <c r="B299" s="7" t="s">
        <v>430</v>
      </c>
      <c r="C299" s="7" t="s">
        <v>4</v>
      </c>
      <c r="D299" s="7" t="s">
        <v>17</v>
      </c>
      <c r="E299" s="5">
        <v>-67.06</v>
      </c>
      <c r="F299" s="7" t="s">
        <v>613</v>
      </c>
      <c r="G299" s="7" t="s">
        <v>430</v>
      </c>
      <c r="H299" s="7" t="s">
        <v>886</v>
      </c>
    </row>
    <row r="300" spans="1:8" ht="60" customHeight="1" x14ac:dyDescent="0.25">
      <c r="A300" s="8" t="s">
        <v>603</v>
      </c>
      <c r="B300" s="8" t="s">
        <v>430</v>
      </c>
      <c r="C300" s="8" t="s">
        <v>4</v>
      </c>
      <c r="D300" s="8" t="s">
        <v>17</v>
      </c>
      <c r="E300" s="6">
        <v>67.06</v>
      </c>
      <c r="F300" s="8" t="s">
        <v>613</v>
      </c>
      <c r="G300" s="8" t="s">
        <v>430</v>
      </c>
      <c r="H300" s="8" t="s">
        <v>886</v>
      </c>
    </row>
    <row r="301" spans="1:8" ht="60" customHeight="1" x14ac:dyDescent="0.25">
      <c r="A301" s="7" t="s">
        <v>603</v>
      </c>
      <c r="B301" s="7" t="s">
        <v>430</v>
      </c>
      <c r="C301" s="7" t="s">
        <v>4</v>
      </c>
      <c r="D301" s="7" t="s">
        <v>17</v>
      </c>
      <c r="E301" s="5">
        <v>122.94</v>
      </c>
      <c r="F301" s="7" t="s">
        <v>612</v>
      </c>
      <c r="G301" s="7" t="s">
        <v>430</v>
      </c>
      <c r="H301" s="7" t="s">
        <v>886</v>
      </c>
    </row>
    <row r="302" spans="1:8" ht="60" customHeight="1" x14ac:dyDescent="0.25">
      <c r="A302" s="8" t="s">
        <v>614</v>
      </c>
      <c r="B302" s="8" t="s">
        <v>615</v>
      </c>
      <c r="C302" s="8" t="s">
        <v>4</v>
      </c>
      <c r="D302" s="8" t="s">
        <v>17</v>
      </c>
      <c r="E302" s="6">
        <v>29.97</v>
      </c>
      <c r="F302" s="8" t="s">
        <v>616</v>
      </c>
      <c r="G302" s="8" t="s">
        <v>615</v>
      </c>
      <c r="H302" s="8" t="s">
        <v>875</v>
      </c>
    </row>
    <row r="303" spans="1:8" ht="60" customHeight="1" x14ac:dyDescent="0.25">
      <c r="A303" s="7" t="s">
        <v>614</v>
      </c>
      <c r="B303" s="7" t="s">
        <v>617</v>
      </c>
      <c r="C303" s="7" t="s">
        <v>4</v>
      </c>
      <c r="D303" s="7" t="s">
        <v>17</v>
      </c>
      <c r="E303" s="5">
        <v>73.19</v>
      </c>
      <c r="F303" s="7" t="s">
        <v>618</v>
      </c>
      <c r="G303" s="7" t="s">
        <v>617</v>
      </c>
      <c r="H303" s="7" t="s">
        <v>886</v>
      </c>
    </row>
    <row r="304" spans="1:8" ht="60" customHeight="1" x14ac:dyDescent="0.25">
      <c r="A304" s="8" t="s">
        <v>614</v>
      </c>
      <c r="B304" s="8" t="s">
        <v>617</v>
      </c>
      <c r="C304" s="8" t="s">
        <v>4</v>
      </c>
      <c r="D304" s="8" t="s">
        <v>17</v>
      </c>
      <c r="E304" s="6">
        <v>147.94999999999999</v>
      </c>
      <c r="F304" s="8" t="s">
        <v>619</v>
      </c>
      <c r="G304" s="8" t="s">
        <v>617</v>
      </c>
      <c r="H304" s="8" t="s">
        <v>886</v>
      </c>
    </row>
    <row r="305" spans="1:8" ht="60" customHeight="1" x14ac:dyDescent="0.25">
      <c r="A305" s="7" t="s">
        <v>614</v>
      </c>
      <c r="B305" s="7" t="s">
        <v>430</v>
      </c>
      <c r="C305" s="7" t="s">
        <v>4</v>
      </c>
      <c r="D305" s="7" t="s">
        <v>17</v>
      </c>
      <c r="E305" s="5">
        <v>1334.16</v>
      </c>
      <c r="F305" s="7" t="s">
        <v>620</v>
      </c>
      <c r="G305" s="7" t="s">
        <v>430</v>
      </c>
      <c r="H305" s="7" t="s">
        <v>886</v>
      </c>
    </row>
    <row r="306" spans="1:8" ht="60" customHeight="1" x14ac:dyDescent="0.25">
      <c r="A306" s="8" t="s">
        <v>621</v>
      </c>
      <c r="B306" s="8" t="s">
        <v>622</v>
      </c>
      <c r="C306" s="8" t="s">
        <v>4</v>
      </c>
      <c r="D306" s="8" t="s">
        <v>17</v>
      </c>
      <c r="E306" s="6">
        <v>1563.86</v>
      </c>
      <c r="F306" s="8" t="s">
        <v>623</v>
      </c>
      <c r="G306" s="8" t="s">
        <v>622</v>
      </c>
      <c r="H306" s="8" t="s">
        <v>886</v>
      </c>
    </row>
    <row r="307" spans="1:8" ht="60" customHeight="1" x14ac:dyDescent="0.25">
      <c r="A307" s="7" t="s">
        <v>621</v>
      </c>
      <c r="B307" s="7" t="s">
        <v>624</v>
      </c>
      <c r="C307" s="7" t="s">
        <v>4</v>
      </c>
      <c r="D307" s="7" t="s">
        <v>17</v>
      </c>
      <c r="E307" s="5">
        <v>271.60000000000002</v>
      </c>
      <c r="F307" s="7" t="s">
        <v>625</v>
      </c>
      <c r="G307" s="7" t="s">
        <v>624</v>
      </c>
      <c r="H307" s="7" t="s">
        <v>886</v>
      </c>
    </row>
    <row r="308" spans="1:8" ht="60" customHeight="1" x14ac:dyDescent="0.25">
      <c r="A308" s="8" t="s">
        <v>621</v>
      </c>
      <c r="B308" s="8" t="s">
        <v>626</v>
      </c>
      <c r="C308" s="8" t="s">
        <v>4</v>
      </c>
      <c r="D308" s="8" t="s">
        <v>17</v>
      </c>
      <c r="E308" s="6">
        <v>-1734.48</v>
      </c>
      <c r="F308" s="8" t="s">
        <v>627</v>
      </c>
      <c r="G308" s="8" t="s">
        <v>626</v>
      </c>
      <c r="H308" s="8" t="s">
        <v>886</v>
      </c>
    </row>
    <row r="309" spans="1:8" ht="60" customHeight="1" x14ac:dyDescent="0.25">
      <c r="A309" s="7" t="s">
        <v>621</v>
      </c>
      <c r="B309" s="7" t="s">
        <v>628</v>
      </c>
      <c r="C309" s="7" t="s">
        <v>4</v>
      </c>
      <c r="D309" s="7" t="s">
        <v>17</v>
      </c>
      <c r="E309" s="5">
        <v>17.350000000000001</v>
      </c>
      <c r="F309" s="7" t="s">
        <v>629</v>
      </c>
      <c r="G309" s="7" t="s">
        <v>628</v>
      </c>
      <c r="H309" s="7" t="s">
        <v>886</v>
      </c>
    </row>
    <row r="310" spans="1:8" ht="60" customHeight="1" x14ac:dyDescent="0.25">
      <c r="A310" s="8" t="s">
        <v>621</v>
      </c>
      <c r="B310" s="8" t="s">
        <v>630</v>
      </c>
      <c r="C310" s="8" t="s">
        <v>4</v>
      </c>
      <c r="D310" s="8" t="s">
        <v>17</v>
      </c>
      <c r="E310" s="6">
        <v>58.58</v>
      </c>
      <c r="F310" s="8" t="s">
        <v>631</v>
      </c>
      <c r="G310" s="8" t="s">
        <v>630</v>
      </c>
      <c r="H310" s="8" t="s">
        <v>886</v>
      </c>
    </row>
    <row r="311" spans="1:8" ht="60" customHeight="1" x14ac:dyDescent="0.25">
      <c r="A311" s="7" t="s">
        <v>632</v>
      </c>
      <c r="B311" s="7" t="s">
        <v>430</v>
      </c>
      <c r="C311" s="7" t="s">
        <v>4</v>
      </c>
      <c r="D311" s="7" t="s">
        <v>17</v>
      </c>
      <c r="E311" s="5">
        <v>211.24</v>
      </c>
      <c r="F311" s="7" t="s">
        <v>633</v>
      </c>
      <c r="G311" s="7" t="s">
        <v>430</v>
      </c>
      <c r="H311" s="7" t="s">
        <v>886</v>
      </c>
    </row>
    <row r="312" spans="1:8" ht="60" customHeight="1" x14ac:dyDescent="0.25">
      <c r="A312" s="8" t="s">
        <v>634</v>
      </c>
      <c r="B312" s="8" t="s">
        <v>267</v>
      </c>
      <c r="C312" s="8" t="s">
        <v>4</v>
      </c>
      <c r="D312" s="8" t="s">
        <v>17</v>
      </c>
      <c r="E312" s="6">
        <v>10.81</v>
      </c>
      <c r="F312" s="8" t="s">
        <v>635</v>
      </c>
      <c r="G312" s="8" t="s">
        <v>267</v>
      </c>
      <c r="H312" s="8" t="s">
        <v>858</v>
      </c>
    </row>
    <row r="313" spans="1:8" ht="60" customHeight="1" x14ac:dyDescent="0.25">
      <c r="A313" s="7" t="s">
        <v>634</v>
      </c>
      <c r="B313" s="7" t="s">
        <v>636</v>
      </c>
      <c r="C313" s="7" t="s">
        <v>4</v>
      </c>
      <c r="D313" s="7" t="s">
        <v>17</v>
      </c>
      <c r="E313" s="5">
        <v>96.99</v>
      </c>
      <c r="F313" s="7" t="s">
        <v>637</v>
      </c>
      <c r="G313" s="7" t="s">
        <v>636</v>
      </c>
      <c r="H313" s="7" t="s">
        <v>886</v>
      </c>
    </row>
    <row r="314" spans="1:8" ht="60" customHeight="1" x14ac:dyDescent="0.25">
      <c r="A314" s="8" t="s">
        <v>634</v>
      </c>
      <c r="B314" s="8" t="s">
        <v>430</v>
      </c>
      <c r="C314" s="8" t="s">
        <v>4</v>
      </c>
      <c r="D314" s="8" t="s">
        <v>17</v>
      </c>
      <c r="E314" s="6">
        <v>729.34</v>
      </c>
      <c r="F314" s="8" t="s">
        <v>638</v>
      </c>
      <c r="G314" s="8" t="s">
        <v>430</v>
      </c>
      <c r="H314" s="8" t="s">
        <v>886</v>
      </c>
    </row>
    <row r="315" spans="1:8" ht="60" customHeight="1" x14ac:dyDescent="0.25">
      <c r="A315" s="7" t="s">
        <v>639</v>
      </c>
      <c r="B315" s="7" t="s">
        <v>400</v>
      </c>
      <c r="C315" s="7" t="s">
        <v>4</v>
      </c>
      <c r="D315" s="7" t="s">
        <v>17</v>
      </c>
      <c r="E315" s="5">
        <v>-284.98</v>
      </c>
      <c r="F315" s="7" t="s">
        <v>401</v>
      </c>
      <c r="G315" s="7" t="s">
        <v>400</v>
      </c>
      <c r="H315" s="7" t="s">
        <v>402</v>
      </c>
    </row>
    <row r="316" spans="1:8" ht="60" customHeight="1" x14ac:dyDescent="0.25">
      <c r="A316" s="8" t="s">
        <v>639</v>
      </c>
      <c r="B316" s="8" t="s">
        <v>640</v>
      </c>
      <c r="C316" s="8" t="s">
        <v>4</v>
      </c>
      <c r="D316" s="8" t="s">
        <v>17</v>
      </c>
      <c r="E316" s="6">
        <v>250</v>
      </c>
      <c r="F316" s="8" t="s">
        <v>641</v>
      </c>
      <c r="G316" s="8" t="s">
        <v>640</v>
      </c>
      <c r="H316" s="8" t="s">
        <v>641</v>
      </c>
    </row>
    <row r="317" spans="1:8" ht="60" customHeight="1" x14ac:dyDescent="0.25">
      <c r="A317" s="7" t="s">
        <v>639</v>
      </c>
      <c r="B317" s="7" t="s">
        <v>642</v>
      </c>
      <c r="C317" s="7" t="s">
        <v>4</v>
      </c>
      <c r="D317" s="7" t="s">
        <v>17</v>
      </c>
      <c r="E317" s="5">
        <v>141.58000000000001</v>
      </c>
      <c r="F317" s="7" t="s">
        <v>643</v>
      </c>
      <c r="G317" s="7" t="s">
        <v>642</v>
      </c>
      <c r="H317" s="7" t="s">
        <v>886</v>
      </c>
    </row>
    <row r="318" spans="1:8" ht="60" customHeight="1" x14ac:dyDescent="0.25">
      <c r="A318" s="8" t="s">
        <v>639</v>
      </c>
      <c r="B318" s="8" t="s">
        <v>285</v>
      </c>
      <c r="C318" s="8" t="s">
        <v>4</v>
      </c>
      <c r="D318" s="8" t="s">
        <v>17</v>
      </c>
      <c r="E318" s="6">
        <v>85.38</v>
      </c>
      <c r="F318" s="8" t="s">
        <v>644</v>
      </c>
      <c r="G318" s="8" t="s">
        <v>285</v>
      </c>
      <c r="H318" s="8" t="s">
        <v>871</v>
      </c>
    </row>
    <row r="319" spans="1:8" ht="60" customHeight="1" x14ac:dyDescent="0.25">
      <c r="A319" s="7" t="s">
        <v>639</v>
      </c>
      <c r="B319" s="7" t="s">
        <v>430</v>
      </c>
      <c r="C319" s="7" t="s">
        <v>4</v>
      </c>
      <c r="D319" s="7" t="s">
        <v>17</v>
      </c>
      <c r="E319" s="5">
        <v>-48.95</v>
      </c>
      <c r="F319" s="7" t="s">
        <v>645</v>
      </c>
      <c r="G319" s="7" t="s">
        <v>430</v>
      </c>
      <c r="H319" s="7" t="s">
        <v>886</v>
      </c>
    </row>
    <row r="320" spans="1:8" ht="60" customHeight="1" x14ac:dyDescent="0.25">
      <c r="A320" s="8" t="s">
        <v>639</v>
      </c>
      <c r="B320" s="8" t="s">
        <v>430</v>
      </c>
      <c r="C320" s="8" t="s">
        <v>4</v>
      </c>
      <c r="D320" s="8" t="s">
        <v>17</v>
      </c>
      <c r="E320" s="6">
        <v>179.9</v>
      </c>
      <c r="F320" s="8" t="s">
        <v>646</v>
      </c>
      <c r="G320" s="8" t="s">
        <v>430</v>
      </c>
      <c r="H320" s="8" t="s">
        <v>886</v>
      </c>
    </row>
    <row r="321" spans="1:8" ht="60" customHeight="1" x14ac:dyDescent="0.25">
      <c r="A321" s="7" t="s">
        <v>639</v>
      </c>
      <c r="B321" s="7" t="s">
        <v>430</v>
      </c>
      <c r="C321" s="7" t="s">
        <v>4</v>
      </c>
      <c r="D321" s="7" t="s">
        <v>17</v>
      </c>
      <c r="E321" s="5">
        <v>1038.03</v>
      </c>
      <c r="F321" s="7" t="s">
        <v>647</v>
      </c>
      <c r="G321" s="7" t="s">
        <v>430</v>
      </c>
      <c r="H321" s="7" t="s">
        <v>886</v>
      </c>
    </row>
    <row r="322" spans="1:8" ht="60" customHeight="1" x14ac:dyDescent="0.25">
      <c r="A322" s="8" t="s">
        <v>639</v>
      </c>
      <c r="B322" s="8" t="s">
        <v>430</v>
      </c>
      <c r="C322" s="8" t="s">
        <v>4</v>
      </c>
      <c r="D322" s="8" t="s">
        <v>17</v>
      </c>
      <c r="E322" s="6">
        <v>1047.24</v>
      </c>
      <c r="F322" s="8" t="s">
        <v>648</v>
      </c>
      <c r="G322" s="8" t="s">
        <v>430</v>
      </c>
      <c r="H322" s="8" t="s">
        <v>886</v>
      </c>
    </row>
    <row r="323" spans="1:8" ht="60" customHeight="1" x14ac:dyDescent="0.25">
      <c r="A323" s="7" t="s">
        <v>649</v>
      </c>
      <c r="B323" s="7" t="s">
        <v>650</v>
      </c>
      <c r="C323" s="7" t="s">
        <v>4</v>
      </c>
      <c r="D323" s="7" t="s">
        <v>17</v>
      </c>
      <c r="E323" s="5">
        <v>13.98</v>
      </c>
      <c r="F323" s="7" t="s">
        <v>651</v>
      </c>
      <c r="G323" s="7" t="s">
        <v>650</v>
      </c>
      <c r="H323" s="7" t="s">
        <v>875</v>
      </c>
    </row>
    <row r="324" spans="1:8" ht="60" customHeight="1" x14ac:dyDescent="0.25">
      <c r="A324" s="8" t="s">
        <v>652</v>
      </c>
      <c r="B324" s="8" t="s">
        <v>653</v>
      </c>
      <c r="C324" s="8" t="s">
        <v>4</v>
      </c>
      <c r="D324" s="8" t="s">
        <v>17</v>
      </c>
      <c r="E324" s="6">
        <v>6.5</v>
      </c>
      <c r="F324" s="8" t="s">
        <v>654</v>
      </c>
      <c r="G324" s="8" t="s">
        <v>653</v>
      </c>
      <c r="H324" s="8" t="s">
        <v>886</v>
      </c>
    </row>
    <row r="325" spans="1:8" ht="60" customHeight="1" x14ac:dyDescent="0.25">
      <c r="A325" s="7" t="s">
        <v>652</v>
      </c>
      <c r="B325" s="7" t="s">
        <v>655</v>
      </c>
      <c r="C325" s="7" t="s">
        <v>4</v>
      </c>
      <c r="D325" s="7" t="s">
        <v>17</v>
      </c>
      <c r="E325" s="5">
        <v>59.72</v>
      </c>
      <c r="F325" s="7" t="s">
        <v>656</v>
      </c>
      <c r="G325" s="7" t="s">
        <v>655</v>
      </c>
      <c r="H325" s="7" t="s">
        <v>886</v>
      </c>
    </row>
    <row r="326" spans="1:8" ht="60" customHeight="1" x14ac:dyDescent="0.25">
      <c r="A326" s="8" t="s">
        <v>652</v>
      </c>
      <c r="B326" s="8" t="s">
        <v>657</v>
      </c>
      <c r="C326" s="8" t="s">
        <v>4</v>
      </c>
      <c r="D326" s="8" t="s">
        <v>17</v>
      </c>
      <c r="E326" s="6">
        <v>21.66</v>
      </c>
      <c r="F326" s="8" t="s">
        <v>658</v>
      </c>
      <c r="G326" s="8" t="s">
        <v>657</v>
      </c>
      <c r="H326" s="8" t="s">
        <v>886</v>
      </c>
    </row>
    <row r="327" spans="1:8" ht="60" customHeight="1" x14ac:dyDescent="0.25">
      <c r="A327" s="7" t="s">
        <v>652</v>
      </c>
      <c r="B327" s="7" t="s">
        <v>659</v>
      </c>
      <c r="C327" s="7" t="s">
        <v>4</v>
      </c>
      <c r="D327" s="7" t="s">
        <v>17</v>
      </c>
      <c r="E327" s="5">
        <v>74.33</v>
      </c>
      <c r="F327" s="7" t="s">
        <v>660</v>
      </c>
      <c r="G327" s="7" t="s">
        <v>659</v>
      </c>
      <c r="H327" s="7" t="s">
        <v>886</v>
      </c>
    </row>
    <row r="328" spans="1:8" ht="60" customHeight="1" x14ac:dyDescent="0.25">
      <c r="A328" s="8" t="s">
        <v>661</v>
      </c>
      <c r="B328" s="8" t="s">
        <v>662</v>
      </c>
      <c r="C328" s="8" t="s">
        <v>4</v>
      </c>
      <c r="D328" s="8" t="s">
        <v>17</v>
      </c>
      <c r="E328" s="6">
        <v>100</v>
      </c>
      <c r="F328" s="8" t="s">
        <v>663</v>
      </c>
      <c r="G328" s="8" t="s">
        <v>662</v>
      </c>
      <c r="H328" s="8" t="s">
        <v>886</v>
      </c>
    </row>
    <row r="329" spans="1:8" ht="60" customHeight="1" x14ac:dyDescent="0.25">
      <c r="A329" s="7" t="s">
        <v>661</v>
      </c>
      <c r="B329" s="7" t="s">
        <v>664</v>
      </c>
      <c r="C329" s="7" t="s">
        <v>4</v>
      </c>
      <c r="D329" s="7" t="s">
        <v>17</v>
      </c>
      <c r="E329" s="5">
        <v>10.84</v>
      </c>
      <c r="F329" s="7" t="s">
        <v>665</v>
      </c>
      <c r="G329" s="7" t="s">
        <v>664</v>
      </c>
      <c r="H329" s="7" t="s">
        <v>886</v>
      </c>
    </row>
    <row r="330" spans="1:8" ht="60" customHeight="1" x14ac:dyDescent="0.25">
      <c r="A330" s="8" t="s">
        <v>661</v>
      </c>
      <c r="B330" s="8" t="s">
        <v>666</v>
      </c>
      <c r="C330" s="8" t="s">
        <v>4</v>
      </c>
      <c r="D330" s="8" t="s">
        <v>17</v>
      </c>
      <c r="E330" s="6">
        <v>49.25</v>
      </c>
      <c r="F330" s="8" t="s">
        <v>667</v>
      </c>
      <c r="G330" s="8" t="s">
        <v>666</v>
      </c>
      <c r="H330" s="8" t="s">
        <v>886</v>
      </c>
    </row>
    <row r="331" spans="1:8" ht="60" customHeight="1" x14ac:dyDescent="0.25">
      <c r="A331" s="7" t="s">
        <v>661</v>
      </c>
      <c r="B331" s="7" t="s">
        <v>285</v>
      </c>
      <c r="C331" s="7" t="s">
        <v>4</v>
      </c>
      <c r="D331" s="7" t="s">
        <v>17</v>
      </c>
      <c r="E331" s="5">
        <v>81.64</v>
      </c>
      <c r="F331" s="7" t="s">
        <v>668</v>
      </c>
      <c r="G331" s="7" t="s">
        <v>285</v>
      </c>
      <c r="H331" s="7" t="s">
        <v>871</v>
      </c>
    </row>
    <row r="332" spans="1:8" ht="60" customHeight="1" x14ac:dyDescent="0.25">
      <c r="A332" s="8" t="s">
        <v>669</v>
      </c>
      <c r="B332" s="8" t="s">
        <v>670</v>
      </c>
      <c r="C332" s="8" t="s">
        <v>4</v>
      </c>
      <c r="D332" s="8" t="s">
        <v>17</v>
      </c>
      <c r="E332" s="6">
        <v>37.369999999999997</v>
      </c>
      <c r="F332" s="8" t="s">
        <v>671</v>
      </c>
      <c r="G332" s="8" t="s">
        <v>670</v>
      </c>
      <c r="H332" s="8" t="s">
        <v>873</v>
      </c>
    </row>
    <row r="333" spans="1:8" ht="60" customHeight="1" x14ac:dyDescent="0.25">
      <c r="A333" s="7" t="s">
        <v>672</v>
      </c>
      <c r="B333" s="7" t="s">
        <v>130</v>
      </c>
      <c r="C333" s="7" t="s">
        <v>4</v>
      </c>
      <c r="D333" s="7" t="s">
        <v>17</v>
      </c>
      <c r="E333" s="5">
        <v>-18892.34</v>
      </c>
      <c r="F333" s="7" t="s">
        <v>131</v>
      </c>
      <c r="G333" s="7" t="s">
        <v>130</v>
      </c>
      <c r="H333" s="7" t="s">
        <v>856</v>
      </c>
    </row>
    <row r="334" spans="1:8" ht="60" customHeight="1" x14ac:dyDescent="0.25">
      <c r="A334" s="8" t="s">
        <v>673</v>
      </c>
      <c r="B334" s="8" t="s">
        <v>430</v>
      </c>
      <c r="C334" s="8" t="s">
        <v>4</v>
      </c>
      <c r="D334" s="8" t="s">
        <v>17</v>
      </c>
      <c r="E334" s="6">
        <v>48.95</v>
      </c>
      <c r="F334" s="8" t="s">
        <v>645</v>
      </c>
      <c r="G334" s="8" t="s">
        <v>430</v>
      </c>
      <c r="H334" s="8" t="s">
        <v>886</v>
      </c>
    </row>
    <row r="335" spans="1:8" ht="60" customHeight="1" x14ac:dyDescent="0.25">
      <c r="A335" s="7" t="s">
        <v>673</v>
      </c>
      <c r="B335" s="7" t="s">
        <v>430</v>
      </c>
      <c r="C335" s="7" t="s">
        <v>4</v>
      </c>
      <c r="D335" s="7" t="s">
        <v>17</v>
      </c>
      <c r="E335" s="5">
        <v>734.61</v>
      </c>
      <c r="F335" s="7" t="s">
        <v>674</v>
      </c>
      <c r="G335" s="7" t="s">
        <v>430</v>
      </c>
      <c r="H335" s="7" t="s">
        <v>886</v>
      </c>
    </row>
    <row r="336" spans="1:8" ht="60" customHeight="1" x14ac:dyDescent="0.25">
      <c r="A336" s="8" t="s">
        <v>675</v>
      </c>
      <c r="B336" s="8" t="s">
        <v>676</v>
      </c>
      <c r="C336" s="8" t="s">
        <v>4</v>
      </c>
      <c r="D336" s="8" t="s">
        <v>17</v>
      </c>
      <c r="E336" s="6">
        <v>-7194.44</v>
      </c>
      <c r="F336" s="8" t="s">
        <v>677</v>
      </c>
      <c r="G336" s="8" t="s">
        <v>676</v>
      </c>
      <c r="H336" s="8" t="s">
        <v>886</v>
      </c>
    </row>
    <row r="337" spans="1:8" ht="60" customHeight="1" x14ac:dyDescent="0.25">
      <c r="A337" s="7" t="s">
        <v>678</v>
      </c>
      <c r="B337" s="7" t="s">
        <v>430</v>
      </c>
      <c r="C337" s="7" t="s">
        <v>4</v>
      </c>
      <c r="D337" s="7" t="s">
        <v>17</v>
      </c>
      <c r="E337" s="5">
        <v>-8.44</v>
      </c>
      <c r="F337" s="7" t="s">
        <v>679</v>
      </c>
      <c r="G337" s="7" t="s">
        <v>430</v>
      </c>
      <c r="H337" s="7" t="s">
        <v>886</v>
      </c>
    </row>
    <row r="338" spans="1:8" ht="60" customHeight="1" x14ac:dyDescent="0.25">
      <c r="A338" s="8" t="s">
        <v>680</v>
      </c>
      <c r="B338" s="8" t="s">
        <v>626</v>
      </c>
      <c r="C338" s="8" t="s">
        <v>4</v>
      </c>
      <c r="D338" s="8" t="s">
        <v>17</v>
      </c>
      <c r="E338" s="6">
        <v>1734.48</v>
      </c>
      <c r="F338" s="8" t="s">
        <v>627</v>
      </c>
      <c r="G338" s="8" t="s">
        <v>626</v>
      </c>
      <c r="H338" s="8" t="s">
        <v>886</v>
      </c>
    </row>
    <row r="339" spans="1:8" ht="60" customHeight="1" x14ac:dyDescent="0.25">
      <c r="A339" s="7" t="s">
        <v>680</v>
      </c>
      <c r="B339" s="7" t="s">
        <v>676</v>
      </c>
      <c r="C339" s="7" t="s">
        <v>4</v>
      </c>
      <c r="D339" s="7" t="s">
        <v>17</v>
      </c>
      <c r="E339" s="5">
        <v>7194.44</v>
      </c>
      <c r="F339" s="7" t="s">
        <v>677</v>
      </c>
      <c r="G339" s="7" t="s">
        <v>676</v>
      </c>
      <c r="H339" s="7" t="s">
        <v>886</v>
      </c>
    </row>
    <row r="340" spans="1:8" ht="60" customHeight="1" x14ac:dyDescent="0.25">
      <c r="A340" s="8" t="s">
        <v>680</v>
      </c>
      <c r="B340" s="8" t="s">
        <v>681</v>
      </c>
      <c r="C340" s="8" t="s">
        <v>4</v>
      </c>
      <c r="D340" s="8" t="s">
        <v>17</v>
      </c>
      <c r="E340" s="6">
        <v>9210.1200000000008</v>
      </c>
      <c r="F340" s="8" t="s">
        <v>682</v>
      </c>
      <c r="G340" s="8" t="s">
        <v>681</v>
      </c>
      <c r="H340" s="8" t="s">
        <v>886</v>
      </c>
    </row>
    <row r="341" spans="1:8" ht="60" customHeight="1" x14ac:dyDescent="0.25">
      <c r="A341" s="7" t="s">
        <v>680</v>
      </c>
      <c r="B341" s="7" t="s">
        <v>285</v>
      </c>
      <c r="C341" s="7" t="s">
        <v>4</v>
      </c>
      <c r="D341" s="7" t="s">
        <v>17</v>
      </c>
      <c r="E341" s="5">
        <v>-2.5099999999999998</v>
      </c>
      <c r="F341" s="7" t="s">
        <v>683</v>
      </c>
      <c r="G341" s="7" t="s">
        <v>285</v>
      </c>
      <c r="H341" s="7" t="s">
        <v>886</v>
      </c>
    </row>
    <row r="342" spans="1:8" ht="60" customHeight="1" x14ac:dyDescent="0.25">
      <c r="A342" s="8" t="s">
        <v>680</v>
      </c>
      <c r="B342" s="8" t="s">
        <v>285</v>
      </c>
      <c r="C342" s="8" t="s">
        <v>4</v>
      </c>
      <c r="D342" s="8" t="s">
        <v>17</v>
      </c>
      <c r="E342" s="6">
        <v>36.85</v>
      </c>
      <c r="F342" s="8" t="s">
        <v>684</v>
      </c>
      <c r="G342" s="8" t="s">
        <v>285</v>
      </c>
      <c r="H342" s="8" t="s">
        <v>886</v>
      </c>
    </row>
    <row r="343" spans="1:8" ht="60" customHeight="1" x14ac:dyDescent="0.25">
      <c r="A343" s="7" t="s">
        <v>685</v>
      </c>
      <c r="B343" s="7" t="s">
        <v>344</v>
      </c>
      <c r="C343" s="7" t="s">
        <v>4</v>
      </c>
      <c r="D343" s="7" t="s">
        <v>17</v>
      </c>
      <c r="E343" s="5">
        <v>219</v>
      </c>
      <c r="F343" s="7" t="s">
        <v>686</v>
      </c>
      <c r="G343" s="7" t="s">
        <v>344</v>
      </c>
      <c r="H343" s="7" t="s">
        <v>881</v>
      </c>
    </row>
    <row r="344" spans="1:8" ht="60" customHeight="1" x14ac:dyDescent="0.25">
      <c r="A344" s="8" t="s">
        <v>687</v>
      </c>
      <c r="B344" s="8" t="s">
        <v>688</v>
      </c>
      <c r="C344" s="8" t="s">
        <v>4</v>
      </c>
      <c r="D344" s="8" t="s">
        <v>17</v>
      </c>
      <c r="E344" s="6">
        <v>-2069.58</v>
      </c>
      <c r="F344" s="8" t="s">
        <v>689</v>
      </c>
      <c r="G344" s="8" t="s">
        <v>688</v>
      </c>
      <c r="H344" s="8" t="s">
        <v>886</v>
      </c>
    </row>
    <row r="345" spans="1:8" ht="60" customHeight="1" x14ac:dyDescent="0.25">
      <c r="A345" s="7" t="s">
        <v>687</v>
      </c>
      <c r="B345" s="7" t="s">
        <v>690</v>
      </c>
      <c r="C345" s="7" t="s">
        <v>4</v>
      </c>
      <c r="D345" s="7" t="s">
        <v>17</v>
      </c>
      <c r="E345" s="5">
        <v>1250.5899999999999</v>
      </c>
      <c r="F345" s="7" t="s">
        <v>691</v>
      </c>
      <c r="G345" s="7" t="s">
        <v>690</v>
      </c>
      <c r="H345" s="7" t="s">
        <v>886</v>
      </c>
    </row>
    <row r="346" spans="1:8" ht="60" customHeight="1" x14ac:dyDescent="0.25">
      <c r="A346" s="8" t="s">
        <v>692</v>
      </c>
      <c r="B346" s="8" t="s">
        <v>693</v>
      </c>
      <c r="C346" s="8" t="s">
        <v>4</v>
      </c>
      <c r="D346" s="8" t="s">
        <v>17</v>
      </c>
      <c r="E346" s="6">
        <v>1126.22</v>
      </c>
      <c r="F346" s="8" t="s">
        <v>694</v>
      </c>
      <c r="G346" s="8" t="s">
        <v>693</v>
      </c>
      <c r="H346" s="8" t="s">
        <v>886</v>
      </c>
    </row>
    <row r="347" spans="1:8" ht="60" customHeight="1" x14ac:dyDescent="0.25">
      <c r="A347" s="7" t="s">
        <v>692</v>
      </c>
      <c r="B347" s="7" t="s">
        <v>695</v>
      </c>
      <c r="C347" s="7" t="s">
        <v>4</v>
      </c>
      <c r="D347" s="7" t="s">
        <v>17</v>
      </c>
      <c r="E347" s="5">
        <v>1863.82</v>
      </c>
      <c r="F347" s="7" t="s">
        <v>696</v>
      </c>
      <c r="G347" s="7" t="s">
        <v>695</v>
      </c>
      <c r="H347" s="7" t="s">
        <v>886</v>
      </c>
    </row>
    <row r="348" spans="1:8" ht="60" customHeight="1" x14ac:dyDescent="0.25">
      <c r="A348" s="8" t="s">
        <v>692</v>
      </c>
      <c r="B348" s="8" t="s">
        <v>430</v>
      </c>
      <c r="C348" s="8" t="s">
        <v>4</v>
      </c>
      <c r="D348" s="8" t="s">
        <v>17</v>
      </c>
      <c r="E348" s="6">
        <v>8.44</v>
      </c>
      <c r="F348" s="8" t="s">
        <v>679</v>
      </c>
      <c r="G348" s="8" t="s">
        <v>430</v>
      </c>
      <c r="H348" s="8" t="s">
        <v>886</v>
      </c>
    </row>
    <row r="349" spans="1:8" ht="60" customHeight="1" x14ac:dyDescent="0.25">
      <c r="A349" s="7" t="s">
        <v>692</v>
      </c>
      <c r="B349" s="7" t="s">
        <v>430</v>
      </c>
      <c r="C349" s="7" t="s">
        <v>4</v>
      </c>
      <c r="D349" s="7" t="s">
        <v>17</v>
      </c>
      <c r="E349" s="5">
        <v>466.96</v>
      </c>
      <c r="F349" s="7" t="s">
        <v>697</v>
      </c>
      <c r="G349" s="7" t="s">
        <v>430</v>
      </c>
      <c r="H349" s="7" t="s">
        <v>886</v>
      </c>
    </row>
    <row r="350" spans="1:8" ht="60" customHeight="1" x14ac:dyDescent="0.25">
      <c r="A350" s="8" t="s">
        <v>698</v>
      </c>
      <c r="B350" s="8" t="s">
        <v>688</v>
      </c>
      <c r="C350" s="8" t="s">
        <v>4</v>
      </c>
      <c r="D350" s="8" t="s">
        <v>17</v>
      </c>
      <c r="E350" s="6">
        <v>2069.58</v>
      </c>
      <c r="F350" s="8" t="s">
        <v>689</v>
      </c>
      <c r="G350" s="8" t="s">
        <v>688</v>
      </c>
      <c r="H350" s="8" t="s">
        <v>886</v>
      </c>
    </row>
    <row r="351" spans="1:8" ht="60" customHeight="1" x14ac:dyDescent="0.25">
      <c r="A351" s="7" t="s">
        <v>699</v>
      </c>
      <c r="B351" s="7" t="s">
        <v>575</v>
      </c>
      <c r="C351" s="7" t="s">
        <v>4</v>
      </c>
      <c r="D351" s="7" t="s">
        <v>17</v>
      </c>
      <c r="E351" s="5">
        <v>974.81</v>
      </c>
      <c r="F351" s="7" t="s">
        <v>700</v>
      </c>
      <c r="G351" s="7" t="s">
        <v>575</v>
      </c>
      <c r="H351" s="7" t="s">
        <v>886</v>
      </c>
    </row>
    <row r="352" spans="1:8" ht="60" customHeight="1" x14ac:dyDescent="0.25">
      <c r="A352" s="8" t="s">
        <v>699</v>
      </c>
      <c r="B352" s="8" t="s">
        <v>575</v>
      </c>
      <c r="C352" s="8" t="s">
        <v>4</v>
      </c>
      <c r="D352" s="8" t="s">
        <v>17</v>
      </c>
      <c r="E352" s="6">
        <v>974.81</v>
      </c>
      <c r="F352" s="8" t="s">
        <v>701</v>
      </c>
      <c r="G352" s="8" t="s">
        <v>575</v>
      </c>
      <c r="H352" s="8" t="s">
        <v>886</v>
      </c>
    </row>
    <row r="353" spans="1:8" ht="60" customHeight="1" x14ac:dyDescent="0.25">
      <c r="A353" s="7" t="s">
        <v>699</v>
      </c>
      <c r="B353" s="7" t="s">
        <v>101</v>
      </c>
      <c r="C353" s="7" t="s">
        <v>4</v>
      </c>
      <c r="D353" s="7" t="s">
        <v>17</v>
      </c>
      <c r="E353" s="5">
        <v>24.99</v>
      </c>
      <c r="F353" s="7" t="s">
        <v>702</v>
      </c>
      <c r="G353" s="7" t="s">
        <v>101</v>
      </c>
      <c r="H353" s="7" t="s">
        <v>863</v>
      </c>
    </row>
    <row r="354" spans="1:8" ht="60" customHeight="1" x14ac:dyDescent="0.25">
      <c r="A354" s="8" t="s">
        <v>703</v>
      </c>
      <c r="B354" s="8" t="s">
        <v>704</v>
      </c>
      <c r="C354" s="8" t="s">
        <v>4</v>
      </c>
      <c r="D354" s="8" t="s">
        <v>17</v>
      </c>
      <c r="E354" s="6">
        <v>5.99</v>
      </c>
      <c r="F354" s="8" t="s">
        <v>705</v>
      </c>
      <c r="G354" s="8" t="s">
        <v>704</v>
      </c>
      <c r="H354" s="8" t="s">
        <v>858</v>
      </c>
    </row>
    <row r="355" spans="1:8" ht="60" customHeight="1" x14ac:dyDescent="0.25">
      <c r="A355" s="7" t="s">
        <v>703</v>
      </c>
      <c r="B355" s="7" t="s">
        <v>706</v>
      </c>
      <c r="C355" s="7" t="s">
        <v>4</v>
      </c>
      <c r="D355" s="7" t="s">
        <v>17</v>
      </c>
      <c r="E355" s="5">
        <v>17.97</v>
      </c>
      <c r="F355" s="7" t="s">
        <v>707</v>
      </c>
      <c r="G355" s="7" t="s">
        <v>706</v>
      </c>
      <c r="H355" s="7" t="s">
        <v>875</v>
      </c>
    </row>
    <row r="356" spans="1:8" ht="60" customHeight="1" x14ac:dyDescent="0.25">
      <c r="A356" s="8" t="s">
        <v>708</v>
      </c>
      <c r="B356" s="8" t="s">
        <v>285</v>
      </c>
      <c r="C356" s="8" t="s">
        <v>4</v>
      </c>
      <c r="D356" s="8" t="s">
        <v>17</v>
      </c>
      <c r="E356" s="6">
        <v>34.340000000000003</v>
      </c>
      <c r="F356" s="8" t="s">
        <v>709</v>
      </c>
      <c r="G356" s="8" t="s">
        <v>285</v>
      </c>
      <c r="H356" s="8" t="s">
        <v>871</v>
      </c>
    </row>
    <row r="357" spans="1:8" ht="60" customHeight="1" x14ac:dyDescent="0.25">
      <c r="A357" s="7" t="s">
        <v>710</v>
      </c>
      <c r="B357" s="7" t="s">
        <v>365</v>
      </c>
      <c r="C357" s="7" t="s">
        <v>4</v>
      </c>
      <c r="D357" s="7" t="s">
        <v>17</v>
      </c>
      <c r="E357" s="5">
        <v>10.81</v>
      </c>
      <c r="F357" s="7" t="s">
        <v>711</v>
      </c>
      <c r="G357" s="7" t="s">
        <v>365</v>
      </c>
      <c r="H357" s="7" t="s">
        <v>858</v>
      </c>
    </row>
    <row r="358" spans="1:8" ht="60" customHeight="1" x14ac:dyDescent="0.25">
      <c r="A358" s="8" t="s">
        <v>712</v>
      </c>
      <c r="B358" s="8" t="s">
        <v>713</v>
      </c>
      <c r="C358" s="8" t="s">
        <v>4</v>
      </c>
      <c r="D358" s="8" t="s">
        <v>17</v>
      </c>
      <c r="E358" s="6">
        <v>15.98</v>
      </c>
      <c r="F358" s="8" t="s">
        <v>714</v>
      </c>
      <c r="G358" s="8" t="s">
        <v>713</v>
      </c>
      <c r="H358" s="8" t="s">
        <v>875</v>
      </c>
    </row>
    <row r="359" spans="1:8" ht="60" customHeight="1" x14ac:dyDescent="0.25">
      <c r="A359" s="7" t="s">
        <v>715</v>
      </c>
      <c r="B359" s="7" t="s">
        <v>716</v>
      </c>
      <c r="C359" s="7" t="s">
        <v>4</v>
      </c>
      <c r="D359" s="7" t="s">
        <v>17</v>
      </c>
      <c r="E359" s="5">
        <v>26.98</v>
      </c>
      <c r="F359" s="7" t="s">
        <v>717</v>
      </c>
      <c r="G359" s="7" t="s">
        <v>716</v>
      </c>
      <c r="H359" s="7" t="s">
        <v>875</v>
      </c>
    </row>
    <row r="360" spans="1:8" ht="60" customHeight="1" x14ac:dyDescent="0.25">
      <c r="A360" s="8" t="s">
        <v>715</v>
      </c>
      <c r="B360" s="8" t="s">
        <v>303</v>
      </c>
      <c r="C360" s="8" t="s">
        <v>4</v>
      </c>
      <c r="D360" s="8" t="s">
        <v>17</v>
      </c>
      <c r="E360" s="6">
        <v>9.99</v>
      </c>
      <c r="F360" s="8" t="s">
        <v>718</v>
      </c>
      <c r="G360" s="8" t="s">
        <v>303</v>
      </c>
      <c r="H360" s="8" t="s">
        <v>858</v>
      </c>
    </row>
    <row r="361" spans="1:8" ht="60" customHeight="1" x14ac:dyDescent="0.25">
      <c r="A361" s="7" t="s">
        <v>719</v>
      </c>
      <c r="B361" s="7" t="s">
        <v>720</v>
      </c>
      <c r="C361" s="7" t="s">
        <v>4</v>
      </c>
      <c r="D361" s="7" t="s">
        <v>17</v>
      </c>
      <c r="E361" s="5">
        <v>13.79</v>
      </c>
      <c r="F361" s="7" t="s">
        <v>721</v>
      </c>
      <c r="G361" s="7" t="s">
        <v>720</v>
      </c>
      <c r="H361" s="7" t="s">
        <v>875</v>
      </c>
    </row>
    <row r="362" spans="1:8" ht="60" customHeight="1" x14ac:dyDescent="0.25">
      <c r="A362" s="8" t="s">
        <v>722</v>
      </c>
      <c r="B362" s="8" t="s">
        <v>723</v>
      </c>
      <c r="C362" s="8" t="s">
        <v>4</v>
      </c>
      <c r="D362" s="8" t="s">
        <v>17</v>
      </c>
      <c r="E362" s="6">
        <v>29.97</v>
      </c>
      <c r="F362" s="8" t="s">
        <v>724</v>
      </c>
      <c r="G362" s="8" t="s">
        <v>723</v>
      </c>
      <c r="H362" s="8" t="s">
        <v>875</v>
      </c>
    </row>
    <row r="363" spans="1:8" ht="60" customHeight="1" x14ac:dyDescent="0.25">
      <c r="A363" s="7" t="s">
        <v>725</v>
      </c>
      <c r="B363" s="7" t="s">
        <v>267</v>
      </c>
      <c r="C363" s="7" t="s">
        <v>4</v>
      </c>
      <c r="D363" s="7" t="s">
        <v>17</v>
      </c>
      <c r="E363" s="5">
        <v>10.81</v>
      </c>
      <c r="F363" s="7" t="s">
        <v>726</v>
      </c>
      <c r="G363" s="7" t="s">
        <v>267</v>
      </c>
      <c r="H363" s="7" t="s">
        <v>858</v>
      </c>
    </row>
    <row r="364" spans="1:8" ht="60" customHeight="1" x14ac:dyDescent="0.25">
      <c r="A364" s="8" t="s">
        <v>727</v>
      </c>
      <c r="B364" s="8" t="s">
        <v>400</v>
      </c>
      <c r="C364" s="8" t="s">
        <v>4</v>
      </c>
      <c r="D364" s="8" t="s">
        <v>17</v>
      </c>
      <c r="E364" s="6">
        <v>-158.41999999999999</v>
      </c>
      <c r="F364" s="8" t="s">
        <v>401</v>
      </c>
      <c r="G364" s="8" t="s">
        <v>400</v>
      </c>
      <c r="H364" s="8" t="s">
        <v>402</v>
      </c>
    </row>
    <row r="365" spans="1:8" ht="60" customHeight="1" x14ac:dyDescent="0.25">
      <c r="A365" s="7" t="s">
        <v>727</v>
      </c>
      <c r="B365" s="7" t="s">
        <v>285</v>
      </c>
      <c r="C365" s="7" t="s">
        <v>4</v>
      </c>
      <c r="D365" s="7" t="s">
        <v>17</v>
      </c>
      <c r="E365" s="5">
        <v>34.28</v>
      </c>
      <c r="F365" s="7" t="s">
        <v>728</v>
      </c>
      <c r="G365" s="7" t="s">
        <v>285</v>
      </c>
      <c r="H365" s="7" t="s">
        <v>871</v>
      </c>
    </row>
    <row r="366" spans="1:8" ht="60" customHeight="1" x14ac:dyDescent="0.25">
      <c r="A366" s="8" t="s">
        <v>729</v>
      </c>
      <c r="B366" s="8" t="s">
        <v>730</v>
      </c>
      <c r="C366" s="8" t="s">
        <v>4</v>
      </c>
      <c r="D366" s="8" t="s">
        <v>17</v>
      </c>
      <c r="E366" s="6">
        <v>13.98</v>
      </c>
      <c r="F366" s="8" t="s">
        <v>731</v>
      </c>
      <c r="G366" s="8" t="s">
        <v>730</v>
      </c>
      <c r="H366" s="8" t="s">
        <v>875</v>
      </c>
    </row>
    <row r="367" spans="1:8" ht="60" customHeight="1" x14ac:dyDescent="0.25">
      <c r="A367" s="7" t="s">
        <v>732</v>
      </c>
      <c r="B367" s="7" t="s">
        <v>285</v>
      </c>
      <c r="C367" s="7" t="s">
        <v>4</v>
      </c>
      <c r="D367" s="7" t="s">
        <v>17</v>
      </c>
      <c r="E367" s="5">
        <v>27.45</v>
      </c>
      <c r="F367" s="7" t="s">
        <v>733</v>
      </c>
      <c r="G367" s="7" t="s">
        <v>285</v>
      </c>
      <c r="H367" s="7" t="s">
        <v>871</v>
      </c>
    </row>
    <row r="368" spans="1:8" ht="60" customHeight="1" x14ac:dyDescent="0.25">
      <c r="A368" s="8" t="s">
        <v>734</v>
      </c>
      <c r="B368" s="8" t="s">
        <v>285</v>
      </c>
      <c r="C368" s="8" t="s">
        <v>4</v>
      </c>
      <c r="D368" s="8" t="s">
        <v>17</v>
      </c>
      <c r="E368" s="6">
        <v>55.52</v>
      </c>
      <c r="F368" s="8" t="s">
        <v>735</v>
      </c>
      <c r="G368" s="8" t="s">
        <v>285</v>
      </c>
      <c r="H368" s="8" t="s">
        <v>871</v>
      </c>
    </row>
    <row r="369" spans="1:8" ht="60" customHeight="1" x14ac:dyDescent="0.25">
      <c r="A369" s="7" t="s">
        <v>736</v>
      </c>
      <c r="B369" s="7" t="s">
        <v>737</v>
      </c>
      <c r="C369" s="7" t="s">
        <v>4</v>
      </c>
      <c r="D369" s="7" t="s">
        <v>17</v>
      </c>
      <c r="E369" s="5">
        <v>74.209999999999994</v>
      </c>
      <c r="F369" s="7" t="s">
        <v>738</v>
      </c>
      <c r="G369" s="7" t="s">
        <v>737</v>
      </c>
      <c r="H369" s="7" t="s">
        <v>871</v>
      </c>
    </row>
    <row r="370" spans="1:8" ht="60" customHeight="1" x14ac:dyDescent="0.25">
      <c r="A370" s="8" t="s">
        <v>736</v>
      </c>
      <c r="B370" s="8" t="s">
        <v>171</v>
      </c>
      <c r="C370" s="8" t="s">
        <v>4</v>
      </c>
      <c r="D370" s="8" t="s">
        <v>17</v>
      </c>
      <c r="E370" s="6">
        <v>4.99</v>
      </c>
      <c r="F370" s="8" t="s">
        <v>739</v>
      </c>
      <c r="G370" s="8" t="s">
        <v>171</v>
      </c>
      <c r="H370" s="8" t="s">
        <v>858</v>
      </c>
    </row>
    <row r="371" spans="1:8" ht="60" customHeight="1" x14ac:dyDescent="0.25">
      <c r="A371" s="7" t="s">
        <v>736</v>
      </c>
      <c r="B371" s="7" t="s">
        <v>141</v>
      </c>
      <c r="C371" s="7" t="s">
        <v>4</v>
      </c>
      <c r="D371" s="7" t="s">
        <v>17</v>
      </c>
      <c r="E371" s="5">
        <v>-14054.21</v>
      </c>
      <c r="F371" s="7" t="s">
        <v>142</v>
      </c>
      <c r="G371" s="7" t="s">
        <v>141</v>
      </c>
      <c r="H371" s="7" t="s">
        <v>856</v>
      </c>
    </row>
    <row r="372" spans="1:8" ht="60" customHeight="1" x14ac:dyDescent="0.25">
      <c r="A372" s="8" t="s">
        <v>740</v>
      </c>
      <c r="B372" s="8" t="s">
        <v>285</v>
      </c>
      <c r="C372" s="8" t="s">
        <v>4</v>
      </c>
      <c r="D372" s="8" t="s">
        <v>17</v>
      </c>
      <c r="E372" s="6">
        <v>94.95</v>
      </c>
      <c r="F372" s="8" t="s">
        <v>741</v>
      </c>
      <c r="G372" s="8" t="s">
        <v>285</v>
      </c>
      <c r="H372" s="8" t="s">
        <v>871</v>
      </c>
    </row>
    <row r="373" spans="1:8" ht="60" customHeight="1" x14ac:dyDescent="0.25">
      <c r="A373" s="7" t="s">
        <v>742</v>
      </c>
      <c r="B373" s="7" t="s">
        <v>344</v>
      </c>
      <c r="C373" s="7" t="s">
        <v>4</v>
      </c>
      <c r="D373" s="7" t="s">
        <v>17</v>
      </c>
      <c r="E373" s="5">
        <v>219</v>
      </c>
      <c r="F373" s="7" t="s">
        <v>743</v>
      </c>
      <c r="G373" s="7" t="s">
        <v>344</v>
      </c>
      <c r="H373" s="7" t="s">
        <v>881</v>
      </c>
    </row>
    <row r="374" spans="1:8" ht="60" customHeight="1" x14ac:dyDescent="0.25">
      <c r="A374" s="8" t="s">
        <v>744</v>
      </c>
      <c r="B374" s="8" t="s">
        <v>398</v>
      </c>
      <c r="C374" s="8" t="s">
        <v>4</v>
      </c>
      <c r="D374" s="8" t="s">
        <v>17</v>
      </c>
      <c r="E374" s="6">
        <v>24</v>
      </c>
      <c r="F374" s="8" t="s">
        <v>745</v>
      </c>
      <c r="G374" s="8" t="s">
        <v>398</v>
      </c>
      <c r="H374" s="8" t="s">
        <v>855</v>
      </c>
    </row>
    <row r="375" spans="1:8" ht="60" customHeight="1" x14ac:dyDescent="0.25">
      <c r="A375" s="7" t="s">
        <v>746</v>
      </c>
      <c r="B375" s="7" t="s">
        <v>101</v>
      </c>
      <c r="C375" s="7" t="s">
        <v>4</v>
      </c>
      <c r="D375" s="7" t="s">
        <v>17</v>
      </c>
      <c r="E375" s="5">
        <v>24.99</v>
      </c>
      <c r="F375" s="7" t="s">
        <v>747</v>
      </c>
      <c r="G375" s="7" t="s">
        <v>101</v>
      </c>
      <c r="H375" s="7" t="s">
        <v>863</v>
      </c>
    </row>
    <row r="376" spans="1:8" ht="60" customHeight="1" x14ac:dyDescent="0.25">
      <c r="A376" s="8" t="s">
        <v>748</v>
      </c>
      <c r="B376" s="8" t="s">
        <v>749</v>
      </c>
      <c r="C376" s="8" t="s">
        <v>4</v>
      </c>
      <c r="D376" s="8" t="s">
        <v>17</v>
      </c>
      <c r="E376" s="6">
        <v>5.99</v>
      </c>
      <c r="F376" s="8" t="s">
        <v>750</v>
      </c>
      <c r="G376" s="8" t="s">
        <v>749</v>
      </c>
      <c r="H376" s="8" t="s">
        <v>858</v>
      </c>
    </row>
    <row r="377" spans="1:8" ht="60" customHeight="1" x14ac:dyDescent="0.25">
      <c r="A377" s="7" t="s">
        <v>751</v>
      </c>
      <c r="B377" s="7" t="s">
        <v>285</v>
      </c>
      <c r="C377" s="7" t="s">
        <v>4</v>
      </c>
      <c r="D377" s="7" t="s">
        <v>17</v>
      </c>
      <c r="E377" s="5">
        <v>59.98</v>
      </c>
      <c r="F377" s="7" t="s">
        <v>752</v>
      </c>
      <c r="G377" s="7" t="s">
        <v>285</v>
      </c>
      <c r="H377" s="7" t="s">
        <v>871</v>
      </c>
    </row>
    <row r="378" spans="1:8" ht="60" customHeight="1" x14ac:dyDescent="0.25">
      <c r="A378" s="8" t="s">
        <v>753</v>
      </c>
      <c r="B378" s="8" t="s">
        <v>754</v>
      </c>
      <c r="C378" s="8" t="s">
        <v>4</v>
      </c>
      <c r="D378" s="8" t="s">
        <v>17</v>
      </c>
      <c r="E378" s="6">
        <v>114.91</v>
      </c>
      <c r="F378" s="8" t="s">
        <v>755</v>
      </c>
      <c r="G378" s="8" t="s">
        <v>754</v>
      </c>
      <c r="H378" s="8" t="s">
        <v>874</v>
      </c>
    </row>
    <row r="379" spans="1:8" ht="60" customHeight="1" x14ac:dyDescent="0.25">
      <c r="A379" s="7" t="s">
        <v>756</v>
      </c>
      <c r="B379" s="7" t="s">
        <v>365</v>
      </c>
      <c r="C379" s="7" t="s">
        <v>4</v>
      </c>
      <c r="D379" s="7" t="s">
        <v>17</v>
      </c>
      <c r="E379" s="5">
        <v>10.81</v>
      </c>
      <c r="F379" s="7" t="s">
        <v>757</v>
      </c>
      <c r="G379" s="7" t="s">
        <v>365</v>
      </c>
      <c r="H379" s="7" t="s">
        <v>858</v>
      </c>
    </row>
    <row r="380" spans="1:8" ht="60" customHeight="1" x14ac:dyDescent="0.25">
      <c r="A380" s="8" t="s">
        <v>758</v>
      </c>
      <c r="B380" s="8" t="s">
        <v>759</v>
      </c>
      <c r="C380" s="8" t="s">
        <v>4</v>
      </c>
      <c r="D380" s="8" t="s">
        <v>17</v>
      </c>
      <c r="E380" s="6">
        <v>15.98</v>
      </c>
      <c r="F380" s="8" t="s">
        <v>760</v>
      </c>
      <c r="G380" s="8" t="s">
        <v>759</v>
      </c>
      <c r="H380" s="8" t="s">
        <v>875</v>
      </c>
    </row>
    <row r="381" spans="1:8" ht="60" customHeight="1" x14ac:dyDescent="0.25">
      <c r="A381" s="7" t="s">
        <v>758</v>
      </c>
      <c r="B381" s="7" t="s">
        <v>285</v>
      </c>
      <c r="C381" s="7" t="s">
        <v>4</v>
      </c>
      <c r="D381" s="7" t="s">
        <v>17</v>
      </c>
      <c r="E381" s="5">
        <v>23.43</v>
      </c>
      <c r="F381" s="7" t="s">
        <v>761</v>
      </c>
      <c r="G381" s="7" t="s">
        <v>285</v>
      </c>
      <c r="H381" s="7" t="s">
        <v>871</v>
      </c>
    </row>
    <row r="382" spans="1:8" ht="60" customHeight="1" x14ac:dyDescent="0.25">
      <c r="A382" s="8" t="s">
        <v>762</v>
      </c>
      <c r="B382" s="8" t="s">
        <v>763</v>
      </c>
      <c r="C382" s="8" t="s">
        <v>4</v>
      </c>
      <c r="D382" s="8" t="s">
        <v>17</v>
      </c>
      <c r="E382" s="6">
        <v>9247.18</v>
      </c>
      <c r="F382" s="8" t="s">
        <v>764</v>
      </c>
      <c r="G382" s="8" t="s">
        <v>763</v>
      </c>
      <c r="H382" s="8" t="s">
        <v>887</v>
      </c>
    </row>
    <row r="383" spans="1:8" ht="60" customHeight="1" x14ac:dyDescent="0.25">
      <c r="A383" s="7" t="s">
        <v>762</v>
      </c>
      <c r="B383" s="7" t="s">
        <v>765</v>
      </c>
      <c r="C383" s="7" t="s">
        <v>4</v>
      </c>
      <c r="D383" s="7" t="s">
        <v>17</v>
      </c>
      <c r="E383" s="5">
        <v>5.99</v>
      </c>
      <c r="F383" s="7" t="s">
        <v>766</v>
      </c>
      <c r="G383" s="7" t="s">
        <v>765</v>
      </c>
      <c r="H383" s="7" t="s">
        <v>875</v>
      </c>
    </row>
    <row r="384" spans="1:8" ht="60" customHeight="1" x14ac:dyDescent="0.25">
      <c r="A384" s="8" t="s">
        <v>767</v>
      </c>
      <c r="B384" s="8" t="s">
        <v>768</v>
      </c>
      <c r="C384" s="8" t="s">
        <v>4</v>
      </c>
      <c r="D384" s="8" t="s">
        <v>17</v>
      </c>
      <c r="E384" s="6">
        <v>22.17</v>
      </c>
      <c r="F384" s="8" t="s">
        <v>769</v>
      </c>
      <c r="G384" s="8" t="s">
        <v>768</v>
      </c>
      <c r="H384" s="8" t="s">
        <v>875</v>
      </c>
    </row>
    <row r="385" spans="1:8" ht="60" customHeight="1" x14ac:dyDescent="0.25">
      <c r="A385" s="7" t="s">
        <v>770</v>
      </c>
      <c r="B385" s="7" t="s">
        <v>771</v>
      </c>
      <c r="C385" s="7" t="s">
        <v>4</v>
      </c>
      <c r="D385" s="7" t="s">
        <v>17</v>
      </c>
      <c r="E385" s="5">
        <v>27.98</v>
      </c>
      <c r="F385" s="7" t="s">
        <v>772</v>
      </c>
      <c r="G385" s="7" t="s">
        <v>771</v>
      </c>
      <c r="H385" s="7" t="s">
        <v>875</v>
      </c>
    </row>
    <row r="386" spans="1:8" ht="60" customHeight="1" x14ac:dyDescent="0.25">
      <c r="A386" s="8" t="s">
        <v>770</v>
      </c>
      <c r="B386" s="8" t="s">
        <v>773</v>
      </c>
      <c r="C386" s="8" t="s">
        <v>4</v>
      </c>
      <c r="D386" s="8" t="s">
        <v>17</v>
      </c>
      <c r="E386" s="6">
        <v>507.35</v>
      </c>
      <c r="F386" s="8" t="s">
        <v>774</v>
      </c>
      <c r="G386" s="8" t="s">
        <v>773</v>
      </c>
      <c r="H386" s="8" t="s">
        <v>888</v>
      </c>
    </row>
    <row r="387" spans="1:8" ht="60" customHeight="1" x14ac:dyDescent="0.25">
      <c r="A387" s="7" t="s">
        <v>770</v>
      </c>
      <c r="B387" s="7" t="s">
        <v>303</v>
      </c>
      <c r="C387" s="7" t="s">
        <v>4</v>
      </c>
      <c r="D387" s="7" t="s">
        <v>17</v>
      </c>
      <c r="E387" s="5">
        <v>9.99</v>
      </c>
      <c r="F387" s="7" t="s">
        <v>775</v>
      </c>
      <c r="G387" s="7" t="s">
        <v>303</v>
      </c>
      <c r="H387" s="7" t="s">
        <v>858</v>
      </c>
    </row>
    <row r="388" spans="1:8" ht="60" customHeight="1" x14ac:dyDescent="0.25">
      <c r="A388" s="8" t="s">
        <v>776</v>
      </c>
      <c r="B388" s="8" t="s">
        <v>398</v>
      </c>
      <c r="C388" s="8" t="s">
        <v>4</v>
      </c>
      <c r="D388" s="8" t="s">
        <v>17</v>
      </c>
      <c r="E388" s="6">
        <v>15</v>
      </c>
      <c r="F388" s="8" t="s">
        <v>777</v>
      </c>
      <c r="G388" s="8" t="s">
        <v>398</v>
      </c>
      <c r="H388" s="8" t="s">
        <v>855</v>
      </c>
    </row>
    <row r="389" spans="1:8" ht="60" customHeight="1" x14ac:dyDescent="0.25">
      <c r="A389" s="7" t="s">
        <v>776</v>
      </c>
      <c r="B389" s="7" t="s">
        <v>778</v>
      </c>
      <c r="C389" s="7" t="s">
        <v>4</v>
      </c>
      <c r="D389" s="7" t="s">
        <v>17</v>
      </c>
      <c r="E389" s="5">
        <v>13.79</v>
      </c>
      <c r="F389" s="7" t="s">
        <v>779</v>
      </c>
      <c r="G389" s="7" t="s">
        <v>778</v>
      </c>
      <c r="H389" s="7" t="s">
        <v>875</v>
      </c>
    </row>
    <row r="390" spans="1:8" ht="60" customHeight="1" x14ac:dyDescent="0.25">
      <c r="A390" s="8" t="s">
        <v>780</v>
      </c>
      <c r="B390" s="8" t="s">
        <v>781</v>
      </c>
      <c r="C390" s="8" t="s">
        <v>4</v>
      </c>
      <c r="D390" s="8" t="s">
        <v>17</v>
      </c>
      <c r="E390" s="6">
        <v>31.97</v>
      </c>
      <c r="F390" s="8" t="s">
        <v>782</v>
      </c>
      <c r="G390" s="8" t="s">
        <v>781</v>
      </c>
      <c r="H390" s="8" t="s">
        <v>875</v>
      </c>
    </row>
    <row r="391" spans="1:8" ht="60" customHeight="1" x14ac:dyDescent="0.25">
      <c r="A391" s="7" t="s">
        <v>783</v>
      </c>
      <c r="B391" s="7" t="s">
        <v>285</v>
      </c>
      <c r="C391" s="7" t="s">
        <v>4</v>
      </c>
      <c r="D391" s="7" t="s">
        <v>17</v>
      </c>
      <c r="E391" s="5">
        <v>75.260000000000005</v>
      </c>
      <c r="F391" s="7" t="s">
        <v>784</v>
      </c>
      <c r="G391" s="7" t="s">
        <v>285</v>
      </c>
      <c r="H391" s="7" t="s">
        <v>871</v>
      </c>
    </row>
    <row r="392" spans="1:8" ht="60" customHeight="1" x14ac:dyDescent="0.25">
      <c r="A392" s="8" t="s">
        <v>785</v>
      </c>
      <c r="B392" s="8" t="s">
        <v>267</v>
      </c>
      <c r="C392" s="8" t="s">
        <v>4</v>
      </c>
      <c r="D392" s="8" t="s">
        <v>17</v>
      </c>
      <c r="E392" s="6">
        <v>10.81</v>
      </c>
      <c r="F392" s="8" t="s">
        <v>786</v>
      </c>
      <c r="G392" s="8" t="s">
        <v>267</v>
      </c>
      <c r="H392" s="8" t="s">
        <v>858</v>
      </c>
    </row>
    <row r="393" spans="1:8" ht="60" customHeight="1" x14ac:dyDescent="0.25">
      <c r="A393" s="7" t="s">
        <v>787</v>
      </c>
      <c r="B393" s="7" t="s">
        <v>788</v>
      </c>
      <c r="C393" s="7" t="s">
        <v>4</v>
      </c>
      <c r="D393" s="7" t="s">
        <v>17</v>
      </c>
      <c r="E393" s="5">
        <v>14.98</v>
      </c>
      <c r="F393" s="7" t="s">
        <v>789</v>
      </c>
      <c r="G393" s="7" t="s">
        <v>788</v>
      </c>
      <c r="H393" s="7" t="s">
        <v>875</v>
      </c>
    </row>
    <row r="394" spans="1:8" ht="60" customHeight="1" x14ac:dyDescent="0.25">
      <c r="A394" s="8" t="s">
        <v>790</v>
      </c>
      <c r="B394" s="8" t="s">
        <v>791</v>
      </c>
      <c r="C394" s="8" t="s">
        <v>4</v>
      </c>
      <c r="D394" s="8" t="s">
        <v>17</v>
      </c>
      <c r="E394" s="6">
        <v>109.71</v>
      </c>
      <c r="F394" s="8" t="s">
        <v>792</v>
      </c>
      <c r="G394" s="8" t="s">
        <v>791</v>
      </c>
      <c r="H394" s="8" t="s">
        <v>862</v>
      </c>
    </row>
    <row r="395" spans="1:8" ht="60" customHeight="1" x14ac:dyDescent="0.25">
      <c r="A395" s="7" t="s">
        <v>790</v>
      </c>
      <c r="B395" s="7" t="s">
        <v>285</v>
      </c>
      <c r="C395" s="7" t="s">
        <v>4</v>
      </c>
      <c r="D395" s="7" t="s">
        <v>17</v>
      </c>
      <c r="E395" s="5">
        <v>103.38</v>
      </c>
      <c r="F395" s="7" t="s">
        <v>793</v>
      </c>
      <c r="G395" s="7" t="s">
        <v>285</v>
      </c>
      <c r="H395" s="7" t="s">
        <v>871</v>
      </c>
    </row>
    <row r="396" spans="1:8" ht="60" customHeight="1" x14ac:dyDescent="0.25">
      <c r="A396" s="8" t="s">
        <v>794</v>
      </c>
      <c r="B396" s="8" t="s">
        <v>141</v>
      </c>
      <c r="C396" s="8" t="s">
        <v>4</v>
      </c>
      <c r="D396" s="8" t="s">
        <v>17</v>
      </c>
      <c r="E396" s="6">
        <v>-2951.39</v>
      </c>
      <c r="F396" s="8" t="s">
        <v>142</v>
      </c>
      <c r="G396" s="8" t="s">
        <v>141</v>
      </c>
      <c r="H396" s="8" t="s">
        <v>856</v>
      </c>
    </row>
    <row r="397" spans="1:8" ht="60" customHeight="1" x14ac:dyDescent="0.25">
      <c r="A397" s="7" t="s">
        <v>794</v>
      </c>
      <c r="B397" s="7" t="s">
        <v>141</v>
      </c>
      <c r="C397" s="7" t="s">
        <v>4</v>
      </c>
      <c r="D397" s="7" t="s">
        <v>17</v>
      </c>
      <c r="E397" s="5">
        <v>-1000</v>
      </c>
      <c r="F397" s="7" t="s">
        <v>142</v>
      </c>
      <c r="G397" s="7" t="s">
        <v>141</v>
      </c>
      <c r="H397" s="7" t="s">
        <v>856</v>
      </c>
    </row>
    <row r="398" spans="1:8" ht="60" customHeight="1" x14ac:dyDescent="0.25">
      <c r="A398" s="8" t="s">
        <v>794</v>
      </c>
      <c r="B398" s="8" t="s">
        <v>285</v>
      </c>
      <c r="C398" s="8" t="s">
        <v>4</v>
      </c>
      <c r="D398" s="8" t="s">
        <v>17</v>
      </c>
      <c r="E398" s="6">
        <v>23.43</v>
      </c>
      <c r="F398" s="8" t="s">
        <v>795</v>
      </c>
      <c r="G398" s="8" t="s">
        <v>285</v>
      </c>
      <c r="H398" s="8" t="s">
        <v>871</v>
      </c>
    </row>
    <row r="399" spans="1:8" ht="60" customHeight="1" x14ac:dyDescent="0.25">
      <c r="A399" s="7" t="s">
        <v>796</v>
      </c>
      <c r="B399" s="7" t="s">
        <v>797</v>
      </c>
      <c r="C399" s="7" t="s">
        <v>4</v>
      </c>
      <c r="D399" s="7" t="s">
        <v>17</v>
      </c>
      <c r="E399" s="5">
        <v>500</v>
      </c>
      <c r="F399" s="7" t="s">
        <v>798</v>
      </c>
      <c r="G399" s="7" t="s">
        <v>797</v>
      </c>
      <c r="H399" s="7" t="s">
        <v>871</v>
      </c>
    </row>
    <row r="400" spans="1:8" ht="60" customHeight="1" x14ac:dyDescent="0.25">
      <c r="A400" s="8" t="s">
        <v>799</v>
      </c>
      <c r="B400" s="8" t="s">
        <v>800</v>
      </c>
      <c r="C400" s="8" t="s">
        <v>4</v>
      </c>
      <c r="D400" s="8" t="s">
        <v>17</v>
      </c>
      <c r="E400" s="6">
        <v>1323.03</v>
      </c>
      <c r="F400" s="8" t="s">
        <v>801</v>
      </c>
      <c r="G400" s="8" t="s">
        <v>800</v>
      </c>
      <c r="H400" s="8" t="s">
        <v>889</v>
      </c>
    </row>
    <row r="401" spans="1:8" ht="60" customHeight="1" x14ac:dyDescent="0.25">
      <c r="A401" s="7" t="s">
        <v>802</v>
      </c>
      <c r="B401" s="7" t="s">
        <v>334</v>
      </c>
      <c r="C401" s="7" t="s">
        <v>4</v>
      </c>
      <c r="D401" s="7" t="s">
        <v>17</v>
      </c>
      <c r="E401" s="5">
        <v>34.07</v>
      </c>
      <c r="F401" s="7" t="s">
        <v>803</v>
      </c>
      <c r="G401" s="7" t="s">
        <v>804</v>
      </c>
      <c r="H401" s="7" t="s">
        <v>873</v>
      </c>
    </row>
    <row r="402" spans="1:8" ht="60" customHeight="1" x14ac:dyDescent="0.25">
      <c r="A402" s="8" t="s">
        <v>802</v>
      </c>
      <c r="B402" s="8" t="s">
        <v>344</v>
      </c>
      <c r="C402" s="8" t="s">
        <v>4</v>
      </c>
      <c r="D402" s="8" t="s">
        <v>17</v>
      </c>
      <c r="E402" s="6">
        <v>219</v>
      </c>
      <c r="F402" s="8" t="s">
        <v>805</v>
      </c>
      <c r="G402" s="8" t="s">
        <v>344</v>
      </c>
      <c r="H402" s="8" t="s">
        <v>881</v>
      </c>
    </row>
    <row r="403" spans="1:8" ht="60" customHeight="1" x14ac:dyDescent="0.25">
      <c r="A403" s="7" t="s">
        <v>806</v>
      </c>
      <c r="B403" s="7" t="s">
        <v>398</v>
      </c>
      <c r="C403" s="7" t="s">
        <v>4</v>
      </c>
      <c r="D403" s="7" t="s">
        <v>17</v>
      </c>
      <c r="E403" s="5">
        <v>12</v>
      </c>
      <c r="F403" s="7" t="s">
        <v>807</v>
      </c>
      <c r="G403" s="7" t="s">
        <v>398</v>
      </c>
      <c r="H403" s="7" t="s">
        <v>855</v>
      </c>
    </row>
    <row r="404" spans="1:8" ht="60" customHeight="1" x14ac:dyDescent="0.25">
      <c r="A404" s="8" t="s">
        <v>806</v>
      </c>
      <c r="B404" s="8" t="s">
        <v>334</v>
      </c>
      <c r="C404" s="8" t="s">
        <v>4</v>
      </c>
      <c r="D404" s="8" t="s">
        <v>17</v>
      </c>
      <c r="E404" s="6">
        <v>5.92</v>
      </c>
      <c r="F404" s="8" t="s">
        <v>808</v>
      </c>
      <c r="G404" s="8" t="s">
        <v>804</v>
      </c>
      <c r="H404" s="8" t="s">
        <v>855</v>
      </c>
    </row>
    <row r="405" spans="1:8" ht="60" customHeight="1" x14ac:dyDescent="0.25">
      <c r="A405" s="7" t="s">
        <v>806</v>
      </c>
      <c r="B405" s="7" t="s">
        <v>809</v>
      </c>
      <c r="C405" s="7" t="s">
        <v>4</v>
      </c>
      <c r="D405" s="7" t="s">
        <v>17</v>
      </c>
      <c r="E405" s="5">
        <v>36.36</v>
      </c>
      <c r="F405" s="7" t="s">
        <v>810</v>
      </c>
      <c r="G405" s="7" t="s">
        <v>809</v>
      </c>
      <c r="H405" s="7" t="s">
        <v>855</v>
      </c>
    </row>
    <row r="406" spans="1:8" ht="60" customHeight="1" x14ac:dyDescent="0.25">
      <c r="A406" s="8" t="s">
        <v>811</v>
      </c>
      <c r="B406" s="8" t="s">
        <v>101</v>
      </c>
      <c r="C406" s="8" t="s">
        <v>4</v>
      </c>
      <c r="D406" s="8" t="s">
        <v>17</v>
      </c>
      <c r="E406" s="6">
        <v>24.99</v>
      </c>
      <c r="F406" s="8" t="s">
        <v>812</v>
      </c>
      <c r="G406" s="8" t="s">
        <v>101</v>
      </c>
      <c r="H406" s="8" t="s">
        <v>863</v>
      </c>
    </row>
    <row r="407" spans="1:8" ht="60" customHeight="1" x14ac:dyDescent="0.25">
      <c r="A407" s="7" t="s">
        <v>813</v>
      </c>
      <c r="B407" s="7" t="s">
        <v>814</v>
      </c>
      <c r="C407" s="7" t="s">
        <v>4</v>
      </c>
      <c r="D407" s="7" t="s">
        <v>17</v>
      </c>
      <c r="E407" s="5">
        <v>5.99</v>
      </c>
      <c r="F407" s="7" t="s">
        <v>815</v>
      </c>
      <c r="G407" s="7" t="s">
        <v>814</v>
      </c>
      <c r="H407" s="7" t="s">
        <v>858</v>
      </c>
    </row>
    <row r="408" spans="1:8" ht="60" customHeight="1" x14ac:dyDescent="0.25">
      <c r="A408" s="8" t="s">
        <v>816</v>
      </c>
      <c r="B408" s="8" t="s">
        <v>365</v>
      </c>
      <c r="C408" s="8" t="s">
        <v>4</v>
      </c>
      <c r="D408" s="8" t="s">
        <v>17</v>
      </c>
      <c r="E408" s="6">
        <v>10.81</v>
      </c>
      <c r="F408" s="8" t="s">
        <v>817</v>
      </c>
      <c r="G408" s="8" t="s">
        <v>365</v>
      </c>
      <c r="H408" s="8" t="s">
        <v>858</v>
      </c>
    </row>
    <row r="409" spans="1:8" ht="60" customHeight="1" x14ac:dyDescent="0.25">
      <c r="A409" s="7" t="s">
        <v>816</v>
      </c>
      <c r="B409" s="7" t="s">
        <v>818</v>
      </c>
      <c r="C409" s="7" t="s">
        <v>4</v>
      </c>
      <c r="D409" s="7" t="s">
        <v>17</v>
      </c>
      <c r="E409" s="5">
        <v>530</v>
      </c>
      <c r="F409" s="7" t="s">
        <v>819</v>
      </c>
      <c r="G409" s="7" t="s">
        <v>818</v>
      </c>
      <c r="H409" s="7" t="s">
        <v>890</v>
      </c>
    </row>
    <row r="410" spans="1:8" ht="60" customHeight="1" x14ac:dyDescent="0.25">
      <c r="A410" s="8" t="s">
        <v>816</v>
      </c>
      <c r="B410" s="8" t="s">
        <v>285</v>
      </c>
      <c r="C410" s="8" t="s">
        <v>4</v>
      </c>
      <c r="D410" s="8" t="s">
        <v>17</v>
      </c>
      <c r="E410" s="6">
        <v>58.57</v>
      </c>
      <c r="F410" s="8" t="s">
        <v>820</v>
      </c>
      <c r="G410" s="8" t="s">
        <v>285</v>
      </c>
      <c r="H410" s="8" t="s">
        <v>871</v>
      </c>
    </row>
    <row r="411" spans="1:8" ht="60" customHeight="1" x14ac:dyDescent="0.25">
      <c r="A411" s="7" t="s">
        <v>821</v>
      </c>
      <c r="B411" s="7" t="s">
        <v>822</v>
      </c>
      <c r="C411" s="7" t="s">
        <v>4</v>
      </c>
      <c r="D411" s="7" t="s">
        <v>17</v>
      </c>
      <c r="E411" s="5">
        <v>15.98</v>
      </c>
      <c r="F411" s="7" t="s">
        <v>823</v>
      </c>
      <c r="G411" s="7" t="s">
        <v>822</v>
      </c>
      <c r="H411" s="7" t="s">
        <v>875</v>
      </c>
    </row>
    <row r="412" spans="1:8" ht="60" customHeight="1" x14ac:dyDescent="0.25">
      <c r="A412" s="8" t="s">
        <v>821</v>
      </c>
      <c r="B412" s="8" t="s">
        <v>824</v>
      </c>
      <c r="C412" s="8" t="s">
        <v>4</v>
      </c>
      <c r="D412" s="8" t="s">
        <v>17</v>
      </c>
      <c r="E412" s="6">
        <v>50</v>
      </c>
      <c r="F412" s="8" t="s">
        <v>825</v>
      </c>
      <c r="G412" s="8" t="s">
        <v>824</v>
      </c>
      <c r="H412" s="8" t="s">
        <v>890</v>
      </c>
    </row>
    <row r="413" spans="1:8" ht="60" customHeight="1" x14ac:dyDescent="0.25">
      <c r="A413" s="7" t="s">
        <v>826</v>
      </c>
      <c r="B413" s="7" t="s">
        <v>827</v>
      </c>
      <c r="C413" s="7" t="s">
        <v>4</v>
      </c>
      <c r="D413" s="7" t="s">
        <v>17</v>
      </c>
      <c r="E413" s="5">
        <v>27.98</v>
      </c>
      <c r="F413" s="7" t="s">
        <v>828</v>
      </c>
      <c r="G413" s="7" t="s">
        <v>827</v>
      </c>
      <c r="H413" s="7" t="s">
        <v>875</v>
      </c>
    </row>
    <row r="414" spans="1:8" ht="60" customHeight="1" x14ac:dyDescent="0.25">
      <c r="A414" s="8" t="s">
        <v>826</v>
      </c>
      <c r="B414" s="8" t="s">
        <v>303</v>
      </c>
      <c r="C414" s="8" t="s">
        <v>4</v>
      </c>
      <c r="D414" s="8" t="s">
        <v>17</v>
      </c>
      <c r="E414" s="6">
        <v>9.99</v>
      </c>
      <c r="F414" s="8" t="s">
        <v>829</v>
      </c>
      <c r="G414" s="8" t="s">
        <v>303</v>
      </c>
      <c r="H414" s="8" t="s">
        <v>858</v>
      </c>
    </row>
    <row r="415" spans="1:8" ht="60" customHeight="1" x14ac:dyDescent="0.25">
      <c r="A415" s="7" t="s">
        <v>830</v>
      </c>
      <c r="B415" s="7" t="s">
        <v>831</v>
      </c>
      <c r="C415" s="7" t="s">
        <v>4</v>
      </c>
      <c r="D415" s="7" t="s">
        <v>17</v>
      </c>
      <c r="E415" s="5">
        <v>13.79</v>
      </c>
      <c r="F415" s="7" t="s">
        <v>832</v>
      </c>
      <c r="G415" s="7" t="s">
        <v>831</v>
      </c>
      <c r="H415" s="7" t="s">
        <v>875</v>
      </c>
    </row>
    <row r="416" spans="1:8" ht="60" customHeight="1" x14ac:dyDescent="0.25">
      <c r="A416" s="8" t="s">
        <v>833</v>
      </c>
      <c r="B416" s="8" t="s">
        <v>834</v>
      </c>
      <c r="C416" s="8" t="s">
        <v>4</v>
      </c>
      <c r="D416" s="8" t="s">
        <v>17</v>
      </c>
      <c r="E416" s="6">
        <v>31.97</v>
      </c>
      <c r="F416" s="8" t="s">
        <v>835</v>
      </c>
      <c r="G416" s="8" t="s">
        <v>834</v>
      </c>
      <c r="H416" s="8" t="s">
        <v>875</v>
      </c>
    </row>
    <row r="417" spans="1:8" ht="60" customHeight="1" x14ac:dyDescent="0.25">
      <c r="A417" s="7" t="s">
        <v>836</v>
      </c>
      <c r="B417" s="7" t="s">
        <v>837</v>
      </c>
      <c r="C417" s="7" t="s">
        <v>4</v>
      </c>
      <c r="D417" s="7" t="s">
        <v>17</v>
      </c>
      <c r="E417" s="5">
        <v>238</v>
      </c>
      <c r="F417" s="7" t="s">
        <v>838</v>
      </c>
      <c r="G417" s="7" t="s">
        <v>837</v>
      </c>
      <c r="H417" s="7" t="s">
        <v>890</v>
      </c>
    </row>
    <row r="418" spans="1:8" ht="60" customHeight="1" x14ac:dyDescent="0.25">
      <c r="A418" s="8" t="s">
        <v>836</v>
      </c>
      <c r="B418" s="8" t="s">
        <v>334</v>
      </c>
      <c r="C418" s="8" t="s">
        <v>4</v>
      </c>
      <c r="D418" s="8" t="s">
        <v>17</v>
      </c>
      <c r="E418" s="6">
        <v>39.47</v>
      </c>
      <c r="F418" s="8" t="s">
        <v>839</v>
      </c>
      <c r="G418" s="8" t="s">
        <v>804</v>
      </c>
      <c r="H418" s="8" t="s">
        <v>855</v>
      </c>
    </row>
    <row r="419" spans="1:8" ht="60" customHeight="1" x14ac:dyDescent="0.25">
      <c r="A419" s="7" t="s">
        <v>836</v>
      </c>
      <c r="B419" s="7" t="s">
        <v>334</v>
      </c>
      <c r="C419" s="7" t="s">
        <v>4</v>
      </c>
      <c r="D419" s="7" t="s">
        <v>17</v>
      </c>
      <c r="E419" s="5">
        <v>42.45</v>
      </c>
      <c r="F419" s="7" t="s">
        <v>840</v>
      </c>
      <c r="G419" s="7" t="s">
        <v>804</v>
      </c>
      <c r="H419" s="7" t="s">
        <v>855</v>
      </c>
    </row>
    <row r="420" spans="1:8" ht="60" customHeight="1" x14ac:dyDescent="0.25">
      <c r="A420" s="8" t="s">
        <v>836</v>
      </c>
      <c r="B420" s="8" t="s">
        <v>267</v>
      </c>
      <c r="C420" s="8" t="s">
        <v>4</v>
      </c>
      <c r="D420" s="8" t="s">
        <v>17</v>
      </c>
      <c r="E420" s="6">
        <v>10.81</v>
      </c>
      <c r="F420" s="8" t="s">
        <v>841</v>
      </c>
      <c r="G420" s="8" t="s">
        <v>267</v>
      </c>
      <c r="H420" s="8" t="s">
        <v>858</v>
      </c>
    </row>
    <row r="421" spans="1:8" ht="60" customHeight="1" x14ac:dyDescent="0.25">
      <c r="A421" s="7" t="s">
        <v>842</v>
      </c>
      <c r="B421" s="7" t="s">
        <v>334</v>
      </c>
      <c r="C421" s="7" t="s">
        <v>4</v>
      </c>
      <c r="D421" s="7" t="s">
        <v>17</v>
      </c>
      <c r="E421" s="5">
        <v>5</v>
      </c>
      <c r="F421" s="7" t="s">
        <v>843</v>
      </c>
      <c r="G421" s="7" t="s">
        <v>804</v>
      </c>
      <c r="H421" s="7" t="s">
        <v>855</v>
      </c>
    </row>
    <row r="422" spans="1:8" ht="60" customHeight="1" x14ac:dyDescent="0.25">
      <c r="A422" s="8" t="s">
        <v>842</v>
      </c>
      <c r="B422" s="8" t="s">
        <v>844</v>
      </c>
      <c r="C422" s="8" t="s">
        <v>4</v>
      </c>
      <c r="D422" s="8" t="s">
        <v>17</v>
      </c>
      <c r="E422" s="6">
        <v>14.98</v>
      </c>
      <c r="F422" s="8" t="s">
        <v>845</v>
      </c>
      <c r="G422" s="8" t="s">
        <v>844</v>
      </c>
      <c r="H422" s="8" t="s">
        <v>875</v>
      </c>
    </row>
    <row r="423" spans="1:8" ht="60" customHeight="1" x14ac:dyDescent="0.25">
      <c r="A423" s="7" t="s">
        <v>846</v>
      </c>
      <c r="B423" s="7" t="s">
        <v>847</v>
      </c>
      <c r="C423" s="7" t="s">
        <v>4</v>
      </c>
      <c r="D423" s="7" t="s">
        <v>17</v>
      </c>
      <c r="E423" s="5">
        <v>11.34</v>
      </c>
      <c r="F423" s="7" t="s">
        <v>848</v>
      </c>
      <c r="G423" s="7" t="s">
        <v>847</v>
      </c>
      <c r="H423" s="7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 Summary</vt:lpstr>
      <vt:lpstr>Monthly Breakdown</vt:lpstr>
      <vt:lpstr>Transaction Details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2026-06-11T23:54:18Z</dcterms:created>
  <dcterms:modified xsi:type="dcterms:W3CDTF">2026-06-12T18:17:47Z</dcterms:modified>
</cp:coreProperties>
</file>