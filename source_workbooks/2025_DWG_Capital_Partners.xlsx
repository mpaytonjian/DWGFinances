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 Summary" sheetId="1" state="visible" r:id="rId3"/>
    <sheet name="Monthly Breakdown" sheetId="2" state="visible" r:id="rId4"/>
    <sheet name="Transfer In" sheetId="3" state="visible" r:id="rId5"/>
    <sheet name="Transfer Out" sheetId="4" state="visible" r:id="rId6"/>
    <sheet name="Commission" sheetId="5" state="visible" r:id="rId7"/>
    <sheet name="Transaction Overview" sheetId="6" state="visible" r:id="rId8"/>
    <sheet name="Mapping" sheetId="7" state="visible" r:id="rId9"/>
    <sheet name="2025_DWG_Activit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<sst xmlns="http://schemas.openxmlformats.org/spreadsheetml/2006/main" count="1794" uniqueCount="468">
  <si>
    <t xml:space="preserve">Chase — DWG 2025 Activity</t>
  </si>
  <si>
    <t xml:space="preserve">Category Summary  |  Jan 2025 – Dec 2025</t>
  </si>
  <si>
    <t xml:space="preserve">Entity</t>
  </si>
  <si>
    <t xml:space="preserve">DWG Capital Partners</t>
  </si>
  <si>
    <t xml:space="preserve">Account</t>
  </si>
  <si>
    <t xml:space="preserve">Business Checking — Chase</t>
  </si>
  <si>
    <t xml:space="preserve">Period</t>
  </si>
  <si>
    <t xml:space="preserve">Jan 2025 – Dec 2025</t>
  </si>
  <si>
    <t xml:space="preserve">TOTALS</t>
  </si>
  <si>
    <t xml:space="preserve">Total Inflows</t>
  </si>
  <si>
    <t xml:space="preserve">Total Outflows</t>
  </si>
  <si>
    <t xml:space="preserve">Net Change</t>
  </si>
  <si>
    <t xml:space="preserve">Category</t>
  </si>
  <si>
    <t xml:space="preserve">Inflows</t>
  </si>
  <si>
    <t xml:space="preserve">Outflows</t>
  </si>
  <si>
    <t xml:space="preserve">Net</t>
  </si>
  <si>
    <t xml:space="preserve">Deal-Specific</t>
  </si>
  <si>
    <t xml:space="preserve">Deal Specific</t>
  </si>
  <si>
    <t xml:space="preserve">Subtotal — Deal-Specific</t>
  </si>
  <si>
    <t xml:space="preserve">Intercompany &amp; Savings Transfers</t>
  </si>
  <si>
    <t xml:space="preserve">Transfer from AIMP</t>
  </si>
  <si>
    <t xml:space="preserve">Transfer from AirBagit</t>
  </si>
  <si>
    <t xml:space="preserve">Transfer from DWG Capital Group</t>
  </si>
  <si>
    <t xml:space="preserve">Transfer from Ecomm_PosPrtnrs_BC</t>
  </si>
  <si>
    <t xml:space="preserve">Transfer from JAL Southbend</t>
  </si>
  <si>
    <t xml:space="preserve">Transfer from Poseidon Asset Group</t>
  </si>
  <si>
    <t xml:space="preserve">Transfer from Stryten Energy</t>
  </si>
  <si>
    <t xml:space="preserve">Transfer to AIMP</t>
  </si>
  <si>
    <t xml:space="preserve">Transfer to AirBagit</t>
  </si>
  <si>
    <t xml:space="preserve">Transfer to Poseidon Asset Group</t>
  </si>
  <si>
    <t xml:space="preserve">Subtotal — Intercompany &amp; Savings Transfers</t>
  </si>
  <si>
    <t xml:space="preserve">Payroll &amp; Contractors</t>
  </si>
  <si>
    <t xml:space="preserve">Max Rodriguez - Payroll</t>
  </si>
  <si>
    <t xml:space="preserve">Meg Maran - Payroll</t>
  </si>
  <si>
    <t xml:space="preserve">Mike Paytonjian - Payroll</t>
  </si>
  <si>
    <t xml:space="preserve">Ryan Billings - Payroll</t>
  </si>
  <si>
    <t xml:space="preserve">Sandy - PR Payment</t>
  </si>
  <si>
    <t xml:space="preserve">Subtotal — Payroll &amp; Contractors</t>
  </si>
  <si>
    <t xml:space="preserve">P2P Payments (Zelle/Venmo/PayPal)</t>
  </si>
  <si>
    <t xml:space="preserve">Zelle - Joseph Whitner</t>
  </si>
  <si>
    <t xml:space="preserve">Subtotal — P2P Payments (Zelle/Venmo/PayPal)</t>
  </si>
  <si>
    <t xml:space="preserve">Credit Card &amp; Loan Payments</t>
  </si>
  <si>
    <t xml:space="preserve">AMEX Credit Card Payment</t>
  </si>
  <si>
    <t xml:space="preserve">Subtotal — Credit Card &amp; Loan Payments</t>
  </si>
  <si>
    <t xml:space="preserve">DWG Operating</t>
  </si>
  <si>
    <t xml:space="preserve">AI Subscription</t>
  </si>
  <si>
    <t xml:space="preserve">Bank Fees</t>
  </si>
  <si>
    <t xml:space="preserve">DWG HR</t>
  </si>
  <si>
    <t xml:space="preserve">DWG Listing Platform</t>
  </si>
  <si>
    <t xml:space="preserve">DWG Marketing</t>
  </si>
  <si>
    <t xml:space="preserve">Go Daddy</t>
  </si>
  <si>
    <t xml:space="preserve">LLC Filing</t>
  </si>
  <si>
    <t xml:space="preserve">Wire Fee</t>
  </si>
  <si>
    <t xml:space="preserve">Subtotal — DWG Operating</t>
  </si>
  <si>
    <t xml:space="preserve">Personal — Owner</t>
  </si>
  <si>
    <t xml:space="preserve">Amazon</t>
  </si>
  <si>
    <t xml:space="preserve">Personal - Car</t>
  </si>
  <si>
    <t xml:space="preserve">Personal - Clothes</t>
  </si>
  <si>
    <t xml:space="preserve">Personal - Clothing</t>
  </si>
  <si>
    <t xml:space="preserve">Personal - Entertainment</t>
  </si>
  <si>
    <t xml:space="preserve">Personal - Food</t>
  </si>
  <si>
    <t xml:space="preserve">Personal - Health</t>
  </si>
  <si>
    <t xml:space="preserve">Personal - House</t>
  </si>
  <si>
    <t xml:space="preserve">Personal - Subscriptions</t>
  </si>
  <si>
    <t xml:space="preserve">Personal - Technology</t>
  </si>
  <si>
    <t xml:space="preserve">Personal - Travel</t>
  </si>
  <si>
    <t xml:space="preserve">Personal - Trip</t>
  </si>
  <si>
    <t xml:space="preserve">Subtotal — Personal — Owner</t>
  </si>
  <si>
    <t xml:space="preserve">Uncategorized — Review</t>
  </si>
  <si>
    <t xml:space="preserve">ATM Withdrawal</t>
  </si>
  <si>
    <t xml:space="preserve">Verification</t>
  </si>
  <si>
    <t xml:space="preserve">Subtotal — Uncategorized — Review</t>
  </si>
  <si>
    <t xml:space="preserve">Monthly Breakdown  |  Jan 2025 – Dec 2025</t>
  </si>
  <si>
    <t xml:space="preserve">Group</t>
  </si>
  <si>
    <t xml:space="preserve">Total</t>
  </si>
  <si>
    <t xml:space="preserve">Intercompany Transfers — In  |  Jan 2025 – Dec 2025</t>
  </si>
  <si>
    <t xml:space="preserve">SUMMARY</t>
  </si>
  <si>
    <t xml:space="preserve"># Transactions</t>
  </si>
  <si>
    <t xml:space="preserve">Intercompany Transfers — Out  |  Jan 2025 – Dec 2025</t>
  </si>
  <si>
    <t xml:space="preserve">Commissions Statement  |  Jan 2025 – Dec 2025</t>
  </si>
  <si>
    <t xml:space="preserve">Details</t>
  </si>
  <si>
    <t xml:space="preserve">Posting Date</t>
  </si>
  <si>
    <t xml:space="preserve">Description</t>
  </si>
  <si>
    <t xml:space="preserve">Amount</t>
  </si>
  <si>
    <t xml:space="preserve">Type</t>
  </si>
  <si>
    <t xml:space="preserve">Balance</t>
  </si>
  <si>
    <t xml:space="preserve">Month</t>
  </si>
  <si>
    <t xml:space="preserve">Combined Category</t>
  </si>
  <si>
    <t xml:space="preserve">Raw Category</t>
  </si>
  <si>
    <t xml:space="preserve">Categories</t>
  </si>
  <si>
    <t xml:space="preserve">DEBIT</t>
  </si>
  <si>
    <t xml:space="preserve">Online Transfer to CHK ...9335 transaction#: 27532478452 12/31</t>
  </si>
  <si>
    <t xml:space="preserve">ACCT_XFER</t>
  </si>
  <si>
    <t xml:space="preserve">ELEMENTOR.COM ELEMENTOR.COM DE               12/30</t>
  </si>
  <si>
    <t xml:space="preserve">DEBIT_CARD</t>
  </si>
  <si>
    <t xml:space="preserve">PP*APPLE.COM/BILL 800-275-2273 CA            12/30</t>
  </si>
  <si>
    <t xml:space="preserve">PAYPAL *LINKEDIN 402-935-7733 CA             12/30</t>
  </si>
  <si>
    <t xml:space="preserve">CREDIT</t>
  </si>
  <si>
    <t xml:space="preserve">Online Transfer from CHK ...9769 transaction#: 27532436614</t>
  </si>
  <si>
    <t xml:space="preserve">Online Transfer to CHK ...1283 transaction#: 27515609629 12/30</t>
  </si>
  <si>
    <t xml:space="preserve">BREVITAS 415-993-8886 CA                     12/30</t>
  </si>
  <si>
    <t xml:space="preserve">Basic Online Payroll Payment 11199342689 to ########6812</t>
  </si>
  <si>
    <t xml:space="preserve">BASIC_PAYROLL</t>
  </si>
  <si>
    <t xml:space="preserve">PP*APPLE.COM/BILL 800-275-2273 CA            12/27</t>
  </si>
  <si>
    <t xml:space="preserve">PP*APPLE.COM/BILL 800-275-2273 CA            12/26</t>
  </si>
  <si>
    <t xml:space="preserve">PAYPAL *CANVA 416-131-8870 DE                12/25</t>
  </si>
  <si>
    <t xml:space="preserve">PP*APPLE.COM/BILL 800-275-2273 CA            12/24</t>
  </si>
  <si>
    <t xml:space="preserve">PAYPAL *EPOCH TIMES T 833-699-1888 NY        12/23</t>
  </si>
  <si>
    <t xml:space="preserve">PP*APPLE.COM/BILL 800-275-2273 CA            12/23</t>
  </si>
  <si>
    <t xml:space="preserve">ActiveCampaign 141-5235186 IL                12/23</t>
  </si>
  <si>
    <t xml:space="preserve">INTERNATIONAL INCOMING WIRE FEE</t>
  </si>
  <si>
    <t xml:space="preserve">FEE_TRANSACTION</t>
  </si>
  <si>
    <t xml:space="preserve">Online Transfer to CHK ...9335 transaction#: 27426858962 12/22</t>
  </si>
  <si>
    <t xml:space="preserve">PP*APPLE.COM/BILL 800-275-2273 CA            12/22</t>
  </si>
  <si>
    <t xml:space="preserve">PP*APPLE.COM/BILL 800-275-2273 CA            12/20</t>
  </si>
  <si>
    <t xml:space="preserve">PAYPAL *BEENVERIFIE 786-482-6776 NY          12/21</t>
  </si>
  <si>
    <t xml:space="preserve">PAYPAL *THEREALDEAL O 212-260-1332 NY        12/19</t>
  </si>
  <si>
    <t xml:space="preserve">BOOK TRANSFER CREDIT B/O: NATIONAL FINANCIAL SERVICES LLC SMITHFIELD RI 02917- US ORG:/X649258511 1/SARITHA DHRUVAKUMAR NAVEEN D BHAN OGB: NATIONAL FINANCIAL SERVICES LLC 245 SUMMER STREET REF:/ROC/WD86824339/URI/INVESTMENT ALLOCATION TRN: 2262197356JS</t>
  </si>
  <si>
    <t xml:space="preserve">WIRE_INCOMING</t>
  </si>
  <si>
    <t xml:space="preserve">PAYPAL *FOXCORP 310-369-1795 CA              12/19</t>
  </si>
  <si>
    <t xml:space="preserve">UA INFLT    01643545698 HOUSTON TX           12/18</t>
  </si>
  <si>
    <t xml:space="preserve">PP*APPLE.COM/BILL 800-275-2273 CA            12/17</t>
  </si>
  <si>
    <t xml:space="preserve">DNH*GODADDY 480-505-8855 AZ                  12/17</t>
  </si>
  <si>
    <t xml:space="preserve">PAYPAL *LINKEDIN 402-935-7733 CA             12/17</t>
  </si>
  <si>
    <t xml:space="preserve">Online Transfer from CHK ...9335 transaction#: 27362694361</t>
  </si>
  <si>
    <t xml:space="preserve">PAYPAL *GRUBHUBFOOD L 877-585-7878 IL        12/16</t>
  </si>
  <si>
    <t xml:space="preserve">PP*APPLE.COM/BILL 800-275-2273 CA            12/16</t>
  </si>
  <si>
    <t xml:space="preserve">SEARCHFUNDER SEARCHFUNDER. OR                12/15</t>
  </si>
  <si>
    <t xml:space="preserve">DNH*GODADDY 480-505-8855 AZ                  12/15</t>
  </si>
  <si>
    <t xml:space="preserve">PP*APPLE.COM/BILL 800-275-2273 CA            12/15</t>
  </si>
  <si>
    <t xml:space="preserve">PP*GOOGLE GOOGLE ONE 855-836-3987 CA         12/14</t>
  </si>
  <si>
    <t xml:space="preserve">DNH*GODADDY 480-505-8855 AZ                  12/14</t>
  </si>
  <si>
    <t xml:space="preserve">PP*APPLE.COM/BILL 800-275-2273 CA            12/14</t>
  </si>
  <si>
    <t xml:space="preserve">DNH*GODADDY 480-505-8855 AZ                  12/13</t>
  </si>
  <si>
    <t xml:space="preserve">PP*APPLE.COM/BILL 800-275-2273 CA            12/13</t>
  </si>
  <si>
    <t xml:space="preserve">PAYPAL *GRUBHUBFOOD L 877-585-7878 IL        12/14</t>
  </si>
  <si>
    <t xml:space="preserve">PAYPAL *HULU 877-801-5441 CA                 12/13</t>
  </si>
  <si>
    <t xml:space="preserve">UA INFLT    01643531237 HOUSTON TX           12/12</t>
  </si>
  <si>
    <t xml:space="preserve">ADOBE  *800-833-6687 ADOBE.LY/ENUS CA        12/13</t>
  </si>
  <si>
    <t xml:space="preserve">Basic Online Payroll Payment 11197484640 to ########6812</t>
  </si>
  <si>
    <t xml:space="preserve">PP*SPOTIFY*P3D56651A5 203-318-9708 NY        12/12</t>
  </si>
  <si>
    <t xml:space="preserve">DNH*GODADDY 480-505-8855 AZ                  12/11</t>
  </si>
  <si>
    <t xml:space="preserve">Online Transfer from CHK ...9335 transaction#: 27302563714</t>
  </si>
  <si>
    <t xml:space="preserve">PAYPAL *LANDSENDINC 800-963-4816 WI          12/09</t>
  </si>
  <si>
    <t xml:space="preserve">ADOBE  *800-833-6687 ADOBE.LY/ENUS CA        12/10</t>
  </si>
  <si>
    <t xml:space="preserve">PP*APPLE.COM/BILL 800-275-2273 CA            12/09</t>
  </si>
  <si>
    <t xml:space="preserve">PAYPAL *LINKEDIN 402-935-7733 CA             12/08</t>
  </si>
  <si>
    <t xml:space="preserve">PAYPAL *LANDSENDINC 800-963-4816 WI          12/08</t>
  </si>
  <si>
    <t xml:space="preserve">PP*APPLE.COM/BILL 800-275-2273 CA            12/08</t>
  </si>
  <si>
    <t xml:space="preserve">DNH*GODADDY 480-505-8855 AZ                  12/06</t>
  </si>
  <si>
    <t xml:space="preserve">PP*APPLE.COM/BILL 800-275-2273 CA            12/06</t>
  </si>
  <si>
    <t xml:space="preserve">SQ *ALANA'S COFFEE ROA Los Angeles CA        12/05</t>
  </si>
  <si>
    <t xml:space="preserve">PP*APPLE.COM/BILL 800-275-2273 CA            12/05</t>
  </si>
  <si>
    <t xml:space="preserve">Online Transfer from CHK ...1168 transaction#: 27244098055</t>
  </si>
  <si>
    <t xml:space="preserve">DNH*GODADDY 480-505-8855 AZ                  12/04</t>
  </si>
  <si>
    <t xml:space="preserve">TST*BLUEYS KITCHEN MAR Los Angeles CA        12/03</t>
  </si>
  <si>
    <t xml:space="preserve">PAYPAL *SANDYPR COM 402-935-7733 CA          12/03</t>
  </si>
  <si>
    <t xml:space="preserve">COMMONLOTS LLC 213-3059621 CA                12/03</t>
  </si>
  <si>
    <t xml:space="preserve">Online Transfer from CHK ...9335 transaction#: 27190267467</t>
  </si>
  <si>
    <t xml:space="preserve">DNH*GODADDY 480-505-8855 AZ                  12/01</t>
  </si>
  <si>
    <t xml:space="preserve">JANOVER JANOVER.CARRD FL                     12/01</t>
  </si>
  <si>
    <t xml:space="preserve">Online Transfer from CHK ...9335 transaction#: 27183519742</t>
  </si>
  <si>
    <t xml:space="preserve">Online Transfer from CHK ...9335 transaction#: 27165554859</t>
  </si>
  <si>
    <t xml:space="preserve">Basic Online Payroll Payment 11195462886 to ########6812</t>
  </si>
  <si>
    <t xml:space="preserve">TST*BLUEYS KITCHEN MAR Los Angeles CA        11/26</t>
  </si>
  <si>
    <t xml:space="preserve">Online Transfer from CHK ...9335 transaction#: 27127534065</t>
  </si>
  <si>
    <t xml:space="preserve">Online Transfer to CHK ...9335 transaction#: 27101422763 11/26</t>
  </si>
  <si>
    <t xml:space="preserve">Online Transfer from CHK ...5153 transaction#: 27101383260</t>
  </si>
  <si>
    <t xml:space="preserve">SQ *PROVECHO CALIMEX L Los Angeles CA        11/23</t>
  </si>
  <si>
    <t xml:space="preserve">SQ *PICKLED BY SHRED L Los Angeles CA        11/23</t>
  </si>
  <si>
    <t xml:space="preserve">ActiveCampaign 141-5235186 IL                11/23</t>
  </si>
  <si>
    <t xml:space="preserve">LADOT METER PARKING LOS ANGELES CA           11/15</t>
  </si>
  <si>
    <t xml:space="preserve">DNH*GODADDY 480-505-8855 AZ                  11/17</t>
  </si>
  <si>
    <t xml:space="preserve">SEARCHFUNDER PORTLAND OR             778295  11/15</t>
  </si>
  <si>
    <t xml:space="preserve">DNH*GODADDY 480-505-8855 AZ                  11/15</t>
  </si>
  <si>
    <t xml:space="preserve">DNH*GODADDY 480-505-8855 AZ                  11/14</t>
  </si>
  <si>
    <t xml:space="preserve">Online Transfer from CHK ...1168 transaction#: 26986349970</t>
  </si>
  <si>
    <t xml:space="preserve">DNH*GODADDY 480-505-8855 AZ                  11/13</t>
  </si>
  <si>
    <t xml:space="preserve">Basic Online Payroll Payment 11193609046 to ########6812</t>
  </si>
  <si>
    <t xml:space="preserve">ADOBE  *800-833-6687 ADOBE.LY/ENUS CA        11/13</t>
  </si>
  <si>
    <t xml:space="preserve">WAC BEVERLY HILLS RO BEVERLY HILLS CA        11/11</t>
  </si>
  <si>
    <t xml:space="preserve">Online Transfer from CHK ...9335 transaction#: 26945932671</t>
  </si>
  <si>
    <t xml:space="preserve">FLOYD'S 99 VENICE 310-3994888 CA             11/11</t>
  </si>
  <si>
    <t xml:space="preserve">DNH*GODADDY 480-505-8855 AZ                  11/11</t>
  </si>
  <si>
    <t xml:space="preserve">COMMONLOTS LLC 213-3059621 CA                11/10</t>
  </si>
  <si>
    <t xml:space="preserve">SQ *ALANA'S COFFEE ROA Los Angeles CA        11/10</t>
  </si>
  <si>
    <t xml:space="preserve">ADOBE  *800-833-6687 ADOBE.LY/ENUS CA        11/10</t>
  </si>
  <si>
    <t xml:space="preserve">CITY OF SANTA MONICA SANTA MONICA CA         11/08</t>
  </si>
  <si>
    <t xml:space="preserve">DNH*GODADDY 480-505-8855 AZ                  11/06</t>
  </si>
  <si>
    <t xml:space="preserve">DNH*GODADDY 480-505-8855 AZ                  11/04</t>
  </si>
  <si>
    <t xml:space="preserve">BENITOS RESTAURANTES FORT WORTH TX           11/02</t>
  </si>
  <si>
    <t xml:space="preserve">DNH*GODADDY 480-505-8855 AZ                  11/01</t>
  </si>
  <si>
    <t xml:space="preserve">Basic Online Payroll Payment 11191487512 to ########6812</t>
  </si>
  <si>
    <t xml:space="preserve">Online Transfer from CHK ...9335 transaction#: 26768022537</t>
  </si>
  <si>
    <t xml:space="preserve">ActiveCampaign 141-5235186 IL                10/23</t>
  </si>
  <si>
    <t xml:space="preserve">DNH*GODADDY 480-505-8855 AZ                  10/17</t>
  </si>
  <si>
    <t xml:space="preserve">DNH*GODADDY 480-505-8855 AZ                  10/15</t>
  </si>
  <si>
    <t xml:space="preserve">DNH*GODADDY 480-505-8855 AZ                  10/14</t>
  </si>
  <si>
    <t xml:space="preserve">Basic Online Payroll Payment 11189665624 to ########6812</t>
  </si>
  <si>
    <t xml:space="preserve">DNH*GODADDY#39218986 https://www.g AZ        10/13</t>
  </si>
  <si>
    <t xml:space="preserve">ADOBE  *800-833-6687 ADOBE.LY/ENUS CA        10/13</t>
  </si>
  <si>
    <t xml:space="preserve">DNH*GODADDY#39202443 https://www.g AZ        10/11</t>
  </si>
  <si>
    <t xml:space="preserve">WIX.COM 1203133663 WWW.WIX.COM CA            10/11</t>
  </si>
  <si>
    <t xml:space="preserve">Online Transfer from CHK ...9335 transaction#: 26582712162</t>
  </si>
  <si>
    <t xml:space="preserve">ADOBE  *800-833-6687 ADOBE.LY/ENUS CA        10/10</t>
  </si>
  <si>
    <t xml:space="preserve">DNH*GODADDY#39158132 https://www.g AZ        10/06</t>
  </si>
  <si>
    <t xml:space="preserve">DNH*GODADDY#39142689 https://www.g AZ        10/04</t>
  </si>
  <si>
    <t xml:space="preserve">SQ *ALANA'S COFFEE ROA Los Angeles CA        10/02</t>
  </si>
  <si>
    <t xml:space="preserve">STARBUCKS STORE 22640 LOS ANGELES CA         10/02</t>
  </si>
  <si>
    <t xml:space="preserve">DNH*GODADDY#39115298 https://www.g AZ        10/01</t>
  </si>
  <si>
    <t xml:space="preserve">Online Transfer to CHK ...8577 transaction#: 26425484519 10/01</t>
  </si>
  <si>
    <t xml:space="preserve">Online Transfer from CHK ...8577 transaction#: 26423293872</t>
  </si>
  <si>
    <t xml:space="preserve">BLUE SHIELD CALIFORNI 800-393-6130 CA        09/30</t>
  </si>
  <si>
    <t xml:space="preserve">Basic Online Payroll Payment 11187614834 to ######7939</t>
  </si>
  <si>
    <t xml:space="preserve">Basic Online Payroll Payment 11187626445 to ########6812</t>
  </si>
  <si>
    <t xml:space="preserve">Online Transfer from CHK ...1168 transaction#: 26399295464</t>
  </si>
  <si>
    <t xml:space="preserve">DOMESTIC INCOMING WIRE FEE</t>
  </si>
  <si>
    <t xml:space="preserve">Online Transfer to CHK ...8577 transaction#: 26335819006 09/24</t>
  </si>
  <si>
    <t xml:space="preserve">ActiveCampaign 141-5235186 IL                09/24</t>
  </si>
  <si>
    <t xml:space="preserve">FEDWIRE CREDIT VIA: WASHINGTON FEDERAL SAVINGS/325070980 B/O: MRM INDUSTRIAL PARTNERS, LLC LOS ANGELES CA 90066 REF: CHASE NYC/CTR/BNF=DWG CAPITAL PARTNERS LLC LOS ANGELES CA 90066-3638 U S/AC-000000006016 RFB=NOTPROVIDED O BI=/PURP/FUND A BUSINESS ACQUISITIO N IMAD: 0924GMQFMP01012034 TRN: 0541891267FF</t>
  </si>
  <si>
    <t xml:space="preserve">ONLINE DOMESTIC WIRE FEE</t>
  </si>
  <si>
    <t xml:space="preserve">ONLINE DOMESTIC WIRE TRANSFER VIA: DBTCO AMERICAS NYC/021001033 A/C: NYLTD FUNDS CONTROL NY NEW YORK NY 10019 US REF: DWG CAPITAL PARTNERS- STRYTEN ENERGY DEPOSIT IMAD: 0922MMQFMP2M026863 TRN: 3551725265ES 09/22</t>
  </si>
  <si>
    <t xml:space="preserve">WIRE_OUTGOING</t>
  </si>
  <si>
    <t xml:space="preserve">Online Transfer from CHK ...1168 transaction#: 26315056206</t>
  </si>
  <si>
    <t xml:space="preserve">THE GYM VENICE THEGYMVENICE. CA              09/18</t>
  </si>
  <si>
    <t xml:space="preserve">DNH*GODADDY#38945086 https://www.g AZ        09/17</t>
  </si>
  <si>
    <t xml:space="preserve">ONLINE DOMESTIC WIRE TRANSFER VIA: BK AMER NYC/026009593 A/C: CHICAGO TITLE INSURANCE COMPANY BREA CA 92505 US REF: FBSC2509203-BP IMAD: 0916MMQFMP2K022175 TRN: 3421235259ES 09/16</t>
  </si>
  <si>
    <t xml:space="preserve">DNH*GODADDY#38920664 https://www.g AZ        09/15</t>
  </si>
  <si>
    <t xml:space="preserve">DNH*GODADDY#38903671 https://www.g AZ        09/14</t>
  </si>
  <si>
    <t xml:space="preserve">DNH*GODADDY#38895692 https://www.g AZ        09/13</t>
  </si>
  <si>
    <t xml:space="preserve">ADOBE  *800-833-6687 ADOBE.LY/ENUS CA        09/13</t>
  </si>
  <si>
    <t xml:space="preserve">Amazon Tips*BV8RR7MO Amzn.com/bill WA        09/12</t>
  </si>
  <si>
    <t xml:space="preserve">Basic Online Payroll Payment 11185604308 to ######7939</t>
  </si>
  <si>
    <t xml:space="preserve">Basic Online Payroll Payment 11185645396 to ########6812</t>
  </si>
  <si>
    <t xml:space="preserve">DNH*GODADDY#38876545 https://www.g AZ        09/11</t>
  </si>
  <si>
    <t xml:space="preserve">THE GYM VENICE THEGYMVENICE. CA              09/11</t>
  </si>
  <si>
    <t xml:space="preserve">Amazon.com*A326L1713 Amzn.com/bill WA        09/11</t>
  </si>
  <si>
    <t xml:space="preserve">ADOBE  *800-833-6687 ADOBE.LY/ENUS CA        09/10</t>
  </si>
  <si>
    <t xml:space="preserve">Online Transfer from CHK ...9335 transaction#: 26176828172</t>
  </si>
  <si>
    <t xml:space="preserve">DNH*GODADDY#38817692 https://www.g AZ        09/06</t>
  </si>
  <si>
    <t xml:space="preserve">DNH*GODADDY#38791706 https://www.g AZ        09/04</t>
  </si>
  <si>
    <t xml:space="preserve">LAGUNA BEACH COMM DEV LAGUNA BEACH CA880169  09/03</t>
  </si>
  <si>
    <t xml:space="preserve">ORIG CO NAME:AMERICAN EXPRESS       ORIG ID:2005032111 DESC DATE:250902 CO ENTRY DESCR:ACH PMT   SEC:CCD    TRACE#:021000028869861 EED:250902   IND ID:W9682                        IND NAME:JOHN DUNNING                                                                                                 ER AM TRN: 2458869861TC</t>
  </si>
  <si>
    <t xml:space="preserve">ACH_DEBIT</t>
  </si>
  <si>
    <t xml:space="preserve">DNH*GODADDY#38756335 https://www.g AZ        09/01</t>
  </si>
  <si>
    <t xml:space="preserve">HOTELJACO.COM HOTELJACO.COM TX               08/31</t>
  </si>
  <si>
    <t xml:space="preserve">BLUE SHIELD CALIFORNI 800-393-6130 CA        08/31</t>
  </si>
  <si>
    <t xml:space="preserve">Basic Online Payroll Payment 11183898538 to ######7939</t>
  </si>
  <si>
    <t xml:space="preserve">Basic Online Payroll Payment 11183914672 to ########6812</t>
  </si>
  <si>
    <t xml:space="preserve">Online Transfer from CHK ...9335 transaction#: 26008386397</t>
  </si>
  <si>
    <t xml:space="preserve">DNH*GODADDY#38657330 https://www.g AZ        08/24</t>
  </si>
  <si>
    <t xml:space="preserve">THE GYM VENICE THEGYMVENICE. CA              08/23</t>
  </si>
  <si>
    <t xml:space="preserve">ACTIVECAMPAIGN, INC. 800-357-0402 IL         08/23</t>
  </si>
  <si>
    <t xml:space="preserve">Zelle payment from MASTERMIND FOR DIGITAL HEALTH LLC 25913878977</t>
  </si>
  <si>
    <t xml:space="preserve">QUICKPAY_CREDIT</t>
  </si>
  <si>
    <t xml:space="preserve">Zelle payment from MASTERMIND FOR DIGITAL HEALTH LLC 25910628124</t>
  </si>
  <si>
    <t xml:space="preserve">DNH*GODADDY#38569949 https://www.g AZ        08/17</t>
  </si>
  <si>
    <t xml:space="preserve">800.COM, LLC 800-800-4321 FL                 08/16</t>
  </si>
  <si>
    <t xml:space="preserve">DNH*GODADDY#38548009 https://www.g AZ        08/15</t>
  </si>
  <si>
    <t xml:space="preserve">DNH*GODADDY#38537327 https://www.g AZ        08/14</t>
  </si>
  <si>
    <t xml:space="preserve">Basic Online Payroll Payment 11180108671 to ########6812</t>
  </si>
  <si>
    <t xml:space="preserve">Basic Online Payroll Payment 11180105872 to ######7939</t>
  </si>
  <si>
    <t xml:space="preserve">DNH*GODADDY#38524544 https://www.g AZ        08/13</t>
  </si>
  <si>
    <t xml:space="preserve">ADOBE  *800-833-6687 ADOBE.LY/ENUS CA        08/13</t>
  </si>
  <si>
    <t xml:space="preserve">DNH*GODADDY#38494948 https://www.g AZ        08/11</t>
  </si>
  <si>
    <t xml:space="preserve">THE GYM VENICE THEGYMVENICE. CA              08/09</t>
  </si>
  <si>
    <t xml:space="preserve">ADOBE  *800-833-6687 ADOBE.LY/ENUS CA        08/10</t>
  </si>
  <si>
    <t xml:space="preserve">XAI LLC X.AI/ABOUT CA                        08/08</t>
  </si>
  <si>
    <t xml:space="preserve">THE GYM VENICE THEGYMVENICE. CA              08/07</t>
  </si>
  <si>
    <t xml:space="preserve">Online Transfer to CHK ...9082 transaction#: 25771273840 08/07</t>
  </si>
  <si>
    <t xml:space="preserve">DNH*GODADDY#38437798 https://www.g AZ        08/06</t>
  </si>
  <si>
    <t xml:space="preserve">Online ACH Payment 11182923363 To AstronomicInc (_###########7142)</t>
  </si>
  <si>
    <t xml:space="preserve">ACH_PAYMENT</t>
  </si>
  <si>
    <t xml:space="preserve">Zelle payment from SHADE ARCHITECTS LLC 25743777280</t>
  </si>
  <si>
    <t xml:space="preserve">DNH*GODADDY#38416042 https://www.g AZ        08/04</t>
  </si>
  <si>
    <t xml:space="preserve">CULVER THEATRE CULVER CITY CA                08/02</t>
  </si>
  <si>
    <t xml:space="preserve">DNH*GODADDY#38385675 https://www.g AZ        08/01</t>
  </si>
  <si>
    <t xml:space="preserve">THE GYM VENICE THEGYMVENICE. CA              08/01</t>
  </si>
  <si>
    <t xml:space="preserve">BLUE SHIELD CALIFORNI 800-393-6130 CA        07/31</t>
  </si>
  <si>
    <t xml:space="preserve">Basic Online Payroll Payment 11179994455 to ########6812</t>
  </si>
  <si>
    <t xml:space="preserve">Basic Online Payroll Payment 11179987606 to ######7939</t>
  </si>
  <si>
    <t xml:space="preserve">PAR*NATIVE FOODS PALM PALM SPRINGS CA        07/29</t>
  </si>
  <si>
    <t xml:space="preserve">SPORTING GOODS PALM SPRINGS CA       186061  07/29</t>
  </si>
  <si>
    <t xml:space="preserve">CARLS JR GB 7361 BALDWIN PARK CA             07/24</t>
  </si>
  <si>
    <t xml:space="preserve">THE GYM VENICE THEGYMVENICE. CA              07/24</t>
  </si>
  <si>
    <t xml:space="preserve">STARBUCKS STORE 22640 LOS ANGELES CA         07/23</t>
  </si>
  <si>
    <t xml:space="preserve">TST*MY LAI Los Angeles CA                    07/23</t>
  </si>
  <si>
    <t xml:space="preserve">ACTIVECAMPAIGN, INC. 800-357-0402 IL         07/23</t>
  </si>
  <si>
    <t xml:space="preserve">ONLINE DOMESTIC WIRE TRANSFER VIA: WASH FEDL SVGS SEA/325070980 A/C: DWG CAPITAL PARTNERS LLC SEATTLE WA 98101 US IMAD: 0721MMQFMP2L024886 TRN: 3638425202ES 07/21</t>
  </si>
  <si>
    <t xml:space="preserve">Online Transfer from CHK ...9335 transaction#: 25563251227</t>
  </si>
  <si>
    <t xml:space="preserve">DNH*GODADDY#38209789 https://www.g AZ        07/17</t>
  </si>
  <si>
    <t xml:space="preserve">ORIG CO NAME:#QRR Melio             ORIG ID:1460820571 DESC DATE:       CO ENTRY DESCR:ACCTVERIFYSEC:PPD    TRACE#:021214898583365 EED:250717   IND ID:                             IND NAME:John Dunning TRN: 1988583365TC</t>
  </si>
  <si>
    <t xml:space="preserve">ACH_CREDIT</t>
  </si>
  <si>
    <t xml:space="preserve">DNH*GODADDY#38184470 https://www.g AZ        07/15</t>
  </si>
  <si>
    <t xml:space="preserve">TST*BLUEYS KITCHEN MAR Los Angeles CA        07/14</t>
  </si>
  <si>
    <t xml:space="preserve">CITY OF SANTA MONICA SANTA MONICA CA         07/14</t>
  </si>
  <si>
    <t xml:space="preserve">DNH*GODADDY#38170993 https://www.g AZ        07/14</t>
  </si>
  <si>
    <t xml:space="preserve">LA CABANA - VENICE VENICE CA                 07/13</t>
  </si>
  <si>
    <t xml:space="preserve">Basic Online Payroll Payment 11180106136 to ######7939</t>
  </si>
  <si>
    <t xml:space="preserve">Basic Online Payroll Payment 11180108817 to ########6812</t>
  </si>
  <si>
    <t xml:space="preserve">CHEVRON 0092316 FIREBAUGH CA                 07/13</t>
  </si>
  <si>
    <t xml:space="preserve">CHEVRON 0386779 SAN MATEO CA                 07/13</t>
  </si>
  <si>
    <t xml:space="preserve">TARGET        000276 SAN FRANCISCO CA        07/13</t>
  </si>
  <si>
    <t xml:space="preserve">DNH*GODADDY#38160736 https://www.g AZ        07/13</t>
  </si>
  <si>
    <t xml:space="preserve">DNH*GODADDY#38160735 https://www.g AZ        07/13</t>
  </si>
  <si>
    <t xml:space="preserve">ADOBE  *800-833-6687 ADOBE.LY/ENUS CA        07/13</t>
  </si>
  <si>
    <t xml:space="preserve">Online Transfer from CHK ...9335 transaction#: 25482788964</t>
  </si>
  <si>
    <t xml:space="preserve">CVS/PHARMACY #09099 FREMONT CA       046283  07/10</t>
  </si>
  <si>
    <t xml:space="preserve">STAPLES 1299 FREMONT CA                      07/10 Purchase $15.41 Cash Back $20.00</t>
  </si>
  <si>
    <t xml:space="preserve">7-ELEVEN KING CITY CA                703764  07/10</t>
  </si>
  <si>
    <t xml:space="preserve">LITTLE BIRD SB SANTA BARBARA CA              07/09</t>
  </si>
  <si>
    <t xml:space="preserve">ADOBE  *800-833-6687 ADOBE.LY/ENUS CA        07/10</t>
  </si>
  <si>
    <t xml:space="preserve">CVS/PHARMACY #09493 MAR VISTA CA     031337  07/09</t>
  </si>
  <si>
    <t xml:space="preserve">CITY OF SANTA MONICA SANTA MONICA CA         07/08</t>
  </si>
  <si>
    <t xml:space="preserve">SQ *PAYA THAI LA LLC. LOS ANGELES CA         07/08</t>
  </si>
  <si>
    <t xml:space="preserve">XAI LLC X.AI/ABOUT CA                        07/08</t>
  </si>
  <si>
    <t xml:space="preserve">On Sportswear Portland OR                    07/07</t>
  </si>
  <si>
    <t xml:space="preserve">NON-CHASE ATM FEE-WITH</t>
  </si>
  <si>
    <t xml:space="preserve">TST*BLUEYS KITCHEN MAR Los Angeles CA        07/06</t>
  </si>
  <si>
    <t xml:space="preserve">NON-CHASE ATM WITHDRAW               002862  07/0612681 W W</t>
  </si>
  <si>
    <t xml:space="preserve">ATM</t>
  </si>
  <si>
    <t xml:space="preserve">VENICE LIQUOR LOS ANGELES CA         005725  07/06</t>
  </si>
  <si>
    <t xml:space="preserve">Basic Online Payroll Payment 11176221455 to ########6812</t>
  </si>
  <si>
    <t xml:space="preserve">DNH*GODADDY#38026734 https://www.g AZ        07/01</t>
  </si>
  <si>
    <t xml:space="preserve">TST* CAFE GRATITUDE - V VENICE CA            07/01</t>
  </si>
  <si>
    <t xml:space="preserve">TST*PARAKEET CAFE - LA La Jolla CA           06/30</t>
  </si>
  <si>
    <t xml:space="preserve">UCSD CPEO IN PERSON LA JOLLA CA              06/28</t>
  </si>
  <si>
    <t xml:space="preserve">Online Transfer from CHK ...9335 transaction#: 25333571387</t>
  </si>
  <si>
    <t xml:space="preserve">BLUE SHIELD CALIFORNI 800-393-6130 CA        06/30</t>
  </si>
  <si>
    <t xml:space="preserve">MCASD 858-4543541 CA                         06/29</t>
  </si>
  <si>
    <t xml:space="preserve">UCSD HDH INCREDI-BOWLS LA JOLLA CA           06/28</t>
  </si>
  <si>
    <t xml:space="preserve">SQ *ALANA'S COFFEE ROA Los Angeles CA        06/27</t>
  </si>
  <si>
    <t xml:space="preserve">VENICE LIQUOR LOS ANGELES CA         004940  06/27</t>
  </si>
  <si>
    <t xml:space="preserve">Basic Online Payroll Payment 11176207376 to ######7939</t>
  </si>
  <si>
    <t xml:space="preserve">TST*REPUBLICA EMPANADA Mesa AZ               06/26</t>
  </si>
  <si>
    <t xml:space="preserve">LAX AIRP CROWNS LAX T4 LOS ANGELES CA        06/25</t>
  </si>
  <si>
    <t xml:space="preserve">TST*PHILLYS ON WARNER Phoenix AZ             06/26</t>
  </si>
  <si>
    <t xml:space="preserve">STARBUCKS 85549 LOS ANGELES CA               06/25</t>
  </si>
  <si>
    <t xml:space="preserve">TST*BLUEYS KITCHEN MAR Los Angeles CA        06/25</t>
  </si>
  <si>
    <t xml:space="preserve">VENICE LIQUOR LOS ANGELES CA                 06/25</t>
  </si>
  <si>
    <t xml:space="preserve">PACOS TACOS LOS ANGELES CA                   06/24</t>
  </si>
  <si>
    <t xml:space="preserve">CITY OF SANTA MONICA SANTA MONICA CA         06/24</t>
  </si>
  <si>
    <t xml:space="preserve">7-ELEVEN LOS ANGELES CA              880420  06/24</t>
  </si>
  <si>
    <t xml:space="preserve">TST*BLUEYS KITCHEN MAR Los Angeles CA        06/23</t>
  </si>
  <si>
    <t xml:space="preserve">CITY OF SANTA MONICA SANTA MONICA CA         06/23</t>
  </si>
  <si>
    <t xml:space="preserve">ACTIVECAMPAIGN, INC. 800-357-0402 IL         06/23</t>
  </si>
  <si>
    <t xml:space="preserve">SQ *MOON JUICE Venice CA                     06/22</t>
  </si>
  <si>
    <t xml:space="preserve">SQ *AWAN Venice CA                           06/22</t>
  </si>
  <si>
    <t xml:space="preserve">SQ *UBREAKIFIX BY AS Marina del re CA        06/22</t>
  </si>
  <si>
    <t xml:space="preserve">SPO*VARIABLECAFE LOS ANGELES CA              06/22</t>
  </si>
  <si>
    <t xml:space="preserve">TST*VURGER GUYZ Los Angeles CA               06/21</t>
  </si>
  <si>
    <t xml:space="preserve">INFUSE  DR. BULL 131-04500600 CA             06/21</t>
  </si>
  <si>
    <t xml:space="preserve">LARRYS SHAVER SHOPPE SANTA MONICA CA         06/21</t>
  </si>
  <si>
    <t xml:space="preserve">CITY OF SANTA MONICA SANTA MONICA CA         06/21</t>
  </si>
  <si>
    <t xml:space="preserve">VENICE LIQUOR LOS ANGELES CA                 06/21</t>
  </si>
  <si>
    <t xml:space="preserve">LA CABANA - VENICE VENICE CA                 06/20</t>
  </si>
  <si>
    <t xml:space="preserve">AIRBNB * HMAWSACFB3 AIRBNB.COM CA            06/21</t>
  </si>
  <si>
    <t xml:space="preserve">CITY OF SANTA MONICA SANTA MONICA CA         06/19</t>
  </si>
  <si>
    <t xml:space="preserve">CITY OF SANTA MONICA SANTA MONICA CA         06/18</t>
  </si>
  <si>
    <t xml:space="preserve">NICK'S MARKET VENICE CA                      06/18</t>
  </si>
  <si>
    <t xml:space="preserve">MERCEDES BAR &amp; GRILL MARINA DEL RE CA        06/18</t>
  </si>
  <si>
    <t xml:space="preserve">DEPT. BEACHES &amp; HARB MARINA DEL RE CA        06/18</t>
  </si>
  <si>
    <t xml:space="preserve">SQ *ALANA'S COFFEE ROA Los Angeles CA        06/18</t>
  </si>
  <si>
    <t xml:space="preserve">THE MV GRAB AND GO LOS ANGELES CA            06/17</t>
  </si>
  <si>
    <t xml:space="preserve">LADOT METER PARKING LOS ANGELES CA           06/17</t>
  </si>
  <si>
    <t xml:space="preserve">TST*BLUEYS KITCHEN MAR Los Angeles CA        06/16</t>
  </si>
  <si>
    <t xml:space="preserve">SQ *ALANA'S COFFEE ROA Los Angeles CA        06/16</t>
  </si>
  <si>
    <t xml:space="preserve">RAINBOW BAR &amp; GRILL LOS ANGELES CA           06/15</t>
  </si>
  <si>
    <t xml:space="preserve">SQ *ALANA'S COFFEE ROA Los Angeles CA        06/15</t>
  </si>
  <si>
    <t xml:space="preserve">FLOYD'S 99 MARVISTA 310-3994888 CA           06/15</t>
  </si>
  <si>
    <t xml:space="preserve">SQ *COUNTY LINE HARVEST Petaluma CA          06/15</t>
  </si>
  <si>
    <t xml:space="preserve">SQ *THE DATE GIRL AT J Los Angeles CA        06/15</t>
  </si>
  <si>
    <t xml:space="preserve">SQ *REFINED GRIND Los Angeles CA             06/15</t>
  </si>
  <si>
    <t xml:space="preserve">SQ *ZOZOSFRESHJUICE Los Angeles CA           06/15</t>
  </si>
  <si>
    <t xml:space="preserve">SQ *HOLY CACAO Los Angeles CA                06/15</t>
  </si>
  <si>
    <t xml:space="preserve">SQ *PICKLED BY SHRED L Los Angeles CA        06/15</t>
  </si>
  <si>
    <t xml:space="preserve">SP CASA ALQUIMISTA 191-46021059 CA           06/15</t>
  </si>
  <si>
    <t xml:space="preserve">SQ *PUPUSAS YENI SOUTH GATE CA               06/15</t>
  </si>
  <si>
    <t xml:space="preserve">SQ *VITALITY BITE Los Angeles CA             06/15</t>
  </si>
  <si>
    <t xml:space="preserve">CHEVRON 0097608 EL SEGUNDO CA                06/15</t>
  </si>
  <si>
    <t xml:space="preserve">WI SPA LOS ANGELES CA                        06/14</t>
  </si>
  <si>
    <t xml:space="preserve">VENICE SMOKES LOS ANGELES CA                 06/13</t>
  </si>
  <si>
    <t xml:space="preserve">FATBURGER LOS ANGELES CA                     06/13</t>
  </si>
  <si>
    <t xml:space="preserve">SQ *ALANA'S COFFEE ROA Los Angeles CA        06/13</t>
  </si>
  <si>
    <t xml:space="preserve">TST*BLUEYS KITCHEN MAR Los Angeles CA        06/12</t>
  </si>
  <si>
    <t xml:space="preserve">CITY OF SANTA MONICA SANTA MONICA CA         06/12</t>
  </si>
  <si>
    <t xml:space="preserve">SQ *ALANA'S COFFEE ROA Los Angeles CA        06/12</t>
  </si>
  <si>
    <t xml:space="preserve">ADOBE  *800-833-6687 ADOBE.LY/ENUS CA        06/13</t>
  </si>
  <si>
    <t xml:space="preserve">THE MV GRAB AND GO LOS ANGELES CA            06/11</t>
  </si>
  <si>
    <t xml:space="preserve">LADOT METER PARKING LOS ANGELES CA           06/11</t>
  </si>
  <si>
    <t xml:space="preserve">Basic Online Payroll Payment 11174431959 to ########6812</t>
  </si>
  <si>
    <t xml:space="preserve">Basic Online Payroll Payment 11174397145 to ######7939</t>
  </si>
  <si>
    <t xml:space="preserve">STARBUCKS STORE 22640 LOS ANGELES CA         06/11</t>
  </si>
  <si>
    <t xml:space="preserve">VENICE LIQUOR LOS ANGELES CA                 06/10</t>
  </si>
  <si>
    <t xml:space="preserve">TST*BLUEYS KITCHEN MAR Los Angeles CA        06/10</t>
  </si>
  <si>
    <t xml:space="preserve">COR*PRATE FILINGS LLC 855-344-2677 WY        06/10</t>
  </si>
  <si>
    <t xml:space="preserve">VENICE LIQUOR LOS ANGELES CA         003684  06/09</t>
  </si>
  <si>
    <t xml:space="preserve">DEPT. BEACHES &amp; HARB MARINA DEL RE CA        06/09</t>
  </si>
  <si>
    <t xml:space="preserve">CITY OF SANTA MONICA SANTA MONICA CA         06/09</t>
  </si>
  <si>
    <t xml:space="preserve">ADOBE  *800-833-6687 ADOBE.LY/ENUS CA        06/10</t>
  </si>
  <si>
    <t xml:space="preserve">AMC 0446 MARINA MARK MARINA DEL RE CA        06/08</t>
  </si>
  <si>
    <t xml:space="preserve">VENICE LIQUOR LOS ANGELES CA                 06/08</t>
  </si>
  <si>
    <t xml:space="preserve">AMC 9640 ONLINE 888-440-4262 KS              06/09</t>
  </si>
  <si>
    <t xml:space="preserve">ORIG CO NAME:AMERICAN EXPRESS       ORIG ID:2005032111 DESC DATE:250606 CO ENTRY DESCR:ACH PMT   SEC:TEL    TRACE#:021000027236390 EED:250606   IND ID:R6032                        IND NAME:JOHN DUNNING                                                                                                 ER AM TRN: 1577236390TC</t>
  </si>
  <si>
    <t xml:space="preserve">Online Transfer from CHK ...9335 transaction#: 25043829857</t>
  </si>
  <si>
    <t xml:space="preserve">DICE.FM NEW YORK NY                          06/05</t>
  </si>
  <si>
    <t xml:space="preserve">DICE.FM NEW YORK NY                          06/04</t>
  </si>
  <si>
    <t xml:space="preserve">PLATINUM VALET PARKI GRANADA HILLS CA        06/03</t>
  </si>
  <si>
    <t xml:space="preserve">Basic Online Payroll Payment 11172633288 to ########6812</t>
  </si>
  <si>
    <t xml:space="preserve">DBA DELEK ENTERP LOS ANGELES CA      204425  06/01</t>
  </si>
  <si>
    <t xml:space="preserve">HIHO SANTA SM 6002 SANTA MONICA CA           06/01</t>
  </si>
  <si>
    <t xml:space="preserve">DNH*GODADDY#37675722 https://www.g AZ        06/01</t>
  </si>
  <si>
    <t xml:space="preserve">PY *FATBURGER 65 MARINA DEL RE CA            06/01</t>
  </si>
  <si>
    <t xml:space="preserve">RIDER SHACK LOS ANGELES CA                   05/31</t>
  </si>
  <si>
    <t xml:space="preserve">SQ *PAYA THAI LA LLC LOS ANGELES CA          05/31</t>
  </si>
  <si>
    <t xml:space="preserve">GELSON'S MARKET #29 SANTA MONICA CA  605696  05/31</t>
  </si>
  <si>
    <t xml:space="preserve">TST* CAFE GRATITUDE - V VENICE CA            06/01</t>
  </si>
  <si>
    <t xml:space="preserve">BLUE SHIELD CALIFORNI 800-393-6130 CA        05/31</t>
  </si>
  <si>
    <t xml:space="preserve">AMC 9640 ONLINE 888-440-4262 KS              05/31</t>
  </si>
  <si>
    <t xml:space="preserve">Online Transfer from CHK ...1168 transaction#: 24987650327</t>
  </si>
  <si>
    <t xml:space="preserve">Online Transfer from CHK ...1168 transaction#: 24963263947</t>
  </si>
  <si>
    <t xml:space="preserve">Online Transfer from CHK ...8061 transaction#: 24989867833</t>
  </si>
  <si>
    <t xml:space="preserve">Basic Online Payroll Payment 11172624306 to ######7939</t>
  </si>
  <si>
    <t xml:space="preserve">STARBUCKS STORE 29139 HUDSON OAKS TX         05/27</t>
  </si>
  <si>
    <t xml:space="preserve">BLU JASMINE HUDSON OAKS TX                   05/27</t>
  </si>
  <si>
    <t xml:space="preserve">ORIG CO NAME:AMERICAN EXPRESS       ORIG ID:2005032111 DESC DATE:250527 CO ENTRY DESCR:ACH PMT   SEC:CCD    TRACE#:021000021506193 EED:250527   IND ID:A3104                        IND NAME:JOHN DUNNING                                                                                                 ER AM TRN: 1471506193TC</t>
  </si>
  <si>
    <t xml:space="preserve">ORIG CO NAME:AMERICAN EXPRESS       ORIG ID:2005032111 DESC DATE:250527 CO ENTRY DESCR:ACH PMT   SEC:CCD    TRACE#:021000021506522 EED:250527   IND ID:A3164                        IND NAME:JOHN DUNNING                                                                                                 ER AM TRN: 1471506522TC</t>
  </si>
  <si>
    <t xml:space="preserve">ORIG CO NAME:AMERICAN EXPRESS       ORIG ID:2005032111 DESC DATE:250527 CO ENTRY DESCR:ACH PMT   SEC:CCD    TRACE#:021000021506096 EED:250527   IND ID:A7072                        IND NAME:JOHN DUNNING                                                                                                 ER AM TRN: 1471506096TC</t>
  </si>
  <si>
    <t xml:space="preserve">ORIG CO NAME:AMERICAN EXPRESS       ORIG ID:2005032111 DESC DATE:250527 CO ENTRY DESCR:ACH PMT   SEC:CCD    TRACE#:021000021506088 EED:250527   IND ID:A2970                        IND NAME:JOHN DUNNING                                                                                                 ER AM TRN: 1471506088TC</t>
  </si>
  <si>
    <t xml:space="preserve">STARBUCKS STORE 58835 NEW ORLEANS LA         05/24</t>
  </si>
  <si>
    <t xml:space="preserve">WALGREENS STORE 718 S NEW ORLEANS LA 410893  05/24</t>
  </si>
  <si>
    <t xml:space="preserve">Online Transfer from CHK ...1168 transaction#: 24878062037</t>
  </si>
  <si>
    <t xml:space="preserve">Online Transfer from CHK ...1168 transaction#: 24884530818</t>
  </si>
  <si>
    <t xml:space="preserve">Online Transfer from CHK ...9082 transaction#: 24899170317</t>
  </si>
  <si>
    <t xml:space="preserve">ACTIVECAMPAIGN, INC. 800-357-0402 IL         05/23</t>
  </si>
  <si>
    <t xml:space="preserve">SHEPS PLACE WEATHERFORD TX                   05/21</t>
  </si>
  <si>
    <t xml:space="preserve">STARBUCKS STORE 6932 WEATHERFORD TX          05/21</t>
  </si>
  <si>
    <t xml:space="preserve">AT&amp;T PO91 79078 HUDSON OAKS TX               05/21</t>
  </si>
  <si>
    <t xml:space="preserve">STARBUCKS STORE 6932 WEATHERFORD TX          05/20</t>
  </si>
  <si>
    <t xml:space="preserve">STARBUCKS STORE 6932 WEATHERFORD TX          05/19</t>
  </si>
  <si>
    <t xml:space="preserve">Online Transfer from CHK ...1168 transaction#: 24837292184</t>
  </si>
  <si>
    <t xml:space="preserve">THE FLYING CARPET TURK FORT WORTH TX         05/16</t>
  </si>
  <si>
    <t xml:space="preserve">TST*BOCCA Fort Worth TX                      05/14</t>
  </si>
  <si>
    <t xml:space="preserve">KEVIN M.ALTIERI,DDS 188-85795668 TX          05/14</t>
  </si>
  <si>
    <t xml:space="preserve">STARBUCKS STORE 6932 WEATHERFORD TX          05/14</t>
  </si>
  <si>
    <t xml:space="preserve">ROBERTS CHIROPRACTIC WEATHERFORD TX  452208  05/14</t>
  </si>
  <si>
    <t xml:space="preserve">Basic Online Payroll Payment 11170663706 to ######7939</t>
  </si>
  <si>
    <t xml:space="preserve">Basic Online Payroll Payment 11170871852 to ########6812</t>
  </si>
  <si>
    <t xml:space="preserve">STARBUCKS STORE 6932 WEATHERFORD TX          05/13</t>
  </si>
  <si>
    <t xml:space="preserve">ADOBE  *800-833-6687 ADOBE.LY/ENUS CA        05/13</t>
  </si>
  <si>
    <t xml:space="preserve">CITY OF SANTA MONICA SANTA MONICA CA         05/11</t>
  </si>
  <si>
    <t xml:space="preserve">LA CABANA - VENICE VENICE CA                 05/09</t>
  </si>
  <si>
    <t xml:space="preserve">AUTO PARK 16 DISNEY HA LOS ANGELES CA        05/09</t>
  </si>
  <si>
    <t xml:space="preserve">THAI DISHES WILSHIRE SANTA MONICA CA         05/09</t>
  </si>
  <si>
    <t xml:space="preserve">ADOBE  *800-833-6687 ADOBE.LY/ENUS CA        05/10</t>
  </si>
  <si>
    <t xml:space="preserve">ONLINE DOMESTIC WIRE TRANSFER A/C: MAX E RODRIGUEZ JR OR SEABY D COTO DE CAZA CA 92679-5115 US REF: MARKETING FOR MEG/ACC/4290705355 MAX RODRIGUEZ 19 CENTAURUS WAY TRABUC O CANYON CA 92579 US TRN: 3112075128ES 05/08</t>
  </si>
  <si>
    <t xml:space="preserve">TST*JUICE CRAFTERS - Santa Monica CA         05/06</t>
  </si>
  <si>
    <t xml:space="preserve">VITO RESTAURANT SANTA MONICA CA              05/06</t>
  </si>
  <si>
    <t xml:space="preserve">CITY OF SANTA MONICA SANTA MONICA CA         05/06</t>
  </si>
  <si>
    <t xml:space="preserve">NEW INDIA'S OVEN #2 MARINA DEL RE CA         05/05</t>
  </si>
  <si>
    <t xml:space="preserve">THE MV GRAB AND GO LOS ANGELES CA            05/05</t>
  </si>
  <si>
    <t xml:space="preserve">DICE.FM DICE.FM NY                           05/06</t>
  </si>
  <si>
    <t xml:space="preserve">MANHATTAN BEACH PARK MANHATTAN BEA CA        05/04</t>
  </si>
  <si>
    <t xml:space="preserve">Online Transfer to CHK ...9082 transaction#: 24643111032 05/05</t>
  </si>
  <si>
    <t xml:space="preserve">Online Transfer from CHK ...9082 transaction#: 24643237781</t>
  </si>
  <si>
    <t xml:space="preserve">Online Transfer from CHK ...3608 transaction#: 24643083026</t>
  </si>
  <si>
    <t xml:space="preserve">DNH*GODADDY#37318644 https://www.g AZ        05/01</t>
  </si>
  <si>
    <t xml:space="preserve">LAX AIRP CROWNS LAX T4 LOS ANGELES CA        04/30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</si>
</sst>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mmm\ yyyy"/>
    <numFmt numFmtId="167" formatCode="yyyy\-mm\-dd"/>
    <numFmt numFmtId="168" formatCode="yyyy\-mm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 Narrow"/>
      <family val="0"/>
      <charset val="1"/>
    </font>
    <font>
      <sz val="11"/>
      <color rgb="FFFFFFFF"/>
      <name val="Aptos Narrow"/>
      <family val="0"/>
      <charset val="1"/>
    </font>
    <font>
      <b val="true"/>
      <sz val="9"/>
      <color rgb="FF6B6B6B"/>
      <name val="Aptos Narrow"/>
      <family val="0"/>
      <charset val="1"/>
    </font>
    <font>
      <sz val="9"/>
      <color rgb="FF6B6B6B"/>
      <name val="Aptos Narrow"/>
      <family val="0"/>
      <charset val="1"/>
    </font>
    <font>
      <b val="true"/>
      <sz val="11"/>
      <color rgb="FFFFFFFF"/>
      <name val="Aptos Narrow"/>
      <family val="0"/>
      <charset val="1"/>
    </font>
    <font>
      <b val="true"/>
      <sz val="11"/>
      <color rgb="FF6B6B6B"/>
      <name val="Aptos Narrow"/>
      <family val="0"/>
      <charset val="1"/>
    </font>
    <font>
      <b val="true"/>
      <sz val="11"/>
      <color rgb="FF000000"/>
      <name val="Aptos Narrow"/>
      <family val="0"/>
      <charset val="1"/>
    </font>
    <font>
      <b val="true"/>
      <sz val="14"/>
      <color rgb="FFFFFFFF"/>
      <name val="Aptos Narro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2C2C"/>
        <bgColor rgb="FF333300"/>
      </patternFill>
    </fill>
    <fill>
      <patternFill patternType="solid">
        <fgColor rgb="FFFFFFFF"/>
        <bgColor rgb="FFE8E8E8"/>
      </patternFill>
    </fill>
    <fill>
      <patternFill patternType="solid">
        <fgColor rgb="FFE8E8E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8" customFormat="false" ht="15" hidden="false" customHeight="false" outlineLevel="0" collapsed="false">
      <c r="A8" s="5" t="s">
        <v>8</v>
      </c>
      <c r="B8" s="6"/>
    </row>
    <row r="9" customFormat="false" ht="15" hidden="false" customHeight="false" outlineLevel="0" collapsed="false">
      <c r="A9" s="0" t="s">
        <v>9</v>
      </c>
      <c r="B9" s="7" t="n">
        <f aca="false">SUMIFS('Transaction Overview'!$D$2:$D$389,'Transaction Overview'!$D$2:$D$389,"&gt;0")</f>
        <v>1476904.63</v>
      </c>
    </row>
    <row r="10" customFormat="false" ht="15" hidden="false" customHeight="false" outlineLevel="0" collapsed="false">
      <c r="A10" s="0" t="s">
        <v>10</v>
      </c>
      <c r="B10" s="7" t="n">
        <f aca="false">SUMIFS('Transaction Overview'!$D$2:$D$389,'Transaction Overview'!$D$2:$D$389,"&lt;0")</f>
        <v>-1475219.49</v>
      </c>
    </row>
    <row r="11" customFormat="false" ht="15" hidden="false" customHeight="false" outlineLevel="0" collapsed="false">
      <c r="A11" s="0" t="s">
        <v>11</v>
      </c>
      <c r="B11" s="7" t="n">
        <f aca="false">B9+B10</f>
        <v>1685.1399999999</v>
      </c>
    </row>
    <row r="14" customFormat="false" ht="15" hidden="false" customHeight="false" outlineLevel="0" collapsed="false">
      <c r="A14" s="8" t="s">
        <v>12</v>
      </c>
      <c r="B14" s="8" t="s">
        <v>13</v>
      </c>
      <c r="C14" s="8" t="s">
        <v>14</v>
      </c>
      <c r="D14" s="8" t="s">
        <v>15</v>
      </c>
    </row>
    <row r="15" customFormat="false" ht="15" hidden="false" customHeight="false" outlineLevel="0" collapsed="false">
      <c r="A15" s="9" t="s">
        <v>16</v>
      </c>
    </row>
    <row r="16" customFormat="false" ht="15" hidden="false" customHeight="false" outlineLevel="0" collapsed="false">
      <c r="A16" s="0" t="s">
        <v>17</v>
      </c>
      <c r="B16" s="7" t="n">
        <f aca="false">SUMIFS('Transaction Overview'!$D$2:$D$389,'Transaction Overview'!$I$2:$I$389,$A16,'Transaction Overview'!$D$2:$D$389,"&gt;0")</f>
        <v>326500</v>
      </c>
      <c r="C16" s="7" t="n">
        <f aca="false">SUMIFS('Transaction Overview'!$D$2:$D$389,'Transaction Overview'!$I$2:$I$389,$A16,'Transaction Overview'!$D$2:$D$389,"&lt;0")</f>
        <v>-365714.14</v>
      </c>
      <c r="D16" s="7" t="n">
        <f aca="false">B16+C16</f>
        <v>-39214.14</v>
      </c>
    </row>
    <row r="17" customFormat="false" ht="15" hidden="false" customHeight="false" outlineLevel="0" collapsed="false">
      <c r="A17" s="10" t="s">
        <v>18</v>
      </c>
      <c r="B17" s="11" t="n">
        <f aca="false">SUMIFS('Transaction Overview'!$D$2:$D$389,'Transaction Overview'!$J$2:$J$389,"Deal-Specific",'Transaction Overview'!$D$2:$D$389,"&gt;0")</f>
        <v>326500</v>
      </c>
      <c r="C17" s="11" t="n">
        <f aca="false">SUMIFS('Transaction Overview'!$D$2:$D$389,'Transaction Overview'!$J$2:$J$389,"Deal-Specific",'Transaction Overview'!$D$2:$D$389,"&lt;0")</f>
        <v>-365714.14</v>
      </c>
      <c r="D17" s="11" t="n">
        <f aca="false">B17+C17</f>
        <v>-39214.14</v>
      </c>
    </row>
    <row r="19" customFormat="false" ht="15" hidden="false" customHeight="false" outlineLevel="0" collapsed="false">
      <c r="A19" s="9" t="s">
        <v>19</v>
      </c>
    </row>
    <row r="20" customFormat="false" ht="15" hidden="false" customHeight="false" outlineLevel="0" collapsed="false">
      <c r="A20" s="0" t="s">
        <v>20</v>
      </c>
      <c r="B20" s="7" t="n">
        <f aca="false">SUMIFS('Transaction Overview'!$D$2:$D$389,'Transaction Overview'!$I$2:$I$389,$A20,'Transaction Overview'!$D$2:$D$389,"&gt;0")</f>
        <v>500000</v>
      </c>
      <c r="C20" s="7" t="n">
        <f aca="false">SUMIFS('Transaction Overview'!$D$2:$D$389,'Transaction Overview'!$I$2:$I$389,$A20,'Transaction Overview'!$D$2:$D$389,"&lt;0")</f>
        <v>0</v>
      </c>
      <c r="D20" s="7" t="n">
        <f aca="false">B20+C20</f>
        <v>500000</v>
      </c>
    </row>
    <row r="21" customFormat="false" ht="15" hidden="false" customHeight="false" outlineLevel="0" collapsed="false">
      <c r="A21" s="0" t="s">
        <v>21</v>
      </c>
      <c r="B21" s="7" t="n">
        <f aca="false">SUMIFS('Transaction Overview'!$D$2:$D$389,'Transaction Overview'!$I$2:$I$389,$A21,'Transaction Overview'!$D$2:$D$389,"&gt;0")</f>
        <v>46000</v>
      </c>
      <c r="C21" s="7" t="n">
        <f aca="false">SUMIFS('Transaction Overview'!$D$2:$D$389,'Transaction Overview'!$I$2:$I$389,$A21,'Transaction Overview'!$D$2:$D$389,"&lt;0")</f>
        <v>0</v>
      </c>
      <c r="D21" s="7" t="n">
        <f aca="false">B21+C21</f>
        <v>46000</v>
      </c>
    </row>
    <row r="22" customFormat="false" ht="15" hidden="false" customHeight="false" outlineLevel="0" collapsed="false">
      <c r="A22" s="0" t="s">
        <v>22</v>
      </c>
      <c r="B22" s="7" t="n">
        <f aca="false">SUMIFS('Transaction Overview'!$D$2:$D$389,'Transaction Overview'!$I$2:$I$389,$A22,'Transaction Overview'!$D$2:$D$389,"&gt;0")</f>
        <v>97500</v>
      </c>
      <c r="C22" s="7" t="n">
        <f aca="false">SUMIFS('Transaction Overview'!$D$2:$D$389,'Transaction Overview'!$I$2:$I$389,$A22,'Transaction Overview'!$D$2:$D$389,"&lt;0")</f>
        <v>0</v>
      </c>
      <c r="D22" s="7" t="n">
        <f aca="false">B22+C22</f>
        <v>97500</v>
      </c>
    </row>
    <row r="23" customFormat="false" ht="15" hidden="false" customHeight="false" outlineLevel="0" collapsed="false">
      <c r="A23" s="0" t="s">
        <v>23</v>
      </c>
      <c r="B23" s="7" t="n">
        <f aca="false">SUMIFS('Transaction Overview'!$D$2:$D$389,'Transaction Overview'!$I$2:$I$389,$A23,'Transaction Overview'!$D$2:$D$389,"&gt;0")</f>
        <v>10000</v>
      </c>
      <c r="C23" s="7" t="n">
        <f aca="false">SUMIFS('Transaction Overview'!$D$2:$D$389,'Transaction Overview'!$I$2:$I$389,$A23,'Transaction Overview'!$D$2:$D$389,"&lt;0")</f>
        <v>0</v>
      </c>
      <c r="D23" s="7" t="n">
        <f aca="false">B23+C23</f>
        <v>10000</v>
      </c>
    </row>
    <row r="24" customFormat="false" ht="15" hidden="false" customHeight="false" outlineLevel="0" collapsed="false">
      <c r="A24" s="0" t="s">
        <v>24</v>
      </c>
      <c r="B24" s="7" t="n">
        <f aca="false">SUMIFS('Transaction Overview'!$D$2:$D$389,'Transaction Overview'!$I$2:$I$389,$A24,'Transaction Overview'!$D$2:$D$389,"&gt;0")</f>
        <v>23349</v>
      </c>
      <c r="C24" s="7" t="n">
        <f aca="false">SUMIFS('Transaction Overview'!$D$2:$D$389,'Transaction Overview'!$I$2:$I$389,$A24,'Transaction Overview'!$D$2:$D$389,"&lt;0")</f>
        <v>0</v>
      </c>
      <c r="D24" s="7" t="n">
        <f aca="false">B24+C24</f>
        <v>23349</v>
      </c>
    </row>
    <row r="25" customFormat="false" ht="15" hidden="false" customHeight="false" outlineLevel="0" collapsed="false">
      <c r="A25" s="0" t="s">
        <v>25</v>
      </c>
      <c r="B25" s="7" t="n">
        <f aca="false">SUMIFS('Transaction Overview'!$D$2:$D$389,'Transaction Overview'!$I$2:$I$389,$A25,'Transaction Overview'!$D$2:$D$389,"&gt;0")</f>
        <v>201500</v>
      </c>
      <c r="C25" s="7" t="n">
        <f aca="false">SUMIFS('Transaction Overview'!$D$2:$D$389,'Transaction Overview'!$I$2:$I$389,$A25,'Transaction Overview'!$D$2:$D$389,"&lt;0")</f>
        <v>0</v>
      </c>
      <c r="D25" s="7" t="n">
        <f aca="false">B25+C25</f>
        <v>201500</v>
      </c>
    </row>
    <row r="26" customFormat="false" ht="15" hidden="false" customHeight="false" outlineLevel="0" collapsed="false">
      <c r="A26" s="0" t="s">
        <v>26</v>
      </c>
      <c r="B26" s="7" t="n">
        <f aca="false">SUMIFS('Transaction Overview'!$D$2:$D$389,'Transaction Overview'!$I$2:$I$389,$A26,'Transaction Overview'!$D$2:$D$389,"&gt;0")</f>
        <v>270000</v>
      </c>
      <c r="C26" s="7" t="n">
        <f aca="false">SUMIFS('Transaction Overview'!$D$2:$D$389,'Transaction Overview'!$I$2:$I$389,$A26,'Transaction Overview'!$D$2:$D$389,"&lt;0")</f>
        <v>0</v>
      </c>
      <c r="D26" s="7" t="n">
        <f aca="false">B26+C26</f>
        <v>270000</v>
      </c>
    </row>
    <row r="27" customFormat="false" ht="15" hidden="false" customHeight="false" outlineLevel="0" collapsed="false">
      <c r="A27" s="0" t="s">
        <v>27</v>
      </c>
      <c r="B27" s="7" t="n">
        <f aca="false">SUMIFS('Transaction Overview'!$D$2:$D$389,'Transaction Overview'!$I$2:$I$389,$A27,'Transaction Overview'!$D$2:$D$389,"&gt;0")</f>
        <v>0</v>
      </c>
      <c r="C27" s="7" t="n">
        <f aca="false">SUMIFS('Transaction Overview'!$D$2:$D$389,'Transaction Overview'!$I$2:$I$389,$A27,'Transaction Overview'!$D$2:$D$389,"&lt;0")</f>
        <v>-500000</v>
      </c>
      <c r="D27" s="7" t="n">
        <f aca="false">B27+C27</f>
        <v>-500000</v>
      </c>
    </row>
    <row r="28" customFormat="false" ht="15" hidden="false" customHeight="false" outlineLevel="0" collapsed="false">
      <c r="A28" s="0" t="s">
        <v>28</v>
      </c>
      <c r="B28" s="7" t="n">
        <f aca="false">SUMIFS('Transaction Overview'!$D$2:$D$389,'Transaction Overview'!$I$2:$I$389,$A28,'Transaction Overview'!$D$2:$D$389,"&gt;0")</f>
        <v>0</v>
      </c>
      <c r="C28" s="7" t="n">
        <f aca="false">SUMIFS('Transaction Overview'!$D$2:$D$389,'Transaction Overview'!$I$2:$I$389,$A28,'Transaction Overview'!$D$2:$D$389,"&lt;0")</f>
        <v>-7500</v>
      </c>
      <c r="D28" s="7" t="n">
        <f aca="false">B28+C28</f>
        <v>-7500</v>
      </c>
    </row>
    <row r="29" customFormat="false" ht="15" hidden="false" customHeight="false" outlineLevel="0" collapsed="false">
      <c r="A29" s="0" t="s">
        <v>29</v>
      </c>
      <c r="B29" s="7" t="n">
        <f aca="false">SUMIFS('Transaction Overview'!$D$2:$D$389,'Transaction Overview'!$I$2:$I$389,$A29,'Transaction Overview'!$D$2:$D$389,"&gt;0")</f>
        <v>0</v>
      </c>
      <c r="C29" s="7" t="n">
        <f aca="false">SUMIFS('Transaction Overview'!$D$2:$D$389,'Transaction Overview'!$I$2:$I$389,$A29,'Transaction Overview'!$D$2:$D$389,"&lt;0")</f>
        <v>-383350</v>
      </c>
      <c r="D29" s="7" t="n">
        <f aca="false">B29+C29</f>
        <v>-383350</v>
      </c>
    </row>
    <row r="30" customFormat="false" ht="15" hidden="false" customHeight="false" outlineLevel="0" collapsed="false">
      <c r="A30" s="10" t="s">
        <v>30</v>
      </c>
      <c r="B30" s="11" t="n">
        <f aca="false">SUMIFS('Transaction Overview'!$D$2:$D$389,'Transaction Overview'!$J$2:$J$389,"Intercompany &amp; Savings Transfers",'Transaction Overview'!$D$2:$D$389,"&gt;0")</f>
        <v>1148349</v>
      </c>
      <c r="C30" s="11" t="n">
        <f aca="false">SUMIFS('Transaction Overview'!$D$2:$D$389,'Transaction Overview'!$J$2:$J$389,"Intercompany &amp; Savings Transfers",'Transaction Overview'!$D$2:$D$389,"&lt;0")</f>
        <v>-890850</v>
      </c>
      <c r="D30" s="11" t="n">
        <f aca="false">B30+C30</f>
        <v>257499</v>
      </c>
    </row>
    <row r="32" customFormat="false" ht="15" hidden="false" customHeight="false" outlineLevel="0" collapsed="false">
      <c r="A32" s="9" t="s">
        <v>31</v>
      </c>
    </row>
    <row r="33" customFormat="false" ht="15" hidden="false" customHeight="false" outlineLevel="0" collapsed="false">
      <c r="A33" s="0" t="s">
        <v>32</v>
      </c>
      <c r="B33" s="7" t="n">
        <f aca="false">SUMIFS('Transaction Overview'!$D$2:$D$389,'Transaction Overview'!$I$2:$I$389,$A33,'Transaction Overview'!$D$2:$D$389,"&gt;0")</f>
        <v>0</v>
      </c>
      <c r="C33" s="7" t="n">
        <f aca="false">SUMIFS('Transaction Overview'!$D$2:$D$389,'Transaction Overview'!$I$2:$I$389,$A33,'Transaction Overview'!$D$2:$D$389,"&lt;0")</f>
        <v>-5000</v>
      </c>
      <c r="D33" s="7" t="n">
        <f aca="false">B33+C33</f>
        <v>-5000</v>
      </c>
    </row>
    <row r="34" customFormat="false" ht="15" hidden="false" customHeight="false" outlineLevel="0" collapsed="false">
      <c r="A34" s="0" t="s">
        <v>33</v>
      </c>
      <c r="B34" s="7" t="n">
        <f aca="false">SUMIFS('Transaction Overview'!$D$2:$D$389,'Transaction Overview'!$I$2:$I$389,$A34,'Transaction Overview'!$D$2:$D$389,"&gt;0")</f>
        <v>0</v>
      </c>
      <c r="C34" s="7" t="n">
        <f aca="false">SUMIFS('Transaction Overview'!$D$2:$D$389,'Transaction Overview'!$I$2:$I$389,$A34,'Transaction Overview'!$D$2:$D$389,"&lt;0")</f>
        <v>-80000</v>
      </c>
      <c r="D34" s="7" t="n">
        <f aca="false">B34+C34</f>
        <v>-80000</v>
      </c>
    </row>
    <row r="35" customFormat="false" ht="15" hidden="false" customHeight="false" outlineLevel="0" collapsed="false">
      <c r="A35" s="0" t="s">
        <v>34</v>
      </c>
      <c r="B35" s="7" t="n">
        <f aca="false">SUMIFS('Transaction Overview'!$D$2:$D$389,'Transaction Overview'!$I$2:$I$389,$A35,'Transaction Overview'!$D$2:$D$389,"&gt;0")</f>
        <v>0</v>
      </c>
      <c r="C35" s="7" t="n">
        <f aca="false">SUMIFS('Transaction Overview'!$D$2:$D$389,'Transaction Overview'!$I$2:$I$389,$A35,'Transaction Overview'!$D$2:$D$389,"&lt;0")</f>
        <v>-2671.34</v>
      </c>
      <c r="D35" s="7" t="n">
        <f aca="false">B35+C35</f>
        <v>-2671.34</v>
      </c>
    </row>
    <row r="36" customFormat="false" ht="15" hidden="false" customHeight="false" outlineLevel="0" collapsed="false">
      <c r="A36" s="0" t="s">
        <v>35</v>
      </c>
      <c r="B36" s="7" t="n">
        <f aca="false">SUMIFS('Transaction Overview'!$D$2:$D$389,'Transaction Overview'!$I$2:$I$389,$A36,'Transaction Overview'!$D$2:$D$389,"&gt;0")</f>
        <v>0</v>
      </c>
      <c r="C36" s="7" t="n">
        <f aca="false">SUMIFS('Transaction Overview'!$D$2:$D$389,'Transaction Overview'!$I$2:$I$389,$A36,'Transaction Overview'!$D$2:$D$389,"&lt;0")</f>
        <v>-55000</v>
      </c>
      <c r="D36" s="7" t="n">
        <f aca="false">B36+C36</f>
        <v>-55000</v>
      </c>
    </row>
    <row r="37" customFormat="false" ht="15" hidden="false" customHeight="false" outlineLevel="0" collapsed="false">
      <c r="A37" s="0" t="s">
        <v>36</v>
      </c>
      <c r="B37" s="7" t="n">
        <f aca="false">SUMIFS('Transaction Overview'!$D$2:$D$389,'Transaction Overview'!$I$2:$I$389,$A37,'Transaction Overview'!$D$2:$D$389,"&gt;0")</f>
        <v>0</v>
      </c>
      <c r="C37" s="7" t="n">
        <f aca="false">SUMIFS('Transaction Overview'!$D$2:$D$389,'Transaction Overview'!$I$2:$I$389,$A37,'Transaction Overview'!$D$2:$D$389,"&lt;0")</f>
        <v>-300</v>
      </c>
      <c r="D37" s="7" t="n">
        <f aca="false">B37+C37</f>
        <v>-300</v>
      </c>
    </row>
    <row r="38" customFormat="false" ht="15" hidden="false" customHeight="false" outlineLevel="0" collapsed="false">
      <c r="A38" s="10" t="s">
        <v>37</v>
      </c>
      <c r="B38" s="11" t="n">
        <f aca="false">SUMIFS('Transaction Overview'!$D$2:$D$389,'Transaction Overview'!$J$2:$J$389,"Payroll &amp; Contractors",'Transaction Overview'!$D$2:$D$389,"&gt;0")</f>
        <v>0</v>
      </c>
      <c r="C38" s="11" t="n">
        <f aca="false">SUMIFS('Transaction Overview'!$D$2:$D$389,'Transaction Overview'!$J$2:$J$389,"Payroll &amp; Contractors",'Transaction Overview'!$D$2:$D$389,"&lt;0")</f>
        <v>-142971.34</v>
      </c>
      <c r="D38" s="11" t="n">
        <f aca="false">B38+C38</f>
        <v>-142971.34</v>
      </c>
    </row>
    <row r="40" customFormat="false" ht="15" hidden="false" customHeight="false" outlineLevel="0" collapsed="false">
      <c r="A40" s="9" t="s">
        <v>38</v>
      </c>
    </row>
    <row r="41" customFormat="false" ht="15" hidden="false" customHeight="false" outlineLevel="0" collapsed="false">
      <c r="A41" s="0" t="s">
        <v>39</v>
      </c>
      <c r="B41" s="7" t="n">
        <f aca="false">SUMIFS('Transaction Overview'!$D$2:$D$389,'Transaction Overview'!$I$2:$I$389,$A41,'Transaction Overview'!$D$2:$D$389,"&gt;0")</f>
        <v>2000</v>
      </c>
      <c r="C41" s="7" t="n">
        <f aca="false">SUMIFS('Transaction Overview'!$D$2:$D$389,'Transaction Overview'!$I$2:$I$389,$A41,'Transaction Overview'!$D$2:$D$389,"&lt;0")</f>
        <v>0</v>
      </c>
      <c r="D41" s="7" t="n">
        <f aca="false">B41+C41</f>
        <v>2000</v>
      </c>
    </row>
    <row r="42" customFormat="false" ht="15" hidden="false" customHeight="false" outlineLevel="0" collapsed="false">
      <c r="A42" s="10" t="s">
        <v>40</v>
      </c>
      <c r="B42" s="11" t="n">
        <f aca="false">SUMIFS('Transaction Overview'!$D$2:$D$389,'Transaction Overview'!$J$2:$J$389,"P2P Payments (Zelle/Venmo/PayPal)",'Transaction Overview'!$D$2:$D$389,"&gt;0")</f>
        <v>2000</v>
      </c>
      <c r="C42" s="11" t="n">
        <f aca="false">SUMIFS('Transaction Overview'!$D$2:$D$389,'Transaction Overview'!$J$2:$J$389,"P2P Payments (Zelle/Venmo/PayPal)",'Transaction Overview'!$D$2:$D$389,"&lt;0")</f>
        <v>0</v>
      </c>
      <c r="D42" s="11" t="n">
        <f aca="false">B42+C42</f>
        <v>2000</v>
      </c>
    </row>
    <row r="44" customFormat="false" ht="15" hidden="false" customHeight="false" outlineLevel="0" collapsed="false">
      <c r="A44" s="9" t="s">
        <v>41</v>
      </c>
    </row>
    <row r="45" customFormat="false" ht="15" hidden="false" customHeight="false" outlineLevel="0" collapsed="false">
      <c r="A45" s="0" t="s">
        <v>42</v>
      </c>
      <c r="B45" s="7" t="n">
        <f aca="false">SUMIFS('Transaction Overview'!$D$2:$D$389,'Transaction Overview'!$I$2:$I$389,$A45,'Transaction Overview'!$D$2:$D$389,"&gt;0")</f>
        <v>0</v>
      </c>
      <c r="C45" s="7" t="n">
        <f aca="false">SUMIFS('Transaction Overview'!$D$2:$D$389,'Transaction Overview'!$I$2:$I$389,$A45,'Transaction Overview'!$D$2:$D$389,"&lt;0")</f>
        <v>-39948.91</v>
      </c>
      <c r="D45" s="7" t="n">
        <f aca="false">B45+C45</f>
        <v>-39948.91</v>
      </c>
    </row>
    <row r="46" customFormat="false" ht="15" hidden="false" customHeight="false" outlineLevel="0" collapsed="false">
      <c r="A46" s="10" t="s">
        <v>43</v>
      </c>
      <c r="B46" s="11" t="n">
        <f aca="false">SUMIFS('Transaction Overview'!$D$2:$D$389,'Transaction Overview'!$J$2:$J$389,"Credit Card &amp; Loan Payments",'Transaction Overview'!$D$2:$D$389,"&gt;0")</f>
        <v>0</v>
      </c>
      <c r="C46" s="11" t="n">
        <f aca="false">SUMIFS('Transaction Overview'!$D$2:$D$389,'Transaction Overview'!$J$2:$J$389,"Credit Card &amp; Loan Payments",'Transaction Overview'!$D$2:$D$389,"&lt;0")</f>
        <v>-39948.91</v>
      </c>
      <c r="D46" s="11" t="n">
        <f aca="false">B46+C46</f>
        <v>-39948.91</v>
      </c>
    </row>
    <row r="48" customFormat="false" ht="15" hidden="false" customHeight="false" outlineLevel="0" collapsed="false">
      <c r="A48" s="9" t="s">
        <v>44</v>
      </c>
    </row>
    <row r="49" customFormat="false" ht="15" hidden="false" customHeight="false" outlineLevel="0" collapsed="false">
      <c r="A49" s="0" t="s">
        <v>45</v>
      </c>
      <c r="B49" s="7" t="n">
        <f aca="false">SUMIFS('Transaction Overview'!$D$2:$D$389,'Transaction Overview'!$I$2:$I$389,$A49,'Transaction Overview'!$D$2:$D$389,"&gt;0")</f>
        <v>0</v>
      </c>
      <c r="C49" s="7" t="n">
        <f aca="false">SUMIFS('Transaction Overview'!$D$2:$D$389,'Transaction Overview'!$I$2:$I$389,$A49,'Transaction Overview'!$D$2:$D$389,"&lt;0")</f>
        <v>-60</v>
      </c>
      <c r="D49" s="7" t="n">
        <f aca="false">B49+C49</f>
        <v>-60</v>
      </c>
    </row>
    <row r="50" customFormat="false" ht="15" hidden="false" customHeight="false" outlineLevel="0" collapsed="false">
      <c r="A50" s="0" t="s">
        <v>46</v>
      </c>
      <c r="B50" s="7" t="n">
        <f aca="false">SUMIFS('Transaction Overview'!$D$2:$D$389,'Transaction Overview'!$I$2:$I$389,$A50,'Transaction Overview'!$D$2:$D$389,"&gt;0")</f>
        <v>0</v>
      </c>
      <c r="C50" s="7" t="n">
        <f aca="false">SUMIFS('Transaction Overview'!$D$2:$D$389,'Transaction Overview'!$I$2:$I$389,$A50,'Transaction Overview'!$D$2:$D$389,"&lt;0")</f>
        <v>-108</v>
      </c>
      <c r="D50" s="7" t="n">
        <f aca="false">B50+C50</f>
        <v>-108</v>
      </c>
    </row>
    <row r="51" customFormat="false" ht="15" hidden="false" customHeight="false" outlineLevel="0" collapsed="false">
      <c r="A51" s="0" t="s">
        <v>3</v>
      </c>
      <c r="B51" s="7" t="n">
        <f aca="false">SUMIFS('Transaction Overview'!$D$2:$D$389,'Transaction Overview'!$I$2:$I$389,$A51,'Transaction Overview'!$D$2:$D$389,"&gt;0")</f>
        <v>0</v>
      </c>
      <c r="C51" s="7" t="n">
        <f aca="false">SUMIFS('Transaction Overview'!$D$2:$D$389,'Transaction Overview'!$I$2:$I$389,$A51,'Transaction Overview'!$D$2:$D$389,"&lt;0")</f>
        <v>-180.36</v>
      </c>
      <c r="D51" s="7" t="n">
        <f aca="false">B51+C51</f>
        <v>-180.36</v>
      </c>
    </row>
    <row r="52" customFormat="false" ht="15" hidden="false" customHeight="false" outlineLevel="0" collapsed="false">
      <c r="A52" s="0" t="s">
        <v>47</v>
      </c>
      <c r="B52" s="7" t="n">
        <f aca="false">SUMIFS('Transaction Overview'!$D$2:$D$389,'Transaction Overview'!$I$2:$I$389,$A52,'Transaction Overview'!$D$2:$D$389,"&gt;0")</f>
        <v>0</v>
      </c>
      <c r="C52" s="7" t="n">
        <f aca="false">SUMIFS('Transaction Overview'!$D$2:$D$389,'Transaction Overview'!$I$2:$I$389,$A52,'Transaction Overview'!$D$2:$D$389,"&lt;0")</f>
        <v>-1196.98</v>
      </c>
      <c r="D52" s="7" t="n">
        <f aca="false">B52+C52</f>
        <v>-1196.98</v>
      </c>
    </row>
    <row r="53" customFormat="false" ht="15" hidden="false" customHeight="false" outlineLevel="0" collapsed="false">
      <c r="A53" s="0" t="s">
        <v>48</v>
      </c>
      <c r="B53" s="7" t="n">
        <f aca="false">SUMIFS('Transaction Overview'!$D$2:$D$389,'Transaction Overview'!$I$2:$I$389,$A53,'Transaction Overview'!$D$2:$D$389,"&gt;0")</f>
        <v>0</v>
      </c>
      <c r="C53" s="7" t="n">
        <f aca="false">SUMIFS('Transaction Overview'!$D$2:$D$389,'Transaction Overview'!$I$2:$I$389,$A53,'Transaction Overview'!$D$2:$D$389,"&lt;0")</f>
        <v>-486.5</v>
      </c>
      <c r="D53" s="7" t="n">
        <f aca="false">B53+C53</f>
        <v>-486.5</v>
      </c>
    </row>
    <row r="54" customFormat="false" ht="15" hidden="false" customHeight="false" outlineLevel="0" collapsed="false">
      <c r="A54" s="0" t="s">
        <v>49</v>
      </c>
      <c r="B54" s="7" t="n">
        <f aca="false">SUMIFS('Transaction Overview'!$D$2:$D$389,'Transaction Overview'!$I$2:$I$389,$A54,'Transaction Overview'!$D$2:$D$389,"&gt;0")</f>
        <v>0</v>
      </c>
      <c r="C54" s="7" t="n">
        <f aca="false">SUMIFS('Transaction Overview'!$D$2:$D$389,'Transaction Overview'!$I$2:$I$389,$A54,'Transaction Overview'!$D$2:$D$389,"&lt;0")</f>
        <v>-3993.01</v>
      </c>
      <c r="D54" s="7" t="n">
        <f aca="false">B54+C54</f>
        <v>-3993.01</v>
      </c>
    </row>
    <row r="55" customFormat="false" ht="15" hidden="false" customHeight="false" outlineLevel="0" collapsed="false">
      <c r="A55" s="0" t="s">
        <v>50</v>
      </c>
      <c r="B55" s="7" t="n">
        <f aca="false">SUMIFS('Transaction Overview'!$D$2:$D$389,'Transaction Overview'!$I$2:$I$389,$A55,'Transaction Overview'!$D$2:$D$389,"&gt;0")</f>
        <v>0</v>
      </c>
      <c r="C55" s="7" t="n">
        <f aca="false">SUMIFS('Transaction Overview'!$D$2:$D$389,'Transaction Overview'!$I$2:$I$389,$A55,'Transaction Overview'!$D$2:$D$389,"&lt;0")</f>
        <v>-1922.36</v>
      </c>
      <c r="D55" s="7" t="n">
        <f aca="false">B55+C55</f>
        <v>-1922.36</v>
      </c>
    </row>
    <row r="56" customFormat="false" ht="15" hidden="false" customHeight="false" outlineLevel="0" collapsed="false">
      <c r="A56" s="0" t="s">
        <v>51</v>
      </c>
      <c r="B56" s="7" t="n">
        <f aca="false">SUMIFS('Transaction Overview'!$D$2:$D$389,'Transaction Overview'!$I$2:$I$389,$A56,'Transaction Overview'!$D$2:$D$389,"&gt;0")</f>
        <v>0</v>
      </c>
      <c r="C56" s="7" t="n">
        <f aca="false">SUMIFS('Transaction Overview'!$D$2:$D$389,'Transaction Overview'!$I$2:$I$389,$A56,'Transaction Overview'!$D$2:$D$389,"&lt;0")</f>
        <v>-35</v>
      </c>
      <c r="D56" s="7" t="n">
        <f aca="false">B56+C56</f>
        <v>-35</v>
      </c>
    </row>
    <row r="57" customFormat="false" ht="15" hidden="false" customHeight="false" outlineLevel="0" collapsed="false">
      <c r="A57" s="0" t="s">
        <v>52</v>
      </c>
      <c r="B57" s="7" t="n">
        <f aca="false">SUMIFS('Transaction Overview'!$D$2:$D$389,'Transaction Overview'!$I$2:$I$389,$A57,'Transaction Overview'!$D$2:$D$389,"&gt;0")</f>
        <v>0</v>
      </c>
      <c r="C57" s="7" t="n">
        <f aca="false">SUMIFS('Transaction Overview'!$D$2:$D$389,'Transaction Overview'!$I$2:$I$389,$A57,'Transaction Overview'!$D$2:$D$389,"&lt;0")</f>
        <v>-25</v>
      </c>
      <c r="D57" s="7" t="n">
        <f aca="false">B57+C57</f>
        <v>-25</v>
      </c>
    </row>
    <row r="58" customFormat="false" ht="15" hidden="false" customHeight="false" outlineLevel="0" collapsed="false">
      <c r="A58" s="10" t="s">
        <v>53</v>
      </c>
      <c r="B58" s="11" t="n">
        <f aca="false">SUMIFS('Transaction Overview'!$D$2:$D$389,'Transaction Overview'!$J$2:$J$389,"DWG Operating",'Transaction Overview'!$D$2:$D$389,"&gt;0")</f>
        <v>0</v>
      </c>
      <c r="C58" s="11" t="n">
        <f aca="false">SUMIFS('Transaction Overview'!$D$2:$D$389,'Transaction Overview'!$J$2:$J$389,"DWG Operating",'Transaction Overview'!$D$2:$D$389,"&lt;0")</f>
        <v>-8007.21</v>
      </c>
      <c r="D58" s="11" t="n">
        <f aca="false">B58+C58</f>
        <v>-8007.21</v>
      </c>
    </row>
    <row r="60" customFormat="false" ht="15" hidden="false" customHeight="false" outlineLevel="0" collapsed="false">
      <c r="A60" s="9" t="s">
        <v>54</v>
      </c>
    </row>
    <row r="61" customFormat="false" ht="15" hidden="false" customHeight="false" outlineLevel="0" collapsed="false">
      <c r="A61" s="0" t="s">
        <v>55</v>
      </c>
      <c r="B61" s="7" t="n">
        <f aca="false">SUMIFS('Transaction Overview'!$D$2:$D$389,'Transaction Overview'!$I$2:$I$389,$A61,'Transaction Overview'!$D$2:$D$389,"&gt;0")</f>
        <v>0</v>
      </c>
      <c r="C61" s="7" t="n">
        <f aca="false">SUMIFS('Transaction Overview'!$D$2:$D$389,'Transaction Overview'!$I$2:$I$389,$A61,'Transaction Overview'!$D$2:$D$389,"&lt;0")</f>
        <v>-45.25</v>
      </c>
      <c r="D61" s="7" t="n">
        <f aca="false">B61+C61</f>
        <v>-45.25</v>
      </c>
    </row>
    <row r="62" customFormat="false" ht="15" hidden="false" customHeight="false" outlineLevel="0" collapsed="false">
      <c r="A62" s="0" t="s">
        <v>56</v>
      </c>
      <c r="B62" s="7" t="n">
        <f aca="false">SUMIFS('Transaction Overview'!$D$2:$D$389,'Transaction Overview'!$I$2:$I$389,$A62,'Transaction Overview'!$D$2:$D$389,"&gt;0")</f>
        <v>0</v>
      </c>
      <c r="C62" s="7" t="n">
        <f aca="false">SUMIFS('Transaction Overview'!$D$2:$D$389,'Transaction Overview'!$I$2:$I$389,$A62,'Transaction Overview'!$D$2:$D$389,"&lt;0")</f>
        <v>-218.34</v>
      </c>
      <c r="D62" s="7" t="n">
        <f aca="false">B62+C62</f>
        <v>-218.34</v>
      </c>
    </row>
    <row r="63" customFormat="false" ht="15" hidden="false" customHeight="false" outlineLevel="0" collapsed="false">
      <c r="A63" s="0" t="s">
        <v>57</v>
      </c>
      <c r="B63" s="7" t="n">
        <f aca="false">SUMIFS('Transaction Overview'!$D$2:$D$389,'Transaction Overview'!$I$2:$I$389,$A63,'Transaction Overview'!$D$2:$D$389,"&gt;0")</f>
        <v>0</v>
      </c>
      <c r="C63" s="7" t="n">
        <f aca="false">SUMIFS('Transaction Overview'!$D$2:$D$389,'Transaction Overview'!$I$2:$I$389,$A63,'Transaction Overview'!$D$2:$D$389,"&lt;0")</f>
        <v>-392.58</v>
      </c>
      <c r="D63" s="7" t="n">
        <f aca="false">B63+C63</f>
        <v>-392.58</v>
      </c>
    </row>
    <row r="64" customFormat="false" ht="15" hidden="false" customHeight="false" outlineLevel="0" collapsed="false">
      <c r="A64" s="0" t="s">
        <v>58</v>
      </c>
      <c r="B64" s="7" t="n">
        <f aca="false">SUMIFS('Transaction Overview'!$D$2:$D$389,'Transaction Overview'!$I$2:$I$389,$A64,'Transaction Overview'!$D$2:$D$389,"&gt;0")</f>
        <v>0</v>
      </c>
      <c r="C64" s="7" t="n">
        <f aca="false">SUMIFS('Transaction Overview'!$D$2:$D$389,'Transaction Overview'!$I$2:$I$389,$A64,'Transaction Overview'!$D$2:$D$389,"&lt;0")</f>
        <v>-149.51</v>
      </c>
      <c r="D64" s="7" t="n">
        <f aca="false">B64+C64</f>
        <v>-149.51</v>
      </c>
    </row>
    <row r="65" customFormat="false" ht="15" hidden="false" customHeight="false" outlineLevel="0" collapsed="false">
      <c r="A65" s="0" t="s">
        <v>59</v>
      </c>
      <c r="B65" s="7" t="n">
        <f aca="false">SUMIFS('Transaction Overview'!$D$2:$D$389,'Transaction Overview'!$I$2:$I$389,$A65,'Transaction Overview'!$D$2:$D$389,"&gt;0")</f>
        <v>55.62</v>
      </c>
      <c r="C65" s="7" t="n">
        <f aca="false">SUMIFS('Transaction Overview'!$D$2:$D$389,'Transaction Overview'!$I$2:$I$389,$A65,'Transaction Overview'!$D$2:$D$389,"&lt;0")</f>
        <v>-1103.88</v>
      </c>
      <c r="D65" s="7" t="n">
        <f aca="false">B65+C65</f>
        <v>-1048.26</v>
      </c>
    </row>
    <row r="66" customFormat="false" ht="15" hidden="false" customHeight="false" outlineLevel="0" collapsed="false">
      <c r="A66" s="0" t="s">
        <v>60</v>
      </c>
      <c r="B66" s="7" t="n">
        <f aca="false">SUMIFS('Transaction Overview'!$D$2:$D$389,'Transaction Overview'!$I$2:$I$389,$A66,'Transaction Overview'!$D$2:$D$389,"&gt;0")</f>
        <v>0</v>
      </c>
      <c r="C66" s="7" t="n">
        <f aca="false">SUMIFS('Transaction Overview'!$D$2:$D$389,'Transaction Overview'!$I$2:$I$389,$A66,'Transaction Overview'!$D$2:$D$389,"&lt;0")</f>
        <v>-4356.63</v>
      </c>
      <c r="D66" s="7" t="n">
        <f aca="false">B66+C66</f>
        <v>-4356.63</v>
      </c>
    </row>
    <row r="67" customFormat="false" ht="15" hidden="false" customHeight="false" outlineLevel="0" collapsed="false">
      <c r="A67" s="0" t="s">
        <v>61</v>
      </c>
      <c r="B67" s="7" t="n">
        <f aca="false">SUMIFS('Transaction Overview'!$D$2:$D$389,'Transaction Overview'!$I$2:$I$389,$A67,'Transaction Overview'!$D$2:$D$389,"&gt;0")</f>
        <v>0</v>
      </c>
      <c r="C67" s="7" t="n">
        <f aca="false">SUMIFS('Transaction Overview'!$D$2:$D$389,'Transaction Overview'!$I$2:$I$389,$A67,'Transaction Overview'!$D$2:$D$389,"&lt;0")</f>
        <v>-9448.56</v>
      </c>
      <c r="D67" s="7" t="n">
        <f aca="false">B67+C67</f>
        <v>-9448.56</v>
      </c>
    </row>
    <row r="68" customFormat="false" ht="15" hidden="false" customHeight="false" outlineLevel="0" collapsed="false">
      <c r="A68" s="0" t="s">
        <v>62</v>
      </c>
      <c r="B68" s="7" t="n">
        <f aca="false">SUMIFS('Transaction Overview'!$D$2:$D$389,'Transaction Overview'!$I$2:$I$389,$A68,'Transaction Overview'!$D$2:$D$389,"&gt;0")</f>
        <v>0</v>
      </c>
      <c r="C68" s="7" t="n">
        <f aca="false">SUMIFS('Transaction Overview'!$D$2:$D$389,'Transaction Overview'!$I$2:$I$389,$A68,'Transaction Overview'!$D$2:$D$389,"&lt;0")</f>
        <v>-216.49</v>
      </c>
      <c r="D68" s="7" t="n">
        <f aca="false">B68+C68</f>
        <v>-216.49</v>
      </c>
    </row>
    <row r="69" customFormat="false" ht="15" hidden="false" customHeight="false" outlineLevel="0" collapsed="false">
      <c r="A69" s="0" t="s">
        <v>63</v>
      </c>
      <c r="B69" s="7" t="n">
        <f aca="false">SUMIFS('Transaction Overview'!$D$2:$D$389,'Transaction Overview'!$I$2:$I$389,$A69,'Transaction Overview'!$D$2:$D$389,"&gt;0")</f>
        <v>0</v>
      </c>
      <c r="C69" s="7" t="n">
        <f aca="false">SUMIFS('Transaction Overview'!$D$2:$D$389,'Transaction Overview'!$I$2:$I$389,$A69,'Transaction Overview'!$D$2:$D$389,"&lt;0")</f>
        <v>-1340.53</v>
      </c>
      <c r="D69" s="7" t="n">
        <f aca="false">B69+C69</f>
        <v>-1340.53</v>
      </c>
    </row>
    <row r="70" customFormat="false" ht="15" hidden="false" customHeight="false" outlineLevel="0" collapsed="false">
      <c r="A70" s="0" t="s">
        <v>64</v>
      </c>
      <c r="B70" s="7" t="n">
        <f aca="false">SUMIFS('Transaction Overview'!$D$2:$D$389,'Transaction Overview'!$I$2:$I$389,$A70,'Transaction Overview'!$D$2:$D$389,"&gt;0")</f>
        <v>0</v>
      </c>
      <c r="C70" s="7" t="n">
        <f aca="false">SUMIFS('Transaction Overview'!$D$2:$D$389,'Transaction Overview'!$I$2:$I$389,$A70,'Transaction Overview'!$D$2:$D$389,"&lt;0")</f>
        <v>-30</v>
      </c>
      <c r="D70" s="7" t="n">
        <f aca="false">B70+C70</f>
        <v>-30</v>
      </c>
    </row>
    <row r="71" customFormat="false" ht="15" hidden="false" customHeight="false" outlineLevel="0" collapsed="false">
      <c r="A71" s="0" t="s">
        <v>65</v>
      </c>
      <c r="B71" s="7" t="n">
        <f aca="false">SUMIFS('Transaction Overview'!$D$2:$D$389,'Transaction Overview'!$I$2:$I$389,$A71,'Transaction Overview'!$D$2:$D$389,"&gt;0")</f>
        <v>0</v>
      </c>
      <c r="C71" s="7" t="n">
        <f aca="false">SUMIFS('Transaction Overview'!$D$2:$D$389,'Transaction Overview'!$I$2:$I$389,$A71,'Transaction Overview'!$D$2:$D$389,"&lt;0")</f>
        <v>-20</v>
      </c>
      <c r="D71" s="7" t="n">
        <f aca="false">B71+C71</f>
        <v>-20</v>
      </c>
    </row>
    <row r="72" customFormat="false" ht="15" hidden="false" customHeight="false" outlineLevel="0" collapsed="false">
      <c r="A72" s="0" t="s">
        <v>66</v>
      </c>
      <c r="B72" s="7" t="n">
        <f aca="false">SUMIFS('Transaction Overview'!$D$2:$D$389,'Transaction Overview'!$I$2:$I$389,$A72,'Transaction Overview'!$D$2:$D$389,"&gt;0")</f>
        <v>0</v>
      </c>
      <c r="C72" s="7" t="n">
        <f aca="false">SUMIFS('Transaction Overview'!$D$2:$D$389,'Transaction Overview'!$I$2:$I$389,$A72,'Transaction Overview'!$D$2:$D$389,"&lt;0")</f>
        <v>-283.12</v>
      </c>
      <c r="D72" s="7" t="n">
        <f aca="false">B72+C72</f>
        <v>-283.12</v>
      </c>
    </row>
    <row r="73" customFormat="false" ht="15" hidden="false" customHeight="false" outlineLevel="0" collapsed="false">
      <c r="A73" s="10" t="s">
        <v>67</v>
      </c>
      <c r="B73" s="11" t="n">
        <f aca="false">SUMIFS('Transaction Overview'!$D$2:$D$389,'Transaction Overview'!$J$2:$J$389,"Personal — Owner",'Transaction Overview'!$D$2:$D$389,"&gt;0")</f>
        <v>55.62</v>
      </c>
      <c r="C73" s="11" t="n">
        <f aca="false">SUMIFS('Transaction Overview'!$D$2:$D$389,'Transaction Overview'!$J$2:$J$389,"Personal — Owner",'Transaction Overview'!$D$2:$D$389,"&lt;0")</f>
        <v>-17604.89</v>
      </c>
      <c r="D73" s="11" t="n">
        <f aca="false">B73+C73</f>
        <v>-17549.27</v>
      </c>
    </row>
    <row r="75" customFormat="false" ht="15" hidden="false" customHeight="false" outlineLevel="0" collapsed="false">
      <c r="A75" s="9" t="s">
        <v>68</v>
      </c>
    </row>
    <row r="76" customFormat="false" ht="15" hidden="false" customHeight="false" outlineLevel="0" collapsed="false">
      <c r="A76" s="0" t="s">
        <v>69</v>
      </c>
      <c r="B76" s="7" t="n">
        <f aca="false">SUMIFS('Transaction Overview'!$D$2:$D$389,'Transaction Overview'!$I$2:$I$389,$A76,'Transaction Overview'!$D$2:$D$389,"&gt;0")</f>
        <v>0</v>
      </c>
      <c r="C76" s="7" t="n">
        <f aca="false">SUMIFS('Transaction Overview'!$D$2:$D$389,'Transaction Overview'!$I$2:$I$389,$A76,'Transaction Overview'!$D$2:$D$389,"&lt;0")</f>
        <v>-123</v>
      </c>
      <c r="D76" s="7" t="n">
        <f aca="false">B76+C76</f>
        <v>-123</v>
      </c>
    </row>
    <row r="77" customFormat="false" ht="15" hidden="false" customHeight="false" outlineLevel="0" collapsed="false">
      <c r="A77" s="0" t="s">
        <v>70</v>
      </c>
      <c r="B77" s="7" t="n">
        <f aca="false">SUMIFS('Transaction Overview'!$D$2:$D$389,'Transaction Overview'!$I$2:$I$389,$A77,'Transaction Overview'!$D$2:$D$389,"&gt;0")</f>
        <v>0.01</v>
      </c>
      <c r="C77" s="7" t="n">
        <f aca="false">SUMIFS('Transaction Overview'!$D$2:$D$389,'Transaction Overview'!$I$2:$I$389,$A77,'Transaction Overview'!$D$2:$D$389,"&lt;0")</f>
        <v>0</v>
      </c>
      <c r="D77" s="7" t="n">
        <f aca="false">B77+C77</f>
        <v>0.01</v>
      </c>
    </row>
    <row r="78" customFormat="false" ht="15" hidden="false" customHeight="false" outlineLevel="0" collapsed="false">
      <c r="A78" s="10" t="s">
        <v>71</v>
      </c>
      <c r="B78" s="11" t="n">
        <f aca="false">SUMIFS('Transaction Overview'!$D$2:$D$389,'Transaction Overview'!$J$2:$J$389,"Uncategorized — Review",'Transaction Overview'!$D$2:$D$389,"&gt;0")</f>
        <v>0.01</v>
      </c>
      <c r="C78" s="11" t="n">
        <f aca="false">SUMIFS('Transaction Overview'!$D$2:$D$389,'Transaction Overview'!$J$2:$J$389,"Uncategorized — Review",'Transaction Overview'!$D$2:$D$389,"&lt;0")</f>
        <v>-10123</v>
      </c>
      <c r="D78" s="11" t="n">
        <f aca="false">B78+C78</f>
        <v>-10122.99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12" t="s">
        <v>73</v>
      </c>
      <c r="B4" s="13" t="n">
        <f aca="false">DATE(2025,1,1)</f>
        <v>45658</v>
      </c>
      <c r="C4" s="13" t="n">
        <f aca="false">DATE(2025,2,1)</f>
        <v>45689</v>
      </c>
      <c r="D4" s="13" t="n">
        <f aca="false">DATE(2025,3,1)</f>
        <v>45717</v>
      </c>
      <c r="E4" s="13" t="n">
        <f aca="false">DATE(2025,4,1)</f>
        <v>45748</v>
      </c>
      <c r="F4" s="13" t="n">
        <f aca="false">DATE(2025,5,1)</f>
        <v>45778</v>
      </c>
      <c r="G4" s="13" t="n">
        <f aca="false">DATE(2025,6,1)</f>
        <v>45809</v>
      </c>
      <c r="H4" s="13" t="n">
        <f aca="false">DATE(2025,7,1)</f>
        <v>45839</v>
      </c>
      <c r="I4" s="13" t="n">
        <f aca="false">DATE(2025,8,1)</f>
        <v>45870</v>
      </c>
      <c r="J4" s="13" t="n">
        <f aca="false">DATE(2025,9,1)</f>
        <v>45901</v>
      </c>
      <c r="K4" s="13" t="n">
        <f aca="false">DATE(2025,10,1)</f>
        <v>45931</v>
      </c>
      <c r="L4" s="13" t="n">
        <f aca="false">DATE(2025,11,1)</f>
        <v>45962</v>
      </c>
      <c r="M4" s="13" t="n">
        <f aca="false">DATE(2025,12,1)</f>
        <v>45992</v>
      </c>
      <c r="N4" s="12" t="s">
        <v>74</v>
      </c>
    </row>
    <row r="5" customFormat="false" ht="15" hidden="false" customHeight="false" outlineLevel="0" collapsed="false">
      <c r="A5" s="0" t="s">
        <v>16</v>
      </c>
      <c r="B5" s="7" t="n">
        <f aca="false">SUMIFS('Transaction Overview'!$D$2:$D$389,'Transaction Overview'!$J$2:$J$389,$A5,'Transaction Overview'!$H$2:$H$389,B$4)</f>
        <v>0</v>
      </c>
      <c r="C5" s="7" t="n">
        <f aca="false">SUMIFS('Transaction Overview'!$D$2:$D$389,'Transaction Overview'!$J$2:$J$389,$A5,'Transaction Overview'!$H$2:$H$389,C$4)</f>
        <v>0</v>
      </c>
      <c r="D5" s="7" t="n">
        <f aca="false">SUMIFS('Transaction Overview'!$D$2:$D$389,'Transaction Overview'!$J$2:$J$389,$A5,'Transaction Overview'!$H$2:$H$389,D$4)</f>
        <v>0</v>
      </c>
      <c r="E5" s="7" t="n">
        <f aca="false">SUMIFS('Transaction Overview'!$D$2:$D$389,'Transaction Overview'!$J$2:$J$389,$A5,'Transaction Overview'!$H$2:$H$389,E$4)</f>
        <v>0</v>
      </c>
      <c r="F5" s="7" t="n">
        <f aca="false">SUMIFS('Transaction Overview'!$D$2:$D$389,'Transaction Overview'!$J$2:$J$389,$A5,'Transaction Overview'!$H$2:$H$389,F$4)</f>
        <v>0</v>
      </c>
      <c r="G5" s="7" t="n">
        <f aca="false">SUMIFS('Transaction Overview'!$D$2:$D$389,'Transaction Overview'!$J$2:$J$389,$A5,'Transaction Overview'!$H$2:$H$389,G$4)</f>
        <v>0</v>
      </c>
      <c r="H5" s="7" t="n">
        <f aca="false">SUMIFS('Transaction Overview'!$D$2:$D$389,'Transaction Overview'!$J$2:$J$389,$A5,'Transaction Overview'!$H$2:$H$389,H$4)</f>
        <v>0</v>
      </c>
      <c r="I5" s="7" t="n">
        <f aca="false">SUMIFS('Transaction Overview'!$D$2:$D$389,'Transaction Overview'!$J$2:$J$389,$A5,'Transaction Overview'!$H$2:$H$389,I$4)</f>
        <v>-3500</v>
      </c>
      <c r="J5" s="7" t="n">
        <f aca="false">SUMIFS('Transaction Overview'!$D$2:$D$389,'Transaction Overview'!$J$2:$J$389,$A5,'Transaction Overview'!$H$2:$H$389,J$4)</f>
        <v>-125000</v>
      </c>
      <c r="K5" s="7" t="n">
        <f aca="false">SUMIFS('Transaction Overview'!$D$2:$D$389,'Transaction Overview'!$J$2:$J$389,$A5,'Transaction Overview'!$H$2:$H$389,K$4)</f>
        <v>0</v>
      </c>
      <c r="L5" s="7" t="n">
        <f aca="false">SUMIFS('Transaction Overview'!$D$2:$D$389,'Transaction Overview'!$J$2:$J$389,$A5,'Transaction Overview'!$H$2:$H$389,L$4)</f>
        <v>-357.07</v>
      </c>
      <c r="M5" s="7" t="n">
        <f aca="false">SUMIFS('Transaction Overview'!$D$2:$D$389,'Transaction Overview'!$J$2:$J$389,$A5,'Transaction Overview'!$H$2:$H$389,M$4)</f>
        <v>89642.93</v>
      </c>
      <c r="N5" s="7" t="n">
        <f aca="false">SUM(B5:M5)</f>
        <v>-39214.14</v>
      </c>
    </row>
    <row r="6" customFormat="false" ht="15" hidden="false" customHeight="false" outlineLevel="0" collapsed="false">
      <c r="A6" s="0" t="s">
        <v>19</v>
      </c>
      <c r="B6" s="7" t="n">
        <f aca="false">SUMIFS('Transaction Overview'!$D$2:$D$389,'Transaction Overview'!$J$2:$J$389,$A6,'Transaction Overview'!$H$2:$H$389,B$4)</f>
        <v>0</v>
      </c>
      <c r="C6" s="7" t="n">
        <f aca="false">SUMIFS('Transaction Overview'!$D$2:$D$389,'Transaction Overview'!$J$2:$J$389,$A6,'Transaction Overview'!$H$2:$H$389,C$4)</f>
        <v>0</v>
      </c>
      <c r="D6" s="7" t="n">
        <f aca="false">SUMIFS('Transaction Overview'!$D$2:$D$389,'Transaction Overview'!$J$2:$J$389,$A6,'Transaction Overview'!$H$2:$H$389,D$4)</f>
        <v>0</v>
      </c>
      <c r="E6" s="7" t="n">
        <f aca="false">SUMIFS('Transaction Overview'!$D$2:$D$389,'Transaction Overview'!$J$2:$J$389,$A6,'Transaction Overview'!$H$2:$H$389,E$4)</f>
        <v>0</v>
      </c>
      <c r="F6" s="7" t="n">
        <f aca="false">SUMIFS('Transaction Overview'!$D$2:$D$389,'Transaction Overview'!$J$2:$J$389,$A6,'Transaction Overview'!$H$2:$H$389,F$4)</f>
        <v>47000</v>
      </c>
      <c r="G6" s="7" t="n">
        <f aca="false">SUMIFS('Transaction Overview'!$D$2:$D$389,'Transaction Overview'!$J$2:$J$389,$A6,'Transaction Overview'!$H$2:$H$389,G$4)</f>
        <v>32000</v>
      </c>
      <c r="H6" s="7" t="n">
        <f aca="false">SUMIFS('Transaction Overview'!$D$2:$D$389,'Transaction Overview'!$J$2:$J$389,$A6,'Transaction Overview'!$H$2:$H$389,H$4)</f>
        <v>65000</v>
      </c>
      <c r="I6" s="7" t="n">
        <f aca="false">SUMIFS('Transaction Overview'!$D$2:$D$389,'Transaction Overview'!$J$2:$J$389,$A6,'Transaction Overview'!$H$2:$H$389,I$4)</f>
        <v>18500</v>
      </c>
      <c r="J6" s="7" t="n">
        <f aca="false">SUMIFS('Transaction Overview'!$D$2:$D$389,'Transaction Overview'!$J$2:$J$389,$A6,'Transaction Overview'!$H$2:$H$389,J$4)</f>
        <v>137000</v>
      </c>
      <c r="K6" s="7" t="n">
        <f aca="false">SUMIFS('Transaction Overview'!$D$2:$D$389,'Transaction Overview'!$J$2:$J$389,$A6,'Transaction Overview'!$H$2:$H$389,K$4)</f>
        <v>10000</v>
      </c>
      <c r="L6" s="7" t="n">
        <f aca="false">SUMIFS('Transaction Overview'!$D$2:$D$389,'Transaction Overview'!$J$2:$J$389,$A6,'Transaction Overview'!$H$2:$H$389,L$4)</f>
        <v>10500</v>
      </c>
      <c r="M6" s="7" t="n">
        <f aca="false">SUMIFS('Transaction Overview'!$D$2:$D$389,'Transaction Overview'!$J$2:$J$389,$A6,'Transaction Overview'!$H$2:$H$389,M$4)</f>
        <v>-62501</v>
      </c>
      <c r="N6" s="7" t="n">
        <f aca="false">SUM(B6:M6)</f>
        <v>257499</v>
      </c>
    </row>
    <row r="7" customFormat="false" ht="15" hidden="false" customHeight="false" outlineLevel="0" collapsed="false">
      <c r="A7" s="0" t="s">
        <v>31</v>
      </c>
      <c r="B7" s="7" t="n">
        <f aca="false">SUMIFS('Transaction Overview'!$D$2:$D$389,'Transaction Overview'!$J$2:$J$389,$A7,'Transaction Overview'!$H$2:$H$389,B$4)</f>
        <v>0</v>
      </c>
      <c r="C7" s="7" t="n">
        <f aca="false">SUMIFS('Transaction Overview'!$D$2:$D$389,'Transaction Overview'!$J$2:$J$389,$A7,'Transaction Overview'!$H$2:$H$389,C$4)</f>
        <v>0</v>
      </c>
      <c r="D7" s="7" t="n">
        <f aca="false">SUMIFS('Transaction Overview'!$D$2:$D$389,'Transaction Overview'!$J$2:$J$389,$A7,'Transaction Overview'!$H$2:$H$389,D$4)</f>
        <v>0</v>
      </c>
      <c r="E7" s="7" t="n">
        <f aca="false">SUMIFS('Transaction Overview'!$D$2:$D$389,'Transaction Overview'!$J$2:$J$389,$A7,'Transaction Overview'!$H$2:$H$389,E$4)</f>
        <v>0</v>
      </c>
      <c r="F7" s="7" t="n">
        <f aca="false">SUMIFS('Transaction Overview'!$D$2:$D$389,'Transaction Overview'!$J$2:$J$389,$A7,'Transaction Overview'!$H$2:$H$389,F$4)</f>
        <v>-20000</v>
      </c>
      <c r="G7" s="7" t="n">
        <f aca="false">SUMIFS('Transaction Overview'!$D$2:$D$389,'Transaction Overview'!$J$2:$J$389,$A7,'Transaction Overview'!$H$2:$H$389,G$4)</f>
        <v>-22671.34</v>
      </c>
      <c r="H7" s="7" t="n">
        <f aca="false">SUMIFS('Transaction Overview'!$D$2:$D$389,'Transaction Overview'!$J$2:$J$389,$A7,'Transaction Overview'!$H$2:$H$389,H$4)</f>
        <v>-30000</v>
      </c>
      <c r="I7" s="7" t="n">
        <f aca="false">SUMIFS('Transaction Overview'!$D$2:$D$389,'Transaction Overview'!$J$2:$J$389,$A7,'Transaction Overview'!$H$2:$H$389,I$4)</f>
        <v>-20000</v>
      </c>
      <c r="J7" s="7" t="n">
        <f aca="false">SUMIFS('Transaction Overview'!$D$2:$D$389,'Transaction Overview'!$J$2:$J$389,$A7,'Transaction Overview'!$H$2:$H$389,J$4)</f>
        <v>-20000</v>
      </c>
      <c r="K7" s="7" t="n">
        <f aca="false">SUMIFS('Transaction Overview'!$D$2:$D$389,'Transaction Overview'!$J$2:$J$389,$A7,'Transaction Overview'!$H$2:$H$389,K$4)</f>
        <v>-10000</v>
      </c>
      <c r="L7" s="7" t="n">
        <f aca="false">SUMIFS('Transaction Overview'!$D$2:$D$389,'Transaction Overview'!$J$2:$J$389,$A7,'Transaction Overview'!$H$2:$H$389,L$4)</f>
        <v>-10000</v>
      </c>
      <c r="M7" s="7" t="n">
        <f aca="false">SUMIFS('Transaction Overview'!$D$2:$D$389,'Transaction Overview'!$J$2:$J$389,$A7,'Transaction Overview'!$H$2:$H$389,M$4)</f>
        <v>-10300</v>
      </c>
      <c r="N7" s="7" t="n">
        <f aca="false">SUM(B7:M7)</f>
        <v>-142971.34</v>
      </c>
    </row>
    <row r="8" customFormat="false" ht="15" hidden="false" customHeight="false" outlineLevel="0" collapsed="false">
      <c r="A8" s="0" t="s">
        <v>38</v>
      </c>
      <c r="B8" s="7" t="n">
        <f aca="false">SUMIFS('Transaction Overview'!$D$2:$D$389,'Transaction Overview'!$J$2:$J$389,$A8,'Transaction Overview'!$H$2:$H$389,B$4)</f>
        <v>0</v>
      </c>
      <c r="C8" s="7" t="n">
        <f aca="false">SUMIFS('Transaction Overview'!$D$2:$D$389,'Transaction Overview'!$J$2:$J$389,$A8,'Transaction Overview'!$H$2:$H$389,C$4)</f>
        <v>0</v>
      </c>
      <c r="D8" s="7" t="n">
        <f aca="false">SUMIFS('Transaction Overview'!$D$2:$D$389,'Transaction Overview'!$J$2:$J$389,$A8,'Transaction Overview'!$H$2:$H$389,D$4)</f>
        <v>0</v>
      </c>
      <c r="E8" s="7" t="n">
        <f aca="false">SUMIFS('Transaction Overview'!$D$2:$D$389,'Transaction Overview'!$J$2:$J$389,$A8,'Transaction Overview'!$H$2:$H$389,E$4)</f>
        <v>0</v>
      </c>
      <c r="F8" s="7" t="n">
        <f aca="false">SUMIFS('Transaction Overview'!$D$2:$D$389,'Transaction Overview'!$J$2:$J$389,$A8,'Transaction Overview'!$H$2:$H$389,F$4)</f>
        <v>0</v>
      </c>
      <c r="G8" s="7" t="n">
        <f aca="false">SUMIFS('Transaction Overview'!$D$2:$D$389,'Transaction Overview'!$J$2:$J$389,$A8,'Transaction Overview'!$H$2:$H$389,G$4)</f>
        <v>0</v>
      </c>
      <c r="H8" s="7" t="n">
        <f aca="false">SUMIFS('Transaction Overview'!$D$2:$D$389,'Transaction Overview'!$J$2:$J$389,$A8,'Transaction Overview'!$H$2:$H$389,H$4)</f>
        <v>0</v>
      </c>
      <c r="I8" s="7" t="n">
        <f aca="false">SUMIFS('Transaction Overview'!$D$2:$D$389,'Transaction Overview'!$J$2:$J$389,$A8,'Transaction Overview'!$H$2:$H$389,I$4)</f>
        <v>2000</v>
      </c>
      <c r="J8" s="7" t="n">
        <f aca="false">SUMIFS('Transaction Overview'!$D$2:$D$389,'Transaction Overview'!$J$2:$J$389,$A8,'Transaction Overview'!$H$2:$H$389,J$4)</f>
        <v>0</v>
      </c>
      <c r="K8" s="7" t="n">
        <f aca="false">SUMIFS('Transaction Overview'!$D$2:$D$389,'Transaction Overview'!$J$2:$J$389,$A8,'Transaction Overview'!$H$2:$H$389,K$4)</f>
        <v>0</v>
      </c>
      <c r="L8" s="7" t="n">
        <f aca="false">SUMIFS('Transaction Overview'!$D$2:$D$389,'Transaction Overview'!$J$2:$J$389,$A8,'Transaction Overview'!$H$2:$H$389,L$4)</f>
        <v>0</v>
      </c>
      <c r="M8" s="7" t="n">
        <f aca="false">SUMIFS('Transaction Overview'!$D$2:$D$389,'Transaction Overview'!$J$2:$J$389,$A8,'Transaction Overview'!$H$2:$H$389,M$4)</f>
        <v>0</v>
      </c>
      <c r="N8" s="7" t="n">
        <f aca="false">SUM(B8:M8)</f>
        <v>2000</v>
      </c>
    </row>
    <row r="9" customFormat="false" ht="15" hidden="false" customHeight="false" outlineLevel="0" collapsed="false">
      <c r="A9" s="0" t="s">
        <v>41</v>
      </c>
      <c r="B9" s="7" t="n">
        <f aca="false">SUMIFS('Transaction Overview'!$D$2:$D$389,'Transaction Overview'!$J$2:$J$389,$A9,'Transaction Overview'!$H$2:$H$389,B$4)</f>
        <v>0</v>
      </c>
      <c r="C9" s="7" t="n">
        <f aca="false">SUMIFS('Transaction Overview'!$D$2:$D$389,'Transaction Overview'!$J$2:$J$389,$A9,'Transaction Overview'!$H$2:$H$389,C$4)</f>
        <v>0</v>
      </c>
      <c r="D9" s="7" t="n">
        <f aca="false">SUMIFS('Transaction Overview'!$D$2:$D$389,'Transaction Overview'!$J$2:$J$389,$A9,'Transaction Overview'!$H$2:$H$389,D$4)</f>
        <v>0</v>
      </c>
      <c r="E9" s="7" t="n">
        <f aca="false">SUMIFS('Transaction Overview'!$D$2:$D$389,'Transaction Overview'!$J$2:$J$389,$A9,'Transaction Overview'!$H$2:$H$389,E$4)</f>
        <v>0</v>
      </c>
      <c r="F9" s="7" t="n">
        <f aca="false">SUMIFS('Transaction Overview'!$D$2:$D$389,'Transaction Overview'!$J$2:$J$389,$A9,'Transaction Overview'!$H$2:$H$389,F$4)</f>
        <v>-35152.11</v>
      </c>
      <c r="G9" s="7" t="n">
        <f aca="false">SUMIFS('Transaction Overview'!$D$2:$D$389,'Transaction Overview'!$J$2:$J$389,$A9,'Transaction Overview'!$H$2:$H$389,G$4)</f>
        <v>-180.24</v>
      </c>
      <c r="H9" s="7" t="n">
        <f aca="false">SUMIFS('Transaction Overview'!$D$2:$D$389,'Transaction Overview'!$J$2:$J$389,$A9,'Transaction Overview'!$H$2:$H$389,H$4)</f>
        <v>0</v>
      </c>
      <c r="I9" s="7" t="n">
        <f aca="false">SUMIFS('Transaction Overview'!$D$2:$D$389,'Transaction Overview'!$J$2:$J$389,$A9,'Transaction Overview'!$H$2:$H$389,I$4)</f>
        <v>0</v>
      </c>
      <c r="J9" s="7" t="n">
        <f aca="false">SUMIFS('Transaction Overview'!$D$2:$D$389,'Transaction Overview'!$J$2:$J$389,$A9,'Transaction Overview'!$H$2:$H$389,J$4)</f>
        <v>-4616.56</v>
      </c>
      <c r="K9" s="7" t="n">
        <f aca="false">SUMIFS('Transaction Overview'!$D$2:$D$389,'Transaction Overview'!$J$2:$J$389,$A9,'Transaction Overview'!$H$2:$H$389,K$4)</f>
        <v>0</v>
      </c>
      <c r="L9" s="7" t="n">
        <f aca="false">SUMIFS('Transaction Overview'!$D$2:$D$389,'Transaction Overview'!$J$2:$J$389,$A9,'Transaction Overview'!$H$2:$H$389,L$4)</f>
        <v>0</v>
      </c>
      <c r="M9" s="7" t="n">
        <f aca="false">SUMIFS('Transaction Overview'!$D$2:$D$389,'Transaction Overview'!$J$2:$J$389,$A9,'Transaction Overview'!$H$2:$H$389,M$4)</f>
        <v>0</v>
      </c>
      <c r="N9" s="7" t="n">
        <f aca="false">SUM(B9:M9)</f>
        <v>-39948.91</v>
      </c>
    </row>
    <row r="10" customFormat="false" ht="15" hidden="false" customHeight="false" outlineLevel="0" collapsed="false">
      <c r="A10" s="0" t="s">
        <v>44</v>
      </c>
      <c r="B10" s="7" t="n">
        <f aca="false">SUMIFS('Transaction Overview'!$D$2:$D$389,'Transaction Overview'!$J$2:$J$389,$A10,'Transaction Overview'!$H$2:$H$389,B$4)</f>
        <v>0</v>
      </c>
      <c r="C10" s="7" t="n">
        <f aca="false">SUMIFS('Transaction Overview'!$D$2:$D$389,'Transaction Overview'!$J$2:$J$389,$A10,'Transaction Overview'!$H$2:$H$389,C$4)</f>
        <v>0</v>
      </c>
      <c r="D10" s="7" t="n">
        <f aca="false">SUMIFS('Transaction Overview'!$D$2:$D$389,'Transaction Overview'!$J$2:$J$389,$A10,'Transaction Overview'!$H$2:$H$389,D$4)</f>
        <v>0</v>
      </c>
      <c r="E10" s="7" t="n">
        <f aca="false">SUMIFS('Transaction Overview'!$D$2:$D$389,'Transaction Overview'!$J$2:$J$389,$A10,'Transaction Overview'!$H$2:$H$389,E$4)</f>
        <v>0</v>
      </c>
      <c r="F10" s="7" t="n">
        <f aca="false">SUMIFS('Transaction Overview'!$D$2:$D$389,'Transaction Overview'!$J$2:$J$389,$A10,'Transaction Overview'!$H$2:$H$389,F$4)</f>
        <v>-972.28</v>
      </c>
      <c r="G10" s="7" t="n">
        <f aca="false">SUMIFS('Transaction Overview'!$D$2:$D$389,'Transaction Overview'!$J$2:$J$389,$A10,'Transaction Overview'!$H$2:$H$389,G$4)</f>
        <v>-982.28</v>
      </c>
      <c r="H10" s="7" t="n">
        <f aca="false">SUMIFS('Transaction Overview'!$D$2:$D$389,'Transaction Overview'!$J$2:$J$389,$A10,'Transaction Overview'!$H$2:$H$389,H$4)</f>
        <v>-771.15</v>
      </c>
      <c r="I10" s="7" t="n">
        <f aca="false">SUMIFS('Transaction Overview'!$D$2:$D$389,'Transaction Overview'!$J$2:$J$389,$A10,'Transaction Overview'!$H$2:$H$389,I$4)</f>
        <v>-1130.82</v>
      </c>
      <c r="J10" s="7" t="n">
        <f aca="false">SUMIFS('Transaction Overview'!$D$2:$D$389,'Transaction Overview'!$J$2:$J$389,$A10,'Transaction Overview'!$H$2:$H$389,J$4)</f>
        <v>-628.56</v>
      </c>
      <c r="K10" s="7" t="n">
        <f aca="false">SUMIFS('Transaction Overview'!$D$2:$D$389,'Transaction Overview'!$J$2:$J$389,$A10,'Transaction Overview'!$H$2:$H$389,K$4)</f>
        <v>-584.53</v>
      </c>
      <c r="L10" s="7" t="n">
        <f aca="false">SUMIFS('Transaction Overview'!$D$2:$D$389,'Transaction Overview'!$J$2:$J$389,$A10,'Transaction Overview'!$H$2:$H$389,L$4)</f>
        <v>-563.56</v>
      </c>
      <c r="M10" s="7" t="n">
        <f aca="false">SUMIFS('Transaction Overview'!$D$2:$D$389,'Transaction Overview'!$J$2:$J$389,$A10,'Transaction Overview'!$H$2:$H$389,M$4)</f>
        <v>-2374.03</v>
      </c>
      <c r="N10" s="7" t="n">
        <f aca="false">SUM(B10:M10)</f>
        <v>-8007.21</v>
      </c>
    </row>
    <row r="11" customFormat="false" ht="15" hidden="false" customHeight="false" outlineLevel="0" collapsed="false">
      <c r="A11" s="0" t="s">
        <v>54</v>
      </c>
      <c r="B11" s="7" t="n">
        <f aca="false">SUMIFS('Transaction Overview'!$D$2:$D$389,'Transaction Overview'!$J$2:$J$389,$A11,'Transaction Overview'!$H$2:$H$389,B$4)</f>
        <v>0</v>
      </c>
      <c r="C11" s="7" t="n">
        <f aca="false">SUMIFS('Transaction Overview'!$D$2:$D$389,'Transaction Overview'!$J$2:$J$389,$A11,'Transaction Overview'!$H$2:$H$389,C$4)</f>
        <v>0</v>
      </c>
      <c r="D11" s="7" t="n">
        <f aca="false">SUMIFS('Transaction Overview'!$D$2:$D$389,'Transaction Overview'!$J$2:$J$389,$A11,'Transaction Overview'!$H$2:$H$389,D$4)</f>
        <v>0</v>
      </c>
      <c r="E11" s="7" t="n">
        <f aca="false">SUMIFS('Transaction Overview'!$D$2:$D$389,'Transaction Overview'!$J$2:$J$389,$A11,'Transaction Overview'!$H$2:$H$389,E$4)</f>
        <v>0</v>
      </c>
      <c r="F11" s="7" t="n">
        <f aca="false">SUMIFS('Transaction Overview'!$D$2:$D$389,'Transaction Overview'!$J$2:$J$389,$A11,'Transaction Overview'!$H$2:$H$389,F$4)</f>
        <v>-2181.06</v>
      </c>
      <c r="G11" s="7" t="n">
        <f aca="false">SUMIFS('Transaction Overview'!$D$2:$D$389,'Transaction Overview'!$J$2:$J$389,$A11,'Transaction Overview'!$H$2:$H$389,G$4)</f>
        <v>-6157.42</v>
      </c>
      <c r="H11" s="7" t="n">
        <f aca="false">SUMIFS('Transaction Overview'!$D$2:$D$389,'Transaction Overview'!$J$2:$J$389,$A11,'Transaction Overview'!$H$2:$H$389,H$4)</f>
        <v>-2594.71</v>
      </c>
      <c r="I11" s="7" t="n">
        <f aca="false">SUMIFS('Transaction Overview'!$D$2:$D$389,'Transaction Overview'!$J$2:$J$389,$A11,'Transaction Overview'!$H$2:$H$389,I$4)</f>
        <v>-2035.68</v>
      </c>
      <c r="J11" s="7" t="n">
        <f aca="false">SUMIFS('Transaction Overview'!$D$2:$D$389,'Transaction Overview'!$J$2:$J$389,$A11,'Transaction Overview'!$H$2:$H$389,J$4)</f>
        <v>-2745.18</v>
      </c>
      <c r="K11" s="7" t="n">
        <f aca="false">SUMIFS('Transaction Overview'!$D$2:$D$389,'Transaction Overview'!$J$2:$J$389,$A11,'Transaction Overview'!$H$2:$H$389,K$4)</f>
        <v>-457.42</v>
      </c>
      <c r="L11" s="7" t="n">
        <f aca="false">SUMIFS('Transaction Overview'!$D$2:$D$389,'Transaction Overview'!$J$2:$J$389,$A11,'Transaction Overview'!$H$2:$H$389,L$4)</f>
        <v>-412.22</v>
      </c>
      <c r="M11" s="7" t="n">
        <f aca="false">SUMIFS('Transaction Overview'!$D$2:$D$389,'Transaction Overview'!$J$2:$J$389,$A11,'Transaction Overview'!$H$2:$H$389,M$4)</f>
        <v>-965.58</v>
      </c>
      <c r="N11" s="7" t="n">
        <f aca="false">SUM(B11:M11)</f>
        <v>-17549.27</v>
      </c>
    </row>
    <row r="12" customFormat="false" ht="15" hidden="false" customHeight="false" outlineLevel="0" collapsed="false">
      <c r="A12" s="0" t="s">
        <v>68</v>
      </c>
      <c r="B12" s="7" t="n">
        <f aca="false">SUMIFS('Transaction Overview'!$D$2:$D$389,'Transaction Overview'!$J$2:$J$389,$A12,'Transaction Overview'!$H$2:$H$389,B$4)</f>
        <v>0</v>
      </c>
      <c r="C12" s="7" t="n">
        <f aca="false">SUMIFS('Transaction Overview'!$D$2:$D$389,'Transaction Overview'!$J$2:$J$389,$A12,'Transaction Overview'!$H$2:$H$389,C$4)</f>
        <v>0</v>
      </c>
      <c r="D12" s="7" t="n">
        <f aca="false">SUMIFS('Transaction Overview'!$D$2:$D$389,'Transaction Overview'!$J$2:$J$389,$A12,'Transaction Overview'!$H$2:$H$389,D$4)</f>
        <v>0</v>
      </c>
      <c r="E12" s="7" t="n">
        <f aca="false">SUMIFS('Transaction Overview'!$D$2:$D$389,'Transaction Overview'!$J$2:$J$389,$A12,'Transaction Overview'!$H$2:$H$389,E$4)</f>
        <v>0</v>
      </c>
      <c r="F12" s="7" t="n">
        <f aca="false">SUMIFS('Transaction Overview'!$D$2:$D$389,'Transaction Overview'!$J$2:$J$389,$A12,'Transaction Overview'!$H$2:$H$389,F$4)</f>
        <v>0</v>
      </c>
      <c r="G12" s="7" t="n">
        <f aca="false">SUMIFS('Transaction Overview'!$D$2:$D$389,'Transaction Overview'!$J$2:$J$389,$A12,'Transaction Overview'!$H$2:$H$389,G$4)</f>
        <v>0</v>
      </c>
      <c r="H12" s="7" t="n">
        <f aca="false">SUMIFS('Transaction Overview'!$D$2:$D$389,'Transaction Overview'!$J$2:$J$389,$A12,'Transaction Overview'!$H$2:$H$389,H$4)</f>
        <v>-10122.99</v>
      </c>
      <c r="I12" s="7" t="n">
        <f aca="false">SUMIFS('Transaction Overview'!$D$2:$D$389,'Transaction Overview'!$J$2:$J$389,$A12,'Transaction Overview'!$H$2:$H$389,I$4)</f>
        <v>0</v>
      </c>
      <c r="J12" s="7" t="n">
        <f aca="false">SUMIFS('Transaction Overview'!$D$2:$D$389,'Transaction Overview'!$J$2:$J$389,$A12,'Transaction Overview'!$H$2:$H$389,J$4)</f>
        <v>0</v>
      </c>
      <c r="K12" s="7" t="n">
        <f aca="false">SUMIFS('Transaction Overview'!$D$2:$D$389,'Transaction Overview'!$J$2:$J$389,$A12,'Transaction Overview'!$H$2:$H$389,K$4)</f>
        <v>0</v>
      </c>
      <c r="L12" s="7" t="n">
        <f aca="false">SUMIFS('Transaction Overview'!$D$2:$D$389,'Transaction Overview'!$J$2:$J$389,$A12,'Transaction Overview'!$H$2:$H$389,L$4)</f>
        <v>0</v>
      </c>
      <c r="M12" s="7" t="n">
        <f aca="false">SUMIFS('Transaction Overview'!$D$2:$D$389,'Transaction Overview'!$J$2:$J$389,$A12,'Transaction Overview'!$H$2:$H$389,M$4)</f>
        <v>0</v>
      </c>
      <c r="N12" s="7" t="n">
        <f aca="false">SUM(B12:M12)</f>
        <v>-10122.99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4" t="s">
        <v>0</v>
      </c>
    </row>
    <row r="2" customFormat="false" ht="15" hidden="false" customHeight="false" outlineLevel="0" collapsed="false">
      <c r="A2" s="2" t="s">
        <v>75</v>
      </c>
    </row>
    <row r="4" customFormat="false" ht="15" hidden="false" customHeight="false" outlineLevel="0" collapsed="false">
      <c r="A4" s="5" t="s">
        <v>76</v>
      </c>
      <c r="B4" s="6"/>
      <c r="C4" s="6"/>
    </row>
    <row r="5" customFormat="false" ht="15" hidden="false" customHeight="false" outlineLevel="0" collapsed="false">
      <c r="A5" s="0" t="s">
        <v>74</v>
      </c>
      <c r="C5" s="7" t="n">
        <f aca="false">SUMIFS('Transaction Overview'!$D$2:$D$389,'Transaction Overview'!$J$2:$J$389,"Intercompany &amp; Savings Transfers",'Transaction Overview'!$D$2:$D$389,"&gt;0")</f>
        <v>1148349</v>
      </c>
    </row>
    <row r="6" customFormat="false" ht="15" hidden="false" customHeight="false" outlineLevel="0" collapsed="false">
      <c r="A6" s="0" t="s">
        <v>77</v>
      </c>
      <c r="C6" s="0" t="n">
        <f aca="false">COUNTIFS('Transaction Overview'!$J$2:$J$389,"Intercompany &amp; Savings Transfers",'Transaction Overview'!$D$2:$D$389,"&gt;0")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4" t="s">
        <v>0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5" t="s">
        <v>76</v>
      </c>
      <c r="B4" s="6"/>
      <c r="C4" s="6"/>
    </row>
    <row r="5" customFormat="false" ht="15" hidden="false" customHeight="false" outlineLevel="0" collapsed="false">
      <c r="A5" s="0" t="s">
        <v>74</v>
      </c>
      <c r="C5" s="7" t="n">
        <f aca="false">SUMIFS('Transaction Overview'!$D$2:$D$389,'Transaction Overview'!$J$2:$J$389,"Intercompany &amp; Savings Transfers",'Transaction Overview'!$D$2:$D$389,"&lt;0")</f>
        <v>-890850</v>
      </c>
    </row>
    <row r="6" customFormat="false" ht="15" hidden="false" customHeight="false" outlineLevel="0" collapsed="false">
      <c r="A6" s="0" t="s">
        <v>77</v>
      </c>
      <c r="C6" s="0" t="n">
        <f aca="false">COUNTIFS('Transaction Overview'!$J$2:$J$389,"Intercompany &amp; Savings Transfers",'Transaction Overview'!$D$2:$D$389,"&lt;0")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4" t="s">
        <v>0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5" t="s">
        <v>76</v>
      </c>
      <c r="B4" s="6"/>
      <c r="C4" s="6"/>
    </row>
    <row r="5" customFormat="false" ht="15" hidden="false" customHeight="false" outlineLevel="0" collapsed="false">
      <c r="A5" s="0" t="s">
        <v>74</v>
      </c>
      <c r="C5" s="7" t="n">
        <f aca="false">SUMIFS('Transaction Overview'!$D$2:$D$389,'Transaction Overview'!$J$2:$J$389,"Payroll &amp; Contractors",'Transaction Overview'!$D$2:$D$389,"&lt;0")</f>
        <v>-142971.34</v>
      </c>
    </row>
    <row r="6" customFormat="false" ht="15" hidden="false" customHeight="false" outlineLevel="0" collapsed="false">
      <c r="A6" s="0" t="s">
        <v>77</v>
      </c>
      <c r="C6" s="0" t="n">
        <f aca="false">COUNTIFS('Transaction Overview'!$J$2:$J$389,"Payroll &amp; Contractors",'Transaction Overview'!$D$2:$D$389,"&lt;0")</f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32"/>
  </cols>
  <sheetData>
    <row r="1" customFormat="false" ht="15" hidden="false" customHeight="false" outlineLevel="0" collapsed="false">
      <c r="A1" s="9" t="s">
        <v>80</v>
      </c>
      <c r="B1" s="9" t="s">
        <v>81</v>
      </c>
      <c r="C1" s="9" t="s">
        <v>82</v>
      </c>
      <c r="D1" s="9" t="s">
        <v>83</v>
      </c>
      <c r="E1" s="9" t="s">
        <v>84</v>
      </c>
      <c r="F1" s="9" t="s">
        <v>85</v>
      </c>
      <c r="G1" s="9" t="s">
        <v>12</v>
      </c>
      <c r="H1" s="9" t="s">
        <v>86</v>
      </c>
      <c r="I1" s="9" t="s">
        <v>87</v>
      </c>
      <c r="J1" s="9" t="s">
        <v>73</v>
      </c>
    </row>
    <row r="2" customFormat="false" ht="15" hidden="false" customHeight="false" outlineLevel="0" collapsed="false">
      <c r="A2" s="0" t="str">
        <f aca="false">2025_DWG_Activity!A2</f>
        <v>DEBIT</v>
      </c>
      <c r="B2" s="15" t="n">
        <f aca="false">2025_DWG_Activity!B2</f>
        <v>46022</v>
      </c>
      <c r="C2" s="0" t="str">
        <f aca="false">2025_DWG_Activity!C2</f>
        <v>Online Transfer to CHK ...9335 transaction#: 27532478452 12/31</v>
      </c>
      <c r="D2" s="7" t="n">
        <f aca="false">2025_DWG_Activity!D2</f>
        <v>-23350</v>
      </c>
      <c r="E2" s="0" t="str">
        <f aca="false">2025_DWG_Activity!E2</f>
        <v>ACCT_XFER</v>
      </c>
      <c r="F2" s="7" t="n">
        <f aca="false">2025_DWG_Activity!F2</f>
        <v>13515.83</v>
      </c>
      <c r="G2" s="0" t="str">
        <f aca="false">2025_DWG_Activity!G2</f>
        <v>Transfer to Poseidon Asset Group</v>
      </c>
      <c r="H2" s="16" t="n">
        <f aca="false">IF($B2="","",DATE(YEAR($B2),MONTH($B2),1))</f>
        <v>45992</v>
      </c>
      <c r="I2" s="0" t="str">
        <f aca="false">IF($G2="","Uncategorized — Review",IFERROR(INDEX(Mapping!$B:$B,MATCH($G2,Mapping!$A:$A,0)),"Uncategorized — Review"))</f>
        <v>Transfer to Poseidon Asset Group</v>
      </c>
      <c r="J2" s="0" t="str">
        <f aca="false">IF($G2="","Uncategorized — Review",IFERROR(INDEX(Mapping!$C:$C,MATCH($G2,Mapping!$A:$A,0)),"Uncategorized — Review"))</f>
        <v>Intercompany &amp; Savings Transfers</v>
      </c>
    </row>
    <row r="3" customFormat="false" ht="15" hidden="false" customHeight="false" outlineLevel="0" collapsed="false">
      <c r="A3" s="0" t="str">
        <f aca="false">2025_DWG_Activity!A3</f>
        <v>DEBIT</v>
      </c>
      <c r="B3" s="15" t="n">
        <f aca="false">2025_DWG_Activity!B3</f>
        <v>46022</v>
      </c>
      <c r="C3" s="0" t="str">
        <f aca="false">2025_DWG_Activity!C3</f>
        <v>ELEMENTOR.COM ELEMENTOR.COM DE               12/30</v>
      </c>
      <c r="D3" s="7" t="n">
        <f aca="false">2025_DWG_Activity!D3</f>
        <v>-99</v>
      </c>
      <c r="E3" s="0" t="str">
        <f aca="false">2025_DWG_Activity!E3</f>
        <v>DEBIT_CARD</v>
      </c>
      <c r="F3" s="7" t="n">
        <f aca="false">2025_DWG_Activity!F3</f>
        <v>36865.83</v>
      </c>
      <c r="G3" s="0" t="str">
        <f aca="false">2025_DWG_Activity!G3</f>
        <v>DWG Marketing</v>
      </c>
      <c r="H3" s="16" t="n">
        <f aca="false">IF($B3="","",DATE(YEAR($B3),MONTH($B3),1))</f>
        <v>45992</v>
      </c>
      <c r="I3" s="0" t="str">
        <f aca="false">IF($G3="","Uncategorized — Review",IFERROR(INDEX(Mapping!$B:$B,MATCH($G3,Mapping!$A:$A,0)),"Uncategorized — Review"))</f>
        <v>DWG Marketing</v>
      </c>
      <c r="J3" s="0" t="str">
        <f aca="false">IF($G3="","Uncategorized — Review",IFERROR(INDEX(Mapping!$C:$C,MATCH($G3,Mapping!$A:$A,0)),"Uncategorized — Review"))</f>
        <v>DWG Operating</v>
      </c>
    </row>
    <row r="4" customFormat="false" ht="15" hidden="false" customHeight="false" outlineLevel="0" collapsed="false">
      <c r="A4" s="0" t="str">
        <f aca="false">2025_DWG_Activity!A4</f>
        <v>DEBIT</v>
      </c>
      <c r="B4" s="15" t="n">
        <f aca="false">2025_DWG_Activity!B4</f>
        <v>46022</v>
      </c>
      <c r="C4" s="0" t="str">
        <f aca="false">2025_DWG_Activity!C4</f>
        <v>PP*APPLE.COM/BILL 800-275-2273 CA            12/30</v>
      </c>
      <c r="D4" s="7" t="n">
        <f aca="false">2025_DWG_Activity!D4</f>
        <v>-8.99</v>
      </c>
      <c r="E4" s="0" t="str">
        <f aca="false">2025_DWG_Activity!E4</f>
        <v>DEBIT_CARD</v>
      </c>
      <c r="F4" s="7" t="n">
        <f aca="false">2025_DWG_Activity!F4</f>
        <v>36964.83</v>
      </c>
      <c r="G4" s="0" t="str">
        <f aca="false">2025_DWG_Activity!G4</f>
        <v>Personal - Subscriptions</v>
      </c>
      <c r="H4" s="16" t="n">
        <f aca="false">IF($B4="","",DATE(YEAR($B4),MONTH($B4),1))</f>
        <v>45992</v>
      </c>
      <c r="I4" s="0" t="str">
        <f aca="false">IF($G4="","Uncategorized — Review",IFERROR(INDEX(Mapping!$B:$B,MATCH($G4,Mapping!$A:$A,0)),"Uncategorized — Review"))</f>
        <v>Personal - Subscriptions</v>
      </c>
      <c r="J4" s="0" t="str">
        <f aca="false">IF($G4="","Uncategorized — Review",IFERROR(INDEX(Mapping!$C:$C,MATCH($G4,Mapping!$A:$A,0)),"Uncategorized — Review"))</f>
        <v>Personal — Owner</v>
      </c>
    </row>
    <row r="5" customFormat="false" ht="15" hidden="false" customHeight="false" outlineLevel="0" collapsed="false">
      <c r="A5" s="0" t="str">
        <f aca="false">2025_DWG_Activity!A5</f>
        <v>DEBIT</v>
      </c>
      <c r="B5" s="15" t="n">
        <f aca="false">2025_DWG_Activity!B5</f>
        <v>46022</v>
      </c>
      <c r="C5" s="0" t="str">
        <f aca="false">2025_DWG_Activity!C5</f>
        <v>PAYPAL *LINKEDIN 402-935-7733 CA             12/30</v>
      </c>
      <c r="D5" s="7" t="n">
        <f aca="false">2025_DWG_Activity!D5</f>
        <v>-508</v>
      </c>
      <c r="E5" s="0" t="str">
        <f aca="false">2025_DWG_Activity!E5</f>
        <v>DEBIT_CARD</v>
      </c>
      <c r="F5" s="7" t="n">
        <f aca="false">2025_DWG_Activity!F5</f>
        <v>36973.82</v>
      </c>
      <c r="G5" s="0" t="str">
        <f aca="false">2025_DWG_Activity!G5</f>
        <v>DWG HR</v>
      </c>
      <c r="H5" s="16" t="n">
        <f aca="false">IF($B5="","",DATE(YEAR($B5),MONTH($B5),1))</f>
        <v>45992</v>
      </c>
      <c r="I5" s="0" t="str">
        <f aca="false">IF($G5="","Uncategorized — Review",IFERROR(INDEX(Mapping!$B:$B,MATCH($G5,Mapping!$A:$A,0)),"Uncategorized — Review"))</f>
        <v>DWG HR</v>
      </c>
      <c r="J5" s="0" t="str">
        <f aca="false">IF($G5="","Uncategorized — Review",IFERROR(INDEX(Mapping!$C:$C,MATCH($G5,Mapping!$A:$A,0)),"Uncategorized — Review"))</f>
        <v>DWG Operating</v>
      </c>
    </row>
    <row r="6" customFormat="false" ht="15" hidden="false" customHeight="false" outlineLevel="0" collapsed="false">
      <c r="A6" s="0" t="str">
        <f aca="false">2025_DWG_Activity!A6</f>
        <v>CREDIT</v>
      </c>
      <c r="B6" s="15" t="n">
        <f aca="false">2025_DWG_Activity!B6</f>
        <v>46022</v>
      </c>
      <c r="C6" s="0" t="str">
        <f aca="false">2025_DWG_Activity!C6</f>
        <v>Online Transfer from CHK ...9769 transaction#: 27532436614</v>
      </c>
      <c r="D6" s="7" t="n">
        <f aca="false">2025_DWG_Activity!D6</f>
        <v>23349</v>
      </c>
      <c r="E6" s="0" t="str">
        <f aca="false">2025_DWG_Activity!E6</f>
        <v>ACCT_XFER</v>
      </c>
      <c r="F6" s="7" t="n">
        <f aca="false">2025_DWG_Activity!F6</f>
        <v>37481.82</v>
      </c>
      <c r="G6" s="0" t="str">
        <f aca="false">2025_DWG_Activity!G6</f>
        <v>Transfer from JAL Southbend</v>
      </c>
      <c r="H6" s="16" t="n">
        <f aca="false">IF($B6="","",DATE(YEAR($B6),MONTH($B6),1))</f>
        <v>45992</v>
      </c>
      <c r="I6" s="0" t="str">
        <f aca="false">IF($G6="","Uncategorized — Review",IFERROR(INDEX(Mapping!$B:$B,MATCH($G6,Mapping!$A:$A,0)),"Uncategorized — Review"))</f>
        <v>Transfer from JAL Southbend</v>
      </c>
      <c r="J6" s="0" t="str">
        <f aca="false">IF($G6="","Uncategorized — Review",IFERROR(INDEX(Mapping!$C:$C,MATCH($G6,Mapping!$A:$A,0)),"Uncategorized — Review"))</f>
        <v>Intercompany &amp; Savings Transfers</v>
      </c>
    </row>
    <row r="7" customFormat="false" ht="15" hidden="false" customHeight="false" outlineLevel="0" collapsed="false">
      <c r="A7" s="0" t="str">
        <f aca="false">2025_DWG_Activity!A7</f>
        <v>DEBIT</v>
      </c>
      <c r="B7" s="15" t="n">
        <f aca="false">2025_DWG_Activity!B7</f>
        <v>46021</v>
      </c>
      <c r="C7" s="0" t="str">
        <f aca="false">2025_DWG_Activity!C7</f>
        <v>Online Transfer to CHK ...1283 transaction#: 27515609629 12/30</v>
      </c>
      <c r="D7" s="7" t="n">
        <f aca="false">2025_DWG_Activity!D7</f>
        <v>-235000</v>
      </c>
      <c r="E7" s="0" t="str">
        <f aca="false">2025_DWG_Activity!E7</f>
        <v>ACCT_XFER</v>
      </c>
      <c r="F7" s="7" t="n">
        <f aca="false">2025_DWG_Activity!F7</f>
        <v>14132.82</v>
      </c>
      <c r="G7" s="0" t="str">
        <f aca="false">2025_DWG_Activity!G7</f>
        <v>Deal Specific</v>
      </c>
      <c r="H7" s="16" t="n">
        <f aca="false">IF($B7="","",DATE(YEAR($B7),MONTH($B7),1))</f>
        <v>45992</v>
      </c>
      <c r="I7" s="0" t="str">
        <f aca="false">IF($G7="","Uncategorized — Review",IFERROR(INDEX(Mapping!$B:$B,MATCH($G7,Mapping!$A:$A,0)),"Uncategorized — Review"))</f>
        <v>Deal Specific</v>
      </c>
      <c r="J7" s="0" t="str">
        <f aca="false">IF($G7="","Uncategorized — Review",IFERROR(INDEX(Mapping!$C:$C,MATCH($G7,Mapping!$A:$A,0)),"Uncategorized — Review"))</f>
        <v>Deal-Specific</v>
      </c>
    </row>
    <row r="8" customFormat="false" ht="15" hidden="false" customHeight="false" outlineLevel="0" collapsed="false">
      <c r="A8" s="0" t="str">
        <f aca="false">2025_DWG_Activity!A8</f>
        <v>DEBIT</v>
      </c>
      <c r="B8" s="15" t="n">
        <f aca="false">2025_DWG_Activity!B8</f>
        <v>46021</v>
      </c>
      <c r="C8" s="0" t="str">
        <f aca="false">2025_DWG_Activity!C8</f>
        <v>BREVITAS 415-993-8886 CA                     12/30</v>
      </c>
      <c r="D8" s="7" t="n">
        <f aca="false">2025_DWG_Activity!D8</f>
        <v>-187</v>
      </c>
      <c r="E8" s="0" t="str">
        <f aca="false">2025_DWG_Activity!E8</f>
        <v>DEBIT_CARD</v>
      </c>
      <c r="F8" s="7" t="n">
        <f aca="false">2025_DWG_Activity!F8</f>
        <v>249132.82</v>
      </c>
      <c r="G8" s="0" t="str">
        <f aca="false">2025_DWG_Activity!G8</f>
        <v>DWG Listing Platform</v>
      </c>
      <c r="H8" s="16" t="n">
        <f aca="false">IF($B8="","",DATE(YEAR($B8),MONTH($B8),1))</f>
        <v>45992</v>
      </c>
      <c r="I8" s="0" t="str">
        <f aca="false">IF($G8="","Uncategorized — Review",IFERROR(INDEX(Mapping!$B:$B,MATCH($G8,Mapping!$A:$A,0)),"Uncategorized — Review"))</f>
        <v>DWG Listing Platform</v>
      </c>
      <c r="J8" s="0" t="str">
        <f aca="false">IF($G8="","Uncategorized — Review",IFERROR(INDEX(Mapping!$C:$C,MATCH($G8,Mapping!$A:$A,0)),"Uncategorized — Review"))</f>
        <v>DWG Operating</v>
      </c>
    </row>
    <row r="9" customFormat="false" ht="15" hidden="false" customHeight="false" outlineLevel="0" collapsed="false">
      <c r="A9" s="0" t="str">
        <f aca="false">2025_DWG_Activity!A9</f>
        <v>DEBIT</v>
      </c>
      <c r="B9" s="15" t="n">
        <f aca="false">2025_DWG_Activity!B9</f>
        <v>46021</v>
      </c>
      <c r="C9" s="0" t="str">
        <f aca="false">2025_DWG_Activity!C9</f>
        <v>Basic Online Payroll Payment 11199342689 to ########6812</v>
      </c>
      <c r="D9" s="7" t="n">
        <f aca="false">2025_DWG_Activity!D9</f>
        <v>-5000</v>
      </c>
      <c r="E9" s="0" t="str">
        <f aca="false">2025_DWG_Activity!E9</f>
        <v>BASIC_PAYROLL</v>
      </c>
      <c r="F9" s="7" t="n">
        <f aca="false">2025_DWG_Activity!F9</f>
        <v>249319.82</v>
      </c>
      <c r="G9" s="0" t="str">
        <f aca="false">2025_DWG_Activity!G9</f>
        <v>Meg Maran - Payroll</v>
      </c>
      <c r="H9" s="16" t="n">
        <f aca="false">IF($B9="","",DATE(YEAR($B9),MONTH($B9),1))</f>
        <v>45992</v>
      </c>
      <c r="I9" s="0" t="str">
        <f aca="false">IF($G9="","Uncategorized — Review",IFERROR(INDEX(Mapping!$B:$B,MATCH($G9,Mapping!$A:$A,0)),"Uncategorized — Review"))</f>
        <v>Meg Maran - Payroll</v>
      </c>
      <c r="J9" s="0" t="str">
        <f aca="false">IF($G9="","Uncategorized — Review",IFERROR(INDEX(Mapping!$C:$C,MATCH($G9,Mapping!$A:$A,0)),"Uncategorized — Review"))</f>
        <v>Payroll &amp; Contractors</v>
      </c>
    </row>
    <row r="10" customFormat="false" ht="15" hidden="false" customHeight="false" outlineLevel="0" collapsed="false">
      <c r="A10" s="0" t="str">
        <f aca="false">2025_DWG_Activity!A10</f>
        <v>DEBIT</v>
      </c>
      <c r="B10" s="15" t="n">
        <f aca="false">2025_DWG_Activity!B10</f>
        <v>46020</v>
      </c>
      <c r="C10" s="0" t="str">
        <f aca="false">2025_DWG_Activity!C10</f>
        <v>PP*APPLE.COM/BILL 800-275-2273 CA            12/27</v>
      </c>
      <c r="D10" s="7" t="n">
        <f aca="false">2025_DWG_Activity!D10</f>
        <v>-18.99</v>
      </c>
      <c r="E10" s="0" t="str">
        <f aca="false">2025_DWG_Activity!E10</f>
        <v>DEBIT_CARD</v>
      </c>
      <c r="F10" s="7" t="n">
        <f aca="false">2025_DWG_Activity!F10</f>
        <v>254319.82</v>
      </c>
      <c r="G10" s="0" t="str">
        <f aca="false">2025_DWG_Activity!G10</f>
        <v>Personal - Subscriptions</v>
      </c>
      <c r="H10" s="16" t="n">
        <f aca="false">IF($B10="","",DATE(YEAR($B10),MONTH($B10),1))</f>
        <v>45992</v>
      </c>
      <c r="I10" s="0" t="str">
        <f aca="false">IF($G10="","Uncategorized — Review",IFERROR(INDEX(Mapping!$B:$B,MATCH($G10,Mapping!$A:$A,0)),"Uncategorized — Review"))</f>
        <v>Personal - Subscriptions</v>
      </c>
      <c r="J10" s="0" t="str">
        <f aca="false">IF($G10="","Uncategorized — Review",IFERROR(INDEX(Mapping!$C:$C,MATCH($G10,Mapping!$A:$A,0)),"Uncategorized — Review"))</f>
        <v>Personal — Owner</v>
      </c>
    </row>
    <row r="11" customFormat="false" ht="15" hidden="false" customHeight="false" outlineLevel="0" collapsed="false">
      <c r="A11" s="0" t="str">
        <f aca="false">2025_DWG_Activity!A11</f>
        <v>DEBIT</v>
      </c>
      <c r="B11" s="15" t="n">
        <f aca="false">2025_DWG_Activity!B11</f>
        <v>46020</v>
      </c>
      <c r="C11" s="0" t="str">
        <f aca="false">2025_DWG_Activity!C11</f>
        <v>PP*APPLE.COM/BILL 800-275-2273 CA            12/27</v>
      </c>
      <c r="D11" s="7" t="n">
        <f aca="false">2025_DWG_Activity!D11</f>
        <v>-18.49</v>
      </c>
      <c r="E11" s="0" t="str">
        <f aca="false">2025_DWG_Activity!E11</f>
        <v>DEBIT_CARD</v>
      </c>
      <c r="F11" s="7" t="n">
        <f aca="false">2025_DWG_Activity!F11</f>
        <v>254338.81</v>
      </c>
      <c r="G11" s="0" t="str">
        <f aca="false">2025_DWG_Activity!G11</f>
        <v>Personal - Subscriptions</v>
      </c>
      <c r="H11" s="16" t="n">
        <f aca="false">IF($B11="","",DATE(YEAR($B11),MONTH($B11),1))</f>
        <v>45992</v>
      </c>
      <c r="I11" s="0" t="str">
        <f aca="false">IF($G11="","Uncategorized — Review",IFERROR(INDEX(Mapping!$B:$B,MATCH($G11,Mapping!$A:$A,0)),"Uncategorized — Review"))</f>
        <v>Personal - Subscriptions</v>
      </c>
      <c r="J11" s="0" t="str">
        <f aca="false">IF($G11="","Uncategorized — Review",IFERROR(INDEX(Mapping!$C:$C,MATCH($G11,Mapping!$A:$A,0)),"Uncategorized — Review"))</f>
        <v>Personal — Owner</v>
      </c>
    </row>
    <row r="12" customFormat="false" ht="15" hidden="false" customHeight="false" outlineLevel="0" collapsed="false">
      <c r="A12" s="0" t="str">
        <f aca="false">2025_DWG_Activity!A12</f>
        <v>DEBIT</v>
      </c>
      <c r="B12" s="15" t="n">
        <f aca="false">2025_DWG_Activity!B12</f>
        <v>46020</v>
      </c>
      <c r="C12" s="0" t="str">
        <f aca="false">2025_DWG_Activity!C12</f>
        <v>PP*APPLE.COM/BILL 800-275-2273 CA            12/26</v>
      </c>
      <c r="D12" s="7" t="n">
        <f aca="false">2025_DWG_Activity!D12</f>
        <v>-9.99</v>
      </c>
      <c r="E12" s="0" t="str">
        <f aca="false">2025_DWG_Activity!E12</f>
        <v>DEBIT_CARD</v>
      </c>
      <c r="F12" s="7" t="n">
        <f aca="false">2025_DWG_Activity!F12</f>
        <v>254357.3</v>
      </c>
      <c r="G12" s="0" t="str">
        <f aca="false">2025_DWG_Activity!G12</f>
        <v>Personal - Subscriptions</v>
      </c>
      <c r="H12" s="16" t="n">
        <f aca="false">IF($B12="","",DATE(YEAR($B12),MONTH($B12),1))</f>
        <v>45992</v>
      </c>
      <c r="I12" s="0" t="str">
        <f aca="false">IF($G12="","Uncategorized — Review",IFERROR(INDEX(Mapping!$B:$B,MATCH($G12,Mapping!$A:$A,0)),"Uncategorized — Review"))</f>
        <v>Personal - Subscriptions</v>
      </c>
      <c r="J12" s="0" t="str">
        <f aca="false">IF($G12="","Uncategorized — Review",IFERROR(INDEX(Mapping!$C:$C,MATCH($G12,Mapping!$A:$A,0)),"Uncategorized — Review"))</f>
        <v>Personal — Owner</v>
      </c>
    </row>
    <row r="13" customFormat="false" ht="15" hidden="false" customHeight="false" outlineLevel="0" collapsed="false">
      <c r="A13" s="0" t="str">
        <f aca="false">2025_DWG_Activity!A13</f>
        <v>DEBIT</v>
      </c>
      <c r="B13" s="15" t="n">
        <f aca="false">2025_DWG_Activity!B13</f>
        <v>46020</v>
      </c>
      <c r="C13" s="0" t="str">
        <f aca="false">2025_DWG_Activity!C13</f>
        <v>PP*APPLE.COM/BILL 800-275-2273 CA            12/26</v>
      </c>
      <c r="D13" s="7" t="n">
        <f aca="false">2025_DWG_Activity!D13</f>
        <v>-100</v>
      </c>
      <c r="E13" s="0" t="str">
        <f aca="false">2025_DWG_Activity!E13</f>
        <v>DEBIT_CARD</v>
      </c>
      <c r="F13" s="7" t="n">
        <f aca="false">2025_DWG_Activity!F13</f>
        <v>254367.29</v>
      </c>
      <c r="G13" s="0" t="str">
        <f aca="false">2025_DWG_Activity!G13</f>
        <v>Personal - Subscriptions</v>
      </c>
      <c r="H13" s="16" t="n">
        <f aca="false">IF($B13="","",DATE(YEAR($B13),MONTH($B13),1))</f>
        <v>45992</v>
      </c>
      <c r="I13" s="0" t="str">
        <f aca="false">IF($G13="","Uncategorized — Review",IFERROR(INDEX(Mapping!$B:$B,MATCH($G13,Mapping!$A:$A,0)),"Uncategorized — Review"))</f>
        <v>Personal - Subscriptions</v>
      </c>
      <c r="J13" s="0" t="str">
        <f aca="false">IF($G13="","Uncategorized — Review",IFERROR(INDEX(Mapping!$C:$C,MATCH($G13,Mapping!$A:$A,0)),"Uncategorized — Review"))</f>
        <v>Personal — Owner</v>
      </c>
    </row>
    <row r="14" customFormat="false" ht="15" hidden="false" customHeight="false" outlineLevel="0" collapsed="false">
      <c r="A14" s="0" t="str">
        <f aca="false">2025_DWG_Activity!A14</f>
        <v>DEBIT</v>
      </c>
      <c r="B14" s="15" t="n">
        <f aca="false">2025_DWG_Activity!B14</f>
        <v>46017</v>
      </c>
      <c r="C14" s="0" t="str">
        <f aca="false">2025_DWG_Activity!C14</f>
        <v>PAYPAL *CANVA 416-131-8870 DE                12/25</v>
      </c>
      <c r="D14" s="7" t="n">
        <f aca="false">2025_DWG_Activity!D14</f>
        <v>-12.99</v>
      </c>
      <c r="E14" s="0" t="str">
        <f aca="false">2025_DWG_Activity!E14</f>
        <v>DEBIT_CARD</v>
      </c>
      <c r="F14" s="7" t="n">
        <f aca="false">2025_DWG_Activity!F14</f>
        <v>254467.29</v>
      </c>
      <c r="G14" s="0" t="str">
        <f aca="false">2025_DWG_Activity!G14</f>
        <v>DWG Marketing</v>
      </c>
      <c r="H14" s="16" t="n">
        <f aca="false">IF($B14="","",DATE(YEAR($B14),MONTH($B14),1))</f>
        <v>45992</v>
      </c>
      <c r="I14" s="0" t="str">
        <f aca="false">IF($G14="","Uncategorized — Review",IFERROR(INDEX(Mapping!$B:$B,MATCH($G14,Mapping!$A:$A,0)),"Uncategorized — Review"))</f>
        <v>DWG Marketing</v>
      </c>
      <c r="J14" s="0" t="str">
        <f aca="false">IF($G14="","Uncategorized — Review",IFERROR(INDEX(Mapping!$C:$C,MATCH($G14,Mapping!$A:$A,0)),"Uncategorized — Review"))</f>
        <v>DWG Operating</v>
      </c>
    </row>
    <row r="15" customFormat="false" ht="15" hidden="false" customHeight="false" outlineLevel="0" collapsed="false">
      <c r="A15" s="0" t="str">
        <f aca="false">2025_DWG_Activity!A15</f>
        <v>DEBIT</v>
      </c>
      <c r="B15" s="15" t="n">
        <f aca="false">2025_DWG_Activity!B15</f>
        <v>46017</v>
      </c>
      <c r="C15" s="0" t="str">
        <f aca="false">2025_DWG_Activity!C15</f>
        <v>PP*APPLE.COM/BILL 800-275-2273 CA            12/24</v>
      </c>
      <c r="D15" s="7" t="n">
        <f aca="false">2025_DWG_Activity!D15</f>
        <v>-8.99</v>
      </c>
      <c r="E15" s="0" t="str">
        <f aca="false">2025_DWG_Activity!E15</f>
        <v>DEBIT_CARD</v>
      </c>
      <c r="F15" s="7" t="n">
        <f aca="false">2025_DWG_Activity!F15</f>
        <v>254480.28</v>
      </c>
      <c r="G15" s="0" t="str">
        <f aca="false">2025_DWG_Activity!G15</f>
        <v>Personal - Subscriptions</v>
      </c>
      <c r="H15" s="16" t="n">
        <f aca="false">IF($B15="","",DATE(YEAR($B15),MONTH($B15),1))</f>
        <v>45992</v>
      </c>
      <c r="I15" s="0" t="str">
        <f aca="false">IF($G15="","Uncategorized — Review",IFERROR(INDEX(Mapping!$B:$B,MATCH($G15,Mapping!$A:$A,0)),"Uncategorized — Review"))</f>
        <v>Personal - Subscriptions</v>
      </c>
      <c r="J15" s="0" t="str">
        <f aca="false">IF($G15="","Uncategorized — Review",IFERROR(INDEX(Mapping!$C:$C,MATCH($G15,Mapping!$A:$A,0)),"Uncategorized — Review"))</f>
        <v>Personal — Owner</v>
      </c>
    </row>
    <row r="16" customFormat="false" ht="15" hidden="false" customHeight="false" outlineLevel="0" collapsed="false">
      <c r="A16" s="0" t="str">
        <f aca="false">2025_DWG_Activity!A16</f>
        <v>DEBIT</v>
      </c>
      <c r="B16" s="15" t="n">
        <f aca="false">2025_DWG_Activity!B16</f>
        <v>46015</v>
      </c>
      <c r="C16" s="0" t="str">
        <f aca="false">2025_DWG_Activity!C16</f>
        <v>PAYPAL *EPOCH TIMES T 833-699-1888 NY        12/23</v>
      </c>
      <c r="D16" s="7" t="n">
        <f aca="false">2025_DWG_Activity!D16</f>
        <v>-16</v>
      </c>
      <c r="E16" s="0" t="str">
        <f aca="false">2025_DWG_Activity!E16</f>
        <v>DEBIT_CARD</v>
      </c>
      <c r="F16" s="7" t="n">
        <f aca="false">2025_DWG_Activity!F16</f>
        <v>254489.27</v>
      </c>
      <c r="G16" s="0" t="str">
        <f aca="false">2025_DWG_Activity!G16</f>
        <v>Personal - Subscriptions</v>
      </c>
      <c r="H16" s="16" t="n">
        <f aca="false">IF($B16="","",DATE(YEAR($B16),MONTH($B16),1))</f>
        <v>45992</v>
      </c>
      <c r="I16" s="0" t="str">
        <f aca="false">IF($G16="","Uncategorized — Review",IFERROR(INDEX(Mapping!$B:$B,MATCH($G16,Mapping!$A:$A,0)),"Uncategorized — Review"))</f>
        <v>Personal - Subscriptions</v>
      </c>
      <c r="J16" s="0" t="str">
        <f aca="false">IF($G16="","Uncategorized — Review",IFERROR(INDEX(Mapping!$C:$C,MATCH($G16,Mapping!$A:$A,0)),"Uncategorized — Review"))</f>
        <v>Personal — Owner</v>
      </c>
    </row>
    <row r="17" customFormat="false" ht="15" hidden="false" customHeight="false" outlineLevel="0" collapsed="false">
      <c r="A17" s="0" t="str">
        <f aca="false">2025_DWG_Activity!A17</f>
        <v>DEBIT</v>
      </c>
      <c r="B17" s="15" t="n">
        <f aca="false">2025_DWG_Activity!B17</f>
        <v>46015</v>
      </c>
      <c r="C17" s="0" t="str">
        <f aca="false">2025_DWG_Activity!C17</f>
        <v>PP*APPLE.COM/BILL 800-275-2273 CA            12/23</v>
      </c>
      <c r="D17" s="7" t="n">
        <f aca="false">2025_DWG_Activity!D17</f>
        <v>-9.99</v>
      </c>
      <c r="E17" s="0" t="str">
        <f aca="false">2025_DWG_Activity!E17</f>
        <v>DEBIT_CARD</v>
      </c>
      <c r="F17" s="7" t="n">
        <f aca="false">2025_DWG_Activity!F17</f>
        <v>254505.27</v>
      </c>
      <c r="G17" s="0" t="str">
        <f aca="false">2025_DWG_Activity!G17</f>
        <v>Personal - Subscriptions</v>
      </c>
      <c r="H17" s="16" t="n">
        <f aca="false">IF($B17="","",DATE(YEAR($B17),MONTH($B17),1))</f>
        <v>45992</v>
      </c>
      <c r="I17" s="0" t="str">
        <f aca="false">IF($G17="","Uncategorized — Review",IFERROR(INDEX(Mapping!$B:$B,MATCH($G17,Mapping!$A:$A,0)),"Uncategorized — Review"))</f>
        <v>Personal - Subscriptions</v>
      </c>
      <c r="J17" s="0" t="str">
        <f aca="false">IF($G17="","Uncategorized — Review",IFERROR(INDEX(Mapping!$C:$C,MATCH($G17,Mapping!$A:$A,0)),"Uncategorized — Review"))</f>
        <v>Personal — Owner</v>
      </c>
    </row>
    <row r="18" customFormat="false" ht="15" hidden="false" customHeight="false" outlineLevel="0" collapsed="false">
      <c r="A18" s="0" t="str">
        <f aca="false">2025_DWG_Activity!A18</f>
        <v>DEBIT</v>
      </c>
      <c r="B18" s="15" t="n">
        <f aca="false">2025_DWG_Activity!B18</f>
        <v>46014</v>
      </c>
      <c r="C18" s="0" t="str">
        <f aca="false">2025_DWG_Activity!C18</f>
        <v>ActiveCampaign 141-5235186 IL                12/23</v>
      </c>
      <c r="D18" s="7" t="n">
        <f aca="false">2025_DWG_Activity!D18</f>
        <v>-326.8</v>
      </c>
      <c r="E18" s="0" t="str">
        <f aca="false">2025_DWG_Activity!E18</f>
        <v>DEBIT_CARD</v>
      </c>
      <c r="F18" s="7" t="n">
        <f aca="false">2025_DWG_Activity!F18</f>
        <v>254515.26</v>
      </c>
      <c r="G18" s="0" t="str">
        <f aca="false">2025_DWG_Activity!G18</f>
        <v>DWG Marketing</v>
      </c>
      <c r="H18" s="16" t="n">
        <f aca="false">IF($B18="","",DATE(YEAR($B18),MONTH($B18),1))</f>
        <v>45992</v>
      </c>
      <c r="I18" s="0" t="str">
        <f aca="false">IF($G18="","Uncategorized — Review",IFERROR(INDEX(Mapping!$B:$B,MATCH($G18,Mapping!$A:$A,0)),"Uncategorized — Review"))</f>
        <v>DWG Marketing</v>
      </c>
      <c r="J18" s="0" t="str">
        <f aca="false">IF($G18="","Uncategorized — Review",IFERROR(INDEX(Mapping!$C:$C,MATCH($G18,Mapping!$A:$A,0)),"Uncategorized — Review"))</f>
        <v>DWG Operating</v>
      </c>
    </row>
    <row r="19" customFormat="false" ht="15" hidden="false" customHeight="false" outlineLevel="0" collapsed="false">
      <c r="A19" s="0" t="str">
        <f aca="false">2025_DWG_Activity!A19</f>
        <v>DEBIT</v>
      </c>
      <c r="B19" s="15" t="n">
        <f aca="false">2025_DWG_Activity!B19</f>
        <v>46013</v>
      </c>
      <c r="C19" s="0" t="str">
        <f aca="false">2025_DWG_Activity!C19</f>
        <v>INTERNATIONAL INCOMING WIRE FEE</v>
      </c>
      <c r="D19" s="7" t="n">
        <f aca="false">2025_DWG_Activity!D19</f>
        <v>-15</v>
      </c>
      <c r="E19" s="0" t="str">
        <f aca="false">2025_DWG_Activity!E19</f>
        <v>FEE_TRANSACTION</v>
      </c>
      <c r="F19" s="7" t="n">
        <f aca="false">2025_DWG_Activity!F19</f>
        <v>254842.06</v>
      </c>
      <c r="G19" s="0" t="str">
        <f aca="false">2025_DWG_Activity!G19</f>
        <v>Bank Fees</v>
      </c>
      <c r="H19" s="16" t="n">
        <f aca="false">IF($B19="","",DATE(YEAR($B19),MONTH($B19),1))</f>
        <v>45992</v>
      </c>
      <c r="I19" s="0" t="str">
        <f aca="false">IF($G19="","Uncategorized — Review",IFERROR(INDEX(Mapping!$B:$B,MATCH($G19,Mapping!$A:$A,0)),"Uncategorized — Review"))</f>
        <v>Bank Fees</v>
      </c>
      <c r="J19" s="0" t="str">
        <f aca="false">IF($G19="","Uncategorized — Review",IFERROR(INDEX(Mapping!$C:$C,MATCH($G19,Mapping!$A:$A,0)),"Uncategorized — Review"))</f>
        <v>DWG Operating</v>
      </c>
    </row>
    <row r="20" customFormat="false" ht="15" hidden="false" customHeight="false" outlineLevel="0" collapsed="false">
      <c r="A20" s="0" t="str">
        <f aca="false">2025_DWG_Activity!A20</f>
        <v>DEBIT</v>
      </c>
      <c r="B20" s="15" t="n">
        <f aca="false">2025_DWG_Activity!B20</f>
        <v>46013</v>
      </c>
      <c r="C20" s="0" t="str">
        <f aca="false">2025_DWG_Activity!C20</f>
        <v>Online Transfer to CHK ...9335 transaction#: 27426858962 12/22</v>
      </c>
      <c r="D20" s="7" t="n">
        <f aca="false">2025_DWG_Activity!D20</f>
        <v>-90000</v>
      </c>
      <c r="E20" s="0" t="str">
        <f aca="false">2025_DWG_Activity!E20</f>
        <v>ACCT_XFER</v>
      </c>
      <c r="F20" s="7" t="n">
        <f aca="false">2025_DWG_Activity!F20</f>
        <v>254857.06</v>
      </c>
      <c r="G20" s="0" t="str">
        <f aca="false">2025_DWG_Activity!G20</f>
        <v>Transfer to Poseidon Asset Group</v>
      </c>
      <c r="H20" s="16" t="n">
        <f aca="false">IF($B20="","",DATE(YEAR($B20),MONTH($B20),1))</f>
        <v>45992</v>
      </c>
      <c r="I20" s="0" t="str">
        <f aca="false">IF($G20="","Uncategorized — Review",IFERROR(INDEX(Mapping!$B:$B,MATCH($G20,Mapping!$A:$A,0)),"Uncategorized — Review"))</f>
        <v>Transfer to Poseidon Asset Group</v>
      </c>
      <c r="J20" s="0" t="str">
        <f aca="false">IF($G20="","Uncategorized — Review",IFERROR(INDEX(Mapping!$C:$C,MATCH($G20,Mapping!$A:$A,0)),"Uncategorized — Review"))</f>
        <v>Intercompany &amp; Savings Transfers</v>
      </c>
    </row>
    <row r="21" customFormat="false" ht="15" hidden="false" customHeight="false" outlineLevel="0" collapsed="false">
      <c r="A21" s="0" t="str">
        <f aca="false">2025_DWG_Activity!A21</f>
        <v>DEBIT</v>
      </c>
      <c r="B21" s="15" t="n">
        <f aca="false">2025_DWG_Activity!B21</f>
        <v>46013</v>
      </c>
      <c r="C21" s="0" t="str">
        <f aca="false">2025_DWG_Activity!C21</f>
        <v>PP*APPLE.COM/BILL 800-275-2273 CA            12/22</v>
      </c>
      <c r="D21" s="7" t="n">
        <f aca="false">2025_DWG_Activity!D21</f>
        <v>-30</v>
      </c>
      <c r="E21" s="0" t="str">
        <f aca="false">2025_DWG_Activity!E21</f>
        <v>DEBIT_CARD</v>
      </c>
      <c r="F21" s="7" t="n">
        <f aca="false">2025_DWG_Activity!F21</f>
        <v>344857.06</v>
      </c>
      <c r="G21" s="0" t="str">
        <f aca="false">2025_DWG_Activity!G21</f>
        <v>Personal - Subscriptions</v>
      </c>
      <c r="H21" s="16" t="n">
        <f aca="false">IF($B21="","",DATE(YEAR($B21),MONTH($B21),1))</f>
        <v>45992</v>
      </c>
      <c r="I21" s="0" t="str">
        <f aca="false">IF($G21="","Uncategorized — Review",IFERROR(INDEX(Mapping!$B:$B,MATCH($G21,Mapping!$A:$A,0)),"Uncategorized — Review"))</f>
        <v>Personal - Subscriptions</v>
      </c>
      <c r="J21" s="0" t="str">
        <f aca="false">IF($G21="","Uncategorized — Review",IFERROR(INDEX(Mapping!$C:$C,MATCH($G21,Mapping!$A:$A,0)),"Uncategorized — Review"))</f>
        <v>Personal — Owner</v>
      </c>
    </row>
    <row r="22" customFormat="false" ht="15" hidden="false" customHeight="false" outlineLevel="0" collapsed="false">
      <c r="A22" s="0" t="str">
        <f aca="false">2025_DWG_Activity!A22</f>
        <v>DEBIT</v>
      </c>
      <c r="B22" s="15" t="n">
        <f aca="false">2025_DWG_Activity!B22</f>
        <v>46013</v>
      </c>
      <c r="C22" s="0" t="str">
        <f aca="false">2025_DWG_Activity!C22</f>
        <v>PP*APPLE.COM/BILL 800-275-2273 CA            12/20</v>
      </c>
      <c r="D22" s="7" t="n">
        <f aca="false">2025_DWG_Activity!D22</f>
        <v>-12.99</v>
      </c>
      <c r="E22" s="0" t="str">
        <f aca="false">2025_DWG_Activity!E22</f>
        <v>DEBIT_CARD</v>
      </c>
      <c r="F22" s="7" t="n">
        <f aca="false">2025_DWG_Activity!F22</f>
        <v>344887.06</v>
      </c>
      <c r="G22" s="0" t="str">
        <f aca="false">2025_DWG_Activity!G22</f>
        <v>Personal - Subscriptions</v>
      </c>
      <c r="H22" s="16" t="n">
        <f aca="false">IF($B22="","",DATE(YEAR($B22),MONTH($B22),1))</f>
        <v>45992</v>
      </c>
      <c r="I22" s="0" t="str">
        <f aca="false">IF($G22="","Uncategorized — Review",IFERROR(INDEX(Mapping!$B:$B,MATCH($G22,Mapping!$A:$A,0)),"Uncategorized — Review"))</f>
        <v>Personal - Subscriptions</v>
      </c>
      <c r="J22" s="0" t="str">
        <f aca="false">IF($G22="","Uncategorized — Review",IFERROR(INDEX(Mapping!$C:$C,MATCH($G22,Mapping!$A:$A,0)),"Uncategorized — Review"))</f>
        <v>Personal — Owner</v>
      </c>
    </row>
    <row r="23" customFormat="false" ht="15" hidden="false" customHeight="false" outlineLevel="0" collapsed="false">
      <c r="A23" s="0" t="str">
        <f aca="false">2025_DWG_Activity!A23</f>
        <v>DEBIT</v>
      </c>
      <c r="B23" s="15" t="n">
        <f aca="false">2025_DWG_Activity!B23</f>
        <v>46013</v>
      </c>
      <c r="C23" s="0" t="str">
        <f aca="false">2025_DWG_Activity!C23</f>
        <v>PAYPAL *BEENVERIFIE 786-482-6776 NY          12/21</v>
      </c>
      <c r="D23" s="7" t="n">
        <f aca="false">2025_DWG_Activity!D23</f>
        <v>-26.89</v>
      </c>
      <c r="E23" s="0" t="str">
        <f aca="false">2025_DWG_Activity!E23</f>
        <v>DEBIT_CARD</v>
      </c>
      <c r="F23" s="7" t="n">
        <f aca="false">2025_DWG_Activity!F23</f>
        <v>344900.05</v>
      </c>
      <c r="G23" s="0" t="str">
        <f aca="false">2025_DWG_Activity!G23</f>
        <v>Personal - Subscriptions</v>
      </c>
      <c r="H23" s="16" t="n">
        <f aca="false">IF($B23="","",DATE(YEAR($B23),MONTH($B23),1))</f>
        <v>45992</v>
      </c>
      <c r="I23" s="0" t="str">
        <f aca="false">IF($G23="","Uncategorized — Review",IFERROR(INDEX(Mapping!$B:$B,MATCH($G23,Mapping!$A:$A,0)),"Uncategorized — Review"))</f>
        <v>Personal - Subscriptions</v>
      </c>
      <c r="J23" s="0" t="str">
        <f aca="false">IF($G23="","Uncategorized — Review",IFERROR(INDEX(Mapping!$C:$C,MATCH($G23,Mapping!$A:$A,0)),"Uncategorized — Review"))</f>
        <v>Personal — Owner</v>
      </c>
    </row>
    <row r="24" customFormat="false" ht="15" hidden="false" customHeight="false" outlineLevel="0" collapsed="false">
      <c r="A24" s="0" t="str">
        <f aca="false">2025_DWG_Activity!A24</f>
        <v>DEBIT</v>
      </c>
      <c r="B24" s="15" t="n">
        <f aca="false">2025_DWG_Activity!B24</f>
        <v>46013</v>
      </c>
      <c r="C24" s="0" t="str">
        <f aca="false">2025_DWG_Activity!C24</f>
        <v>PAYPAL *THEREALDEAL O 212-260-1332 NY        12/19</v>
      </c>
      <c r="D24" s="7" t="n">
        <f aca="false">2025_DWG_Activity!D24</f>
        <v>-15</v>
      </c>
      <c r="E24" s="0" t="str">
        <f aca="false">2025_DWG_Activity!E24</f>
        <v>DEBIT_CARD</v>
      </c>
      <c r="F24" s="7" t="n">
        <f aca="false">2025_DWG_Activity!F24</f>
        <v>344926.94</v>
      </c>
      <c r="G24" s="0" t="str">
        <f aca="false">2025_DWG_Activity!G24</f>
        <v>Personal - Subscriptions</v>
      </c>
      <c r="H24" s="16" t="n">
        <f aca="false">IF($B24="","",DATE(YEAR($B24),MONTH($B24),1))</f>
        <v>45992</v>
      </c>
      <c r="I24" s="0" t="str">
        <f aca="false">IF($G24="","Uncategorized — Review",IFERROR(INDEX(Mapping!$B:$B,MATCH($G24,Mapping!$A:$A,0)),"Uncategorized — Review"))</f>
        <v>Personal - Subscriptions</v>
      </c>
      <c r="J24" s="0" t="str">
        <f aca="false">IF($G24="","Uncategorized — Review",IFERROR(INDEX(Mapping!$C:$C,MATCH($G24,Mapping!$A:$A,0)),"Uncategorized — Review"))</f>
        <v>Personal — Owner</v>
      </c>
    </row>
    <row r="25" customFormat="false" ht="15" hidden="false" customHeight="false" outlineLevel="0" collapsed="false">
      <c r="A25" s="0" t="str">
        <f aca="false">2025_DWG_Activity!A25</f>
        <v>CREDIT</v>
      </c>
      <c r="B25" s="15" t="n">
        <f aca="false">2025_DWG_Activity!B25</f>
        <v>46013</v>
      </c>
      <c r="C25" s="0" t="str">
        <f aca="false">2025_DWG_Activity!C25</f>
        <v>BOOK TRANSFER CREDIT B/O: NATIONAL FINANCIAL SERVICES LLC SMITHFIELD RI 02917- US ORG:/X649258511 1/SARITHA DHRUVAKUMAR NAVEEN D BHAN OGB: NATIONAL FINANCIAL SERVICES LLC 245 SUMMER STREET REF:/ROC/WD86824339/URI/INVESTMENT ALLOCATION TRN: 2262197356JS</v>
      </c>
      <c r="D25" s="7" t="n">
        <f aca="false">2025_DWG_Activity!D25</f>
        <v>325000</v>
      </c>
      <c r="E25" s="0" t="str">
        <f aca="false">2025_DWG_Activity!E25</f>
        <v>WIRE_INCOMING</v>
      </c>
      <c r="F25" s="7" t="n">
        <f aca="false">2025_DWG_Activity!F25</f>
        <v>344941.94</v>
      </c>
      <c r="G25" s="0" t="str">
        <f aca="false">2025_DWG_Activity!G25</f>
        <v>Deal Specific</v>
      </c>
      <c r="H25" s="16" t="n">
        <f aca="false">IF($B25="","",DATE(YEAR($B25),MONTH($B25),1))</f>
        <v>45992</v>
      </c>
      <c r="I25" s="0" t="str">
        <f aca="false">IF($G25="","Uncategorized — Review",IFERROR(INDEX(Mapping!$B:$B,MATCH($G25,Mapping!$A:$A,0)),"Uncategorized — Review"))</f>
        <v>Deal Specific</v>
      </c>
      <c r="J25" s="0" t="str">
        <f aca="false">IF($G25="","Uncategorized — Review",IFERROR(INDEX(Mapping!$C:$C,MATCH($G25,Mapping!$A:$A,0)),"Uncategorized — Review"))</f>
        <v>Deal-Specific</v>
      </c>
    </row>
    <row r="26" customFormat="false" ht="15" hidden="false" customHeight="false" outlineLevel="0" collapsed="false">
      <c r="A26" s="0" t="str">
        <f aca="false">2025_DWG_Activity!A26</f>
        <v>DEBIT</v>
      </c>
      <c r="B26" s="15" t="n">
        <f aca="false">2025_DWG_Activity!B26</f>
        <v>46010</v>
      </c>
      <c r="C26" s="0" t="str">
        <f aca="false">2025_DWG_Activity!C26</f>
        <v>PAYPAL *FOXCORP 310-369-1795 CA              12/19</v>
      </c>
      <c r="D26" s="7" t="n">
        <f aca="false">2025_DWG_Activity!D26</f>
        <v>-8.99</v>
      </c>
      <c r="E26" s="0" t="str">
        <f aca="false">2025_DWG_Activity!E26</f>
        <v>DEBIT_CARD</v>
      </c>
      <c r="F26" s="7" t="n">
        <f aca="false">2025_DWG_Activity!F26</f>
        <v>19941.94</v>
      </c>
      <c r="G26" s="0" t="str">
        <f aca="false">2025_DWG_Activity!G26</f>
        <v>Personal - Subscriptions</v>
      </c>
      <c r="H26" s="16" t="n">
        <f aca="false">IF($B26="","",DATE(YEAR($B26),MONTH($B26),1))</f>
        <v>45992</v>
      </c>
      <c r="I26" s="0" t="str">
        <f aca="false">IF($G26="","Uncategorized — Review",IFERROR(INDEX(Mapping!$B:$B,MATCH($G26,Mapping!$A:$A,0)),"Uncategorized — Review"))</f>
        <v>Personal - Subscriptions</v>
      </c>
      <c r="J26" s="0" t="str">
        <f aca="false">IF($G26="","Uncategorized — Review",IFERROR(INDEX(Mapping!$C:$C,MATCH($G26,Mapping!$A:$A,0)),"Uncategorized — Review"))</f>
        <v>Personal — Owner</v>
      </c>
    </row>
    <row r="27" customFormat="false" ht="15" hidden="false" customHeight="false" outlineLevel="0" collapsed="false">
      <c r="A27" s="0" t="str">
        <f aca="false">2025_DWG_Activity!A27</f>
        <v>DEBIT</v>
      </c>
      <c r="B27" s="15" t="n">
        <f aca="false">2025_DWG_Activity!B27</f>
        <v>46010</v>
      </c>
      <c r="C27" s="0" t="str">
        <f aca="false">2025_DWG_Activity!C27</f>
        <v>UA INFLT    01643545698 HOUSTON TX           12/18</v>
      </c>
      <c r="D27" s="7" t="n">
        <f aca="false">2025_DWG_Activity!D27</f>
        <v>-10</v>
      </c>
      <c r="E27" s="0" t="str">
        <f aca="false">2025_DWG_Activity!E27</f>
        <v>DEBIT_CARD</v>
      </c>
      <c r="F27" s="7" t="n">
        <f aca="false">2025_DWG_Activity!F27</f>
        <v>19950.93</v>
      </c>
      <c r="G27" s="0" t="str">
        <f aca="false">2025_DWG_Activity!G27</f>
        <v>Personal - Travel</v>
      </c>
      <c r="H27" s="16" t="n">
        <f aca="false">IF($B27="","",DATE(YEAR($B27),MONTH($B27),1))</f>
        <v>45992</v>
      </c>
      <c r="I27" s="0" t="str">
        <f aca="false">IF($G27="","Uncategorized — Review",IFERROR(INDEX(Mapping!$B:$B,MATCH($G27,Mapping!$A:$A,0)),"Uncategorized — Review"))</f>
        <v>Personal - Travel</v>
      </c>
      <c r="J27" s="0" t="str">
        <f aca="false">IF($G27="","Uncategorized — Review",IFERROR(INDEX(Mapping!$C:$C,MATCH($G27,Mapping!$A:$A,0)),"Uncategorized — Review"))</f>
        <v>Personal — Owner</v>
      </c>
    </row>
    <row r="28" customFormat="false" ht="15" hidden="false" customHeight="false" outlineLevel="0" collapsed="false">
      <c r="A28" s="0" t="str">
        <f aca="false">2025_DWG_Activity!A28</f>
        <v>DEBIT</v>
      </c>
      <c r="B28" s="15" t="n">
        <f aca="false">2025_DWG_Activity!B28</f>
        <v>46009</v>
      </c>
      <c r="C28" s="0" t="str">
        <f aca="false">2025_DWG_Activity!C28</f>
        <v>PP*APPLE.COM/BILL 800-275-2273 CA            12/17</v>
      </c>
      <c r="D28" s="7" t="n">
        <f aca="false">2025_DWG_Activity!D28</f>
        <v>-9.99</v>
      </c>
      <c r="E28" s="0" t="str">
        <f aca="false">2025_DWG_Activity!E28</f>
        <v>DEBIT_CARD</v>
      </c>
      <c r="F28" s="7" t="n">
        <f aca="false">2025_DWG_Activity!F28</f>
        <v>19960.93</v>
      </c>
      <c r="G28" s="0" t="str">
        <f aca="false">2025_DWG_Activity!G28</f>
        <v>Personal - Subscriptions</v>
      </c>
      <c r="H28" s="16" t="n">
        <f aca="false">IF($B28="","",DATE(YEAR($B28),MONTH($B28),1))</f>
        <v>45992</v>
      </c>
      <c r="I28" s="0" t="str">
        <f aca="false">IF($G28="","Uncategorized — Review",IFERROR(INDEX(Mapping!$B:$B,MATCH($G28,Mapping!$A:$A,0)),"Uncategorized — Review"))</f>
        <v>Personal - Subscriptions</v>
      </c>
      <c r="J28" s="0" t="str">
        <f aca="false">IF($G28="","Uncategorized — Review",IFERROR(INDEX(Mapping!$C:$C,MATCH($G28,Mapping!$A:$A,0)),"Uncategorized — Review"))</f>
        <v>Personal — Owner</v>
      </c>
    </row>
    <row r="29" customFormat="false" ht="15" hidden="false" customHeight="false" outlineLevel="0" collapsed="false">
      <c r="A29" s="0" t="str">
        <f aca="false">2025_DWG_Activity!A29</f>
        <v>DEBIT</v>
      </c>
      <c r="B29" s="15" t="n">
        <f aca="false">2025_DWG_Activity!B29</f>
        <v>46009</v>
      </c>
      <c r="C29" s="0" t="str">
        <f aca="false">2025_DWG_Activity!C29</f>
        <v>DNH*GODADDY 480-505-8855 AZ                  12/17</v>
      </c>
      <c r="D29" s="7" t="n">
        <f aca="false">2025_DWG_Activity!D29</f>
        <v>-33.95</v>
      </c>
      <c r="E29" s="0" t="str">
        <f aca="false">2025_DWG_Activity!E29</f>
        <v>DEBIT_CARD</v>
      </c>
      <c r="F29" s="7" t="n">
        <f aca="false">2025_DWG_Activity!F29</f>
        <v>19970.92</v>
      </c>
      <c r="G29" s="0" t="str">
        <f aca="false">2025_DWG_Activity!G29</f>
        <v>Go Daddy</v>
      </c>
      <c r="H29" s="16" t="n">
        <f aca="false">IF($B29="","",DATE(YEAR($B29),MONTH($B29),1))</f>
        <v>45992</v>
      </c>
      <c r="I29" s="0" t="str">
        <f aca="false">IF($G29="","Uncategorized — Review",IFERROR(INDEX(Mapping!$B:$B,MATCH($G29,Mapping!$A:$A,0)),"Uncategorized — Review"))</f>
        <v>Go Daddy</v>
      </c>
      <c r="J29" s="0" t="str">
        <f aca="false">IF($G29="","Uncategorized — Review",IFERROR(INDEX(Mapping!$C:$C,MATCH($G29,Mapping!$A:$A,0)),"Uncategorized — Review"))</f>
        <v>DWG Operating</v>
      </c>
    </row>
    <row r="30" customFormat="false" ht="15" hidden="false" customHeight="false" outlineLevel="0" collapsed="false">
      <c r="A30" s="0" t="str">
        <f aca="false">2025_DWG_Activity!A30</f>
        <v>DEBIT</v>
      </c>
      <c r="B30" s="15" t="n">
        <f aca="false">2025_DWG_Activity!B30</f>
        <v>46008</v>
      </c>
      <c r="C30" s="0" t="str">
        <f aca="false">2025_DWG_Activity!C30</f>
        <v>PP*APPLE.COM/BILL 800-275-2273 CA            12/17</v>
      </c>
      <c r="D30" s="7" t="n">
        <f aca="false">2025_DWG_Activity!D30</f>
        <v>-11</v>
      </c>
      <c r="E30" s="0" t="str">
        <f aca="false">2025_DWG_Activity!E30</f>
        <v>DEBIT_CARD</v>
      </c>
      <c r="F30" s="7" t="n">
        <f aca="false">2025_DWG_Activity!F30</f>
        <v>20004.87</v>
      </c>
      <c r="G30" s="0" t="str">
        <f aca="false">2025_DWG_Activity!G30</f>
        <v>Personal - Subscriptions</v>
      </c>
      <c r="H30" s="16" t="n">
        <f aca="false">IF($B30="","",DATE(YEAR($B30),MONTH($B30),1))</f>
        <v>45992</v>
      </c>
      <c r="I30" s="0" t="str">
        <f aca="false">IF($G30="","Uncategorized — Review",IFERROR(INDEX(Mapping!$B:$B,MATCH($G30,Mapping!$A:$A,0)),"Uncategorized — Review"))</f>
        <v>Personal - Subscriptions</v>
      </c>
      <c r="J30" s="0" t="str">
        <f aca="false">IF($G30="","Uncategorized — Review",IFERROR(INDEX(Mapping!$C:$C,MATCH($G30,Mapping!$A:$A,0)),"Uncategorized — Review"))</f>
        <v>Personal — Owner</v>
      </c>
    </row>
    <row r="31" customFormat="false" ht="15" hidden="false" customHeight="false" outlineLevel="0" collapsed="false">
      <c r="A31" s="0" t="str">
        <f aca="false">2025_DWG_Activity!A31</f>
        <v>DEBIT</v>
      </c>
      <c r="B31" s="15" t="n">
        <f aca="false">2025_DWG_Activity!B31</f>
        <v>46008</v>
      </c>
      <c r="C31" s="0" t="str">
        <f aca="false">2025_DWG_Activity!C31</f>
        <v>PAYPAL *LINKEDIN 402-935-7733 CA             12/17</v>
      </c>
      <c r="D31" s="7" t="n">
        <f aca="false">2025_DWG_Activity!D31</f>
        <v>-69.99</v>
      </c>
      <c r="E31" s="0" t="str">
        <f aca="false">2025_DWG_Activity!E31</f>
        <v>DEBIT_CARD</v>
      </c>
      <c r="F31" s="7" t="n">
        <f aca="false">2025_DWG_Activity!F31</f>
        <v>20015.87</v>
      </c>
      <c r="G31" s="0" t="str">
        <f aca="false">2025_DWG_Activity!G31</f>
        <v>DWG HR</v>
      </c>
      <c r="H31" s="16" t="n">
        <f aca="false">IF($B31="","",DATE(YEAR($B31),MONTH($B31),1))</f>
        <v>45992</v>
      </c>
      <c r="I31" s="0" t="str">
        <f aca="false">IF($G31="","Uncategorized — Review",IFERROR(INDEX(Mapping!$B:$B,MATCH($G31,Mapping!$A:$A,0)),"Uncategorized — Review"))</f>
        <v>DWG HR</v>
      </c>
      <c r="J31" s="0" t="str">
        <f aca="false">IF($G31="","Uncategorized — Review",IFERROR(INDEX(Mapping!$C:$C,MATCH($G31,Mapping!$A:$A,0)),"Uncategorized — Review"))</f>
        <v>DWG Operating</v>
      </c>
    </row>
    <row r="32" customFormat="false" ht="15" hidden="false" customHeight="false" outlineLevel="0" collapsed="false">
      <c r="A32" s="0" t="str">
        <f aca="false">2025_DWG_Activity!A32</f>
        <v>DEBIT</v>
      </c>
      <c r="B32" s="15" t="n">
        <f aca="false">2025_DWG_Activity!B32</f>
        <v>46008</v>
      </c>
      <c r="C32" s="0" t="str">
        <f aca="false">2025_DWG_Activity!C32</f>
        <v>PAYPAL *LINKEDIN 402-935-7733 CA             12/17</v>
      </c>
      <c r="D32" s="7" t="n">
        <f aca="false">2025_DWG_Activity!D32</f>
        <v>-89.99</v>
      </c>
      <c r="E32" s="0" t="str">
        <f aca="false">2025_DWG_Activity!E32</f>
        <v>DEBIT_CARD</v>
      </c>
      <c r="F32" s="7" t="n">
        <f aca="false">2025_DWG_Activity!F32</f>
        <v>20085.86</v>
      </c>
      <c r="G32" s="0" t="str">
        <f aca="false">2025_DWG_Activity!G32</f>
        <v>DWG HR</v>
      </c>
      <c r="H32" s="16" t="n">
        <f aca="false">IF($B32="","",DATE(YEAR($B32),MONTH($B32),1))</f>
        <v>45992</v>
      </c>
      <c r="I32" s="0" t="str">
        <f aca="false">IF($G32="","Uncategorized — Review",IFERROR(INDEX(Mapping!$B:$B,MATCH($G32,Mapping!$A:$A,0)),"Uncategorized — Review"))</f>
        <v>DWG HR</v>
      </c>
      <c r="J32" s="0" t="str">
        <f aca="false">IF($G32="","Uncategorized — Review",IFERROR(INDEX(Mapping!$C:$C,MATCH($G32,Mapping!$A:$A,0)),"Uncategorized — Review"))</f>
        <v>DWG Operating</v>
      </c>
    </row>
    <row r="33" customFormat="false" ht="15" hidden="false" customHeight="false" outlineLevel="0" collapsed="false">
      <c r="A33" s="0" t="str">
        <f aca="false">2025_DWG_Activity!A33</f>
        <v>CREDIT</v>
      </c>
      <c r="B33" s="15" t="n">
        <f aca="false">2025_DWG_Activity!B33</f>
        <v>46008</v>
      </c>
      <c r="C33" s="0" t="str">
        <f aca="false">2025_DWG_Activity!C33</f>
        <v>Online Transfer from CHK ...9335 transaction#: 27362694361</v>
      </c>
      <c r="D33" s="7" t="n">
        <f aca="false">2025_DWG_Activity!D33</f>
        <v>20000</v>
      </c>
      <c r="E33" s="0" t="str">
        <f aca="false">2025_DWG_Activity!E33</f>
        <v>ACCT_XFER</v>
      </c>
      <c r="F33" s="7" t="n">
        <f aca="false">2025_DWG_Activity!F33</f>
        <v>20175.85</v>
      </c>
      <c r="G33" s="0" t="str">
        <f aca="false">2025_DWG_Activity!G33</f>
        <v>Transfer from Poseidon Asset Group</v>
      </c>
      <c r="H33" s="16" t="n">
        <f aca="false">IF($B33="","",DATE(YEAR($B33),MONTH($B33),1))</f>
        <v>45992</v>
      </c>
      <c r="I33" s="0" t="str">
        <f aca="false">IF($G33="","Uncategorized — Review",IFERROR(INDEX(Mapping!$B:$B,MATCH($G33,Mapping!$A:$A,0)),"Uncategorized — Review"))</f>
        <v>Transfer from Poseidon Asset Group</v>
      </c>
      <c r="J33" s="0" t="str">
        <f aca="false">IF($G33="","Uncategorized — Review",IFERROR(INDEX(Mapping!$C:$C,MATCH($G33,Mapping!$A:$A,0)),"Uncategorized — Review"))</f>
        <v>Intercompany &amp; Savings Transfers</v>
      </c>
    </row>
    <row r="34" customFormat="false" ht="15" hidden="false" customHeight="false" outlineLevel="0" collapsed="false">
      <c r="A34" s="0" t="str">
        <f aca="false">2025_DWG_Activity!A34</f>
        <v>DEBIT</v>
      </c>
      <c r="B34" s="15" t="n">
        <f aca="false">2025_DWG_Activity!B34</f>
        <v>46007</v>
      </c>
      <c r="C34" s="0" t="str">
        <f aca="false">2025_DWG_Activity!C34</f>
        <v>PAYPAL *GRUBHUBFOOD L 877-585-7878 IL        12/16</v>
      </c>
      <c r="D34" s="7" t="n">
        <f aca="false">2025_DWG_Activity!D34</f>
        <v>-5.47</v>
      </c>
      <c r="E34" s="0" t="str">
        <f aca="false">2025_DWG_Activity!E34</f>
        <v>DEBIT_CARD</v>
      </c>
      <c r="F34" s="7" t="n">
        <f aca="false">2025_DWG_Activity!F34</f>
        <v>175.85</v>
      </c>
      <c r="G34" s="0" t="str">
        <f aca="false">2025_DWG_Activity!G34</f>
        <v>Personal - Food</v>
      </c>
      <c r="H34" s="16" t="n">
        <f aca="false">IF($B34="","",DATE(YEAR($B34),MONTH($B34),1))</f>
        <v>45992</v>
      </c>
      <c r="I34" s="0" t="str">
        <f aca="false">IF($G34="","Uncategorized — Review",IFERROR(INDEX(Mapping!$B:$B,MATCH($G34,Mapping!$A:$A,0)),"Uncategorized — Review"))</f>
        <v>Personal - Food</v>
      </c>
      <c r="J34" s="0" t="str">
        <f aca="false">IF($G34="","Uncategorized — Review",IFERROR(INDEX(Mapping!$C:$C,MATCH($G34,Mapping!$A:$A,0)),"Uncategorized — Review"))</f>
        <v>Personal — Owner</v>
      </c>
    </row>
    <row r="35" customFormat="false" ht="15" hidden="false" customHeight="false" outlineLevel="0" collapsed="false">
      <c r="A35" s="0" t="str">
        <f aca="false">2025_DWG_Activity!A35</f>
        <v>DEBIT</v>
      </c>
      <c r="B35" s="15" t="n">
        <f aca="false">2025_DWG_Activity!B35</f>
        <v>46007</v>
      </c>
      <c r="C35" s="0" t="str">
        <f aca="false">2025_DWG_Activity!C35</f>
        <v>PP*APPLE.COM/BILL 800-275-2273 CA            12/16</v>
      </c>
      <c r="D35" s="7" t="n">
        <f aca="false">2025_DWG_Activity!D35</f>
        <v>-5.99</v>
      </c>
      <c r="E35" s="0" t="str">
        <f aca="false">2025_DWG_Activity!E35</f>
        <v>DEBIT_CARD</v>
      </c>
      <c r="F35" s="7" t="n">
        <f aca="false">2025_DWG_Activity!F35</f>
        <v>181.32</v>
      </c>
      <c r="G35" s="0" t="str">
        <f aca="false">2025_DWG_Activity!G35</f>
        <v>Personal - Subscriptions</v>
      </c>
      <c r="H35" s="16" t="n">
        <f aca="false">IF($B35="","",DATE(YEAR($B35),MONTH($B35),1))</f>
        <v>45992</v>
      </c>
      <c r="I35" s="0" t="str">
        <f aca="false">IF($G35="","Uncategorized — Review",IFERROR(INDEX(Mapping!$B:$B,MATCH($G35,Mapping!$A:$A,0)),"Uncategorized — Review"))</f>
        <v>Personal - Subscriptions</v>
      </c>
      <c r="J35" s="0" t="str">
        <f aca="false">IF($G35="","Uncategorized — Review",IFERROR(INDEX(Mapping!$C:$C,MATCH($G35,Mapping!$A:$A,0)),"Uncategorized — Review"))</f>
        <v>Personal — Owner</v>
      </c>
    </row>
    <row r="36" customFormat="false" ht="15" hidden="false" customHeight="false" outlineLevel="0" collapsed="false">
      <c r="A36" s="0" t="str">
        <f aca="false">2025_DWG_Activity!A36</f>
        <v>DEBIT</v>
      </c>
      <c r="B36" s="15" t="n">
        <f aca="false">2025_DWG_Activity!B36</f>
        <v>46007</v>
      </c>
      <c r="C36" s="0" t="str">
        <f aca="false">2025_DWG_Activity!C36</f>
        <v>SEARCHFUNDER SEARCHFUNDER. OR                12/15</v>
      </c>
      <c r="D36" s="7" t="n">
        <f aca="false">2025_DWG_Activity!D36</f>
        <v>-29</v>
      </c>
      <c r="E36" s="0" t="str">
        <f aca="false">2025_DWG_Activity!E36</f>
        <v>DEBIT_CARD</v>
      </c>
      <c r="F36" s="7" t="n">
        <f aca="false">2025_DWG_Activity!F36</f>
        <v>187.31</v>
      </c>
      <c r="G36" s="0" t="str">
        <f aca="false">2025_DWG_Activity!G36</f>
        <v>Personal - Subscriptions</v>
      </c>
      <c r="H36" s="16" t="n">
        <f aca="false">IF($B36="","",DATE(YEAR($B36),MONTH($B36),1))</f>
        <v>45992</v>
      </c>
      <c r="I36" s="0" t="str">
        <f aca="false">IF($G36="","Uncategorized — Review",IFERROR(INDEX(Mapping!$B:$B,MATCH($G36,Mapping!$A:$A,0)),"Uncategorized — Review"))</f>
        <v>Personal - Subscriptions</v>
      </c>
      <c r="J36" s="0" t="str">
        <f aca="false">IF($G36="","Uncategorized — Review",IFERROR(INDEX(Mapping!$C:$C,MATCH($G36,Mapping!$A:$A,0)),"Uncategorized — Review"))</f>
        <v>Personal — Owner</v>
      </c>
    </row>
    <row r="37" customFormat="false" ht="15" hidden="false" customHeight="false" outlineLevel="0" collapsed="false">
      <c r="A37" s="0" t="str">
        <f aca="false">2025_DWG_Activity!A37</f>
        <v>DEBIT</v>
      </c>
      <c r="B37" s="15" t="n">
        <f aca="false">2025_DWG_Activity!B37</f>
        <v>46007</v>
      </c>
      <c r="C37" s="0" t="str">
        <f aca="false">2025_DWG_Activity!C37</f>
        <v>DNH*GODADDY 480-505-8855 AZ                  12/15</v>
      </c>
      <c r="D37" s="7" t="n">
        <f aca="false">2025_DWG_Activity!D37</f>
        <v>-8.99</v>
      </c>
      <c r="E37" s="0" t="str">
        <f aca="false">2025_DWG_Activity!E37</f>
        <v>DEBIT_CARD</v>
      </c>
      <c r="F37" s="7" t="n">
        <f aca="false">2025_DWG_Activity!F37</f>
        <v>216.31</v>
      </c>
      <c r="G37" s="0" t="str">
        <f aca="false">2025_DWG_Activity!G37</f>
        <v>Go Daddy</v>
      </c>
      <c r="H37" s="16" t="n">
        <f aca="false">IF($B37="","",DATE(YEAR($B37),MONTH($B37),1))</f>
        <v>45992</v>
      </c>
      <c r="I37" s="0" t="str">
        <f aca="false">IF($G37="","Uncategorized — Review",IFERROR(INDEX(Mapping!$B:$B,MATCH($G37,Mapping!$A:$A,0)),"Uncategorized — Review"))</f>
        <v>Go Daddy</v>
      </c>
      <c r="J37" s="0" t="str">
        <f aca="false">IF($G37="","Uncategorized — Review",IFERROR(INDEX(Mapping!$C:$C,MATCH($G37,Mapping!$A:$A,0)),"Uncategorized — Review"))</f>
        <v>DWG Operating</v>
      </c>
    </row>
    <row r="38" customFormat="false" ht="15" hidden="false" customHeight="false" outlineLevel="0" collapsed="false">
      <c r="A38" s="0" t="str">
        <f aca="false">2025_DWG_Activity!A38</f>
        <v>DEBIT</v>
      </c>
      <c r="B38" s="15" t="n">
        <f aca="false">2025_DWG_Activity!B38</f>
        <v>46007</v>
      </c>
      <c r="C38" s="0" t="str">
        <f aca="false">2025_DWG_Activity!C38</f>
        <v>PAYPAL *GRUBHUBFOOD L 877-585-7878 IL        12/16</v>
      </c>
      <c r="D38" s="7" t="n">
        <f aca="false">2025_DWG_Activity!D38</f>
        <v>-79.97</v>
      </c>
      <c r="E38" s="0" t="str">
        <f aca="false">2025_DWG_Activity!E38</f>
        <v>DEBIT_CARD</v>
      </c>
      <c r="F38" s="7" t="n">
        <f aca="false">2025_DWG_Activity!F38</f>
        <v>225.3</v>
      </c>
      <c r="G38" s="0" t="str">
        <f aca="false">2025_DWG_Activity!G38</f>
        <v>Personal - Food</v>
      </c>
      <c r="H38" s="16" t="n">
        <f aca="false">IF($B38="","",DATE(YEAR($B38),MONTH($B38),1))</f>
        <v>45992</v>
      </c>
      <c r="I38" s="0" t="str">
        <f aca="false">IF($G38="","Uncategorized — Review",IFERROR(INDEX(Mapping!$B:$B,MATCH($G38,Mapping!$A:$A,0)),"Uncategorized — Review"))</f>
        <v>Personal - Food</v>
      </c>
      <c r="J38" s="0" t="str">
        <f aca="false">IF($G38="","Uncategorized — Review",IFERROR(INDEX(Mapping!$C:$C,MATCH($G38,Mapping!$A:$A,0)),"Uncategorized — Review"))</f>
        <v>Personal — Owner</v>
      </c>
    </row>
    <row r="39" customFormat="false" ht="15" hidden="false" customHeight="false" outlineLevel="0" collapsed="false">
      <c r="A39" s="0" t="str">
        <f aca="false">2025_DWG_Activity!A39</f>
        <v>DEBIT</v>
      </c>
      <c r="B39" s="15" t="n">
        <f aca="false">2025_DWG_Activity!B39</f>
        <v>46006</v>
      </c>
      <c r="C39" s="0" t="str">
        <f aca="false">2025_DWG_Activity!C39</f>
        <v>PP*APPLE.COM/BILL 800-275-2273 CA            12/15</v>
      </c>
      <c r="D39" s="7" t="n">
        <f aca="false">2025_DWG_Activity!D39</f>
        <v>-8.99</v>
      </c>
      <c r="E39" s="0" t="str">
        <f aca="false">2025_DWG_Activity!E39</f>
        <v>DEBIT_CARD</v>
      </c>
      <c r="F39" s="7" t="n">
        <f aca="false">2025_DWG_Activity!F39</f>
        <v>305.27</v>
      </c>
      <c r="G39" s="0" t="str">
        <f aca="false">2025_DWG_Activity!G39</f>
        <v>Personal - Subscriptions</v>
      </c>
      <c r="H39" s="16" t="n">
        <f aca="false">IF($B39="","",DATE(YEAR($B39),MONTH($B39),1))</f>
        <v>45992</v>
      </c>
      <c r="I39" s="0" t="str">
        <f aca="false">IF($G39="","Uncategorized — Review",IFERROR(INDEX(Mapping!$B:$B,MATCH($G39,Mapping!$A:$A,0)),"Uncategorized — Review"))</f>
        <v>Personal - Subscriptions</v>
      </c>
      <c r="J39" s="0" t="str">
        <f aca="false">IF($G39="","Uncategorized — Review",IFERROR(INDEX(Mapping!$C:$C,MATCH($G39,Mapping!$A:$A,0)),"Uncategorized — Review"))</f>
        <v>Personal — Owner</v>
      </c>
    </row>
    <row r="40" customFormat="false" ht="15" hidden="false" customHeight="false" outlineLevel="0" collapsed="false">
      <c r="A40" s="0" t="str">
        <f aca="false">2025_DWG_Activity!A40</f>
        <v>DEBIT</v>
      </c>
      <c r="B40" s="15" t="n">
        <f aca="false">2025_DWG_Activity!B40</f>
        <v>46006</v>
      </c>
      <c r="C40" s="0" t="str">
        <f aca="false">2025_DWG_Activity!C40</f>
        <v>PP*GOOGLE GOOGLE ONE 855-836-3987 CA         12/14</v>
      </c>
      <c r="D40" s="7" t="n">
        <f aca="false">2025_DWG_Activity!D40</f>
        <v>-1.99</v>
      </c>
      <c r="E40" s="0" t="str">
        <f aca="false">2025_DWG_Activity!E40</f>
        <v>DEBIT_CARD</v>
      </c>
      <c r="F40" s="7" t="n">
        <f aca="false">2025_DWG_Activity!F40</f>
        <v>314.26</v>
      </c>
      <c r="G40" s="0" t="str">
        <f aca="false">2025_DWG_Activity!G40</f>
        <v>Personal - Subscriptions</v>
      </c>
      <c r="H40" s="16" t="n">
        <f aca="false">IF($B40="","",DATE(YEAR($B40),MONTH($B40),1))</f>
        <v>45992</v>
      </c>
      <c r="I40" s="0" t="str">
        <f aca="false">IF($G40="","Uncategorized — Review",IFERROR(INDEX(Mapping!$B:$B,MATCH($G40,Mapping!$A:$A,0)),"Uncategorized — Review"))</f>
        <v>Personal - Subscriptions</v>
      </c>
      <c r="J40" s="0" t="str">
        <f aca="false">IF($G40="","Uncategorized — Review",IFERROR(INDEX(Mapping!$C:$C,MATCH($G40,Mapping!$A:$A,0)),"Uncategorized — Review"))</f>
        <v>Personal — Owner</v>
      </c>
    </row>
    <row r="41" customFormat="false" ht="15" hidden="false" customHeight="false" outlineLevel="0" collapsed="false">
      <c r="A41" s="0" t="str">
        <f aca="false">2025_DWG_Activity!A41</f>
        <v>DEBIT</v>
      </c>
      <c r="B41" s="15" t="n">
        <f aca="false">2025_DWG_Activity!B41</f>
        <v>46006</v>
      </c>
      <c r="C41" s="0" t="str">
        <f aca="false">2025_DWG_Activity!C41</f>
        <v>DNH*GODADDY 480-505-8855 AZ                  12/14</v>
      </c>
      <c r="D41" s="7" t="n">
        <f aca="false">2025_DWG_Activity!D41</f>
        <v>-30.97</v>
      </c>
      <c r="E41" s="0" t="str">
        <f aca="false">2025_DWG_Activity!E41</f>
        <v>DEBIT_CARD</v>
      </c>
      <c r="F41" s="7" t="n">
        <f aca="false">2025_DWG_Activity!F41</f>
        <v>316.25</v>
      </c>
      <c r="G41" s="0" t="str">
        <f aca="false">2025_DWG_Activity!G41</f>
        <v>Go Daddy</v>
      </c>
      <c r="H41" s="16" t="n">
        <f aca="false">IF($B41="","",DATE(YEAR($B41),MONTH($B41),1))</f>
        <v>45992</v>
      </c>
      <c r="I41" s="0" t="str">
        <f aca="false">IF($G41="","Uncategorized — Review",IFERROR(INDEX(Mapping!$B:$B,MATCH($G41,Mapping!$A:$A,0)),"Uncategorized — Review"))</f>
        <v>Go Daddy</v>
      </c>
      <c r="J41" s="0" t="str">
        <f aca="false">IF($G41="","Uncategorized — Review",IFERROR(INDEX(Mapping!$C:$C,MATCH($G41,Mapping!$A:$A,0)),"Uncategorized — Review"))</f>
        <v>DWG Operating</v>
      </c>
    </row>
    <row r="42" customFormat="false" ht="15" hidden="false" customHeight="false" outlineLevel="0" collapsed="false">
      <c r="A42" s="0" t="str">
        <f aca="false">2025_DWG_Activity!A42</f>
        <v>DEBIT</v>
      </c>
      <c r="B42" s="15" t="n">
        <f aca="false">2025_DWG_Activity!B42</f>
        <v>46006</v>
      </c>
      <c r="C42" s="0" t="str">
        <f aca="false">2025_DWG_Activity!C42</f>
        <v>PP*APPLE.COM/BILL 800-275-2273 CA            12/14</v>
      </c>
      <c r="D42" s="7" t="n">
        <f aca="false">2025_DWG_Activity!D42</f>
        <v>-10.99</v>
      </c>
      <c r="E42" s="0" t="str">
        <f aca="false">2025_DWG_Activity!E42</f>
        <v>DEBIT_CARD</v>
      </c>
      <c r="F42" s="7" t="n">
        <f aca="false">2025_DWG_Activity!F42</f>
        <v>347.22</v>
      </c>
      <c r="G42" s="0" t="str">
        <f aca="false">2025_DWG_Activity!G42</f>
        <v>Personal - Subscriptions</v>
      </c>
      <c r="H42" s="16" t="n">
        <f aca="false">IF($B42="","",DATE(YEAR($B42),MONTH($B42),1))</f>
        <v>45992</v>
      </c>
      <c r="I42" s="0" t="str">
        <f aca="false">IF($G42="","Uncategorized — Review",IFERROR(INDEX(Mapping!$B:$B,MATCH($G42,Mapping!$A:$A,0)),"Uncategorized — Review"))</f>
        <v>Personal - Subscriptions</v>
      </c>
      <c r="J42" s="0" t="str">
        <f aca="false">IF($G42="","Uncategorized — Review",IFERROR(INDEX(Mapping!$C:$C,MATCH($G42,Mapping!$A:$A,0)),"Uncategorized — Review"))</f>
        <v>Personal — Owner</v>
      </c>
    </row>
    <row r="43" customFormat="false" ht="15" hidden="false" customHeight="false" outlineLevel="0" collapsed="false">
      <c r="A43" s="0" t="str">
        <f aca="false">2025_DWG_Activity!A43</f>
        <v>DEBIT</v>
      </c>
      <c r="B43" s="15" t="n">
        <f aca="false">2025_DWG_Activity!B43</f>
        <v>46006</v>
      </c>
      <c r="C43" s="0" t="str">
        <f aca="false">2025_DWG_Activity!C43</f>
        <v>DNH*GODADDY 480-505-8855 AZ                  12/13</v>
      </c>
      <c r="D43" s="7" t="n">
        <f aca="false">2025_DWG_Activity!D43</f>
        <v>-46.95</v>
      </c>
      <c r="E43" s="0" t="str">
        <f aca="false">2025_DWG_Activity!E43</f>
        <v>DEBIT_CARD</v>
      </c>
      <c r="F43" s="7" t="n">
        <f aca="false">2025_DWG_Activity!F43</f>
        <v>358.21</v>
      </c>
      <c r="G43" s="0" t="str">
        <f aca="false">2025_DWG_Activity!G43</f>
        <v>Go Daddy</v>
      </c>
      <c r="H43" s="16" t="n">
        <f aca="false">IF($B43="","",DATE(YEAR($B43),MONTH($B43),1))</f>
        <v>45992</v>
      </c>
      <c r="I43" s="0" t="str">
        <f aca="false">IF($G43="","Uncategorized — Review",IFERROR(INDEX(Mapping!$B:$B,MATCH($G43,Mapping!$A:$A,0)),"Uncategorized — Review"))</f>
        <v>Go Daddy</v>
      </c>
      <c r="J43" s="0" t="str">
        <f aca="false">IF($G43="","Uncategorized — Review",IFERROR(INDEX(Mapping!$C:$C,MATCH($G43,Mapping!$A:$A,0)),"Uncategorized — Review"))</f>
        <v>DWG Operating</v>
      </c>
    </row>
    <row r="44" customFormat="false" ht="15" hidden="false" customHeight="false" outlineLevel="0" collapsed="false">
      <c r="A44" s="0" t="str">
        <f aca="false">2025_DWG_Activity!A44</f>
        <v>DEBIT</v>
      </c>
      <c r="B44" s="15" t="n">
        <f aca="false">2025_DWG_Activity!B44</f>
        <v>46006</v>
      </c>
      <c r="C44" s="0" t="str">
        <f aca="false">2025_DWG_Activity!C44</f>
        <v>PP*APPLE.COM/BILL 800-275-2273 CA            12/13</v>
      </c>
      <c r="D44" s="7" t="n">
        <f aca="false">2025_DWG_Activity!D44</f>
        <v>-17.99</v>
      </c>
      <c r="E44" s="0" t="str">
        <f aca="false">2025_DWG_Activity!E44</f>
        <v>DEBIT_CARD</v>
      </c>
      <c r="F44" s="7" t="n">
        <f aca="false">2025_DWG_Activity!F44</f>
        <v>405.16</v>
      </c>
      <c r="G44" s="0" t="str">
        <f aca="false">2025_DWG_Activity!G44</f>
        <v>Personal - Subscriptions</v>
      </c>
      <c r="H44" s="16" t="n">
        <f aca="false">IF($B44="","",DATE(YEAR($B44),MONTH($B44),1))</f>
        <v>45992</v>
      </c>
      <c r="I44" s="0" t="str">
        <f aca="false">IF($G44="","Uncategorized — Review",IFERROR(INDEX(Mapping!$B:$B,MATCH($G44,Mapping!$A:$A,0)),"Uncategorized — Review"))</f>
        <v>Personal - Subscriptions</v>
      </c>
      <c r="J44" s="0" t="str">
        <f aca="false">IF($G44="","Uncategorized — Review",IFERROR(INDEX(Mapping!$C:$C,MATCH($G44,Mapping!$A:$A,0)),"Uncategorized — Review"))</f>
        <v>Personal — Owner</v>
      </c>
    </row>
    <row r="45" customFormat="false" ht="15" hidden="false" customHeight="false" outlineLevel="0" collapsed="false">
      <c r="A45" s="0" t="str">
        <f aca="false">2025_DWG_Activity!A45</f>
        <v>DEBIT</v>
      </c>
      <c r="B45" s="15" t="n">
        <f aca="false">2025_DWG_Activity!B45</f>
        <v>46006</v>
      </c>
      <c r="C45" s="0" t="str">
        <f aca="false">2025_DWG_Activity!C45</f>
        <v>PAYPAL *GRUBHUBFOOD L 877-585-7878 IL        12/14</v>
      </c>
      <c r="D45" s="7" t="n">
        <f aca="false">2025_DWG_Activity!D45</f>
        <v>-78.3</v>
      </c>
      <c r="E45" s="0" t="str">
        <f aca="false">2025_DWG_Activity!E45</f>
        <v>DEBIT_CARD</v>
      </c>
      <c r="F45" s="7" t="n">
        <f aca="false">2025_DWG_Activity!F45</f>
        <v>423.15</v>
      </c>
      <c r="G45" s="0" t="str">
        <f aca="false">2025_DWG_Activity!G45</f>
        <v>Personal - Food</v>
      </c>
      <c r="H45" s="16" t="n">
        <f aca="false">IF($B45="","",DATE(YEAR($B45),MONTH($B45),1))</f>
        <v>45992</v>
      </c>
      <c r="I45" s="0" t="str">
        <f aca="false">IF($G45="","Uncategorized — Review",IFERROR(INDEX(Mapping!$B:$B,MATCH($G45,Mapping!$A:$A,0)),"Uncategorized — Review"))</f>
        <v>Personal - Food</v>
      </c>
      <c r="J45" s="0" t="str">
        <f aca="false">IF($G45="","Uncategorized — Review",IFERROR(INDEX(Mapping!$C:$C,MATCH($G45,Mapping!$A:$A,0)),"Uncategorized — Review"))</f>
        <v>Personal — Owner</v>
      </c>
    </row>
    <row r="46" customFormat="false" ht="15" hidden="false" customHeight="false" outlineLevel="0" collapsed="false">
      <c r="A46" s="0" t="str">
        <f aca="false">2025_DWG_Activity!A46</f>
        <v>DEBIT</v>
      </c>
      <c r="B46" s="15" t="n">
        <f aca="false">2025_DWG_Activity!B46</f>
        <v>46006</v>
      </c>
      <c r="C46" s="0" t="str">
        <f aca="false">2025_DWG_Activity!C46</f>
        <v>PAYPAL *HULU 877-801-5441 CA                 12/13</v>
      </c>
      <c r="D46" s="7" t="n">
        <f aca="false">2025_DWG_Activity!D46</f>
        <v>-18.99</v>
      </c>
      <c r="E46" s="0" t="str">
        <f aca="false">2025_DWG_Activity!E46</f>
        <v>DEBIT_CARD</v>
      </c>
      <c r="F46" s="7" t="n">
        <f aca="false">2025_DWG_Activity!F46</f>
        <v>501.45</v>
      </c>
      <c r="G46" s="0" t="str">
        <f aca="false">2025_DWG_Activity!G46</f>
        <v>Personal - Subscriptions</v>
      </c>
      <c r="H46" s="16" t="n">
        <f aca="false">IF($B46="","",DATE(YEAR($B46),MONTH($B46),1))</f>
        <v>45992</v>
      </c>
      <c r="I46" s="0" t="str">
        <f aca="false">IF($G46="","Uncategorized — Review",IFERROR(INDEX(Mapping!$B:$B,MATCH($G46,Mapping!$A:$A,0)),"Uncategorized — Review"))</f>
        <v>Personal - Subscriptions</v>
      </c>
      <c r="J46" s="0" t="str">
        <f aca="false">IF($G46="","Uncategorized — Review",IFERROR(INDEX(Mapping!$C:$C,MATCH($G46,Mapping!$A:$A,0)),"Uncategorized — Review"))</f>
        <v>Personal — Owner</v>
      </c>
    </row>
    <row r="47" customFormat="false" ht="15" hidden="false" customHeight="false" outlineLevel="0" collapsed="false">
      <c r="A47" s="0" t="str">
        <f aca="false">2025_DWG_Activity!A47</f>
        <v>DEBIT</v>
      </c>
      <c r="B47" s="15" t="n">
        <f aca="false">2025_DWG_Activity!B47</f>
        <v>46006</v>
      </c>
      <c r="C47" s="0" t="str">
        <f aca="false">2025_DWG_Activity!C47</f>
        <v>UA INFLT    01643531237 HOUSTON TX           12/12</v>
      </c>
      <c r="D47" s="7" t="n">
        <f aca="false">2025_DWG_Activity!D47</f>
        <v>-10</v>
      </c>
      <c r="E47" s="0" t="str">
        <f aca="false">2025_DWG_Activity!E47</f>
        <v>DEBIT_CARD</v>
      </c>
      <c r="F47" s="7" t="n">
        <f aca="false">2025_DWG_Activity!F47</f>
        <v>520.44</v>
      </c>
      <c r="G47" s="0" t="str">
        <f aca="false">2025_DWG_Activity!G47</f>
        <v>Personal - Travel</v>
      </c>
      <c r="H47" s="16" t="n">
        <f aca="false">IF($B47="","",DATE(YEAR($B47),MONTH($B47),1))</f>
        <v>45992</v>
      </c>
      <c r="I47" s="0" t="str">
        <f aca="false">IF($G47="","Uncategorized — Review",IFERROR(INDEX(Mapping!$B:$B,MATCH($G47,Mapping!$A:$A,0)),"Uncategorized — Review"))</f>
        <v>Personal - Travel</v>
      </c>
      <c r="J47" s="0" t="str">
        <f aca="false">IF($G47="","Uncategorized — Review",IFERROR(INDEX(Mapping!$C:$C,MATCH($G47,Mapping!$A:$A,0)),"Uncategorized — Review"))</f>
        <v>Personal — Owner</v>
      </c>
    </row>
    <row r="48" customFormat="false" ht="15" hidden="false" customHeight="false" outlineLevel="0" collapsed="false">
      <c r="A48" s="0" t="str">
        <f aca="false">2025_DWG_Activity!A48</f>
        <v>DEBIT</v>
      </c>
      <c r="B48" s="15" t="n">
        <f aca="false">2025_DWG_Activity!B48</f>
        <v>46006</v>
      </c>
      <c r="C48" s="0" t="str">
        <f aca="false">2025_DWG_Activity!C48</f>
        <v>ADOBE  *800-833-6687 ADOBE.LY/ENUS CA        12/13</v>
      </c>
      <c r="D48" s="7" t="n">
        <f aca="false">2025_DWG_Activity!D48</f>
        <v>-21.64</v>
      </c>
      <c r="E48" s="0" t="str">
        <f aca="false">2025_DWG_Activity!E48</f>
        <v>DEBIT_CARD</v>
      </c>
      <c r="F48" s="7" t="n">
        <f aca="false">2025_DWG_Activity!F48</f>
        <v>530.44</v>
      </c>
      <c r="G48" s="0" t="str">
        <f aca="false">2025_DWG_Activity!G48</f>
        <v>Personal - Subscriptions</v>
      </c>
      <c r="H48" s="16" t="n">
        <f aca="false">IF($B48="","",DATE(YEAR($B48),MONTH($B48),1))</f>
        <v>45992</v>
      </c>
      <c r="I48" s="0" t="str">
        <f aca="false">IF($G48="","Uncategorized — Review",IFERROR(INDEX(Mapping!$B:$B,MATCH($G48,Mapping!$A:$A,0)),"Uncategorized — Review"))</f>
        <v>Personal - Subscriptions</v>
      </c>
      <c r="J48" s="0" t="str">
        <f aca="false">IF($G48="","Uncategorized — Review",IFERROR(INDEX(Mapping!$C:$C,MATCH($G48,Mapping!$A:$A,0)),"Uncategorized — Review"))</f>
        <v>Personal — Owner</v>
      </c>
    </row>
    <row r="49" customFormat="false" ht="15" hidden="false" customHeight="false" outlineLevel="0" collapsed="false">
      <c r="A49" s="0" t="str">
        <f aca="false">2025_DWG_Activity!A49</f>
        <v>DEBIT</v>
      </c>
      <c r="B49" s="15" t="n">
        <f aca="false">2025_DWG_Activity!B49</f>
        <v>46003</v>
      </c>
      <c r="C49" s="0" t="str">
        <f aca="false">2025_DWG_Activity!C49</f>
        <v>Basic Online Payroll Payment 11197484640 to ########6812</v>
      </c>
      <c r="D49" s="7" t="n">
        <f aca="false">2025_DWG_Activity!D49</f>
        <v>-5000</v>
      </c>
      <c r="E49" s="0" t="str">
        <f aca="false">2025_DWG_Activity!E49</f>
        <v>BASIC_PAYROLL</v>
      </c>
      <c r="F49" s="7" t="n">
        <f aca="false">2025_DWG_Activity!F49</f>
        <v>552.08</v>
      </c>
      <c r="G49" s="0" t="str">
        <f aca="false">2025_DWG_Activity!G49</f>
        <v>Meg Maran - Payroll</v>
      </c>
      <c r="H49" s="16" t="n">
        <f aca="false">IF($B49="","",DATE(YEAR($B49),MONTH($B49),1))</f>
        <v>45992</v>
      </c>
      <c r="I49" s="0" t="str">
        <f aca="false">IF($G49="","Uncategorized — Review",IFERROR(INDEX(Mapping!$B:$B,MATCH($G49,Mapping!$A:$A,0)),"Uncategorized — Review"))</f>
        <v>Meg Maran - Payroll</v>
      </c>
      <c r="J49" s="0" t="str">
        <f aca="false">IF($G49="","Uncategorized — Review",IFERROR(INDEX(Mapping!$C:$C,MATCH($G49,Mapping!$A:$A,0)),"Uncategorized — Review"))</f>
        <v>Payroll &amp; Contractors</v>
      </c>
    </row>
    <row r="50" customFormat="false" ht="15" hidden="false" customHeight="false" outlineLevel="0" collapsed="false">
      <c r="A50" s="0" t="str">
        <f aca="false">2025_DWG_Activity!A50</f>
        <v>DEBIT</v>
      </c>
      <c r="B50" s="15" t="n">
        <f aca="false">2025_DWG_Activity!B50</f>
        <v>46003</v>
      </c>
      <c r="C50" s="0" t="str">
        <f aca="false">2025_DWG_Activity!C50</f>
        <v>PP*SPOTIFY*P3D56651A5 203-318-9708 NY        12/12</v>
      </c>
      <c r="D50" s="7" t="n">
        <f aca="false">2025_DWG_Activity!D50</f>
        <v>-11.99</v>
      </c>
      <c r="E50" s="0" t="str">
        <f aca="false">2025_DWG_Activity!E50</f>
        <v>DEBIT_CARD</v>
      </c>
      <c r="F50" s="7" t="n">
        <f aca="false">2025_DWG_Activity!F50</f>
        <v>5552.08</v>
      </c>
      <c r="G50" s="0" t="str">
        <f aca="false">2025_DWG_Activity!G50</f>
        <v>Personal - Subscriptions</v>
      </c>
      <c r="H50" s="16" t="n">
        <f aca="false">IF($B50="","",DATE(YEAR($B50),MONTH($B50),1))</f>
        <v>45992</v>
      </c>
      <c r="I50" s="0" t="str">
        <f aca="false">IF($G50="","Uncategorized — Review",IFERROR(INDEX(Mapping!$B:$B,MATCH($G50,Mapping!$A:$A,0)),"Uncategorized — Review"))</f>
        <v>Personal - Subscriptions</v>
      </c>
      <c r="J50" s="0" t="str">
        <f aca="false">IF($G50="","Uncategorized — Review",IFERROR(INDEX(Mapping!$C:$C,MATCH($G50,Mapping!$A:$A,0)),"Uncategorized — Review"))</f>
        <v>Personal — Owner</v>
      </c>
    </row>
    <row r="51" customFormat="false" ht="15" hidden="false" customHeight="false" outlineLevel="0" collapsed="false">
      <c r="A51" s="0" t="str">
        <f aca="false">2025_DWG_Activity!A51</f>
        <v>DEBIT</v>
      </c>
      <c r="B51" s="15" t="n">
        <f aca="false">2025_DWG_Activity!B51</f>
        <v>46003</v>
      </c>
      <c r="C51" s="0" t="str">
        <f aca="false">2025_DWG_Activity!C51</f>
        <v>DNH*GODADDY 480-505-8855 AZ                  12/11</v>
      </c>
      <c r="D51" s="7" t="n">
        <f aca="false">2025_DWG_Activity!D51</f>
        <v>-21.98</v>
      </c>
      <c r="E51" s="0" t="str">
        <f aca="false">2025_DWG_Activity!E51</f>
        <v>DEBIT_CARD</v>
      </c>
      <c r="F51" s="7" t="n">
        <f aca="false">2025_DWG_Activity!F51</f>
        <v>5564.07</v>
      </c>
      <c r="G51" s="0" t="str">
        <f aca="false">2025_DWG_Activity!G51</f>
        <v>Go Daddy</v>
      </c>
      <c r="H51" s="16" t="n">
        <f aca="false">IF($B51="","",DATE(YEAR($B51),MONTH($B51),1))</f>
        <v>45992</v>
      </c>
      <c r="I51" s="0" t="str">
        <f aca="false">IF($G51="","Uncategorized — Review",IFERROR(INDEX(Mapping!$B:$B,MATCH($G51,Mapping!$A:$A,0)),"Uncategorized — Review"))</f>
        <v>Go Daddy</v>
      </c>
      <c r="J51" s="0" t="str">
        <f aca="false">IF($G51="","Uncategorized — Review",IFERROR(INDEX(Mapping!$C:$C,MATCH($G51,Mapping!$A:$A,0)),"Uncategorized — Review"))</f>
        <v>DWG Operating</v>
      </c>
    </row>
    <row r="52" customFormat="false" ht="15" hidden="false" customHeight="false" outlineLevel="0" collapsed="false">
      <c r="A52" s="0" t="str">
        <f aca="false">2025_DWG_Activity!A52</f>
        <v>CREDIT</v>
      </c>
      <c r="B52" s="15" t="n">
        <f aca="false">2025_DWG_Activity!B52</f>
        <v>46003</v>
      </c>
      <c r="C52" s="0" t="str">
        <f aca="false">2025_DWG_Activity!C52</f>
        <v>Online Transfer from CHK ...9335 transaction#: 27302563714</v>
      </c>
      <c r="D52" s="7" t="n">
        <f aca="false">2025_DWG_Activity!D52</f>
        <v>5000</v>
      </c>
      <c r="E52" s="0" t="str">
        <f aca="false">2025_DWG_Activity!E52</f>
        <v>ACCT_XFER</v>
      </c>
      <c r="F52" s="7" t="n">
        <f aca="false">2025_DWG_Activity!F52</f>
        <v>5586.05</v>
      </c>
      <c r="G52" s="0" t="str">
        <f aca="false">2025_DWG_Activity!G52</f>
        <v>Transfer from Poseidon Asset Group</v>
      </c>
      <c r="H52" s="16" t="n">
        <f aca="false">IF($B52="","",DATE(YEAR($B52),MONTH($B52),1))</f>
        <v>45992</v>
      </c>
      <c r="I52" s="0" t="str">
        <f aca="false">IF($G52="","Uncategorized — Review",IFERROR(INDEX(Mapping!$B:$B,MATCH($G52,Mapping!$A:$A,0)),"Uncategorized — Review"))</f>
        <v>Transfer from Poseidon Asset Group</v>
      </c>
      <c r="J52" s="0" t="str">
        <f aca="false">IF($G52="","Uncategorized — Review",IFERROR(INDEX(Mapping!$C:$C,MATCH($G52,Mapping!$A:$A,0)),"Uncategorized — Review"))</f>
        <v>Intercompany &amp; Savings Transfers</v>
      </c>
    </row>
    <row r="53" customFormat="false" ht="15" hidden="false" customHeight="false" outlineLevel="0" collapsed="false">
      <c r="A53" s="0" t="str">
        <f aca="false">2025_DWG_Activity!A53</f>
        <v>DEBIT</v>
      </c>
      <c r="B53" s="15" t="n">
        <f aca="false">2025_DWG_Activity!B53</f>
        <v>46001</v>
      </c>
      <c r="C53" s="0" t="str">
        <f aca="false">2025_DWG_Activity!C53</f>
        <v>PAYPAL *LANDSENDINC 800-963-4816 WI          12/09</v>
      </c>
      <c r="D53" s="7" t="n">
        <f aca="false">2025_DWG_Activity!D53</f>
        <v>-30.29</v>
      </c>
      <c r="E53" s="0" t="str">
        <f aca="false">2025_DWG_Activity!E53</f>
        <v>DEBIT_CARD</v>
      </c>
      <c r="F53" s="7" t="n">
        <f aca="false">2025_DWG_Activity!F53</f>
        <v>586.05</v>
      </c>
      <c r="G53" s="0" t="str">
        <f aca="false">2025_DWG_Activity!G53</f>
        <v>Personal - Clothing</v>
      </c>
      <c r="H53" s="16" t="n">
        <f aca="false">IF($B53="","",DATE(YEAR($B53),MONTH($B53),1))</f>
        <v>45992</v>
      </c>
      <c r="I53" s="0" t="str">
        <f aca="false">IF($G53="","Uncategorized — Review",IFERROR(INDEX(Mapping!$B:$B,MATCH($G53,Mapping!$A:$A,0)),"Uncategorized — Review"))</f>
        <v>Personal - Clothing</v>
      </c>
      <c r="J53" s="0" t="str">
        <f aca="false">IF($G53="","Uncategorized — Review",IFERROR(INDEX(Mapping!$C:$C,MATCH($G53,Mapping!$A:$A,0)),"Uncategorized — Review"))</f>
        <v>Personal — Owner</v>
      </c>
    </row>
    <row r="54" customFormat="false" ht="15" hidden="false" customHeight="false" outlineLevel="0" collapsed="false">
      <c r="A54" s="0" t="str">
        <f aca="false">2025_DWG_Activity!A54</f>
        <v>DEBIT</v>
      </c>
      <c r="B54" s="15" t="n">
        <f aca="false">2025_DWG_Activity!B54</f>
        <v>46001</v>
      </c>
      <c r="C54" s="0" t="str">
        <f aca="false">2025_DWG_Activity!C54</f>
        <v>ADOBE  *800-833-6687 ADOBE.LY/ENUS CA        12/10</v>
      </c>
      <c r="D54" s="7" t="n">
        <f aca="false">2025_DWG_Activity!D54</f>
        <v>-37.34</v>
      </c>
      <c r="E54" s="0" t="str">
        <f aca="false">2025_DWG_Activity!E54</f>
        <v>DEBIT_CARD</v>
      </c>
      <c r="F54" s="7" t="n">
        <f aca="false">2025_DWG_Activity!F54</f>
        <v>616.34</v>
      </c>
      <c r="G54" s="0" t="str">
        <f aca="false">2025_DWG_Activity!G54</f>
        <v>Personal - Subscriptions</v>
      </c>
      <c r="H54" s="16" t="n">
        <f aca="false">IF($B54="","",DATE(YEAR($B54),MONTH($B54),1))</f>
        <v>45992</v>
      </c>
      <c r="I54" s="0" t="str">
        <f aca="false">IF($G54="","Uncategorized — Review",IFERROR(INDEX(Mapping!$B:$B,MATCH($G54,Mapping!$A:$A,0)),"Uncategorized — Review"))</f>
        <v>Personal - Subscriptions</v>
      </c>
      <c r="J54" s="0" t="str">
        <f aca="false">IF($G54="","Uncategorized — Review",IFERROR(INDEX(Mapping!$C:$C,MATCH($G54,Mapping!$A:$A,0)),"Uncategorized — Review"))</f>
        <v>Personal — Owner</v>
      </c>
    </row>
    <row r="55" customFormat="false" ht="15" hidden="false" customHeight="false" outlineLevel="0" collapsed="false">
      <c r="A55" s="0" t="str">
        <f aca="false">2025_DWG_Activity!A55</f>
        <v>DEBIT</v>
      </c>
      <c r="B55" s="15" t="n">
        <f aca="false">2025_DWG_Activity!B55</f>
        <v>46001</v>
      </c>
      <c r="C55" s="0" t="str">
        <f aca="false">2025_DWG_Activity!C55</f>
        <v>PP*APPLE.COM/BILL 800-275-2273 CA            12/09</v>
      </c>
      <c r="D55" s="7" t="n">
        <f aca="false">2025_DWG_Activity!D55</f>
        <v>-11.99</v>
      </c>
      <c r="E55" s="0" t="str">
        <f aca="false">2025_DWG_Activity!E55</f>
        <v>DEBIT_CARD</v>
      </c>
      <c r="F55" s="7" t="n">
        <f aca="false">2025_DWG_Activity!F55</f>
        <v>653.68</v>
      </c>
      <c r="G55" s="0" t="str">
        <f aca="false">2025_DWG_Activity!G55</f>
        <v>Personal - Subscriptions</v>
      </c>
      <c r="H55" s="16" t="n">
        <f aca="false">IF($B55="","",DATE(YEAR($B55),MONTH($B55),1))</f>
        <v>45992</v>
      </c>
      <c r="I55" s="0" t="str">
        <f aca="false">IF($G55="","Uncategorized — Review",IFERROR(INDEX(Mapping!$B:$B,MATCH($G55,Mapping!$A:$A,0)),"Uncategorized — Review"))</f>
        <v>Personal - Subscriptions</v>
      </c>
      <c r="J55" s="0" t="str">
        <f aca="false">IF($G55="","Uncategorized — Review",IFERROR(INDEX(Mapping!$C:$C,MATCH($G55,Mapping!$A:$A,0)),"Uncategorized — Review"))</f>
        <v>Personal — Owner</v>
      </c>
    </row>
    <row r="56" customFormat="false" ht="15" hidden="false" customHeight="false" outlineLevel="0" collapsed="false">
      <c r="A56" s="0" t="str">
        <f aca="false">2025_DWG_Activity!A56</f>
        <v>DEBIT</v>
      </c>
      <c r="B56" s="15" t="n">
        <f aca="false">2025_DWG_Activity!B56</f>
        <v>46000</v>
      </c>
      <c r="C56" s="0" t="str">
        <f aca="false">2025_DWG_Activity!C56</f>
        <v>PAYPAL *LINKEDIN 402-935-7733 CA             12/08</v>
      </c>
      <c r="D56" s="7" t="n">
        <f aca="false">2025_DWG_Activity!D56</f>
        <v>-529</v>
      </c>
      <c r="E56" s="0" t="str">
        <f aca="false">2025_DWG_Activity!E56</f>
        <v>DEBIT_CARD</v>
      </c>
      <c r="F56" s="7" t="n">
        <f aca="false">2025_DWG_Activity!F56</f>
        <v>665.67</v>
      </c>
      <c r="G56" s="0" t="str">
        <f aca="false">2025_DWG_Activity!G56</f>
        <v>DWG HR</v>
      </c>
      <c r="H56" s="16" t="n">
        <f aca="false">IF($B56="","",DATE(YEAR($B56),MONTH($B56),1))</f>
        <v>45992</v>
      </c>
      <c r="I56" s="0" t="str">
        <f aca="false">IF($G56="","Uncategorized — Review",IFERROR(INDEX(Mapping!$B:$B,MATCH($G56,Mapping!$A:$A,0)),"Uncategorized — Review"))</f>
        <v>DWG HR</v>
      </c>
      <c r="J56" s="0" t="str">
        <f aca="false">IF($G56="","Uncategorized — Review",IFERROR(INDEX(Mapping!$C:$C,MATCH($G56,Mapping!$A:$A,0)),"Uncategorized — Review"))</f>
        <v>DWG Operating</v>
      </c>
    </row>
    <row r="57" customFormat="false" ht="15" hidden="false" customHeight="false" outlineLevel="0" collapsed="false">
      <c r="A57" s="0" t="str">
        <f aca="false">2025_DWG_Activity!A57</f>
        <v>DEBIT</v>
      </c>
      <c r="B57" s="15" t="n">
        <f aca="false">2025_DWG_Activity!B57</f>
        <v>46000</v>
      </c>
      <c r="C57" s="0" t="str">
        <f aca="false">2025_DWG_Activity!C57</f>
        <v>PAYPAL *LANDSENDINC 800-963-4816 WI          12/08</v>
      </c>
      <c r="D57" s="7" t="n">
        <f aca="false">2025_DWG_Activity!D57</f>
        <v>-82.78</v>
      </c>
      <c r="E57" s="0" t="str">
        <f aca="false">2025_DWG_Activity!E57</f>
        <v>DEBIT_CARD</v>
      </c>
      <c r="F57" s="7" t="n">
        <f aca="false">2025_DWG_Activity!F57</f>
        <v>1194.67</v>
      </c>
      <c r="G57" s="0" t="str">
        <f aca="false">2025_DWG_Activity!G57</f>
        <v>Personal - Clothing</v>
      </c>
      <c r="H57" s="16" t="n">
        <f aca="false">IF($B57="","",DATE(YEAR($B57),MONTH($B57),1))</f>
        <v>45992</v>
      </c>
      <c r="I57" s="0" t="str">
        <f aca="false">IF($G57="","Uncategorized — Review",IFERROR(INDEX(Mapping!$B:$B,MATCH($G57,Mapping!$A:$A,0)),"Uncategorized — Review"))</f>
        <v>Personal - Clothing</v>
      </c>
      <c r="J57" s="0" t="str">
        <f aca="false">IF($G57="","Uncategorized — Review",IFERROR(INDEX(Mapping!$C:$C,MATCH($G57,Mapping!$A:$A,0)),"Uncategorized — Review"))</f>
        <v>Personal — Owner</v>
      </c>
    </row>
    <row r="58" customFormat="false" ht="15" hidden="false" customHeight="false" outlineLevel="0" collapsed="false">
      <c r="A58" s="0" t="str">
        <f aca="false">2025_DWG_Activity!A58</f>
        <v>DEBIT</v>
      </c>
      <c r="B58" s="15" t="n">
        <f aca="false">2025_DWG_Activity!B58</f>
        <v>45999</v>
      </c>
      <c r="C58" s="0" t="str">
        <f aca="false">2025_DWG_Activity!C58</f>
        <v>PP*APPLE.COM/BILL 800-275-2273 CA            12/08</v>
      </c>
      <c r="D58" s="7" t="n">
        <f aca="false">2025_DWG_Activity!D58</f>
        <v>-8.99</v>
      </c>
      <c r="E58" s="0" t="str">
        <f aca="false">2025_DWG_Activity!E58</f>
        <v>DEBIT_CARD</v>
      </c>
      <c r="F58" s="7" t="n">
        <f aca="false">2025_DWG_Activity!F58</f>
        <v>1277.45</v>
      </c>
      <c r="G58" s="0" t="str">
        <f aca="false">2025_DWG_Activity!G58</f>
        <v>Personal - Subscriptions</v>
      </c>
      <c r="H58" s="16" t="n">
        <f aca="false">IF($B58="","",DATE(YEAR($B58),MONTH($B58),1))</f>
        <v>45992</v>
      </c>
      <c r="I58" s="0" t="str">
        <f aca="false">IF($G58="","Uncategorized — Review",IFERROR(INDEX(Mapping!$B:$B,MATCH($G58,Mapping!$A:$A,0)),"Uncategorized — Review"))</f>
        <v>Personal - Subscriptions</v>
      </c>
      <c r="J58" s="0" t="str">
        <f aca="false">IF($G58="","Uncategorized — Review",IFERROR(INDEX(Mapping!$C:$C,MATCH($G58,Mapping!$A:$A,0)),"Uncategorized — Review"))</f>
        <v>Personal — Owner</v>
      </c>
    </row>
    <row r="59" customFormat="false" ht="15" hidden="false" customHeight="false" outlineLevel="0" collapsed="false">
      <c r="A59" s="0" t="str">
        <f aca="false">2025_DWG_Activity!A59</f>
        <v>DEBIT</v>
      </c>
      <c r="B59" s="15" t="n">
        <f aca="false">2025_DWG_Activity!B59</f>
        <v>45999</v>
      </c>
      <c r="C59" s="0" t="str">
        <f aca="false">2025_DWG_Activity!C59</f>
        <v>DNH*GODADDY 480-505-8855 AZ                  12/06</v>
      </c>
      <c r="D59" s="7" t="n">
        <f aca="false">2025_DWG_Activity!D59</f>
        <v>-30.97</v>
      </c>
      <c r="E59" s="0" t="str">
        <f aca="false">2025_DWG_Activity!E59</f>
        <v>DEBIT_CARD</v>
      </c>
      <c r="F59" s="7" t="n">
        <f aca="false">2025_DWG_Activity!F59</f>
        <v>1286.44</v>
      </c>
      <c r="G59" s="0" t="str">
        <f aca="false">2025_DWG_Activity!G59</f>
        <v>Go Daddy</v>
      </c>
      <c r="H59" s="16" t="n">
        <f aca="false">IF($B59="","",DATE(YEAR($B59),MONTH($B59),1))</f>
        <v>45992</v>
      </c>
      <c r="I59" s="0" t="str">
        <f aca="false">IF($G59="","Uncategorized — Review",IFERROR(INDEX(Mapping!$B:$B,MATCH($G59,Mapping!$A:$A,0)),"Uncategorized — Review"))</f>
        <v>Go Daddy</v>
      </c>
      <c r="J59" s="0" t="str">
        <f aca="false">IF($G59="","Uncategorized — Review",IFERROR(INDEX(Mapping!$C:$C,MATCH($G59,Mapping!$A:$A,0)),"Uncategorized — Review"))</f>
        <v>DWG Operating</v>
      </c>
    </row>
    <row r="60" customFormat="false" ht="15" hidden="false" customHeight="false" outlineLevel="0" collapsed="false">
      <c r="A60" s="0" t="str">
        <f aca="false">2025_DWG_Activity!A60</f>
        <v>DEBIT</v>
      </c>
      <c r="B60" s="15" t="n">
        <f aca="false">2025_DWG_Activity!B60</f>
        <v>45999</v>
      </c>
      <c r="C60" s="0" t="str">
        <f aca="false">2025_DWG_Activity!C60</f>
        <v>PP*APPLE.COM/BILL 800-275-2273 CA            12/06</v>
      </c>
      <c r="D60" s="7" t="n">
        <f aca="false">2025_DWG_Activity!D60</f>
        <v>-5</v>
      </c>
      <c r="E60" s="0" t="str">
        <f aca="false">2025_DWG_Activity!E60</f>
        <v>DEBIT_CARD</v>
      </c>
      <c r="F60" s="7" t="n">
        <f aca="false">2025_DWG_Activity!F60</f>
        <v>1317.41</v>
      </c>
      <c r="G60" s="0" t="str">
        <f aca="false">2025_DWG_Activity!G60</f>
        <v>Personal - Subscriptions</v>
      </c>
      <c r="H60" s="16" t="n">
        <f aca="false">IF($B60="","",DATE(YEAR($B60),MONTH($B60),1))</f>
        <v>45992</v>
      </c>
      <c r="I60" s="0" t="str">
        <f aca="false">IF($G60="","Uncategorized — Review",IFERROR(INDEX(Mapping!$B:$B,MATCH($G60,Mapping!$A:$A,0)),"Uncategorized — Review"))</f>
        <v>Personal - Subscriptions</v>
      </c>
      <c r="J60" s="0" t="str">
        <f aca="false">IF($G60="","Uncategorized — Review",IFERROR(INDEX(Mapping!$C:$C,MATCH($G60,Mapping!$A:$A,0)),"Uncategorized — Review"))</f>
        <v>Personal — Owner</v>
      </c>
    </row>
    <row r="61" customFormat="false" ht="15" hidden="false" customHeight="false" outlineLevel="0" collapsed="false">
      <c r="A61" s="0" t="str">
        <f aca="false">2025_DWG_Activity!A61</f>
        <v>DEBIT</v>
      </c>
      <c r="B61" s="15" t="n">
        <f aca="false">2025_DWG_Activity!B61</f>
        <v>45999</v>
      </c>
      <c r="C61" s="0" t="str">
        <f aca="false">2025_DWG_Activity!C61</f>
        <v>SQ *ALANA'S COFFEE ROA Los Angeles CA        12/05</v>
      </c>
      <c r="D61" s="7" t="n">
        <f aca="false">2025_DWG_Activity!D61</f>
        <v>-10.25</v>
      </c>
      <c r="E61" s="0" t="str">
        <f aca="false">2025_DWG_Activity!E61</f>
        <v>DEBIT_CARD</v>
      </c>
      <c r="F61" s="7" t="n">
        <f aca="false">2025_DWG_Activity!F61</f>
        <v>1322.41</v>
      </c>
      <c r="G61" s="0" t="str">
        <f aca="false">2025_DWG_Activity!G61</f>
        <v>Personal - Food</v>
      </c>
      <c r="H61" s="16" t="n">
        <f aca="false">IF($B61="","",DATE(YEAR($B61),MONTH($B61),1))</f>
        <v>45992</v>
      </c>
      <c r="I61" s="0" t="str">
        <f aca="false">IF($G61="","Uncategorized — Review",IFERROR(INDEX(Mapping!$B:$B,MATCH($G61,Mapping!$A:$A,0)),"Uncategorized — Review"))</f>
        <v>Personal - Food</v>
      </c>
      <c r="J61" s="0" t="str">
        <f aca="false">IF($G61="","Uncategorized — Review",IFERROR(INDEX(Mapping!$C:$C,MATCH($G61,Mapping!$A:$A,0)),"Uncategorized — Review"))</f>
        <v>Personal — Owner</v>
      </c>
    </row>
    <row r="62" customFormat="false" ht="15" hidden="false" customHeight="false" outlineLevel="0" collapsed="false">
      <c r="A62" s="0" t="str">
        <f aca="false">2025_DWG_Activity!A62</f>
        <v>DEBIT</v>
      </c>
      <c r="B62" s="15" t="n">
        <f aca="false">2025_DWG_Activity!B62</f>
        <v>45999</v>
      </c>
      <c r="C62" s="0" t="str">
        <f aca="false">2025_DWG_Activity!C62</f>
        <v>PP*APPLE.COM/BILL 800-275-2273 CA            12/05</v>
      </c>
      <c r="D62" s="7" t="n">
        <f aca="false">2025_DWG_Activity!D62</f>
        <v>-29.99</v>
      </c>
      <c r="E62" s="0" t="str">
        <f aca="false">2025_DWG_Activity!E62</f>
        <v>DEBIT_CARD</v>
      </c>
      <c r="F62" s="7" t="n">
        <f aca="false">2025_DWG_Activity!F62</f>
        <v>1332.66</v>
      </c>
      <c r="G62" s="0" t="str">
        <f aca="false">2025_DWG_Activity!G62</f>
        <v>Personal - Subscriptions</v>
      </c>
      <c r="H62" s="16" t="n">
        <f aca="false">IF($B62="","",DATE(YEAR($B62),MONTH($B62),1))</f>
        <v>45992</v>
      </c>
      <c r="I62" s="0" t="str">
        <f aca="false">IF($G62="","Uncategorized — Review",IFERROR(INDEX(Mapping!$B:$B,MATCH($G62,Mapping!$A:$A,0)),"Uncategorized — Review"))</f>
        <v>Personal - Subscriptions</v>
      </c>
      <c r="J62" s="0" t="str">
        <f aca="false">IF($G62="","Uncategorized — Review",IFERROR(INDEX(Mapping!$C:$C,MATCH($G62,Mapping!$A:$A,0)),"Uncategorized — Review"))</f>
        <v>Personal — Owner</v>
      </c>
    </row>
    <row r="63" customFormat="false" ht="15" hidden="false" customHeight="false" outlineLevel="0" collapsed="false">
      <c r="A63" s="0" t="str">
        <f aca="false">2025_DWG_Activity!A63</f>
        <v>CREDIT</v>
      </c>
      <c r="B63" s="15" t="n">
        <f aca="false">2025_DWG_Activity!B63</f>
        <v>45999</v>
      </c>
      <c r="C63" s="0" t="str">
        <f aca="false">2025_DWG_Activity!C63</f>
        <v>Online Transfer from CHK ...1168 transaction#: 27244098055</v>
      </c>
      <c r="D63" s="7" t="n">
        <f aca="false">2025_DWG_Activity!D63</f>
        <v>1000</v>
      </c>
      <c r="E63" s="0" t="str">
        <f aca="false">2025_DWG_Activity!E63</f>
        <v>ACCT_XFER</v>
      </c>
      <c r="F63" s="7" t="n">
        <f aca="false">2025_DWG_Activity!F63</f>
        <v>1362.65</v>
      </c>
      <c r="G63" s="0" t="str">
        <f aca="false">2025_DWG_Activity!G63</f>
        <v>Transfer from DWG Capital Group</v>
      </c>
      <c r="H63" s="16" t="n">
        <f aca="false">IF($B63="","",DATE(YEAR($B63),MONTH($B63),1))</f>
        <v>45992</v>
      </c>
      <c r="I63" s="0" t="str">
        <f aca="false">IF($G63="","Uncategorized — Review",IFERROR(INDEX(Mapping!$B:$B,MATCH($G63,Mapping!$A:$A,0)),"Uncategorized — Review"))</f>
        <v>Transfer from DWG Capital Group</v>
      </c>
      <c r="J63" s="0" t="str">
        <f aca="false">IF($G63="","Uncategorized — Review",IFERROR(INDEX(Mapping!$C:$C,MATCH($G63,Mapping!$A:$A,0)),"Uncategorized — Review"))</f>
        <v>Intercompany &amp; Savings Transfers</v>
      </c>
    </row>
    <row r="64" customFormat="false" ht="15" hidden="false" customHeight="false" outlineLevel="0" collapsed="false">
      <c r="A64" s="0" t="str">
        <f aca="false">2025_DWG_Activity!A64</f>
        <v>DEBIT</v>
      </c>
      <c r="B64" s="15" t="n">
        <f aca="false">2025_DWG_Activity!B64</f>
        <v>45996</v>
      </c>
      <c r="C64" s="0" t="str">
        <f aca="false">2025_DWG_Activity!C64</f>
        <v>DNH*GODADDY 480-505-8855 AZ                  12/04</v>
      </c>
      <c r="D64" s="7" t="n">
        <f aca="false">2025_DWG_Activity!D64</f>
        <v>-40.97</v>
      </c>
      <c r="E64" s="0" t="str">
        <f aca="false">2025_DWG_Activity!E64</f>
        <v>DEBIT_CARD</v>
      </c>
      <c r="F64" s="7" t="n">
        <f aca="false">2025_DWG_Activity!F64</f>
        <v>362.65</v>
      </c>
      <c r="G64" s="0" t="str">
        <f aca="false">2025_DWG_Activity!G64</f>
        <v>Go Daddy</v>
      </c>
      <c r="H64" s="16" t="n">
        <f aca="false">IF($B64="","",DATE(YEAR($B64),MONTH($B64),1))</f>
        <v>45992</v>
      </c>
      <c r="I64" s="0" t="str">
        <f aca="false">IF($G64="","Uncategorized — Review",IFERROR(INDEX(Mapping!$B:$B,MATCH($G64,Mapping!$A:$A,0)),"Uncategorized — Review"))</f>
        <v>Go Daddy</v>
      </c>
      <c r="J64" s="0" t="str">
        <f aca="false">IF($G64="","Uncategorized — Review",IFERROR(INDEX(Mapping!$C:$C,MATCH($G64,Mapping!$A:$A,0)),"Uncategorized — Review"))</f>
        <v>DWG Operating</v>
      </c>
    </row>
    <row r="65" customFormat="false" ht="15" hidden="false" customHeight="false" outlineLevel="0" collapsed="false">
      <c r="A65" s="0" t="str">
        <f aca="false">2025_DWG_Activity!A65</f>
        <v>DEBIT</v>
      </c>
      <c r="B65" s="15" t="n">
        <f aca="false">2025_DWG_Activity!B65</f>
        <v>45995</v>
      </c>
      <c r="C65" s="0" t="str">
        <f aca="false">2025_DWG_Activity!C65</f>
        <v>TST*BLUEYS KITCHEN MAR Los Angeles CA        12/03</v>
      </c>
      <c r="D65" s="7" t="n">
        <f aca="false">2025_DWG_Activity!D65</f>
        <v>-6.48</v>
      </c>
      <c r="E65" s="0" t="str">
        <f aca="false">2025_DWG_Activity!E65</f>
        <v>DEBIT_CARD</v>
      </c>
      <c r="F65" s="7" t="n">
        <f aca="false">2025_DWG_Activity!F65</f>
        <v>403.62</v>
      </c>
      <c r="G65" s="0" t="str">
        <f aca="false">2025_DWG_Activity!G65</f>
        <v>Personal - Food</v>
      </c>
      <c r="H65" s="16" t="n">
        <f aca="false">IF($B65="","",DATE(YEAR($B65),MONTH($B65),1))</f>
        <v>45992</v>
      </c>
      <c r="I65" s="0" t="str">
        <f aca="false">IF($G65="","Uncategorized — Review",IFERROR(INDEX(Mapping!$B:$B,MATCH($G65,Mapping!$A:$A,0)),"Uncategorized — Review"))</f>
        <v>Personal - Food</v>
      </c>
      <c r="J65" s="0" t="str">
        <f aca="false">IF($G65="","Uncategorized — Review",IFERROR(INDEX(Mapping!$C:$C,MATCH($G65,Mapping!$A:$A,0)),"Uncategorized — Review"))</f>
        <v>Personal — Owner</v>
      </c>
    </row>
    <row r="66" customFormat="false" ht="15" hidden="false" customHeight="false" outlineLevel="0" collapsed="false">
      <c r="A66" s="0" t="str">
        <f aca="false">2025_DWG_Activity!A66</f>
        <v>DEBIT</v>
      </c>
      <c r="B66" s="15" t="n">
        <f aca="false">2025_DWG_Activity!B66</f>
        <v>45995</v>
      </c>
      <c r="C66" s="0" t="str">
        <f aca="false">2025_DWG_Activity!C66</f>
        <v>TST*BLUEYS KITCHEN MAR Los Angeles CA        12/03</v>
      </c>
      <c r="D66" s="7" t="n">
        <f aca="false">2025_DWG_Activity!D66</f>
        <v>-124.86</v>
      </c>
      <c r="E66" s="0" t="str">
        <f aca="false">2025_DWG_Activity!E66</f>
        <v>DEBIT_CARD</v>
      </c>
      <c r="F66" s="7" t="n">
        <f aca="false">2025_DWG_Activity!F66</f>
        <v>410.1</v>
      </c>
      <c r="G66" s="0" t="str">
        <f aca="false">2025_DWG_Activity!G66</f>
        <v>Personal - Food</v>
      </c>
      <c r="H66" s="16" t="n">
        <f aca="false">IF($B66="","",DATE(YEAR($B66),MONTH($B66),1))</f>
        <v>45992</v>
      </c>
      <c r="I66" s="0" t="str">
        <f aca="false">IF($G66="","Uncategorized — Review",IFERROR(INDEX(Mapping!$B:$B,MATCH($G66,Mapping!$A:$A,0)),"Uncategorized — Review"))</f>
        <v>Personal - Food</v>
      </c>
      <c r="J66" s="0" t="str">
        <f aca="false">IF($G66="","Uncategorized — Review",IFERROR(INDEX(Mapping!$C:$C,MATCH($G66,Mapping!$A:$A,0)),"Uncategorized — Review"))</f>
        <v>Personal — Owner</v>
      </c>
    </row>
    <row r="67" customFormat="false" ht="15" hidden="false" customHeight="false" outlineLevel="0" collapsed="false">
      <c r="A67" s="0" t="str">
        <f aca="false">2025_DWG_Activity!A67</f>
        <v>DEBIT</v>
      </c>
      <c r="B67" s="15" t="n">
        <f aca="false">2025_DWG_Activity!B67</f>
        <v>45995</v>
      </c>
      <c r="C67" s="0" t="str">
        <f aca="false">2025_DWG_Activity!C67</f>
        <v>PAYPAL *SANDYPR COM 402-935-7733 CA          12/03</v>
      </c>
      <c r="D67" s="7" t="n">
        <f aca="false">2025_DWG_Activity!D67</f>
        <v>-300</v>
      </c>
      <c r="E67" s="0" t="str">
        <f aca="false">2025_DWG_Activity!E67</f>
        <v>DEBIT_CARD</v>
      </c>
      <c r="F67" s="7" t="n">
        <f aca="false">2025_DWG_Activity!F67</f>
        <v>534.96</v>
      </c>
      <c r="G67" s="0" t="str">
        <f aca="false">2025_DWG_Activity!G67</f>
        <v>Sandy - PR Payment</v>
      </c>
      <c r="H67" s="16" t="n">
        <f aca="false">IF($B67="","",DATE(YEAR($B67),MONTH($B67),1))</f>
        <v>45992</v>
      </c>
      <c r="I67" s="0" t="str">
        <f aca="false">IF($G67="","Uncategorized — Review",IFERROR(INDEX(Mapping!$B:$B,MATCH($G67,Mapping!$A:$A,0)),"Uncategorized — Review"))</f>
        <v>Sandy - PR Payment</v>
      </c>
      <c r="J67" s="0" t="str">
        <f aca="false">IF($G67="","Uncategorized — Review",IFERROR(INDEX(Mapping!$C:$C,MATCH($G67,Mapping!$A:$A,0)),"Uncategorized — Review"))</f>
        <v>Payroll &amp; Contractors</v>
      </c>
    </row>
    <row r="68" customFormat="false" ht="15" hidden="false" customHeight="false" outlineLevel="0" collapsed="false">
      <c r="A68" s="0" t="str">
        <f aca="false">2025_DWG_Activity!A68</f>
        <v>DEBIT</v>
      </c>
      <c r="B68" s="15" t="n">
        <f aca="false">2025_DWG_Activity!B68</f>
        <v>45994</v>
      </c>
      <c r="C68" s="0" t="str">
        <f aca="false">2025_DWG_Activity!C68</f>
        <v>COMMONLOTS LLC 213-3059621 CA                12/03</v>
      </c>
      <c r="D68" s="7" t="n">
        <f aca="false">2025_DWG_Activity!D68</f>
        <v>-357.07</v>
      </c>
      <c r="E68" s="0" t="str">
        <f aca="false">2025_DWG_Activity!E68</f>
        <v>DEBIT_CARD</v>
      </c>
      <c r="F68" s="7" t="n">
        <f aca="false">2025_DWG_Activity!F68</f>
        <v>834.96</v>
      </c>
      <c r="G68" s="0" t="str">
        <f aca="false">2025_DWG_Activity!G68</f>
        <v>Deal Specific</v>
      </c>
      <c r="H68" s="16" t="n">
        <f aca="false">IF($B68="","",DATE(YEAR($B68),MONTH($B68),1))</f>
        <v>45992</v>
      </c>
      <c r="I68" s="0" t="str">
        <f aca="false">IF($G68="","Uncategorized — Review",IFERROR(INDEX(Mapping!$B:$B,MATCH($G68,Mapping!$A:$A,0)),"Uncategorized — Review"))</f>
        <v>Deal Specific</v>
      </c>
      <c r="J68" s="0" t="str">
        <f aca="false">IF($G68="","Uncategorized — Review",IFERROR(INDEX(Mapping!$C:$C,MATCH($G68,Mapping!$A:$A,0)),"Uncategorized — Review"))</f>
        <v>Deal-Specific</v>
      </c>
    </row>
    <row r="69" customFormat="false" ht="15" hidden="false" customHeight="false" outlineLevel="0" collapsed="false">
      <c r="A69" s="0" t="str">
        <f aca="false">2025_DWG_Activity!A69</f>
        <v>CREDIT</v>
      </c>
      <c r="B69" s="15" t="n">
        <f aca="false">2025_DWG_Activity!B69</f>
        <v>45994</v>
      </c>
      <c r="C69" s="0" t="str">
        <f aca="false">2025_DWG_Activity!C69</f>
        <v>Online Transfer from CHK ...9335 transaction#: 27190267467</v>
      </c>
      <c r="D69" s="7" t="n">
        <f aca="false">2025_DWG_Activity!D69</f>
        <v>500</v>
      </c>
      <c r="E69" s="0" t="str">
        <f aca="false">2025_DWG_Activity!E69</f>
        <v>ACCT_XFER</v>
      </c>
      <c r="F69" s="7" t="n">
        <f aca="false">2025_DWG_Activity!F69</f>
        <v>1192.03</v>
      </c>
      <c r="G69" s="0" t="str">
        <f aca="false">2025_DWG_Activity!G69</f>
        <v>Transfer from Poseidon Asset Group</v>
      </c>
      <c r="H69" s="16" t="n">
        <f aca="false">IF($B69="","",DATE(YEAR($B69),MONTH($B69),1))</f>
        <v>45992</v>
      </c>
      <c r="I69" s="0" t="str">
        <f aca="false">IF($G69="","Uncategorized — Review",IFERROR(INDEX(Mapping!$B:$B,MATCH($G69,Mapping!$A:$A,0)),"Uncategorized — Review"))</f>
        <v>Transfer from Poseidon Asset Group</v>
      </c>
      <c r="J69" s="0" t="str">
        <f aca="false">IF($G69="","Uncategorized — Review",IFERROR(INDEX(Mapping!$C:$C,MATCH($G69,Mapping!$A:$A,0)),"Uncategorized — Review"))</f>
        <v>Intercompany &amp; Savings Transfers</v>
      </c>
    </row>
    <row r="70" customFormat="false" ht="15" hidden="false" customHeight="false" outlineLevel="0" collapsed="false">
      <c r="A70" s="0" t="str">
        <f aca="false">2025_DWG_Activity!A70</f>
        <v>DEBIT</v>
      </c>
      <c r="B70" s="15" t="n">
        <f aca="false">2025_DWG_Activity!B70</f>
        <v>45993</v>
      </c>
      <c r="C70" s="0" t="str">
        <f aca="false">2025_DWG_Activity!C70</f>
        <v>DNH*GODADDY 480-505-8855 AZ                  12/01</v>
      </c>
      <c r="D70" s="7" t="n">
        <f aca="false">2025_DWG_Activity!D70</f>
        <v>-21.98</v>
      </c>
      <c r="E70" s="0" t="str">
        <f aca="false">2025_DWG_Activity!E70</f>
        <v>DEBIT_CARD</v>
      </c>
      <c r="F70" s="7" t="n">
        <f aca="false">2025_DWG_Activity!F70</f>
        <v>692.03</v>
      </c>
      <c r="G70" s="0" t="str">
        <f aca="false">2025_DWG_Activity!G70</f>
        <v>Go Daddy</v>
      </c>
      <c r="H70" s="16" t="n">
        <f aca="false">IF($B70="","",DATE(YEAR($B70),MONTH($B70),1))</f>
        <v>45992</v>
      </c>
      <c r="I70" s="0" t="str">
        <f aca="false">IF($G70="","Uncategorized — Review",IFERROR(INDEX(Mapping!$B:$B,MATCH($G70,Mapping!$A:$A,0)),"Uncategorized — Review"))</f>
        <v>Go Daddy</v>
      </c>
      <c r="J70" s="0" t="str">
        <f aca="false">IF($G70="","Uncategorized — Review",IFERROR(INDEX(Mapping!$C:$C,MATCH($G70,Mapping!$A:$A,0)),"Uncategorized — Review"))</f>
        <v>DWG Operating</v>
      </c>
    </row>
    <row r="71" customFormat="false" ht="15" hidden="false" customHeight="false" outlineLevel="0" collapsed="false">
      <c r="A71" s="0" t="str">
        <f aca="false">2025_DWG_Activity!A71</f>
        <v>DEBIT</v>
      </c>
      <c r="B71" s="15" t="n">
        <f aca="false">2025_DWG_Activity!B71</f>
        <v>45993</v>
      </c>
      <c r="C71" s="0" t="str">
        <f aca="false">2025_DWG_Activity!C71</f>
        <v>JANOVER JANOVER.CARRD FL                     12/01</v>
      </c>
      <c r="D71" s="7" t="n">
        <f aca="false">2025_DWG_Activity!D71</f>
        <v>-299.5</v>
      </c>
      <c r="E71" s="0" t="str">
        <f aca="false">2025_DWG_Activity!E71</f>
        <v>DEBIT_CARD</v>
      </c>
      <c r="F71" s="7" t="n">
        <f aca="false">2025_DWG_Activity!F71</f>
        <v>714.01</v>
      </c>
      <c r="G71" s="0" t="str">
        <f aca="false">2025_DWG_Activity!G71</f>
        <v>DWG Listing Platform</v>
      </c>
      <c r="H71" s="16" t="n">
        <f aca="false">IF($B71="","",DATE(YEAR($B71),MONTH($B71),1))</f>
        <v>45992</v>
      </c>
      <c r="I71" s="0" t="str">
        <f aca="false">IF($G71="","Uncategorized — Review",IFERROR(INDEX(Mapping!$B:$B,MATCH($G71,Mapping!$A:$A,0)),"Uncategorized — Review"))</f>
        <v>DWG Listing Platform</v>
      </c>
      <c r="J71" s="0" t="str">
        <f aca="false">IF($G71="","Uncategorized — Review",IFERROR(INDEX(Mapping!$C:$C,MATCH($G71,Mapping!$A:$A,0)),"Uncategorized — Review"))</f>
        <v>DWG Operating</v>
      </c>
    </row>
    <row r="72" customFormat="false" ht="15" hidden="false" customHeight="false" outlineLevel="0" collapsed="false">
      <c r="A72" s="0" t="str">
        <f aca="false">2025_DWG_Activity!A72</f>
        <v>CREDIT</v>
      </c>
      <c r="B72" s="15" t="n">
        <f aca="false">2025_DWG_Activity!B72</f>
        <v>45993</v>
      </c>
      <c r="C72" s="0" t="str">
        <f aca="false">2025_DWG_Activity!C72</f>
        <v>Online Transfer from CHK ...9335 transaction#: 27183519742</v>
      </c>
      <c r="D72" s="7" t="n">
        <f aca="false">2025_DWG_Activity!D72</f>
        <v>500</v>
      </c>
      <c r="E72" s="0" t="str">
        <f aca="false">2025_DWG_Activity!E72</f>
        <v>ACCT_XFER</v>
      </c>
      <c r="F72" s="7" t="n">
        <f aca="false">2025_DWG_Activity!F72</f>
        <v>1013.51</v>
      </c>
      <c r="G72" s="0" t="str">
        <f aca="false">2025_DWG_Activity!G72</f>
        <v>Transfer from Poseidon Asset Group</v>
      </c>
      <c r="H72" s="16" t="n">
        <f aca="false">IF($B72="","",DATE(YEAR($B72),MONTH($B72),1))</f>
        <v>45992</v>
      </c>
      <c r="I72" s="0" t="str">
        <f aca="false">IF($G72="","Uncategorized — Review",IFERROR(INDEX(Mapping!$B:$B,MATCH($G72,Mapping!$A:$A,0)),"Uncategorized — Review"))</f>
        <v>Transfer from Poseidon Asset Group</v>
      </c>
      <c r="J72" s="0" t="str">
        <f aca="false">IF($G72="","Uncategorized — Review",IFERROR(INDEX(Mapping!$C:$C,MATCH($G72,Mapping!$A:$A,0)),"Uncategorized — Review"))</f>
        <v>Intercompany &amp; Savings Transfers</v>
      </c>
    </row>
    <row r="73" customFormat="false" ht="15" hidden="false" customHeight="false" outlineLevel="0" collapsed="false">
      <c r="A73" s="0" t="str">
        <f aca="false">2025_DWG_Activity!A73</f>
        <v>CREDIT</v>
      </c>
      <c r="B73" s="15" t="n">
        <f aca="false">2025_DWG_Activity!B73</f>
        <v>45992</v>
      </c>
      <c r="C73" s="0" t="str">
        <f aca="false">2025_DWG_Activity!C73</f>
        <v>Online Transfer from CHK ...9335 transaction#: 27165554859</v>
      </c>
      <c r="D73" s="7" t="n">
        <f aca="false">2025_DWG_Activity!D73</f>
        <v>500</v>
      </c>
      <c r="E73" s="0" t="str">
        <f aca="false">2025_DWG_Activity!E73</f>
        <v>ACCT_XFER</v>
      </c>
      <c r="F73" s="7" t="n">
        <f aca="false">2025_DWG_Activity!F73</f>
        <v>513.51</v>
      </c>
      <c r="G73" s="0" t="str">
        <f aca="false">2025_DWG_Activity!G73</f>
        <v>Transfer from Poseidon Asset Group</v>
      </c>
      <c r="H73" s="16" t="n">
        <f aca="false">IF($B73="","",DATE(YEAR($B73),MONTH($B73),1))</f>
        <v>45992</v>
      </c>
      <c r="I73" s="0" t="str">
        <f aca="false">IF($G73="","Uncategorized — Review",IFERROR(INDEX(Mapping!$B:$B,MATCH($G73,Mapping!$A:$A,0)),"Uncategorized — Review"))</f>
        <v>Transfer from Poseidon Asset Group</v>
      </c>
      <c r="J73" s="0" t="str">
        <f aca="false">IF($G73="","Uncategorized — Review",IFERROR(INDEX(Mapping!$C:$C,MATCH($G73,Mapping!$A:$A,0)),"Uncategorized — Review"))</f>
        <v>Intercompany &amp; Savings Transfers</v>
      </c>
    </row>
    <row r="74" customFormat="false" ht="15" hidden="false" customHeight="false" outlineLevel="0" collapsed="false">
      <c r="A74" s="0" t="str">
        <f aca="false">2025_DWG_Activity!A74</f>
        <v>DEBIT</v>
      </c>
      <c r="B74" s="15" t="n">
        <f aca="false">2025_DWG_Activity!B74</f>
        <v>45989</v>
      </c>
      <c r="C74" s="0" t="str">
        <f aca="false">2025_DWG_Activity!C74</f>
        <v>Basic Online Payroll Payment 11195462886 to ########6812</v>
      </c>
      <c r="D74" s="7" t="n">
        <f aca="false">2025_DWG_Activity!D74</f>
        <v>-5000</v>
      </c>
      <c r="E74" s="0" t="str">
        <f aca="false">2025_DWG_Activity!E74</f>
        <v>BASIC_PAYROLL</v>
      </c>
      <c r="F74" s="7" t="n">
        <f aca="false">2025_DWG_Activity!F74</f>
        <v>13.51</v>
      </c>
      <c r="G74" s="0" t="str">
        <f aca="false">2025_DWG_Activity!G74</f>
        <v>Meg Maran - Payroll</v>
      </c>
      <c r="H74" s="16" t="n">
        <f aca="false">IF($B74="","",DATE(YEAR($B74),MONTH($B74),1))</f>
        <v>45962</v>
      </c>
      <c r="I74" s="0" t="str">
        <f aca="false">IF($G74="","Uncategorized — Review",IFERROR(INDEX(Mapping!$B:$B,MATCH($G74,Mapping!$A:$A,0)),"Uncategorized — Review"))</f>
        <v>Meg Maran - Payroll</v>
      </c>
      <c r="J74" s="0" t="str">
        <f aca="false">IF($G74="","Uncategorized — Review",IFERROR(INDEX(Mapping!$C:$C,MATCH($G74,Mapping!$A:$A,0)),"Uncategorized — Review"))</f>
        <v>Payroll &amp; Contractors</v>
      </c>
    </row>
    <row r="75" customFormat="false" ht="15" hidden="false" customHeight="false" outlineLevel="0" collapsed="false">
      <c r="A75" s="0" t="str">
        <f aca="false">2025_DWG_Activity!A75</f>
        <v>DEBIT</v>
      </c>
      <c r="B75" s="15" t="n">
        <f aca="false">2025_DWG_Activity!B75</f>
        <v>45989</v>
      </c>
      <c r="C75" s="0" t="str">
        <f aca="false">2025_DWG_Activity!C75</f>
        <v>TST*BLUEYS KITCHEN MAR Los Angeles CA        11/26</v>
      </c>
      <c r="D75" s="7" t="n">
        <f aca="false">2025_DWG_Activity!D75</f>
        <v>-54.53</v>
      </c>
      <c r="E75" s="0" t="str">
        <f aca="false">2025_DWG_Activity!E75</f>
        <v>DEBIT_CARD</v>
      </c>
      <c r="F75" s="7" t="n">
        <f aca="false">2025_DWG_Activity!F75</f>
        <v>5013.51</v>
      </c>
      <c r="G75" s="0" t="str">
        <f aca="false">2025_DWG_Activity!G75</f>
        <v>Personal - Food</v>
      </c>
      <c r="H75" s="16" t="n">
        <f aca="false">IF($B75="","",DATE(YEAR($B75),MONTH($B75),1))</f>
        <v>45962</v>
      </c>
      <c r="I75" s="0" t="str">
        <f aca="false">IF($G75="","Uncategorized — Review",IFERROR(INDEX(Mapping!$B:$B,MATCH($G75,Mapping!$A:$A,0)),"Uncategorized — Review"))</f>
        <v>Personal - Food</v>
      </c>
      <c r="J75" s="0" t="str">
        <f aca="false">IF($G75="","Uncategorized — Review",IFERROR(INDEX(Mapping!$C:$C,MATCH($G75,Mapping!$A:$A,0)),"Uncategorized — Review"))</f>
        <v>Personal — Owner</v>
      </c>
    </row>
    <row r="76" customFormat="false" ht="15" hidden="false" customHeight="false" outlineLevel="0" collapsed="false">
      <c r="A76" s="0" t="str">
        <f aca="false">2025_DWG_Activity!A76</f>
        <v>CREDIT</v>
      </c>
      <c r="B76" s="15" t="n">
        <f aca="false">2025_DWG_Activity!B76</f>
        <v>45989</v>
      </c>
      <c r="C76" s="0" t="str">
        <f aca="false">2025_DWG_Activity!C76</f>
        <v>Online Transfer from CHK ...9335 transaction#: 27127534065</v>
      </c>
      <c r="D76" s="7" t="n">
        <f aca="false">2025_DWG_Activity!D76</f>
        <v>5000</v>
      </c>
      <c r="E76" s="0" t="str">
        <f aca="false">2025_DWG_Activity!E76</f>
        <v>ACCT_XFER</v>
      </c>
      <c r="F76" s="7" t="n">
        <f aca="false">2025_DWG_Activity!F76</f>
        <v>5068.04</v>
      </c>
      <c r="G76" s="0" t="str">
        <f aca="false">2025_DWG_Activity!G76</f>
        <v>Transfer from Poseidon Asset Group</v>
      </c>
      <c r="H76" s="16" t="n">
        <f aca="false">IF($B76="","",DATE(YEAR($B76),MONTH($B76),1))</f>
        <v>45962</v>
      </c>
      <c r="I76" s="0" t="str">
        <f aca="false">IF($G76="","Uncategorized — Review",IFERROR(INDEX(Mapping!$B:$B,MATCH($G76,Mapping!$A:$A,0)),"Uncategorized — Review"))</f>
        <v>Transfer from Poseidon Asset Group</v>
      </c>
      <c r="J76" s="0" t="str">
        <f aca="false">IF($G76="","Uncategorized — Review",IFERROR(INDEX(Mapping!$C:$C,MATCH($G76,Mapping!$A:$A,0)),"Uncategorized — Review"))</f>
        <v>Intercompany &amp; Savings Transfers</v>
      </c>
    </row>
    <row r="77" customFormat="false" ht="15" hidden="false" customHeight="false" outlineLevel="0" collapsed="false">
      <c r="A77" s="0" t="str">
        <f aca="false">2025_DWG_Activity!A77</f>
        <v>DEBIT</v>
      </c>
      <c r="B77" s="15" t="n">
        <f aca="false">2025_DWG_Activity!B77</f>
        <v>45987</v>
      </c>
      <c r="C77" s="0" t="str">
        <f aca="false">2025_DWG_Activity!C77</f>
        <v>Online Transfer to CHK ...9335 transaction#: 27101422763 11/26</v>
      </c>
      <c r="D77" s="7" t="n">
        <f aca="false">2025_DWG_Activity!D77</f>
        <v>-270000</v>
      </c>
      <c r="E77" s="0" t="str">
        <f aca="false">2025_DWG_Activity!E77</f>
        <v>ACCT_XFER</v>
      </c>
      <c r="F77" s="7" t="n">
        <f aca="false">2025_DWG_Activity!F77</f>
        <v>68.04</v>
      </c>
      <c r="G77" s="0" t="str">
        <f aca="false">2025_DWG_Activity!G77</f>
        <v>Transfer to Poseidon Asset Group</v>
      </c>
      <c r="H77" s="16" t="n">
        <f aca="false">IF($B77="","",DATE(YEAR($B77),MONTH($B77),1))</f>
        <v>45962</v>
      </c>
      <c r="I77" s="0" t="str">
        <f aca="false">IF($G77="","Uncategorized — Review",IFERROR(INDEX(Mapping!$B:$B,MATCH($G77,Mapping!$A:$A,0)),"Uncategorized — Review"))</f>
        <v>Transfer to Poseidon Asset Group</v>
      </c>
      <c r="J77" s="0" t="str">
        <f aca="false">IF($G77="","Uncategorized — Review",IFERROR(INDEX(Mapping!$C:$C,MATCH($G77,Mapping!$A:$A,0)),"Uncategorized — Review"))</f>
        <v>Intercompany &amp; Savings Transfers</v>
      </c>
    </row>
    <row r="78" customFormat="false" ht="15" hidden="false" customHeight="false" outlineLevel="0" collapsed="false">
      <c r="A78" s="0" t="str">
        <f aca="false">2025_DWG_Activity!A78</f>
        <v>CREDIT</v>
      </c>
      <c r="B78" s="15" t="n">
        <f aca="false">2025_DWG_Activity!B78</f>
        <v>45987</v>
      </c>
      <c r="C78" s="0" t="str">
        <f aca="false">2025_DWG_Activity!C78</f>
        <v>Online Transfer from CHK ...5153 transaction#: 27101383260</v>
      </c>
      <c r="D78" s="7" t="n">
        <f aca="false">2025_DWG_Activity!D78</f>
        <v>270000</v>
      </c>
      <c r="E78" s="0" t="str">
        <f aca="false">2025_DWG_Activity!E78</f>
        <v>ACCT_XFER</v>
      </c>
      <c r="F78" s="7" t="n">
        <f aca="false">2025_DWG_Activity!F78</f>
        <v>270068.04</v>
      </c>
      <c r="G78" s="0" t="str">
        <f aca="false">2025_DWG_Activity!G78</f>
        <v>Transfer from Stryten Energy</v>
      </c>
      <c r="H78" s="16" t="n">
        <f aca="false">IF($B78="","",DATE(YEAR($B78),MONTH($B78),1))</f>
        <v>45962</v>
      </c>
      <c r="I78" s="0" t="str">
        <f aca="false">IF($G78="","Uncategorized — Review",IFERROR(INDEX(Mapping!$B:$B,MATCH($G78,Mapping!$A:$A,0)),"Uncategorized — Review"))</f>
        <v>Transfer from Stryten Energy</v>
      </c>
      <c r="J78" s="0" t="str">
        <f aca="false">IF($G78="","Uncategorized — Review",IFERROR(INDEX(Mapping!$C:$C,MATCH($G78,Mapping!$A:$A,0)),"Uncategorized — Review"))</f>
        <v>Intercompany &amp; Savings Transfers</v>
      </c>
    </row>
    <row r="79" customFormat="false" ht="15" hidden="false" customHeight="false" outlineLevel="0" collapsed="false">
      <c r="A79" s="0" t="str">
        <f aca="false">2025_DWG_Activity!A79</f>
        <v>DEBIT</v>
      </c>
      <c r="B79" s="15" t="n">
        <f aca="false">2025_DWG_Activity!B79</f>
        <v>45985</v>
      </c>
      <c r="C79" s="0" t="str">
        <f aca="false">2025_DWG_Activity!C79</f>
        <v>SQ *PROVECHO CALIMEX L Los Angeles CA        11/23</v>
      </c>
      <c r="D79" s="7" t="n">
        <f aca="false">2025_DWG_Activity!D79</f>
        <v>-32.92</v>
      </c>
      <c r="E79" s="0" t="str">
        <f aca="false">2025_DWG_Activity!E79</f>
        <v>DEBIT_CARD</v>
      </c>
      <c r="F79" s="7" t="n">
        <f aca="false">2025_DWG_Activity!F79</f>
        <v>68.04</v>
      </c>
      <c r="G79" s="0" t="str">
        <f aca="false">2025_DWG_Activity!G79</f>
        <v>Personal - Food</v>
      </c>
      <c r="H79" s="16" t="n">
        <f aca="false">IF($B79="","",DATE(YEAR($B79),MONTH($B79),1))</f>
        <v>45962</v>
      </c>
      <c r="I79" s="0" t="str">
        <f aca="false">IF($G79="","Uncategorized — Review",IFERROR(INDEX(Mapping!$B:$B,MATCH($G79,Mapping!$A:$A,0)),"Uncategorized — Review"))</f>
        <v>Personal - Food</v>
      </c>
      <c r="J79" s="0" t="str">
        <f aca="false">IF($G79="","Uncategorized — Review",IFERROR(INDEX(Mapping!$C:$C,MATCH($G79,Mapping!$A:$A,0)),"Uncategorized — Review"))</f>
        <v>Personal — Owner</v>
      </c>
    </row>
    <row r="80" customFormat="false" ht="15" hidden="false" customHeight="false" outlineLevel="0" collapsed="false">
      <c r="A80" s="0" t="str">
        <f aca="false">2025_DWG_Activity!A80</f>
        <v>DEBIT</v>
      </c>
      <c r="B80" s="15" t="n">
        <f aca="false">2025_DWG_Activity!B80</f>
        <v>45985</v>
      </c>
      <c r="C80" s="0" t="str">
        <f aca="false">2025_DWG_Activity!C80</f>
        <v>SQ *PICKLED BY SHRED L Los Angeles CA        11/23</v>
      </c>
      <c r="D80" s="7" t="n">
        <f aca="false">2025_DWG_Activity!D80</f>
        <v>-38</v>
      </c>
      <c r="E80" s="0" t="str">
        <f aca="false">2025_DWG_Activity!E80</f>
        <v>DEBIT_CARD</v>
      </c>
      <c r="F80" s="7" t="n">
        <f aca="false">2025_DWG_Activity!F80</f>
        <v>100.96</v>
      </c>
      <c r="G80" s="0" t="str">
        <f aca="false">2025_DWG_Activity!G80</f>
        <v>Personal - Food</v>
      </c>
      <c r="H80" s="16" t="n">
        <f aca="false">IF($B80="","",DATE(YEAR($B80),MONTH($B80),1))</f>
        <v>45962</v>
      </c>
      <c r="I80" s="0" t="str">
        <f aca="false">IF($G80="","Uncategorized — Review",IFERROR(INDEX(Mapping!$B:$B,MATCH($G80,Mapping!$A:$A,0)),"Uncategorized — Review"))</f>
        <v>Personal - Food</v>
      </c>
      <c r="J80" s="0" t="str">
        <f aca="false">IF($G80="","Uncategorized — Review",IFERROR(INDEX(Mapping!$C:$C,MATCH($G80,Mapping!$A:$A,0)),"Uncategorized — Review"))</f>
        <v>Personal — Owner</v>
      </c>
    </row>
    <row r="81" customFormat="false" ht="15" hidden="false" customHeight="false" outlineLevel="0" collapsed="false">
      <c r="A81" s="0" t="str">
        <f aca="false">2025_DWG_Activity!A81</f>
        <v>DEBIT</v>
      </c>
      <c r="B81" s="15" t="n">
        <f aca="false">2025_DWG_Activity!B81</f>
        <v>45985</v>
      </c>
      <c r="C81" s="0" t="str">
        <f aca="false">2025_DWG_Activity!C81</f>
        <v>ActiveCampaign 141-5235186 IL                11/23</v>
      </c>
      <c r="D81" s="7" t="n">
        <f aca="false">2025_DWG_Activity!D81</f>
        <v>-326.8</v>
      </c>
      <c r="E81" s="0" t="str">
        <f aca="false">2025_DWG_Activity!E81</f>
        <v>DEBIT_CARD</v>
      </c>
      <c r="F81" s="7" t="n">
        <f aca="false">2025_DWG_Activity!F81</f>
        <v>138.96</v>
      </c>
      <c r="G81" s="0" t="str">
        <f aca="false">2025_DWG_Activity!G81</f>
        <v>DWG Marketing</v>
      </c>
      <c r="H81" s="16" t="n">
        <f aca="false">IF($B81="","",DATE(YEAR($B81),MONTH($B81),1))</f>
        <v>45962</v>
      </c>
      <c r="I81" s="0" t="str">
        <f aca="false">IF($G81="","Uncategorized — Review",IFERROR(INDEX(Mapping!$B:$B,MATCH($G81,Mapping!$A:$A,0)),"Uncategorized — Review"))</f>
        <v>DWG Marketing</v>
      </c>
      <c r="J81" s="0" t="str">
        <f aca="false">IF($G81="","Uncategorized — Review",IFERROR(INDEX(Mapping!$C:$C,MATCH($G81,Mapping!$A:$A,0)),"Uncategorized — Review"))</f>
        <v>DWG Operating</v>
      </c>
    </row>
    <row r="82" customFormat="false" ht="15" hidden="false" customHeight="false" outlineLevel="0" collapsed="false">
      <c r="A82" s="0" t="str">
        <f aca="false">2025_DWG_Activity!A82</f>
        <v>DEBIT</v>
      </c>
      <c r="B82" s="15" t="n">
        <f aca="false">2025_DWG_Activity!B82</f>
        <v>45980</v>
      </c>
      <c r="C82" s="0" t="str">
        <f aca="false">2025_DWG_Activity!C82</f>
        <v>LADOT METER PARKING LOS ANGELES CA           11/15</v>
      </c>
      <c r="D82" s="7" t="n">
        <f aca="false">2025_DWG_Activity!D82</f>
        <v>-2</v>
      </c>
      <c r="E82" s="0" t="str">
        <f aca="false">2025_DWG_Activity!E82</f>
        <v>DEBIT_CARD</v>
      </c>
      <c r="F82" s="7" t="n">
        <f aca="false">2025_DWG_Activity!F82</f>
        <v>465.76</v>
      </c>
      <c r="G82" s="0" t="str">
        <f aca="false">2025_DWG_Activity!G82</f>
        <v>Personal - Car</v>
      </c>
      <c r="H82" s="16" t="n">
        <f aca="false">IF($B82="","",DATE(YEAR($B82),MONTH($B82),1))</f>
        <v>45962</v>
      </c>
      <c r="I82" s="0" t="str">
        <f aca="false">IF($G82="","Uncategorized — Review",IFERROR(INDEX(Mapping!$B:$B,MATCH($G82,Mapping!$A:$A,0)),"Uncategorized — Review"))</f>
        <v>Personal - Car</v>
      </c>
      <c r="J82" s="0" t="str">
        <f aca="false">IF($G82="","Uncategorized — Review",IFERROR(INDEX(Mapping!$C:$C,MATCH($G82,Mapping!$A:$A,0)),"Uncategorized — Review"))</f>
        <v>Personal — Owner</v>
      </c>
    </row>
    <row r="83" customFormat="false" ht="15" hidden="false" customHeight="false" outlineLevel="0" collapsed="false">
      <c r="A83" s="0" t="str">
        <f aca="false">2025_DWG_Activity!A83</f>
        <v>DEBIT</v>
      </c>
      <c r="B83" s="15" t="n">
        <f aca="false">2025_DWG_Activity!B83</f>
        <v>45979</v>
      </c>
      <c r="C83" s="0" t="str">
        <f aca="false">2025_DWG_Activity!C83</f>
        <v>DNH*GODADDY 480-505-8855 AZ                  11/17</v>
      </c>
      <c r="D83" s="7" t="n">
        <f aca="false">2025_DWG_Activity!D83</f>
        <v>-33.95</v>
      </c>
      <c r="E83" s="0" t="str">
        <f aca="false">2025_DWG_Activity!E83</f>
        <v>DEBIT_CARD</v>
      </c>
      <c r="F83" s="7" t="n">
        <f aca="false">2025_DWG_Activity!F83</f>
        <v>467.76</v>
      </c>
      <c r="G83" s="0" t="str">
        <f aca="false">2025_DWG_Activity!G83</f>
        <v>Go Daddy</v>
      </c>
      <c r="H83" s="16" t="n">
        <f aca="false">IF($B83="","",DATE(YEAR($B83),MONTH($B83),1))</f>
        <v>45962</v>
      </c>
      <c r="I83" s="0" t="str">
        <f aca="false">IF($G83="","Uncategorized — Review",IFERROR(INDEX(Mapping!$B:$B,MATCH($G83,Mapping!$A:$A,0)),"Uncategorized — Review"))</f>
        <v>Go Daddy</v>
      </c>
      <c r="J83" s="0" t="str">
        <f aca="false">IF($G83="","Uncategorized — Review",IFERROR(INDEX(Mapping!$C:$C,MATCH($G83,Mapping!$A:$A,0)),"Uncategorized — Review"))</f>
        <v>DWG Operating</v>
      </c>
    </row>
    <row r="84" customFormat="false" ht="15" hidden="false" customHeight="false" outlineLevel="0" collapsed="false">
      <c r="A84" s="0" t="str">
        <f aca="false">2025_DWG_Activity!A84</f>
        <v>DEBIT</v>
      </c>
      <c r="B84" s="15" t="n">
        <f aca="false">2025_DWG_Activity!B84</f>
        <v>45978</v>
      </c>
      <c r="C84" s="0" t="str">
        <f aca="false">2025_DWG_Activity!C84</f>
        <v>SEARCHFUNDER PORTLAND OR             778295  11/15</v>
      </c>
      <c r="D84" s="7" t="n">
        <f aca="false">2025_DWG_Activity!D84</f>
        <v>-29</v>
      </c>
      <c r="E84" s="0" t="str">
        <f aca="false">2025_DWG_Activity!E84</f>
        <v>DEBIT_CARD</v>
      </c>
      <c r="F84" s="7" t="n">
        <f aca="false">2025_DWG_Activity!F84</f>
        <v>501.71</v>
      </c>
      <c r="G84" s="0" t="str">
        <f aca="false">2025_DWG_Activity!G84</f>
        <v>Personal - Subscriptions</v>
      </c>
      <c r="H84" s="16" t="n">
        <f aca="false">IF($B84="","",DATE(YEAR($B84),MONTH($B84),1))</f>
        <v>45962</v>
      </c>
      <c r="I84" s="0" t="str">
        <f aca="false">IF($G84="","Uncategorized — Review",IFERROR(INDEX(Mapping!$B:$B,MATCH($G84,Mapping!$A:$A,0)),"Uncategorized — Review"))</f>
        <v>Personal - Subscriptions</v>
      </c>
      <c r="J84" s="0" t="str">
        <f aca="false">IF($G84="","Uncategorized — Review",IFERROR(INDEX(Mapping!$C:$C,MATCH($G84,Mapping!$A:$A,0)),"Uncategorized — Review"))</f>
        <v>Personal — Owner</v>
      </c>
    </row>
    <row r="85" customFormat="false" ht="15" hidden="false" customHeight="false" outlineLevel="0" collapsed="false">
      <c r="A85" s="0" t="str">
        <f aca="false">2025_DWG_Activity!A85</f>
        <v>DEBIT</v>
      </c>
      <c r="B85" s="15" t="n">
        <f aca="false">2025_DWG_Activity!B85</f>
        <v>45978</v>
      </c>
      <c r="C85" s="0" t="str">
        <f aca="false">2025_DWG_Activity!C85</f>
        <v>DNH*GODADDY 480-505-8855 AZ                  11/15</v>
      </c>
      <c r="D85" s="7" t="n">
        <f aca="false">2025_DWG_Activity!D85</f>
        <v>-8.99</v>
      </c>
      <c r="E85" s="0" t="str">
        <f aca="false">2025_DWG_Activity!E85</f>
        <v>DEBIT_CARD</v>
      </c>
      <c r="F85" s="7" t="n">
        <f aca="false">2025_DWG_Activity!F85</f>
        <v>530.71</v>
      </c>
      <c r="G85" s="0" t="str">
        <f aca="false">2025_DWG_Activity!G85</f>
        <v>Go Daddy</v>
      </c>
      <c r="H85" s="16" t="n">
        <f aca="false">IF($B85="","",DATE(YEAR($B85),MONTH($B85),1))</f>
        <v>45962</v>
      </c>
      <c r="I85" s="0" t="str">
        <f aca="false">IF($G85="","Uncategorized — Review",IFERROR(INDEX(Mapping!$B:$B,MATCH($G85,Mapping!$A:$A,0)),"Uncategorized — Review"))</f>
        <v>Go Daddy</v>
      </c>
      <c r="J85" s="0" t="str">
        <f aca="false">IF($G85="","Uncategorized — Review",IFERROR(INDEX(Mapping!$C:$C,MATCH($G85,Mapping!$A:$A,0)),"Uncategorized — Review"))</f>
        <v>DWG Operating</v>
      </c>
    </row>
    <row r="86" customFormat="false" ht="15" hidden="false" customHeight="false" outlineLevel="0" collapsed="false">
      <c r="A86" s="0" t="str">
        <f aca="false">2025_DWG_Activity!A86</f>
        <v>DEBIT</v>
      </c>
      <c r="B86" s="15" t="n">
        <f aca="false">2025_DWG_Activity!B86</f>
        <v>45978</v>
      </c>
      <c r="C86" s="0" t="str">
        <f aca="false">2025_DWG_Activity!C86</f>
        <v>DNH*GODADDY 480-505-8855 AZ                  11/14</v>
      </c>
      <c r="D86" s="7" t="n">
        <f aca="false">2025_DWG_Activity!D86</f>
        <v>-30.97</v>
      </c>
      <c r="E86" s="0" t="str">
        <f aca="false">2025_DWG_Activity!E86</f>
        <v>DEBIT_CARD</v>
      </c>
      <c r="F86" s="7" t="n">
        <f aca="false">2025_DWG_Activity!F86</f>
        <v>539.7</v>
      </c>
      <c r="G86" s="0" t="str">
        <f aca="false">2025_DWG_Activity!G86</f>
        <v>Go Daddy</v>
      </c>
      <c r="H86" s="16" t="n">
        <f aca="false">IF($B86="","",DATE(YEAR($B86),MONTH($B86),1))</f>
        <v>45962</v>
      </c>
      <c r="I86" s="0" t="str">
        <f aca="false">IF($G86="","Uncategorized — Review",IFERROR(INDEX(Mapping!$B:$B,MATCH($G86,Mapping!$A:$A,0)),"Uncategorized — Review"))</f>
        <v>Go Daddy</v>
      </c>
      <c r="J86" s="0" t="str">
        <f aca="false">IF($G86="","Uncategorized — Review",IFERROR(INDEX(Mapping!$C:$C,MATCH($G86,Mapping!$A:$A,0)),"Uncategorized — Review"))</f>
        <v>DWG Operating</v>
      </c>
    </row>
    <row r="87" customFormat="false" ht="15" hidden="false" customHeight="false" outlineLevel="0" collapsed="false">
      <c r="A87" s="0" t="str">
        <f aca="false">2025_DWG_Activity!A87</f>
        <v>CREDIT</v>
      </c>
      <c r="B87" s="15" t="n">
        <f aca="false">2025_DWG_Activity!B87</f>
        <v>45978</v>
      </c>
      <c r="C87" s="0" t="str">
        <f aca="false">2025_DWG_Activity!C87</f>
        <v>Online Transfer from CHK ...1168 transaction#: 26986349970</v>
      </c>
      <c r="D87" s="7" t="n">
        <f aca="false">2025_DWG_Activity!D87</f>
        <v>500</v>
      </c>
      <c r="E87" s="0" t="str">
        <f aca="false">2025_DWG_Activity!E87</f>
        <v>ACCT_XFER</v>
      </c>
      <c r="F87" s="7" t="n">
        <f aca="false">2025_DWG_Activity!F87</f>
        <v>570.67</v>
      </c>
      <c r="G87" s="0" t="str">
        <f aca="false">2025_DWG_Activity!G87</f>
        <v>Transfer from DWG Capital Group</v>
      </c>
      <c r="H87" s="16" t="n">
        <f aca="false">IF($B87="","",DATE(YEAR($B87),MONTH($B87),1))</f>
        <v>45962</v>
      </c>
      <c r="I87" s="0" t="str">
        <f aca="false">IF($G87="","Uncategorized — Review",IFERROR(INDEX(Mapping!$B:$B,MATCH($G87,Mapping!$A:$A,0)),"Uncategorized — Review"))</f>
        <v>Transfer from DWG Capital Group</v>
      </c>
      <c r="J87" s="0" t="str">
        <f aca="false">IF($G87="","Uncategorized — Review",IFERROR(INDEX(Mapping!$C:$C,MATCH($G87,Mapping!$A:$A,0)),"Uncategorized — Review"))</f>
        <v>Intercompany &amp; Savings Transfers</v>
      </c>
    </row>
    <row r="88" customFormat="false" ht="15" hidden="false" customHeight="false" outlineLevel="0" collapsed="false">
      <c r="A88" s="0" t="str">
        <f aca="false">2025_DWG_Activity!A88</f>
        <v>DEBIT</v>
      </c>
      <c r="B88" s="15" t="n">
        <f aca="false">2025_DWG_Activity!B88</f>
        <v>45975</v>
      </c>
      <c r="C88" s="0" t="str">
        <f aca="false">2025_DWG_Activity!C88</f>
        <v>DNH*GODADDY 480-505-8855 AZ                  11/13</v>
      </c>
      <c r="D88" s="7" t="n">
        <f aca="false">2025_DWG_Activity!D88</f>
        <v>-46.95</v>
      </c>
      <c r="E88" s="0" t="str">
        <f aca="false">2025_DWG_Activity!E88</f>
        <v>DEBIT_CARD</v>
      </c>
      <c r="F88" s="7" t="n">
        <f aca="false">2025_DWG_Activity!F88</f>
        <v>70.67</v>
      </c>
      <c r="G88" s="0" t="str">
        <f aca="false">2025_DWG_Activity!G88</f>
        <v>Go Daddy</v>
      </c>
      <c r="H88" s="16" t="n">
        <f aca="false">IF($B88="","",DATE(YEAR($B88),MONTH($B88),1))</f>
        <v>45962</v>
      </c>
      <c r="I88" s="0" t="str">
        <f aca="false">IF($G88="","Uncategorized — Review",IFERROR(INDEX(Mapping!$B:$B,MATCH($G88,Mapping!$A:$A,0)),"Uncategorized — Review"))</f>
        <v>Go Daddy</v>
      </c>
      <c r="J88" s="0" t="str">
        <f aca="false">IF($G88="","Uncategorized — Review",IFERROR(INDEX(Mapping!$C:$C,MATCH($G88,Mapping!$A:$A,0)),"Uncategorized — Review"))</f>
        <v>DWG Operating</v>
      </c>
    </row>
    <row r="89" customFormat="false" ht="15" hidden="false" customHeight="false" outlineLevel="0" collapsed="false">
      <c r="A89" s="0" t="str">
        <f aca="false">2025_DWG_Activity!A89</f>
        <v>DEBIT</v>
      </c>
      <c r="B89" s="15" t="n">
        <f aca="false">2025_DWG_Activity!B89</f>
        <v>45974</v>
      </c>
      <c r="C89" s="0" t="str">
        <f aca="false">2025_DWG_Activity!C89</f>
        <v>Basic Online Payroll Payment 11193609046 to ########6812</v>
      </c>
      <c r="D89" s="7" t="n">
        <f aca="false">2025_DWG_Activity!D89</f>
        <v>-5000</v>
      </c>
      <c r="E89" s="0" t="str">
        <f aca="false">2025_DWG_Activity!E89</f>
        <v>BASIC_PAYROLL</v>
      </c>
      <c r="F89" s="7" t="n">
        <f aca="false">2025_DWG_Activity!F89</f>
        <v>117.62</v>
      </c>
      <c r="G89" s="0" t="str">
        <f aca="false">2025_DWG_Activity!G89</f>
        <v>Meg Maran - Payroll</v>
      </c>
      <c r="H89" s="16" t="n">
        <f aca="false">IF($B89="","",DATE(YEAR($B89),MONTH($B89),1))</f>
        <v>45962</v>
      </c>
      <c r="I89" s="0" t="str">
        <f aca="false">IF($G89="","Uncategorized — Review",IFERROR(INDEX(Mapping!$B:$B,MATCH($G89,Mapping!$A:$A,0)),"Uncategorized — Review"))</f>
        <v>Meg Maran - Payroll</v>
      </c>
      <c r="J89" s="0" t="str">
        <f aca="false">IF($G89="","Uncategorized — Review",IFERROR(INDEX(Mapping!$C:$C,MATCH($G89,Mapping!$A:$A,0)),"Uncategorized — Review"))</f>
        <v>Payroll &amp; Contractors</v>
      </c>
    </row>
    <row r="90" customFormat="false" ht="15" hidden="false" customHeight="false" outlineLevel="0" collapsed="false">
      <c r="A90" s="0" t="str">
        <f aca="false">2025_DWG_Activity!A90</f>
        <v>DEBIT</v>
      </c>
      <c r="B90" s="15" t="n">
        <f aca="false">2025_DWG_Activity!B90</f>
        <v>45974</v>
      </c>
      <c r="C90" s="0" t="str">
        <f aca="false">2025_DWG_Activity!C90</f>
        <v>ADOBE  *800-833-6687 ADOBE.LY/ENUS CA        11/13</v>
      </c>
      <c r="D90" s="7" t="n">
        <f aca="false">2025_DWG_Activity!D90</f>
        <v>-21.64</v>
      </c>
      <c r="E90" s="0" t="str">
        <f aca="false">2025_DWG_Activity!E90</f>
        <v>DEBIT_CARD</v>
      </c>
      <c r="F90" s="7" t="n">
        <f aca="false">2025_DWG_Activity!F90</f>
        <v>5117.62</v>
      </c>
      <c r="G90" s="0" t="str">
        <f aca="false">2025_DWG_Activity!G90</f>
        <v>Personal - Subscriptions</v>
      </c>
      <c r="H90" s="16" t="n">
        <f aca="false">IF($B90="","",DATE(YEAR($B90),MONTH($B90),1))</f>
        <v>45962</v>
      </c>
      <c r="I90" s="0" t="str">
        <f aca="false">IF($G90="","Uncategorized — Review",IFERROR(INDEX(Mapping!$B:$B,MATCH($G90,Mapping!$A:$A,0)),"Uncategorized — Review"))</f>
        <v>Personal - Subscriptions</v>
      </c>
      <c r="J90" s="0" t="str">
        <f aca="false">IF($G90="","Uncategorized — Review",IFERROR(INDEX(Mapping!$C:$C,MATCH($G90,Mapping!$A:$A,0)),"Uncategorized — Review"))</f>
        <v>Personal — Owner</v>
      </c>
    </row>
    <row r="91" customFormat="false" ht="15" hidden="false" customHeight="false" outlineLevel="0" collapsed="false">
      <c r="A91" s="0" t="str">
        <f aca="false">2025_DWG_Activity!A91</f>
        <v>DEBIT</v>
      </c>
      <c r="B91" s="15" t="n">
        <f aca="false">2025_DWG_Activity!B91</f>
        <v>45974</v>
      </c>
      <c r="C91" s="0" t="str">
        <f aca="false">2025_DWG_Activity!C91</f>
        <v>WAC BEVERLY HILLS RO BEVERLY HILLS CA        11/11</v>
      </c>
      <c r="D91" s="7" t="n">
        <f aca="false">2025_DWG_Activity!D91</f>
        <v>-14.98</v>
      </c>
      <c r="E91" s="0" t="str">
        <f aca="false">2025_DWG_Activity!E91</f>
        <v>DEBIT_CARD</v>
      </c>
      <c r="F91" s="7" t="n">
        <f aca="false">2025_DWG_Activity!F91</f>
        <v>5139.26</v>
      </c>
      <c r="G91" s="0" t="str">
        <f aca="false">2025_DWG_Activity!G91</f>
        <v>Personal - Car</v>
      </c>
      <c r="H91" s="16" t="n">
        <f aca="false">IF($B91="","",DATE(YEAR($B91),MONTH($B91),1))</f>
        <v>45962</v>
      </c>
      <c r="I91" s="0" t="str">
        <f aca="false">IF($G91="","Uncategorized — Review",IFERROR(INDEX(Mapping!$B:$B,MATCH($G91,Mapping!$A:$A,0)),"Uncategorized — Review"))</f>
        <v>Personal - Car</v>
      </c>
      <c r="J91" s="0" t="str">
        <f aca="false">IF($G91="","Uncategorized — Review",IFERROR(INDEX(Mapping!$C:$C,MATCH($G91,Mapping!$A:$A,0)),"Uncategorized — Review"))</f>
        <v>Personal — Owner</v>
      </c>
    </row>
    <row r="92" customFormat="false" ht="15" hidden="false" customHeight="false" outlineLevel="0" collapsed="false">
      <c r="A92" s="0" t="str">
        <f aca="false">2025_DWG_Activity!A92</f>
        <v>CREDIT</v>
      </c>
      <c r="B92" s="15" t="n">
        <f aca="false">2025_DWG_Activity!B92</f>
        <v>45974</v>
      </c>
      <c r="C92" s="0" t="str">
        <f aca="false">2025_DWG_Activity!C92</f>
        <v>Online Transfer from CHK ...9335 transaction#: 26945932671</v>
      </c>
      <c r="D92" s="7" t="n">
        <f aca="false">2025_DWG_Activity!D92</f>
        <v>5000</v>
      </c>
      <c r="E92" s="0" t="str">
        <f aca="false">2025_DWG_Activity!E92</f>
        <v>ACCT_XFER</v>
      </c>
      <c r="F92" s="7" t="n">
        <f aca="false">2025_DWG_Activity!F92</f>
        <v>5154.24</v>
      </c>
      <c r="G92" s="0" t="str">
        <f aca="false">2025_DWG_Activity!G92</f>
        <v>Transfer from Poseidon Asset Group</v>
      </c>
      <c r="H92" s="16" t="n">
        <f aca="false">IF($B92="","",DATE(YEAR($B92),MONTH($B92),1))</f>
        <v>45962</v>
      </c>
      <c r="I92" s="0" t="str">
        <f aca="false">IF($G92="","Uncategorized — Review",IFERROR(INDEX(Mapping!$B:$B,MATCH($G92,Mapping!$A:$A,0)),"Uncategorized — Review"))</f>
        <v>Transfer from Poseidon Asset Group</v>
      </c>
      <c r="J92" s="0" t="str">
        <f aca="false">IF($G92="","Uncategorized — Review",IFERROR(INDEX(Mapping!$C:$C,MATCH($G92,Mapping!$A:$A,0)),"Uncategorized — Review"))</f>
        <v>Intercompany &amp; Savings Transfers</v>
      </c>
    </row>
    <row r="93" customFormat="false" ht="15" hidden="false" customHeight="false" outlineLevel="0" collapsed="false">
      <c r="A93" s="0" t="str">
        <f aca="false">2025_DWG_Activity!A93</f>
        <v>DEBIT</v>
      </c>
      <c r="B93" s="15" t="n">
        <f aca="false">2025_DWG_Activity!B93</f>
        <v>45973</v>
      </c>
      <c r="C93" s="0" t="str">
        <f aca="false">2025_DWG_Activity!C93</f>
        <v>FLOYD'S 99 VENICE 310-3994888 CA             11/11</v>
      </c>
      <c r="D93" s="7" t="n">
        <f aca="false">2025_DWG_Activity!D93</f>
        <v>-90</v>
      </c>
      <c r="E93" s="0" t="str">
        <f aca="false">2025_DWG_Activity!E93</f>
        <v>DEBIT_CARD</v>
      </c>
      <c r="F93" s="7" t="n">
        <f aca="false">2025_DWG_Activity!F93</f>
        <v>154.24</v>
      </c>
      <c r="G93" s="0" t="str">
        <f aca="false">2025_DWG_Activity!G93</f>
        <v>Personal - Health</v>
      </c>
      <c r="H93" s="16" t="n">
        <f aca="false">IF($B93="","",DATE(YEAR($B93),MONTH($B93),1))</f>
        <v>45962</v>
      </c>
      <c r="I93" s="0" t="str">
        <f aca="false">IF($G93="","Uncategorized — Review",IFERROR(INDEX(Mapping!$B:$B,MATCH($G93,Mapping!$A:$A,0)),"Uncategorized — Review"))</f>
        <v>Personal - Health</v>
      </c>
      <c r="J93" s="0" t="str">
        <f aca="false">IF($G93="","Uncategorized — Review",IFERROR(INDEX(Mapping!$C:$C,MATCH($G93,Mapping!$A:$A,0)),"Uncategorized — Review"))</f>
        <v>Personal — Owner</v>
      </c>
    </row>
    <row r="94" customFormat="false" ht="15" hidden="false" customHeight="false" outlineLevel="0" collapsed="false">
      <c r="A94" s="0" t="str">
        <f aca="false">2025_DWG_Activity!A94</f>
        <v>DEBIT</v>
      </c>
      <c r="B94" s="15" t="n">
        <f aca="false">2025_DWG_Activity!B94</f>
        <v>45973</v>
      </c>
      <c r="C94" s="0" t="str">
        <f aca="false">2025_DWG_Activity!C94</f>
        <v>DNH*GODADDY 480-505-8855 AZ                  11/11</v>
      </c>
      <c r="D94" s="7" t="n">
        <f aca="false">2025_DWG_Activity!D94</f>
        <v>-21.98</v>
      </c>
      <c r="E94" s="0" t="str">
        <f aca="false">2025_DWG_Activity!E94</f>
        <v>DEBIT_CARD</v>
      </c>
      <c r="F94" s="7" t="n">
        <f aca="false">2025_DWG_Activity!F94</f>
        <v>244.24</v>
      </c>
      <c r="G94" s="0" t="str">
        <f aca="false">2025_DWG_Activity!G94</f>
        <v>Go Daddy</v>
      </c>
      <c r="H94" s="16" t="n">
        <f aca="false">IF($B94="","",DATE(YEAR($B94),MONTH($B94),1))</f>
        <v>45962</v>
      </c>
      <c r="I94" s="0" t="str">
        <f aca="false">IF($G94="","Uncategorized — Review",IFERROR(INDEX(Mapping!$B:$B,MATCH($G94,Mapping!$A:$A,0)),"Uncategorized — Review"))</f>
        <v>Go Daddy</v>
      </c>
      <c r="J94" s="0" t="str">
        <f aca="false">IF($G94="","Uncategorized — Review",IFERROR(INDEX(Mapping!$C:$C,MATCH($G94,Mapping!$A:$A,0)),"Uncategorized — Review"))</f>
        <v>DWG Operating</v>
      </c>
    </row>
    <row r="95" customFormat="false" ht="15" hidden="false" customHeight="false" outlineLevel="0" collapsed="false">
      <c r="A95" s="0" t="str">
        <f aca="false">2025_DWG_Activity!A95</f>
        <v>DEBIT</v>
      </c>
      <c r="B95" s="15" t="n">
        <f aca="false">2025_DWG_Activity!B95</f>
        <v>45973</v>
      </c>
      <c r="C95" s="0" t="str">
        <f aca="false">2025_DWG_Activity!C95</f>
        <v>COMMONLOTS LLC 213-3059621 CA                11/10</v>
      </c>
      <c r="D95" s="7" t="n">
        <f aca="false">2025_DWG_Activity!D95</f>
        <v>-357.07</v>
      </c>
      <c r="E95" s="0" t="str">
        <f aca="false">2025_DWG_Activity!E95</f>
        <v>DEBIT_CARD</v>
      </c>
      <c r="F95" s="7" t="n">
        <f aca="false">2025_DWG_Activity!F95</f>
        <v>266.22</v>
      </c>
      <c r="G95" s="0" t="str">
        <f aca="false">2025_DWG_Activity!G95</f>
        <v>Deal Specific</v>
      </c>
      <c r="H95" s="16" t="n">
        <f aca="false">IF($B95="","",DATE(YEAR($B95),MONTH($B95),1))</f>
        <v>45962</v>
      </c>
      <c r="I95" s="0" t="str">
        <f aca="false">IF($G95="","Uncategorized — Review",IFERROR(INDEX(Mapping!$B:$B,MATCH($G95,Mapping!$A:$A,0)),"Uncategorized — Review"))</f>
        <v>Deal Specific</v>
      </c>
      <c r="J95" s="0" t="str">
        <f aca="false">IF($G95="","Uncategorized — Review",IFERROR(INDEX(Mapping!$C:$C,MATCH($G95,Mapping!$A:$A,0)),"Uncategorized — Review"))</f>
        <v>Deal-Specific</v>
      </c>
    </row>
    <row r="96" customFormat="false" ht="15" hidden="false" customHeight="false" outlineLevel="0" collapsed="false">
      <c r="A96" s="0" t="str">
        <f aca="false">2025_DWG_Activity!A96</f>
        <v>DEBIT</v>
      </c>
      <c r="B96" s="15" t="n">
        <f aca="false">2025_DWG_Activity!B96</f>
        <v>45973</v>
      </c>
      <c r="C96" s="0" t="str">
        <f aca="false">2025_DWG_Activity!C96</f>
        <v>SQ *ALANA'S COFFEE ROA Los Angeles CA        11/10</v>
      </c>
      <c r="D96" s="7" t="n">
        <f aca="false">2025_DWG_Activity!D96</f>
        <v>-22.14</v>
      </c>
      <c r="E96" s="0" t="str">
        <f aca="false">2025_DWG_Activity!E96</f>
        <v>DEBIT_CARD</v>
      </c>
      <c r="F96" s="7" t="n">
        <f aca="false">2025_DWG_Activity!F96</f>
        <v>623.29</v>
      </c>
      <c r="G96" s="0" t="str">
        <f aca="false">2025_DWG_Activity!G96</f>
        <v>Personal - Food</v>
      </c>
      <c r="H96" s="16" t="n">
        <f aca="false">IF($B96="","",DATE(YEAR($B96),MONTH($B96),1))</f>
        <v>45962</v>
      </c>
      <c r="I96" s="0" t="str">
        <f aca="false">IF($G96="","Uncategorized — Review",IFERROR(INDEX(Mapping!$B:$B,MATCH($G96,Mapping!$A:$A,0)),"Uncategorized — Review"))</f>
        <v>Personal - Food</v>
      </c>
      <c r="J96" s="0" t="str">
        <f aca="false">IF($G96="","Uncategorized — Review",IFERROR(INDEX(Mapping!$C:$C,MATCH($G96,Mapping!$A:$A,0)),"Uncategorized — Review"))</f>
        <v>Personal — Owner</v>
      </c>
    </row>
    <row r="97" customFormat="false" ht="15" hidden="false" customHeight="false" outlineLevel="0" collapsed="false">
      <c r="A97" s="0" t="str">
        <f aca="false">2025_DWG_Activity!A97</f>
        <v>DEBIT</v>
      </c>
      <c r="B97" s="15" t="n">
        <f aca="false">2025_DWG_Activity!B97</f>
        <v>45971</v>
      </c>
      <c r="C97" s="0" t="str">
        <f aca="false">2025_DWG_Activity!C97</f>
        <v>ADOBE  *800-833-6687 ADOBE.LY/ENUS CA        11/10</v>
      </c>
      <c r="D97" s="7" t="n">
        <f aca="false">2025_DWG_Activity!D97</f>
        <v>-37.34</v>
      </c>
      <c r="E97" s="0" t="str">
        <f aca="false">2025_DWG_Activity!E97</f>
        <v>DEBIT_CARD</v>
      </c>
      <c r="F97" s="7" t="n">
        <f aca="false">2025_DWG_Activity!F97</f>
        <v>645.43</v>
      </c>
      <c r="G97" s="0" t="str">
        <f aca="false">2025_DWG_Activity!G97</f>
        <v>Personal - Subscriptions</v>
      </c>
      <c r="H97" s="16" t="n">
        <f aca="false">IF($B97="","",DATE(YEAR($B97),MONTH($B97),1))</f>
        <v>45962</v>
      </c>
      <c r="I97" s="0" t="str">
        <f aca="false">IF($G97="","Uncategorized — Review",IFERROR(INDEX(Mapping!$B:$B,MATCH($G97,Mapping!$A:$A,0)),"Uncategorized — Review"))</f>
        <v>Personal - Subscriptions</v>
      </c>
      <c r="J97" s="0" t="str">
        <f aca="false">IF($G97="","Uncategorized — Review",IFERROR(INDEX(Mapping!$C:$C,MATCH($G97,Mapping!$A:$A,0)),"Uncategorized — Review"))</f>
        <v>Personal — Owner</v>
      </c>
    </row>
    <row r="98" customFormat="false" ht="15" hidden="false" customHeight="false" outlineLevel="0" collapsed="false">
      <c r="A98" s="0" t="str">
        <f aca="false">2025_DWG_Activity!A98</f>
        <v>DEBIT</v>
      </c>
      <c r="B98" s="15" t="n">
        <f aca="false">2025_DWG_Activity!B98</f>
        <v>45971</v>
      </c>
      <c r="C98" s="0" t="str">
        <f aca="false">2025_DWG_Activity!C98</f>
        <v>CITY OF SANTA MONICA SANTA MONICA CA         11/08</v>
      </c>
      <c r="D98" s="7" t="n">
        <f aca="false">2025_DWG_Activity!D98</f>
        <v>-1.25</v>
      </c>
      <c r="E98" s="0" t="str">
        <f aca="false">2025_DWG_Activity!E98</f>
        <v>DEBIT_CARD</v>
      </c>
      <c r="F98" s="7" t="n">
        <f aca="false">2025_DWG_Activity!F98</f>
        <v>682.77</v>
      </c>
      <c r="G98" s="0" t="str">
        <f aca="false">2025_DWG_Activity!G98</f>
        <v>Personal - Car</v>
      </c>
      <c r="H98" s="16" t="n">
        <f aca="false">IF($B98="","",DATE(YEAR($B98),MONTH($B98),1))</f>
        <v>45962</v>
      </c>
      <c r="I98" s="0" t="str">
        <f aca="false">IF($G98="","Uncategorized — Review",IFERROR(INDEX(Mapping!$B:$B,MATCH($G98,Mapping!$A:$A,0)),"Uncategorized — Review"))</f>
        <v>Personal - Car</v>
      </c>
      <c r="J98" s="0" t="str">
        <f aca="false">IF($G98="","Uncategorized — Review",IFERROR(INDEX(Mapping!$C:$C,MATCH($G98,Mapping!$A:$A,0)),"Uncategorized — Review"))</f>
        <v>Personal — Owner</v>
      </c>
    </row>
    <row r="99" customFormat="false" ht="15" hidden="false" customHeight="false" outlineLevel="0" collapsed="false">
      <c r="A99" s="0" t="str">
        <f aca="false">2025_DWG_Activity!A99</f>
        <v>DEBIT</v>
      </c>
      <c r="B99" s="15" t="n">
        <f aca="false">2025_DWG_Activity!B99</f>
        <v>45968</v>
      </c>
      <c r="C99" s="0" t="str">
        <f aca="false">2025_DWG_Activity!C99</f>
        <v>DNH*GODADDY 480-505-8855 AZ                  11/06</v>
      </c>
      <c r="D99" s="7" t="n">
        <f aca="false">2025_DWG_Activity!D99</f>
        <v>-30.97</v>
      </c>
      <c r="E99" s="0" t="str">
        <f aca="false">2025_DWG_Activity!E99</f>
        <v>DEBIT_CARD</v>
      </c>
      <c r="F99" s="7" t="n">
        <f aca="false">2025_DWG_Activity!F99</f>
        <v>684.02</v>
      </c>
      <c r="G99" s="0" t="str">
        <f aca="false">2025_DWG_Activity!G99</f>
        <v>Go Daddy</v>
      </c>
      <c r="H99" s="16" t="n">
        <f aca="false">IF($B99="","",DATE(YEAR($B99),MONTH($B99),1))</f>
        <v>45962</v>
      </c>
      <c r="I99" s="0" t="str">
        <f aca="false">IF($G99="","Uncategorized — Review",IFERROR(INDEX(Mapping!$B:$B,MATCH($G99,Mapping!$A:$A,0)),"Uncategorized — Review"))</f>
        <v>Go Daddy</v>
      </c>
      <c r="J99" s="0" t="str">
        <f aca="false">IF($G99="","Uncategorized — Review",IFERROR(INDEX(Mapping!$C:$C,MATCH($G99,Mapping!$A:$A,0)),"Uncategorized — Review"))</f>
        <v>DWG Operating</v>
      </c>
    </row>
    <row r="100" customFormat="false" ht="15" hidden="false" customHeight="false" outlineLevel="0" collapsed="false">
      <c r="A100" s="0" t="str">
        <f aca="false">2025_DWG_Activity!A100</f>
        <v>DEBIT</v>
      </c>
      <c r="B100" s="15" t="n">
        <f aca="false">2025_DWG_Activity!B100</f>
        <v>45966</v>
      </c>
      <c r="C100" s="0" t="str">
        <f aca="false">2025_DWG_Activity!C100</f>
        <v>DNH*GODADDY 480-505-8855 AZ                  11/04</v>
      </c>
      <c r="D100" s="7" t="n">
        <f aca="false">2025_DWG_Activity!D100</f>
        <v>-40.97</v>
      </c>
      <c r="E100" s="0" t="str">
        <f aca="false">2025_DWG_Activity!E100</f>
        <v>DEBIT_CARD</v>
      </c>
      <c r="F100" s="7" t="n">
        <f aca="false">2025_DWG_Activity!F100</f>
        <v>714.99</v>
      </c>
      <c r="G100" s="0" t="str">
        <f aca="false">2025_DWG_Activity!G100</f>
        <v>Go Daddy</v>
      </c>
      <c r="H100" s="16" t="n">
        <f aca="false">IF($B100="","",DATE(YEAR($B100),MONTH($B100),1))</f>
        <v>45962</v>
      </c>
      <c r="I100" s="0" t="str">
        <f aca="false">IF($G100="","Uncategorized — Review",IFERROR(INDEX(Mapping!$B:$B,MATCH($G100,Mapping!$A:$A,0)),"Uncategorized — Review"))</f>
        <v>Go Daddy</v>
      </c>
      <c r="J100" s="0" t="str">
        <f aca="false">IF($G100="","Uncategorized — Review",IFERROR(INDEX(Mapping!$C:$C,MATCH($G100,Mapping!$A:$A,0)),"Uncategorized — Review"))</f>
        <v>DWG Operating</v>
      </c>
    </row>
    <row r="101" customFormat="false" ht="15" hidden="false" customHeight="false" outlineLevel="0" collapsed="false">
      <c r="A101" s="0" t="str">
        <f aca="false">2025_DWG_Activity!A101</f>
        <v>DEBIT</v>
      </c>
      <c r="B101" s="15" t="n">
        <f aca="false">2025_DWG_Activity!B101</f>
        <v>45964</v>
      </c>
      <c r="C101" s="0" t="str">
        <f aca="false">2025_DWG_Activity!C101</f>
        <v>BENITOS RESTAURANTES FORT WORTH TX           11/02</v>
      </c>
      <c r="D101" s="7" t="n">
        <f aca="false">2025_DWG_Activity!D101</f>
        <v>-68.42</v>
      </c>
      <c r="E101" s="0" t="str">
        <f aca="false">2025_DWG_Activity!E101</f>
        <v>DEBIT_CARD</v>
      </c>
      <c r="F101" s="7" t="n">
        <f aca="false">2025_DWG_Activity!F101</f>
        <v>755.96</v>
      </c>
      <c r="G101" s="0" t="str">
        <f aca="false">2025_DWG_Activity!G101</f>
        <v>Personal - Food</v>
      </c>
      <c r="H101" s="16" t="n">
        <f aca="false">IF($B101="","",DATE(YEAR($B101),MONTH($B101),1))</f>
        <v>45962</v>
      </c>
      <c r="I101" s="0" t="str">
        <f aca="false">IF($G101="","Uncategorized — Review",IFERROR(INDEX(Mapping!$B:$B,MATCH($G101,Mapping!$A:$A,0)),"Uncategorized — Review"))</f>
        <v>Personal - Food</v>
      </c>
      <c r="J101" s="0" t="str">
        <f aca="false">IF($G101="","Uncategorized — Review",IFERROR(INDEX(Mapping!$C:$C,MATCH($G101,Mapping!$A:$A,0)),"Uncategorized — Review"))</f>
        <v>Personal — Owner</v>
      </c>
    </row>
    <row r="102" customFormat="false" ht="15" hidden="false" customHeight="false" outlineLevel="0" collapsed="false">
      <c r="A102" s="0" t="str">
        <f aca="false">2025_DWG_Activity!A102</f>
        <v>DEBIT</v>
      </c>
      <c r="B102" s="15" t="n">
        <f aca="false">2025_DWG_Activity!B102</f>
        <v>45964</v>
      </c>
      <c r="C102" s="0" t="str">
        <f aca="false">2025_DWG_Activity!C102</f>
        <v>DNH*GODADDY 480-505-8855 AZ                  11/01</v>
      </c>
      <c r="D102" s="7" t="n">
        <f aca="false">2025_DWG_Activity!D102</f>
        <v>-21.98</v>
      </c>
      <c r="E102" s="0" t="str">
        <f aca="false">2025_DWG_Activity!E102</f>
        <v>DEBIT_CARD</v>
      </c>
      <c r="F102" s="7" t="n">
        <f aca="false">2025_DWG_Activity!F102</f>
        <v>824.38</v>
      </c>
      <c r="G102" s="0" t="str">
        <f aca="false">2025_DWG_Activity!G102</f>
        <v>Go Daddy</v>
      </c>
      <c r="H102" s="16" t="n">
        <f aca="false">IF($B102="","",DATE(YEAR($B102),MONTH($B102),1))</f>
        <v>45962</v>
      </c>
      <c r="I102" s="0" t="str">
        <f aca="false">IF($G102="","Uncategorized — Review",IFERROR(INDEX(Mapping!$B:$B,MATCH($G102,Mapping!$A:$A,0)),"Uncategorized — Review"))</f>
        <v>Go Daddy</v>
      </c>
      <c r="J102" s="0" t="str">
        <f aca="false">IF($G102="","Uncategorized — Review",IFERROR(INDEX(Mapping!$C:$C,MATCH($G102,Mapping!$A:$A,0)),"Uncategorized — Review"))</f>
        <v>DWG Operating</v>
      </c>
    </row>
    <row r="103" customFormat="false" ht="15" hidden="false" customHeight="false" outlineLevel="0" collapsed="false">
      <c r="A103" s="0" t="str">
        <f aca="false">2025_DWG_Activity!A103</f>
        <v>DEBIT</v>
      </c>
      <c r="B103" s="15" t="n">
        <f aca="false">2025_DWG_Activity!B103</f>
        <v>45960</v>
      </c>
      <c r="C103" s="0" t="str">
        <f aca="false">2025_DWG_Activity!C103</f>
        <v>Basic Online Payroll Payment 11191487512 to ########6812</v>
      </c>
      <c r="D103" s="7" t="n">
        <f aca="false">2025_DWG_Activity!D103</f>
        <v>-5000</v>
      </c>
      <c r="E103" s="0" t="str">
        <f aca="false">2025_DWG_Activity!E103</f>
        <v>BASIC_PAYROLL</v>
      </c>
      <c r="F103" s="7" t="n">
        <f aca="false">2025_DWG_Activity!F103</f>
        <v>846.36</v>
      </c>
      <c r="G103" s="0" t="str">
        <f aca="false">2025_DWG_Activity!G103</f>
        <v>Meg Maran - Payroll</v>
      </c>
      <c r="H103" s="16" t="n">
        <f aca="false">IF($B103="","",DATE(YEAR($B103),MONTH($B103),1))</f>
        <v>45931</v>
      </c>
      <c r="I103" s="0" t="str">
        <f aca="false">IF($G103="","Uncategorized — Review",IFERROR(INDEX(Mapping!$B:$B,MATCH($G103,Mapping!$A:$A,0)),"Uncategorized — Review"))</f>
        <v>Meg Maran - Payroll</v>
      </c>
      <c r="J103" s="0" t="str">
        <f aca="false">IF($G103="","Uncategorized — Review",IFERROR(INDEX(Mapping!$C:$C,MATCH($G103,Mapping!$A:$A,0)),"Uncategorized — Review"))</f>
        <v>Payroll &amp; Contractors</v>
      </c>
    </row>
    <row r="104" customFormat="false" ht="15" hidden="false" customHeight="false" outlineLevel="0" collapsed="false">
      <c r="A104" s="0" t="str">
        <f aca="false">2025_DWG_Activity!A104</f>
        <v>CREDIT</v>
      </c>
      <c r="B104" s="15" t="n">
        <f aca="false">2025_DWG_Activity!B104</f>
        <v>45960</v>
      </c>
      <c r="C104" s="0" t="str">
        <f aca="false">2025_DWG_Activity!C104</f>
        <v>Online Transfer from CHK ...9335 transaction#: 26768022537</v>
      </c>
      <c r="D104" s="7" t="n">
        <f aca="false">2025_DWG_Activity!D104</f>
        <v>5000</v>
      </c>
      <c r="E104" s="0" t="str">
        <f aca="false">2025_DWG_Activity!E104</f>
        <v>ACCT_XFER</v>
      </c>
      <c r="F104" s="7" t="n">
        <f aca="false">2025_DWG_Activity!F104</f>
        <v>5846.36</v>
      </c>
      <c r="G104" s="0" t="str">
        <f aca="false">2025_DWG_Activity!G104</f>
        <v>Transfer from Poseidon Asset Group</v>
      </c>
      <c r="H104" s="16" t="n">
        <f aca="false">IF($B104="","",DATE(YEAR($B104),MONTH($B104),1))</f>
        <v>45931</v>
      </c>
      <c r="I104" s="0" t="str">
        <f aca="false">IF($G104="","Uncategorized — Review",IFERROR(INDEX(Mapping!$B:$B,MATCH($G104,Mapping!$A:$A,0)),"Uncategorized — Review"))</f>
        <v>Transfer from Poseidon Asset Group</v>
      </c>
      <c r="J104" s="0" t="str">
        <f aca="false">IF($G104="","Uncategorized — Review",IFERROR(INDEX(Mapping!$C:$C,MATCH($G104,Mapping!$A:$A,0)),"Uncategorized — Review"))</f>
        <v>Intercompany &amp; Savings Transfers</v>
      </c>
    </row>
    <row r="105" customFormat="false" ht="15" hidden="false" customHeight="false" outlineLevel="0" collapsed="false">
      <c r="A105" s="0" t="str">
        <f aca="false">2025_DWG_Activity!A105</f>
        <v>DEBIT</v>
      </c>
      <c r="B105" s="15" t="n">
        <f aca="false">2025_DWG_Activity!B105</f>
        <v>45953</v>
      </c>
      <c r="C105" s="0" t="str">
        <f aca="false">2025_DWG_Activity!C105</f>
        <v>ActiveCampaign 141-5235186 IL                10/23</v>
      </c>
      <c r="D105" s="7" t="n">
        <f aca="false">2025_DWG_Activity!D105</f>
        <v>-326.8</v>
      </c>
      <c r="E105" s="0" t="str">
        <f aca="false">2025_DWG_Activity!E105</f>
        <v>DEBIT_CARD</v>
      </c>
      <c r="F105" s="7" t="n">
        <f aca="false">2025_DWG_Activity!F105</f>
        <v>846.36</v>
      </c>
      <c r="G105" s="0" t="str">
        <f aca="false">2025_DWG_Activity!G105</f>
        <v>DWG Marketing</v>
      </c>
      <c r="H105" s="16" t="n">
        <f aca="false">IF($B105="","",DATE(YEAR($B105),MONTH($B105),1))</f>
        <v>45931</v>
      </c>
      <c r="I105" s="0" t="str">
        <f aca="false">IF($G105="","Uncategorized — Review",IFERROR(INDEX(Mapping!$B:$B,MATCH($G105,Mapping!$A:$A,0)),"Uncategorized — Review"))</f>
        <v>DWG Marketing</v>
      </c>
      <c r="J105" s="0" t="str">
        <f aca="false">IF($G105="","Uncategorized — Review",IFERROR(INDEX(Mapping!$C:$C,MATCH($G105,Mapping!$A:$A,0)),"Uncategorized — Review"))</f>
        <v>DWG Operating</v>
      </c>
    </row>
    <row r="106" customFormat="false" ht="15" hidden="false" customHeight="false" outlineLevel="0" collapsed="false">
      <c r="A106" s="0" t="str">
        <f aca="false">2025_DWG_Activity!A106</f>
        <v>DEBIT</v>
      </c>
      <c r="B106" s="15" t="n">
        <f aca="false">2025_DWG_Activity!B106</f>
        <v>45950</v>
      </c>
      <c r="C106" s="0" t="str">
        <f aca="false">2025_DWG_Activity!C106</f>
        <v>DNH*GODADDY 480-505-8855 AZ                  10/17</v>
      </c>
      <c r="D106" s="7" t="n">
        <f aca="false">2025_DWG_Activity!D106</f>
        <v>-33.95</v>
      </c>
      <c r="E106" s="0" t="str">
        <f aca="false">2025_DWG_Activity!E106</f>
        <v>DEBIT_CARD</v>
      </c>
      <c r="F106" s="7" t="n">
        <f aca="false">2025_DWG_Activity!F106</f>
        <v>1173.16</v>
      </c>
      <c r="G106" s="0" t="str">
        <f aca="false">2025_DWG_Activity!G106</f>
        <v>Go Daddy</v>
      </c>
      <c r="H106" s="16" t="n">
        <f aca="false">IF($B106="","",DATE(YEAR($B106),MONTH($B106),1))</f>
        <v>45931</v>
      </c>
      <c r="I106" s="0" t="str">
        <f aca="false">IF($G106="","Uncategorized — Review",IFERROR(INDEX(Mapping!$B:$B,MATCH($G106,Mapping!$A:$A,0)),"Uncategorized — Review"))</f>
        <v>Go Daddy</v>
      </c>
      <c r="J106" s="0" t="str">
        <f aca="false">IF($G106="","Uncategorized — Review",IFERROR(INDEX(Mapping!$C:$C,MATCH($G106,Mapping!$A:$A,0)),"Uncategorized — Review"))</f>
        <v>DWG Operating</v>
      </c>
    </row>
    <row r="107" customFormat="false" ht="15" hidden="false" customHeight="false" outlineLevel="0" collapsed="false">
      <c r="A107" s="0" t="str">
        <f aca="false">2025_DWG_Activity!A107</f>
        <v>DEBIT</v>
      </c>
      <c r="B107" s="15" t="n">
        <f aca="false">2025_DWG_Activity!B107</f>
        <v>45946</v>
      </c>
      <c r="C107" s="0" t="str">
        <f aca="false">2025_DWG_Activity!C107</f>
        <v>DNH*GODADDY 480-505-8855 AZ                  10/15</v>
      </c>
      <c r="D107" s="7" t="n">
        <f aca="false">2025_DWG_Activity!D107</f>
        <v>-8.99</v>
      </c>
      <c r="E107" s="0" t="str">
        <f aca="false">2025_DWG_Activity!E107</f>
        <v>DEBIT_CARD</v>
      </c>
      <c r="F107" s="7" t="n">
        <f aca="false">2025_DWG_Activity!F107</f>
        <v>1207.11</v>
      </c>
      <c r="G107" s="0" t="str">
        <f aca="false">2025_DWG_Activity!G107</f>
        <v>Go Daddy</v>
      </c>
      <c r="H107" s="16" t="n">
        <f aca="false">IF($B107="","",DATE(YEAR($B107),MONTH($B107),1))</f>
        <v>45931</v>
      </c>
      <c r="I107" s="0" t="str">
        <f aca="false">IF($G107="","Uncategorized — Review",IFERROR(INDEX(Mapping!$B:$B,MATCH($G107,Mapping!$A:$A,0)),"Uncategorized — Review"))</f>
        <v>Go Daddy</v>
      </c>
      <c r="J107" s="0" t="str">
        <f aca="false">IF($G107="","Uncategorized — Review",IFERROR(INDEX(Mapping!$C:$C,MATCH($G107,Mapping!$A:$A,0)),"Uncategorized — Review"))</f>
        <v>DWG Operating</v>
      </c>
    </row>
    <row r="108" customFormat="false" ht="15" hidden="false" customHeight="false" outlineLevel="0" collapsed="false">
      <c r="A108" s="0" t="str">
        <f aca="false">2025_DWG_Activity!A108</f>
        <v>DEBIT</v>
      </c>
      <c r="B108" s="15" t="n">
        <f aca="false">2025_DWG_Activity!B108</f>
        <v>45945</v>
      </c>
      <c r="C108" s="0" t="str">
        <f aca="false">2025_DWG_Activity!C108</f>
        <v>DNH*GODADDY 480-505-8855 AZ                  10/14</v>
      </c>
      <c r="D108" s="7" t="n">
        <f aca="false">2025_DWG_Activity!D108</f>
        <v>-30.97</v>
      </c>
      <c r="E108" s="0" t="str">
        <f aca="false">2025_DWG_Activity!E108</f>
        <v>DEBIT_CARD</v>
      </c>
      <c r="F108" s="7" t="n">
        <f aca="false">2025_DWG_Activity!F108</f>
        <v>1216.1</v>
      </c>
      <c r="G108" s="0" t="str">
        <f aca="false">2025_DWG_Activity!G108</f>
        <v>Go Daddy</v>
      </c>
      <c r="H108" s="16" t="n">
        <f aca="false">IF($B108="","",DATE(YEAR($B108),MONTH($B108),1))</f>
        <v>45931</v>
      </c>
      <c r="I108" s="0" t="str">
        <f aca="false">IF($G108="","Uncategorized — Review",IFERROR(INDEX(Mapping!$B:$B,MATCH($G108,Mapping!$A:$A,0)),"Uncategorized — Review"))</f>
        <v>Go Daddy</v>
      </c>
      <c r="J108" s="0" t="str">
        <f aca="false">IF($G108="","Uncategorized — Review",IFERROR(INDEX(Mapping!$C:$C,MATCH($G108,Mapping!$A:$A,0)),"Uncategorized — Review"))</f>
        <v>DWG Operating</v>
      </c>
    </row>
    <row r="109" customFormat="false" ht="15" hidden="false" customHeight="false" outlineLevel="0" collapsed="false">
      <c r="A109" s="0" t="str">
        <f aca="false">2025_DWG_Activity!A109</f>
        <v>DEBIT</v>
      </c>
      <c r="B109" s="15" t="n">
        <f aca="false">2025_DWG_Activity!B109</f>
        <v>45944</v>
      </c>
      <c r="C109" s="0" t="str">
        <f aca="false">2025_DWG_Activity!C109</f>
        <v>Basic Online Payroll Payment 11189665624 to ########6812</v>
      </c>
      <c r="D109" s="7" t="n">
        <f aca="false">2025_DWG_Activity!D109</f>
        <v>-5000</v>
      </c>
      <c r="E109" s="0" t="str">
        <f aca="false">2025_DWG_Activity!E109</f>
        <v>BASIC_PAYROLL</v>
      </c>
      <c r="F109" s="7" t="n">
        <f aca="false">2025_DWG_Activity!F109</f>
        <v>1247.07</v>
      </c>
      <c r="G109" s="0" t="str">
        <f aca="false">2025_DWG_Activity!G109</f>
        <v>Meg Maran - Payroll</v>
      </c>
      <c r="H109" s="16" t="n">
        <f aca="false">IF($B109="","",DATE(YEAR($B109),MONTH($B109),1))</f>
        <v>45931</v>
      </c>
      <c r="I109" s="0" t="str">
        <f aca="false">IF($G109="","Uncategorized — Review",IFERROR(INDEX(Mapping!$B:$B,MATCH($G109,Mapping!$A:$A,0)),"Uncategorized — Review"))</f>
        <v>Meg Maran - Payroll</v>
      </c>
      <c r="J109" s="0" t="str">
        <f aca="false">IF($G109="","Uncategorized — Review",IFERROR(INDEX(Mapping!$C:$C,MATCH($G109,Mapping!$A:$A,0)),"Uncategorized — Review"))</f>
        <v>Payroll &amp; Contractors</v>
      </c>
    </row>
    <row r="110" customFormat="false" ht="15" hidden="false" customHeight="false" outlineLevel="0" collapsed="false">
      <c r="A110" s="0" t="str">
        <f aca="false">2025_DWG_Activity!A110</f>
        <v>DEBIT</v>
      </c>
      <c r="B110" s="15" t="n">
        <f aca="false">2025_DWG_Activity!B110</f>
        <v>45944</v>
      </c>
      <c r="C110" s="0" t="str">
        <f aca="false">2025_DWG_Activity!C110</f>
        <v>DNH*GODADDY#39218986 https://www.g AZ        10/13</v>
      </c>
      <c r="D110" s="7" t="n">
        <f aca="false">2025_DWG_Activity!D110</f>
        <v>-67.92</v>
      </c>
      <c r="E110" s="0" t="str">
        <f aca="false">2025_DWG_Activity!E110</f>
        <v>DEBIT_CARD</v>
      </c>
      <c r="F110" s="7" t="n">
        <f aca="false">2025_DWG_Activity!F110</f>
        <v>6247.07</v>
      </c>
      <c r="G110" s="0" t="str">
        <f aca="false">2025_DWG_Activity!G110</f>
        <v>Go Daddy</v>
      </c>
      <c r="H110" s="16" t="n">
        <f aca="false">IF($B110="","",DATE(YEAR($B110),MONTH($B110),1))</f>
        <v>45931</v>
      </c>
      <c r="I110" s="0" t="str">
        <f aca="false">IF($G110="","Uncategorized — Review",IFERROR(INDEX(Mapping!$B:$B,MATCH($G110,Mapping!$A:$A,0)),"Uncategorized — Review"))</f>
        <v>Go Daddy</v>
      </c>
      <c r="J110" s="0" t="str">
        <f aca="false">IF($G110="","Uncategorized — Review",IFERROR(INDEX(Mapping!$C:$C,MATCH($G110,Mapping!$A:$A,0)),"Uncategorized — Review"))</f>
        <v>DWG Operating</v>
      </c>
    </row>
    <row r="111" customFormat="false" ht="15" hidden="false" customHeight="false" outlineLevel="0" collapsed="false">
      <c r="A111" s="0" t="str">
        <f aca="false">2025_DWG_Activity!A111</f>
        <v>DEBIT</v>
      </c>
      <c r="B111" s="15" t="n">
        <f aca="false">2025_DWG_Activity!B111</f>
        <v>45944</v>
      </c>
      <c r="C111" s="0" t="str">
        <f aca="false">2025_DWG_Activity!C111</f>
        <v>ADOBE  *800-833-6687 ADOBE.LY/ENUS CA        10/13</v>
      </c>
      <c r="D111" s="7" t="n">
        <f aca="false">2025_DWG_Activity!D111</f>
        <v>-21.64</v>
      </c>
      <c r="E111" s="0" t="str">
        <f aca="false">2025_DWG_Activity!E111</f>
        <v>DEBIT_CARD</v>
      </c>
      <c r="F111" s="7" t="n">
        <f aca="false">2025_DWG_Activity!F111</f>
        <v>6314.99</v>
      </c>
      <c r="G111" s="0" t="str">
        <f aca="false">2025_DWG_Activity!G111</f>
        <v>Personal - Subscriptions</v>
      </c>
      <c r="H111" s="16" t="n">
        <f aca="false">IF($B111="","",DATE(YEAR($B111),MONTH($B111),1))</f>
        <v>45931</v>
      </c>
      <c r="I111" s="0" t="str">
        <f aca="false">IF($G111="","Uncategorized — Review",IFERROR(INDEX(Mapping!$B:$B,MATCH($G111,Mapping!$A:$A,0)),"Uncategorized — Review"))</f>
        <v>Personal - Subscriptions</v>
      </c>
      <c r="J111" s="0" t="str">
        <f aca="false">IF($G111="","Uncategorized — Review",IFERROR(INDEX(Mapping!$C:$C,MATCH($G111,Mapping!$A:$A,0)),"Uncategorized — Review"))</f>
        <v>Personal — Owner</v>
      </c>
    </row>
    <row r="112" customFormat="false" ht="15" hidden="false" customHeight="false" outlineLevel="0" collapsed="false">
      <c r="A112" s="0" t="str">
        <f aca="false">2025_DWG_Activity!A112</f>
        <v>DEBIT</v>
      </c>
      <c r="B112" s="15" t="n">
        <f aca="false">2025_DWG_Activity!B112</f>
        <v>45944</v>
      </c>
      <c r="C112" s="0" t="str">
        <f aca="false">2025_DWG_Activity!C112</f>
        <v>DNH*GODADDY#39202443 https://www.g AZ        10/11</v>
      </c>
      <c r="D112" s="7" t="n">
        <f aca="false">2025_DWG_Activity!D112</f>
        <v>-21.98</v>
      </c>
      <c r="E112" s="0" t="str">
        <f aca="false">2025_DWG_Activity!E112</f>
        <v>DEBIT_CARD</v>
      </c>
      <c r="F112" s="7" t="n">
        <f aca="false">2025_DWG_Activity!F112</f>
        <v>6336.63</v>
      </c>
      <c r="G112" s="0" t="str">
        <f aca="false">2025_DWG_Activity!G112</f>
        <v>Go Daddy</v>
      </c>
      <c r="H112" s="16" t="n">
        <f aca="false">IF($B112="","",DATE(YEAR($B112),MONTH($B112),1))</f>
        <v>45931</v>
      </c>
      <c r="I112" s="0" t="str">
        <f aca="false">IF($G112="","Uncategorized — Review",IFERROR(INDEX(Mapping!$B:$B,MATCH($G112,Mapping!$A:$A,0)),"Uncategorized — Review"))</f>
        <v>Go Daddy</v>
      </c>
      <c r="J112" s="0" t="str">
        <f aca="false">IF($G112="","Uncategorized — Review",IFERROR(INDEX(Mapping!$C:$C,MATCH($G112,Mapping!$A:$A,0)),"Uncategorized — Review"))</f>
        <v>DWG Operating</v>
      </c>
    </row>
    <row r="113" customFormat="false" ht="15" hidden="false" customHeight="false" outlineLevel="0" collapsed="false">
      <c r="A113" s="0" t="str">
        <f aca="false">2025_DWG_Activity!A113</f>
        <v>DEBIT</v>
      </c>
      <c r="B113" s="15" t="n">
        <f aca="false">2025_DWG_Activity!B113</f>
        <v>45944</v>
      </c>
      <c r="C113" s="0" t="str">
        <f aca="false">2025_DWG_Activity!C113</f>
        <v>WIX.COM 1203133663 WWW.WIX.COM CA            10/11</v>
      </c>
      <c r="D113" s="7" t="n">
        <f aca="false">2025_DWG_Activity!D113</f>
        <v>-371.49</v>
      </c>
      <c r="E113" s="0" t="str">
        <f aca="false">2025_DWG_Activity!E113</f>
        <v>DEBIT_CARD</v>
      </c>
      <c r="F113" s="7" t="n">
        <f aca="false">2025_DWG_Activity!F113</f>
        <v>6358.61</v>
      </c>
      <c r="G113" s="0" t="str">
        <f aca="false">2025_DWG_Activity!G113</f>
        <v>Personal - Subscriptions</v>
      </c>
      <c r="H113" s="16" t="n">
        <f aca="false">IF($B113="","",DATE(YEAR($B113),MONTH($B113),1))</f>
        <v>45931</v>
      </c>
      <c r="I113" s="0" t="str">
        <f aca="false">IF($G113="","Uncategorized — Review",IFERROR(INDEX(Mapping!$B:$B,MATCH($G113,Mapping!$A:$A,0)),"Uncategorized — Review"))</f>
        <v>Personal - Subscriptions</v>
      </c>
      <c r="J113" s="0" t="str">
        <f aca="false">IF($G113="","Uncategorized — Review",IFERROR(INDEX(Mapping!$C:$C,MATCH($G113,Mapping!$A:$A,0)),"Uncategorized — Review"))</f>
        <v>Personal — Owner</v>
      </c>
    </row>
    <row r="114" customFormat="false" ht="15" hidden="false" customHeight="false" outlineLevel="0" collapsed="false">
      <c r="A114" s="0" t="str">
        <f aca="false">2025_DWG_Activity!A114</f>
        <v>CREDIT</v>
      </c>
      <c r="B114" s="15" t="n">
        <f aca="false">2025_DWG_Activity!B114</f>
        <v>45944</v>
      </c>
      <c r="C114" s="0" t="str">
        <f aca="false">2025_DWG_Activity!C114</f>
        <v>Online Transfer from CHK ...9335 transaction#: 26582712162</v>
      </c>
      <c r="D114" s="7" t="n">
        <f aca="false">2025_DWG_Activity!D114</f>
        <v>5000</v>
      </c>
      <c r="E114" s="0" t="str">
        <f aca="false">2025_DWG_Activity!E114</f>
        <v>ACCT_XFER</v>
      </c>
      <c r="F114" s="7" t="n">
        <f aca="false">2025_DWG_Activity!F114</f>
        <v>6730.1</v>
      </c>
      <c r="G114" s="0" t="str">
        <f aca="false">2025_DWG_Activity!G114</f>
        <v>Transfer from Poseidon Asset Group</v>
      </c>
      <c r="H114" s="16" t="n">
        <f aca="false">IF($B114="","",DATE(YEAR($B114),MONTH($B114),1))</f>
        <v>45931</v>
      </c>
      <c r="I114" s="0" t="str">
        <f aca="false">IF($G114="","Uncategorized — Review",IFERROR(INDEX(Mapping!$B:$B,MATCH($G114,Mapping!$A:$A,0)),"Uncategorized — Review"))</f>
        <v>Transfer from Poseidon Asset Group</v>
      </c>
      <c r="J114" s="0" t="str">
        <f aca="false">IF($G114="","Uncategorized — Review",IFERROR(INDEX(Mapping!$C:$C,MATCH($G114,Mapping!$A:$A,0)),"Uncategorized — Review"))</f>
        <v>Intercompany &amp; Savings Transfers</v>
      </c>
    </row>
    <row r="115" customFormat="false" ht="15" hidden="false" customHeight="false" outlineLevel="0" collapsed="false">
      <c r="A115" s="0" t="str">
        <f aca="false">2025_DWG_Activity!A115</f>
        <v>DEBIT</v>
      </c>
      <c r="B115" s="15" t="n">
        <f aca="false">2025_DWG_Activity!B115</f>
        <v>45940</v>
      </c>
      <c r="C115" s="0" t="str">
        <f aca="false">2025_DWG_Activity!C115</f>
        <v>ADOBE  *800-833-6687 ADOBE.LY/ENUS CA        10/10</v>
      </c>
      <c r="D115" s="7" t="n">
        <f aca="false">2025_DWG_Activity!D115</f>
        <v>-37.34</v>
      </c>
      <c r="E115" s="0" t="str">
        <f aca="false">2025_DWG_Activity!E115</f>
        <v>DEBIT_CARD</v>
      </c>
      <c r="F115" s="7" t="n">
        <f aca="false">2025_DWG_Activity!F115</f>
        <v>1730.1</v>
      </c>
      <c r="G115" s="0" t="str">
        <f aca="false">2025_DWG_Activity!G115</f>
        <v>Personal - Subscriptions</v>
      </c>
      <c r="H115" s="16" t="n">
        <f aca="false">IF($B115="","",DATE(YEAR($B115),MONTH($B115),1))</f>
        <v>45931</v>
      </c>
      <c r="I115" s="0" t="str">
        <f aca="false">IF($G115="","Uncategorized — Review",IFERROR(INDEX(Mapping!$B:$B,MATCH($G115,Mapping!$A:$A,0)),"Uncategorized — Review"))</f>
        <v>Personal - Subscriptions</v>
      </c>
      <c r="J115" s="0" t="str">
        <f aca="false">IF($G115="","Uncategorized — Review",IFERROR(INDEX(Mapping!$C:$C,MATCH($G115,Mapping!$A:$A,0)),"Uncategorized — Review"))</f>
        <v>Personal — Owner</v>
      </c>
    </row>
    <row r="116" customFormat="false" ht="15" hidden="false" customHeight="false" outlineLevel="0" collapsed="false">
      <c r="A116" s="0" t="str">
        <f aca="false">2025_DWG_Activity!A116</f>
        <v>DEBIT</v>
      </c>
      <c r="B116" s="15" t="n">
        <f aca="false">2025_DWG_Activity!B116</f>
        <v>45937</v>
      </c>
      <c r="C116" s="0" t="str">
        <f aca="false">2025_DWG_Activity!C116</f>
        <v>DNH*GODADDY#39158132 https://www.g AZ        10/06</v>
      </c>
      <c r="D116" s="7" t="n">
        <f aca="false">2025_DWG_Activity!D116</f>
        <v>-30.97</v>
      </c>
      <c r="E116" s="0" t="str">
        <f aca="false">2025_DWG_Activity!E116</f>
        <v>DEBIT_CARD</v>
      </c>
      <c r="F116" s="7" t="n">
        <f aca="false">2025_DWG_Activity!F116</f>
        <v>1767.44</v>
      </c>
      <c r="G116" s="0" t="str">
        <f aca="false">2025_DWG_Activity!G116</f>
        <v>Go Daddy</v>
      </c>
      <c r="H116" s="16" t="n">
        <f aca="false">IF($B116="","",DATE(YEAR($B116),MONTH($B116),1))</f>
        <v>45931</v>
      </c>
      <c r="I116" s="0" t="str">
        <f aca="false">IF($G116="","Uncategorized — Review",IFERROR(INDEX(Mapping!$B:$B,MATCH($G116,Mapping!$A:$A,0)),"Uncategorized — Review"))</f>
        <v>Go Daddy</v>
      </c>
      <c r="J116" s="0" t="str">
        <f aca="false">IF($G116="","Uncategorized — Review",IFERROR(INDEX(Mapping!$C:$C,MATCH($G116,Mapping!$A:$A,0)),"Uncategorized — Review"))</f>
        <v>DWG Operating</v>
      </c>
    </row>
    <row r="117" customFormat="false" ht="15" hidden="false" customHeight="false" outlineLevel="0" collapsed="false">
      <c r="A117" s="0" t="str">
        <f aca="false">2025_DWG_Activity!A117</f>
        <v>DEBIT</v>
      </c>
      <c r="B117" s="15" t="n">
        <f aca="false">2025_DWG_Activity!B117</f>
        <v>45936</v>
      </c>
      <c r="C117" s="0" t="str">
        <f aca="false">2025_DWG_Activity!C117</f>
        <v>DNH*GODADDY#39142689 https://www.g AZ        10/04</v>
      </c>
      <c r="D117" s="7" t="n">
        <f aca="false">2025_DWG_Activity!D117</f>
        <v>-40.97</v>
      </c>
      <c r="E117" s="0" t="str">
        <f aca="false">2025_DWG_Activity!E117</f>
        <v>DEBIT_CARD</v>
      </c>
      <c r="F117" s="7" t="n">
        <f aca="false">2025_DWG_Activity!F117</f>
        <v>1798.41</v>
      </c>
      <c r="G117" s="0" t="str">
        <f aca="false">2025_DWG_Activity!G117</f>
        <v>Go Daddy</v>
      </c>
      <c r="H117" s="16" t="n">
        <f aca="false">IF($B117="","",DATE(YEAR($B117),MONTH($B117),1))</f>
        <v>45931</v>
      </c>
      <c r="I117" s="0" t="str">
        <f aca="false">IF($G117="","Uncategorized — Review",IFERROR(INDEX(Mapping!$B:$B,MATCH($G117,Mapping!$A:$A,0)),"Uncategorized — Review"))</f>
        <v>Go Daddy</v>
      </c>
      <c r="J117" s="0" t="str">
        <f aca="false">IF($G117="","Uncategorized — Review",IFERROR(INDEX(Mapping!$C:$C,MATCH($G117,Mapping!$A:$A,0)),"Uncategorized — Review"))</f>
        <v>DWG Operating</v>
      </c>
    </row>
    <row r="118" customFormat="false" ht="15" hidden="false" customHeight="false" outlineLevel="0" collapsed="false">
      <c r="A118" s="0" t="str">
        <f aca="false">2025_DWG_Activity!A118</f>
        <v>DEBIT</v>
      </c>
      <c r="B118" s="15" t="n">
        <f aca="false">2025_DWG_Activity!B118</f>
        <v>45933</v>
      </c>
      <c r="C118" s="0" t="str">
        <f aca="false">2025_DWG_Activity!C118</f>
        <v>SQ *ALANA'S COFFEE ROA Los Angeles CA        10/02</v>
      </c>
      <c r="D118" s="7" t="n">
        <f aca="false">2025_DWG_Activity!D118</f>
        <v>-22.2</v>
      </c>
      <c r="E118" s="0" t="str">
        <f aca="false">2025_DWG_Activity!E118</f>
        <v>DEBIT_CARD</v>
      </c>
      <c r="F118" s="7" t="n">
        <f aca="false">2025_DWG_Activity!F118</f>
        <v>1839.38</v>
      </c>
      <c r="G118" s="0" t="str">
        <f aca="false">2025_DWG_Activity!G118</f>
        <v>Personal - Food</v>
      </c>
      <c r="H118" s="16" t="n">
        <f aca="false">IF($B118="","",DATE(YEAR($B118),MONTH($B118),1))</f>
        <v>45931</v>
      </c>
      <c r="I118" s="0" t="str">
        <f aca="false">IF($G118="","Uncategorized — Review",IFERROR(INDEX(Mapping!$B:$B,MATCH($G118,Mapping!$A:$A,0)),"Uncategorized — Review"))</f>
        <v>Personal - Food</v>
      </c>
      <c r="J118" s="0" t="str">
        <f aca="false">IF($G118="","Uncategorized — Review",IFERROR(INDEX(Mapping!$C:$C,MATCH($G118,Mapping!$A:$A,0)),"Uncategorized — Review"))</f>
        <v>Personal — Owner</v>
      </c>
    </row>
    <row r="119" customFormat="false" ht="15" hidden="false" customHeight="false" outlineLevel="0" collapsed="false">
      <c r="A119" s="0" t="str">
        <f aca="false">2025_DWG_Activity!A119</f>
        <v>DEBIT</v>
      </c>
      <c r="B119" s="15" t="n">
        <f aca="false">2025_DWG_Activity!B119</f>
        <v>45933</v>
      </c>
      <c r="C119" s="0" t="str">
        <f aca="false">2025_DWG_Activity!C119</f>
        <v>STARBUCKS STORE 22640 LOS ANGELES CA         10/02</v>
      </c>
      <c r="D119" s="7" t="n">
        <f aca="false">2025_DWG_Activity!D119</f>
        <v>-4.75</v>
      </c>
      <c r="E119" s="0" t="str">
        <f aca="false">2025_DWG_Activity!E119</f>
        <v>DEBIT_CARD</v>
      </c>
      <c r="F119" s="7" t="n">
        <f aca="false">2025_DWG_Activity!F119</f>
        <v>1861.58</v>
      </c>
      <c r="G119" s="0" t="str">
        <f aca="false">2025_DWG_Activity!G119</f>
        <v>Personal - Food</v>
      </c>
      <c r="H119" s="16" t="n">
        <f aca="false">IF($B119="","",DATE(YEAR($B119),MONTH($B119),1))</f>
        <v>45931</v>
      </c>
      <c r="I119" s="0" t="str">
        <f aca="false">IF($G119="","Uncategorized — Review",IFERROR(INDEX(Mapping!$B:$B,MATCH($G119,Mapping!$A:$A,0)),"Uncategorized — Review"))</f>
        <v>Personal - Food</v>
      </c>
      <c r="J119" s="0" t="str">
        <f aca="false">IF($G119="","Uncategorized — Review",IFERROR(INDEX(Mapping!$C:$C,MATCH($G119,Mapping!$A:$A,0)),"Uncategorized — Review"))</f>
        <v>Personal — Owner</v>
      </c>
    </row>
    <row r="120" customFormat="false" ht="15" hidden="false" customHeight="false" outlineLevel="0" collapsed="false">
      <c r="A120" s="0" t="str">
        <f aca="false">2025_DWG_Activity!A120</f>
        <v>DEBIT</v>
      </c>
      <c r="B120" s="15" t="n">
        <f aca="false">2025_DWG_Activity!B120</f>
        <v>45932</v>
      </c>
      <c r="C120" s="0" t="str">
        <f aca="false">2025_DWG_Activity!C120</f>
        <v>DNH*GODADDY#39115298 https://www.g AZ        10/01</v>
      </c>
      <c r="D120" s="7" t="n">
        <f aca="false">2025_DWG_Activity!D120</f>
        <v>-21.98</v>
      </c>
      <c r="E120" s="0" t="str">
        <f aca="false">2025_DWG_Activity!E120</f>
        <v>DEBIT_CARD</v>
      </c>
      <c r="F120" s="7" t="n">
        <f aca="false">2025_DWG_Activity!F120</f>
        <v>1866.33</v>
      </c>
      <c r="G120" s="0" t="str">
        <f aca="false">2025_DWG_Activity!G120</f>
        <v>Go Daddy</v>
      </c>
      <c r="H120" s="16" t="n">
        <f aca="false">IF($B120="","",DATE(YEAR($B120),MONTH($B120),1))</f>
        <v>45931</v>
      </c>
      <c r="I120" s="0" t="str">
        <f aca="false">IF($G120="","Uncategorized — Review",IFERROR(INDEX(Mapping!$B:$B,MATCH($G120,Mapping!$A:$A,0)),"Uncategorized — Review"))</f>
        <v>Go Daddy</v>
      </c>
      <c r="J120" s="0" t="str">
        <f aca="false">IF($G120="","Uncategorized — Review",IFERROR(INDEX(Mapping!$C:$C,MATCH($G120,Mapping!$A:$A,0)),"Uncategorized — Review"))</f>
        <v>DWG Operating</v>
      </c>
    </row>
    <row r="121" customFormat="false" ht="15" hidden="false" customHeight="false" outlineLevel="0" collapsed="false">
      <c r="A121" s="0" t="str">
        <f aca="false">2025_DWG_Activity!A121</f>
        <v>DEBIT</v>
      </c>
      <c r="B121" s="15" t="n">
        <f aca="false">2025_DWG_Activity!B121</f>
        <v>45931</v>
      </c>
      <c r="C121" s="0" t="str">
        <f aca="false">2025_DWG_Activity!C121</f>
        <v>Online Transfer to CHK ...8577 transaction#: 26425484519 10/01</v>
      </c>
      <c r="D121" s="7" t="n">
        <f aca="false">2025_DWG_Activity!D121</f>
        <v>-250000</v>
      </c>
      <c r="E121" s="0" t="str">
        <f aca="false">2025_DWG_Activity!E121</f>
        <v>ACCT_XFER</v>
      </c>
      <c r="F121" s="7" t="n">
        <f aca="false">2025_DWG_Activity!F121</f>
        <v>1888.31</v>
      </c>
      <c r="G121" s="0" t="str">
        <f aca="false">2025_DWG_Activity!G121</f>
        <v>Transfer to AIMP</v>
      </c>
      <c r="H121" s="16" t="n">
        <f aca="false">IF($B121="","",DATE(YEAR($B121),MONTH($B121),1))</f>
        <v>45931</v>
      </c>
      <c r="I121" s="0" t="str">
        <f aca="false">IF($G121="","Uncategorized — Review",IFERROR(INDEX(Mapping!$B:$B,MATCH($G121,Mapping!$A:$A,0)),"Uncategorized — Review"))</f>
        <v>Transfer to AIMP</v>
      </c>
      <c r="J121" s="0" t="str">
        <f aca="false">IF($G121="","Uncategorized — Review",IFERROR(INDEX(Mapping!$C:$C,MATCH($G121,Mapping!$A:$A,0)),"Uncategorized — Review"))</f>
        <v>Intercompany &amp; Savings Transfers</v>
      </c>
    </row>
    <row r="122" customFormat="false" ht="15" hidden="false" customHeight="false" outlineLevel="0" collapsed="false">
      <c r="A122" s="0" t="str">
        <f aca="false">2025_DWG_Activity!A122</f>
        <v>CREDIT</v>
      </c>
      <c r="B122" s="15" t="n">
        <f aca="false">2025_DWG_Activity!B122</f>
        <v>45931</v>
      </c>
      <c r="C122" s="0" t="str">
        <f aca="false">2025_DWG_Activity!C122</f>
        <v>Online Transfer from CHK ...8577 transaction#: 26423293872</v>
      </c>
      <c r="D122" s="7" t="n">
        <f aca="false">2025_DWG_Activity!D122</f>
        <v>250000</v>
      </c>
      <c r="E122" s="0" t="str">
        <f aca="false">2025_DWG_Activity!E122</f>
        <v>ACCT_XFER</v>
      </c>
      <c r="F122" s="7" t="n">
        <f aca="false">2025_DWG_Activity!F122</f>
        <v>251888.31</v>
      </c>
      <c r="G122" s="0" t="str">
        <f aca="false">2025_DWG_Activity!G122</f>
        <v>Transfer from AIMP</v>
      </c>
      <c r="H122" s="16" t="n">
        <f aca="false">IF($B122="","",DATE(YEAR($B122),MONTH($B122),1))</f>
        <v>45931</v>
      </c>
      <c r="I122" s="0" t="str">
        <f aca="false">IF($G122="","Uncategorized — Review",IFERROR(INDEX(Mapping!$B:$B,MATCH($G122,Mapping!$A:$A,0)),"Uncategorized — Review"))</f>
        <v>Transfer from AIMP</v>
      </c>
      <c r="J122" s="0" t="str">
        <f aca="false">IF($G122="","Uncategorized — Review",IFERROR(INDEX(Mapping!$C:$C,MATCH($G122,Mapping!$A:$A,0)),"Uncategorized — Review"))</f>
        <v>Intercompany &amp; Savings Transfers</v>
      </c>
    </row>
    <row r="123" customFormat="false" ht="15" hidden="false" customHeight="false" outlineLevel="0" collapsed="false">
      <c r="A123" s="0" t="str">
        <f aca="false">2025_DWG_Activity!A123</f>
        <v>DEBIT</v>
      </c>
      <c r="B123" s="15" t="n">
        <f aca="false">2025_DWG_Activity!B123</f>
        <v>45930</v>
      </c>
      <c r="C123" s="0" t="str">
        <f aca="false">2025_DWG_Activity!C123</f>
        <v>BLUE SHIELD CALIFORNI 800-393-6130 CA        09/30</v>
      </c>
      <c r="D123" s="7" t="n">
        <f aca="false">2025_DWG_Activity!D123</f>
        <v>-1190.49</v>
      </c>
      <c r="E123" s="0" t="str">
        <f aca="false">2025_DWG_Activity!E123</f>
        <v>DEBIT_CARD</v>
      </c>
      <c r="F123" s="7" t="n">
        <f aca="false">2025_DWG_Activity!F123</f>
        <v>1888.31</v>
      </c>
      <c r="G123" s="0" t="str">
        <f aca="false">2025_DWG_Activity!G123</f>
        <v>Personal - Health</v>
      </c>
      <c r="H123" s="16" t="n">
        <f aca="false">IF($B123="","",DATE(YEAR($B123),MONTH($B123),1))</f>
        <v>45901</v>
      </c>
      <c r="I123" s="0" t="str">
        <f aca="false">IF($G123="","Uncategorized — Review",IFERROR(INDEX(Mapping!$B:$B,MATCH($G123,Mapping!$A:$A,0)),"Uncategorized — Review"))</f>
        <v>Personal - Health</v>
      </c>
      <c r="J123" s="0" t="str">
        <f aca="false">IF($G123="","Uncategorized — Review",IFERROR(INDEX(Mapping!$C:$C,MATCH($G123,Mapping!$A:$A,0)),"Uncategorized — Review"))</f>
        <v>Personal — Owner</v>
      </c>
    </row>
    <row r="124" customFormat="false" ht="15" hidden="false" customHeight="false" outlineLevel="0" collapsed="false">
      <c r="A124" s="0" t="str">
        <f aca="false">2025_DWG_Activity!A124</f>
        <v>DEBIT</v>
      </c>
      <c r="B124" s="15" t="n">
        <f aca="false">2025_DWG_Activity!B124</f>
        <v>45930</v>
      </c>
      <c r="C124" s="0" t="str">
        <f aca="false">2025_DWG_Activity!C124</f>
        <v>Basic Online Payroll Payment 11187614834 to ######7939</v>
      </c>
      <c r="D124" s="7" t="n">
        <f aca="false">2025_DWG_Activity!D124</f>
        <v>-5000</v>
      </c>
      <c r="E124" s="0" t="str">
        <f aca="false">2025_DWG_Activity!E124</f>
        <v>BASIC_PAYROLL</v>
      </c>
      <c r="F124" s="7" t="n">
        <f aca="false">2025_DWG_Activity!F124</f>
        <v>3078.8</v>
      </c>
      <c r="G124" s="0" t="str">
        <f aca="false">2025_DWG_Activity!G124</f>
        <v>Ryan Billings - Payroll</v>
      </c>
      <c r="H124" s="16" t="n">
        <f aca="false">IF($B124="","",DATE(YEAR($B124),MONTH($B124),1))</f>
        <v>45901</v>
      </c>
      <c r="I124" s="0" t="str">
        <f aca="false">IF($G124="","Uncategorized — Review",IFERROR(INDEX(Mapping!$B:$B,MATCH($G124,Mapping!$A:$A,0)),"Uncategorized — Review"))</f>
        <v>Ryan Billings - Payroll</v>
      </c>
      <c r="J124" s="0" t="str">
        <f aca="false">IF($G124="","Uncategorized — Review",IFERROR(INDEX(Mapping!$C:$C,MATCH($G124,Mapping!$A:$A,0)),"Uncategorized — Review"))</f>
        <v>Payroll &amp; Contractors</v>
      </c>
    </row>
    <row r="125" customFormat="false" ht="15" hidden="false" customHeight="false" outlineLevel="0" collapsed="false">
      <c r="A125" s="0" t="str">
        <f aca="false">2025_DWG_Activity!A125</f>
        <v>DEBIT</v>
      </c>
      <c r="B125" s="15" t="n">
        <f aca="false">2025_DWG_Activity!B125</f>
        <v>45930</v>
      </c>
      <c r="C125" s="0" t="str">
        <f aca="false">2025_DWG_Activity!C125</f>
        <v>Basic Online Payroll Payment 11187626445 to ########6812</v>
      </c>
      <c r="D125" s="7" t="n">
        <f aca="false">2025_DWG_Activity!D125</f>
        <v>-5000</v>
      </c>
      <c r="E125" s="0" t="str">
        <f aca="false">2025_DWG_Activity!E125</f>
        <v>BASIC_PAYROLL</v>
      </c>
      <c r="F125" s="7" t="n">
        <f aca="false">2025_DWG_Activity!F125</f>
        <v>8078.8</v>
      </c>
      <c r="G125" s="0" t="str">
        <f aca="false">2025_DWG_Activity!G125</f>
        <v>Meg Maran - Payroll</v>
      </c>
      <c r="H125" s="16" t="n">
        <f aca="false">IF($B125="","",DATE(YEAR($B125),MONTH($B125),1))</f>
        <v>45901</v>
      </c>
      <c r="I125" s="0" t="str">
        <f aca="false">IF($G125="","Uncategorized — Review",IFERROR(INDEX(Mapping!$B:$B,MATCH($G125,Mapping!$A:$A,0)),"Uncategorized — Review"))</f>
        <v>Meg Maran - Payroll</v>
      </c>
      <c r="J125" s="0" t="str">
        <f aca="false">IF($G125="","Uncategorized — Review",IFERROR(INDEX(Mapping!$C:$C,MATCH($G125,Mapping!$A:$A,0)),"Uncategorized — Review"))</f>
        <v>Payroll &amp; Contractors</v>
      </c>
    </row>
    <row r="126" customFormat="false" ht="15" hidden="false" customHeight="false" outlineLevel="0" collapsed="false">
      <c r="A126" s="0" t="str">
        <f aca="false">2025_DWG_Activity!A126</f>
        <v>CREDIT</v>
      </c>
      <c r="B126" s="15" t="n">
        <f aca="false">2025_DWG_Activity!B126</f>
        <v>45929</v>
      </c>
      <c r="C126" s="0" t="str">
        <f aca="false">2025_DWG_Activity!C126</f>
        <v>Online Transfer from CHK ...1168 transaction#: 26399295464</v>
      </c>
      <c r="D126" s="7" t="n">
        <f aca="false">2025_DWG_Activity!D126</f>
        <v>12000</v>
      </c>
      <c r="E126" s="0" t="str">
        <f aca="false">2025_DWG_Activity!E126</f>
        <v>ACCT_XFER</v>
      </c>
      <c r="F126" s="7" t="n">
        <f aca="false">2025_DWG_Activity!F126</f>
        <v>13078.8</v>
      </c>
      <c r="G126" s="0" t="str">
        <f aca="false">2025_DWG_Activity!G126</f>
        <v>Transfer from DWG Capital Group</v>
      </c>
      <c r="H126" s="16" t="n">
        <f aca="false">IF($B126="","",DATE(YEAR($B126),MONTH($B126),1))</f>
        <v>45901</v>
      </c>
      <c r="I126" s="0" t="str">
        <f aca="false">IF($G126="","Uncategorized — Review",IFERROR(INDEX(Mapping!$B:$B,MATCH($G126,Mapping!$A:$A,0)),"Uncategorized — Review"))</f>
        <v>Transfer from DWG Capital Group</v>
      </c>
      <c r="J126" s="0" t="str">
        <f aca="false">IF($G126="","Uncategorized — Review",IFERROR(INDEX(Mapping!$C:$C,MATCH($G126,Mapping!$A:$A,0)),"Uncategorized — Review"))</f>
        <v>Intercompany &amp; Savings Transfers</v>
      </c>
    </row>
    <row r="127" customFormat="false" ht="15" hidden="false" customHeight="false" outlineLevel="0" collapsed="false">
      <c r="A127" s="0" t="str">
        <f aca="false">2025_DWG_Activity!A127</f>
        <v>DEBIT</v>
      </c>
      <c r="B127" s="15" t="n">
        <f aca="false">2025_DWG_Activity!B127</f>
        <v>45924</v>
      </c>
      <c r="C127" s="0" t="str">
        <f aca="false">2025_DWG_Activity!C127</f>
        <v>DOMESTIC INCOMING WIRE FEE</v>
      </c>
      <c r="D127" s="7" t="n">
        <f aca="false">2025_DWG_Activity!D127</f>
        <v>-15</v>
      </c>
      <c r="E127" s="0" t="str">
        <f aca="false">2025_DWG_Activity!E127</f>
        <v>FEE_TRANSACTION</v>
      </c>
      <c r="F127" s="7" t="n">
        <f aca="false">2025_DWG_Activity!F127</f>
        <v>1078.8</v>
      </c>
      <c r="G127" s="0" t="str">
        <f aca="false">2025_DWG_Activity!G127</f>
        <v>Bank Fees</v>
      </c>
      <c r="H127" s="16" t="n">
        <f aca="false">IF($B127="","",DATE(YEAR($B127),MONTH($B127),1))</f>
        <v>45901</v>
      </c>
      <c r="I127" s="0" t="str">
        <f aca="false">IF($G127="","Uncategorized — Review",IFERROR(INDEX(Mapping!$B:$B,MATCH($G127,Mapping!$A:$A,0)),"Uncategorized — Review"))</f>
        <v>Bank Fees</v>
      </c>
      <c r="J127" s="0" t="str">
        <f aca="false">IF($G127="","Uncategorized — Review",IFERROR(INDEX(Mapping!$C:$C,MATCH($G127,Mapping!$A:$A,0)),"Uncategorized — Review"))</f>
        <v>DWG Operating</v>
      </c>
    </row>
    <row r="128" customFormat="false" ht="15" hidden="false" customHeight="false" outlineLevel="0" collapsed="false">
      <c r="A128" s="0" t="str">
        <f aca="false">2025_DWG_Activity!A128</f>
        <v>DEBIT</v>
      </c>
      <c r="B128" s="15" t="n">
        <f aca="false">2025_DWG_Activity!B128</f>
        <v>45924</v>
      </c>
      <c r="C128" s="0" t="str">
        <f aca="false">2025_DWG_Activity!C128</f>
        <v>Online Transfer to CHK ...8577 transaction#: 26335819006 09/24</v>
      </c>
      <c r="D128" s="7" t="n">
        <f aca="false">2025_DWG_Activity!D128</f>
        <v>-250000</v>
      </c>
      <c r="E128" s="0" t="str">
        <f aca="false">2025_DWG_Activity!E128</f>
        <v>ACCT_XFER</v>
      </c>
      <c r="F128" s="7" t="n">
        <f aca="false">2025_DWG_Activity!F128</f>
        <v>1093.8</v>
      </c>
      <c r="G128" s="0" t="str">
        <f aca="false">2025_DWG_Activity!G128</f>
        <v>Transfer to AIMP</v>
      </c>
      <c r="H128" s="16" t="n">
        <f aca="false">IF($B128="","",DATE(YEAR($B128),MONTH($B128),1))</f>
        <v>45901</v>
      </c>
      <c r="I128" s="0" t="str">
        <f aca="false">IF($G128="","Uncategorized — Review",IFERROR(INDEX(Mapping!$B:$B,MATCH($G128,Mapping!$A:$A,0)),"Uncategorized — Review"))</f>
        <v>Transfer to AIMP</v>
      </c>
      <c r="J128" s="0" t="str">
        <f aca="false">IF($G128="","Uncategorized — Review",IFERROR(INDEX(Mapping!$C:$C,MATCH($G128,Mapping!$A:$A,0)),"Uncategorized — Review"))</f>
        <v>Intercompany &amp; Savings Transfers</v>
      </c>
    </row>
    <row r="129" customFormat="false" ht="15" hidden="false" customHeight="false" outlineLevel="0" collapsed="false">
      <c r="A129" s="0" t="str">
        <f aca="false">2025_DWG_Activity!A129</f>
        <v>DEBIT</v>
      </c>
      <c r="B129" s="15" t="n">
        <f aca="false">2025_DWG_Activity!B129</f>
        <v>45924</v>
      </c>
      <c r="C129" s="0" t="str">
        <f aca="false">2025_DWG_Activity!C129</f>
        <v>ActiveCampaign 141-5235186 IL                09/24</v>
      </c>
      <c r="D129" s="7" t="n">
        <f aca="false">2025_DWG_Activity!D129</f>
        <v>-326.8</v>
      </c>
      <c r="E129" s="0" t="str">
        <f aca="false">2025_DWG_Activity!E129</f>
        <v>DEBIT_CARD</v>
      </c>
      <c r="F129" s="7" t="n">
        <f aca="false">2025_DWG_Activity!F129</f>
        <v>251093.8</v>
      </c>
      <c r="G129" s="0" t="str">
        <f aca="false">2025_DWG_Activity!G129</f>
        <v>DWG Marketing</v>
      </c>
      <c r="H129" s="16" t="n">
        <f aca="false">IF($B129="","",DATE(YEAR($B129),MONTH($B129),1))</f>
        <v>45901</v>
      </c>
      <c r="I129" s="0" t="str">
        <f aca="false">IF($G129="","Uncategorized — Review",IFERROR(INDEX(Mapping!$B:$B,MATCH($G129,Mapping!$A:$A,0)),"Uncategorized — Review"))</f>
        <v>DWG Marketing</v>
      </c>
      <c r="J129" s="0" t="str">
        <f aca="false">IF($G129="","Uncategorized — Review",IFERROR(INDEX(Mapping!$C:$C,MATCH($G129,Mapping!$A:$A,0)),"Uncategorized — Review"))</f>
        <v>DWG Operating</v>
      </c>
    </row>
    <row r="130" customFormat="false" ht="15" hidden="false" customHeight="false" outlineLevel="0" collapsed="false">
      <c r="A130" s="0" t="str">
        <f aca="false">2025_DWG_Activity!A130</f>
        <v>CREDIT</v>
      </c>
      <c r="B130" s="15" t="n">
        <f aca="false">2025_DWG_Activity!B130</f>
        <v>45924</v>
      </c>
      <c r="C130" s="0" t="str">
        <f aca="false">2025_DWG_Activity!C130</f>
        <v>FEDWIRE CREDIT VIA: WASHINGTON FEDERAL SAVINGS/325070980 B/O: MRM INDUSTRIAL PARTNERS, LLC LOS ANGELES CA 90066 REF: CHASE NYC/CTR/BNF=DWG CAPITAL PARTNERS LLC LOS ANGELES CA 90066-3638 U S/AC-000000006016 RFB=NOTPROVIDED O BI=/PURP/FUND A BUSINESS ACQUISITIO N IMAD: 0924GMQFMP01012034 TRN: 0541891267FF</v>
      </c>
      <c r="D130" s="7" t="n">
        <f aca="false">2025_DWG_Activity!D130</f>
        <v>250000</v>
      </c>
      <c r="E130" s="0" t="str">
        <f aca="false">2025_DWG_Activity!E130</f>
        <v>WIRE_INCOMING</v>
      </c>
      <c r="F130" s="7" t="n">
        <f aca="false">2025_DWG_Activity!F130</f>
        <v>251420.6</v>
      </c>
      <c r="G130" s="0" t="str">
        <f aca="false">2025_DWG_Activity!G130</f>
        <v>Transfer from AIMP</v>
      </c>
      <c r="H130" s="16" t="n">
        <f aca="false">IF($B130="","",DATE(YEAR($B130),MONTH($B130),1))</f>
        <v>45901</v>
      </c>
      <c r="I130" s="0" t="str">
        <f aca="false">IF($G130="","Uncategorized — Review",IFERROR(INDEX(Mapping!$B:$B,MATCH($G130,Mapping!$A:$A,0)),"Uncategorized — Review"))</f>
        <v>Transfer from AIMP</v>
      </c>
      <c r="J130" s="0" t="str">
        <f aca="false">IF($G130="","Uncategorized — Review",IFERROR(INDEX(Mapping!$C:$C,MATCH($G130,Mapping!$A:$A,0)),"Uncategorized — Review"))</f>
        <v>Intercompany &amp; Savings Transfers</v>
      </c>
    </row>
    <row r="131" customFormat="false" ht="15" hidden="false" customHeight="false" outlineLevel="0" collapsed="false">
      <c r="A131" s="0" t="str">
        <f aca="false">2025_DWG_Activity!A131</f>
        <v>DEBIT</v>
      </c>
      <c r="B131" s="15" t="n">
        <f aca="false">2025_DWG_Activity!B131</f>
        <v>45922</v>
      </c>
      <c r="C131" s="0" t="str">
        <f aca="false">2025_DWG_Activity!C131</f>
        <v>ONLINE DOMESTIC WIRE FEE</v>
      </c>
      <c r="D131" s="7" t="n">
        <f aca="false">2025_DWG_Activity!D131</f>
        <v>-25</v>
      </c>
      <c r="E131" s="0" t="str">
        <f aca="false">2025_DWG_Activity!E131</f>
        <v>FEE_TRANSACTION</v>
      </c>
      <c r="F131" s="7" t="n">
        <f aca="false">2025_DWG_Activity!F131</f>
        <v>1420.6</v>
      </c>
      <c r="G131" s="0" t="str">
        <f aca="false">2025_DWG_Activity!G131</f>
        <v>Bank Fees</v>
      </c>
      <c r="H131" s="16" t="n">
        <f aca="false">IF($B131="","",DATE(YEAR($B131),MONTH($B131),1))</f>
        <v>45901</v>
      </c>
      <c r="I131" s="0" t="str">
        <f aca="false">IF($G131="","Uncategorized — Review",IFERROR(INDEX(Mapping!$B:$B,MATCH($G131,Mapping!$A:$A,0)),"Uncategorized — Review"))</f>
        <v>Bank Fees</v>
      </c>
      <c r="J131" s="0" t="str">
        <f aca="false">IF($G131="","Uncategorized — Review",IFERROR(INDEX(Mapping!$C:$C,MATCH($G131,Mapping!$A:$A,0)),"Uncategorized — Review"))</f>
        <v>DWG Operating</v>
      </c>
    </row>
    <row r="132" customFormat="false" ht="15" hidden="false" customHeight="false" outlineLevel="0" collapsed="false">
      <c r="A132" s="0" t="str">
        <f aca="false">2025_DWG_Activity!A132</f>
        <v>DEBIT</v>
      </c>
      <c r="B132" s="15" t="n">
        <f aca="false">2025_DWG_Activity!B132</f>
        <v>45922</v>
      </c>
      <c r="C132" s="0" t="str">
        <f aca="false">2025_DWG_Activity!C132</f>
        <v>ONLINE DOMESTIC WIRE TRANSFER VIA: DBTCO AMERICAS NYC/021001033 A/C: NYLTD FUNDS CONTROL NY NEW YORK NY 10019 US REF: DWG CAPITAL PARTNERS- STRYTEN ENERGY DEPOSIT IMAD: 0922MMQFMP2M026863 TRN: 3551725265ES 09/22</v>
      </c>
      <c r="D132" s="7" t="n">
        <f aca="false">2025_DWG_Activity!D132</f>
        <v>-75000</v>
      </c>
      <c r="E132" s="0" t="str">
        <f aca="false">2025_DWG_Activity!E132</f>
        <v>WIRE_OUTGOING</v>
      </c>
      <c r="F132" s="7" t="n">
        <f aca="false">2025_DWG_Activity!F132</f>
        <v>1445.6</v>
      </c>
      <c r="G132" s="0" t="str">
        <f aca="false">2025_DWG_Activity!G132</f>
        <v>Deal Specific</v>
      </c>
      <c r="H132" s="16" t="n">
        <f aca="false">IF($B132="","",DATE(YEAR($B132),MONTH($B132),1))</f>
        <v>45901</v>
      </c>
      <c r="I132" s="0" t="str">
        <f aca="false">IF($G132="","Uncategorized — Review",IFERROR(INDEX(Mapping!$B:$B,MATCH($G132,Mapping!$A:$A,0)),"Uncategorized — Review"))</f>
        <v>Deal Specific</v>
      </c>
      <c r="J132" s="0" t="str">
        <f aca="false">IF($G132="","Uncategorized — Review",IFERROR(INDEX(Mapping!$C:$C,MATCH($G132,Mapping!$A:$A,0)),"Uncategorized — Review"))</f>
        <v>Deal-Specific</v>
      </c>
    </row>
    <row r="133" customFormat="false" ht="15" hidden="false" customHeight="false" outlineLevel="0" collapsed="false">
      <c r="A133" s="0" t="str">
        <f aca="false">2025_DWG_Activity!A133</f>
        <v>CREDIT</v>
      </c>
      <c r="B133" s="15" t="n">
        <f aca="false">2025_DWG_Activity!B133</f>
        <v>45922</v>
      </c>
      <c r="C133" s="0" t="str">
        <f aca="false">2025_DWG_Activity!C133</f>
        <v>Online Transfer from CHK ...1168 transaction#: 26315056206</v>
      </c>
      <c r="D133" s="7" t="n">
        <f aca="false">2025_DWG_Activity!D133</f>
        <v>75000</v>
      </c>
      <c r="E133" s="0" t="str">
        <f aca="false">2025_DWG_Activity!E133</f>
        <v>ACCT_XFER</v>
      </c>
      <c r="F133" s="7" t="n">
        <f aca="false">2025_DWG_Activity!F133</f>
        <v>76445.6</v>
      </c>
      <c r="G133" s="0" t="str">
        <f aca="false">2025_DWG_Activity!G133</f>
        <v>Transfer from DWG Capital Group</v>
      </c>
      <c r="H133" s="16" t="n">
        <f aca="false">IF($B133="","",DATE(YEAR($B133),MONTH($B133),1))</f>
        <v>45901</v>
      </c>
      <c r="I133" s="0" t="str">
        <f aca="false">IF($G133="","Uncategorized — Review",IFERROR(INDEX(Mapping!$B:$B,MATCH($G133,Mapping!$A:$A,0)),"Uncategorized — Review"))</f>
        <v>Transfer from DWG Capital Group</v>
      </c>
      <c r="J133" s="0" t="str">
        <f aca="false">IF($G133="","Uncategorized — Review",IFERROR(INDEX(Mapping!$C:$C,MATCH($G133,Mapping!$A:$A,0)),"Uncategorized — Review"))</f>
        <v>Intercompany &amp; Savings Transfers</v>
      </c>
    </row>
    <row r="134" customFormat="false" ht="15" hidden="false" customHeight="false" outlineLevel="0" collapsed="false">
      <c r="A134" s="0" t="str">
        <f aca="false">2025_DWG_Activity!A134</f>
        <v>DEBIT</v>
      </c>
      <c r="B134" s="15" t="n">
        <f aca="false">2025_DWG_Activity!B134</f>
        <v>45918</v>
      </c>
      <c r="C134" s="0" t="str">
        <f aca="false">2025_DWG_Activity!C134</f>
        <v>THE GYM VENICE THEGYMVENICE. CA              09/18</v>
      </c>
      <c r="D134" s="7" t="n">
        <f aca="false">2025_DWG_Activity!D134</f>
        <v>-19.5</v>
      </c>
      <c r="E134" s="0" t="str">
        <f aca="false">2025_DWG_Activity!E134</f>
        <v>DEBIT_CARD</v>
      </c>
      <c r="F134" s="7" t="n">
        <f aca="false">2025_DWG_Activity!F134</f>
        <v>1445.6</v>
      </c>
      <c r="G134" s="0" t="str">
        <f aca="false">2025_DWG_Activity!G134</f>
        <v>Personal - Health</v>
      </c>
      <c r="H134" s="16" t="n">
        <f aca="false">IF($B134="","",DATE(YEAR($B134),MONTH($B134),1))</f>
        <v>45901</v>
      </c>
      <c r="I134" s="0" t="str">
        <f aca="false">IF($G134="","Uncategorized — Review",IFERROR(INDEX(Mapping!$B:$B,MATCH($G134,Mapping!$A:$A,0)),"Uncategorized — Review"))</f>
        <v>Personal - Health</v>
      </c>
      <c r="J134" s="0" t="str">
        <f aca="false">IF($G134="","Uncategorized — Review",IFERROR(INDEX(Mapping!$C:$C,MATCH($G134,Mapping!$A:$A,0)),"Uncategorized — Review"))</f>
        <v>Personal — Owner</v>
      </c>
    </row>
    <row r="135" customFormat="false" ht="15" hidden="false" customHeight="false" outlineLevel="0" collapsed="false">
      <c r="A135" s="0" t="str">
        <f aca="false">2025_DWG_Activity!A135</f>
        <v>DEBIT</v>
      </c>
      <c r="B135" s="15" t="n">
        <f aca="false">2025_DWG_Activity!B135</f>
        <v>45918</v>
      </c>
      <c r="C135" s="0" t="str">
        <f aca="false">2025_DWG_Activity!C135</f>
        <v>THE GYM VENICE THEGYMVENICE. CA              09/18</v>
      </c>
      <c r="D135" s="7" t="n">
        <f aca="false">2025_DWG_Activity!D135</f>
        <v>-3.25</v>
      </c>
      <c r="E135" s="0" t="str">
        <f aca="false">2025_DWG_Activity!E135</f>
        <v>DEBIT_CARD</v>
      </c>
      <c r="F135" s="7" t="n">
        <f aca="false">2025_DWG_Activity!F135</f>
        <v>1465.1</v>
      </c>
      <c r="G135" s="0" t="str">
        <f aca="false">2025_DWG_Activity!G135</f>
        <v>Personal - Health</v>
      </c>
      <c r="H135" s="16" t="n">
        <f aca="false">IF($B135="","",DATE(YEAR($B135),MONTH($B135),1))</f>
        <v>45901</v>
      </c>
      <c r="I135" s="0" t="str">
        <f aca="false">IF($G135="","Uncategorized — Review",IFERROR(INDEX(Mapping!$B:$B,MATCH($G135,Mapping!$A:$A,0)),"Uncategorized — Review"))</f>
        <v>Personal - Health</v>
      </c>
      <c r="J135" s="0" t="str">
        <f aca="false">IF($G135="","Uncategorized — Review",IFERROR(INDEX(Mapping!$C:$C,MATCH($G135,Mapping!$A:$A,0)),"Uncategorized — Review"))</f>
        <v>Personal — Owner</v>
      </c>
    </row>
    <row r="136" customFormat="false" ht="15" hidden="false" customHeight="false" outlineLevel="0" collapsed="false">
      <c r="A136" s="0" t="str">
        <f aca="false">2025_DWG_Activity!A136</f>
        <v>DEBIT</v>
      </c>
      <c r="B136" s="15" t="n">
        <f aca="false">2025_DWG_Activity!B136</f>
        <v>45918</v>
      </c>
      <c r="C136" s="0" t="str">
        <f aca="false">2025_DWG_Activity!C136</f>
        <v>DNH*GODADDY#38945086 https://www.g AZ        09/17</v>
      </c>
      <c r="D136" s="7" t="n">
        <f aca="false">2025_DWG_Activity!D136</f>
        <v>-33.95</v>
      </c>
      <c r="E136" s="0" t="str">
        <f aca="false">2025_DWG_Activity!E136</f>
        <v>DEBIT_CARD</v>
      </c>
      <c r="F136" s="7" t="n">
        <f aca="false">2025_DWG_Activity!F136</f>
        <v>1468.35</v>
      </c>
      <c r="G136" s="0" t="str">
        <f aca="false">2025_DWG_Activity!G136</f>
        <v>Go Daddy</v>
      </c>
      <c r="H136" s="16" t="n">
        <f aca="false">IF($B136="","",DATE(YEAR($B136),MONTH($B136),1))</f>
        <v>45901</v>
      </c>
      <c r="I136" s="0" t="str">
        <f aca="false">IF($G136="","Uncategorized — Review",IFERROR(INDEX(Mapping!$B:$B,MATCH($G136,Mapping!$A:$A,0)),"Uncategorized — Review"))</f>
        <v>Go Daddy</v>
      </c>
      <c r="J136" s="0" t="str">
        <f aca="false">IF($G136="","Uncategorized — Review",IFERROR(INDEX(Mapping!$C:$C,MATCH($G136,Mapping!$A:$A,0)),"Uncategorized — Review"))</f>
        <v>DWG Operating</v>
      </c>
    </row>
    <row r="137" customFormat="false" ht="15" hidden="false" customHeight="false" outlineLevel="0" collapsed="false">
      <c r="A137" s="0" t="str">
        <f aca="false">2025_DWG_Activity!A137</f>
        <v>DEBIT</v>
      </c>
      <c r="B137" s="15" t="n">
        <f aca="false">2025_DWG_Activity!B137</f>
        <v>45916</v>
      </c>
      <c r="C137" s="0" t="str">
        <f aca="false">2025_DWG_Activity!C137</f>
        <v>ONLINE DOMESTIC WIRE FEE</v>
      </c>
      <c r="D137" s="7" t="n">
        <f aca="false">2025_DWG_Activity!D137</f>
        <v>-25</v>
      </c>
      <c r="E137" s="0" t="str">
        <f aca="false">2025_DWG_Activity!E137</f>
        <v>FEE_TRANSACTION</v>
      </c>
      <c r="F137" s="7" t="n">
        <f aca="false">2025_DWG_Activity!F137</f>
        <v>1502.3</v>
      </c>
      <c r="G137" s="0" t="str">
        <f aca="false">2025_DWG_Activity!G137</f>
        <v>Bank Fees</v>
      </c>
      <c r="H137" s="16" t="n">
        <f aca="false">IF($B137="","",DATE(YEAR($B137),MONTH($B137),1))</f>
        <v>45901</v>
      </c>
      <c r="I137" s="0" t="str">
        <f aca="false">IF($G137="","Uncategorized — Review",IFERROR(INDEX(Mapping!$B:$B,MATCH($G137,Mapping!$A:$A,0)),"Uncategorized — Review"))</f>
        <v>Bank Fees</v>
      </c>
      <c r="J137" s="0" t="str">
        <f aca="false">IF($G137="","Uncategorized — Review",IFERROR(INDEX(Mapping!$C:$C,MATCH($G137,Mapping!$A:$A,0)),"Uncategorized — Review"))</f>
        <v>DWG Operating</v>
      </c>
    </row>
    <row r="138" customFormat="false" ht="15" hidden="false" customHeight="false" outlineLevel="0" collapsed="false">
      <c r="A138" s="0" t="str">
        <f aca="false">2025_DWG_Activity!A138</f>
        <v>DEBIT</v>
      </c>
      <c r="B138" s="15" t="n">
        <f aca="false">2025_DWG_Activity!B138</f>
        <v>45916</v>
      </c>
      <c r="C138" s="0" t="str">
        <f aca="false">2025_DWG_Activity!C138</f>
        <v>ONLINE DOMESTIC WIRE TRANSFER VIA: BK AMER NYC/026009593 A/C: CHICAGO TITLE INSURANCE COMPANY BREA CA 92505 US REF: FBSC2509203-BP IMAD: 0916MMQFMP2K022175 TRN: 3421235259ES 09/16</v>
      </c>
      <c r="D138" s="7" t="n">
        <f aca="false">2025_DWG_Activity!D138</f>
        <v>-50000</v>
      </c>
      <c r="E138" s="0" t="str">
        <f aca="false">2025_DWG_Activity!E138</f>
        <v>WIRE_OUTGOING</v>
      </c>
      <c r="F138" s="7" t="n">
        <f aca="false">2025_DWG_Activity!F138</f>
        <v>1527.3</v>
      </c>
      <c r="G138" s="0" t="str">
        <f aca="false">2025_DWG_Activity!G138</f>
        <v>Deal Specific</v>
      </c>
      <c r="H138" s="16" t="n">
        <f aca="false">IF($B138="","",DATE(YEAR($B138),MONTH($B138),1))</f>
        <v>45901</v>
      </c>
      <c r="I138" s="0" t="str">
        <f aca="false">IF($G138="","Uncategorized — Review",IFERROR(INDEX(Mapping!$B:$B,MATCH($G138,Mapping!$A:$A,0)),"Uncategorized — Review"))</f>
        <v>Deal Specific</v>
      </c>
      <c r="J138" s="0" t="str">
        <f aca="false">IF($G138="","Uncategorized — Review",IFERROR(INDEX(Mapping!$C:$C,MATCH($G138,Mapping!$A:$A,0)),"Uncategorized — Review"))</f>
        <v>Deal-Specific</v>
      </c>
    </row>
    <row r="139" customFormat="false" ht="15" hidden="false" customHeight="false" outlineLevel="0" collapsed="false">
      <c r="A139" s="0" t="str">
        <f aca="false">2025_DWG_Activity!A139</f>
        <v>DEBIT</v>
      </c>
      <c r="B139" s="15" t="n">
        <f aca="false">2025_DWG_Activity!B139</f>
        <v>45916</v>
      </c>
      <c r="C139" s="0" t="str">
        <f aca="false">2025_DWG_Activity!C139</f>
        <v>DNH*GODADDY#38920664 https://www.g AZ        09/15</v>
      </c>
      <c r="D139" s="7" t="n">
        <f aca="false">2025_DWG_Activity!D139</f>
        <v>-8.99</v>
      </c>
      <c r="E139" s="0" t="str">
        <f aca="false">2025_DWG_Activity!E139</f>
        <v>DEBIT_CARD</v>
      </c>
      <c r="F139" s="7" t="n">
        <f aca="false">2025_DWG_Activity!F139</f>
        <v>51527.3</v>
      </c>
      <c r="G139" s="0" t="str">
        <f aca="false">2025_DWG_Activity!G139</f>
        <v>Go Daddy</v>
      </c>
      <c r="H139" s="16" t="n">
        <f aca="false">IF($B139="","",DATE(YEAR($B139),MONTH($B139),1))</f>
        <v>45901</v>
      </c>
      <c r="I139" s="0" t="str">
        <f aca="false">IF($G139="","Uncategorized — Review",IFERROR(INDEX(Mapping!$B:$B,MATCH($G139,Mapping!$A:$A,0)),"Uncategorized — Review"))</f>
        <v>Go Daddy</v>
      </c>
      <c r="J139" s="0" t="str">
        <f aca="false">IF($G139="","Uncategorized — Review",IFERROR(INDEX(Mapping!$C:$C,MATCH($G139,Mapping!$A:$A,0)),"Uncategorized — Review"))</f>
        <v>DWG Operating</v>
      </c>
    </row>
    <row r="140" customFormat="false" ht="15" hidden="false" customHeight="false" outlineLevel="0" collapsed="false">
      <c r="A140" s="0" t="str">
        <f aca="false">2025_DWG_Activity!A140</f>
        <v>DEBIT</v>
      </c>
      <c r="B140" s="15" t="n">
        <f aca="false">2025_DWG_Activity!B140</f>
        <v>45915</v>
      </c>
      <c r="C140" s="0" t="str">
        <f aca="false">2025_DWG_Activity!C140</f>
        <v>DNH*GODADDY#38903671 https://www.g AZ        09/14</v>
      </c>
      <c r="D140" s="7" t="n">
        <f aca="false">2025_DWG_Activity!D140</f>
        <v>-30.97</v>
      </c>
      <c r="E140" s="0" t="str">
        <f aca="false">2025_DWG_Activity!E140</f>
        <v>DEBIT_CARD</v>
      </c>
      <c r="F140" s="7" t="n">
        <f aca="false">2025_DWG_Activity!F140</f>
        <v>51536.29</v>
      </c>
      <c r="G140" s="0" t="str">
        <f aca="false">2025_DWG_Activity!G140</f>
        <v>Go Daddy</v>
      </c>
      <c r="H140" s="16" t="n">
        <f aca="false">IF($B140="","",DATE(YEAR($B140),MONTH($B140),1))</f>
        <v>45901</v>
      </c>
      <c r="I140" s="0" t="str">
        <f aca="false">IF($G140="","Uncategorized — Review",IFERROR(INDEX(Mapping!$B:$B,MATCH($G140,Mapping!$A:$A,0)),"Uncategorized — Review"))</f>
        <v>Go Daddy</v>
      </c>
      <c r="J140" s="0" t="str">
        <f aca="false">IF($G140="","Uncategorized — Review",IFERROR(INDEX(Mapping!$C:$C,MATCH($G140,Mapping!$A:$A,0)),"Uncategorized — Review"))</f>
        <v>DWG Operating</v>
      </c>
    </row>
    <row r="141" customFormat="false" ht="15" hidden="false" customHeight="false" outlineLevel="0" collapsed="false">
      <c r="A141" s="0" t="str">
        <f aca="false">2025_DWG_Activity!A141</f>
        <v>DEBIT</v>
      </c>
      <c r="B141" s="15" t="n">
        <f aca="false">2025_DWG_Activity!B141</f>
        <v>45915</v>
      </c>
      <c r="C141" s="0" t="str">
        <f aca="false">2025_DWG_Activity!C141</f>
        <v>DNH*GODADDY#38895692 https://www.g AZ        09/13</v>
      </c>
      <c r="D141" s="7" t="n">
        <f aca="false">2025_DWG_Activity!D141</f>
        <v>-46.95</v>
      </c>
      <c r="E141" s="0" t="str">
        <f aca="false">2025_DWG_Activity!E141</f>
        <v>DEBIT_CARD</v>
      </c>
      <c r="F141" s="7" t="n">
        <f aca="false">2025_DWG_Activity!F141</f>
        <v>51567.26</v>
      </c>
      <c r="G141" s="0" t="str">
        <f aca="false">2025_DWG_Activity!G141</f>
        <v>Go Daddy</v>
      </c>
      <c r="H141" s="16" t="n">
        <f aca="false">IF($B141="","",DATE(YEAR($B141),MONTH($B141),1))</f>
        <v>45901</v>
      </c>
      <c r="I141" s="0" t="str">
        <f aca="false">IF($G141="","Uncategorized — Review",IFERROR(INDEX(Mapping!$B:$B,MATCH($G141,Mapping!$A:$A,0)),"Uncategorized — Review"))</f>
        <v>Go Daddy</v>
      </c>
      <c r="J141" s="0" t="str">
        <f aca="false">IF($G141="","Uncategorized — Review",IFERROR(INDEX(Mapping!$C:$C,MATCH($G141,Mapping!$A:$A,0)),"Uncategorized — Review"))</f>
        <v>DWG Operating</v>
      </c>
    </row>
    <row r="142" customFormat="false" ht="15" hidden="false" customHeight="false" outlineLevel="0" collapsed="false">
      <c r="A142" s="0" t="str">
        <f aca="false">2025_DWG_Activity!A142</f>
        <v>DEBIT</v>
      </c>
      <c r="B142" s="15" t="n">
        <f aca="false">2025_DWG_Activity!B142</f>
        <v>45915</v>
      </c>
      <c r="C142" s="0" t="str">
        <f aca="false">2025_DWG_Activity!C142</f>
        <v>ADOBE  *800-833-6687 ADOBE.LY/ENUS CA        09/13</v>
      </c>
      <c r="D142" s="7" t="n">
        <f aca="false">2025_DWG_Activity!D142</f>
        <v>-21.64</v>
      </c>
      <c r="E142" s="0" t="str">
        <f aca="false">2025_DWG_Activity!E142</f>
        <v>DEBIT_CARD</v>
      </c>
      <c r="F142" s="7" t="n">
        <f aca="false">2025_DWG_Activity!F142</f>
        <v>51614.21</v>
      </c>
      <c r="G142" s="0" t="str">
        <f aca="false">2025_DWG_Activity!G142</f>
        <v>Personal - Subscriptions</v>
      </c>
      <c r="H142" s="16" t="n">
        <f aca="false">IF($B142="","",DATE(YEAR($B142),MONTH($B142),1))</f>
        <v>45901</v>
      </c>
      <c r="I142" s="0" t="str">
        <f aca="false">IF($G142="","Uncategorized — Review",IFERROR(INDEX(Mapping!$B:$B,MATCH($G142,Mapping!$A:$A,0)),"Uncategorized — Review"))</f>
        <v>Personal - Subscriptions</v>
      </c>
      <c r="J142" s="0" t="str">
        <f aca="false">IF($G142="","Uncategorized — Review",IFERROR(INDEX(Mapping!$C:$C,MATCH($G142,Mapping!$A:$A,0)),"Uncategorized — Review"))</f>
        <v>Personal — Owner</v>
      </c>
    </row>
    <row r="143" customFormat="false" ht="15" hidden="false" customHeight="false" outlineLevel="0" collapsed="false">
      <c r="A143" s="0" t="str">
        <f aca="false">2025_DWG_Activity!A143</f>
        <v>DEBIT</v>
      </c>
      <c r="B143" s="15" t="n">
        <f aca="false">2025_DWG_Activity!B143</f>
        <v>45912</v>
      </c>
      <c r="C143" s="0" t="str">
        <f aca="false">2025_DWG_Activity!C143</f>
        <v>Amazon Tips*BV8RR7MO Amzn.com/bill WA        09/12</v>
      </c>
      <c r="D143" s="7" t="n">
        <f aca="false">2025_DWG_Activity!D143</f>
        <v>-5</v>
      </c>
      <c r="E143" s="0" t="str">
        <f aca="false">2025_DWG_Activity!E143</f>
        <v>DEBIT_CARD</v>
      </c>
      <c r="F143" s="7" t="n">
        <f aca="false">2025_DWG_Activity!F143</f>
        <v>51635.85</v>
      </c>
      <c r="G143" s="0" t="str">
        <f aca="false">2025_DWG_Activity!G143</f>
        <v>Personal - Health</v>
      </c>
      <c r="H143" s="16" t="n">
        <f aca="false">IF($B143="","",DATE(YEAR($B143),MONTH($B143),1))</f>
        <v>45901</v>
      </c>
      <c r="I143" s="0" t="str">
        <f aca="false">IF($G143="","Uncategorized — Review",IFERROR(INDEX(Mapping!$B:$B,MATCH($G143,Mapping!$A:$A,0)),"Uncategorized — Review"))</f>
        <v>Personal - Health</v>
      </c>
      <c r="J143" s="0" t="str">
        <f aca="false">IF($G143="","Uncategorized — Review",IFERROR(INDEX(Mapping!$C:$C,MATCH($G143,Mapping!$A:$A,0)),"Uncategorized — Review"))</f>
        <v>Personal — Owner</v>
      </c>
    </row>
    <row r="144" customFormat="false" ht="15" hidden="false" customHeight="false" outlineLevel="0" collapsed="false">
      <c r="A144" s="0" t="str">
        <f aca="false">2025_DWG_Activity!A144</f>
        <v>DEBIT</v>
      </c>
      <c r="B144" s="15" t="n">
        <f aca="false">2025_DWG_Activity!B144</f>
        <v>45912</v>
      </c>
      <c r="C144" s="0" t="str">
        <f aca="false">2025_DWG_Activity!C144</f>
        <v>Basic Online Payroll Payment 11185604308 to ######7939</v>
      </c>
      <c r="D144" s="7" t="n">
        <f aca="false">2025_DWG_Activity!D144</f>
        <v>-5000</v>
      </c>
      <c r="E144" s="0" t="str">
        <f aca="false">2025_DWG_Activity!E144</f>
        <v>BASIC_PAYROLL</v>
      </c>
      <c r="F144" s="7" t="n">
        <f aca="false">2025_DWG_Activity!F144</f>
        <v>51640.85</v>
      </c>
      <c r="G144" s="0" t="str">
        <f aca="false">2025_DWG_Activity!G144</f>
        <v>Ryan Billings - Payroll</v>
      </c>
      <c r="H144" s="16" t="n">
        <f aca="false">IF($B144="","",DATE(YEAR($B144),MONTH($B144),1))</f>
        <v>45901</v>
      </c>
      <c r="I144" s="0" t="str">
        <f aca="false">IF($G144="","Uncategorized — Review",IFERROR(INDEX(Mapping!$B:$B,MATCH($G144,Mapping!$A:$A,0)),"Uncategorized — Review"))</f>
        <v>Ryan Billings - Payroll</v>
      </c>
      <c r="J144" s="0" t="str">
        <f aca="false">IF($G144="","Uncategorized — Review",IFERROR(INDEX(Mapping!$C:$C,MATCH($G144,Mapping!$A:$A,0)),"Uncategorized — Review"))</f>
        <v>Payroll &amp; Contractors</v>
      </c>
    </row>
    <row r="145" customFormat="false" ht="15" hidden="false" customHeight="false" outlineLevel="0" collapsed="false">
      <c r="A145" s="0" t="str">
        <f aca="false">2025_DWG_Activity!A145</f>
        <v>DEBIT</v>
      </c>
      <c r="B145" s="15" t="n">
        <f aca="false">2025_DWG_Activity!B145</f>
        <v>45912</v>
      </c>
      <c r="C145" s="0" t="str">
        <f aca="false">2025_DWG_Activity!C145</f>
        <v>Basic Online Payroll Payment 11185645396 to ########6812</v>
      </c>
      <c r="D145" s="7" t="n">
        <f aca="false">2025_DWG_Activity!D145</f>
        <v>-5000</v>
      </c>
      <c r="E145" s="0" t="str">
        <f aca="false">2025_DWG_Activity!E145</f>
        <v>BASIC_PAYROLL</v>
      </c>
      <c r="F145" s="7" t="n">
        <f aca="false">2025_DWG_Activity!F145</f>
        <v>56640.85</v>
      </c>
      <c r="G145" s="0" t="str">
        <f aca="false">2025_DWG_Activity!G145</f>
        <v>Meg Maran - Payroll</v>
      </c>
      <c r="H145" s="16" t="n">
        <f aca="false">IF($B145="","",DATE(YEAR($B145),MONTH($B145),1))</f>
        <v>45901</v>
      </c>
      <c r="I145" s="0" t="str">
        <f aca="false">IF($G145="","Uncategorized — Review",IFERROR(INDEX(Mapping!$B:$B,MATCH($G145,Mapping!$A:$A,0)),"Uncategorized — Review"))</f>
        <v>Meg Maran - Payroll</v>
      </c>
      <c r="J145" s="0" t="str">
        <f aca="false">IF($G145="","Uncategorized — Review",IFERROR(INDEX(Mapping!$C:$C,MATCH($G145,Mapping!$A:$A,0)),"Uncategorized — Review"))</f>
        <v>Payroll &amp; Contractors</v>
      </c>
    </row>
    <row r="146" customFormat="false" ht="15" hidden="false" customHeight="false" outlineLevel="0" collapsed="false">
      <c r="A146" s="0" t="str">
        <f aca="false">2025_DWG_Activity!A146</f>
        <v>DEBIT</v>
      </c>
      <c r="B146" s="15" t="n">
        <f aca="false">2025_DWG_Activity!B146</f>
        <v>45912</v>
      </c>
      <c r="C146" s="0" t="str">
        <f aca="false">2025_DWG_Activity!C146</f>
        <v>DNH*GODADDY#38876545 https://www.g AZ        09/11</v>
      </c>
      <c r="D146" s="7" t="n">
        <f aca="false">2025_DWG_Activity!D146</f>
        <v>-21.98</v>
      </c>
      <c r="E146" s="0" t="str">
        <f aca="false">2025_DWG_Activity!E146</f>
        <v>DEBIT_CARD</v>
      </c>
      <c r="F146" s="7" t="n">
        <f aca="false">2025_DWG_Activity!F146</f>
        <v>61640.85</v>
      </c>
      <c r="G146" s="0" t="str">
        <f aca="false">2025_DWG_Activity!G146</f>
        <v>Go Daddy</v>
      </c>
      <c r="H146" s="16" t="n">
        <f aca="false">IF($B146="","",DATE(YEAR($B146),MONTH($B146),1))</f>
        <v>45901</v>
      </c>
      <c r="I146" s="0" t="str">
        <f aca="false">IF($G146="","Uncategorized — Review",IFERROR(INDEX(Mapping!$B:$B,MATCH($G146,Mapping!$A:$A,0)),"Uncategorized — Review"))</f>
        <v>Go Daddy</v>
      </c>
      <c r="J146" s="0" t="str">
        <f aca="false">IF($G146="","Uncategorized — Review",IFERROR(INDEX(Mapping!$C:$C,MATCH($G146,Mapping!$A:$A,0)),"Uncategorized — Review"))</f>
        <v>DWG Operating</v>
      </c>
    </row>
    <row r="147" customFormat="false" ht="15" hidden="false" customHeight="false" outlineLevel="0" collapsed="false">
      <c r="A147" s="0" t="str">
        <f aca="false">2025_DWG_Activity!A147</f>
        <v>DEBIT</v>
      </c>
      <c r="B147" s="15" t="n">
        <f aca="false">2025_DWG_Activity!B147</f>
        <v>45911</v>
      </c>
      <c r="C147" s="0" t="str">
        <f aca="false">2025_DWG_Activity!C147</f>
        <v>THE GYM VENICE THEGYMVENICE. CA              09/11</v>
      </c>
      <c r="D147" s="7" t="n">
        <f aca="false">2025_DWG_Activity!D147</f>
        <v>-19.5</v>
      </c>
      <c r="E147" s="0" t="str">
        <f aca="false">2025_DWG_Activity!E147</f>
        <v>DEBIT_CARD</v>
      </c>
      <c r="F147" s="7" t="n">
        <f aca="false">2025_DWG_Activity!F147</f>
        <v>61662.83</v>
      </c>
      <c r="G147" s="0" t="str">
        <f aca="false">2025_DWG_Activity!G147</f>
        <v>Personal - Health</v>
      </c>
      <c r="H147" s="16" t="n">
        <f aca="false">IF($B147="","",DATE(YEAR($B147),MONTH($B147),1))</f>
        <v>45901</v>
      </c>
      <c r="I147" s="0" t="str">
        <f aca="false">IF($G147="","Uncategorized — Review",IFERROR(INDEX(Mapping!$B:$B,MATCH($G147,Mapping!$A:$A,0)),"Uncategorized — Review"))</f>
        <v>Personal - Health</v>
      </c>
      <c r="J147" s="0" t="str">
        <f aca="false">IF($G147="","Uncategorized — Review",IFERROR(INDEX(Mapping!$C:$C,MATCH($G147,Mapping!$A:$A,0)),"Uncategorized — Review"))</f>
        <v>Personal — Owner</v>
      </c>
    </row>
    <row r="148" customFormat="false" ht="15" hidden="false" customHeight="false" outlineLevel="0" collapsed="false">
      <c r="A148" s="0" t="str">
        <f aca="false">2025_DWG_Activity!A148</f>
        <v>DEBIT</v>
      </c>
      <c r="B148" s="15" t="n">
        <f aca="false">2025_DWG_Activity!B148</f>
        <v>45911</v>
      </c>
      <c r="C148" s="0" t="str">
        <f aca="false">2025_DWG_Activity!C148</f>
        <v>Amazon.com*A326L1713 Amzn.com/bill WA        09/11</v>
      </c>
      <c r="D148" s="7" t="n">
        <f aca="false">2025_DWG_Activity!D148</f>
        <v>-45.25</v>
      </c>
      <c r="E148" s="0" t="str">
        <f aca="false">2025_DWG_Activity!E148</f>
        <v>DEBIT_CARD</v>
      </c>
      <c r="F148" s="7" t="n">
        <f aca="false">2025_DWG_Activity!F148</f>
        <v>61682.33</v>
      </c>
      <c r="G148" s="0" t="str">
        <f aca="false">2025_DWG_Activity!G148</f>
        <v>Amazon</v>
      </c>
      <c r="H148" s="16" t="n">
        <f aca="false">IF($B148="","",DATE(YEAR($B148),MONTH($B148),1))</f>
        <v>45901</v>
      </c>
      <c r="I148" s="0" t="str">
        <f aca="false">IF($G148="","Uncategorized — Review",IFERROR(INDEX(Mapping!$B:$B,MATCH($G148,Mapping!$A:$A,0)),"Uncategorized — Review"))</f>
        <v>Amazon</v>
      </c>
      <c r="J148" s="0" t="str">
        <f aca="false">IF($G148="","Uncategorized — Review",IFERROR(INDEX(Mapping!$C:$C,MATCH($G148,Mapping!$A:$A,0)),"Uncategorized — Review"))</f>
        <v>Personal — Owner</v>
      </c>
    </row>
    <row r="149" customFormat="false" ht="15" hidden="false" customHeight="false" outlineLevel="0" collapsed="false">
      <c r="A149" s="0" t="str">
        <f aca="false">2025_DWG_Activity!A149</f>
        <v>DEBIT</v>
      </c>
      <c r="B149" s="15" t="n">
        <f aca="false">2025_DWG_Activity!B149</f>
        <v>45910</v>
      </c>
      <c r="C149" s="0" t="str">
        <f aca="false">2025_DWG_Activity!C149</f>
        <v>ADOBE  *800-833-6687 ADOBE.LY/ENUS CA        09/10</v>
      </c>
      <c r="D149" s="7" t="n">
        <f aca="false">2025_DWG_Activity!D149</f>
        <v>-37.34</v>
      </c>
      <c r="E149" s="0" t="str">
        <f aca="false">2025_DWG_Activity!E149</f>
        <v>DEBIT_CARD</v>
      </c>
      <c r="F149" s="7" t="n">
        <f aca="false">2025_DWG_Activity!F149</f>
        <v>61727.58</v>
      </c>
      <c r="G149" s="0" t="str">
        <f aca="false">2025_DWG_Activity!G149</f>
        <v>Personal - Subscriptions</v>
      </c>
      <c r="H149" s="16" t="n">
        <f aca="false">IF($B149="","",DATE(YEAR($B149),MONTH($B149),1))</f>
        <v>45901</v>
      </c>
      <c r="I149" s="0" t="str">
        <f aca="false">IF($G149="","Uncategorized — Review",IFERROR(INDEX(Mapping!$B:$B,MATCH($G149,Mapping!$A:$A,0)),"Uncategorized — Review"))</f>
        <v>Personal - Subscriptions</v>
      </c>
      <c r="J149" s="0" t="str">
        <f aca="false">IF($G149="","Uncategorized — Review",IFERROR(INDEX(Mapping!$C:$C,MATCH($G149,Mapping!$A:$A,0)),"Uncategorized — Review"))</f>
        <v>Personal — Owner</v>
      </c>
    </row>
    <row r="150" customFormat="false" ht="15" hidden="false" customHeight="false" outlineLevel="0" collapsed="false">
      <c r="A150" s="0" t="str">
        <f aca="false">2025_DWG_Activity!A150</f>
        <v>CREDIT</v>
      </c>
      <c r="B150" s="15" t="n">
        <f aca="false">2025_DWG_Activity!B150</f>
        <v>45910</v>
      </c>
      <c r="C150" s="0" t="str">
        <f aca="false">2025_DWG_Activity!C150</f>
        <v>Online Transfer from CHK ...9335 transaction#: 26176828172</v>
      </c>
      <c r="D150" s="7" t="n">
        <f aca="false">2025_DWG_Activity!D150</f>
        <v>50000</v>
      </c>
      <c r="E150" s="0" t="str">
        <f aca="false">2025_DWG_Activity!E150</f>
        <v>ACCT_XFER</v>
      </c>
      <c r="F150" s="7" t="n">
        <f aca="false">2025_DWG_Activity!F150</f>
        <v>61764.92</v>
      </c>
      <c r="G150" s="0" t="str">
        <f aca="false">2025_DWG_Activity!G150</f>
        <v>Transfer from Poseidon Asset Group</v>
      </c>
      <c r="H150" s="16" t="n">
        <f aca="false">IF($B150="","",DATE(YEAR($B150),MONTH($B150),1))</f>
        <v>45901</v>
      </c>
      <c r="I150" s="0" t="str">
        <f aca="false">IF($G150="","Uncategorized — Review",IFERROR(INDEX(Mapping!$B:$B,MATCH($G150,Mapping!$A:$A,0)),"Uncategorized — Review"))</f>
        <v>Transfer from Poseidon Asset Group</v>
      </c>
      <c r="J150" s="0" t="str">
        <f aca="false">IF($G150="","Uncategorized — Review",IFERROR(INDEX(Mapping!$C:$C,MATCH($G150,Mapping!$A:$A,0)),"Uncategorized — Review"))</f>
        <v>Intercompany &amp; Savings Transfers</v>
      </c>
    </row>
    <row r="151" customFormat="false" ht="15" hidden="false" customHeight="false" outlineLevel="0" collapsed="false">
      <c r="A151" s="0" t="str">
        <f aca="false">2025_DWG_Activity!A151</f>
        <v>DEBIT</v>
      </c>
      <c r="B151" s="15" t="n">
        <f aca="false">2025_DWG_Activity!B151</f>
        <v>45908</v>
      </c>
      <c r="C151" s="0" t="str">
        <f aca="false">2025_DWG_Activity!C151</f>
        <v>DNH*GODADDY#38817692 https://www.g AZ        09/06</v>
      </c>
      <c r="D151" s="7" t="n">
        <f aca="false">2025_DWG_Activity!D151</f>
        <v>-30.97</v>
      </c>
      <c r="E151" s="0" t="str">
        <f aca="false">2025_DWG_Activity!E151</f>
        <v>DEBIT_CARD</v>
      </c>
      <c r="F151" s="7" t="n">
        <f aca="false">2025_DWG_Activity!F151</f>
        <v>11764.92</v>
      </c>
      <c r="G151" s="0" t="str">
        <f aca="false">2025_DWG_Activity!G151</f>
        <v>Go Daddy</v>
      </c>
      <c r="H151" s="16" t="n">
        <f aca="false">IF($B151="","",DATE(YEAR($B151),MONTH($B151),1))</f>
        <v>45901</v>
      </c>
      <c r="I151" s="0" t="str">
        <f aca="false">IF($G151="","Uncategorized — Review",IFERROR(INDEX(Mapping!$B:$B,MATCH($G151,Mapping!$A:$A,0)),"Uncategorized — Review"))</f>
        <v>Go Daddy</v>
      </c>
      <c r="J151" s="0" t="str">
        <f aca="false">IF($G151="","Uncategorized — Review",IFERROR(INDEX(Mapping!$C:$C,MATCH($G151,Mapping!$A:$A,0)),"Uncategorized — Review"))</f>
        <v>DWG Operating</v>
      </c>
    </row>
    <row r="152" customFormat="false" ht="15" hidden="false" customHeight="false" outlineLevel="0" collapsed="false">
      <c r="A152" s="0" t="str">
        <f aca="false">2025_DWG_Activity!A152</f>
        <v>DEBIT</v>
      </c>
      <c r="B152" s="15" t="n">
        <f aca="false">2025_DWG_Activity!B152</f>
        <v>45905</v>
      </c>
      <c r="C152" s="0" t="str">
        <f aca="false">2025_DWG_Activity!C152</f>
        <v>DNH*GODADDY#38791706 https://www.g AZ        09/04</v>
      </c>
      <c r="D152" s="7" t="n">
        <f aca="false">2025_DWG_Activity!D152</f>
        <v>-40.97</v>
      </c>
      <c r="E152" s="0" t="str">
        <f aca="false">2025_DWG_Activity!E152</f>
        <v>DEBIT_CARD</v>
      </c>
      <c r="F152" s="7" t="n">
        <f aca="false">2025_DWG_Activity!F152</f>
        <v>11795.89</v>
      </c>
      <c r="G152" s="0" t="str">
        <f aca="false">2025_DWG_Activity!G152</f>
        <v>Go Daddy</v>
      </c>
      <c r="H152" s="16" t="n">
        <f aca="false">IF($B152="","",DATE(YEAR($B152),MONTH($B152),1))</f>
        <v>45901</v>
      </c>
      <c r="I152" s="0" t="str">
        <f aca="false">IF($G152="","Uncategorized — Review",IFERROR(INDEX(Mapping!$B:$B,MATCH($G152,Mapping!$A:$A,0)),"Uncategorized — Review"))</f>
        <v>Go Daddy</v>
      </c>
      <c r="J152" s="0" t="str">
        <f aca="false">IF($G152="","Uncategorized — Review",IFERROR(INDEX(Mapping!$C:$C,MATCH($G152,Mapping!$A:$A,0)),"Uncategorized — Review"))</f>
        <v>DWG Operating</v>
      </c>
    </row>
    <row r="153" customFormat="false" ht="15" hidden="false" customHeight="false" outlineLevel="0" collapsed="false">
      <c r="A153" s="0" t="str">
        <f aca="false">2025_DWG_Activity!A153</f>
        <v>DEBIT</v>
      </c>
      <c r="B153" s="15" t="n">
        <f aca="false">2025_DWG_Activity!B153</f>
        <v>45903</v>
      </c>
      <c r="C153" s="0" t="str">
        <f aca="false">2025_DWG_Activity!C153</f>
        <v>LAGUNA BEACH COMM DEV LAGUNA BEACH CA880169  09/03</v>
      </c>
      <c r="D153" s="7" t="n">
        <f aca="false">2025_DWG_Activity!D153</f>
        <v>-40</v>
      </c>
      <c r="E153" s="0" t="str">
        <f aca="false">2025_DWG_Activity!E153</f>
        <v>DEBIT_CARD</v>
      </c>
      <c r="F153" s="7" t="n">
        <f aca="false">2025_DWG_Activity!F153</f>
        <v>11836.86</v>
      </c>
      <c r="G153" s="0" t="str">
        <f aca="false">2025_DWG_Activity!G153</f>
        <v>Personal - Food</v>
      </c>
      <c r="H153" s="16" t="n">
        <f aca="false">IF($B153="","",DATE(YEAR($B153),MONTH($B153),1))</f>
        <v>45901</v>
      </c>
      <c r="I153" s="0" t="str">
        <f aca="false">IF($G153="","Uncategorized — Review",IFERROR(INDEX(Mapping!$B:$B,MATCH($G153,Mapping!$A:$A,0)),"Uncategorized — Review"))</f>
        <v>Personal - Food</v>
      </c>
      <c r="J153" s="0" t="str">
        <f aca="false">IF($G153="","Uncategorized — Review",IFERROR(INDEX(Mapping!$C:$C,MATCH($G153,Mapping!$A:$A,0)),"Uncategorized — Review"))</f>
        <v>Personal — Owner</v>
      </c>
    </row>
    <row r="154" customFormat="false" ht="15" hidden="false" customHeight="false" outlineLevel="0" collapsed="false">
      <c r="A154" s="0" t="str">
        <f aca="false">2025_DWG_Activity!A154</f>
        <v>DEBIT</v>
      </c>
      <c r="B154" s="15" t="n">
        <f aca="false">2025_DWG_Activity!B154</f>
        <v>45902</v>
      </c>
      <c r="C154" s="0" t="str">
        <f aca="false">2025_DWG_Activity!C154</f>
        <v>ORIG CO NAME:AMERICAN EXPRESS       ORIG ID:2005032111 DESC DATE:250902 CO ENTRY DESCR:ACH PMT   SEC:CCD    TRACE#:021000028869861 EED:250902   IND ID:W9682                        IND NAME:JOHN DUNNING                                                                                                 ER AM TRN: 2458869861TC</v>
      </c>
      <c r="D154" s="7" t="n">
        <f aca="false">2025_DWG_Activity!D154</f>
        <v>-4616.56</v>
      </c>
      <c r="E154" s="0" t="str">
        <f aca="false">2025_DWG_Activity!E154</f>
        <v>ACH_DEBIT</v>
      </c>
      <c r="F154" s="7" t="n">
        <f aca="false">2025_DWG_Activity!F154</f>
        <v>11876.86</v>
      </c>
      <c r="G154" s="0" t="str">
        <f aca="false">2025_DWG_Activity!G154</f>
        <v>AMEX Credit Card Payment</v>
      </c>
      <c r="H154" s="16" t="n">
        <f aca="false">IF($B154="","",DATE(YEAR($B154),MONTH($B154),1))</f>
        <v>45901</v>
      </c>
      <c r="I154" s="0" t="str">
        <f aca="false">IF($G154="","Uncategorized — Review",IFERROR(INDEX(Mapping!$B:$B,MATCH($G154,Mapping!$A:$A,0)),"Uncategorized — Review"))</f>
        <v>AMEX Credit Card Payment</v>
      </c>
      <c r="J154" s="0" t="str">
        <f aca="false">IF($G154="","Uncategorized — Review",IFERROR(INDEX(Mapping!$C:$C,MATCH($G154,Mapping!$A:$A,0)),"Uncategorized — Review"))</f>
        <v>Credit Card &amp; Loan Payments</v>
      </c>
    </row>
    <row r="155" customFormat="false" ht="15" hidden="false" customHeight="false" outlineLevel="0" collapsed="false">
      <c r="A155" s="0" t="str">
        <f aca="false">2025_DWG_Activity!A155</f>
        <v>DEBIT</v>
      </c>
      <c r="B155" s="15" t="n">
        <f aca="false">2025_DWG_Activity!B155</f>
        <v>45902</v>
      </c>
      <c r="C155" s="0" t="str">
        <f aca="false">2025_DWG_Activity!C155</f>
        <v>DNH*GODADDY#38756335 https://www.g AZ        09/01</v>
      </c>
      <c r="D155" s="7" t="n">
        <f aca="false">2025_DWG_Activity!D155</f>
        <v>-21.98</v>
      </c>
      <c r="E155" s="0" t="str">
        <f aca="false">2025_DWG_Activity!E155</f>
        <v>DEBIT_CARD</v>
      </c>
      <c r="F155" s="7" t="n">
        <f aca="false">2025_DWG_Activity!F155</f>
        <v>16493.42</v>
      </c>
      <c r="G155" s="0" t="str">
        <f aca="false">2025_DWG_Activity!G155</f>
        <v>Go Daddy</v>
      </c>
      <c r="H155" s="16" t="n">
        <f aca="false">IF($B155="","",DATE(YEAR($B155),MONTH($B155),1))</f>
        <v>45901</v>
      </c>
      <c r="I155" s="0" t="str">
        <f aca="false">IF($G155="","Uncategorized — Review",IFERROR(INDEX(Mapping!$B:$B,MATCH($G155,Mapping!$A:$A,0)),"Uncategorized — Review"))</f>
        <v>Go Daddy</v>
      </c>
      <c r="J155" s="0" t="str">
        <f aca="false">IF($G155="","Uncategorized — Review",IFERROR(INDEX(Mapping!$C:$C,MATCH($G155,Mapping!$A:$A,0)),"Uncategorized — Review"))</f>
        <v>DWG Operating</v>
      </c>
    </row>
    <row r="156" customFormat="false" ht="15" hidden="false" customHeight="false" outlineLevel="0" collapsed="false">
      <c r="A156" s="0" t="str">
        <f aca="false">2025_DWG_Activity!A156</f>
        <v>DEBIT</v>
      </c>
      <c r="B156" s="15" t="n">
        <f aca="false">2025_DWG_Activity!B156</f>
        <v>45902</v>
      </c>
      <c r="C156" s="0" t="str">
        <f aca="false">2025_DWG_Activity!C156</f>
        <v>HOTELJACO.COM HOTELJACO.COM TX               08/31</v>
      </c>
      <c r="D156" s="7" t="n">
        <f aca="false">2025_DWG_Activity!D156</f>
        <v>-3.39</v>
      </c>
      <c r="E156" s="0" t="str">
        <f aca="false">2025_DWG_Activity!E156</f>
        <v>DEBIT_CARD</v>
      </c>
      <c r="F156" s="7" t="n">
        <f aca="false">2025_DWG_Activity!F156</f>
        <v>16515.4</v>
      </c>
      <c r="G156" s="0" t="str">
        <f aca="false">2025_DWG_Activity!G156</f>
        <v>Personal - Trip</v>
      </c>
      <c r="H156" s="16" t="n">
        <f aca="false">IF($B156="","",DATE(YEAR($B156),MONTH($B156),1))</f>
        <v>45901</v>
      </c>
      <c r="I156" s="0" t="str">
        <f aca="false">IF($G156="","Uncategorized — Review",IFERROR(INDEX(Mapping!$B:$B,MATCH($G156,Mapping!$A:$A,0)),"Uncategorized — Review"))</f>
        <v>Personal - Trip</v>
      </c>
      <c r="J156" s="0" t="str">
        <f aca="false">IF($G156="","Uncategorized — Review",IFERROR(INDEX(Mapping!$C:$C,MATCH($G156,Mapping!$A:$A,0)),"Uncategorized — Review"))</f>
        <v>Personal — Owner</v>
      </c>
    </row>
    <row r="157" customFormat="false" ht="15" hidden="false" customHeight="false" outlineLevel="0" collapsed="false">
      <c r="A157" s="0" t="str">
        <f aca="false">2025_DWG_Activity!A157</f>
        <v>DEBIT</v>
      </c>
      <c r="B157" s="15" t="n">
        <f aca="false">2025_DWG_Activity!B157</f>
        <v>45902</v>
      </c>
      <c r="C157" s="0" t="str">
        <f aca="false">2025_DWG_Activity!C157</f>
        <v>BLUE SHIELD CALIFORNI 800-393-6130 CA        08/31</v>
      </c>
      <c r="D157" s="7" t="n">
        <f aca="false">2025_DWG_Activity!D157</f>
        <v>-1190.49</v>
      </c>
      <c r="E157" s="0" t="str">
        <f aca="false">2025_DWG_Activity!E157</f>
        <v>DEBIT_CARD</v>
      </c>
      <c r="F157" s="7" t="n">
        <f aca="false">2025_DWG_Activity!F157</f>
        <v>16518.79</v>
      </c>
      <c r="G157" s="0" t="str">
        <f aca="false">2025_DWG_Activity!G157</f>
        <v>Personal - Health</v>
      </c>
      <c r="H157" s="16" t="n">
        <f aca="false">IF($B157="","",DATE(YEAR($B157),MONTH($B157),1))</f>
        <v>45901</v>
      </c>
      <c r="I157" s="0" t="str">
        <f aca="false">IF($G157="","Uncategorized — Review",IFERROR(INDEX(Mapping!$B:$B,MATCH($G157,Mapping!$A:$A,0)),"Uncategorized — Review"))</f>
        <v>Personal - Health</v>
      </c>
      <c r="J157" s="0" t="str">
        <f aca="false">IF($G157="","Uncategorized — Review",IFERROR(INDEX(Mapping!$C:$C,MATCH($G157,Mapping!$A:$A,0)),"Uncategorized — Review"))</f>
        <v>Personal — Owner</v>
      </c>
    </row>
    <row r="158" customFormat="false" ht="15" hidden="false" customHeight="false" outlineLevel="0" collapsed="false">
      <c r="A158" s="0" t="str">
        <f aca="false">2025_DWG_Activity!A158</f>
        <v>DEBIT</v>
      </c>
      <c r="B158" s="15" t="n">
        <f aca="false">2025_DWG_Activity!B158</f>
        <v>45902</v>
      </c>
      <c r="C158" s="0" t="str">
        <f aca="false">2025_DWG_Activity!C158</f>
        <v>HOTELJACO.COM HOTELJACO.COM TX               08/31</v>
      </c>
      <c r="D158" s="7" t="n">
        <f aca="false">2025_DWG_Activity!D158</f>
        <v>-169.33</v>
      </c>
      <c r="E158" s="0" t="str">
        <f aca="false">2025_DWG_Activity!E158</f>
        <v>DEBIT_CARD</v>
      </c>
      <c r="F158" s="7" t="n">
        <f aca="false">2025_DWG_Activity!F158</f>
        <v>17709.28</v>
      </c>
      <c r="G158" s="0" t="str">
        <f aca="false">2025_DWG_Activity!G158</f>
        <v>Personal - Trip</v>
      </c>
      <c r="H158" s="16" t="n">
        <f aca="false">IF($B158="","",DATE(YEAR($B158),MONTH($B158),1))</f>
        <v>45901</v>
      </c>
      <c r="I158" s="0" t="str">
        <f aca="false">IF($G158="","Uncategorized — Review",IFERROR(INDEX(Mapping!$B:$B,MATCH($G158,Mapping!$A:$A,0)),"Uncategorized — Review"))</f>
        <v>Personal - Trip</v>
      </c>
      <c r="J158" s="0" t="str">
        <f aca="false">IF($G158="","Uncategorized — Review",IFERROR(INDEX(Mapping!$C:$C,MATCH($G158,Mapping!$A:$A,0)),"Uncategorized — Review"))</f>
        <v>Personal — Owner</v>
      </c>
    </row>
    <row r="159" customFormat="false" ht="15" hidden="false" customHeight="false" outlineLevel="0" collapsed="false">
      <c r="A159" s="0" t="str">
        <f aca="false">2025_DWG_Activity!A159</f>
        <v>DEBIT</v>
      </c>
      <c r="B159" s="15" t="n">
        <f aca="false">2025_DWG_Activity!B159</f>
        <v>45897</v>
      </c>
      <c r="C159" s="0" t="str">
        <f aca="false">2025_DWG_Activity!C159</f>
        <v>Basic Online Payroll Payment 11183898538 to ######7939</v>
      </c>
      <c r="D159" s="7" t="n">
        <f aca="false">2025_DWG_Activity!D159</f>
        <v>-5000</v>
      </c>
      <c r="E159" s="0" t="str">
        <f aca="false">2025_DWG_Activity!E159</f>
        <v>BASIC_PAYROLL</v>
      </c>
      <c r="F159" s="7" t="n">
        <f aca="false">2025_DWG_Activity!F159</f>
        <v>17878.61</v>
      </c>
      <c r="G159" s="0" t="str">
        <f aca="false">2025_DWG_Activity!G159</f>
        <v>Ryan Billings - Payroll</v>
      </c>
      <c r="H159" s="16" t="n">
        <f aca="false">IF($B159="","",DATE(YEAR($B159),MONTH($B159),1))</f>
        <v>45870</v>
      </c>
      <c r="I159" s="0" t="str">
        <f aca="false">IF($G159="","Uncategorized — Review",IFERROR(INDEX(Mapping!$B:$B,MATCH($G159,Mapping!$A:$A,0)),"Uncategorized — Review"))</f>
        <v>Ryan Billings - Payroll</v>
      </c>
      <c r="J159" s="0" t="str">
        <f aca="false">IF($G159="","Uncategorized — Review",IFERROR(INDEX(Mapping!$C:$C,MATCH($G159,Mapping!$A:$A,0)),"Uncategorized — Review"))</f>
        <v>Payroll &amp; Contractors</v>
      </c>
    </row>
    <row r="160" customFormat="false" ht="15" hidden="false" customHeight="false" outlineLevel="0" collapsed="false">
      <c r="A160" s="0" t="str">
        <f aca="false">2025_DWG_Activity!A160</f>
        <v>DEBIT</v>
      </c>
      <c r="B160" s="15" t="n">
        <f aca="false">2025_DWG_Activity!B160</f>
        <v>45897</v>
      </c>
      <c r="C160" s="0" t="str">
        <f aca="false">2025_DWG_Activity!C160</f>
        <v>Basic Online Payroll Payment 11183914672 to ########6812</v>
      </c>
      <c r="D160" s="7" t="n">
        <f aca="false">2025_DWG_Activity!D160</f>
        <v>-5000</v>
      </c>
      <c r="E160" s="0" t="str">
        <f aca="false">2025_DWG_Activity!E160</f>
        <v>BASIC_PAYROLL</v>
      </c>
      <c r="F160" s="7" t="n">
        <f aca="false">2025_DWG_Activity!F160</f>
        <v>22878.61</v>
      </c>
      <c r="G160" s="0" t="str">
        <f aca="false">2025_DWG_Activity!G160</f>
        <v>Meg Maran - Payroll</v>
      </c>
      <c r="H160" s="16" t="n">
        <f aca="false">IF($B160="","",DATE(YEAR($B160),MONTH($B160),1))</f>
        <v>45870</v>
      </c>
      <c r="I160" s="0" t="str">
        <f aca="false">IF($G160="","Uncategorized — Review",IFERROR(INDEX(Mapping!$B:$B,MATCH($G160,Mapping!$A:$A,0)),"Uncategorized — Review"))</f>
        <v>Meg Maran - Payroll</v>
      </c>
      <c r="J160" s="0" t="str">
        <f aca="false">IF($G160="","Uncategorized — Review",IFERROR(INDEX(Mapping!$C:$C,MATCH($G160,Mapping!$A:$A,0)),"Uncategorized — Review"))</f>
        <v>Payroll &amp; Contractors</v>
      </c>
    </row>
    <row r="161" customFormat="false" ht="15" hidden="false" customHeight="false" outlineLevel="0" collapsed="false">
      <c r="A161" s="0" t="str">
        <f aca="false">2025_DWG_Activity!A161</f>
        <v>CREDIT</v>
      </c>
      <c r="B161" s="15" t="n">
        <f aca="false">2025_DWG_Activity!B161</f>
        <v>45897</v>
      </c>
      <c r="C161" s="0" t="str">
        <f aca="false">2025_DWG_Activity!C161</f>
        <v>Online Transfer from CHK ...9335 transaction#: 26008386397</v>
      </c>
      <c r="D161" s="7" t="n">
        <f aca="false">2025_DWG_Activity!D161</f>
        <v>20000</v>
      </c>
      <c r="E161" s="0" t="str">
        <f aca="false">2025_DWG_Activity!E161</f>
        <v>ACCT_XFER</v>
      </c>
      <c r="F161" s="7" t="n">
        <f aca="false">2025_DWG_Activity!F161</f>
        <v>27878.61</v>
      </c>
      <c r="G161" s="0" t="str">
        <f aca="false">2025_DWG_Activity!G161</f>
        <v>Transfer from Poseidon Asset Group</v>
      </c>
      <c r="H161" s="16" t="n">
        <f aca="false">IF($B161="","",DATE(YEAR($B161),MONTH($B161),1))</f>
        <v>45870</v>
      </c>
      <c r="I161" s="0" t="str">
        <f aca="false">IF($G161="","Uncategorized — Review",IFERROR(INDEX(Mapping!$B:$B,MATCH($G161,Mapping!$A:$A,0)),"Uncategorized — Review"))</f>
        <v>Transfer from Poseidon Asset Group</v>
      </c>
      <c r="J161" s="0" t="str">
        <f aca="false">IF($G161="","Uncategorized — Review",IFERROR(INDEX(Mapping!$C:$C,MATCH($G161,Mapping!$A:$A,0)),"Uncategorized — Review"))</f>
        <v>Intercompany &amp; Savings Transfers</v>
      </c>
    </row>
    <row r="162" customFormat="false" ht="15" hidden="false" customHeight="false" outlineLevel="0" collapsed="false">
      <c r="A162" s="0" t="str">
        <f aca="false">2025_DWG_Activity!A162</f>
        <v>DEBIT</v>
      </c>
      <c r="B162" s="15" t="n">
        <f aca="false">2025_DWG_Activity!B162</f>
        <v>45894</v>
      </c>
      <c r="C162" s="0" t="str">
        <f aca="false">2025_DWG_Activity!C162</f>
        <v>DNH*GODADDY#38657330 https://www.g AZ        08/24</v>
      </c>
      <c r="D162" s="7" t="n">
        <f aca="false">2025_DWG_Activity!D162</f>
        <v>-467.64</v>
      </c>
      <c r="E162" s="0" t="str">
        <f aca="false">2025_DWG_Activity!E162</f>
        <v>DEBIT_CARD</v>
      </c>
      <c r="F162" s="7" t="n">
        <f aca="false">2025_DWG_Activity!F162</f>
        <v>7878.61</v>
      </c>
      <c r="G162" s="0" t="str">
        <f aca="false">2025_DWG_Activity!G162</f>
        <v>Go Daddy</v>
      </c>
      <c r="H162" s="16" t="n">
        <f aca="false">IF($B162="","",DATE(YEAR($B162),MONTH($B162),1))</f>
        <v>45870</v>
      </c>
      <c r="I162" s="0" t="str">
        <f aca="false">IF($G162="","Uncategorized — Review",IFERROR(INDEX(Mapping!$B:$B,MATCH($G162,Mapping!$A:$A,0)),"Uncategorized — Review"))</f>
        <v>Go Daddy</v>
      </c>
      <c r="J162" s="0" t="str">
        <f aca="false">IF($G162="","Uncategorized — Review",IFERROR(INDEX(Mapping!$C:$C,MATCH($G162,Mapping!$A:$A,0)),"Uncategorized — Review"))</f>
        <v>DWG Operating</v>
      </c>
    </row>
    <row r="163" customFormat="false" ht="15" hidden="false" customHeight="false" outlineLevel="0" collapsed="false">
      <c r="A163" s="0" t="str">
        <f aca="false">2025_DWG_Activity!A163</f>
        <v>DEBIT</v>
      </c>
      <c r="B163" s="15" t="n">
        <f aca="false">2025_DWG_Activity!B163</f>
        <v>45894</v>
      </c>
      <c r="C163" s="0" t="str">
        <f aca="false">2025_DWG_Activity!C163</f>
        <v>THE GYM VENICE THEGYMVENICE. CA              08/23</v>
      </c>
      <c r="D163" s="7" t="n">
        <f aca="false">2025_DWG_Activity!D163</f>
        <v>-16.25</v>
      </c>
      <c r="E163" s="0" t="str">
        <f aca="false">2025_DWG_Activity!E163</f>
        <v>DEBIT_CARD</v>
      </c>
      <c r="F163" s="7" t="n">
        <f aca="false">2025_DWG_Activity!F163</f>
        <v>8346.25</v>
      </c>
      <c r="G163" s="0" t="str">
        <f aca="false">2025_DWG_Activity!G163</f>
        <v>Personal - Health</v>
      </c>
      <c r="H163" s="16" t="n">
        <f aca="false">IF($B163="","",DATE(YEAR($B163),MONTH($B163),1))</f>
        <v>45870</v>
      </c>
      <c r="I163" s="0" t="str">
        <f aca="false">IF($G163="","Uncategorized — Review",IFERROR(INDEX(Mapping!$B:$B,MATCH($G163,Mapping!$A:$A,0)),"Uncategorized — Review"))</f>
        <v>Personal - Health</v>
      </c>
      <c r="J163" s="0" t="str">
        <f aca="false">IF($G163="","Uncategorized — Review",IFERROR(INDEX(Mapping!$C:$C,MATCH($G163,Mapping!$A:$A,0)),"Uncategorized — Review"))</f>
        <v>Personal — Owner</v>
      </c>
    </row>
    <row r="164" customFormat="false" ht="15" hidden="false" customHeight="false" outlineLevel="0" collapsed="false">
      <c r="A164" s="0" t="str">
        <f aca="false">2025_DWG_Activity!A164</f>
        <v>DEBIT</v>
      </c>
      <c r="B164" s="15" t="n">
        <f aca="false">2025_DWG_Activity!B164</f>
        <v>45894</v>
      </c>
      <c r="C164" s="0" t="str">
        <f aca="false">2025_DWG_Activity!C164</f>
        <v>ACTIVECAMPAIGN, INC. 800-357-0402 IL         08/23</v>
      </c>
      <c r="D164" s="7" t="n">
        <f aca="false">2025_DWG_Activity!D164</f>
        <v>-326.8</v>
      </c>
      <c r="E164" s="0" t="str">
        <f aca="false">2025_DWG_Activity!E164</f>
        <v>DEBIT_CARD</v>
      </c>
      <c r="F164" s="7" t="n">
        <f aca="false">2025_DWG_Activity!F164</f>
        <v>8362.5</v>
      </c>
      <c r="G164" s="0" t="str">
        <f aca="false">2025_DWG_Activity!G164</f>
        <v>DWG Marketing</v>
      </c>
      <c r="H164" s="16" t="n">
        <f aca="false">IF($B164="","",DATE(YEAR($B164),MONTH($B164),1))</f>
        <v>45870</v>
      </c>
      <c r="I164" s="0" t="str">
        <f aca="false">IF($G164="","Uncategorized — Review",IFERROR(INDEX(Mapping!$B:$B,MATCH($G164,Mapping!$A:$A,0)),"Uncategorized — Review"))</f>
        <v>DWG Marketing</v>
      </c>
      <c r="J164" s="0" t="str">
        <f aca="false">IF($G164="","Uncategorized — Review",IFERROR(INDEX(Mapping!$C:$C,MATCH($G164,Mapping!$A:$A,0)),"Uncategorized — Review"))</f>
        <v>DWG Operating</v>
      </c>
    </row>
    <row r="165" customFormat="false" ht="15" hidden="false" customHeight="false" outlineLevel="0" collapsed="false">
      <c r="A165" s="0" t="str">
        <f aca="false">2025_DWG_Activity!A165</f>
        <v>CREDIT</v>
      </c>
      <c r="B165" s="15" t="n">
        <f aca="false">2025_DWG_Activity!B165</f>
        <v>45889</v>
      </c>
      <c r="C165" s="0" t="str">
        <f aca="false">2025_DWG_Activity!C165</f>
        <v>Zelle payment from MASTERMIND FOR DIGITAL HEALTH LLC 25913878977</v>
      </c>
      <c r="D165" s="7" t="n">
        <f aca="false">2025_DWG_Activity!D165</f>
        <v>1000</v>
      </c>
      <c r="E165" s="0" t="str">
        <f aca="false">2025_DWG_Activity!E165</f>
        <v>QUICKPAY_CREDIT</v>
      </c>
      <c r="F165" s="7" t="n">
        <f aca="false">2025_DWG_Activity!F165</f>
        <v>8689.3</v>
      </c>
      <c r="G165" s="0" t="str">
        <f aca="false">2025_DWG_Activity!G165</f>
        <v>Zelle - Joseph Whitner</v>
      </c>
      <c r="H165" s="16" t="n">
        <f aca="false">IF($B165="","",DATE(YEAR($B165),MONTH($B165),1))</f>
        <v>45870</v>
      </c>
      <c r="I165" s="0" t="str">
        <f aca="false">IF($G165="","Uncategorized — Review",IFERROR(INDEX(Mapping!$B:$B,MATCH($G165,Mapping!$A:$A,0)),"Uncategorized — Review"))</f>
        <v>Zelle - Joseph Whitner</v>
      </c>
      <c r="J165" s="0" t="str">
        <f aca="false">IF($G165="","Uncategorized — Review",IFERROR(INDEX(Mapping!$C:$C,MATCH($G165,Mapping!$A:$A,0)),"Uncategorized — Review"))</f>
        <v>P2P Payments (Zelle/Venmo/PayPal)</v>
      </c>
    </row>
    <row r="166" customFormat="false" ht="15" hidden="false" customHeight="false" outlineLevel="0" collapsed="false">
      <c r="A166" s="0" t="str">
        <f aca="false">2025_DWG_Activity!A166</f>
        <v>CREDIT</v>
      </c>
      <c r="B166" s="15" t="n">
        <f aca="false">2025_DWG_Activity!B166</f>
        <v>45888</v>
      </c>
      <c r="C166" s="0" t="str">
        <f aca="false">2025_DWG_Activity!C166</f>
        <v>Zelle payment from MASTERMIND FOR DIGITAL HEALTH LLC 25910628124</v>
      </c>
      <c r="D166" s="7" t="n">
        <f aca="false">2025_DWG_Activity!D166</f>
        <v>1000</v>
      </c>
      <c r="E166" s="0" t="str">
        <f aca="false">2025_DWG_Activity!E166</f>
        <v>QUICKPAY_CREDIT</v>
      </c>
      <c r="F166" s="7" t="n">
        <f aca="false">2025_DWG_Activity!F166</f>
        <v>7689.3</v>
      </c>
      <c r="G166" s="0" t="str">
        <f aca="false">2025_DWG_Activity!G166</f>
        <v>Zelle - Joseph Whitner</v>
      </c>
      <c r="H166" s="16" t="n">
        <f aca="false">IF($B166="","",DATE(YEAR($B166),MONTH($B166),1))</f>
        <v>45870</v>
      </c>
      <c r="I166" s="0" t="str">
        <f aca="false">IF($G166="","Uncategorized — Review",IFERROR(INDEX(Mapping!$B:$B,MATCH($G166,Mapping!$A:$A,0)),"Uncategorized — Review"))</f>
        <v>Zelle - Joseph Whitner</v>
      </c>
      <c r="J166" s="0" t="str">
        <f aca="false">IF($G166="","Uncategorized — Review",IFERROR(INDEX(Mapping!$C:$C,MATCH($G166,Mapping!$A:$A,0)),"Uncategorized — Review"))</f>
        <v>P2P Payments (Zelle/Venmo/PayPal)</v>
      </c>
    </row>
    <row r="167" customFormat="false" ht="15" hidden="false" customHeight="false" outlineLevel="0" collapsed="false">
      <c r="A167" s="0" t="str">
        <f aca="false">2025_DWG_Activity!A167</f>
        <v>DEBIT</v>
      </c>
      <c r="B167" s="15" t="n">
        <f aca="false">2025_DWG_Activity!B167</f>
        <v>45887</v>
      </c>
      <c r="C167" s="0" t="str">
        <f aca="false">2025_DWG_Activity!C167</f>
        <v>DNH*GODADDY#38569949 https://www.g AZ        08/17</v>
      </c>
      <c r="D167" s="7" t="n">
        <f aca="false">2025_DWG_Activity!D167</f>
        <v>-33.95</v>
      </c>
      <c r="E167" s="0" t="str">
        <f aca="false">2025_DWG_Activity!E167</f>
        <v>DEBIT_CARD</v>
      </c>
      <c r="F167" s="7" t="n">
        <f aca="false">2025_DWG_Activity!F167</f>
        <v>6689.3</v>
      </c>
      <c r="G167" s="0" t="str">
        <f aca="false">2025_DWG_Activity!G167</f>
        <v>Go Daddy</v>
      </c>
      <c r="H167" s="16" t="n">
        <f aca="false">IF($B167="","",DATE(YEAR($B167),MONTH($B167),1))</f>
        <v>45870</v>
      </c>
      <c r="I167" s="0" t="str">
        <f aca="false">IF($G167="","Uncategorized — Review",IFERROR(INDEX(Mapping!$B:$B,MATCH($G167,Mapping!$A:$A,0)),"Uncategorized — Review"))</f>
        <v>Go Daddy</v>
      </c>
      <c r="J167" s="0" t="str">
        <f aca="false">IF($G167="","Uncategorized — Review",IFERROR(INDEX(Mapping!$C:$C,MATCH($G167,Mapping!$A:$A,0)),"Uncategorized — Review"))</f>
        <v>DWG Operating</v>
      </c>
    </row>
    <row r="168" customFormat="false" ht="15" hidden="false" customHeight="false" outlineLevel="0" collapsed="false">
      <c r="A168" s="0" t="str">
        <f aca="false">2025_DWG_Activity!A168</f>
        <v>DEBIT</v>
      </c>
      <c r="B168" s="15" t="n">
        <f aca="false">2025_DWG_Activity!B168</f>
        <v>45887</v>
      </c>
      <c r="C168" s="0" t="str">
        <f aca="false">2025_DWG_Activity!C168</f>
        <v>800.COM, LLC 800-800-4321 FL                 08/16</v>
      </c>
      <c r="D168" s="7" t="n">
        <f aca="false">2025_DWG_Activity!D168</f>
        <v>-69.62</v>
      </c>
      <c r="E168" s="0" t="str">
        <f aca="false">2025_DWG_Activity!E168</f>
        <v>DEBIT_CARD</v>
      </c>
      <c r="F168" s="7" t="n">
        <f aca="false">2025_DWG_Activity!F168</f>
        <v>6723.25</v>
      </c>
      <c r="G168" s="0" t="str">
        <f aca="false">2025_DWG_Activity!G168</f>
        <v>DWG Marketing</v>
      </c>
      <c r="H168" s="16" t="n">
        <f aca="false">IF($B168="","",DATE(YEAR($B168),MONTH($B168),1))</f>
        <v>45870</v>
      </c>
      <c r="I168" s="0" t="str">
        <f aca="false">IF($G168="","Uncategorized — Review",IFERROR(INDEX(Mapping!$B:$B,MATCH($G168,Mapping!$A:$A,0)),"Uncategorized — Review"))</f>
        <v>DWG Marketing</v>
      </c>
      <c r="J168" s="0" t="str">
        <f aca="false">IF($G168="","Uncategorized — Review",IFERROR(INDEX(Mapping!$C:$C,MATCH($G168,Mapping!$A:$A,0)),"Uncategorized — Review"))</f>
        <v>DWG Operating</v>
      </c>
    </row>
    <row r="169" customFormat="false" ht="15" hidden="false" customHeight="false" outlineLevel="0" collapsed="false">
      <c r="A169" s="0" t="str">
        <f aca="false">2025_DWG_Activity!A169</f>
        <v>DEBIT</v>
      </c>
      <c r="B169" s="15" t="n">
        <f aca="false">2025_DWG_Activity!B169</f>
        <v>45887</v>
      </c>
      <c r="C169" s="0" t="str">
        <f aca="false">2025_DWG_Activity!C169</f>
        <v>DNH*GODADDY#38548009 https://www.g AZ        08/15</v>
      </c>
      <c r="D169" s="7" t="n">
        <f aca="false">2025_DWG_Activity!D169</f>
        <v>-8.99</v>
      </c>
      <c r="E169" s="0" t="str">
        <f aca="false">2025_DWG_Activity!E169</f>
        <v>DEBIT_CARD</v>
      </c>
      <c r="F169" s="7" t="n">
        <f aca="false">2025_DWG_Activity!F169</f>
        <v>6792.87</v>
      </c>
      <c r="G169" s="0" t="str">
        <f aca="false">2025_DWG_Activity!G169</f>
        <v>Go Daddy</v>
      </c>
      <c r="H169" s="16" t="n">
        <f aca="false">IF($B169="","",DATE(YEAR($B169),MONTH($B169),1))</f>
        <v>45870</v>
      </c>
      <c r="I169" s="0" t="str">
        <f aca="false">IF($G169="","Uncategorized — Review",IFERROR(INDEX(Mapping!$B:$B,MATCH($G169,Mapping!$A:$A,0)),"Uncategorized — Review"))</f>
        <v>Go Daddy</v>
      </c>
      <c r="J169" s="0" t="str">
        <f aca="false">IF($G169="","Uncategorized — Review",IFERROR(INDEX(Mapping!$C:$C,MATCH($G169,Mapping!$A:$A,0)),"Uncategorized — Review"))</f>
        <v>DWG Operating</v>
      </c>
    </row>
    <row r="170" customFormat="false" ht="15" hidden="false" customHeight="false" outlineLevel="0" collapsed="false">
      <c r="A170" s="0" t="str">
        <f aca="false">2025_DWG_Activity!A170</f>
        <v>DEBIT</v>
      </c>
      <c r="B170" s="15" t="n">
        <f aca="false">2025_DWG_Activity!B170</f>
        <v>45884</v>
      </c>
      <c r="C170" s="0" t="str">
        <f aca="false">2025_DWG_Activity!C170</f>
        <v>DNH*GODADDY#38537327 https://www.g AZ        08/14</v>
      </c>
      <c r="D170" s="7" t="n">
        <f aca="false">2025_DWG_Activity!D170</f>
        <v>-30.97</v>
      </c>
      <c r="E170" s="0" t="str">
        <f aca="false">2025_DWG_Activity!E170</f>
        <v>DEBIT_CARD</v>
      </c>
      <c r="F170" s="7" t="n">
        <f aca="false">2025_DWG_Activity!F170</f>
        <v>6801.86</v>
      </c>
      <c r="G170" s="0" t="str">
        <f aca="false">2025_DWG_Activity!G170</f>
        <v>Go Daddy</v>
      </c>
      <c r="H170" s="16" t="n">
        <f aca="false">IF($B170="","",DATE(YEAR($B170),MONTH($B170),1))</f>
        <v>45870</v>
      </c>
      <c r="I170" s="0" t="str">
        <f aca="false">IF($G170="","Uncategorized — Review",IFERROR(INDEX(Mapping!$B:$B,MATCH($G170,Mapping!$A:$A,0)),"Uncategorized — Review"))</f>
        <v>Go Daddy</v>
      </c>
      <c r="J170" s="0" t="str">
        <f aca="false">IF($G170="","Uncategorized — Review",IFERROR(INDEX(Mapping!$C:$C,MATCH($G170,Mapping!$A:$A,0)),"Uncategorized — Review"))</f>
        <v>DWG Operating</v>
      </c>
    </row>
    <row r="171" customFormat="false" ht="15" hidden="false" customHeight="false" outlineLevel="0" collapsed="false">
      <c r="A171" s="0" t="str">
        <f aca="false">2025_DWG_Activity!A171</f>
        <v>DEBIT</v>
      </c>
      <c r="B171" s="15" t="n">
        <f aca="false">2025_DWG_Activity!B171</f>
        <v>45883</v>
      </c>
      <c r="C171" s="0" t="str">
        <f aca="false">2025_DWG_Activity!C171</f>
        <v>Basic Online Payroll Payment 11180108671 to ########6812</v>
      </c>
      <c r="D171" s="7" t="n">
        <f aca="false">2025_DWG_Activity!D171</f>
        <v>-5000</v>
      </c>
      <c r="E171" s="0" t="str">
        <f aca="false">2025_DWG_Activity!E171</f>
        <v>BASIC_PAYROLL</v>
      </c>
      <c r="F171" s="7" t="n">
        <f aca="false">2025_DWG_Activity!F171</f>
        <v>6832.83</v>
      </c>
      <c r="G171" s="0" t="str">
        <f aca="false">2025_DWG_Activity!G171</f>
        <v>Meg Maran - Payroll</v>
      </c>
      <c r="H171" s="16" t="n">
        <f aca="false">IF($B171="","",DATE(YEAR($B171),MONTH($B171),1))</f>
        <v>45870</v>
      </c>
      <c r="I171" s="0" t="str">
        <f aca="false">IF($G171="","Uncategorized — Review",IFERROR(INDEX(Mapping!$B:$B,MATCH($G171,Mapping!$A:$A,0)),"Uncategorized — Review"))</f>
        <v>Meg Maran - Payroll</v>
      </c>
      <c r="J171" s="0" t="str">
        <f aca="false">IF($G171="","Uncategorized — Review",IFERROR(INDEX(Mapping!$C:$C,MATCH($G171,Mapping!$A:$A,0)),"Uncategorized — Review"))</f>
        <v>Payroll &amp; Contractors</v>
      </c>
    </row>
    <row r="172" customFormat="false" ht="15" hidden="false" customHeight="false" outlineLevel="0" collapsed="false">
      <c r="A172" s="0" t="str">
        <f aca="false">2025_DWG_Activity!A172</f>
        <v>DEBIT</v>
      </c>
      <c r="B172" s="15" t="n">
        <f aca="false">2025_DWG_Activity!B172</f>
        <v>45883</v>
      </c>
      <c r="C172" s="0" t="str">
        <f aca="false">2025_DWG_Activity!C172</f>
        <v>Basic Online Payroll Payment 11180105872 to ######7939</v>
      </c>
      <c r="D172" s="7" t="n">
        <f aca="false">2025_DWG_Activity!D172</f>
        <v>-5000</v>
      </c>
      <c r="E172" s="0" t="str">
        <f aca="false">2025_DWG_Activity!E172</f>
        <v>BASIC_PAYROLL</v>
      </c>
      <c r="F172" s="7" t="n">
        <f aca="false">2025_DWG_Activity!F172</f>
        <v>11832.83</v>
      </c>
      <c r="G172" s="0" t="str">
        <f aca="false">2025_DWG_Activity!G172</f>
        <v>Ryan Billings - Payroll</v>
      </c>
      <c r="H172" s="16" t="n">
        <f aca="false">IF($B172="","",DATE(YEAR($B172),MONTH($B172),1))</f>
        <v>45870</v>
      </c>
      <c r="I172" s="0" t="str">
        <f aca="false">IF($G172="","Uncategorized — Review",IFERROR(INDEX(Mapping!$B:$B,MATCH($G172,Mapping!$A:$A,0)),"Uncategorized — Review"))</f>
        <v>Ryan Billings - Payroll</v>
      </c>
      <c r="J172" s="0" t="str">
        <f aca="false">IF($G172="","Uncategorized — Review",IFERROR(INDEX(Mapping!$C:$C,MATCH($G172,Mapping!$A:$A,0)),"Uncategorized — Review"))</f>
        <v>Payroll &amp; Contractors</v>
      </c>
    </row>
    <row r="173" customFormat="false" ht="15" hidden="false" customHeight="false" outlineLevel="0" collapsed="false">
      <c r="A173" s="0" t="str">
        <f aca="false">2025_DWG_Activity!A173</f>
        <v>DEBIT</v>
      </c>
      <c r="B173" s="15" t="n">
        <f aca="false">2025_DWG_Activity!B173</f>
        <v>45883</v>
      </c>
      <c r="C173" s="0" t="str">
        <f aca="false">2025_DWG_Activity!C173</f>
        <v>DNH*GODADDY#38524544 https://www.g AZ        08/13</v>
      </c>
      <c r="D173" s="7" t="n">
        <f aca="false">2025_DWG_Activity!D173</f>
        <v>-46.95</v>
      </c>
      <c r="E173" s="0" t="str">
        <f aca="false">2025_DWG_Activity!E173</f>
        <v>DEBIT_CARD</v>
      </c>
      <c r="F173" s="7" t="n">
        <f aca="false">2025_DWG_Activity!F173</f>
        <v>16832.83</v>
      </c>
      <c r="G173" s="0" t="str">
        <f aca="false">2025_DWG_Activity!G173</f>
        <v>Go Daddy</v>
      </c>
      <c r="H173" s="16" t="n">
        <f aca="false">IF($B173="","",DATE(YEAR($B173),MONTH($B173),1))</f>
        <v>45870</v>
      </c>
      <c r="I173" s="0" t="str">
        <f aca="false">IF($G173="","Uncategorized — Review",IFERROR(INDEX(Mapping!$B:$B,MATCH($G173,Mapping!$A:$A,0)),"Uncategorized — Review"))</f>
        <v>Go Daddy</v>
      </c>
      <c r="J173" s="0" t="str">
        <f aca="false">IF($G173="","Uncategorized — Review",IFERROR(INDEX(Mapping!$C:$C,MATCH($G173,Mapping!$A:$A,0)),"Uncategorized — Review"))</f>
        <v>DWG Operating</v>
      </c>
    </row>
    <row r="174" customFormat="false" ht="15" hidden="false" customHeight="false" outlineLevel="0" collapsed="false">
      <c r="A174" s="0" t="str">
        <f aca="false">2025_DWG_Activity!A174</f>
        <v>DEBIT</v>
      </c>
      <c r="B174" s="15" t="n">
        <f aca="false">2025_DWG_Activity!B174</f>
        <v>45882</v>
      </c>
      <c r="C174" s="0" t="str">
        <f aca="false">2025_DWG_Activity!C174</f>
        <v>ADOBE  *800-833-6687 ADOBE.LY/ENUS CA        08/13</v>
      </c>
      <c r="D174" s="7" t="n">
        <f aca="false">2025_DWG_Activity!D174</f>
        <v>-21.64</v>
      </c>
      <c r="E174" s="0" t="str">
        <f aca="false">2025_DWG_Activity!E174</f>
        <v>DEBIT_CARD</v>
      </c>
      <c r="F174" s="7" t="n">
        <f aca="false">2025_DWG_Activity!F174</f>
        <v>16879.78</v>
      </c>
      <c r="G174" s="0" t="str">
        <f aca="false">2025_DWG_Activity!G174</f>
        <v>Personal - Subscriptions</v>
      </c>
      <c r="H174" s="16" t="n">
        <f aca="false">IF($B174="","",DATE(YEAR($B174),MONTH($B174),1))</f>
        <v>45870</v>
      </c>
      <c r="I174" s="0" t="str">
        <f aca="false">IF($G174="","Uncategorized — Review",IFERROR(INDEX(Mapping!$B:$B,MATCH($G174,Mapping!$A:$A,0)),"Uncategorized — Review"))</f>
        <v>Personal - Subscriptions</v>
      </c>
      <c r="J174" s="0" t="str">
        <f aca="false">IF($G174="","Uncategorized — Review",IFERROR(INDEX(Mapping!$C:$C,MATCH($G174,Mapping!$A:$A,0)),"Uncategorized — Review"))</f>
        <v>Personal — Owner</v>
      </c>
    </row>
    <row r="175" customFormat="false" ht="15" hidden="false" customHeight="false" outlineLevel="0" collapsed="false">
      <c r="A175" s="0" t="str">
        <f aca="false">2025_DWG_Activity!A175</f>
        <v>DEBIT</v>
      </c>
      <c r="B175" s="15" t="n">
        <f aca="false">2025_DWG_Activity!B175</f>
        <v>45881</v>
      </c>
      <c r="C175" s="0" t="str">
        <f aca="false">2025_DWG_Activity!C175</f>
        <v>DNH*GODADDY#38494948 https://www.g AZ        08/11</v>
      </c>
      <c r="D175" s="7" t="n">
        <f aca="false">2025_DWG_Activity!D175</f>
        <v>-21.98</v>
      </c>
      <c r="E175" s="0" t="str">
        <f aca="false">2025_DWG_Activity!E175</f>
        <v>DEBIT_CARD</v>
      </c>
      <c r="F175" s="7" t="n">
        <f aca="false">2025_DWG_Activity!F175</f>
        <v>16901.42</v>
      </c>
      <c r="G175" s="0" t="str">
        <f aca="false">2025_DWG_Activity!G175</f>
        <v>Go Daddy</v>
      </c>
      <c r="H175" s="16" t="n">
        <f aca="false">IF($B175="","",DATE(YEAR($B175),MONTH($B175),1))</f>
        <v>45870</v>
      </c>
      <c r="I175" s="0" t="str">
        <f aca="false">IF($G175="","Uncategorized — Review",IFERROR(INDEX(Mapping!$B:$B,MATCH($G175,Mapping!$A:$A,0)),"Uncategorized — Review"))</f>
        <v>Go Daddy</v>
      </c>
      <c r="J175" s="0" t="str">
        <f aca="false">IF($G175="","Uncategorized — Review",IFERROR(INDEX(Mapping!$C:$C,MATCH($G175,Mapping!$A:$A,0)),"Uncategorized — Review"))</f>
        <v>DWG Operating</v>
      </c>
    </row>
    <row r="176" customFormat="false" ht="15" hidden="false" customHeight="false" outlineLevel="0" collapsed="false">
      <c r="A176" s="0" t="str">
        <f aca="false">2025_DWG_Activity!A176</f>
        <v>DEBIT</v>
      </c>
      <c r="B176" s="15" t="n">
        <f aca="false">2025_DWG_Activity!B176</f>
        <v>45880</v>
      </c>
      <c r="C176" s="0" t="str">
        <f aca="false">2025_DWG_Activity!C176</f>
        <v>THE GYM VENICE THEGYMVENICE. CA              08/09</v>
      </c>
      <c r="D176" s="7" t="n">
        <f aca="false">2025_DWG_Activity!D176</f>
        <v>-19.5</v>
      </c>
      <c r="E176" s="0" t="str">
        <f aca="false">2025_DWG_Activity!E176</f>
        <v>DEBIT_CARD</v>
      </c>
      <c r="F176" s="7" t="n">
        <f aca="false">2025_DWG_Activity!F176</f>
        <v>16923.4</v>
      </c>
      <c r="G176" s="0" t="str">
        <f aca="false">2025_DWG_Activity!G176</f>
        <v>Personal - Health</v>
      </c>
      <c r="H176" s="16" t="n">
        <f aca="false">IF($B176="","",DATE(YEAR($B176),MONTH($B176),1))</f>
        <v>45870</v>
      </c>
      <c r="I176" s="0" t="str">
        <f aca="false">IF($G176="","Uncategorized — Review",IFERROR(INDEX(Mapping!$B:$B,MATCH($G176,Mapping!$A:$A,0)),"Uncategorized — Review"))</f>
        <v>Personal - Health</v>
      </c>
      <c r="J176" s="0" t="str">
        <f aca="false">IF($G176="","Uncategorized — Review",IFERROR(INDEX(Mapping!$C:$C,MATCH($G176,Mapping!$A:$A,0)),"Uncategorized — Review"))</f>
        <v>Personal — Owner</v>
      </c>
    </row>
    <row r="177" customFormat="false" ht="15" hidden="false" customHeight="false" outlineLevel="0" collapsed="false">
      <c r="A177" s="0" t="str">
        <f aca="false">2025_DWG_Activity!A177</f>
        <v>DEBIT</v>
      </c>
      <c r="B177" s="15" t="n">
        <f aca="false">2025_DWG_Activity!B177</f>
        <v>45880</v>
      </c>
      <c r="C177" s="0" t="str">
        <f aca="false">2025_DWG_Activity!C177</f>
        <v>ADOBE  *800-833-6687 ADOBE.LY/ENUS CA        08/10</v>
      </c>
      <c r="D177" s="7" t="n">
        <f aca="false">2025_DWG_Activity!D177</f>
        <v>-37.34</v>
      </c>
      <c r="E177" s="0" t="str">
        <f aca="false">2025_DWG_Activity!E177</f>
        <v>DEBIT_CARD</v>
      </c>
      <c r="F177" s="7" t="n">
        <f aca="false">2025_DWG_Activity!F177</f>
        <v>16942.9</v>
      </c>
      <c r="G177" s="0" t="str">
        <f aca="false">2025_DWG_Activity!G177</f>
        <v>Personal - Subscriptions</v>
      </c>
      <c r="H177" s="16" t="n">
        <f aca="false">IF($B177="","",DATE(YEAR($B177),MONTH($B177),1))</f>
        <v>45870</v>
      </c>
      <c r="I177" s="0" t="str">
        <f aca="false">IF($G177="","Uncategorized — Review",IFERROR(INDEX(Mapping!$B:$B,MATCH($G177,Mapping!$A:$A,0)),"Uncategorized — Review"))</f>
        <v>Personal - Subscriptions</v>
      </c>
      <c r="J177" s="0" t="str">
        <f aca="false">IF($G177="","Uncategorized — Review",IFERROR(INDEX(Mapping!$C:$C,MATCH($G177,Mapping!$A:$A,0)),"Uncategorized — Review"))</f>
        <v>Personal — Owner</v>
      </c>
    </row>
    <row r="178" customFormat="false" ht="15" hidden="false" customHeight="false" outlineLevel="0" collapsed="false">
      <c r="A178" s="0" t="str">
        <f aca="false">2025_DWG_Activity!A178</f>
        <v>DEBIT</v>
      </c>
      <c r="B178" s="15" t="n">
        <f aca="false">2025_DWG_Activity!B178</f>
        <v>45880</v>
      </c>
      <c r="C178" s="0" t="str">
        <f aca="false">2025_DWG_Activity!C178</f>
        <v>XAI LLC X.AI/ABOUT CA                        08/08</v>
      </c>
      <c r="D178" s="7" t="n">
        <f aca="false">2025_DWG_Activity!D178</f>
        <v>-30</v>
      </c>
      <c r="E178" s="0" t="str">
        <f aca="false">2025_DWG_Activity!E178</f>
        <v>DEBIT_CARD</v>
      </c>
      <c r="F178" s="7" t="n">
        <f aca="false">2025_DWG_Activity!F178</f>
        <v>16980.24</v>
      </c>
      <c r="G178" s="0" t="str">
        <f aca="false">2025_DWG_Activity!G178</f>
        <v>AI Subscription</v>
      </c>
      <c r="H178" s="16" t="n">
        <f aca="false">IF($B178="","",DATE(YEAR($B178),MONTH($B178),1))</f>
        <v>45870</v>
      </c>
      <c r="I178" s="0" t="str">
        <f aca="false">IF($G178="","Uncategorized — Review",IFERROR(INDEX(Mapping!$B:$B,MATCH($G178,Mapping!$A:$A,0)),"Uncategorized — Review"))</f>
        <v>AI Subscription</v>
      </c>
      <c r="J178" s="0" t="str">
        <f aca="false">IF($G178="","Uncategorized — Review",IFERROR(INDEX(Mapping!$C:$C,MATCH($G178,Mapping!$A:$A,0)),"Uncategorized — Review"))</f>
        <v>DWG Operating</v>
      </c>
    </row>
    <row r="179" customFormat="false" ht="15" hidden="false" customHeight="false" outlineLevel="0" collapsed="false">
      <c r="A179" s="0" t="str">
        <f aca="false">2025_DWG_Activity!A179</f>
        <v>DEBIT</v>
      </c>
      <c r="B179" s="15" t="n">
        <f aca="false">2025_DWG_Activity!B179</f>
        <v>45877</v>
      </c>
      <c r="C179" s="0" t="str">
        <f aca="false">2025_DWG_Activity!C179</f>
        <v>THE GYM VENICE THEGYMVENICE. CA              08/07</v>
      </c>
      <c r="D179" s="7" t="n">
        <f aca="false">2025_DWG_Activity!D179</f>
        <v>-6.5</v>
      </c>
      <c r="E179" s="0" t="str">
        <f aca="false">2025_DWG_Activity!E179</f>
        <v>DEBIT_CARD</v>
      </c>
      <c r="F179" s="7" t="n">
        <f aca="false">2025_DWG_Activity!F179</f>
        <v>17010.24</v>
      </c>
      <c r="G179" s="0" t="str">
        <f aca="false">2025_DWG_Activity!G179</f>
        <v>Personal - Health</v>
      </c>
      <c r="H179" s="16" t="n">
        <f aca="false">IF($B179="","",DATE(YEAR($B179),MONTH($B179),1))</f>
        <v>45870</v>
      </c>
      <c r="I179" s="0" t="str">
        <f aca="false">IF($G179="","Uncategorized — Review",IFERROR(INDEX(Mapping!$B:$B,MATCH($G179,Mapping!$A:$A,0)),"Uncategorized — Review"))</f>
        <v>Personal - Health</v>
      </c>
      <c r="J179" s="0" t="str">
        <f aca="false">IF($G179="","Uncategorized — Review",IFERROR(INDEX(Mapping!$C:$C,MATCH($G179,Mapping!$A:$A,0)),"Uncategorized — Review"))</f>
        <v>Personal — Owner</v>
      </c>
    </row>
    <row r="180" customFormat="false" ht="15" hidden="false" customHeight="false" outlineLevel="0" collapsed="false">
      <c r="A180" s="0" t="str">
        <f aca="false">2025_DWG_Activity!A180</f>
        <v>DEBIT</v>
      </c>
      <c r="B180" s="15" t="n">
        <f aca="false">2025_DWG_Activity!B180</f>
        <v>45876</v>
      </c>
      <c r="C180" s="0" t="str">
        <f aca="false">2025_DWG_Activity!C180</f>
        <v>Online Transfer to CHK ...9082 transaction#: 25771273840 08/07</v>
      </c>
      <c r="D180" s="7" t="n">
        <f aca="false">2025_DWG_Activity!D180</f>
        <v>-1500</v>
      </c>
      <c r="E180" s="0" t="str">
        <f aca="false">2025_DWG_Activity!E180</f>
        <v>ACCT_XFER</v>
      </c>
      <c r="F180" s="7" t="n">
        <f aca="false">2025_DWG_Activity!F180</f>
        <v>17016.74</v>
      </c>
      <c r="G180" s="0" t="str">
        <f aca="false">2025_DWG_Activity!G180</f>
        <v>Transfer to AirBagit</v>
      </c>
      <c r="H180" s="16" t="n">
        <f aca="false">IF($B180="","",DATE(YEAR($B180),MONTH($B180),1))</f>
        <v>45870</v>
      </c>
      <c r="I180" s="0" t="str">
        <f aca="false">IF($G180="","Uncategorized — Review",IFERROR(INDEX(Mapping!$B:$B,MATCH($G180,Mapping!$A:$A,0)),"Uncategorized — Review"))</f>
        <v>Transfer to AirBagit</v>
      </c>
      <c r="J180" s="0" t="str">
        <f aca="false">IF($G180="","Uncategorized — Review",IFERROR(INDEX(Mapping!$C:$C,MATCH($G180,Mapping!$A:$A,0)),"Uncategorized — Review"))</f>
        <v>Intercompany &amp; Savings Transfers</v>
      </c>
    </row>
    <row r="181" customFormat="false" ht="15" hidden="false" customHeight="false" outlineLevel="0" collapsed="false">
      <c r="A181" s="0" t="str">
        <f aca="false">2025_DWG_Activity!A181</f>
        <v>DEBIT</v>
      </c>
      <c r="B181" s="15" t="n">
        <f aca="false">2025_DWG_Activity!B181</f>
        <v>45876</v>
      </c>
      <c r="C181" s="0" t="str">
        <f aca="false">2025_DWG_Activity!C181</f>
        <v>DNH*GODADDY#38437798 https://www.g AZ        08/06</v>
      </c>
      <c r="D181" s="7" t="n">
        <f aca="false">2025_DWG_Activity!D181</f>
        <v>-30.97</v>
      </c>
      <c r="E181" s="0" t="str">
        <f aca="false">2025_DWG_Activity!E181</f>
        <v>DEBIT_CARD</v>
      </c>
      <c r="F181" s="7" t="n">
        <f aca="false">2025_DWG_Activity!F181</f>
        <v>18516.74</v>
      </c>
      <c r="G181" s="0" t="str">
        <f aca="false">2025_DWG_Activity!G181</f>
        <v>Go Daddy</v>
      </c>
      <c r="H181" s="16" t="n">
        <f aca="false">IF($B181="","",DATE(YEAR($B181),MONTH($B181),1))</f>
        <v>45870</v>
      </c>
      <c r="I181" s="0" t="str">
        <f aca="false">IF($G181="","Uncategorized — Review",IFERROR(INDEX(Mapping!$B:$B,MATCH($G181,Mapping!$A:$A,0)),"Uncategorized — Review"))</f>
        <v>Go Daddy</v>
      </c>
      <c r="J181" s="0" t="str">
        <f aca="false">IF($G181="","Uncategorized — Review",IFERROR(INDEX(Mapping!$C:$C,MATCH($G181,Mapping!$A:$A,0)),"Uncategorized — Review"))</f>
        <v>DWG Operating</v>
      </c>
    </row>
    <row r="182" customFormat="false" ht="15" hidden="false" customHeight="false" outlineLevel="0" collapsed="false">
      <c r="A182" s="0" t="str">
        <f aca="false">2025_DWG_Activity!A182</f>
        <v>DEBIT</v>
      </c>
      <c r="B182" s="15" t="n">
        <f aca="false">2025_DWG_Activity!B182</f>
        <v>45875</v>
      </c>
      <c r="C182" s="0" t="str">
        <f aca="false">2025_DWG_Activity!C182</f>
        <v>Online ACH Payment 11182923363 To AstronomicInc (_###########7142)</v>
      </c>
      <c r="D182" s="7" t="n">
        <f aca="false">2025_DWG_Activity!D182</f>
        <v>-5000</v>
      </c>
      <c r="E182" s="0" t="str">
        <f aca="false">2025_DWG_Activity!E182</f>
        <v>ACH_PAYMENT</v>
      </c>
      <c r="F182" s="7" t="n">
        <f aca="false">2025_DWG_Activity!F182</f>
        <v>18547.71</v>
      </c>
      <c r="G182" s="0" t="str">
        <f aca="false">2025_DWG_Activity!G182</f>
        <v>Deal Specific</v>
      </c>
      <c r="H182" s="16" t="n">
        <f aca="false">IF($B182="","",DATE(YEAR($B182),MONTH($B182),1))</f>
        <v>45870</v>
      </c>
      <c r="I182" s="0" t="str">
        <f aca="false">IF($G182="","Uncategorized — Review",IFERROR(INDEX(Mapping!$B:$B,MATCH($G182,Mapping!$A:$A,0)),"Uncategorized — Review"))</f>
        <v>Deal Specific</v>
      </c>
      <c r="J182" s="0" t="str">
        <f aca="false">IF($G182="","Uncategorized — Review",IFERROR(INDEX(Mapping!$C:$C,MATCH($G182,Mapping!$A:$A,0)),"Uncategorized — Review"))</f>
        <v>Deal-Specific</v>
      </c>
    </row>
    <row r="183" customFormat="false" ht="15" hidden="false" customHeight="false" outlineLevel="0" collapsed="false">
      <c r="A183" s="0" t="str">
        <f aca="false">2025_DWG_Activity!A183</f>
        <v>CREDIT</v>
      </c>
      <c r="B183" s="15" t="n">
        <f aca="false">2025_DWG_Activity!B183</f>
        <v>45875</v>
      </c>
      <c r="C183" s="0" t="str">
        <f aca="false">2025_DWG_Activity!C183</f>
        <v>Zelle payment from SHADE ARCHITECTS LLC 25743777280</v>
      </c>
      <c r="D183" s="7" t="n">
        <f aca="false">2025_DWG_Activity!D183</f>
        <v>1500</v>
      </c>
      <c r="E183" s="0" t="str">
        <f aca="false">2025_DWG_Activity!E183</f>
        <v>QUICKPAY_CREDIT</v>
      </c>
      <c r="F183" s="7" t="n">
        <f aca="false">2025_DWG_Activity!F183</f>
        <v>23547.71</v>
      </c>
      <c r="G183" s="0" t="str">
        <f aca="false">2025_DWG_Activity!G183</f>
        <v>Deal Specific</v>
      </c>
      <c r="H183" s="16" t="n">
        <f aca="false">IF($B183="","",DATE(YEAR($B183),MONTH($B183),1))</f>
        <v>45870</v>
      </c>
      <c r="I183" s="0" t="str">
        <f aca="false">IF($G183="","Uncategorized — Review",IFERROR(INDEX(Mapping!$B:$B,MATCH($G183,Mapping!$A:$A,0)),"Uncategorized — Review"))</f>
        <v>Deal Specific</v>
      </c>
      <c r="J183" s="0" t="str">
        <f aca="false">IF($G183="","Uncategorized — Review",IFERROR(INDEX(Mapping!$C:$C,MATCH($G183,Mapping!$A:$A,0)),"Uncategorized — Review"))</f>
        <v>Deal-Specific</v>
      </c>
    </row>
    <row r="184" customFormat="false" ht="15" hidden="false" customHeight="false" outlineLevel="0" collapsed="false">
      <c r="A184" s="0" t="str">
        <f aca="false">2025_DWG_Activity!A184</f>
        <v>DEBIT</v>
      </c>
      <c r="B184" s="15" t="n">
        <f aca="false">2025_DWG_Activity!B184</f>
        <v>45874</v>
      </c>
      <c r="C184" s="0" t="str">
        <f aca="false">2025_DWG_Activity!C184</f>
        <v>DNH*GODADDY#38416042 https://www.g AZ        08/04</v>
      </c>
      <c r="D184" s="7" t="n">
        <f aca="false">2025_DWG_Activity!D184</f>
        <v>-40.97</v>
      </c>
      <c r="E184" s="0" t="str">
        <f aca="false">2025_DWG_Activity!E184</f>
        <v>DEBIT_CARD</v>
      </c>
      <c r="F184" s="7" t="n">
        <f aca="false">2025_DWG_Activity!F184</f>
        <v>22047.71</v>
      </c>
      <c r="G184" s="0" t="str">
        <f aca="false">2025_DWG_Activity!G184</f>
        <v>Go Daddy</v>
      </c>
      <c r="H184" s="16" t="n">
        <f aca="false">IF($B184="","",DATE(YEAR($B184),MONTH($B184),1))</f>
        <v>45870</v>
      </c>
      <c r="I184" s="0" t="str">
        <f aca="false">IF($G184="","Uncategorized — Review",IFERROR(INDEX(Mapping!$B:$B,MATCH($G184,Mapping!$A:$A,0)),"Uncategorized — Review"))</f>
        <v>Go Daddy</v>
      </c>
      <c r="J184" s="0" t="str">
        <f aca="false">IF($G184="","Uncategorized — Review",IFERROR(INDEX(Mapping!$C:$C,MATCH($G184,Mapping!$A:$A,0)),"Uncategorized — Review"))</f>
        <v>DWG Operating</v>
      </c>
    </row>
    <row r="185" customFormat="false" ht="15" hidden="false" customHeight="false" outlineLevel="0" collapsed="false">
      <c r="A185" s="0" t="str">
        <f aca="false">2025_DWG_Activity!A185</f>
        <v>DEBIT</v>
      </c>
      <c r="B185" s="15" t="n">
        <f aca="false">2025_DWG_Activity!B185</f>
        <v>45873</v>
      </c>
      <c r="C185" s="0" t="str">
        <f aca="false">2025_DWG_Activity!C185</f>
        <v>CULVER THEATRE CULVER CITY CA                08/02</v>
      </c>
      <c r="D185" s="7" t="n">
        <f aca="false">2025_DWG_Activity!D185</f>
        <v>-18.98</v>
      </c>
      <c r="E185" s="0" t="str">
        <f aca="false">2025_DWG_Activity!E185</f>
        <v>DEBIT_CARD</v>
      </c>
      <c r="F185" s="7" t="n">
        <f aca="false">2025_DWG_Activity!F185</f>
        <v>22088.68</v>
      </c>
      <c r="G185" s="0" t="str">
        <f aca="false">2025_DWG_Activity!G185</f>
        <v>Personal - Entertainment</v>
      </c>
      <c r="H185" s="16" t="n">
        <f aca="false">IF($B185="","",DATE(YEAR($B185),MONTH($B185),1))</f>
        <v>45870</v>
      </c>
      <c r="I185" s="0" t="str">
        <f aca="false">IF($G185="","Uncategorized — Review",IFERROR(INDEX(Mapping!$B:$B,MATCH($G185,Mapping!$A:$A,0)),"Uncategorized — Review"))</f>
        <v>Personal - Entertainment</v>
      </c>
      <c r="J185" s="0" t="str">
        <f aca="false">IF($G185="","Uncategorized — Review",IFERROR(INDEX(Mapping!$C:$C,MATCH($G185,Mapping!$A:$A,0)),"Uncategorized — Review"))</f>
        <v>Personal — Owner</v>
      </c>
    </row>
    <row r="186" customFormat="false" ht="15" hidden="false" customHeight="false" outlineLevel="0" collapsed="false">
      <c r="A186" s="0" t="str">
        <f aca="false">2025_DWG_Activity!A186</f>
        <v>DEBIT</v>
      </c>
      <c r="B186" s="15" t="n">
        <f aca="false">2025_DWG_Activity!B186</f>
        <v>45873</v>
      </c>
      <c r="C186" s="0" t="str">
        <f aca="false">2025_DWG_Activity!C186</f>
        <v>CULVER THEATRE CULVER CITY CA                08/02</v>
      </c>
      <c r="D186" s="7" t="n">
        <f aca="false">2025_DWG_Activity!D186</f>
        <v>-55.47</v>
      </c>
      <c r="E186" s="0" t="str">
        <f aca="false">2025_DWG_Activity!E186</f>
        <v>DEBIT_CARD</v>
      </c>
      <c r="F186" s="7" t="n">
        <f aca="false">2025_DWG_Activity!F186</f>
        <v>22107.66</v>
      </c>
      <c r="G186" s="0" t="str">
        <f aca="false">2025_DWG_Activity!G186</f>
        <v>Personal - Entertainment</v>
      </c>
      <c r="H186" s="16" t="n">
        <f aca="false">IF($B186="","",DATE(YEAR($B186),MONTH($B186),1))</f>
        <v>45870</v>
      </c>
      <c r="I186" s="0" t="str">
        <f aca="false">IF($G186="","Uncategorized — Review",IFERROR(INDEX(Mapping!$B:$B,MATCH($G186,Mapping!$A:$A,0)),"Uncategorized — Review"))</f>
        <v>Personal - Entertainment</v>
      </c>
      <c r="J186" s="0" t="str">
        <f aca="false">IF($G186="","Uncategorized — Review",IFERROR(INDEX(Mapping!$C:$C,MATCH($G186,Mapping!$A:$A,0)),"Uncategorized — Review"))</f>
        <v>Personal — Owner</v>
      </c>
    </row>
    <row r="187" customFormat="false" ht="15" hidden="false" customHeight="false" outlineLevel="0" collapsed="false">
      <c r="A187" s="0" t="str">
        <f aca="false">2025_DWG_Activity!A187</f>
        <v>DEBIT</v>
      </c>
      <c r="B187" s="15" t="n">
        <f aca="false">2025_DWG_Activity!B187</f>
        <v>45873</v>
      </c>
      <c r="C187" s="0" t="str">
        <f aca="false">2025_DWG_Activity!C187</f>
        <v>DNH*GODADDY#38385675 https://www.g AZ        08/01</v>
      </c>
      <c r="D187" s="7" t="n">
        <f aca="false">2025_DWG_Activity!D187</f>
        <v>-21.98</v>
      </c>
      <c r="E187" s="0" t="str">
        <f aca="false">2025_DWG_Activity!E187</f>
        <v>DEBIT_CARD</v>
      </c>
      <c r="F187" s="7" t="n">
        <f aca="false">2025_DWG_Activity!F187</f>
        <v>22163.13</v>
      </c>
      <c r="G187" s="0" t="str">
        <f aca="false">2025_DWG_Activity!G187</f>
        <v>Go Daddy</v>
      </c>
      <c r="H187" s="16" t="n">
        <f aca="false">IF($B187="","",DATE(YEAR($B187),MONTH($B187),1))</f>
        <v>45870</v>
      </c>
      <c r="I187" s="0" t="str">
        <f aca="false">IF($G187="","Uncategorized — Review",IFERROR(INDEX(Mapping!$B:$B,MATCH($G187,Mapping!$A:$A,0)),"Uncategorized — Review"))</f>
        <v>Go Daddy</v>
      </c>
      <c r="J187" s="0" t="str">
        <f aca="false">IF($G187="","Uncategorized — Review",IFERROR(INDEX(Mapping!$C:$C,MATCH($G187,Mapping!$A:$A,0)),"Uncategorized — Review"))</f>
        <v>DWG Operating</v>
      </c>
    </row>
    <row r="188" customFormat="false" ht="15" hidden="false" customHeight="false" outlineLevel="0" collapsed="false">
      <c r="A188" s="0" t="str">
        <f aca="false">2025_DWG_Activity!A188</f>
        <v>DEBIT</v>
      </c>
      <c r="B188" s="15" t="n">
        <f aca="false">2025_DWG_Activity!B188</f>
        <v>45870</v>
      </c>
      <c r="C188" s="0" t="str">
        <f aca="false">2025_DWG_Activity!C188</f>
        <v>THE GYM VENICE THEGYMVENICE. CA              08/01</v>
      </c>
      <c r="D188" s="7" t="n">
        <f aca="false">2025_DWG_Activity!D188</f>
        <v>-1860</v>
      </c>
      <c r="E188" s="0" t="str">
        <f aca="false">2025_DWG_Activity!E188</f>
        <v>DEBIT_CARD</v>
      </c>
      <c r="F188" s="7" t="n">
        <f aca="false">2025_DWG_Activity!F188</f>
        <v>22185.11</v>
      </c>
      <c r="G188" s="0" t="str">
        <f aca="false">2025_DWG_Activity!G188</f>
        <v>Personal - Health</v>
      </c>
      <c r="H188" s="16" t="n">
        <f aca="false">IF($B188="","",DATE(YEAR($B188),MONTH($B188),1))</f>
        <v>45870</v>
      </c>
      <c r="I188" s="0" t="str">
        <f aca="false">IF($G188="","Uncategorized — Review",IFERROR(INDEX(Mapping!$B:$B,MATCH($G188,Mapping!$A:$A,0)),"Uncategorized — Review"))</f>
        <v>Personal - Health</v>
      </c>
      <c r="J188" s="0" t="str">
        <f aca="false">IF($G188="","Uncategorized — Review",IFERROR(INDEX(Mapping!$C:$C,MATCH($G188,Mapping!$A:$A,0)),"Uncategorized — Review"))</f>
        <v>Personal — Owner</v>
      </c>
    </row>
    <row r="189" customFormat="false" ht="15" hidden="false" customHeight="false" outlineLevel="0" collapsed="false">
      <c r="A189" s="0" t="str">
        <f aca="false">2025_DWG_Activity!A189</f>
        <v>DEBIT</v>
      </c>
      <c r="B189" s="15" t="n">
        <f aca="false">2025_DWG_Activity!B189</f>
        <v>45869</v>
      </c>
      <c r="C189" s="0" t="str">
        <f aca="false">2025_DWG_Activity!C189</f>
        <v>BLUE SHIELD CALIFORNI 800-393-6130 CA        07/31</v>
      </c>
      <c r="D189" s="7" t="n">
        <f aca="false">2025_DWG_Activity!D189</f>
        <v>-1190.49</v>
      </c>
      <c r="E189" s="0" t="str">
        <f aca="false">2025_DWG_Activity!E189</f>
        <v>DEBIT_CARD</v>
      </c>
      <c r="F189" s="7" t="n">
        <f aca="false">2025_DWG_Activity!F189</f>
        <v>24045.11</v>
      </c>
      <c r="G189" s="0" t="str">
        <f aca="false">2025_DWG_Activity!G189</f>
        <v>Personal - Health</v>
      </c>
      <c r="H189" s="16" t="n">
        <f aca="false">IF($B189="","",DATE(YEAR($B189),MONTH($B189),1))</f>
        <v>45839</v>
      </c>
      <c r="I189" s="0" t="str">
        <f aca="false">IF($G189="","Uncategorized — Review",IFERROR(INDEX(Mapping!$B:$B,MATCH($G189,Mapping!$A:$A,0)),"Uncategorized — Review"))</f>
        <v>Personal - Health</v>
      </c>
      <c r="J189" s="0" t="str">
        <f aca="false">IF($G189="","Uncategorized — Review",IFERROR(INDEX(Mapping!$C:$C,MATCH($G189,Mapping!$A:$A,0)),"Uncategorized — Review"))</f>
        <v>Personal — Owner</v>
      </c>
    </row>
    <row r="190" customFormat="false" ht="15" hidden="false" customHeight="false" outlineLevel="0" collapsed="false">
      <c r="A190" s="0" t="str">
        <f aca="false">2025_DWG_Activity!A190</f>
        <v>DEBIT</v>
      </c>
      <c r="B190" s="15" t="n">
        <f aca="false">2025_DWG_Activity!B190</f>
        <v>45869</v>
      </c>
      <c r="C190" s="0" t="str">
        <f aca="false">2025_DWG_Activity!C190</f>
        <v>Basic Online Payroll Payment 11179994455 to ########6812</v>
      </c>
      <c r="D190" s="7" t="n">
        <f aca="false">2025_DWG_Activity!D190</f>
        <v>-5000</v>
      </c>
      <c r="E190" s="0" t="str">
        <f aca="false">2025_DWG_Activity!E190</f>
        <v>BASIC_PAYROLL</v>
      </c>
      <c r="F190" s="7" t="n">
        <f aca="false">2025_DWG_Activity!F190</f>
        <v>25235.6</v>
      </c>
      <c r="G190" s="0" t="str">
        <f aca="false">2025_DWG_Activity!G190</f>
        <v>Meg Maran - Payroll</v>
      </c>
      <c r="H190" s="16" t="n">
        <f aca="false">IF($B190="","",DATE(YEAR($B190),MONTH($B190),1))</f>
        <v>45839</v>
      </c>
      <c r="I190" s="0" t="str">
        <f aca="false">IF($G190="","Uncategorized — Review",IFERROR(INDEX(Mapping!$B:$B,MATCH($G190,Mapping!$A:$A,0)),"Uncategorized — Review"))</f>
        <v>Meg Maran - Payroll</v>
      </c>
      <c r="J190" s="0" t="str">
        <f aca="false">IF($G190="","Uncategorized — Review",IFERROR(INDEX(Mapping!$C:$C,MATCH($G190,Mapping!$A:$A,0)),"Uncategorized — Review"))</f>
        <v>Payroll &amp; Contractors</v>
      </c>
    </row>
    <row r="191" customFormat="false" ht="15" hidden="false" customHeight="false" outlineLevel="0" collapsed="false">
      <c r="A191" s="0" t="str">
        <f aca="false">2025_DWG_Activity!A191</f>
        <v>DEBIT</v>
      </c>
      <c r="B191" s="15" t="n">
        <f aca="false">2025_DWG_Activity!B191</f>
        <v>45868</v>
      </c>
      <c r="C191" s="0" t="str">
        <f aca="false">2025_DWG_Activity!C191</f>
        <v>Basic Online Payroll Payment 11179987606 to ######7939</v>
      </c>
      <c r="D191" s="7" t="n">
        <f aca="false">2025_DWG_Activity!D191</f>
        <v>-5000</v>
      </c>
      <c r="E191" s="0" t="str">
        <f aca="false">2025_DWG_Activity!E191</f>
        <v>BASIC_PAYROLL</v>
      </c>
      <c r="F191" s="7" t="n">
        <f aca="false">2025_DWG_Activity!F191</f>
        <v>30235.6</v>
      </c>
      <c r="G191" s="0" t="str">
        <f aca="false">2025_DWG_Activity!G191</f>
        <v>Ryan Billings - Payroll</v>
      </c>
      <c r="H191" s="16" t="n">
        <f aca="false">IF($B191="","",DATE(YEAR($B191),MONTH($B191),1))</f>
        <v>45839</v>
      </c>
      <c r="I191" s="0" t="str">
        <f aca="false">IF($G191="","Uncategorized — Review",IFERROR(INDEX(Mapping!$B:$B,MATCH($G191,Mapping!$A:$A,0)),"Uncategorized — Review"))</f>
        <v>Ryan Billings - Payroll</v>
      </c>
      <c r="J191" s="0" t="str">
        <f aca="false">IF($G191="","Uncategorized — Review",IFERROR(INDEX(Mapping!$C:$C,MATCH($G191,Mapping!$A:$A,0)),"Uncategorized — Review"))</f>
        <v>Payroll &amp; Contractors</v>
      </c>
    </row>
    <row r="192" customFormat="false" ht="15" hidden="false" customHeight="false" outlineLevel="0" collapsed="false">
      <c r="A192" s="0" t="str">
        <f aca="false">2025_DWG_Activity!A192</f>
        <v>DEBIT</v>
      </c>
      <c r="B192" s="15" t="n">
        <f aca="false">2025_DWG_Activity!B192</f>
        <v>45868</v>
      </c>
      <c r="C192" s="0" t="str">
        <f aca="false">2025_DWG_Activity!C192</f>
        <v>PAR*NATIVE FOODS PALM PALM SPRINGS CA        07/29</v>
      </c>
      <c r="D192" s="7" t="n">
        <f aca="false">2025_DWG_Activity!D192</f>
        <v>-43.83</v>
      </c>
      <c r="E192" s="0" t="str">
        <f aca="false">2025_DWG_Activity!E192</f>
        <v>DEBIT_CARD</v>
      </c>
      <c r="F192" s="7" t="n">
        <f aca="false">2025_DWG_Activity!F192</f>
        <v>35235.6</v>
      </c>
      <c r="G192" s="0" t="str">
        <f aca="false">2025_DWG_Activity!G192</f>
        <v>Personal - Food</v>
      </c>
      <c r="H192" s="16" t="n">
        <f aca="false">IF($B192="","",DATE(YEAR($B192),MONTH($B192),1))</f>
        <v>45839</v>
      </c>
      <c r="I192" s="0" t="str">
        <f aca="false">IF($G192="","Uncategorized — Review",IFERROR(INDEX(Mapping!$B:$B,MATCH($G192,Mapping!$A:$A,0)),"Uncategorized — Review"))</f>
        <v>Personal - Food</v>
      </c>
      <c r="J192" s="0" t="str">
        <f aca="false">IF($G192="","Uncategorized — Review",IFERROR(INDEX(Mapping!$C:$C,MATCH($G192,Mapping!$A:$A,0)),"Uncategorized — Review"))</f>
        <v>Personal — Owner</v>
      </c>
    </row>
    <row r="193" customFormat="false" ht="15" hidden="false" customHeight="false" outlineLevel="0" collapsed="false">
      <c r="A193" s="0" t="str">
        <f aca="false">2025_DWG_Activity!A193</f>
        <v>DEBIT</v>
      </c>
      <c r="B193" s="15" t="n">
        <f aca="false">2025_DWG_Activity!B193</f>
        <v>45867</v>
      </c>
      <c r="C193" s="0" t="str">
        <f aca="false">2025_DWG_Activity!C193</f>
        <v>SPORTING GOODS PALM SPRINGS CA       186061  07/29</v>
      </c>
      <c r="D193" s="7" t="n">
        <f aca="false">2025_DWG_Activity!D193</f>
        <v>-19.43</v>
      </c>
      <c r="E193" s="0" t="str">
        <f aca="false">2025_DWG_Activity!E193</f>
        <v>DEBIT_CARD</v>
      </c>
      <c r="F193" s="7" t="n">
        <f aca="false">2025_DWG_Activity!F193</f>
        <v>35279.43</v>
      </c>
      <c r="G193" s="0" t="str">
        <f aca="false">2025_DWG_Activity!G193</f>
        <v>Personal - Clothes</v>
      </c>
      <c r="H193" s="16" t="n">
        <f aca="false">IF($B193="","",DATE(YEAR($B193),MONTH($B193),1))</f>
        <v>45839</v>
      </c>
      <c r="I193" s="0" t="str">
        <f aca="false">IF($G193="","Uncategorized — Review",IFERROR(INDEX(Mapping!$B:$B,MATCH($G193,Mapping!$A:$A,0)),"Uncategorized — Review"))</f>
        <v>Personal - Clothes</v>
      </c>
      <c r="J193" s="0" t="str">
        <f aca="false">IF($G193="","Uncategorized — Review",IFERROR(INDEX(Mapping!$C:$C,MATCH($G193,Mapping!$A:$A,0)),"Uncategorized — Review"))</f>
        <v>Personal — Owner</v>
      </c>
    </row>
    <row r="194" customFormat="false" ht="15" hidden="false" customHeight="false" outlineLevel="0" collapsed="false">
      <c r="A194" s="0" t="str">
        <f aca="false">2025_DWG_Activity!A194</f>
        <v>DEBIT</v>
      </c>
      <c r="B194" s="15" t="n">
        <f aca="false">2025_DWG_Activity!B194</f>
        <v>45863</v>
      </c>
      <c r="C194" s="0" t="str">
        <f aca="false">2025_DWG_Activity!C194</f>
        <v>CARLS JR GB 7361 BALDWIN PARK CA             07/24</v>
      </c>
      <c r="D194" s="7" t="n">
        <f aca="false">2025_DWG_Activity!D194</f>
        <v>-11.15</v>
      </c>
      <c r="E194" s="0" t="str">
        <f aca="false">2025_DWG_Activity!E194</f>
        <v>DEBIT_CARD</v>
      </c>
      <c r="F194" s="7" t="n">
        <f aca="false">2025_DWG_Activity!F194</f>
        <v>35298.86</v>
      </c>
      <c r="G194" s="0" t="str">
        <f aca="false">2025_DWG_Activity!G194</f>
        <v>Personal - Food</v>
      </c>
      <c r="H194" s="16" t="n">
        <f aca="false">IF($B194="","",DATE(YEAR($B194),MONTH($B194),1))</f>
        <v>45839</v>
      </c>
      <c r="I194" s="0" t="str">
        <f aca="false">IF($G194="","Uncategorized — Review",IFERROR(INDEX(Mapping!$B:$B,MATCH($G194,Mapping!$A:$A,0)),"Uncategorized — Review"))</f>
        <v>Personal - Food</v>
      </c>
      <c r="J194" s="0" t="str">
        <f aca="false">IF($G194="","Uncategorized — Review",IFERROR(INDEX(Mapping!$C:$C,MATCH($G194,Mapping!$A:$A,0)),"Uncategorized — Review"))</f>
        <v>Personal — Owner</v>
      </c>
    </row>
    <row r="195" customFormat="false" ht="15" hidden="false" customHeight="false" outlineLevel="0" collapsed="false">
      <c r="A195" s="0" t="str">
        <f aca="false">2025_DWG_Activity!A195</f>
        <v>DEBIT</v>
      </c>
      <c r="B195" s="15" t="n">
        <f aca="false">2025_DWG_Activity!B195</f>
        <v>45862</v>
      </c>
      <c r="C195" s="0" t="str">
        <f aca="false">2025_DWG_Activity!C195</f>
        <v>THE GYM VENICE THEGYMVENICE. CA              07/24</v>
      </c>
      <c r="D195" s="7" t="n">
        <f aca="false">2025_DWG_Activity!D195</f>
        <v>-99</v>
      </c>
      <c r="E195" s="0" t="str">
        <f aca="false">2025_DWG_Activity!E195</f>
        <v>DEBIT_CARD</v>
      </c>
      <c r="F195" s="7" t="n">
        <f aca="false">2025_DWG_Activity!F195</f>
        <v>35310.01</v>
      </c>
      <c r="G195" s="0" t="str">
        <f aca="false">2025_DWG_Activity!G195</f>
        <v>Personal - Health</v>
      </c>
      <c r="H195" s="16" t="n">
        <f aca="false">IF($B195="","",DATE(YEAR($B195),MONTH($B195),1))</f>
        <v>45839</v>
      </c>
      <c r="I195" s="0" t="str">
        <f aca="false">IF($G195="","Uncategorized — Review",IFERROR(INDEX(Mapping!$B:$B,MATCH($G195,Mapping!$A:$A,0)),"Uncategorized — Review"))</f>
        <v>Personal - Health</v>
      </c>
      <c r="J195" s="0" t="str">
        <f aca="false">IF($G195="","Uncategorized — Review",IFERROR(INDEX(Mapping!$C:$C,MATCH($G195,Mapping!$A:$A,0)),"Uncategorized — Review"))</f>
        <v>Personal — Owner</v>
      </c>
    </row>
    <row r="196" customFormat="false" ht="15" hidden="false" customHeight="false" outlineLevel="0" collapsed="false">
      <c r="A196" s="0" t="str">
        <f aca="false">2025_DWG_Activity!A196</f>
        <v>DEBIT</v>
      </c>
      <c r="B196" s="15" t="n">
        <f aca="false">2025_DWG_Activity!B196</f>
        <v>45862</v>
      </c>
      <c r="C196" s="0" t="str">
        <f aca="false">2025_DWG_Activity!C196</f>
        <v>STARBUCKS STORE 22640 LOS ANGELES CA         07/23</v>
      </c>
      <c r="D196" s="7" t="n">
        <f aca="false">2025_DWG_Activity!D196</f>
        <v>-5.55</v>
      </c>
      <c r="E196" s="0" t="str">
        <f aca="false">2025_DWG_Activity!E196</f>
        <v>DEBIT_CARD</v>
      </c>
      <c r="F196" s="7" t="n">
        <f aca="false">2025_DWG_Activity!F196</f>
        <v>35409.01</v>
      </c>
      <c r="G196" s="0" t="str">
        <f aca="false">2025_DWG_Activity!G196</f>
        <v>Personal - Food</v>
      </c>
      <c r="H196" s="16" t="n">
        <f aca="false">IF($B196="","",DATE(YEAR($B196),MONTH($B196),1))</f>
        <v>45839</v>
      </c>
      <c r="I196" s="0" t="str">
        <f aca="false">IF($G196="","Uncategorized — Review",IFERROR(INDEX(Mapping!$B:$B,MATCH($G196,Mapping!$A:$A,0)),"Uncategorized — Review"))</f>
        <v>Personal - Food</v>
      </c>
      <c r="J196" s="0" t="str">
        <f aca="false">IF($G196="","Uncategorized — Review",IFERROR(INDEX(Mapping!$C:$C,MATCH($G196,Mapping!$A:$A,0)),"Uncategorized — Review"))</f>
        <v>Personal — Owner</v>
      </c>
    </row>
    <row r="197" customFormat="false" ht="15" hidden="false" customHeight="false" outlineLevel="0" collapsed="false">
      <c r="A197" s="0" t="str">
        <f aca="false">2025_DWG_Activity!A197</f>
        <v>DEBIT</v>
      </c>
      <c r="B197" s="15" t="n">
        <f aca="false">2025_DWG_Activity!B197</f>
        <v>45862</v>
      </c>
      <c r="C197" s="0" t="str">
        <f aca="false">2025_DWG_Activity!C197</f>
        <v>TST*MY LAI Los Angeles CA                    07/23</v>
      </c>
      <c r="D197" s="7" t="n">
        <f aca="false">2025_DWG_Activity!D197</f>
        <v>-57.13</v>
      </c>
      <c r="E197" s="0" t="str">
        <f aca="false">2025_DWG_Activity!E197</f>
        <v>DEBIT_CARD</v>
      </c>
      <c r="F197" s="7" t="n">
        <f aca="false">2025_DWG_Activity!F197</f>
        <v>35414.56</v>
      </c>
      <c r="G197" s="0" t="str">
        <f aca="false">2025_DWG_Activity!G197</f>
        <v>Personal - Food</v>
      </c>
      <c r="H197" s="16" t="n">
        <f aca="false">IF($B197="","",DATE(YEAR($B197),MONTH($B197),1))</f>
        <v>45839</v>
      </c>
      <c r="I197" s="0" t="str">
        <f aca="false">IF($G197="","Uncategorized — Review",IFERROR(INDEX(Mapping!$B:$B,MATCH($G197,Mapping!$A:$A,0)),"Uncategorized — Review"))</f>
        <v>Personal - Food</v>
      </c>
      <c r="J197" s="0" t="str">
        <f aca="false">IF($G197="","Uncategorized — Review",IFERROR(INDEX(Mapping!$C:$C,MATCH($G197,Mapping!$A:$A,0)),"Uncategorized — Review"))</f>
        <v>Personal — Owner</v>
      </c>
    </row>
    <row r="198" customFormat="false" ht="15" hidden="false" customHeight="false" outlineLevel="0" collapsed="false">
      <c r="A198" s="0" t="str">
        <f aca="false">2025_DWG_Activity!A198</f>
        <v>DEBIT</v>
      </c>
      <c r="B198" s="15" t="n">
        <f aca="false">2025_DWG_Activity!B198</f>
        <v>45861</v>
      </c>
      <c r="C198" s="0" t="str">
        <f aca="false">2025_DWG_Activity!C198</f>
        <v>ACTIVECAMPAIGN, INC. 800-357-0402 IL         07/23</v>
      </c>
      <c r="D198" s="7" t="n">
        <f aca="false">2025_DWG_Activity!D198</f>
        <v>-326.8</v>
      </c>
      <c r="E198" s="0" t="str">
        <f aca="false">2025_DWG_Activity!E198</f>
        <v>DEBIT_CARD</v>
      </c>
      <c r="F198" s="7" t="n">
        <f aca="false">2025_DWG_Activity!F198</f>
        <v>35471.69</v>
      </c>
      <c r="G198" s="0" t="str">
        <f aca="false">2025_DWG_Activity!G198</f>
        <v>DWG Marketing</v>
      </c>
      <c r="H198" s="16" t="n">
        <f aca="false">IF($B198="","",DATE(YEAR($B198),MONTH($B198),1))</f>
        <v>45839</v>
      </c>
      <c r="I198" s="0" t="str">
        <f aca="false">IF($G198="","Uncategorized — Review",IFERROR(INDEX(Mapping!$B:$B,MATCH($G198,Mapping!$A:$A,0)),"Uncategorized — Review"))</f>
        <v>DWG Marketing</v>
      </c>
      <c r="J198" s="0" t="str">
        <f aca="false">IF($G198="","Uncategorized — Review",IFERROR(INDEX(Mapping!$C:$C,MATCH($G198,Mapping!$A:$A,0)),"Uncategorized — Review"))</f>
        <v>DWG Operating</v>
      </c>
    </row>
    <row r="199" customFormat="false" ht="15" hidden="false" customHeight="false" outlineLevel="0" collapsed="false">
      <c r="A199" s="0" t="str">
        <f aca="false">2025_DWG_Activity!A199</f>
        <v>DEBIT</v>
      </c>
      <c r="B199" s="15" t="n">
        <f aca="false">2025_DWG_Activity!B199</f>
        <v>45859</v>
      </c>
      <c r="C199" s="0" t="str">
        <f aca="false">2025_DWG_Activity!C199</f>
        <v>ONLINE DOMESTIC WIRE FEE</v>
      </c>
      <c r="D199" s="7" t="n">
        <f aca="false">2025_DWG_Activity!D199</f>
        <v>-25</v>
      </c>
      <c r="E199" s="0" t="str">
        <f aca="false">2025_DWG_Activity!E199</f>
        <v>FEE_TRANSACTION</v>
      </c>
      <c r="F199" s="7" t="n">
        <f aca="false">2025_DWG_Activity!F199</f>
        <v>35798.49</v>
      </c>
      <c r="G199" s="0" t="str">
        <f aca="false">2025_DWG_Activity!G199</f>
        <v>Bank Fees</v>
      </c>
      <c r="H199" s="16" t="n">
        <f aca="false">IF($B199="","",DATE(YEAR($B199),MONTH($B199),1))</f>
        <v>45839</v>
      </c>
      <c r="I199" s="0" t="str">
        <f aca="false">IF($G199="","Uncategorized — Review",IFERROR(INDEX(Mapping!$B:$B,MATCH($G199,Mapping!$A:$A,0)),"Uncategorized — Review"))</f>
        <v>Bank Fees</v>
      </c>
      <c r="J199" s="0" t="str">
        <f aca="false">IF($G199="","Uncategorized — Review",IFERROR(INDEX(Mapping!$C:$C,MATCH($G199,Mapping!$A:$A,0)),"Uncategorized — Review"))</f>
        <v>DWG Operating</v>
      </c>
    </row>
    <row r="200" customFormat="false" ht="15" hidden="false" customHeight="false" outlineLevel="0" collapsed="false">
      <c r="A200" s="0" t="str">
        <f aca="false">2025_DWG_Activity!A200</f>
        <v>DEBIT</v>
      </c>
      <c r="B200" s="15" t="n">
        <f aca="false">2025_DWG_Activity!B200</f>
        <v>45859</v>
      </c>
      <c r="C200" s="0" t="str">
        <f aca="false">2025_DWG_Activity!C200</f>
        <v>ONLINE DOMESTIC WIRE TRANSFER VIA: WASH FEDL SVGS SEA/325070980 A/C: DWG CAPITAL PARTNERS LLC SEATTLE WA 98101 US IMAD: 0721MMQFMP2L024886 TRN: 3638425202ES 07/21</v>
      </c>
      <c r="D200" s="7" t="n">
        <f aca="false">2025_DWG_Activity!D200</f>
        <v>-10000</v>
      </c>
      <c r="E200" s="0" t="str">
        <f aca="false">2025_DWG_Activity!E200</f>
        <v>WIRE_OUTGOING</v>
      </c>
      <c r="F200" s="7" t="n">
        <f aca="false">2025_DWG_Activity!F200</f>
        <v>35823.49</v>
      </c>
      <c r="G200" s="17" t="n">
        <f aca="false">2025_DWG_Activity!G200</f>
        <v>0</v>
      </c>
      <c r="H200" s="16" t="n">
        <f aca="false">IF($B200="","",DATE(YEAR($B200),MONTH($B200),1))</f>
        <v>45839</v>
      </c>
      <c r="I200" s="0" t="str">
        <f aca="false">IF($G200="","Uncategorized — Review",IFERROR(INDEX(Mapping!$B:$B,MATCH($G200,Mapping!$A:$A,0)),"Uncategorized — Review"))</f>
        <v>Uncategorized — Review</v>
      </c>
      <c r="J200" s="0" t="str">
        <f aca="false">IF($G200="","Uncategorized — Review",IFERROR(INDEX(Mapping!$C:$C,MATCH($G200,Mapping!$A:$A,0)),"Uncategorized — Review"))</f>
        <v>Uncategorized — Review</v>
      </c>
    </row>
    <row r="201" customFormat="false" ht="15" hidden="false" customHeight="false" outlineLevel="0" collapsed="false">
      <c r="A201" s="0" t="str">
        <f aca="false">2025_DWG_Activity!A201</f>
        <v>CREDIT</v>
      </c>
      <c r="B201" s="15" t="n">
        <f aca="false">2025_DWG_Activity!B201</f>
        <v>45859</v>
      </c>
      <c r="C201" s="0" t="str">
        <f aca="false">2025_DWG_Activity!C201</f>
        <v>Online Transfer from CHK ...9335 transaction#: 25563251227</v>
      </c>
      <c r="D201" s="7" t="n">
        <f aca="false">2025_DWG_Activity!D201</f>
        <v>10000</v>
      </c>
      <c r="E201" s="0" t="str">
        <f aca="false">2025_DWG_Activity!E201</f>
        <v>ACCT_XFER</v>
      </c>
      <c r="F201" s="7" t="n">
        <f aca="false">2025_DWG_Activity!F201</f>
        <v>45823.49</v>
      </c>
      <c r="G201" s="0" t="str">
        <f aca="false">2025_DWG_Activity!G201</f>
        <v>Transfer from Poseidon Asset Group</v>
      </c>
      <c r="H201" s="16" t="n">
        <f aca="false">IF($B201="","",DATE(YEAR($B201),MONTH($B201),1))</f>
        <v>45839</v>
      </c>
      <c r="I201" s="0" t="str">
        <f aca="false">IF($G201="","Uncategorized — Review",IFERROR(INDEX(Mapping!$B:$B,MATCH($G201,Mapping!$A:$A,0)),"Uncategorized — Review"))</f>
        <v>Transfer from Poseidon Asset Group</v>
      </c>
      <c r="J201" s="0" t="str">
        <f aca="false">IF($G201="","Uncategorized — Review",IFERROR(INDEX(Mapping!$C:$C,MATCH($G201,Mapping!$A:$A,0)),"Uncategorized — Review"))</f>
        <v>Intercompany &amp; Savings Transfers</v>
      </c>
    </row>
    <row r="202" customFormat="false" ht="15" hidden="false" customHeight="false" outlineLevel="0" collapsed="false">
      <c r="A202" s="0" t="str">
        <f aca="false">2025_DWG_Activity!A202</f>
        <v>DEBIT</v>
      </c>
      <c r="B202" s="15" t="n">
        <f aca="false">2025_DWG_Activity!B202</f>
        <v>45856</v>
      </c>
      <c r="C202" s="0" t="str">
        <f aca="false">2025_DWG_Activity!C202</f>
        <v>DNH*GODADDY#38209789 https://www.g AZ        07/17</v>
      </c>
      <c r="D202" s="7" t="n">
        <f aca="false">2025_DWG_Activity!D202</f>
        <v>-19.97</v>
      </c>
      <c r="E202" s="0" t="str">
        <f aca="false">2025_DWG_Activity!E202</f>
        <v>DEBIT_CARD</v>
      </c>
      <c r="F202" s="7" t="n">
        <f aca="false">2025_DWG_Activity!F202</f>
        <v>35823.49</v>
      </c>
      <c r="G202" s="0" t="str">
        <f aca="false">2025_DWG_Activity!G202</f>
        <v>Go Daddy</v>
      </c>
      <c r="H202" s="16" t="n">
        <f aca="false">IF($B202="","",DATE(YEAR($B202),MONTH($B202),1))</f>
        <v>45839</v>
      </c>
      <c r="I202" s="0" t="str">
        <f aca="false">IF($G202="","Uncategorized — Review",IFERROR(INDEX(Mapping!$B:$B,MATCH($G202,Mapping!$A:$A,0)),"Uncategorized — Review"))</f>
        <v>Go Daddy</v>
      </c>
      <c r="J202" s="0" t="str">
        <f aca="false">IF($G202="","Uncategorized — Review",IFERROR(INDEX(Mapping!$C:$C,MATCH($G202,Mapping!$A:$A,0)),"Uncategorized — Review"))</f>
        <v>DWG Operating</v>
      </c>
    </row>
    <row r="203" customFormat="false" ht="15" hidden="false" customHeight="false" outlineLevel="0" collapsed="false">
      <c r="A203" s="0" t="str">
        <f aca="false">2025_DWG_Activity!A203</f>
        <v>DEBIT</v>
      </c>
      <c r="B203" s="15" t="n">
        <f aca="false">2025_DWG_Activity!B203</f>
        <v>45856</v>
      </c>
      <c r="C203" s="0" t="str">
        <f aca="false">2025_DWG_Activity!C203</f>
        <v>DNH*GODADDY#38209789 https://www.g AZ        07/17</v>
      </c>
      <c r="D203" s="7" t="n">
        <f aca="false">2025_DWG_Activity!D203</f>
        <v>-13.98</v>
      </c>
      <c r="E203" s="0" t="str">
        <f aca="false">2025_DWG_Activity!E203</f>
        <v>DEBIT_CARD</v>
      </c>
      <c r="F203" s="7" t="n">
        <f aca="false">2025_DWG_Activity!F203</f>
        <v>35843.46</v>
      </c>
      <c r="G203" s="0" t="str">
        <f aca="false">2025_DWG_Activity!G203</f>
        <v>Go Daddy</v>
      </c>
      <c r="H203" s="16" t="n">
        <f aca="false">IF($B203="","",DATE(YEAR($B203),MONTH($B203),1))</f>
        <v>45839</v>
      </c>
      <c r="I203" s="0" t="str">
        <f aca="false">IF($G203="","Uncategorized — Review",IFERROR(INDEX(Mapping!$B:$B,MATCH($G203,Mapping!$A:$A,0)),"Uncategorized — Review"))</f>
        <v>Go Daddy</v>
      </c>
      <c r="J203" s="0" t="str">
        <f aca="false">IF($G203="","Uncategorized — Review",IFERROR(INDEX(Mapping!$C:$C,MATCH($G203,Mapping!$A:$A,0)),"Uncategorized — Review"))</f>
        <v>DWG Operating</v>
      </c>
    </row>
    <row r="204" customFormat="false" ht="15" hidden="false" customHeight="false" outlineLevel="0" collapsed="false">
      <c r="A204" s="0" t="str">
        <f aca="false">2025_DWG_Activity!A204</f>
        <v>CREDIT</v>
      </c>
      <c r="B204" s="15" t="n">
        <f aca="false">2025_DWG_Activity!B204</f>
        <v>45855</v>
      </c>
      <c r="C204" s="0" t="str">
        <f aca="false">2025_DWG_Activity!C204</f>
        <v>ORIG CO NAME:#QRR Melio             ORIG ID:1460820571 DESC DATE:       CO ENTRY DESCR:ACCTVERIFYSEC:PPD    TRACE#:021214898583365 EED:250717   IND ID:                             IND NAME:John Dunning TRN: 1988583365TC</v>
      </c>
      <c r="D204" s="7" t="n">
        <f aca="false">2025_DWG_Activity!D204</f>
        <v>0.01</v>
      </c>
      <c r="E204" s="0" t="str">
        <f aca="false">2025_DWG_Activity!E204</f>
        <v>ACH_CREDIT</v>
      </c>
      <c r="F204" s="7" t="n">
        <f aca="false">2025_DWG_Activity!F204</f>
        <v>35857.44</v>
      </c>
      <c r="G204" s="0" t="str">
        <f aca="false">2025_DWG_Activity!G204</f>
        <v>Verification</v>
      </c>
      <c r="H204" s="16" t="n">
        <f aca="false">IF($B204="","",DATE(YEAR($B204),MONTH($B204),1))</f>
        <v>45839</v>
      </c>
      <c r="I204" s="0" t="str">
        <f aca="false">IF($G204="","Uncategorized — Review",IFERROR(INDEX(Mapping!$B:$B,MATCH($G204,Mapping!$A:$A,0)),"Uncategorized — Review"))</f>
        <v>Verification</v>
      </c>
      <c r="J204" s="0" t="str">
        <f aca="false">IF($G204="","Uncategorized — Review",IFERROR(INDEX(Mapping!$C:$C,MATCH($G204,Mapping!$A:$A,0)),"Uncategorized — Review"))</f>
        <v>Uncategorized — Review</v>
      </c>
    </row>
    <row r="205" customFormat="false" ht="15" hidden="false" customHeight="false" outlineLevel="0" collapsed="false">
      <c r="A205" s="0" t="str">
        <f aca="false">2025_DWG_Activity!A205</f>
        <v>DEBIT</v>
      </c>
      <c r="B205" s="15" t="n">
        <f aca="false">2025_DWG_Activity!B205</f>
        <v>45854</v>
      </c>
      <c r="C205" s="0" t="str">
        <f aca="false">2025_DWG_Activity!C205</f>
        <v>DNH*GODADDY#38184470 https://www.g AZ        07/15</v>
      </c>
      <c r="D205" s="7" t="n">
        <f aca="false">2025_DWG_Activity!D205</f>
        <v>-8.99</v>
      </c>
      <c r="E205" s="0" t="str">
        <f aca="false">2025_DWG_Activity!E205</f>
        <v>DEBIT_CARD</v>
      </c>
      <c r="F205" s="7" t="n">
        <f aca="false">2025_DWG_Activity!F205</f>
        <v>35857.43</v>
      </c>
      <c r="G205" s="0" t="str">
        <f aca="false">2025_DWG_Activity!G205</f>
        <v>Go Daddy</v>
      </c>
      <c r="H205" s="16" t="n">
        <f aca="false">IF($B205="","",DATE(YEAR($B205),MONTH($B205),1))</f>
        <v>45839</v>
      </c>
      <c r="I205" s="0" t="str">
        <f aca="false">IF($G205="","Uncategorized — Review",IFERROR(INDEX(Mapping!$B:$B,MATCH($G205,Mapping!$A:$A,0)),"Uncategorized — Review"))</f>
        <v>Go Daddy</v>
      </c>
      <c r="J205" s="0" t="str">
        <f aca="false">IF($G205="","Uncategorized — Review",IFERROR(INDEX(Mapping!$C:$C,MATCH($G205,Mapping!$A:$A,0)),"Uncategorized — Review"))</f>
        <v>DWG Operating</v>
      </c>
    </row>
    <row r="206" customFormat="false" ht="15" hidden="false" customHeight="false" outlineLevel="0" collapsed="false">
      <c r="A206" s="0" t="str">
        <f aca="false">2025_DWG_Activity!A206</f>
        <v>DEBIT</v>
      </c>
      <c r="B206" s="15" t="n">
        <f aca="false">2025_DWG_Activity!B206</f>
        <v>45853</v>
      </c>
      <c r="C206" s="0" t="str">
        <f aca="false">2025_DWG_Activity!C206</f>
        <v>TST*BLUEYS KITCHEN MAR Los Angeles CA        07/14</v>
      </c>
      <c r="D206" s="7" t="n">
        <f aca="false">2025_DWG_Activity!D206</f>
        <v>-118.92</v>
      </c>
      <c r="E206" s="0" t="str">
        <f aca="false">2025_DWG_Activity!E206</f>
        <v>DEBIT_CARD</v>
      </c>
      <c r="F206" s="7" t="n">
        <f aca="false">2025_DWG_Activity!F206</f>
        <v>35866.42</v>
      </c>
      <c r="G206" s="0" t="str">
        <f aca="false">2025_DWG_Activity!G206</f>
        <v>Personal - Food</v>
      </c>
      <c r="H206" s="16" t="n">
        <f aca="false">IF($B206="","",DATE(YEAR($B206),MONTH($B206),1))</f>
        <v>45839</v>
      </c>
      <c r="I206" s="0" t="str">
        <f aca="false">IF($G206="","Uncategorized — Review",IFERROR(INDEX(Mapping!$B:$B,MATCH($G206,Mapping!$A:$A,0)),"Uncategorized — Review"))</f>
        <v>Personal - Food</v>
      </c>
      <c r="J206" s="0" t="str">
        <f aca="false">IF($G206="","Uncategorized — Review",IFERROR(INDEX(Mapping!$C:$C,MATCH($G206,Mapping!$A:$A,0)),"Uncategorized — Review"))</f>
        <v>Personal — Owner</v>
      </c>
    </row>
    <row r="207" customFormat="false" ht="15" hidden="false" customHeight="false" outlineLevel="0" collapsed="false">
      <c r="A207" s="0" t="str">
        <f aca="false">2025_DWG_Activity!A207</f>
        <v>DEBIT</v>
      </c>
      <c r="B207" s="15" t="n">
        <f aca="false">2025_DWG_Activity!B207</f>
        <v>45853</v>
      </c>
      <c r="C207" s="0" t="str">
        <f aca="false">2025_DWG_Activity!C207</f>
        <v>CITY OF SANTA MONICA SANTA MONICA CA         07/14</v>
      </c>
      <c r="D207" s="7" t="n">
        <f aca="false">2025_DWG_Activity!D207</f>
        <v>-1.25</v>
      </c>
      <c r="E207" s="0" t="str">
        <f aca="false">2025_DWG_Activity!E207</f>
        <v>DEBIT_CARD</v>
      </c>
      <c r="F207" s="7" t="n">
        <f aca="false">2025_DWG_Activity!F207</f>
        <v>35985.34</v>
      </c>
      <c r="G207" s="0" t="str">
        <f aca="false">2025_DWG_Activity!G207</f>
        <v>Personal - Car</v>
      </c>
      <c r="H207" s="16" t="n">
        <f aca="false">IF($B207="","",DATE(YEAR($B207),MONTH($B207),1))</f>
        <v>45839</v>
      </c>
      <c r="I207" s="0" t="str">
        <f aca="false">IF($G207="","Uncategorized — Review",IFERROR(INDEX(Mapping!$B:$B,MATCH($G207,Mapping!$A:$A,0)),"Uncategorized — Review"))</f>
        <v>Personal - Car</v>
      </c>
      <c r="J207" s="0" t="str">
        <f aca="false">IF($G207="","Uncategorized — Review",IFERROR(INDEX(Mapping!$C:$C,MATCH($G207,Mapping!$A:$A,0)),"Uncategorized — Review"))</f>
        <v>Personal — Owner</v>
      </c>
    </row>
    <row r="208" customFormat="false" ht="15" hidden="false" customHeight="false" outlineLevel="0" collapsed="false">
      <c r="A208" s="0" t="str">
        <f aca="false">2025_DWG_Activity!A208</f>
        <v>DEBIT</v>
      </c>
      <c r="B208" s="15" t="n">
        <f aca="false">2025_DWG_Activity!B208</f>
        <v>45853</v>
      </c>
      <c r="C208" s="0" t="str">
        <f aca="false">2025_DWG_Activity!C208</f>
        <v>DNH*GODADDY#38170993 https://www.g AZ        07/14</v>
      </c>
      <c r="D208" s="7" t="n">
        <f aca="false">2025_DWG_Activity!D208</f>
        <v>-73.15</v>
      </c>
      <c r="E208" s="0" t="str">
        <f aca="false">2025_DWG_Activity!E208</f>
        <v>DEBIT_CARD</v>
      </c>
      <c r="F208" s="7" t="n">
        <f aca="false">2025_DWG_Activity!F208</f>
        <v>35986.59</v>
      </c>
      <c r="G208" s="0" t="str">
        <f aca="false">2025_DWG_Activity!G208</f>
        <v>Go Daddy</v>
      </c>
      <c r="H208" s="16" t="n">
        <f aca="false">IF($B208="","",DATE(YEAR($B208),MONTH($B208),1))</f>
        <v>45839</v>
      </c>
      <c r="I208" s="0" t="str">
        <f aca="false">IF($G208="","Uncategorized — Review",IFERROR(INDEX(Mapping!$B:$B,MATCH($G208,Mapping!$A:$A,0)),"Uncategorized — Review"))</f>
        <v>Go Daddy</v>
      </c>
      <c r="J208" s="0" t="str">
        <f aca="false">IF($G208="","Uncategorized — Review",IFERROR(INDEX(Mapping!$C:$C,MATCH($G208,Mapping!$A:$A,0)),"Uncategorized — Review"))</f>
        <v>DWG Operating</v>
      </c>
    </row>
    <row r="209" customFormat="false" ht="15" hidden="false" customHeight="false" outlineLevel="0" collapsed="false">
      <c r="A209" s="0" t="str">
        <f aca="false">2025_DWG_Activity!A209</f>
        <v>DEBIT</v>
      </c>
      <c r="B209" s="15" t="n">
        <f aca="false">2025_DWG_Activity!B209</f>
        <v>45853</v>
      </c>
      <c r="C209" s="0" t="str">
        <f aca="false">2025_DWG_Activity!C209</f>
        <v>LA CABANA - VENICE VENICE CA                 07/13</v>
      </c>
      <c r="D209" s="7" t="n">
        <f aca="false">2025_DWG_Activity!D209</f>
        <v>-228.76</v>
      </c>
      <c r="E209" s="0" t="str">
        <f aca="false">2025_DWG_Activity!E209</f>
        <v>DEBIT_CARD</v>
      </c>
      <c r="F209" s="7" t="n">
        <f aca="false">2025_DWG_Activity!F209</f>
        <v>36059.74</v>
      </c>
      <c r="G209" s="0" t="str">
        <f aca="false">2025_DWG_Activity!G209</f>
        <v>Personal - Food</v>
      </c>
      <c r="H209" s="16" t="n">
        <f aca="false">IF($B209="","",DATE(YEAR($B209),MONTH($B209),1))</f>
        <v>45839</v>
      </c>
      <c r="I209" s="0" t="str">
        <f aca="false">IF($G209="","Uncategorized — Review",IFERROR(INDEX(Mapping!$B:$B,MATCH($G209,Mapping!$A:$A,0)),"Uncategorized — Review"))</f>
        <v>Personal - Food</v>
      </c>
      <c r="J209" s="0" t="str">
        <f aca="false">IF($G209="","Uncategorized — Review",IFERROR(INDEX(Mapping!$C:$C,MATCH($G209,Mapping!$A:$A,0)),"Uncategorized — Review"))</f>
        <v>Personal — Owner</v>
      </c>
    </row>
    <row r="210" customFormat="false" ht="15" hidden="false" customHeight="false" outlineLevel="0" collapsed="false">
      <c r="A210" s="0" t="str">
        <f aca="false">2025_DWG_Activity!A210</f>
        <v>DEBIT</v>
      </c>
      <c r="B210" s="15" t="n">
        <f aca="false">2025_DWG_Activity!B210</f>
        <v>45852</v>
      </c>
      <c r="C210" s="0" t="str">
        <f aca="false">2025_DWG_Activity!C210</f>
        <v>Basic Online Payroll Payment 11180106136 to ######7939</v>
      </c>
      <c r="D210" s="7" t="n">
        <f aca="false">2025_DWG_Activity!D210</f>
        <v>-10000</v>
      </c>
      <c r="E210" s="0" t="str">
        <f aca="false">2025_DWG_Activity!E210</f>
        <v>BASIC_PAYROLL</v>
      </c>
      <c r="F210" s="7" t="n">
        <f aca="false">2025_DWG_Activity!F210</f>
        <v>36288.5</v>
      </c>
      <c r="G210" s="0" t="str">
        <f aca="false">2025_DWG_Activity!G210</f>
        <v>Ryan Billings - Payroll</v>
      </c>
      <c r="H210" s="16" t="n">
        <f aca="false">IF($B210="","",DATE(YEAR($B210),MONTH($B210),1))</f>
        <v>45839</v>
      </c>
      <c r="I210" s="0" t="str">
        <f aca="false">IF($G210="","Uncategorized — Review",IFERROR(INDEX(Mapping!$B:$B,MATCH($G210,Mapping!$A:$A,0)),"Uncategorized — Review"))</f>
        <v>Ryan Billings - Payroll</v>
      </c>
      <c r="J210" s="0" t="str">
        <f aca="false">IF($G210="","Uncategorized — Review",IFERROR(INDEX(Mapping!$C:$C,MATCH($G210,Mapping!$A:$A,0)),"Uncategorized — Review"))</f>
        <v>Payroll &amp; Contractors</v>
      </c>
    </row>
    <row r="211" customFormat="false" ht="15" hidden="false" customHeight="false" outlineLevel="0" collapsed="false">
      <c r="A211" s="0" t="str">
        <f aca="false">2025_DWG_Activity!A211</f>
        <v>DEBIT</v>
      </c>
      <c r="B211" s="15" t="n">
        <f aca="false">2025_DWG_Activity!B211</f>
        <v>45852</v>
      </c>
      <c r="C211" s="0" t="str">
        <f aca="false">2025_DWG_Activity!C211</f>
        <v>Basic Online Payroll Payment 11180108817 to ########6812</v>
      </c>
      <c r="D211" s="7" t="n">
        <f aca="false">2025_DWG_Activity!D211</f>
        <v>-5000</v>
      </c>
      <c r="E211" s="0" t="str">
        <f aca="false">2025_DWG_Activity!E211</f>
        <v>BASIC_PAYROLL</v>
      </c>
      <c r="F211" s="7" t="n">
        <f aca="false">2025_DWG_Activity!F211</f>
        <v>46288.5</v>
      </c>
      <c r="G211" s="0" t="str">
        <f aca="false">2025_DWG_Activity!G211</f>
        <v>Meg Maran - Payroll</v>
      </c>
      <c r="H211" s="16" t="n">
        <f aca="false">IF($B211="","",DATE(YEAR($B211),MONTH($B211),1))</f>
        <v>45839</v>
      </c>
      <c r="I211" s="0" t="str">
        <f aca="false">IF($G211="","Uncategorized — Review",IFERROR(INDEX(Mapping!$B:$B,MATCH($G211,Mapping!$A:$A,0)),"Uncategorized — Review"))</f>
        <v>Meg Maran - Payroll</v>
      </c>
      <c r="J211" s="0" t="str">
        <f aca="false">IF($G211="","Uncategorized — Review",IFERROR(INDEX(Mapping!$C:$C,MATCH($G211,Mapping!$A:$A,0)),"Uncategorized — Review"))</f>
        <v>Payroll &amp; Contractors</v>
      </c>
    </row>
    <row r="212" customFormat="false" ht="15" hidden="false" customHeight="false" outlineLevel="0" collapsed="false">
      <c r="A212" s="0" t="str">
        <f aca="false">2025_DWG_Activity!A212</f>
        <v>DEBIT</v>
      </c>
      <c r="B212" s="15" t="n">
        <f aca="false">2025_DWG_Activity!B212</f>
        <v>45852</v>
      </c>
      <c r="C212" s="0" t="str">
        <f aca="false">2025_DWG_Activity!C212</f>
        <v>CHEVRON 0092316 FIREBAUGH CA                 07/13</v>
      </c>
      <c r="D212" s="7" t="n">
        <f aca="false">2025_DWG_Activity!D212</f>
        <v>-35.19</v>
      </c>
      <c r="E212" s="0" t="str">
        <f aca="false">2025_DWG_Activity!E212</f>
        <v>DEBIT_CARD</v>
      </c>
      <c r="F212" s="7" t="n">
        <f aca="false">2025_DWG_Activity!F212</f>
        <v>51288.5</v>
      </c>
      <c r="G212" s="0" t="str">
        <f aca="false">2025_DWG_Activity!G212</f>
        <v>DWG Capital Partners</v>
      </c>
      <c r="H212" s="16" t="n">
        <f aca="false">IF($B212="","",DATE(YEAR($B212),MONTH($B212),1))</f>
        <v>45839</v>
      </c>
      <c r="I212" s="0" t="str">
        <f aca="false">IF($G212="","Uncategorized — Review",IFERROR(INDEX(Mapping!$B:$B,MATCH($G212,Mapping!$A:$A,0)),"Uncategorized — Review"))</f>
        <v>DWG Capital Partners</v>
      </c>
      <c r="J212" s="0" t="str">
        <f aca="false">IF($G212="","Uncategorized — Review",IFERROR(INDEX(Mapping!$C:$C,MATCH($G212,Mapping!$A:$A,0)),"Uncategorized — Review"))</f>
        <v>DWG Operating</v>
      </c>
    </row>
    <row r="213" customFormat="false" ht="15" hidden="false" customHeight="false" outlineLevel="0" collapsed="false">
      <c r="A213" s="0" t="str">
        <f aca="false">2025_DWG_Activity!A213</f>
        <v>DEBIT</v>
      </c>
      <c r="B213" s="15" t="n">
        <f aca="false">2025_DWG_Activity!B213</f>
        <v>45852</v>
      </c>
      <c r="C213" s="0" t="str">
        <f aca="false">2025_DWG_Activity!C213</f>
        <v>CHEVRON 0386779 SAN MATEO CA                 07/13</v>
      </c>
      <c r="D213" s="7" t="n">
        <f aca="false">2025_DWG_Activity!D213</f>
        <v>-68.7</v>
      </c>
      <c r="E213" s="0" t="str">
        <f aca="false">2025_DWG_Activity!E213</f>
        <v>DEBIT_CARD</v>
      </c>
      <c r="F213" s="7" t="n">
        <f aca="false">2025_DWG_Activity!F213</f>
        <v>51323.69</v>
      </c>
      <c r="G213" s="0" t="str">
        <f aca="false">2025_DWG_Activity!G213</f>
        <v>DWG Capital Partners</v>
      </c>
      <c r="H213" s="16" t="n">
        <f aca="false">IF($B213="","",DATE(YEAR($B213),MONTH($B213),1))</f>
        <v>45839</v>
      </c>
      <c r="I213" s="0" t="str">
        <f aca="false">IF($G213="","Uncategorized — Review",IFERROR(INDEX(Mapping!$B:$B,MATCH($G213,Mapping!$A:$A,0)),"Uncategorized — Review"))</f>
        <v>DWG Capital Partners</v>
      </c>
      <c r="J213" s="0" t="str">
        <f aca="false">IF($G213="","Uncategorized — Review",IFERROR(INDEX(Mapping!$C:$C,MATCH($G213,Mapping!$A:$A,0)),"Uncategorized — Review"))</f>
        <v>DWG Operating</v>
      </c>
    </row>
    <row r="214" customFormat="false" ht="15" hidden="false" customHeight="false" outlineLevel="0" collapsed="false">
      <c r="A214" s="0" t="str">
        <f aca="false">2025_DWG_Activity!A214</f>
        <v>DEBIT</v>
      </c>
      <c r="B214" s="15" t="n">
        <f aca="false">2025_DWG_Activity!B214</f>
        <v>45852</v>
      </c>
      <c r="C214" s="0" t="str">
        <f aca="false">2025_DWG_Activity!C214</f>
        <v>TARGET        000276 SAN FRANCISCO CA        07/13</v>
      </c>
      <c r="D214" s="7" t="n">
        <f aca="false">2025_DWG_Activity!D214</f>
        <v>-8.6</v>
      </c>
      <c r="E214" s="0" t="str">
        <f aca="false">2025_DWG_Activity!E214</f>
        <v>DEBIT_CARD</v>
      </c>
      <c r="F214" s="7" t="n">
        <f aca="false">2025_DWG_Activity!F214</f>
        <v>51392.39</v>
      </c>
      <c r="G214" s="0" t="str">
        <f aca="false">2025_DWG_Activity!G214</f>
        <v>DWG Capital Partners</v>
      </c>
      <c r="H214" s="16" t="n">
        <f aca="false">IF($B214="","",DATE(YEAR($B214),MONTH($B214),1))</f>
        <v>45839</v>
      </c>
      <c r="I214" s="0" t="str">
        <f aca="false">IF($G214="","Uncategorized — Review",IFERROR(INDEX(Mapping!$B:$B,MATCH($G214,Mapping!$A:$A,0)),"Uncategorized — Review"))</f>
        <v>DWG Capital Partners</v>
      </c>
      <c r="J214" s="0" t="str">
        <f aca="false">IF($G214="","Uncategorized — Review",IFERROR(INDEX(Mapping!$C:$C,MATCH($G214,Mapping!$A:$A,0)),"Uncategorized — Review"))</f>
        <v>DWG Operating</v>
      </c>
    </row>
    <row r="215" customFormat="false" ht="15" hidden="false" customHeight="false" outlineLevel="0" collapsed="false">
      <c r="A215" s="0" t="str">
        <f aca="false">2025_DWG_Activity!A215</f>
        <v>DEBIT</v>
      </c>
      <c r="B215" s="15" t="n">
        <f aca="false">2025_DWG_Activity!B215</f>
        <v>45852</v>
      </c>
      <c r="C215" s="0" t="str">
        <f aca="false">2025_DWG_Activity!C215</f>
        <v>DNH*GODADDY#38160736 https://www.g AZ        07/13</v>
      </c>
      <c r="D215" s="7" t="n">
        <f aca="false">2025_DWG_Activity!D215</f>
        <v>-15.98</v>
      </c>
      <c r="E215" s="0" t="str">
        <f aca="false">2025_DWG_Activity!E215</f>
        <v>DEBIT_CARD</v>
      </c>
      <c r="F215" s="7" t="n">
        <f aca="false">2025_DWG_Activity!F215</f>
        <v>51400.99</v>
      </c>
      <c r="G215" s="0" t="str">
        <f aca="false">2025_DWG_Activity!G215</f>
        <v>Go Daddy</v>
      </c>
      <c r="H215" s="16" t="n">
        <f aca="false">IF($B215="","",DATE(YEAR($B215),MONTH($B215),1))</f>
        <v>45839</v>
      </c>
      <c r="I215" s="0" t="str">
        <f aca="false">IF($G215="","Uncategorized — Review",IFERROR(INDEX(Mapping!$B:$B,MATCH($G215,Mapping!$A:$A,0)),"Uncategorized — Review"))</f>
        <v>Go Daddy</v>
      </c>
      <c r="J215" s="0" t="str">
        <f aca="false">IF($G215="","Uncategorized — Review",IFERROR(INDEX(Mapping!$C:$C,MATCH($G215,Mapping!$A:$A,0)),"Uncategorized — Review"))</f>
        <v>DWG Operating</v>
      </c>
    </row>
    <row r="216" customFormat="false" ht="15" hidden="false" customHeight="false" outlineLevel="0" collapsed="false">
      <c r="A216" s="0" t="str">
        <f aca="false">2025_DWG_Activity!A216</f>
        <v>DEBIT</v>
      </c>
      <c r="B216" s="15" t="n">
        <f aca="false">2025_DWG_Activity!B216</f>
        <v>45852</v>
      </c>
      <c r="C216" s="0" t="str">
        <f aca="false">2025_DWG_Activity!C216</f>
        <v>DNH*GODADDY#38160735 https://www.g AZ        07/13</v>
      </c>
      <c r="D216" s="7" t="n">
        <f aca="false">2025_DWG_Activity!D216</f>
        <v>-51.94</v>
      </c>
      <c r="E216" s="0" t="str">
        <f aca="false">2025_DWG_Activity!E216</f>
        <v>DEBIT_CARD</v>
      </c>
      <c r="F216" s="7" t="n">
        <f aca="false">2025_DWG_Activity!F216</f>
        <v>51416.97</v>
      </c>
      <c r="G216" s="0" t="str">
        <f aca="false">2025_DWG_Activity!G216</f>
        <v>Go Daddy</v>
      </c>
      <c r="H216" s="16" t="n">
        <f aca="false">IF($B216="","",DATE(YEAR($B216),MONTH($B216),1))</f>
        <v>45839</v>
      </c>
      <c r="I216" s="0" t="str">
        <f aca="false">IF($G216="","Uncategorized — Review",IFERROR(INDEX(Mapping!$B:$B,MATCH($G216,Mapping!$A:$A,0)),"Uncategorized — Review"))</f>
        <v>Go Daddy</v>
      </c>
      <c r="J216" s="0" t="str">
        <f aca="false">IF($G216="","Uncategorized — Review",IFERROR(INDEX(Mapping!$C:$C,MATCH($G216,Mapping!$A:$A,0)),"Uncategorized — Review"))</f>
        <v>DWG Operating</v>
      </c>
    </row>
    <row r="217" customFormat="false" ht="15" hidden="false" customHeight="false" outlineLevel="0" collapsed="false">
      <c r="A217" s="0" t="str">
        <f aca="false">2025_DWG_Activity!A217</f>
        <v>DEBIT</v>
      </c>
      <c r="B217" s="15" t="n">
        <f aca="false">2025_DWG_Activity!B217</f>
        <v>45852</v>
      </c>
      <c r="C217" s="0" t="str">
        <f aca="false">2025_DWG_Activity!C217</f>
        <v>ADOBE  *800-833-6687 ADOBE.LY/ENUS CA        07/13</v>
      </c>
      <c r="D217" s="7" t="n">
        <f aca="false">2025_DWG_Activity!D217</f>
        <v>-21.64</v>
      </c>
      <c r="E217" s="0" t="str">
        <f aca="false">2025_DWG_Activity!E217</f>
        <v>DEBIT_CARD</v>
      </c>
      <c r="F217" s="7" t="n">
        <f aca="false">2025_DWG_Activity!F217</f>
        <v>51468.91</v>
      </c>
      <c r="G217" s="0" t="str">
        <f aca="false">2025_DWG_Activity!G217</f>
        <v>Personal - Subscriptions</v>
      </c>
      <c r="H217" s="16" t="n">
        <f aca="false">IF($B217="","",DATE(YEAR($B217),MONTH($B217),1))</f>
        <v>45839</v>
      </c>
      <c r="I217" s="0" t="str">
        <f aca="false">IF($G217="","Uncategorized — Review",IFERROR(INDEX(Mapping!$B:$B,MATCH($G217,Mapping!$A:$A,0)),"Uncategorized — Review"))</f>
        <v>Personal - Subscriptions</v>
      </c>
      <c r="J217" s="0" t="str">
        <f aca="false">IF($G217="","Uncategorized — Review",IFERROR(INDEX(Mapping!$C:$C,MATCH($G217,Mapping!$A:$A,0)),"Uncategorized — Review"))</f>
        <v>Personal — Owner</v>
      </c>
    </row>
    <row r="218" customFormat="false" ht="15" hidden="false" customHeight="false" outlineLevel="0" collapsed="false">
      <c r="A218" s="0" t="str">
        <f aca="false">2025_DWG_Activity!A218</f>
        <v>CREDIT</v>
      </c>
      <c r="B218" s="15" t="n">
        <f aca="false">2025_DWG_Activity!B218</f>
        <v>45852</v>
      </c>
      <c r="C218" s="0" t="str">
        <f aca="false">2025_DWG_Activity!C218</f>
        <v>Online Transfer from CHK ...9335 transaction#: 25482788964</v>
      </c>
      <c r="D218" s="7" t="n">
        <f aca="false">2025_DWG_Activity!D218</f>
        <v>50000</v>
      </c>
      <c r="E218" s="0" t="str">
        <f aca="false">2025_DWG_Activity!E218</f>
        <v>ACCT_XFER</v>
      </c>
      <c r="F218" s="7" t="n">
        <f aca="false">2025_DWG_Activity!F218</f>
        <v>51490.55</v>
      </c>
      <c r="G218" s="0" t="str">
        <f aca="false">2025_DWG_Activity!G218</f>
        <v>Transfer from Poseidon Asset Group</v>
      </c>
      <c r="H218" s="16" t="n">
        <f aca="false">IF($B218="","",DATE(YEAR($B218),MONTH($B218),1))</f>
        <v>45839</v>
      </c>
      <c r="I218" s="0" t="str">
        <f aca="false">IF($G218="","Uncategorized — Review",IFERROR(INDEX(Mapping!$B:$B,MATCH($G218,Mapping!$A:$A,0)),"Uncategorized — Review"))</f>
        <v>Transfer from Poseidon Asset Group</v>
      </c>
      <c r="J218" s="0" t="str">
        <f aca="false">IF($G218="","Uncategorized — Review",IFERROR(INDEX(Mapping!$C:$C,MATCH($G218,Mapping!$A:$A,0)),"Uncategorized — Review"))</f>
        <v>Intercompany &amp; Savings Transfers</v>
      </c>
    </row>
    <row r="219" customFormat="false" ht="15" hidden="false" customHeight="false" outlineLevel="0" collapsed="false">
      <c r="A219" s="0" t="str">
        <f aca="false">2025_DWG_Activity!A219</f>
        <v>DEBIT</v>
      </c>
      <c r="B219" s="15" t="n">
        <f aca="false">2025_DWG_Activity!B219</f>
        <v>45848</v>
      </c>
      <c r="C219" s="0" t="str">
        <f aca="false">2025_DWG_Activity!C219</f>
        <v>CVS/PHARMACY #09099 FREMONT CA       046283  07/10</v>
      </c>
      <c r="D219" s="7" t="n">
        <f aca="false">2025_DWG_Activity!D219</f>
        <v>-24.88</v>
      </c>
      <c r="E219" s="0" t="str">
        <f aca="false">2025_DWG_Activity!E219</f>
        <v>DEBIT_CARD</v>
      </c>
      <c r="F219" s="7" t="n">
        <f aca="false">2025_DWG_Activity!F219</f>
        <v>1490.55</v>
      </c>
      <c r="G219" s="0" t="str">
        <f aca="false">2025_DWG_Activity!G219</f>
        <v>Personal - Health</v>
      </c>
      <c r="H219" s="16" t="n">
        <f aca="false">IF($B219="","",DATE(YEAR($B219),MONTH($B219),1))</f>
        <v>45839</v>
      </c>
      <c r="I219" s="0" t="str">
        <f aca="false">IF($G219="","Uncategorized — Review",IFERROR(INDEX(Mapping!$B:$B,MATCH($G219,Mapping!$A:$A,0)),"Uncategorized — Review"))</f>
        <v>Personal - Health</v>
      </c>
      <c r="J219" s="0" t="str">
        <f aca="false">IF($G219="","Uncategorized — Review",IFERROR(INDEX(Mapping!$C:$C,MATCH($G219,Mapping!$A:$A,0)),"Uncategorized — Review"))</f>
        <v>Personal — Owner</v>
      </c>
    </row>
    <row r="220" customFormat="false" ht="15" hidden="false" customHeight="false" outlineLevel="0" collapsed="false">
      <c r="A220" s="0" t="str">
        <f aca="false">2025_DWG_Activity!A220</f>
        <v>DEBIT</v>
      </c>
      <c r="B220" s="15" t="n">
        <f aca="false">2025_DWG_Activity!B220</f>
        <v>45848</v>
      </c>
      <c r="C220" s="0" t="str">
        <f aca="false">2025_DWG_Activity!C220</f>
        <v>STAPLES 1299 FREMONT CA                      07/10 Purchase $15.41 Cash Back $20.00</v>
      </c>
      <c r="D220" s="7" t="n">
        <f aca="false">2025_DWG_Activity!D220</f>
        <v>-35.41</v>
      </c>
      <c r="E220" s="0" t="str">
        <f aca="false">2025_DWG_Activity!E220</f>
        <v>DEBIT_CARD</v>
      </c>
      <c r="F220" s="7" t="n">
        <f aca="false">2025_DWG_Activity!F220</f>
        <v>1515.43</v>
      </c>
      <c r="G220" s="0" t="str">
        <f aca="false">2025_DWG_Activity!G220</f>
        <v>DWG Capital Partners</v>
      </c>
      <c r="H220" s="16" t="n">
        <f aca="false">IF($B220="","",DATE(YEAR($B220),MONTH($B220),1))</f>
        <v>45839</v>
      </c>
      <c r="I220" s="0" t="str">
        <f aca="false">IF($G220="","Uncategorized — Review",IFERROR(INDEX(Mapping!$B:$B,MATCH($G220,Mapping!$A:$A,0)),"Uncategorized — Review"))</f>
        <v>DWG Capital Partners</v>
      </c>
      <c r="J220" s="0" t="str">
        <f aca="false">IF($G220="","Uncategorized — Review",IFERROR(INDEX(Mapping!$C:$C,MATCH($G220,Mapping!$A:$A,0)),"Uncategorized — Review"))</f>
        <v>DWG Operating</v>
      </c>
    </row>
    <row r="221" customFormat="false" ht="15" hidden="false" customHeight="false" outlineLevel="0" collapsed="false">
      <c r="A221" s="0" t="str">
        <f aca="false">2025_DWG_Activity!A221</f>
        <v>DEBIT</v>
      </c>
      <c r="B221" s="15" t="n">
        <f aca="false">2025_DWG_Activity!B221</f>
        <v>45848</v>
      </c>
      <c r="C221" s="0" t="str">
        <f aca="false">2025_DWG_Activity!C221</f>
        <v>7-ELEVEN KING CITY CA                703764  07/10</v>
      </c>
      <c r="D221" s="7" t="n">
        <f aca="false">2025_DWG_Activity!D221</f>
        <v>-9.19</v>
      </c>
      <c r="E221" s="0" t="str">
        <f aca="false">2025_DWG_Activity!E221</f>
        <v>DEBIT_CARD</v>
      </c>
      <c r="F221" s="7" t="n">
        <f aca="false">2025_DWG_Activity!F221</f>
        <v>1550.84</v>
      </c>
      <c r="G221" s="0" t="str">
        <f aca="false">2025_DWG_Activity!G221</f>
        <v>DWG Capital Partners</v>
      </c>
      <c r="H221" s="16" t="n">
        <f aca="false">IF($B221="","",DATE(YEAR($B221),MONTH($B221),1))</f>
        <v>45839</v>
      </c>
      <c r="I221" s="0" t="str">
        <f aca="false">IF($G221="","Uncategorized — Review",IFERROR(INDEX(Mapping!$B:$B,MATCH($G221,Mapping!$A:$A,0)),"Uncategorized — Review"))</f>
        <v>DWG Capital Partners</v>
      </c>
      <c r="J221" s="0" t="str">
        <f aca="false">IF($G221="","Uncategorized — Review",IFERROR(INDEX(Mapping!$C:$C,MATCH($G221,Mapping!$A:$A,0)),"Uncategorized — Review"))</f>
        <v>DWG Operating</v>
      </c>
    </row>
    <row r="222" customFormat="false" ht="15" hidden="false" customHeight="false" outlineLevel="0" collapsed="false">
      <c r="A222" s="0" t="str">
        <f aca="false">2025_DWG_Activity!A222</f>
        <v>DEBIT</v>
      </c>
      <c r="B222" s="15" t="n">
        <f aca="false">2025_DWG_Activity!B222</f>
        <v>45848</v>
      </c>
      <c r="C222" s="0" t="str">
        <f aca="false">2025_DWG_Activity!C222</f>
        <v>LITTLE BIRD SB SANTA BARBARA CA              07/09</v>
      </c>
      <c r="D222" s="7" t="n">
        <f aca="false">2025_DWG_Activity!D222</f>
        <v>-23.27</v>
      </c>
      <c r="E222" s="0" t="str">
        <f aca="false">2025_DWG_Activity!E222</f>
        <v>DEBIT_CARD</v>
      </c>
      <c r="F222" s="7" t="n">
        <f aca="false">2025_DWG_Activity!F222</f>
        <v>1560.03</v>
      </c>
      <c r="G222" s="0" t="str">
        <f aca="false">2025_DWG_Activity!G222</f>
        <v>DWG Capital Partners</v>
      </c>
      <c r="H222" s="16" t="n">
        <f aca="false">IF($B222="","",DATE(YEAR($B222),MONTH($B222),1))</f>
        <v>45839</v>
      </c>
      <c r="I222" s="0" t="str">
        <f aca="false">IF($G222="","Uncategorized — Review",IFERROR(INDEX(Mapping!$B:$B,MATCH($G222,Mapping!$A:$A,0)),"Uncategorized — Review"))</f>
        <v>DWG Capital Partners</v>
      </c>
      <c r="J222" s="0" t="str">
        <f aca="false">IF($G222="","Uncategorized — Review",IFERROR(INDEX(Mapping!$C:$C,MATCH($G222,Mapping!$A:$A,0)),"Uncategorized — Review"))</f>
        <v>DWG Operating</v>
      </c>
    </row>
    <row r="223" customFormat="false" ht="15" hidden="false" customHeight="false" outlineLevel="0" collapsed="false">
      <c r="A223" s="0" t="str">
        <f aca="false">2025_DWG_Activity!A223</f>
        <v>DEBIT</v>
      </c>
      <c r="B223" s="15" t="n">
        <f aca="false">2025_DWG_Activity!B223</f>
        <v>45848</v>
      </c>
      <c r="C223" s="0" t="str">
        <f aca="false">2025_DWG_Activity!C223</f>
        <v>ADOBE  *800-833-6687 ADOBE.LY/ENUS CA        07/10</v>
      </c>
      <c r="D223" s="7" t="n">
        <f aca="false">2025_DWG_Activity!D223</f>
        <v>-37.34</v>
      </c>
      <c r="E223" s="0" t="str">
        <f aca="false">2025_DWG_Activity!E223</f>
        <v>DEBIT_CARD</v>
      </c>
      <c r="F223" s="7" t="n">
        <f aca="false">2025_DWG_Activity!F223</f>
        <v>1583.3</v>
      </c>
      <c r="G223" s="0" t="str">
        <f aca="false">2025_DWG_Activity!G223</f>
        <v>Personal - Subscriptions</v>
      </c>
      <c r="H223" s="16" t="n">
        <f aca="false">IF($B223="","",DATE(YEAR($B223),MONTH($B223),1))</f>
        <v>45839</v>
      </c>
      <c r="I223" s="0" t="str">
        <f aca="false">IF($G223="","Uncategorized — Review",IFERROR(INDEX(Mapping!$B:$B,MATCH($G223,Mapping!$A:$A,0)),"Uncategorized — Review"))</f>
        <v>Personal - Subscriptions</v>
      </c>
      <c r="J223" s="0" t="str">
        <f aca="false">IF($G223="","Uncategorized — Review",IFERROR(INDEX(Mapping!$C:$C,MATCH($G223,Mapping!$A:$A,0)),"Uncategorized — Review"))</f>
        <v>Personal — Owner</v>
      </c>
    </row>
    <row r="224" customFormat="false" ht="15" hidden="false" customHeight="false" outlineLevel="0" collapsed="false">
      <c r="A224" s="0" t="str">
        <f aca="false">2025_DWG_Activity!A224</f>
        <v>DEBIT</v>
      </c>
      <c r="B224" s="15" t="n">
        <f aca="false">2025_DWG_Activity!B224</f>
        <v>45847</v>
      </c>
      <c r="C224" s="0" t="str">
        <f aca="false">2025_DWG_Activity!C224</f>
        <v>CVS/PHARMACY #09493 MAR VISTA CA     031337  07/09</v>
      </c>
      <c r="D224" s="7" t="n">
        <f aca="false">2025_DWG_Activity!D224</f>
        <v>-88.7</v>
      </c>
      <c r="E224" s="0" t="str">
        <f aca="false">2025_DWG_Activity!E224</f>
        <v>DEBIT_CARD</v>
      </c>
      <c r="F224" s="7" t="n">
        <f aca="false">2025_DWG_Activity!F224</f>
        <v>1620.64</v>
      </c>
      <c r="G224" s="0" t="str">
        <f aca="false">2025_DWG_Activity!G224</f>
        <v>Personal - Health</v>
      </c>
      <c r="H224" s="16" t="n">
        <f aca="false">IF($B224="","",DATE(YEAR($B224),MONTH($B224),1))</f>
        <v>45839</v>
      </c>
      <c r="I224" s="0" t="str">
        <f aca="false">IF($G224="","Uncategorized — Review",IFERROR(INDEX(Mapping!$B:$B,MATCH($G224,Mapping!$A:$A,0)),"Uncategorized — Review"))</f>
        <v>Personal - Health</v>
      </c>
      <c r="J224" s="0" t="str">
        <f aca="false">IF($G224="","Uncategorized — Review",IFERROR(INDEX(Mapping!$C:$C,MATCH($G224,Mapping!$A:$A,0)),"Uncategorized — Review"))</f>
        <v>Personal — Owner</v>
      </c>
    </row>
    <row r="225" customFormat="false" ht="15" hidden="false" customHeight="false" outlineLevel="0" collapsed="false">
      <c r="A225" s="0" t="str">
        <f aca="false">2025_DWG_Activity!A225</f>
        <v>DEBIT</v>
      </c>
      <c r="B225" s="15" t="n">
        <f aca="false">2025_DWG_Activity!B225</f>
        <v>45847</v>
      </c>
      <c r="C225" s="0" t="str">
        <f aca="false">2025_DWG_Activity!C225</f>
        <v>CITY OF SANTA MONICA SANTA MONICA CA         07/08</v>
      </c>
      <c r="D225" s="7" t="n">
        <f aca="false">2025_DWG_Activity!D225</f>
        <v>-1.25</v>
      </c>
      <c r="E225" s="0" t="str">
        <f aca="false">2025_DWG_Activity!E225</f>
        <v>DEBIT_CARD</v>
      </c>
      <c r="F225" s="7" t="n">
        <f aca="false">2025_DWG_Activity!F225</f>
        <v>1709.34</v>
      </c>
      <c r="G225" s="0" t="str">
        <f aca="false">2025_DWG_Activity!G225</f>
        <v>Personal - Car</v>
      </c>
      <c r="H225" s="16" t="n">
        <f aca="false">IF($B225="","",DATE(YEAR($B225),MONTH($B225),1))</f>
        <v>45839</v>
      </c>
      <c r="I225" s="0" t="str">
        <f aca="false">IF($G225="","Uncategorized — Review",IFERROR(INDEX(Mapping!$B:$B,MATCH($G225,Mapping!$A:$A,0)),"Uncategorized — Review"))</f>
        <v>Personal - Car</v>
      </c>
      <c r="J225" s="0" t="str">
        <f aca="false">IF($G225="","Uncategorized — Review",IFERROR(INDEX(Mapping!$C:$C,MATCH($G225,Mapping!$A:$A,0)),"Uncategorized — Review"))</f>
        <v>Personal — Owner</v>
      </c>
    </row>
    <row r="226" customFormat="false" ht="15" hidden="false" customHeight="false" outlineLevel="0" collapsed="false">
      <c r="A226" s="0" t="str">
        <f aca="false">2025_DWG_Activity!A226</f>
        <v>DEBIT</v>
      </c>
      <c r="B226" s="15" t="n">
        <f aca="false">2025_DWG_Activity!B226</f>
        <v>45847</v>
      </c>
      <c r="C226" s="0" t="str">
        <f aca="false">2025_DWG_Activity!C226</f>
        <v>SQ *PAYA THAI LA LLC. LOS ANGELES CA         07/08</v>
      </c>
      <c r="D226" s="7" t="n">
        <f aca="false">2025_DWG_Activity!D226</f>
        <v>-104</v>
      </c>
      <c r="E226" s="0" t="str">
        <f aca="false">2025_DWG_Activity!E226</f>
        <v>DEBIT_CARD</v>
      </c>
      <c r="F226" s="7" t="n">
        <f aca="false">2025_DWG_Activity!F226</f>
        <v>1710.59</v>
      </c>
      <c r="G226" s="0" t="str">
        <f aca="false">2025_DWG_Activity!G226</f>
        <v>Personal - Health</v>
      </c>
      <c r="H226" s="16" t="n">
        <f aca="false">IF($B226="","",DATE(YEAR($B226),MONTH($B226),1))</f>
        <v>45839</v>
      </c>
      <c r="I226" s="0" t="str">
        <f aca="false">IF($G226="","Uncategorized — Review",IFERROR(INDEX(Mapping!$B:$B,MATCH($G226,Mapping!$A:$A,0)),"Uncategorized — Review"))</f>
        <v>Personal - Health</v>
      </c>
      <c r="J226" s="0" t="str">
        <f aca="false">IF($G226="","Uncategorized — Review",IFERROR(INDEX(Mapping!$C:$C,MATCH($G226,Mapping!$A:$A,0)),"Uncategorized — Review"))</f>
        <v>Personal — Owner</v>
      </c>
    </row>
    <row r="227" customFormat="false" ht="15" hidden="false" customHeight="false" outlineLevel="0" collapsed="false">
      <c r="A227" s="0" t="str">
        <f aca="false">2025_DWG_Activity!A227</f>
        <v>DEBIT</v>
      </c>
      <c r="B227" s="15" t="n">
        <f aca="false">2025_DWG_Activity!B227</f>
        <v>45847</v>
      </c>
      <c r="C227" s="0" t="str">
        <f aca="false">2025_DWG_Activity!C227</f>
        <v>XAI LLC X.AI/ABOUT CA                        07/08</v>
      </c>
      <c r="D227" s="7" t="n">
        <f aca="false">2025_DWG_Activity!D227</f>
        <v>-30</v>
      </c>
      <c r="E227" s="0" t="str">
        <f aca="false">2025_DWG_Activity!E227</f>
        <v>DEBIT_CARD</v>
      </c>
      <c r="F227" s="7" t="n">
        <f aca="false">2025_DWG_Activity!F227</f>
        <v>1814.59</v>
      </c>
      <c r="G227" s="0" t="str">
        <f aca="false">2025_DWG_Activity!G227</f>
        <v>AI Subscription</v>
      </c>
      <c r="H227" s="16" t="n">
        <f aca="false">IF($B227="","",DATE(YEAR($B227),MONTH($B227),1))</f>
        <v>45839</v>
      </c>
      <c r="I227" s="0" t="str">
        <f aca="false">IF($G227="","Uncategorized — Review",IFERROR(INDEX(Mapping!$B:$B,MATCH($G227,Mapping!$A:$A,0)),"Uncategorized — Review"))</f>
        <v>AI Subscription</v>
      </c>
      <c r="J227" s="0" t="str">
        <f aca="false">IF($G227="","Uncategorized — Review",IFERROR(INDEX(Mapping!$C:$C,MATCH($G227,Mapping!$A:$A,0)),"Uncategorized — Review"))</f>
        <v>DWG Operating</v>
      </c>
    </row>
    <row r="228" customFormat="false" ht="15" hidden="false" customHeight="false" outlineLevel="0" collapsed="false">
      <c r="A228" s="0" t="str">
        <f aca="false">2025_DWG_Activity!A228</f>
        <v>DEBIT</v>
      </c>
      <c r="B228" s="15" t="n">
        <f aca="false">2025_DWG_Activity!B228</f>
        <v>45846</v>
      </c>
      <c r="C228" s="0" t="str">
        <f aca="false">2025_DWG_Activity!C228</f>
        <v>On Sportswear Portland OR                    07/07</v>
      </c>
      <c r="D228" s="7" t="n">
        <f aca="false">2025_DWG_Activity!D228</f>
        <v>-373.15</v>
      </c>
      <c r="E228" s="0" t="str">
        <f aca="false">2025_DWG_Activity!E228</f>
        <v>DEBIT_CARD</v>
      </c>
      <c r="F228" s="7" t="n">
        <f aca="false">2025_DWG_Activity!F228</f>
        <v>1844.59</v>
      </c>
      <c r="G228" s="0" t="str">
        <f aca="false">2025_DWG_Activity!G228</f>
        <v>Personal - Clothes</v>
      </c>
      <c r="H228" s="16" t="n">
        <f aca="false">IF($B228="","",DATE(YEAR($B228),MONTH($B228),1))</f>
        <v>45839</v>
      </c>
      <c r="I228" s="0" t="str">
        <f aca="false">IF($G228="","Uncategorized — Review",IFERROR(INDEX(Mapping!$B:$B,MATCH($G228,Mapping!$A:$A,0)),"Uncategorized — Review"))</f>
        <v>Personal - Clothes</v>
      </c>
      <c r="J228" s="0" t="str">
        <f aca="false">IF($G228="","Uncategorized — Review",IFERROR(INDEX(Mapping!$C:$C,MATCH($G228,Mapping!$A:$A,0)),"Uncategorized — Review"))</f>
        <v>Personal — Owner</v>
      </c>
    </row>
    <row r="229" customFormat="false" ht="15" hidden="false" customHeight="false" outlineLevel="0" collapsed="false">
      <c r="A229" s="0" t="str">
        <f aca="false">2025_DWG_Activity!A229</f>
        <v>DEBIT</v>
      </c>
      <c r="B229" s="15" t="n">
        <f aca="false">2025_DWG_Activity!B229</f>
        <v>45845</v>
      </c>
      <c r="C229" s="0" t="str">
        <f aca="false">2025_DWG_Activity!C229</f>
        <v>NON-CHASE ATM FEE-WITH</v>
      </c>
      <c r="D229" s="7" t="n">
        <f aca="false">2025_DWG_Activity!D229</f>
        <v>-3</v>
      </c>
      <c r="E229" s="0" t="str">
        <f aca="false">2025_DWG_Activity!E229</f>
        <v>FEE_TRANSACTION</v>
      </c>
      <c r="F229" s="7" t="n">
        <f aca="false">2025_DWG_Activity!F229</f>
        <v>2217.74</v>
      </c>
      <c r="G229" s="0" t="str">
        <f aca="false">2025_DWG_Activity!G229</f>
        <v>Bank Fees</v>
      </c>
      <c r="H229" s="16" t="n">
        <f aca="false">IF($B229="","",DATE(YEAR($B229),MONTH($B229),1))</f>
        <v>45839</v>
      </c>
      <c r="I229" s="0" t="str">
        <f aca="false">IF($G229="","Uncategorized — Review",IFERROR(INDEX(Mapping!$B:$B,MATCH($G229,Mapping!$A:$A,0)),"Uncategorized — Review"))</f>
        <v>Bank Fees</v>
      </c>
      <c r="J229" s="0" t="str">
        <f aca="false">IF($G229="","Uncategorized — Review",IFERROR(INDEX(Mapping!$C:$C,MATCH($G229,Mapping!$A:$A,0)),"Uncategorized — Review"))</f>
        <v>DWG Operating</v>
      </c>
    </row>
    <row r="230" customFormat="false" ht="15" hidden="false" customHeight="false" outlineLevel="0" collapsed="false">
      <c r="A230" s="0" t="str">
        <f aca="false">2025_DWG_Activity!A230</f>
        <v>DEBIT</v>
      </c>
      <c r="B230" s="15" t="n">
        <f aca="false">2025_DWG_Activity!B230</f>
        <v>45845</v>
      </c>
      <c r="C230" s="0" t="str">
        <f aca="false">2025_DWG_Activity!C230</f>
        <v>TST*BLUEYS KITCHEN MAR Los Angeles CA        07/06</v>
      </c>
      <c r="D230" s="7" t="n">
        <f aca="false">2025_DWG_Activity!D230</f>
        <v>-23.65</v>
      </c>
      <c r="E230" s="0" t="str">
        <f aca="false">2025_DWG_Activity!E230</f>
        <v>DEBIT_CARD</v>
      </c>
      <c r="F230" s="7" t="n">
        <f aca="false">2025_DWG_Activity!F230</f>
        <v>2220.74</v>
      </c>
      <c r="G230" s="0" t="str">
        <f aca="false">2025_DWG_Activity!G230</f>
        <v>Personal - Food</v>
      </c>
      <c r="H230" s="16" t="n">
        <f aca="false">IF($B230="","",DATE(YEAR($B230),MONTH($B230),1))</f>
        <v>45839</v>
      </c>
      <c r="I230" s="0" t="str">
        <f aca="false">IF($G230="","Uncategorized — Review",IFERROR(INDEX(Mapping!$B:$B,MATCH($G230,Mapping!$A:$A,0)),"Uncategorized — Review"))</f>
        <v>Personal - Food</v>
      </c>
      <c r="J230" s="0" t="str">
        <f aca="false">IF($G230="","Uncategorized — Review",IFERROR(INDEX(Mapping!$C:$C,MATCH($G230,Mapping!$A:$A,0)),"Uncategorized — Review"))</f>
        <v>Personal — Owner</v>
      </c>
    </row>
    <row r="231" customFormat="false" ht="15" hidden="false" customHeight="false" outlineLevel="0" collapsed="false">
      <c r="A231" s="0" t="str">
        <f aca="false">2025_DWG_Activity!A231</f>
        <v>DEBIT</v>
      </c>
      <c r="B231" s="15" t="n">
        <f aca="false">2025_DWG_Activity!B231</f>
        <v>45845</v>
      </c>
      <c r="C231" s="0" t="str">
        <f aca="false">2025_DWG_Activity!C231</f>
        <v>NON-CHASE ATM WITHDRAW               002862  07/0612681 W W</v>
      </c>
      <c r="D231" s="7" t="n">
        <f aca="false">2025_DWG_Activity!D231</f>
        <v>-123</v>
      </c>
      <c r="E231" s="0" t="str">
        <f aca="false">2025_DWG_Activity!E231</f>
        <v>ATM</v>
      </c>
      <c r="F231" s="7" t="n">
        <f aca="false">2025_DWG_Activity!F231</f>
        <v>2244.39</v>
      </c>
      <c r="G231" s="0" t="str">
        <f aca="false">2025_DWG_Activity!G231</f>
        <v>ATM Withdrawal</v>
      </c>
      <c r="H231" s="16" t="n">
        <f aca="false">IF($B231="","",DATE(YEAR($B231),MONTH($B231),1))</f>
        <v>45839</v>
      </c>
      <c r="I231" s="0" t="str">
        <f aca="false">IF($G231="","Uncategorized — Review",IFERROR(INDEX(Mapping!$B:$B,MATCH($G231,Mapping!$A:$A,0)),"Uncategorized — Review"))</f>
        <v>ATM Withdrawal</v>
      </c>
      <c r="J231" s="0" t="str">
        <f aca="false">IF($G231="","Uncategorized — Review",IFERROR(INDEX(Mapping!$C:$C,MATCH($G231,Mapping!$A:$A,0)),"Uncategorized — Review"))</f>
        <v>Uncategorized — Review</v>
      </c>
    </row>
    <row r="232" customFormat="false" ht="15" hidden="false" customHeight="false" outlineLevel="0" collapsed="false">
      <c r="A232" s="0" t="str">
        <f aca="false">2025_DWG_Activity!A232</f>
        <v>DEBIT</v>
      </c>
      <c r="B232" s="15" t="n">
        <f aca="false">2025_DWG_Activity!B232</f>
        <v>45845</v>
      </c>
      <c r="C232" s="0" t="str">
        <f aca="false">2025_DWG_Activity!C232</f>
        <v>VENICE LIQUOR LOS ANGELES CA         005725  07/06</v>
      </c>
      <c r="D232" s="7" t="n">
        <f aca="false">2025_DWG_Activity!D232</f>
        <v>-27.43</v>
      </c>
      <c r="E232" s="0" t="str">
        <f aca="false">2025_DWG_Activity!E232</f>
        <v>DEBIT_CARD</v>
      </c>
      <c r="F232" s="7" t="n">
        <f aca="false">2025_DWG_Activity!F232</f>
        <v>2367.39</v>
      </c>
      <c r="G232" s="0" t="str">
        <f aca="false">2025_DWG_Activity!G232</f>
        <v>Personal - Entertainment</v>
      </c>
      <c r="H232" s="16" t="n">
        <f aca="false">IF($B232="","",DATE(YEAR($B232),MONTH($B232),1))</f>
        <v>45839</v>
      </c>
      <c r="I232" s="0" t="str">
        <f aca="false">IF($G232="","Uncategorized — Review",IFERROR(INDEX(Mapping!$B:$B,MATCH($G232,Mapping!$A:$A,0)),"Uncategorized — Review"))</f>
        <v>Personal - Entertainment</v>
      </c>
      <c r="J232" s="0" t="str">
        <f aca="false">IF($G232="","Uncategorized — Review",IFERROR(INDEX(Mapping!$C:$C,MATCH($G232,Mapping!$A:$A,0)),"Uncategorized — Review"))</f>
        <v>Personal — Owner</v>
      </c>
    </row>
    <row r="233" customFormat="false" ht="15" hidden="false" customHeight="false" outlineLevel="0" collapsed="false">
      <c r="A233" s="0" t="str">
        <f aca="false">2025_DWG_Activity!A233</f>
        <v>DEBIT</v>
      </c>
      <c r="B233" s="15" t="n">
        <f aca="false">2025_DWG_Activity!B233</f>
        <v>45840</v>
      </c>
      <c r="C233" s="0" t="str">
        <f aca="false">2025_DWG_Activity!C233</f>
        <v>Basic Online Payroll Payment 11176221455 to ########6812</v>
      </c>
      <c r="D233" s="7" t="n">
        <f aca="false">2025_DWG_Activity!D233</f>
        <v>-5000</v>
      </c>
      <c r="E233" s="0" t="str">
        <f aca="false">2025_DWG_Activity!E233</f>
        <v>BASIC_PAYROLL</v>
      </c>
      <c r="F233" s="7" t="n">
        <f aca="false">2025_DWG_Activity!F233</f>
        <v>2394.82</v>
      </c>
      <c r="G233" s="0" t="str">
        <f aca="false">2025_DWG_Activity!G233</f>
        <v>Meg Maran - Payroll</v>
      </c>
      <c r="H233" s="16" t="n">
        <f aca="false">IF($B233="","",DATE(YEAR($B233),MONTH($B233),1))</f>
        <v>45839</v>
      </c>
      <c r="I233" s="0" t="str">
        <f aca="false">IF($G233="","Uncategorized — Review",IFERROR(INDEX(Mapping!$B:$B,MATCH($G233,Mapping!$A:$A,0)),"Uncategorized — Review"))</f>
        <v>Meg Maran - Payroll</v>
      </c>
      <c r="J233" s="0" t="str">
        <f aca="false">IF($G233="","Uncategorized — Review",IFERROR(INDEX(Mapping!$C:$C,MATCH($G233,Mapping!$A:$A,0)),"Uncategorized — Review"))</f>
        <v>Payroll &amp; Contractors</v>
      </c>
    </row>
    <row r="234" customFormat="false" ht="15" hidden="false" customHeight="false" outlineLevel="0" collapsed="false">
      <c r="A234" s="0" t="str">
        <f aca="false">2025_DWG_Activity!A234</f>
        <v>DEBIT</v>
      </c>
      <c r="B234" s="15" t="n">
        <f aca="false">2025_DWG_Activity!B234</f>
        <v>45840</v>
      </c>
      <c r="C234" s="0" t="str">
        <f aca="false">2025_DWG_Activity!C234</f>
        <v>DNH*GODADDY#38026734 https://www.g AZ        07/01</v>
      </c>
      <c r="D234" s="7" t="n">
        <f aca="false">2025_DWG_Activity!D234</f>
        <v>-21.98</v>
      </c>
      <c r="E234" s="0" t="str">
        <f aca="false">2025_DWG_Activity!E234</f>
        <v>DEBIT_CARD</v>
      </c>
      <c r="F234" s="7" t="n">
        <f aca="false">2025_DWG_Activity!F234</f>
        <v>7394.82</v>
      </c>
      <c r="G234" s="0" t="str">
        <f aca="false">2025_DWG_Activity!G234</f>
        <v>Go Daddy</v>
      </c>
      <c r="H234" s="16" t="n">
        <f aca="false">IF($B234="","",DATE(YEAR($B234),MONTH($B234),1))</f>
        <v>45839</v>
      </c>
      <c r="I234" s="0" t="str">
        <f aca="false">IF($G234="","Uncategorized — Review",IFERROR(INDEX(Mapping!$B:$B,MATCH($G234,Mapping!$A:$A,0)),"Uncategorized — Review"))</f>
        <v>Go Daddy</v>
      </c>
      <c r="J234" s="0" t="str">
        <f aca="false">IF($G234="","Uncategorized — Review",IFERROR(INDEX(Mapping!$C:$C,MATCH($G234,Mapping!$A:$A,0)),"Uncategorized — Review"))</f>
        <v>DWG Operating</v>
      </c>
    </row>
    <row r="235" customFormat="false" ht="15" hidden="false" customHeight="false" outlineLevel="0" collapsed="false">
      <c r="A235" s="0" t="str">
        <f aca="false">2025_DWG_Activity!A235</f>
        <v>DEBIT</v>
      </c>
      <c r="B235" s="15" t="n">
        <f aca="false">2025_DWG_Activity!B235</f>
        <v>45839</v>
      </c>
      <c r="C235" s="0" t="str">
        <f aca="false">2025_DWG_Activity!C235</f>
        <v>TST* CAFE GRATITUDE - V VENICE CA            07/01</v>
      </c>
      <c r="D235" s="7" t="n">
        <f aca="false">2025_DWG_Activity!D235</f>
        <v>-46.76</v>
      </c>
      <c r="E235" s="0" t="str">
        <f aca="false">2025_DWG_Activity!E235</f>
        <v>DEBIT_CARD</v>
      </c>
      <c r="F235" s="7" t="n">
        <f aca="false">2025_DWG_Activity!F235</f>
        <v>7416.8</v>
      </c>
      <c r="G235" s="0" t="str">
        <f aca="false">2025_DWG_Activity!G235</f>
        <v>Personal - Food</v>
      </c>
      <c r="H235" s="16" t="n">
        <f aca="false">IF($B235="","",DATE(YEAR($B235),MONTH($B235),1))</f>
        <v>45839</v>
      </c>
      <c r="I235" s="0" t="str">
        <f aca="false">IF($G235="","Uncategorized — Review",IFERROR(INDEX(Mapping!$B:$B,MATCH($G235,Mapping!$A:$A,0)),"Uncategorized — Review"))</f>
        <v>Personal - Food</v>
      </c>
      <c r="J235" s="0" t="str">
        <f aca="false">IF($G235="","Uncategorized — Review",IFERROR(INDEX(Mapping!$C:$C,MATCH($G235,Mapping!$A:$A,0)),"Uncategorized — Review"))</f>
        <v>Personal — Owner</v>
      </c>
    </row>
    <row r="236" customFormat="false" ht="15" hidden="false" customHeight="false" outlineLevel="0" collapsed="false">
      <c r="A236" s="0" t="str">
        <f aca="false">2025_DWG_Activity!A236</f>
        <v>DEBIT</v>
      </c>
      <c r="B236" s="15" t="n">
        <f aca="false">2025_DWG_Activity!B236</f>
        <v>45839</v>
      </c>
      <c r="C236" s="0" t="str">
        <f aca="false">2025_DWG_Activity!C236</f>
        <v>TST*PARAKEET CAFE - LA La Jolla CA           06/30</v>
      </c>
      <c r="D236" s="7" t="n">
        <f aca="false">2025_DWG_Activity!D236</f>
        <v>-62.4</v>
      </c>
      <c r="E236" s="0" t="str">
        <f aca="false">2025_DWG_Activity!E236</f>
        <v>DEBIT_CARD</v>
      </c>
      <c r="F236" s="7" t="n">
        <f aca="false">2025_DWG_Activity!F236</f>
        <v>7463.56</v>
      </c>
      <c r="G236" s="0" t="str">
        <f aca="false">2025_DWG_Activity!G236</f>
        <v>Personal - Trip</v>
      </c>
      <c r="H236" s="16" t="n">
        <f aca="false">IF($B236="","",DATE(YEAR($B236),MONTH($B236),1))</f>
        <v>45839</v>
      </c>
      <c r="I236" s="0" t="str">
        <f aca="false">IF($G236="","Uncategorized — Review",IFERROR(INDEX(Mapping!$B:$B,MATCH($G236,Mapping!$A:$A,0)),"Uncategorized — Review"))</f>
        <v>Personal - Trip</v>
      </c>
      <c r="J236" s="0" t="str">
        <f aca="false">IF($G236="","Uncategorized — Review",IFERROR(INDEX(Mapping!$C:$C,MATCH($G236,Mapping!$A:$A,0)),"Uncategorized — Review"))</f>
        <v>Personal — Owner</v>
      </c>
    </row>
    <row r="237" customFormat="false" ht="15" hidden="false" customHeight="false" outlineLevel="0" collapsed="false">
      <c r="A237" s="0" t="str">
        <f aca="false">2025_DWG_Activity!A237</f>
        <v>DEBIT</v>
      </c>
      <c r="B237" s="15" t="n">
        <f aca="false">2025_DWG_Activity!B237</f>
        <v>45839</v>
      </c>
      <c r="C237" s="0" t="str">
        <f aca="false">2025_DWG_Activity!C237</f>
        <v>UCSD CPEO IN PERSON LA JOLLA CA              06/28</v>
      </c>
      <c r="D237" s="7" t="n">
        <f aca="false">2025_DWG_Activity!D237</f>
        <v>-8</v>
      </c>
      <c r="E237" s="0" t="str">
        <f aca="false">2025_DWG_Activity!E237</f>
        <v>DEBIT_CARD</v>
      </c>
      <c r="F237" s="7" t="n">
        <f aca="false">2025_DWG_Activity!F237</f>
        <v>7525.96</v>
      </c>
      <c r="G237" s="0" t="str">
        <f aca="false">2025_DWG_Activity!G237</f>
        <v>Personal - Trip</v>
      </c>
      <c r="H237" s="16" t="n">
        <f aca="false">IF($B237="","",DATE(YEAR($B237),MONTH($B237),1))</f>
        <v>45839</v>
      </c>
      <c r="I237" s="0" t="str">
        <f aca="false">IF($G237="","Uncategorized — Review",IFERROR(INDEX(Mapping!$B:$B,MATCH($G237,Mapping!$A:$A,0)),"Uncategorized — Review"))</f>
        <v>Personal - Trip</v>
      </c>
      <c r="J237" s="0" t="str">
        <f aca="false">IF($G237="","Uncategorized — Review",IFERROR(INDEX(Mapping!$C:$C,MATCH($G237,Mapping!$A:$A,0)),"Uncategorized — Review"))</f>
        <v>Personal — Owner</v>
      </c>
    </row>
    <row r="238" customFormat="false" ht="15" hidden="false" customHeight="false" outlineLevel="0" collapsed="false">
      <c r="A238" s="0" t="str">
        <f aca="false">2025_DWG_Activity!A238</f>
        <v>CREDIT</v>
      </c>
      <c r="B238" s="15" t="n">
        <f aca="false">2025_DWG_Activity!B238</f>
        <v>45839</v>
      </c>
      <c r="C238" s="0" t="str">
        <f aca="false">2025_DWG_Activity!C238</f>
        <v>Online Transfer from CHK ...9335 transaction#: 25333571387</v>
      </c>
      <c r="D238" s="7" t="n">
        <f aca="false">2025_DWG_Activity!D238</f>
        <v>5000</v>
      </c>
      <c r="E238" s="0" t="str">
        <f aca="false">2025_DWG_Activity!E238</f>
        <v>ACCT_XFER</v>
      </c>
      <c r="F238" s="7" t="n">
        <f aca="false">2025_DWG_Activity!F238</f>
        <v>7533.96</v>
      </c>
      <c r="G238" s="0" t="str">
        <f aca="false">2025_DWG_Activity!G238</f>
        <v>Transfer from Poseidon Asset Group</v>
      </c>
      <c r="H238" s="16" t="n">
        <f aca="false">IF($B238="","",DATE(YEAR($B238),MONTH($B238),1))</f>
        <v>45839</v>
      </c>
      <c r="I238" s="0" t="str">
        <f aca="false">IF($G238="","Uncategorized — Review",IFERROR(INDEX(Mapping!$B:$B,MATCH($G238,Mapping!$A:$A,0)),"Uncategorized — Review"))</f>
        <v>Transfer from Poseidon Asset Group</v>
      </c>
      <c r="J238" s="0" t="str">
        <f aca="false">IF($G238="","Uncategorized — Review",IFERROR(INDEX(Mapping!$C:$C,MATCH($G238,Mapping!$A:$A,0)),"Uncategorized — Review"))</f>
        <v>Intercompany &amp; Savings Transfers</v>
      </c>
    </row>
    <row r="239" customFormat="false" ht="15" hidden="false" customHeight="false" outlineLevel="0" collapsed="false">
      <c r="A239" s="0" t="str">
        <f aca="false">2025_DWG_Activity!A239</f>
        <v>DEBIT</v>
      </c>
      <c r="B239" s="15" t="n">
        <f aca="false">2025_DWG_Activity!B239</f>
        <v>45838</v>
      </c>
      <c r="C239" s="0" t="str">
        <f aca="false">2025_DWG_Activity!C239</f>
        <v>BLUE SHIELD CALIFORNI 800-393-6130 CA        06/30</v>
      </c>
      <c r="D239" s="7" t="n">
        <f aca="false">2025_DWG_Activity!D239</f>
        <v>-1190.49</v>
      </c>
      <c r="E239" s="0" t="str">
        <f aca="false">2025_DWG_Activity!E239</f>
        <v>DEBIT_CARD</v>
      </c>
      <c r="F239" s="7" t="n">
        <f aca="false">2025_DWG_Activity!F239</f>
        <v>2533.96</v>
      </c>
      <c r="G239" s="0" t="str">
        <f aca="false">2025_DWG_Activity!G239</f>
        <v>Personal - Health</v>
      </c>
      <c r="H239" s="16" t="n">
        <f aca="false">IF($B239="","",DATE(YEAR($B239),MONTH($B239),1))</f>
        <v>45809</v>
      </c>
      <c r="I239" s="0" t="str">
        <f aca="false">IF($G239="","Uncategorized — Review",IFERROR(INDEX(Mapping!$B:$B,MATCH($G239,Mapping!$A:$A,0)),"Uncategorized — Review"))</f>
        <v>Personal - Health</v>
      </c>
      <c r="J239" s="0" t="str">
        <f aca="false">IF($G239="","Uncategorized — Review",IFERROR(INDEX(Mapping!$C:$C,MATCH($G239,Mapping!$A:$A,0)),"Uncategorized — Review"))</f>
        <v>Personal — Owner</v>
      </c>
    </row>
    <row r="240" customFormat="false" ht="15" hidden="false" customHeight="false" outlineLevel="0" collapsed="false">
      <c r="A240" s="0" t="str">
        <f aca="false">2025_DWG_Activity!A240</f>
        <v>DEBIT</v>
      </c>
      <c r="B240" s="15" t="n">
        <f aca="false">2025_DWG_Activity!B240</f>
        <v>45838</v>
      </c>
      <c r="C240" s="0" t="str">
        <f aca="false">2025_DWG_Activity!C240</f>
        <v>MCASD 858-4543541 CA                         06/29</v>
      </c>
      <c r="D240" s="7" t="n">
        <f aca="false">2025_DWG_Activity!D240</f>
        <v>-40</v>
      </c>
      <c r="E240" s="0" t="str">
        <f aca="false">2025_DWG_Activity!E240</f>
        <v>DEBIT_CARD</v>
      </c>
      <c r="F240" s="7" t="n">
        <f aca="false">2025_DWG_Activity!F240</f>
        <v>3724.45</v>
      </c>
      <c r="G240" s="0" t="str">
        <f aca="false">2025_DWG_Activity!G240</f>
        <v>Personal - Trip</v>
      </c>
      <c r="H240" s="16" t="n">
        <f aca="false">IF($B240="","",DATE(YEAR($B240),MONTH($B240),1))</f>
        <v>45809</v>
      </c>
      <c r="I240" s="0" t="str">
        <f aca="false">IF($G240="","Uncategorized — Review",IFERROR(INDEX(Mapping!$B:$B,MATCH($G240,Mapping!$A:$A,0)),"Uncategorized — Review"))</f>
        <v>Personal - Trip</v>
      </c>
      <c r="J240" s="0" t="str">
        <f aca="false">IF($G240="","Uncategorized — Review",IFERROR(INDEX(Mapping!$C:$C,MATCH($G240,Mapping!$A:$A,0)),"Uncategorized — Review"))</f>
        <v>Personal — Owner</v>
      </c>
    </row>
    <row r="241" customFormat="false" ht="15" hidden="false" customHeight="false" outlineLevel="0" collapsed="false">
      <c r="A241" s="0" t="str">
        <f aca="false">2025_DWG_Activity!A241</f>
        <v>DEBIT</v>
      </c>
      <c r="B241" s="15" t="n">
        <f aca="false">2025_DWG_Activity!B241</f>
        <v>45838</v>
      </c>
      <c r="C241" s="0" t="str">
        <f aca="false">2025_DWG_Activity!C241</f>
        <v>UCSD HDH INCREDI-BOWLS LA JOLLA CA           06/28</v>
      </c>
      <c r="D241" s="7" t="n">
        <f aca="false">2025_DWG_Activity!D241</f>
        <v>-48</v>
      </c>
      <c r="E241" s="0" t="str">
        <f aca="false">2025_DWG_Activity!E241</f>
        <v>DEBIT_CARD</v>
      </c>
      <c r="F241" s="7" t="n">
        <f aca="false">2025_DWG_Activity!F241</f>
        <v>3764.45</v>
      </c>
      <c r="G241" s="0" t="str">
        <f aca="false">2025_DWG_Activity!G241</f>
        <v>Personal - Food</v>
      </c>
      <c r="H241" s="16" t="n">
        <f aca="false">IF($B241="","",DATE(YEAR($B241),MONTH($B241),1))</f>
        <v>45809</v>
      </c>
      <c r="I241" s="0" t="str">
        <f aca="false">IF($G241="","Uncategorized — Review",IFERROR(INDEX(Mapping!$B:$B,MATCH($G241,Mapping!$A:$A,0)),"Uncategorized — Review"))</f>
        <v>Personal - Food</v>
      </c>
      <c r="J241" s="0" t="str">
        <f aca="false">IF($G241="","Uncategorized — Review",IFERROR(INDEX(Mapping!$C:$C,MATCH($G241,Mapping!$A:$A,0)),"Uncategorized — Review"))</f>
        <v>Personal — Owner</v>
      </c>
    </row>
    <row r="242" customFormat="false" ht="15" hidden="false" customHeight="false" outlineLevel="0" collapsed="false">
      <c r="A242" s="0" t="str">
        <f aca="false">2025_DWG_Activity!A242</f>
        <v>DEBIT</v>
      </c>
      <c r="B242" s="15" t="n">
        <f aca="false">2025_DWG_Activity!B242</f>
        <v>45838</v>
      </c>
      <c r="C242" s="0" t="str">
        <f aca="false">2025_DWG_Activity!C242</f>
        <v>SQ *ALANA'S COFFEE ROA Los Angeles CA        06/27</v>
      </c>
      <c r="D242" s="7" t="n">
        <f aca="false">2025_DWG_Activity!D242</f>
        <v>-22.14</v>
      </c>
      <c r="E242" s="0" t="str">
        <f aca="false">2025_DWG_Activity!E242</f>
        <v>DEBIT_CARD</v>
      </c>
      <c r="F242" s="7" t="n">
        <f aca="false">2025_DWG_Activity!F242</f>
        <v>3812.45</v>
      </c>
      <c r="G242" s="0" t="str">
        <f aca="false">2025_DWG_Activity!G242</f>
        <v>Personal - Food</v>
      </c>
      <c r="H242" s="16" t="n">
        <f aca="false">IF($B242="","",DATE(YEAR($B242),MONTH($B242),1))</f>
        <v>45809</v>
      </c>
      <c r="I242" s="0" t="str">
        <f aca="false">IF($G242="","Uncategorized — Review",IFERROR(INDEX(Mapping!$B:$B,MATCH($G242,Mapping!$A:$A,0)),"Uncategorized — Review"))</f>
        <v>Personal - Food</v>
      </c>
      <c r="J242" s="0" t="str">
        <f aca="false">IF($G242="","Uncategorized — Review",IFERROR(INDEX(Mapping!$C:$C,MATCH($G242,Mapping!$A:$A,0)),"Uncategorized — Review"))</f>
        <v>Personal — Owner</v>
      </c>
    </row>
    <row r="243" customFormat="false" ht="15" hidden="false" customHeight="false" outlineLevel="0" collapsed="false">
      <c r="A243" s="0" t="str">
        <f aca="false">2025_DWG_Activity!A243</f>
        <v>DEBIT</v>
      </c>
      <c r="B243" s="15" t="n">
        <f aca="false">2025_DWG_Activity!B243</f>
        <v>45835</v>
      </c>
      <c r="C243" s="0" t="str">
        <f aca="false">2025_DWG_Activity!C243</f>
        <v>VENICE LIQUOR LOS ANGELES CA         004940  06/27</v>
      </c>
      <c r="D243" s="7" t="n">
        <f aca="false">2025_DWG_Activity!D243</f>
        <v>-17.02</v>
      </c>
      <c r="E243" s="0" t="str">
        <f aca="false">2025_DWG_Activity!E243</f>
        <v>DEBIT_CARD</v>
      </c>
      <c r="F243" s="7" t="n">
        <f aca="false">2025_DWG_Activity!F243</f>
        <v>3834.59</v>
      </c>
      <c r="G243" s="0" t="str">
        <f aca="false">2025_DWG_Activity!G243</f>
        <v>Personal - Entertainment</v>
      </c>
      <c r="H243" s="16" t="n">
        <f aca="false">IF($B243="","",DATE(YEAR($B243),MONTH($B243),1))</f>
        <v>45809</v>
      </c>
      <c r="I243" s="0" t="str">
        <f aca="false">IF($G243="","Uncategorized — Review",IFERROR(INDEX(Mapping!$B:$B,MATCH($G243,Mapping!$A:$A,0)),"Uncategorized — Review"))</f>
        <v>Personal - Entertainment</v>
      </c>
      <c r="J243" s="0" t="str">
        <f aca="false">IF($G243="","Uncategorized — Review",IFERROR(INDEX(Mapping!$C:$C,MATCH($G243,Mapping!$A:$A,0)),"Uncategorized — Review"))</f>
        <v>Personal — Owner</v>
      </c>
    </row>
    <row r="244" customFormat="false" ht="15" hidden="false" customHeight="false" outlineLevel="0" collapsed="false">
      <c r="A244" s="0" t="str">
        <f aca="false">2025_DWG_Activity!A244</f>
        <v>DEBIT</v>
      </c>
      <c r="B244" s="15" t="n">
        <f aca="false">2025_DWG_Activity!B244</f>
        <v>45835</v>
      </c>
      <c r="C244" s="0" t="str">
        <f aca="false">2025_DWG_Activity!C244</f>
        <v>Basic Online Payroll Payment 11176207376 to ######7939</v>
      </c>
      <c r="D244" s="7" t="n">
        <f aca="false">2025_DWG_Activity!D244</f>
        <v>-5000</v>
      </c>
      <c r="E244" s="0" t="str">
        <f aca="false">2025_DWG_Activity!E244</f>
        <v>BASIC_PAYROLL</v>
      </c>
      <c r="F244" s="7" t="n">
        <f aca="false">2025_DWG_Activity!F244</f>
        <v>3851.61</v>
      </c>
      <c r="G244" s="0" t="str">
        <f aca="false">2025_DWG_Activity!G244</f>
        <v>Ryan Billings - Payroll</v>
      </c>
      <c r="H244" s="16" t="n">
        <f aca="false">IF($B244="","",DATE(YEAR($B244),MONTH($B244),1))</f>
        <v>45809</v>
      </c>
      <c r="I244" s="0" t="str">
        <f aca="false">IF($G244="","Uncategorized — Review",IFERROR(INDEX(Mapping!$B:$B,MATCH($G244,Mapping!$A:$A,0)),"Uncategorized — Review"))</f>
        <v>Ryan Billings - Payroll</v>
      </c>
      <c r="J244" s="0" t="str">
        <f aca="false">IF($G244="","Uncategorized — Review",IFERROR(INDEX(Mapping!$C:$C,MATCH($G244,Mapping!$A:$A,0)),"Uncategorized — Review"))</f>
        <v>Payroll &amp; Contractors</v>
      </c>
    </row>
    <row r="245" customFormat="false" ht="15" hidden="false" customHeight="false" outlineLevel="0" collapsed="false">
      <c r="A245" s="0" t="str">
        <f aca="false">2025_DWG_Activity!A245</f>
        <v>DEBIT</v>
      </c>
      <c r="B245" s="15" t="n">
        <f aca="false">2025_DWG_Activity!B245</f>
        <v>45835</v>
      </c>
      <c r="C245" s="0" t="str">
        <f aca="false">2025_DWG_Activity!C245</f>
        <v>TST*REPUBLICA EMPANADA Mesa AZ               06/26</v>
      </c>
      <c r="D245" s="7" t="n">
        <f aca="false">2025_DWG_Activity!D245</f>
        <v>-8.98</v>
      </c>
      <c r="E245" s="0" t="str">
        <f aca="false">2025_DWG_Activity!E245</f>
        <v>DEBIT_CARD</v>
      </c>
      <c r="F245" s="7" t="n">
        <f aca="false">2025_DWG_Activity!F245</f>
        <v>8851.61</v>
      </c>
      <c r="G245" s="0" t="str">
        <f aca="false">2025_DWG_Activity!G245</f>
        <v>Personal - Food</v>
      </c>
      <c r="H245" s="16" t="n">
        <f aca="false">IF($B245="","",DATE(YEAR($B245),MONTH($B245),1))</f>
        <v>45809</v>
      </c>
      <c r="I245" s="0" t="str">
        <f aca="false">IF($G245="","Uncategorized — Review",IFERROR(INDEX(Mapping!$B:$B,MATCH($G245,Mapping!$A:$A,0)),"Uncategorized — Review"))</f>
        <v>Personal - Food</v>
      </c>
      <c r="J245" s="0" t="str">
        <f aca="false">IF($G245="","Uncategorized — Review",IFERROR(INDEX(Mapping!$C:$C,MATCH($G245,Mapping!$A:$A,0)),"Uncategorized — Review"))</f>
        <v>Personal — Owner</v>
      </c>
    </row>
    <row r="246" customFormat="false" ht="15" hidden="false" customHeight="false" outlineLevel="0" collapsed="false">
      <c r="A246" s="0" t="str">
        <f aca="false">2025_DWG_Activity!A246</f>
        <v>DEBIT</v>
      </c>
      <c r="B246" s="15" t="n">
        <f aca="false">2025_DWG_Activity!B246</f>
        <v>45835</v>
      </c>
      <c r="C246" s="0" t="str">
        <f aca="false">2025_DWG_Activity!C246</f>
        <v>LAX AIRP CROWNS LAX T4 LOS ANGELES CA        06/25</v>
      </c>
      <c r="D246" s="7" t="n">
        <f aca="false">2025_DWG_Activity!D246</f>
        <v>-26.32</v>
      </c>
      <c r="E246" s="0" t="str">
        <f aca="false">2025_DWG_Activity!E246</f>
        <v>DEBIT_CARD</v>
      </c>
      <c r="F246" s="7" t="n">
        <f aca="false">2025_DWG_Activity!F246</f>
        <v>8860.59</v>
      </c>
      <c r="G246" s="0" t="str">
        <f aca="false">2025_DWG_Activity!G246</f>
        <v>Personal - Food</v>
      </c>
      <c r="H246" s="16" t="n">
        <f aca="false">IF($B246="","",DATE(YEAR($B246),MONTH($B246),1))</f>
        <v>45809</v>
      </c>
      <c r="I246" s="0" t="str">
        <f aca="false">IF($G246="","Uncategorized — Review",IFERROR(INDEX(Mapping!$B:$B,MATCH($G246,Mapping!$A:$A,0)),"Uncategorized — Review"))</f>
        <v>Personal - Food</v>
      </c>
      <c r="J246" s="0" t="str">
        <f aca="false">IF($G246="","Uncategorized — Review",IFERROR(INDEX(Mapping!$C:$C,MATCH($G246,Mapping!$A:$A,0)),"Uncategorized — Review"))</f>
        <v>Personal — Owner</v>
      </c>
    </row>
    <row r="247" customFormat="false" ht="15" hidden="false" customHeight="false" outlineLevel="0" collapsed="false">
      <c r="A247" s="0" t="str">
        <f aca="false">2025_DWG_Activity!A247</f>
        <v>DEBIT</v>
      </c>
      <c r="B247" s="15" t="n">
        <f aca="false">2025_DWG_Activity!B247</f>
        <v>45834</v>
      </c>
      <c r="C247" s="0" t="str">
        <f aca="false">2025_DWG_Activity!C247</f>
        <v>TST*PHILLYS ON WARNER Phoenix AZ             06/26</v>
      </c>
      <c r="D247" s="7" t="n">
        <f aca="false">2025_DWG_Activity!D247</f>
        <v>-60</v>
      </c>
      <c r="E247" s="0" t="str">
        <f aca="false">2025_DWG_Activity!E247</f>
        <v>DEBIT_CARD</v>
      </c>
      <c r="F247" s="7" t="n">
        <f aca="false">2025_DWG_Activity!F247</f>
        <v>8886.91</v>
      </c>
      <c r="G247" s="0" t="str">
        <f aca="false">2025_DWG_Activity!G247</f>
        <v>Personal - Food</v>
      </c>
      <c r="H247" s="16" t="n">
        <f aca="false">IF($B247="","",DATE(YEAR($B247),MONTH($B247),1))</f>
        <v>45809</v>
      </c>
      <c r="I247" s="0" t="str">
        <f aca="false">IF($G247="","Uncategorized — Review",IFERROR(INDEX(Mapping!$B:$B,MATCH($G247,Mapping!$A:$A,0)),"Uncategorized — Review"))</f>
        <v>Personal - Food</v>
      </c>
      <c r="J247" s="0" t="str">
        <f aca="false">IF($G247="","Uncategorized — Review",IFERROR(INDEX(Mapping!$C:$C,MATCH($G247,Mapping!$A:$A,0)),"Uncategorized — Review"))</f>
        <v>Personal — Owner</v>
      </c>
    </row>
    <row r="248" customFormat="false" ht="15" hidden="false" customHeight="false" outlineLevel="0" collapsed="false">
      <c r="A248" s="0" t="str">
        <f aca="false">2025_DWG_Activity!A248</f>
        <v>DEBIT</v>
      </c>
      <c r="B248" s="15" t="n">
        <f aca="false">2025_DWG_Activity!B248</f>
        <v>45834</v>
      </c>
      <c r="C248" s="0" t="str">
        <f aca="false">2025_DWG_Activity!C248</f>
        <v>STARBUCKS 85549 LOS ANGELES CA               06/25</v>
      </c>
      <c r="D248" s="7" t="n">
        <f aca="false">2025_DWG_Activity!D248</f>
        <v>-10.73</v>
      </c>
      <c r="E248" s="0" t="str">
        <f aca="false">2025_DWG_Activity!E248</f>
        <v>DEBIT_CARD</v>
      </c>
      <c r="F248" s="7" t="n">
        <f aca="false">2025_DWG_Activity!F248</f>
        <v>8946.91</v>
      </c>
      <c r="G248" s="0" t="str">
        <f aca="false">2025_DWG_Activity!G248</f>
        <v>Personal - Food</v>
      </c>
      <c r="H248" s="16" t="n">
        <f aca="false">IF($B248="","",DATE(YEAR($B248),MONTH($B248),1))</f>
        <v>45809</v>
      </c>
      <c r="I248" s="0" t="str">
        <f aca="false">IF($G248="","Uncategorized — Review",IFERROR(INDEX(Mapping!$B:$B,MATCH($G248,Mapping!$A:$A,0)),"Uncategorized — Review"))</f>
        <v>Personal - Food</v>
      </c>
      <c r="J248" s="0" t="str">
        <f aca="false">IF($G248="","Uncategorized — Review",IFERROR(INDEX(Mapping!$C:$C,MATCH($G248,Mapping!$A:$A,0)),"Uncategorized — Review"))</f>
        <v>Personal — Owner</v>
      </c>
    </row>
    <row r="249" customFormat="false" ht="15" hidden="false" customHeight="false" outlineLevel="0" collapsed="false">
      <c r="A249" s="0" t="str">
        <f aca="false">2025_DWG_Activity!A249</f>
        <v>DEBIT</v>
      </c>
      <c r="B249" s="15" t="n">
        <f aca="false">2025_DWG_Activity!B249</f>
        <v>45834</v>
      </c>
      <c r="C249" s="0" t="str">
        <f aca="false">2025_DWG_Activity!C249</f>
        <v>TST*BLUEYS KITCHEN MAR Los Angeles CA        06/25</v>
      </c>
      <c r="D249" s="7" t="n">
        <f aca="false">2025_DWG_Activity!D249</f>
        <v>-38.6</v>
      </c>
      <c r="E249" s="0" t="str">
        <f aca="false">2025_DWG_Activity!E249</f>
        <v>DEBIT_CARD</v>
      </c>
      <c r="F249" s="7" t="n">
        <f aca="false">2025_DWG_Activity!F249</f>
        <v>8957.64</v>
      </c>
      <c r="G249" s="0" t="str">
        <f aca="false">2025_DWG_Activity!G249</f>
        <v>Personal - Food</v>
      </c>
      <c r="H249" s="16" t="n">
        <f aca="false">IF($B249="","",DATE(YEAR($B249),MONTH($B249),1))</f>
        <v>45809</v>
      </c>
      <c r="I249" s="0" t="str">
        <f aca="false">IF($G249="","Uncategorized — Review",IFERROR(INDEX(Mapping!$B:$B,MATCH($G249,Mapping!$A:$A,0)),"Uncategorized — Review"))</f>
        <v>Personal - Food</v>
      </c>
      <c r="J249" s="0" t="str">
        <f aca="false">IF($G249="","Uncategorized — Review",IFERROR(INDEX(Mapping!$C:$C,MATCH($G249,Mapping!$A:$A,0)),"Uncategorized — Review"))</f>
        <v>Personal — Owner</v>
      </c>
    </row>
    <row r="250" customFormat="false" ht="15" hidden="false" customHeight="false" outlineLevel="0" collapsed="false">
      <c r="A250" s="0" t="str">
        <f aca="false">2025_DWG_Activity!A250</f>
        <v>DEBIT</v>
      </c>
      <c r="B250" s="15" t="n">
        <f aca="false">2025_DWG_Activity!B250</f>
        <v>45834</v>
      </c>
      <c r="C250" s="0" t="str">
        <f aca="false">2025_DWG_Activity!C250</f>
        <v>VENICE LIQUOR LOS ANGELES CA                 06/25</v>
      </c>
      <c r="D250" s="7" t="n">
        <f aca="false">2025_DWG_Activity!D250</f>
        <v>-8.73</v>
      </c>
      <c r="E250" s="0" t="str">
        <f aca="false">2025_DWG_Activity!E250</f>
        <v>DEBIT_CARD</v>
      </c>
      <c r="F250" s="7" t="n">
        <f aca="false">2025_DWG_Activity!F250</f>
        <v>8996.24</v>
      </c>
      <c r="G250" s="0" t="str">
        <f aca="false">2025_DWG_Activity!G250</f>
        <v>Personal - Entertainment</v>
      </c>
      <c r="H250" s="16" t="n">
        <f aca="false">IF($B250="","",DATE(YEAR($B250),MONTH($B250),1))</f>
        <v>45809</v>
      </c>
      <c r="I250" s="0" t="str">
        <f aca="false">IF($G250="","Uncategorized — Review",IFERROR(INDEX(Mapping!$B:$B,MATCH($G250,Mapping!$A:$A,0)),"Uncategorized — Review"))</f>
        <v>Personal - Entertainment</v>
      </c>
      <c r="J250" s="0" t="str">
        <f aca="false">IF($G250="","Uncategorized — Review",IFERROR(INDEX(Mapping!$C:$C,MATCH($G250,Mapping!$A:$A,0)),"Uncategorized — Review"))</f>
        <v>Personal — Owner</v>
      </c>
    </row>
    <row r="251" customFormat="false" ht="15" hidden="false" customHeight="false" outlineLevel="0" collapsed="false">
      <c r="A251" s="0" t="str">
        <f aca="false">2025_DWG_Activity!A251</f>
        <v>DEBIT</v>
      </c>
      <c r="B251" s="15" t="n">
        <f aca="false">2025_DWG_Activity!B251</f>
        <v>45833</v>
      </c>
      <c r="C251" s="0" t="str">
        <f aca="false">2025_DWG_Activity!C251</f>
        <v>PACOS TACOS LOS ANGELES CA                   06/24</v>
      </c>
      <c r="D251" s="7" t="n">
        <f aca="false">2025_DWG_Activity!D251</f>
        <v>-122.3</v>
      </c>
      <c r="E251" s="0" t="str">
        <f aca="false">2025_DWG_Activity!E251</f>
        <v>DEBIT_CARD</v>
      </c>
      <c r="F251" s="7" t="n">
        <f aca="false">2025_DWG_Activity!F251</f>
        <v>9004.97</v>
      </c>
      <c r="G251" s="0" t="str">
        <f aca="false">2025_DWG_Activity!G251</f>
        <v>Personal - Food</v>
      </c>
      <c r="H251" s="16" t="n">
        <f aca="false">IF($B251="","",DATE(YEAR($B251),MONTH($B251),1))</f>
        <v>45809</v>
      </c>
      <c r="I251" s="0" t="str">
        <f aca="false">IF($G251="","Uncategorized — Review",IFERROR(INDEX(Mapping!$B:$B,MATCH($G251,Mapping!$A:$A,0)),"Uncategorized — Review"))</f>
        <v>Personal - Food</v>
      </c>
      <c r="J251" s="0" t="str">
        <f aca="false">IF($G251="","Uncategorized — Review",IFERROR(INDEX(Mapping!$C:$C,MATCH($G251,Mapping!$A:$A,0)),"Uncategorized — Review"))</f>
        <v>Personal — Owner</v>
      </c>
    </row>
    <row r="252" customFormat="false" ht="15" hidden="false" customHeight="false" outlineLevel="0" collapsed="false">
      <c r="A252" s="0" t="str">
        <f aca="false">2025_DWG_Activity!A252</f>
        <v>DEBIT</v>
      </c>
      <c r="B252" s="15" t="n">
        <f aca="false">2025_DWG_Activity!B252</f>
        <v>45833</v>
      </c>
      <c r="C252" s="0" t="str">
        <f aca="false">2025_DWG_Activity!C252</f>
        <v>CITY OF SANTA MONICA SANTA MONICA CA         06/24</v>
      </c>
      <c r="D252" s="7" t="n">
        <f aca="false">2025_DWG_Activity!D252</f>
        <v>-1.25</v>
      </c>
      <c r="E252" s="0" t="str">
        <f aca="false">2025_DWG_Activity!E252</f>
        <v>DEBIT_CARD</v>
      </c>
      <c r="F252" s="7" t="n">
        <f aca="false">2025_DWG_Activity!F252</f>
        <v>9127.27</v>
      </c>
      <c r="G252" s="0" t="str">
        <f aca="false">2025_DWG_Activity!G252</f>
        <v>Personal - Car</v>
      </c>
      <c r="H252" s="16" t="n">
        <f aca="false">IF($B252="","",DATE(YEAR($B252),MONTH($B252),1))</f>
        <v>45809</v>
      </c>
      <c r="I252" s="0" t="str">
        <f aca="false">IF($G252="","Uncategorized — Review",IFERROR(INDEX(Mapping!$B:$B,MATCH($G252,Mapping!$A:$A,0)),"Uncategorized — Review"))</f>
        <v>Personal - Car</v>
      </c>
      <c r="J252" s="0" t="str">
        <f aca="false">IF($G252="","Uncategorized — Review",IFERROR(INDEX(Mapping!$C:$C,MATCH($G252,Mapping!$A:$A,0)),"Uncategorized — Review"))</f>
        <v>Personal — Owner</v>
      </c>
    </row>
    <row r="253" customFormat="false" ht="15" hidden="false" customHeight="false" outlineLevel="0" collapsed="false">
      <c r="A253" s="0" t="str">
        <f aca="false">2025_DWG_Activity!A253</f>
        <v>DEBIT</v>
      </c>
      <c r="B253" s="15" t="n">
        <f aca="false">2025_DWG_Activity!B253</f>
        <v>45832</v>
      </c>
      <c r="C253" s="0" t="str">
        <f aca="false">2025_DWG_Activity!C253</f>
        <v>7-ELEVEN LOS ANGELES CA              880420  06/24</v>
      </c>
      <c r="D253" s="7" t="n">
        <f aca="false">2025_DWG_Activity!D253</f>
        <v>-25.34</v>
      </c>
      <c r="E253" s="0" t="str">
        <f aca="false">2025_DWG_Activity!E253</f>
        <v>DEBIT_CARD</v>
      </c>
      <c r="F253" s="7" t="n">
        <f aca="false">2025_DWG_Activity!F253</f>
        <v>9128.52</v>
      </c>
      <c r="G253" s="0" t="str">
        <f aca="false">2025_DWG_Activity!G253</f>
        <v>Personal - Car</v>
      </c>
      <c r="H253" s="16" t="n">
        <f aca="false">IF($B253="","",DATE(YEAR($B253),MONTH($B253),1))</f>
        <v>45809</v>
      </c>
      <c r="I253" s="0" t="str">
        <f aca="false">IF($G253="","Uncategorized — Review",IFERROR(INDEX(Mapping!$B:$B,MATCH($G253,Mapping!$A:$A,0)),"Uncategorized — Review"))</f>
        <v>Personal - Car</v>
      </c>
      <c r="J253" s="0" t="str">
        <f aca="false">IF($G253="","Uncategorized — Review",IFERROR(INDEX(Mapping!$C:$C,MATCH($G253,Mapping!$A:$A,0)),"Uncategorized — Review"))</f>
        <v>Personal — Owner</v>
      </c>
    </row>
    <row r="254" customFormat="false" ht="15" hidden="false" customHeight="false" outlineLevel="0" collapsed="false">
      <c r="A254" s="0" t="str">
        <f aca="false">2025_DWG_Activity!A254</f>
        <v>DEBIT</v>
      </c>
      <c r="B254" s="15" t="n">
        <f aca="false">2025_DWG_Activity!B254</f>
        <v>45832</v>
      </c>
      <c r="C254" s="0" t="str">
        <f aca="false">2025_DWG_Activity!C254</f>
        <v>TST*BLUEYS KITCHEN MAR Los Angeles CA        06/23</v>
      </c>
      <c r="D254" s="7" t="n">
        <f aca="false">2025_DWG_Activity!D254</f>
        <v>-36.75</v>
      </c>
      <c r="E254" s="0" t="str">
        <f aca="false">2025_DWG_Activity!E254</f>
        <v>DEBIT_CARD</v>
      </c>
      <c r="F254" s="7" t="n">
        <f aca="false">2025_DWG_Activity!F254</f>
        <v>9153.86</v>
      </c>
      <c r="G254" s="0" t="str">
        <f aca="false">2025_DWG_Activity!G254</f>
        <v>Personal - Food</v>
      </c>
      <c r="H254" s="16" t="n">
        <f aca="false">IF($B254="","",DATE(YEAR($B254),MONTH($B254),1))</f>
        <v>45809</v>
      </c>
      <c r="I254" s="0" t="str">
        <f aca="false">IF($G254="","Uncategorized — Review",IFERROR(INDEX(Mapping!$B:$B,MATCH($G254,Mapping!$A:$A,0)),"Uncategorized — Review"))</f>
        <v>Personal - Food</v>
      </c>
      <c r="J254" s="0" t="str">
        <f aca="false">IF($G254="","Uncategorized — Review",IFERROR(INDEX(Mapping!$C:$C,MATCH($G254,Mapping!$A:$A,0)),"Uncategorized — Review"))</f>
        <v>Personal — Owner</v>
      </c>
    </row>
    <row r="255" customFormat="false" ht="15" hidden="false" customHeight="false" outlineLevel="0" collapsed="false">
      <c r="A255" s="0" t="str">
        <f aca="false">2025_DWG_Activity!A255</f>
        <v>DEBIT</v>
      </c>
      <c r="B255" s="15" t="n">
        <f aca="false">2025_DWG_Activity!B255</f>
        <v>45832</v>
      </c>
      <c r="C255" s="0" t="str">
        <f aca="false">2025_DWG_Activity!C255</f>
        <v>TST*BLUEYS KITCHEN MAR Los Angeles CA        06/23</v>
      </c>
      <c r="D255" s="7" t="n">
        <f aca="false">2025_DWG_Activity!D255</f>
        <v>-44.89</v>
      </c>
      <c r="E255" s="0" t="str">
        <f aca="false">2025_DWG_Activity!E255</f>
        <v>DEBIT_CARD</v>
      </c>
      <c r="F255" s="7" t="n">
        <f aca="false">2025_DWG_Activity!F255</f>
        <v>9190.61</v>
      </c>
      <c r="G255" s="0" t="str">
        <f aca="false">2025_DWG_Activity!G255</f>
        <v>Personal - Food</v>
      </c>
      <c r="H255" s="16" t="n">
        <f aca="false">IF($B255="","",DATE(YEAR($B255),MONTH($B255),1))</f>
        <v>45809</v>
      </c>
      <c r="I255" s="0" t="str">
        <f aca="false">IF($G255="","Uncategorized — Review",IFERROR(INDEX(Mapping!$B:$B,MATCH($G255,Mapping!$A:$A,0)),"Uncategorized — Review"))</f>
        <v>Personal - Food</v>
      </c>
      <c r="J255" s="0" t="str">
        <f aca="false">IF($G255="","Uncategorized — Review",IFERROR(INDEX(Mapping!$C:$C,MATCH($G255,Mapping!$A:$A,0)),"Uncategorized — Review"))</f>
        <v>Personal — Owner</v>
      </c>
    </row>
    <row r="256" customFormat="false" ht="15" hidden="false" customHeight="false" outlineLevel="0" collapsed="false">
      <c r="A256" s="0" t="str">
        <f aca="false">2025_DWG_Activity!A256</f>
        <v>DEBIT</v>
      </c>
      <c r="B256" s="15" t="n">
        <f aca="false">2025_DWG_Activity!B256</f>
        <v>45832</v>
      </c>
      <c r="C256" s="0" t="str">
        <f aca="false">2025_DWG_Activity!C256</f>
        <v>CITY OF SANTA MONICA SANTA MONICA CA         06/23</v>
      </c>
      <c r="D256" s="7" t="n">
        <f aca="false">2025_DWG_Activity!D256</f>
        <v>-1.25</v>
      </c>
      <c r="E256" s="0" t="str">
        <f aca="false">2025_DWG_Activity!E256</f>
        <v>DEBIT_CARD</v>
      </c>
      <c r="F256" s="7" t="n">
        <f aca="false">2025_DWG_Activity!F256</f>
        <v>9235.5</v>
      </c>
      <c r="G256" s="0" t="str">
        <f aca="false">2025_DWG_Activity!G256</f>
        <v>Personal - Car</v>
      </c>
      <c r="H256" s="16" t="n">
        <f aca="false">IF($B256="","",DATE(YEAR($B256),MONTH($B256),1))</f>
        <v>45809</v>
      </c>
      <c r="I256" s="0" t="str">
        <f aca="false">IF($G256="","Uncategorized — Review",IFERROR(INDEX(Mapping!$B:$B,MATCH($G256,Mapping!$A:$A,0)),"Uncategorized — Review"))</f>
        <v>Personal - Car</v>
      </c>
      <c r="J256" s="0" t="str">
        <f aca="false">IF($G256="","Uncategorized — Review",IFERROR(INDEX(Mapping!$C:$C,MATCH($G256,Mapping!$A:$A,0)),"Uncategorized — Review"))</f>
        <v>Personal — Owner</v>
      </c>
    </row>
    <row r="257" customFormat="false" ht="15" hidden="false" customHeight="false" outlineLevel="0" collapsed="false">
      <c r="A257" s="0" t="str">
        <f aca="false">2025_DWG_Activity!A257</f>
        <v>DEBIT</v>
      </c>
      <c r="B257" s="15" t="n">
        <f aca="false">2025_DWG_Activity!B257</f>
        <v>45831</v>
      </c>
      <c r="C257" s="0" t="str">
        <f aca="false">2025_DWG_Activity!C257</f>
        <v>ACTIVECAMPAIGN, INC. 800-357-0402 IL         06/23</v>
      </c>
      <c r="D257" s="7" t="n">
        <f aca="false">2025_DWG_Activity!D257</f>
        <v>-925.3</v>
      </c>
      <c r="E257" s="0" t="str">
        <f aca="false">2025_DWG_Activity!E257</f>
        <v>DEBIT_CARD</v>
      </c>
      <c r="F257" s="7" t="n">
        <f aca="false">2025_DWG_Activity!F257</f>
        <v>9236.75</v>
      </c>
      <c r="G257" s="0" t="str">
        <f aca="false">2025_DWG_Activity!G257</f>
        <v>DWG Marketing</v>
      </c>
      <c r="H257" s="16" t="n">
        <f aca="false">IF($B257="","",DATE(YEAR($B257),MONTH($B257),1))</f>
        <v>45809</v>
      </c>
      <c r="I257" s="0" t="str">
        <f aca="false">IF($G257="","Uncategorized — Review",IFERROR(INDEX(Mapping!$B:$B,MATCH($G257,Mapping!$A:$A,0)),"Uncategorized — Review"))</f>
        <v>DWG Marketing</v>
      </c>
      <c r="J257" s="0" t="str">
        <f aca="false">IF($G257="","Uncategorized — Review",IFERROR(INDEX(Mapping!$C:$C,MATCH($G257,Mapping!$A:$A,0)),"Uncategorized — Review"))</f>
        <v>DWG Operating</v>
      </c>
    </row>
    <row r="258" customFormat="false" ht="15" hidden="false" customHeight="false" outlineLevel="0" collapsed="false">
      <c r="A258" s="0" t="str">
        <f aca="false">2025_DWG_Activity!A258</f>
        <v>DEBIT</v>
      </c>
      <c r="B258" s="15" t="n">
        <f aca="false">2025_DWG_Activity!B258</f>
        <v>45831</v>
      </c>
      <c r="C258" s="0" t="str">
        <f aca="false">2025_DWG_Activity!C258</f>
        <v>SQ *MOON JUICE Venice CA                     06/22</v>
      </c>
      <c r="D258" s="7" t="n">
        <f aca="false">2025_DWG_Activity!D258</f>
        <v>-61.71</v>
      </c>
      <c r="E258" s="0" t="str">
        <f aca="false">2025_DWG_Activity!E258</f>
        <v>DEBIT_CARD</v>
      </c>
      <c r="F258" s="7" t="n">
        <f aca="false">2025_DWG_Activity!F258</f>
        <v>10162.05</v>
      </c>
      <c r="G258" s="0" t="str">
        <f aca="false">2025_DWG_Activity!G258</f>
        <v>Personal - Food</v>
      </c>
      <c r="H258" s="16" t="n">
        <f aca="false">IF($B258="","",DATE(YEAR($B258),MONTH($B258),1))</f>
        <v>45809</v>
      </c>
      <c r="I258" s="0" t="str">
        <f aca="false">IF($G258="","Uncategorized — Review",IFERROR(INDEX(Mapping!$B:$B,MATCH($G258,Mapping!$A:$A,0)),"Uncategorized — Review"))</f>
        <v>Personal - Food</v>
      </c>
      <c r="J258" s="0" t="str">
        <f aca="false">IF($G258="","Uncategorized — Review",IFERROR(INDEX(Mapping!$C:$C,MATCH($G258,Mapping!$A:$A,0)),"Uncategorized — Review"))</f>
        <v>Personal — Owner</v>
      </c>
    </row>
    <row r="259" customFormat="false" ht="15" hidden="false" customHeight="false" outlineLevel="0" collapsed="false">
      <c r="A259" s="0" t="str">
        <f aca="false">2025_DWG_Activity!A259</f>
        <v>DEBIT</v>
      </c>
      <c r="B259" s="15" t="n">
        <f aca="false">2025_DWG_Activity!B259</f>
        <v>45831</v>
      </c>
      <c r="C259" s="0" t="str">
        <f aca="false">2025_DWG_Activity!C259</f>
        <v>SQ *AWAN Venice CA                           06/22</v>
      </c>
      <c r="D259" s="7" t="n">
        <f aca="false">2025_DWG_Activity!D259</f>
        <v>-14.4</v>
      </c>
      <c r="E259" s="0" t="str">
        <f aca="false">2025_DWG_Activity!E259</f>
        <v>DEBIT_CARD</v>
      </c>
      <c r="F259" s="7" t="n">
        <f aca="false">2025_DWG_Activity!F259</f>
        <v>10223.76</v>
      </c>
      <c r="G259" s="0" t="str">
        <f aca="false">2025_DWG_Activity!G259</f>
        <v>Personal - Food</v>
      </c>
      <c r="H259" s="16" t="n">
        <f aca="false">IF($B259="","",DATE(YEAR($B259),MONTH($B259),1))</f>
        <v>45809</v>
      </c>
      <c r="I259" s="0" t="str">
        <f aca="false">IF($G259="","Uncategorized — Review",IFERROR(INDEX(Mapping!$B:$B,MATCH($G259,Mapping!$A:$A,0)),"Uncategorized — Review"))</f>
        <v>Personal - Food</v>
      </c>
      <c r="J259" s="0" t="str">
        <f aca="false">IF($G259="","Uncategorized — Review",IFERROR(INDEX(Mapping!$C:$C,MATCH($G259,Mapping!$A:$A,0)),"Uncategorized — Review"))</f>
        <v>Personal — Owner</v>
      </c>
    </row>
    <row r="260" customFormat="false" ht="15" hidden="false" customHeight="false" outlineLevel="0" collapsed="false">
      <c r="A260" s="0" t="str">
        <f aca="false">2025_DWG_Activity!A260</f>
        <v>DEBIT</v>
      </c>
      <c r="B260" s="15" t="n">
        <f aca="false">2025_DWG_Activity!B260</f>
        <v>45831</v>
      </c>
      <c r="C260" s="0" t="str">
        <f aca="false">2025_DWG_Activity!C260</f>
        <v>SQ *UBREAKIFIX BY AS Marina del re CA        06/22</v>
      </c>
      <c r="D260" s="7" t="n">
        <f aca="false">2025_DWG_Activity!D260</f>
        <v>-30</v>
      </c>
      <c r="E260" s="0" t="str">
        <f aca="false">2025_DWG_Activity!E260</f>
        <v>DEBIT_CARD</v>
      </c>
      <c r="F260" s="7" t="n">
        <f aca="false">2025_DWG_Activity!F260</f>
        <v>10238.16</v>
      </c>
      <c r="G260" s="0" t="str">
        <f aca="false">2025_DWG_Activity!G260</f>
        <v>Personal - Technology</v>
      </c>
      <c r="H260" s="16" t="n">
        <f aca="false">IF($B260="","",DATE(YEAR($B260),MONTH($B260),1))</f>
        <v>45809</v>
      </c>
      <c r="I260" s="0" t="str">
        <f aca="false">IF($G260="","Uncategorized — Review",IFERROR(INDEX(Mapping!$B:$B,MATCH($G260,Mapping!$A:$A,0)),"Uncategorized — Review"))</f>
        <v>Personal - Technology</v>
      </c>
      <c r="J260" s="0" t="str">
        <f aca="false">IF($G260="","Uncategorized — Review",IFERROR(INDEX(Mapping!$C:$C,MATCH($G260,Mapping!$A:$A,0)),"Uncategorized — Review"))</f>
        <v>Personal — Owner</v>
      </c>
    </row>
    <row r="261" customFormat="false" ht="15" hidden="false" customHeight="false" outlineLevel="0" collapsed="false">
      <c r="A261" s="0" t="str">
        <f aca="false">2025_DWG_Activity!A261</f>
        <v>DEBIT</v>
      </c>
      <c r="B261" s="15" t="n">
        <f aca="false">2025_DWG_Activity!B261</f>
        <v>45831</v>
      </c>
      <c r="C261" s="0" t="str">
        <f aca="false">2025_DWG_Activity!C261</f>
        <v>SPO*VARIABLECAFE LOS ANGELES CA              06/22</v>
      </c>
      <c r="D261" s="7" t="n">
        <f aca="false">2025_DWG_Activity!D261</f>
        <v>-32.38</v>
      </c>
      <c r="E261" s="0" t="str">
        <f aca="false">2025_DWG_Activity!E261</f>
        <v>DEBIT_CARD</v>
      </c>
      <c r="F261" s="7" t="n">
        <f aca="false">2025_DWG_Activity!F261</f>
        <v>10268.16</v>
      </c>
      <c r="G261" s="0" t="str">
        <f aca="false">2025_DWG_Activity!G261</f>
        <v>Personal - Food</v>
      </c>
      <c r="H261" s="16" t="n">
        <f aca="false">IF($B261="","",DATE(YEAR($B261),MONTH($B261),1))</f>
        <v>45809</v>
      </c>
      <c r="I261" s="0" t="str">
        <f aca="false">IF($G261="","Uncategorized — Review",IFERROR(INDEX(Mapping!$B:$B,MATCH($G261,Mapping!$A:$A,0)),"Uncategorized — Review"))</f>
        <v>Personal - Food</v>
      </c>
      <c r="J261" s="0" t="str">
        <f aca="false">IF($G261="","Uncategorized — Review",IFERROR(INDEX(Mapping!$C:$C,MATCH($G261,Mapping!$A:$A,0)),"Uncategorized — Review"))</f>
        <v>Personal — Owner</v>
      </c>
    </row>
    <row r="262" customFormat="false" ht="15" hidden="false" customHeight="false" outlineLevel="0" collapsed="false">
      <c r="A262" s="0" t="str">
        <f aca="false">2025_DWG_Activity!A262</f>
        <v>DEBIT</v>
      </c>
      <c r="B262" s="15" t="n">
        <f aca="false">2025_DWG_Activity!B262</f>
        <v>45831</v>
      </c>
      <c r="C262" s="0" t="str">
        <f aca="false">2025_DWG_Activity!C262</f>
        <v>TST*VURGER GUYZ Los Angeles CA               06/21</v>
      </c>
      <c r="D262" s="7" t="n">
        <f aca="false">2025_DWG_Activity!D262</f>
        <v>-23.3</v>
      </c>
      <c r="E262" s="0" t="str">
        <f aca="false">2025_DWG_Activity!E262</f>
        <v>DEBIT_CARD</v>
      </c>
      <c r="F262" s="7" t="n">
        <f aca="false">2025_DWG_Activity!F262</f>
        <v>10300.54</v>
      </c>
      <c r="G262" s="0" t="str">
        <f aca="false">2025_DWG_Activity!G262</f>
        <v>Personal - Food</v>
      </c>
      <c r="H262" s="16" t="n">
        <f aca="false">IF($B262="","",DATE(YEAR($B262),MONTH($B262),1))</f>
        <v>45809</v>
      </c>
      <c r="I262" s="0" t="str">
        <f aca="false">IF($G262="","Uncategorized — Review",IFERROR(INDEX(Mapping!$B:$B,MATCH($G262,Mapping!$A:$A,0)),"Uncategorized — Review"))</f>
        <v>Personal - Food</v>
      </c>
      <c r="J262" s="0" t="str">
        <f aca="false">IF($G262="","Uncategorized — Review",IFERROR(INDEX(Mapping!$C:$C,MATCH($G262,Mapping!$A:$A,0)),"Uncategorized — Review"))</f>
        <v>Personal — Owner</v>
      </c>
    </row>
    <row r="263" customFormat="false" ht="15" hidden="false" customHeight="false" outlineLevel="0" collapsed="false">
      <c r="A263" s="0" t="str">
        <f aca="false">2025_DWG_Activity!A263</f>
        <v>DEBIT</v>
      </c>
      <c r="B263" s="15" t="n">
        <f aca="false">2025_DWG_Activity!B263</f>
        <v>45831</v>
      </c>
      <c r="C263" s="0" t="str">
        <f aca="false">2025_DWG_Activity!C263</f>
        <v>INFUSE  DR. BULL 131-04500600 CA             06/21</v>
      </c>
      <c r="D263" s="7" t="n">
        <f aca="false">2025_DWG_Activity!D263</f>
        <v>-250</v>
      </c>
      <c r="E263" s="0" t="str">
        <f aca="false">2025_DWG_Activity!E263</f>
        <v>DEBIT_CARD</v>
      </c>
      <c r="F263" s="7" t="n">
        <f aca="false">2025_DWG_Activity!F263</f>
        <v>10323.84</v>
      </c>
      <c r="G263" s="0" t="str">
        <f aca="false">2025_DWG_Activity!G263</f>
        <v>Personal - Health</v>
      </c>
      <c r="H263" s="16" t="n">
        <f aca="false">IF($B263="","",DATE(YEAR($B263),MONTH($B263),1))</f>
        <v>45809</v>
      </c>
      <c r="I263" s="0" t="str">
        <f aca="false">IF($G263="","Uncategorized — Review",IFERROR(INDEX(Mapping!$B:$B,MATCH($G263,Mapping!$A:$A,0)),"Uncategorized — Review"))</f>
        <v>Personal - Health</v>
      </c>
      <c r="J263" s="0" t="str">
        <f aca="false">IF($G263="","Uncategorized — Review",IFERROR(INDEX(Mapping!$C:$C,MATCH($G263,Mapping!$A:$A,0)),"Uncategorized — Review"))</f>
        <v>Personal — Owner</v>
      </c>
    </row>
    <row r="264" customFormat="false" ht="15" hidden="false" customHeight="false" outlineLevel="0" collapsed="false">
      <c r="A264" s="0" t="str">
        <f aca="false">2025_DWG_Activity!A264</f>
        <v>DEBIT</v>
      </c>
      <c r="B264" s="15" t="n">
        <f aca="false">2025_DWG_Activity!B264</f>
        <v>45831</v>
      </c>
      <c r="C264" s="0" t="str">
        <f aca="false">2025_DWG_Activity!C264</f>
        <v>LARRYS SHAVER SHOPPE SANTA MONICA CA         06/21</v>
      </c>
      <c r="D264" s="7" t="n">
        <f aca="false">2025_DWG_Activity!D264</f>
        <v>-579.06</v>
      </c>
      <c r="E264" s="0" t="str">
        <f aca="false">2025_DWG_Activity!E264</f>
        <v>DEBIT_CARD</v>
      </c>
      <c r="F264" s="7" t="n">
        <f aca="false">2025_DWG_Activity!F264</f>
        <v>10573.84</v>
      </c>
      <c r="G264" s="0" t="str">
        <f aca="false">2025_DWG_Activity!G264</f>
        <v>Personal - Entertainment</v>
      </c>
      <c r="H264" s="16" t="n">
        <f aca="false">IF($B264="","",DATE(YEAR($B264),MONTH($B264),1))</f>
        <v>45809</v>
      </c>
      <c r="I264" s="0" t="str">
        <f aca="false">IF($G264="","Uncategorized — Review",IFERROR(INDEX(Mapping!$B:$B,MATCH($G264,Mapping!$A:$A,0)),"Uncategorized — Review"))</f>
        <v>Personal - Entertainment</v>
      </c>
      <c r="J264" s="0" t="str">
        <f aca="false">IF($G264="","Uncategorized — Review",IFERROR(INDEX(Mapping!$C:$C,MATCH($G264,Mapping!$A:$A,0)),"Uncategorized — Review"))</f>
        <v>Personal — Owner</v>
      </c>
    </row>
    <row r="265" customFormat="false" ht="15" hidden="false" customHeight="false" outlineLevel="0" collapsed="false">
      <c r="A265" s="0" t="str">
        <f aca="false">2025_DWG_Activity!A265</f>
        <v>DEBIT</v>
      </c>
      <c r="B265" s="15" t="n">
        <f aca="false">2025_DWG_Activity!B265</f>
        <v>45831</v>
      </c>
      <c r="C265" s="0" t="str">
        <f aca="false">2025_DWG_Activity!C265</f>
        <v>CITY OF SANTA MONICA SANTA MONICA CA         06/21</v>
      </c>
      <c r="D265" s="7" t="n">
        <f aca="false">2025_DWG_Activity!D265</f>
        <v>-2.5</v>
      </c>
      <c r="E265" s="0" t="str">
        <f aca="false">2025_DWG_Activity!E265</f>
        <v>DEBIT_CARD</v>
      </c>
      <c r="F265" s="7" t="n">
        <f aca="false">2025_DWG_Activity!F265</f>
        <v>11152.9</v>
      </c>
      <c r="G265" s="0" t="str">
        <f aca="false">2025_DWG_Activity!G265</f>
        <v>Personal - Car</v>
      </c>
      <c r="H265" s="16" t="n">
        <f aca="false">IF($B265="","",DATE(YEAR($B265),MONTH($B265),1))</f>
        <v>45809</v>
      </c>
      <c r="I265" s="0" t="str">
        <f aca="false">IF($G265="","Uncategorized — Review",IFERROR(INDEX(Mapping!$B:$B,MATCH($G265,Mapping!$A:$A,0)),"Uncategorized — Review"))</f>
        <v>Personal - Car</v>
      </c>
      <c r="J265" s="0" t="str">
        <f aca="false">IF($G265="","Uncategorized — Review",IFERROR(INDEX(Mapping!$C:$C,MATCH($G265,Mapping!$A:$A,0)),"Uncategorized — Review"))</f>
        <v>Personal — Owner</v>
      </c>
    </row>
    <row r="266" customFormat="false" ht="15" hidden="false" customHeight="false" outlineLevel="0" collapsed="false">
      <c r="A266" s="0" t="str">
        <f aca="false">2025_DWG_Activity!A266</f>
        <v>DEBIT</v>
      </c>
      <c r="B266" s="15" t="n">
        <f aca="false">2025_DWG_Activity!B266</f>
        <v>45831</v>
      </c>
      <c r="C266" s="0" t="str">
        <f aca="false">2025_DWG_Activity!C266</f>
        <v>CITY OF SANTA MONICA SANTA MONICA CA         06/21</v>
      </c>
      <c r="D266" s="7" t="n">
        <f aca="false">2025_DWG_Activity!D266</f>
        <v>-0.5</v>
      </c>
      <c r="E266" s="0" t="str">
        <f aca="false">2025_DWG_Activity!E266</f>
        <v>DEBIT_CARD</v>
      </c>
      <c r="F266" s="7" t="n">
        <f aca="false">2025_DWG_Activity!F266</f>
        <v>11155.4</v>
      </c>
      <c r="G266" s="0" t="str">
        <f aca="false">2025_DWG_Activity!G266</f>
        <v>Personal - Car</v>
      </c>
      <c r="H266" s="16" t="n">
        <f aca="false">IF($B266="","",DATE(YEAR($B266),MONTH($B266),1))</f>
        <v>45809</v>
      </c>
      <c r="I266" s="0" t="str">
        <f aca="false">IF($G266="","Uncategorized — Review",IFERROR(INDEX(Mapping!$B:$B,MATCH($G266,Mapping!$A:$A,0)),"Uncategorized — Review"))</f>
        <v>Personal - Car</v>
      </c>
      <c r="J266" s="0" t="str">
        <f aca="false">IF($G266="","Uncategorized — Review",IFERROR(INDEX(Mapping!$C:$C,MATCH($G266,Mapping!$A:$A,0)),"Uncategorized — Review"))</f>
        <v>Personal — Owner</v>
      </c>
    </row>
    <row r="267" customFormat="false" ht="15" hidden="false" customHeight="false" outlineLevel="0" collapsed="false">
      <c r="A267" s="0" t="str">
        <f aca="false">2025_DWG_Activity!A267</f>
        <v>DEBIT</v>
      </c>
      <c r="B267" s="15" t="n">
        <f aca="false">2025_DWG_Activity!B267</f>
        <v>45831</v>
      </c>
      <c r="C267" s="0" t="str">
        <f aca="false">2025_DWG_Activity!C267</f>
        <v>VENICE LIQUOR LOS ANGELES CA                 06/21</v>
      </c>
      <c r="D267" s="7" t="n">
        <f aca="false">2025_DWG_Activity!D267</f>
        <v>-15.36</v>
      </c>
      <c r="E267" s="0" t="str">
        <f aca="false">2025_DWG_Activity!E267</f>
        <v>DEBIT_CARD</v>
      </c>
      <c r="F267" s="7" t="n">
        <f aca="false">2025_DWG_Activity!F267</f>
        <v>11155.9</v>
      </c>
      <c r="G267" s="0" t="str">
        <f aca="false">2025_DWG_Activity!G267</f>
        <v>Personal - Entertainment</v>
      </c>
      <c r="H267" s="16" t="n">
        <f aca="false">IF($B267="","",DATE(YEAR($B267),MONTH($B267),1))</f>
        <v>45809</v>
      </c>
      <c r="I267" s="0" t="str">
        <f aca="false">IF($G267="","Uncategorized — Review",IFERROR(INDEX(Mapping!$B:$B,MATCH($G267,Mapping!$A:$A,0)),"Uncategorized — Review"))</f>
        <v>Personal - Entertainment</v>
      </c>
      <c r="J267" s="0" t="str">
        <f aca="false">IF($G267="","Uncategorized — Review",IFERROR(INDEX(Mapping!$C:$C,MATCH($G267,Mapping!$A:$A,0)),"Uncategorized — Review"))</f>
        <v>Personal — Owner</v>
      </c>
    </row>
    <row r="268" customFormat="false" ht="15" hidden="false" customHeight="false" outlineLevel="0" collapsed="false">
      <c r="A268" s="0" t="str">
        <f aca="false">2025_DWG_Activity!A268</f>
        <v>DEBIT</v>
      </c>
      <c r="B268" s="15" t="n">
        <f aca="false">2025_DWG_Activity!B268</f>
        <v>45831</v>
      </c>
      <c r="C268" s="0" t="str">
        <f aca="false">2025_DWG_Activity!C268</f>
        <v>LA CABANA - VENICE VENICE CA                 06/20</v>
      </c>
      <c r="D268" s="7" t="n">
        <f aca="false">2025_DWG_Activity!D268</f>
        <v>-110.07</v>
      </c>
      <c r="E268" s="0" t="str">
        <f aca="false">2025_DWG_Activity!E268</f>
        <v>DEBIT_CARD</v>
      </c>
      <c r="F268" s="7" t="n">
        <f aca="false">2025_DWG_Activity!F268</f>
        <v>11171.26</v>
      </c>
      <c r="G268" s="0" t="str">
        <f aca="false">2025_DWG_Activity!G268</f>
        <v>Personal - Food</v>
      </c>
      <c r="H268" s="16" t="n">
        <f aca="false">IF($B268="","",DATE(YEAR($B268),MONTH($B268),1))</f>
        <v>45809</v>
      </c>
      <c r="I268" s="0" t="str">
        <f aca="false">IF($G268="","Uncategorized — Review",IFERROR(INDEX(Mapping!$B:$B,MATCH($G268,Mapping!$A:$A,0)),"Uncategorized — Review"))</f>
        <v>Personal - Food</v>
      </c>
      <c r="J268" s="0" t="str">
        <f aca="false">IF($G268="","Uncategorized — Review",IFERROR(INDEX(Mapping!$C:$C,MATCH($G268,Mapping!$A:$A,0)),"Uncategorized — Review"))</f>
        <v>Personal — Owner</v>
      </c>
    </row>
    <row r="269" customFormat="false" ht="15" hidden="false" customHeight="false" outlineLevel="0" collapsed="false">
      <c r="A269" s="0" t="str">
        <f aca="false">2025_DWG_Activity!A269</f>
        <v>DEBIT</v>
      </c>
      <c r="B269" s="15" t="n">
        <f aca="false">2025_DWG_Activity!B269</f>
        <v>45831</v>
      </c>
      <c r="C269" s="0" t="str">
        <f aca="false">2025_DWG_Activity!C269</f>
        <v>AIRBNB * HMAWSACFB3 AIRBNB.COM CA            06/21</v>
      </c>
      <c r="D269" s="7" t="n">
        <f aca="false">2025_DWG_Activity!D269</f>
        <v>-2671.34</v>
      </c>
      <c r="E269" s="0" t="str">
        <f aca="false">2025_DWG_Activity!E269</f>
        <v>DEBIT_CARD</v>
      </c>
      <c r="F269" s="7" t="n">
        <f aca="false">2025_DWG_Activity!F269</f>
        <v>11281.33</v>
      </c>
      <c r="G269" s="0" t="str">
        <f aca="false">2025_DWG_Activity!G269</f>
        <v>Mike Paytonjian - Payroll</v>
      </c>
      <c r="H269" s="16" t="n">
        <f aca="false">IF($B269="","",DATE(YEAR($B269),MONTH($B269),1))</f>
        <v>45809</v>
      </c>
      <c r="I269" s="0" t="str">
        <f aca="false">IF($G269="","Uncategorized — Review",IFERROR(INDEX(Mapping!$B:$B,MATCH($G269,Mapping!$A:$A,0)),"Uncategorized — Review"))</f>
        <v>Mike Paytonjian - Payroll</v>
      </c>
      <c r="J269" s="0" t="str">
        <f aca="false">IF($G269="","Uncategorized — Review",IFERROR(INDEX(Mapping!$C:$C,MATCH($G269,Mapping!$A:$A,0)),"Uncategorized — Review"))</f>
        <v>Payroll &amp; Contractors</v>
      </c>
    </row>
    <row r="270" customFormat="false" ht="15" hidden="false" customHeight="false" outlineLevel="0" collapsed="false">
      <c r="A270" s="0" t="str">
        <f aca="false">2025_DWG_Activity!A270</f>
        <v>DEBIT</v>
      </c>
      <c r="B270" s="15" t="n">
        <f aca="false">2025_DWG_Activity!B270</f>
        <v>45828</v>
      </c>
      <c r="C270" s="0" t="str">
        <f aca="false">2025_DWG_Activity!C270</f>
        <v>CITY OF SANTA MONICA SANTA MONICA CA         06/19</v>
      </c>
      <c r="D270" s="7" t="n">
        <f aca="false">2025_DWG_Activity!D270</f>
        <v>-3.75</v>
      </c>
      <c r="E270" s="0" t="str">
        <f aca="false">2025_DWG_Activity!E270</f>
        <v>DEBIT_CARD</v>
      </c>
      <c r="F270" s="7" t="n">
        <f aca="false">2025_DWG_Activity!F270</f>
        <v>13952.67</v>
      </c>
      <c r="G270" s="0" t="str">
        <f aca="false">2025_DWG_Activity!G270</f>
        <v>Personal - Car</v>
      </c>
      <c r="H270" s="16" t="n">
        <f aca="false">IF($B270="","",DATE(YEAR($B270),MONTH($B270),1))</f>
        <v>45809</v>
      </c>
      <c r="I270" s="0" t="str">
        <f aca="false">IF($G270="","Uncategorized — Review",IFERROR(INDEX(Mapping!$B:$B,MATCH($G270,Mapping!$A:$A,0)),"Uncategorized — Review"))</f>
        <v>Personal - Car</v>
      </c>
      <c r="J270" s="0" t="str">
        <f aca="false">IF($G270="","Uncategorized — Review",IFERROR(INDEX(Mapping!$C:$C,MATCH($G270,Mapping!$A:$A,0)),"Uncategorized — Review"))</f>
        <v>Personal — Owner</v>
      </c>
    </row>
    <row r="271" customFormat="false" ht="15" hidden="false" customHeight="false" outlineLevel="0" collapsed="false">
      <c r="A271" s="0" t="str">
        <f aca="false">2025_DWG_Activity!A271</f>
        <v>DEBIT</v>
      </c>
      <c r="B271" s="15" t="n">
        <f aca="false">2025_DWG_Activity!B271</f>
        <v>45828</v>
      </c>
      <c r="C271" s="0" t="str">
        <f aca="false">2025_DWG_Activity!C271</f>
        <v>CITY OF SANTA MONICA SANTA MONICA CA         06/18</v>
      </c>
      <c r="D271" s="7" t="n">
        <f aca="false">2025_DWG_Activity!D271</f>
        <v>-1.87</v>
      </c>
      <c r="E271" s="0" t="str">
        <f aca="false">2025_DWG_Activity!E271</f>
        <v>DEBIT_CARD</v>
      </c>
      <c r="F271" s="7" t="n">
        <f aca="false">2025_DWG_Activity!F271</f>
        <v>13956.42</v>
      </c>
      <c r="G271" s="0" t="str">
        <f aca="false">2025_DWG_Activity!G271</f>
        <v>Personal - Car</v>
      </c>
      <c r="H271" s="16" t="n">
        <f aca="false">IF($B271="","",DATE(YEAR($B271),MONTH($B271),1))</f>
        <v>45809</v>
      </c>
      <c r="I271" s="0" t="str">
        <f aca="false">IF($G271="","Uncategorized — Review",IFERROR(INDEX(Mapping!$B:$B,MATCH($G271,Mapping!$A:$A,0)),"Uncategorized — Review"))</f>
        <v>Personal - Car</v>
      </c>
      <c r="J271" s="0" t="str">
        <f aca="false">IF($G271="","Uncategorized — Review",IFERROR(INDEX(Mapping!$C:$C,MATCH($G271,Mapping!$A:$A,0)),"Uncategorized — Review"))</f>
        <v>Personal — Owner</v>
      </c>
    </row>
    <row r="272" customFormat="false" ht="15" hidden="false" customHeight="false" outlineLevel="0" collapsed="false">
      <c r="A272" s="0" t="str">
        <f aca="false">2025_DWG_Activity!A272</f>
        <v>DEBIT</v>
      </c>
      <c r="B272" s="15" t="n">
        <f aca="false">2025_DWG_Activity!B272</f>
        <v>45828</v>
      </c>
      <c r="C272" s="0" t="str">
        <f aca="false">2025_DWG_Activity!C272</f>
        <v>NICK'S MARKET VENICE CA                      06/18</v>
      </c>
      <c r="D272" s="7" t="n">
        <f aca="false">2025_DWG_Activity!D272</f>
        <v>-6.21</v>
      </c>
      <c r="E272" s="0" t="str">
        <f aca="false">2025_DWG_Activity!E272</f>
        <v>DEBIT_CARD</v>
      </c>
      <c r="F272" s="7" t="n">
        <f aca="false">2025_DWG_Activity!F272</f>
        <v>13958.29</v>
      </c>
      <c r="G272" s="0" t="str">
        <f aca="false">2025_DWG_Activity!G272</f>
        <v>Personal - Food</v>
      </c>
      <c r="H272" s="16" t="n">
        <f aca="false">IF($B272="","",DATE(YEAR($B272),MONTH($B272),1))</f>
        <v>45809</v>
      </c>
      <c r="I272" s="0" t="str">
        <f aca="false">IF($G272="","Uncategorized — Review",IFERROR(INDEX(Mapping!$B:$B,MATCH($G272,Mapping!$A:$A,0)),"Uncategorized — Review"))</f>
        <v>Personal - Food</v>
      </c>
      <c r="J272" s="0" t="str">
        <f aca="false">IF($G272="","Uncategorized — Review",IFERROR(INDEX(Mapping!$C:$C,MATCH($G272,Mapping!$A:$A,0)),"Uncategorized — Review"))</f>
        <v>Personal — Owner</v>
      </c>
    </row>
    <row r="273" customFormat="false" ht="15" hidden="false" customHeight="false" outlineLevel="0" collapsed="false">
      <c r="A273" s="0" t="str">
        <f aca="false">2025_DWG_Activity!A273</f>
        <v>DEBIT</v>
      </c>
      <c r="B273" s="15" t="n">
        <f aca="false">2025_DWG_Activity!B273</f>
        <v>45828</v>
      </c>
      <c r="C273" s="0" t="str">
        <f aca="false">2025_DWG_Activity!C273</f>
        <v>MERCEDES BAR &amp; GRILL MARINA DEL RE CA        06/18</v>
      </c>
      <c r="D273" s="7" t="n">
        <f aca="false">2025_DWG_Activity!D273</f>
        <v>-112.42</v>
      </c>
      <c r="E273" s="0" t="str">
        <f aca="false">2025_DWG_Activity!E273</f>
        <v>DEBIT_CARD</v>
      </c>
      <c r="F273" s="7" t="n">
        <f aca="false">2025_DWG_Activity!F273</f>
        <v>13964.5</v>
      </c>
      <c r="G273" s="0" t="str">
        <f aca="false">2025_DWG_Activity!G273</f>
        <v>Personal - Food</v>
      </c>
      <c r="H273" s="16" t="n">
        <f aca="false">IF($B273="","",DATE(YEAR($B273),MONTH($B273),1))</f>
        <v>45809</v>
      </c>
      <c r="I273" s="0" t="str">
        <f aca="false">IF($G273="","Uncategorized — Review",IFERROR(INDEX(Mapping!$B:$B,MATCH($G273,Mapping!$A:$A,0)),"Uncategorized — Review"))</f>
        <v>Personal - Food</v>
      </c>
      <c r="J273" s="0" t="str">
        <f aca="false">IF($G273="","Uncategorized — Review",IFERROR(INDEX(Mapping!$C:$C,MATCH($G273,Mapping!$A:$A,0)),"Uncategorized — Review"))</f>
        <v>Personal — Owner</v>
      </c>
    </row>
    <row r="274" customFormat="false" ht="15" hidden="false" customHeight="false" outlineLevel="0" collapsed="false">
      <c r="A274" s="0" t="str">
        <f aca="false">2025_DWG_Activity!A274</f>
        <v>DEBIT</v>
      </c>
      <c r="B274" s="15" t="n">
        <f aca="false">2025_DWG_Activity!B274</f>
        <v>45828</v>
      </c>
      <c r="C274" s="0" t="str">
        <f aca="false">2025_DWG_Activity!C274</f>
        <v>DEPT. BEACHES &amp; HARB MARINA DEL RE CA        06/18</v>
      </c>
      <c r="D274" s="7" t="n">
        <f aca="false">2025_DWG_Activity!D274</f>
        <v>-9</v>
      </c>
      <c r="E274" s="0" t="str">
        <f aca="false">2025_DWG_Activity!E274</f>
        <v>DEBIT_CARD</v>
      </c>
      <c r="F274" s="7" t="n">
        <f aca="false">2025_DWG_Activity!F274</f>
        <v>14076.92</v>
      </c>
      <c r="G274" s="0" t="str">
        <f aca="false">2025_DWG_Activity!G274</f>
        <v>Personal - Car</v>
      </c>
      <c r="H274" s="16" t="n">
        <f aca="false">IF($B274="","",DATE(YEAR($B274),MONTH($B274),1))</f>
        <v>45809</v>
      </c>
      <c r="I274" s="0" t="str">
        <f aca="false">IF($G274="","Uncategorized — Review",IFERROR(INDEX(Mapping!$B:$B,MATCH($G274,Mapping!$A:$A,0)),"Uncategorized — Review"))</f>
        <v>Personal - Car</v>
      </c>
      <c r="J274" s="0" t="str">
        <f aca="false">IF($G274="","Uncategorized — Review",IFERROR(INDEX(Mapping!$C:$C,MATCH($G274,Mapping!$A:$A,0)),"Uncategorized — Review"))</f>
        <v>Personal — Owner</v>
      </c>
    </row>
    <row r="275" customFormat="false" ht="15" hidden="false" customHeight="false" outlineLevel="0" collapsed="false">
      <c r="A275" s="0" t="str">
        <f aca="false">2025_DWG_Activity!A275</f>
        <v>DEBIT</v>
      </c>
      <c r="B275" s="15" t="n">
        <f aca="false">2025_DWG_Activity!B275</f>
        <v>45828</v>
      </c>
      <c r="C275" s="0" t="str">
        <f aca="false">2025_DWG_Activity!C275</f>
        <v>SQ *ALANA'S COFFEE ROA Los Angeles CA        06/18</v>
      </c>
      <c r="D275" s="7" t="n">
        <f aca="false">2025_DWG_Activity!D275</f>
        <v>-17.7</v>
      </c>
      <c r="E275" s="0" t="str">
        <f aca="false">2025_DWG_Activity!E275</f>
        <v>DEBIT_CARD</v>
      </c>
      <c r="F275" s="7" t="n">
        <f aca="false">2025_DWG_Activity!F275</f>
        <v>14085.92</v>
      </c>
      <c r="G275" s="0" t="str">
        <f aca="false">2025_DWG_Activity!G275</f>
        <v>Personal - Food</v>
      </c>
      <c r="H275" s="16" t="n">
        <f aca="false">IF($B275="","",DATE(YEAR($B275),MONTH($B275),1))</f>
        <v>45809</v>
      </c>
      <c r="I275" s="0" t="str">
        <f aca="false">IF($G275="","Uncategorized — Review",IFERROR(INDEX(Mapping!$B:$B,MATCH($G275,Mapping!$A:$A,0)),"Uncategorized — Review"))</f>
        <v>Personal - Food</v>
      </c>
      <c r="J275" s="0" t="str">
        <f aca="false">IF($G275="","Uncategorized — Review",IFERROR(INDEX(Mapping!$C:$C,MATCH($G275,Mapping!$A:$A,0)),"Uncategorized — Review"))</f>
        <v>Personal — Owner</v>
      </c>
    </row>
    <row r="276" customFormat="false" ht="15" hidden="false" customHeight="false" outlineLevel="0" collapsed="false">
      <c r="A276" s="0" t="str">
        <f aca="false">2025_DWG_Activity!A276</f>
        <v>DEBIT</v>
      </c>
      <c r="B276" s="15" t="n">
        <f aca="false">2025_DWG_Activity!B276</f>
        <v>45828</v>
      </c>
      <c r="C276" s="0" t="str">
        <f aca="false">2025_DWG_Activity!C276</f>
        <v>THE MV GRAB AND GO LOS ANGELES CA            06/17</v>
      </c>
      <c r="D276" s="7" t="n">
        <f aca="false">2025_DWG_Activity!D276</f>
        <v>-52.22</v>
      </c>
      <c r="E276" s="0" t="str">
        <f aca="false">2025_DWG_Activity!E276</f>
        <v>DEBIT_CARD</v>
      </c>
      <c r="F276" s="7" t="n">
        <f aca="false">2025_DWG_Activity!F276</f>
        <v>14103.62</v>
      </c>
      <c r="G276" s="0" t="str">
        <f aca="false">2025_DWG_Activity!G276</f>
        <v>Personal - Food</v>
      </c>
      <c r="H276" s="16" t="n">
        <f aca="false">IF($B276="","",DATE(YEAR($B276),MONTH($B276),1))</f>
        <v>45809</v>
      </c>
      <c r="I276" s="0" t="str">
        <f aca="false">IF($G276="","Uncategorized — Review",IFERROR(INDEX(Mapping!$B:$B,MATCH($G276,Mapping!$A:$A,0)),"Uncategorized — Review"))</f>
        <v>Personal - Food</v>
      </c>
      <c r="J276" s="0" t="str">
        <f aca="false">IF($G276="","Uncategorized — Review",IFERROR(INDEX(Mapping!$C:$C,MATCH($G276,Mapping!$A:$A,0)),"Uncategorized — Review"))</f>
        <v>Personal — Owner</v>
      </c>
    </row>
    <row r="277" customFormat="false" ht="15" hidden="false" customHeight="false" outlineLevel="0" collapsed="false">
      <c r="A277" s="0" t="str">
        <f aca="false">2025_DWG_Activity!A277</f>
        <v>DEBIT</v>
      </c>
      <c r="B277" s="15" t="n">
        <f aca="false">2025_DWG_Activity!B277</f>
        <v>45826</v>
      </c>
      <c r="C277" s="0" t="str">
        <f aca="false">2025_DWG_Activity!C277</f>
        <v>LADOT METER PARKING LOS ANGELES CA           06/17</v>
      </c>
      <c r="D277" s="7" t="n">
        <f aca="false">2025_DWG_Activity!D277</f>
        <v>-1.75</v>
      </c>
      <c r="E277" s="0" t="str">
        <f aca="false">2025_DWG_Activity!E277</f>
        <v>DEBIT_CARD</v>
      </c>
      <c r="F277" s="7" t="n">
        <f aca="false">2025_DWG_Activity!F277</f>
        <v>14155.84</v>
      </c>
      <c r="G277" s="0" t="str">
        <f aca="false">2025_DWG_Activity!G277</f>
        <v>Personal - Car</v>
      </c>
      <c r="H277" s="16" t="n">
        <f aca="false">IF($B277="","",DATE(YEAR($B277),MONTH($B277),1))</f>
        <v>45809</v>
      </c>
      <c r="I277" s="0" t="str">
        <f aca="false">IF($G277="","Uncategorized — Review",IFERROR(INDEX(Mapping!$B:$B,MATCH($G277,Mapping!$A:$A,0)),"Uncategorized — Review"))</f>
        <v>Personal - Car</v>
      </c>
      <c r="J277" s="0" t="str">
        <f aca="false">IF($G277="","Uncategorized — Review",IFERROR(INDEX(Mapping!$C:$C,MATCH($G277,Mapping!$A:$A,0)),"Uncategorized — Review"))</f>
        <v>Personal — Owner</v>
      </c>
    </row>
    <row r="278" customFormat="false" ht="15" hidden="false" customHeight="false" outlineLevel="0" collapsed="false">
      <c r="A278" s="0" t="str">
        <f aca="false">2025_DWG_Activity!A278</f>
        <v>DEBIT</v>
      </c>
      <c r="B278" s="15" t="n">
        <f aca="false">2025_DWG_Activity!B278</f>
        <v>45825</v>
      </c>
      <c r="C278" s="0" t="str">
        <f aca="false">2025_DWG_Activity!C278</f>
        <v>TST*BLUEYS KITCHEN MAR Los Angeles CA        06/16</v>
      </c>
      <c r="D278" s="7" t="n">
        <f aca="false">2025_DWG_Activity!D278</f>
        <v>-157.64</v>
      </c>
      <c r="E278" s="0" t="str">
        <f aca="false">2025_DWG_Activity!E278</f>
        <v>DEBIT_CARD</v>
      </c>
      <c r="F278" s="7" t="n">
        <f aca="false">2025_DWG_Activity!F278</f>
        <v>14157.59</v>
      </c>
      <c r="G278" s="0" t="str">
        <f aca="false">2025_DWG_Activity!G278</f>
        <v>Personal - Food</v>
      </c>
      <c r="H278" s="16" t="n">
        <f aca="false">IF($B278="","",DATE(YEAR($B278),MONTH($B278),1))</f>
        <v>45809</v>
      </c>
      <c r="I278" s="0" t="str">
        <f aca="false">IF($G278="","Uncategorized — Review",IFERROR(INDEX(Mapping!$B:$B,MATCH($G278,Mapping!$A:$A,0)),"Uncategorized — Review"))</f>
        <v>Personal - Food</v>
      </c>
      <c r="J278" s="0" t="str">
        <f aca="false">IF($G278="","Uncategorized — Review",IFERROR(INDEX(Mapping!$C:$C,MATCH($G278,Mapping!$A:$A,0)),"Uncategorized — Review"))</f>
        <v>Personal — Owner</v>
      </c>
    </row>
    <row r="279" customFormat="false" ht="15" hidden="false" customHeight="false" outlineLevel="0" collapsed="false">
      <c r="A279" s="0" t="str">
        <f aca="false">2025_DWG_Activity!A279</f>
        <v>DEBIT</v>
      </c>
      <c r="B279" s="15" t="n">
        <f aca="false">2025_DWG_Activity!B279</f>
        <v>45824</v>
      </c>
      <c r="C279" s="0" t="str">
        <f aca="false">2025_DWG_Activity!C279</f>
        <v>SQ *ALANA'S COFFEE ROA Los Angeles CA        06/16</v>
      </c>
      <c r="D279" s="7" t="n">
        <f aca="false">2025_DWG_Activity!D279</f>
        <v>-7.5</v>
      </c>
      <c r="E279" s="0" t="str">
        <f aca="false">2025_DWG_Activity!E279</f>
        <v>DEBIT_CARD</v>
      </c>
      <c r="F279" s="7" t="n">
        <f aca="false">2025_DWG_Activity!F279</f>
        <v>14315.23</v>
      </c>
      <c r="G279" s="0" t="str">
        <f aca="false">2025_DWG_Activity!G279</f>
        <v>Personal - Food</v>
      </c>
      <c r="H279" s="16" t="n">
        <f aca="false">IF($B279="","",DATE(YEAR($B279),MONTH($B279),1))</f>
        <v>45809</v>
      </c>
      <c r="I279" s="0" t="str">
        <f aca="false">IF($G279="","Uncategorized — Review",IFERROR(INDEX(Mapping!$B:$B,MATCH($G279,Mapping!$A:$A,0)),"Uncategorized — Review"))</f>
        <v>Personal - Food</v>
      </c>
      <c r="J279" s="0" t="str">
        <f aca="false">IF($G279="","Uncategorized — Review",IFERROR(INDEX(Mapping!$C:$C,MATCH($G279,Mapping!$A:$A,0)),"Uncategorized — Review"))</f>
        <v>Personal — Owner</v>
      </c>
    </row>
    <row r="280" customFormat="false" ht="15" hidden="false" customHeight="false" outlineLevel="0" collapsed="false">
      <c r="A280" s="0" t="str">
        <f aca="false">2025_DWG_Activity!A280</f>
        <v>DEBIT</v>
      </c>
      <c r="B280" s="15" t="n">
        <f aca="false">2025_DWG_Activity!B280</f>
        <v>45824</v>
      </c>
      <c r="C280" s="0" t="str">
        <f aca="false">2025_DWG_Activity!C280</f>
        <v>RAINBOW BAR &amp; GRILL LOS ANGELES CA           06/15</v>
      </c>
      <c r="D280" s="7" t="n">
        <f aca="false">2025_DWG_Activity!D280</f>
        <v>-169.39</v>
      </c>
      <c r="E280" s="0" t="str">
        <f aca="false">2025_DWG_Activity!E280</f>
        <v>DEBIT_CARD</v>
      </c>
      <c r="F280" s="7" t="n">
        <f aca="false">2025_DWG_Activity!F280</f>
        <v>14322.73</v>
      </c>
      <c r="G280" s="0" t="str">
        <f aca="false">2025_DWG_Activity!G280</f>
        <v>Personal - Food</v>
      </c>
      <c r="H280" s="16" t="n">
        <f aca="false">IF($B280="","",DATE(YEAR($B280),MONTH($B280),1))</f>
        <v>45809</v>
      </c>
      <c r="I280" s="0" t="str">
        <f aca="false">IF($G280="","Uncategorized — Review",IFERROR(INDEX(Mapping!$B:$B,MATCH($G280,Mapping!$A:$A,0)),"Uncategorized — Review"))</f>
        <v>Personal - Food</v>
      </c>
      <c r="J280" s="0" t="str">
        <f aca="false">IF($G280="","Uncategorized — Review",IFERROR(INDEX(Mapping!$C:$C,MATCH($G280,Mapping!$A:$A,0)),"Uncategorized — Review"))</f>
        <v>Personal — Owner</v>
      </c>
    </row>
    <row r="281" customFormat="false" ht="15" hidden="false" customHeight="false" outlineLevel="0" collapsed="false">
      <c r="A281" s="0" t="str">
        <f aca="false">2025_DWG_Activity!A281</f>
        <v>DEBIT</v>
      </c>
      <c r="B281" s="15" t="n">
        <f aca="false">2025_DWG_Activity!B281</f>
        <v>45824</v>
      </c>
      <c r="C281" s="0" t="str">
        <f aca="false">2025_DWG_Activity!C281</f>
        <v>SQ *ALANA'S COFFEE ROA Los Angeles CA        06/15</v>
      </c>
      <c r="D281" s="7" t="n">
        <f aca="false">2025_DWG_Activity!D281</f>
        <v>-18.9</v>
      </c>
      <c r="E281" s="0" t="str">
        <f aca="false">2025_DWG_Activity!E281</f>
        <v>DEBIT_CARD</v>
      </c>
      <c r="F281" s="7" t="n">
        <f aca="false">2025_DWG_Activity!F281</f>
        <v>14492.12</v>
      </c>
      <c r="G281" s="0" t="str">
        <f aca="false">2025_DWG_Activity!G281</f>
        <v>Personal - Food</v>
      </c>
      <c r="H281" s="16" t="n">
        <f aca="false">IF($B281="","",DATE(YEAR($B281),MONTH($B281),1))</f>
        <v>45809</v>
      </c>
      <c r="I281" s="0" t="str">
        <f aca="false">IF($G281="","Uncategorized — Review",IFERROR(INDEX(Mapping!$B:$B,MATCH($G281,Mapping!$A:$A,0)),"Uncategorized — Review"))</f>
        <v>Personal - Food</v>
      </c>
      <c r="J281" s="0" t="str">
        <f aca="false">IF($G281="","Uncategorized — Review",IFERROR(INDEX(Mapping!$C:$C,MATCH($G281,Mapping!$A:$A,0)),"Uncategorized — Review"))</f>
        <v>Personal — Owner</v>
      </c>
    </row>
    <row r="282" customFormat="false" ht="15" hidden="false" customHeight="false" outlineLevel="0" collapsed="false">
      <c r="A282" s="0" t="str">
        <f aca="false">2025_DWG_Activity!A282</f>
        <v>DEBIT</v>
      </c>
      <c r="B282" s="15" t="n">
        <f aca="false">2025_DWG_Activity!B282</f>
        <v>45824</v>
      </c>
      <c r="C282" s="0" t="str">
        <f aca="false">2025_DWG_Activity!C282</f>
        <v>FLOYD'S 99 MARVISTA 310-3994888 CA           06/15</v>
      </c>
      <c r="D282" s="7" t="n">
        <f aca="false">2025_DWG_Activity!D282</f>
        <v>-35.04</v>
      </c>
      <c r="E282" s="0" t="str">
        <f aca="false">2025_DWG_Activity!E282</f>
        <v>DEBIT_CARD</v>
      </c>
      <c r="F282" s="7" t="n">
        <f aca="false">2025_DWG_Activity!F282</f>
        <v>14511.02</v>
      </c>
      <c r="G282" s="0" t="str">
        <f aca="false">2025_DWG_Activity!G282</f>
        <v>Personal - Health</v>
      </c>
      <c r="H282" s="16" t="n">
        <f aca="false">IF($B282="","",DATE(YEAR($B282),MONTH($B282),1))</f>
        <v>45809</v>
      </c>
      <c r="I282" s="0" t="str">
        <f aca="false">IF($G282="","Uncategorized — Review",IFERROR(INDEX(Mapping!$B:$B,MATCH($G282,Mapping!$A:$A,0)),"Uncategorized — Review"))</f>
        <v>Personal - Health</v>
      </c>
      <c r="J282" s="0" t="str">
        <f aca="false">IF($G282="","Uncategorized — Review",IFERROR(INDEX(Mapping!$C:$C,MATCH($G282,Mapping!$A:$A,0)),"Uncategorized — Review"))</f>
        <v>Personal — Owner</v>
      </c>
    </row>
    <row r="283" customFormat="false" ht="15" hidden="false" customHeight="false" outlineLevel="0" collapsed="false">
      <c r="A283" s="0" t="str">
        <f aca="false">2025_DWG_Activity!A283</f>
        <v>DEBIT</v>
      </c>
      <c r="B283" s="15" t="n">
        <f aca="false">2025_DWG_Activity!B283</f>
        <v>45824</v>
      </c>
      <c r="C283" s="0" t="str">
        <f aca="false">2025_DWG_Activity!C283</f>
        <v>SQ *COUNTY LINE HARVEST Petaluma CA          06/15</v>
      </c>
      <c r="D283" s="7" t="n">
        <f aca="false">2025_DWG_Activity!D283</f>
        <v>-10</v>
      </c>
      <c r="E283" s="0" t="str">
        <f aca="false">2025_DWG_Activity!E283</f>
        <v>DEBIT_CARD</v>
      </c>
      <c r="F283" s="7" t="n">
        <f aca="false">2025_DWG_Activity!F283</f>
        <v>14546.06</v>
      </c>
      <c r="G283" s="0" t="str">
        <f aca="false">2025_DWG_Activity!G283</f>
        <v>Personal - Food</v>
      </c>
      <c r="H283" s="16" t="n">
        <f aca="false">IF($B283="","",DATE(YEAR($B283),MONTH($B283),1))</f>
        <v>45809</v>
      </c>
      <c r="I283" s="0" t="str">
        <f aca="false">IF($G283="","Uncategorized — Review",IFERROR(INDEX(Mapping!$B:$B,MATCH($G283,Mapping!$A:$A,0)),"Uncategorized — Review"))</f>
        <v>Personal - Food</v>
      </c>
      <c r="J283" s="0" t="str">
        <f aca="false">IF($G283="","Uncategorized — Review",IFERROR(INDEX(Mapping!$C:$C,MATCH($G283,Mapping!$A:$A,0)),"Uncategorized — Review"))</f>
        <v>Personal — Owner</v>
      </c>
    </row>
    <row r="284" customFormat="false" ht="15" hidden="false" customHeight="false" outlineLevel="0" collapsed="false">
      <c r="A284" s="0" t="str">
        <f aca="false">2025_DWG_Activity!A284</f>
        <v>DEBIT</v>
      </c>
      <c r="B284" s="15" t="n">
        <f aca="false">2025_DWG_Activity!B284</f>
        <v>45824</v>
      </c>
      <c r="C284" s="0" t="str">
        <f aca="false">2025_DWG_Activity!C284</f>
        <v>SQ *THE DATE GIRL AT J Los Angeles CA        06/15</v>
      </c>
      <c r="D284" s="7" t="n">
        <f aca="false">2025_DWG_Activity!D284</f>
        <v>-8.5</v>
      </c>
      <c r="E284" s="0" t="str">
        <f aca="false">2025_DWG_Activity!E284</f>
        <v>DEBIT_CARD</v>
      </c>
      <c r="F284" s="7" t="n">
        <f aca="false">2025_DWG_Activity!F284</f>
        <v>14556.06</v>
      </c>
      <c r="G284" s="0" t="str">
        <f aca="false">2025_DWG_Activity!G284</f>
        <v>Personal - Food</v>
      </c>
      <c r="H284" s="16" t="n">
        <f aca="false">IF($B284="","",DATE(YEAR($B284),MONTH($B284),1))</f>
        <v>45809</v>
      </c>
      <c r="I284" s="0" t="str">
        <f aca="false">IF($G284="","Uncategorized — Review",IFERROR(INDEX(Mapping!$B:$B,MATCH($G284,Mapping!$A:$A,0)),"Uncategorized — Review"))</f>
        <v>Personal - Food</v>
      </c>
      <c r="J284" s="0" t="str">
        <f aca="false">IF($G284="","Uncategorized — Review",IFERROR(INDEX(Mapping!$C:$C,MATCH($G284,Mapping!$A:$A,0)),"Uncategorized — Review"))</f>
        <v>Personal — Owner</v>
      </c>
    </row>
    <row r="285" customFormat="false" ht="15" hidden="false" customHeight="false" outlineLevel="0" collapsed="false">
      <c r="A285" s="0" t="str">
        <f aca="false">2025_DWG_Activity!A285</f>
        <v>DEBIT</v>
      </c>
      <c r="B285" s="15" t="n">
        <f aca="false">2025_DWG_Activity!B285</f>
        <v>45824</v>
      </c>
      <c r="C285" s="0" t="str">
        <f aca="false">2025_DWG_Activity!C285</f>
        <v>SQ *REFINED GRIND Los Angeles CA             06/15</v>
      </c>
      <c r="D285" s="7" t="n">
        <f aca="false">2025_DWG_Activity!D285</f>
        <v>-13</v>
      </c>
      <c r="E285" s="0" t="str">
        <f aca="false">2025_DWG_Activity!E285</f>
        <v>DEBIT_CARD</v>
      </c>
      <c r="F285" s="7" t="n">
        <f aca="false">2025_DWG_Activity!F285</f>
        <v>14564.56</v>
      </c>
      <c r="G285" s="0" t="str">
        <f aca="false">2025_DWG_Activity!G285</f>
        <v>Personal - Food</v>
      </c>
      <c r="H285" s="16" t="n">
        <f aca="false">IF($B285="","",DATE(YEAR($B285),MONTH($B285),1))</f>
        <v>45809</v>
      </c>
      <c r="I285" s="0" t="str">
        <f aca="false">IF($G285="","Uncategorized — Review",IFERROR(INDEX(Mapping!$B:$B,MATCH($G285,Mapping!$A:$A,0)),"Uncategorized — Review"))</f>
        <v>Personal - Food</v>
      </c>
      <c r="J285" s="0" t="str">
        <f aca="false">IF($G285="","Uncategorized — Review",IFERROR(INDEX(Mapping!$C:$C,MATCH($G285,Mapping!$A:$A,0)),"Uncategorized — Review"))</f>
        <v>Personal — Owner</v>
      </c>
    </row>
    <row r="286" customFormat="false" ht="15" hidden="false" customHeight="false" outlineLevel="0" collapsed="false">
      <c r="A286" s="0" t="str">
        <f aca="false">2025_DWG_Activity!A286</f>
        <v>DEBIT</v>
      </c>
      <c r="B286" s="15" t="n">
        <f aca="false">2025_DWG_Activity!B286</f>
        <v>45824</v>
      </c>
      <c r="C286" s="0" t="str">
        <f aca="false">2025_DWG_Activity!C286</f>
        <v>SQ *ZOZOSFRESHJUICE Los Angeles CA           06/15</v>
      </c>
      <c r="D286" s="7" t="n">
        <f aca="false">2025_DWG_Activity!D286</f>
        <v>-15</v>
      </c>
      <c r="E286" s="0" t="str">
        <f aca="false">2025_DWG_Activity!E286</f>
        <v>DEBIT_CARD</v>
      </c>
      <c r="F286" s="7" t="n">
        <f aca="false">2025_DWG_Activity!F286</f>
        <v>14577.56</v>
      </c>
      <c r="G286" s="0" t="str">
        <f aca="false">2025_DWG_Activity!G286</f>
        <v>Personal - Food</v>
      </c>
      <c r="H286" s="16" t="n">
        <f aca="false">IF($B286="","",DATE(YEAR($B286),MONTH($B286),1))</f>
        <v>45809</v>
      </c>
      <c r="I286" s="0" t="str">
        <f aca="false">IF($G286="","Uncategorized — Review",IFERROR(INDEX(Mapping!$B:$B,MATCH($G286,Mapping!$A:$A,0)),"Uncategorized — Review"))</f>
        <v>Personal - Food</v>
      </c>
      <c r="J286" s="0" t="str">
        <f aca="false">IF($G286="","Uncategorized — Review",IFERROR(INDEX(Mapping!$C:$C,MATCH($G286,Mapping!$A:$A,0)),"Uncategorized — Review"))</f>
        <v>Personal — Owner</v>
      </c>
    </row>
    <row r="287" customFormat="false" ht="15" hidden="false" customHeight="false" outlineLevel="0" collapsed="false">
      <c r="A287" s="0" t="str">
        <f aca="false">2025_DWG_Activity!A287</f>
        <v>DEBIT</v>
      </c>
      <c r="B287" s="15" t="n">
        <f aca="false">2025_DWG_Activity!B287</f>
        <v>45824</v>
      </c>
      <c r="C287" s="0" t="str">
        <f aca="false">2025_DWG_Activity!C287</f>
        <v>SQ *HOLY CACAO Los Angeles CA                06/15</v>
      </c>
      <c r="D287" s="7" t="n">
        <f aca="false">2025_DWG_Activity!D287</f>
        <v>-30</v>
      </c>
      <c r="E287" s="0" t="str">
        <f aca="false">2025_DWG_Activity!E287</f>
        <v>DEBIT_CARD</v>
      </c>
      <c r="F287" s="7" t="n">
        <f aca="false">2025_DWG_Activity!F287</f>
        <v>14592.56</v>
      </c>
      <c r="G287" s="0" t="str">
        <f aca="false">2025_DWG_Activity!G287</f>
        <v>Personal - Food</v>
      </c>
      <c r="H287" s="16" t="n">
        <f aca="false">IF($B287="","",DATE(YEAR($B287),MONTH($B287),1))</f>
        <v>45809</v>
      </c>
      <c r="I287" s="0" t="str">
        <f aca="false">IF($G287="","Uncategorized — Review",IFERROR(INDEX(Mapping!$B:$B,MATCH($G287,Mapping!$A:$A,0)),"Uncategorized — Review"))</f>
        <v>Personal - Food</v>
      </c>
      <c r="J287" s="0" t="str">
        <f aca="false">IF($G287="","Uncategorized — Review",IFERROR(INDEX(Mapping!$C:$C,MATCH($G287,Mapping!$A:$A,0)),"Uncategorized — Review"))</f>
        <v>Personal — Owner</v>
      </c>
    </row>
    <row r="288" customFormat="false" ht="15" hidden="false" customHeight="false" outlineLevel="0" collapsed="false">
      <c r="A288" s="0" t="str">
        <f aca="false">2025_DWG_Activity!A288</f>
        <v>DEBIT</v>
      </c>
      <c r="B288" s="15" t="n">
        <f aca="false">2025_DWG_Activity!B288</f>
        <v>45824</v>
      </c>
      <c r="C288" s="0" t="str">
        <f aca="false">2025_DWG_Activity!C288</f>
        <v>SQ *PICKLED BY SHRED L Los Angeles CA        06/15</v>
      </c>
      <c r="D288" s="7" t="n">
        <f aca="false">2025_DWG_Activity!D288</f>
        <v>-20</v>
      </c>
      <c r="E288" s="0" t="str">
        <f aca="false">2025_DWG_Activity!E288</f>
        <v>DEBIT_CARD</v>
      </c>
      <c r="F288" s="7" t="n">
        <f aca="false">2025_DWG_Activity!F288</f>
        <v>14622.56</v>
      </c>
      <c r="G288" s="0" t="str">
        <f aca="false">2025_DWG_Activity!G288</f>
        <v>Personal - Food</v>
      </c>
      <c r="H288" s="16" t="n">
        <f aca="false">IF($B288="","",DATE(YEAR($B288),MONTH($B288),1))</f>
        <v>45809</v>
      </c>
      <c r="I288" s="0" t="str">
        <f aca="false">IF($G288="","Uncategorized — Review",IFERROR(INDEX(Mapping!$B:$B,MATCH($G288,Mapping!$A:$A,0)),"Uncategorized — Review"))</f>
        <v>Personal - Food</v>
      </c>
      <c r="J288" s="0" t="str">
        <f aca="false">IF($G288="","Uncategorized — Review",IFERROR(INDEX(Mapping!$C:$C,MATCH($G288,Mapping!$A:$A,0)),"Uncategorized — Review"))</f>
        <v>Personal — Owner</v>
      </c>
    </row>
    <row r="289" customFormat="false" ht="15" hidden="false" customHeight="false" outlineLevel="0" collapsed="false">
      <c r="A289" s="0" t="str">
        <f aca="false">2025_DWG_Activity!A289</f>
        <v>DEBIT</v>
      </c>
      <c r="B289" s="15" t="n">
        <f aca="false">2025_DWG_Activity!B289</f>
        <v>45824</v>
      </c>
      <c r="C289" s="0" t="str">
        <f aca="false">2025_DWG_Activity!C289</f>
        <v>SP CASA ALQUIMISTA 191-46021059 CA           06/15</v>
      </c>
      <c r="D289" s="7" t="n">
        <f aca="false">2025_DWG_Activity!D289</f>
        <v>-42</v>
      </c>
      <c r="E289" s="0" t="str">
        <f aca="false">2025_DWG_Activity!E289</f>
        <v>DEBIT_CARD</v>
      </c>
      <c r="F289" s="7" t="n">
        <f aca="false">2025_DWG_Activity!F289</f>
        <v>14642.56</v>
      </c>
      <c r="G289" s="0" t="str">
        <f aca="false">2025_DWG_Activity!G289</f>
        <v>Personal - Food</v>
      </c>
      <c r="H289" s="16" t="n">
        <f aca="false">IF($B289="","",DATE(YEAR($B289),MONTH($B289),1))</f>
        <v>45809</v>
      </c>
      <c r="I289" s="0" t="str">
        <f aca="false">IF($G289="","Uncategorized — Review",IFERROR(INDEX(Mapping!$B:$B,MATCH($G289,Mapping!$A:$A,0)),"Uncategorized — Review"))</f>
        <v>Personal - Food</v>
      </c>
      <c r="J289" s="0" t="str">
        <f aca="false">IF($G289="","Uncategorized — Review",IFERROR(INDEX(Mapping!$C:$C,MATCH($G289,Mapping!$A:$A,0)),"Uncategorized — Review"))</f>
        <v>Personal — Owner</v>
      </c>
    </row>
    <row r="290" customFormat="false" ht="15" hidden="false" customHeight="false" outlineLevel="0" collapsed="false">
      <c r="A290" s="0" t="str">
        <f aca="false">2025_DWG_Activity!A290</f>
        <v>DEBIT</v>
      </c>
      <c r="B290" s="15" t="n">
        <f aca="false">2025_DWG_Activity!B290</f>
        <v>45824</v>
      </c>
      <c r="C290" s="0" t="str">
        <f aca="false">2025_DWG_Activity!C290</f>
        <v>SQ *PUPUSAS YENI SOUTH GATE CA               06/15</v>
      </c>
      <c r="D290" s="7" t="n">
        <f aca="false">2025_DWG_Activity!D290</f>
        <v>-11</v>
      </c>
      <c r="E290" s="0" t="str">
        <f aca="false">2025_DWG_Activity!E290</f>
        <v>DEBIT_CARD</v>
      </c>
      <c r="F290" s="7" t="n">
        <f aca="false">2025_DWG_Activity!F290</f>
        <v>14684.56</v>
      </c>
      <c r="G290" s="0" t="str">
        <f aca="false">2025_DWG_Activity!G290</f>
        <v>Personal - Food</v>
      </c>
      <c r="H290" s="16" t="n">
        <f aca="false">IF($B290="","",DATE(YEAR($B290),MONTH($B290),1))</f>
        <v>45809</v>
      </c>
      <c r="I290" s="0" t="str">
        <f aca="false">IF($G290="","Uncategorized — Review",IFERROR(INDEX(Mapping!$B:$B,MATCH($G290,Mapping!$A:$A,0)),"Uncategorized — Review"))</f>
        <v>Personal - Food</v>
      </c>
      <c r="J290" s="0" t="str">
        <f aca="false">IF($G290="","Uncategorized — Review",IFERROR(INDEX(Mapping!$C:$C,MATCH($G290,Mapping!$A:$A,0)),"Uncategorized — Review"))</f>
        <v>Personal — Owner</v>
      </c>
    </row>
    <row r="291" customFormat="false" ht="15" hidden="false" customHeight="false" outlineLevel="0" collapsed="false">
      <c r="A291" s="0" t="str">
        <f aca="false">2025_DWG_Activity!A291</f>
        <v>DEBIT</v>
      </c>
      <c r="B291" s="15" t="n">
        <f aca="false">2025_DWG_Activity!B291</f>
        <v>45824</v>
      </c>
      <c r="C291" s="0" t="str">
        <f aca="false">2025_DWG_Activity!C291</f>
        <v>SQ *VITALITY BITE Los Angeles CA             06/15</v>
      </c>
      <c r="D291" s="7" t="n">
        <f aca="false">2025_DWG_Activity!D291</f>
        <v>-8</v>
      </c>
      <c r="E291" s="0" t="str">
        <f aca="false">2025_DWG_Activity!E291</f>
        <v>DEBIT_CARD</v>
      </c>
      <c r="F291" s="7" t="n">
        <f aca="false">2025_DWG_Activity!F291</f>
        <v>14695.56</v>
      </c>
      <c r="G291" s="0" t="str">
        <f aca="false">2025_DWG_Activity!G291</f>
        <v>Personal - Food</v>
      </c>
      <c r="H291" s="16" t="n">
        <f aca="false">IF($B291="","",DATE(YEAR($B291),MONTH($B291),1))</f>
        <v>45809</v>
      </c>
      <c r="I291" s="0" t="str">
        <f aca="false">IF($G291="","Uncategorized — Review",IFERROR(INDEX(Mapping!$B:$B,MATCH($G291,Mapping!$A:$A,0)),"Uncategorized — Review"))</f>
        <v>Personal - Food</v>
      </c>
      <c r="J291" s="0" t="str">
        <f aca="false">IF($G291="","Uncategorized — Review",IFERROR(INDEX(Mapping!$C:$C,MATCH($G291,Mapping!$A:$A,0)),"Uncategorized — Review"))</f>
        <v>Personal — Owner</v>
      </c>
    </row>
    <row r="292" customFormat="false" ht="15" hidden="false" customHeight="false" outlineLevel="0" collapsed="false">
      <c r="A292" s="0" t="str">
        <f aca="false">2025_DWG_Activity!A292</f>
        <v>DEBIT</v>
      </c>
      <c r="B292" s="15" t="n">
        <f aca="false">2025_DWG_Activity!B292</f>
        <v>45824</v>
      </c>
      <c r="C292" s="0" t="str">
        <f aca="false">2025_DWG_Activity!C292</f>
        <v>CHEVRON 0097608 EL SEGUNDO CA                06/15</v>
      </c>
      <c r="D292" s="7" t="n">
        <f aca="false">2025_DWG_Activity!D292</f>
        <v>-12.15</v>
      </c>
      <c r="E292" s="0" t="str">
        <f aca="false">2025_DWG_Activity!E292</f>
        <v>DEBIT_CARD</v>
      </c>
      <c r="F292" s="7" t="n">
        <f aca="false">2025_DWG_Activity!F292</f>
        <v>14703.56</v>
      </c>
      <c r="G292" s="0" t="str">
        <f aca="false">2025_DWG_Activity!G292</f>
        <v>Personal - Car</v>
      </c>
      <c r="H292" s="16" t="n">
        <f aca="false">IF($B292="","",DATE(YEAR($B292),MONTH($B292),1))</f>
        <v>45809</v>
      </c>
      <c r="I292" s="0" t="str">
        <f aca="false">IF($G292="","Uncategorized — Review",IFERROR(INDEX(Mapping!$B:$B,MATCH($G292,Mapping!$A:$A,0)),"Uncategorized — Review"))</f>
        <v>Personal - Car</v>
      </c>
      <c r="J292" s="0" t="str">
        <f aca="false">IF($G292="","Uncategorized — Review",IFERROR(INDEX(Mapping!$C:$C,MATCH($G292,Mapping!$A:$A,0)),"Uncategorized — Review"))</f>
        <v>Personal — Owner</v>
      </c>
    </row>
    <row r="293" customFormat="false" ht="15" hidden="false" customHeight="false" outlineLevel="0" collapsed="false">
      <c r="A293" s="0" t="str">
        <f aca="false">2025_DWG_Activity!A293</f>
        <v>DEBIT</v>
      </c>
      <c r="B293" s="15" t="n">
        <f aca="false">2025_DWG_Activity!B293</f>
        <v>45824</v>
      </c>
      <c r="C293" s="0" t="str">
        <f aca="false">2025_DWG_Activity!C293</f>
        <v>WI SPA LOS ANGELES CA                        06/14</v>
      </c>
      <c r="D293" s="7" t="n">
        <f aca="false">2025_DWG_Activity!D293</f>
        <v>-51</v>
      </c>
      <c r="E293" s="0" t="str">
        <f aca="false">2025_DWG_Activity!E293</f>
        <v>DEBIT_CARD</v>
      </c>
      <c r="F293" s="7" t="n">
        <f aca="false">2025_DWG_Activity!F293</f>
        <v>14715.71</v>
      </c>
      <c r="G293" s="0" t="str">
        <f aca="false">2025_DWG_Activity!G293</f>
        <v>Personal - Health</v>
      </c>
      <c r="H293" s="16" t="n">
        <f aca="false">IF($B293="","",DATE(YEAR($B293),MONTH($B293),1))</f>
        <v>45809</v>
      </c>
      <c r="I293" s="0" t="str">
        <f aca="false">IF($G293="","Uncategorized — Review",IFERROR(INDEX(Mapping!$B:$B,MATCH($G293,Mapping!$A:$A,0)),"Uncategorized — Review"))</f>
        <v>Personal - Health</v>
      </c>
      <c r="J293" s="0" t="str">
        <f aca="false">IF($G293="","Uncategorized — Review",IFERROR(INDEX(Mapping!$C:$C,MATCH($G293,Mapping!$A:$A,0)),"Uncategorized — Review"))</f>
        <v>Personal — Owner</v>
      </c>
    </row>
    <row r="294" customFormat="false" ht="15" hidden="false" customHeight="false" outlineLevel="0" collapsed="false">
      <c r="A294" s="0" t="str">
        <f aca="false">2025_DWG_Activity!A294</f>
        <v>DEBIT</v>
      </c>
      <c r="B294" s="15" t="n">
        <f aca="false">2025_DWG_Activity!B294</f>
        <v>45824</v>
      </c>
      <c r="C294" s="0" t="str">
        <f aca="false">2025_DWG_Activity!C294</f>
        <v>VENICE SMOKES LOS ANGELES CA                 06/13</v>
      </c>
      <c r="D294" s="7" t="n">
        <f aca="false">2025_DWG_Activity!D294</f>
        <v>-132</v>
      </c>
      <c r="E294" s="0" t="str">
        <f aca="false">2025_DWG_Activity!E294</f>
        <v>DEBIT_CARD</v>
      </c>
      <c r="F294" s="7" t="n">
        <f aca="false">2025_DWG_Activity!F294</f>
        <v>14766.71</v>
      </c>
      <c r="G294" s="0" t="str">
        <f aca="false">2025_DWG_Activity!G294</f>
        <v>Personal - Entertainment</v>
      </c>
      <c r="H294" s="16" t="n">
        <f aca="false">IF($B294="","",DATE(YEAR($B294),MONTH($B294),1))</f>
        <v>45809</v>
      </c>
      <c r="I294" s="0" t="str">
        <f aca="false">IF($G294="","Uncategorized — Review",IFERROR(INDEX(Mapping!$B:$B,MATCH($G294,Mapping!$A:$A,0)),"Uncategorized — Review"))</f>
        <v>Personal - Entertainment</v>
      </c>
      <c r="J294" s="0" t="str">
        <f aca="false">IF($G294="","Uncategorized — Review",IFERROR(INDEX(Mapping!$C:$C,MATCH($G294,Mapping!$A:$A,0)),"Uncategorized — Review"))</f>
        <v>Personal — Owner</v>
      </c>
    </row>
    <row r="295" customFormat="false" ht="15" hidden="false" customHeight="false" outlineLevel="0" collapsed="false">
      <c r="A295" s="0" t="str">
        <f aca="false">2025_DWG_Activity!A295</f>
        <v>DEBIT</v>
      </c>
      <c r="B295" s="15" t="n">
        <f aca="false">2025_DWG_Activity!B295</f>
        <v>45824</v>
      </c>
      <c r="C295" s="0" t="str">
        <f aca="false">2025_DWG_Activity!C295</f>
        <v>FATBURGER LOS ANGELES CA                     06/13</v>
      </c>
      <c r="D295" s="7" t="n">
        <f aca="false">2025_DWG_Activity!D295</f>
        <v>-68.52</v>
      </c>
      <c r="E295" s="0" t="str">
        <f aca="false">2025_DWG_Activity!E295</f>
        <v>DEBIT_CARD</v>
      </c>
      <c r="F295" s="7" t="n">
        <f aca="false">2025_DWG_Activity!F295</f>
        <v>14898.71</v>
      </c>
      <c r="G295" s="0" t="str">
        <f aca="false">2025_DWG_Activity!G295</f>
        <v>Personal - Food</v>
      </c>
      <c r="H295" s="16" t="n">
        <f aca="false">IF($B295="","",DATE(YEAR($B295),MONTH($B295),1))</f>
        <v>45809</v>
      </c>
      <c r="I295" s="0" t="str">
        <f aca="false">IF($G295="","Uncategorized — Review",IFERROR(INDEX(Mapping!$B:$B,MATCH($G295,Mapping!$A:$A,0)),"Uncategorized — Review"))</f>
        <v>Personal - Food</v>
      </c>
      <c r="J295" s="0" t="str">
        <f aca="false">IF($G295="","Uncategorized — Review",IFERROR(INDEX(Mapping!$C:$C,MATCH($G295,Mapping!$A:$A,0)),"Uncategorized — Review"))</f>
        <v>Personal — Owner</v>
      </c>
    </row>
    <row r="296" customFormat="false" ht="15" hidden="false" customHeight="false" outlineLevel="0" collapsed="false">
      <c r="A296" s="0" t="str">
        <f aca="false">2025_DWG_Activity!A296</f>
        <v>DEBIT</v>
      </c>
      <c r="B296" s="15" t="n">
        <f aca="false">2025_DWG_Activity!B296</f>
        <v>45824</v>
      </c>
      <c r="C296" s="0" t="str">
        <f aca="false">2025_DWG_Activity!C296</f>
        <v>SQ *ALANA'S COFFEE ROA Los Angeles CA        06/13</v>
      </c>
      <c r="D296" s="7" t="n">
        <f aca="false">2025_DWG_Activity!D296</f>
        <v>-11.5</v>
      </c>
      <c r="E296" s="0" t="str">
        <f aca="false">2025_DWG_Activity!E296</f>
        <v>DEBIT_CARD</v>
      </c>
      <c r="F296" s="7" t="n">
        <f aca="false">2025_DWG_Activity!F296</f>
        <v>14967.23</v>
      </c>
      <c r="G296" s="0" t="str">
        <f aca="false">2025_DWG_Activity!G296</f>
        <v>Personal - Food</v>
      </c>
      <c r="H296" s="16" t="n">
        <f aca="false">IF($B296="","",DATE(YEAR($B296),MONTH($B296),1))</f>
        <v>45809</v>
      </c>
      <c r="I296" s="0" t="str">
        <f aca="false">IF($G296="","Uncategorized — Review",IFERROR(INDEX(Mapping!$B:$B,MATCH($G296,Mapping!$A:$A,0)),"Uncategorized — Review"))</f>
        <v>Personal - Food</v>
      </c>
      <c r="J296" s="0" t="str">
        <f aca="false">IF($G296="","Uncategorized — Review",IFERROR(INDEX(Mapping!$C:$C,MATCH($G296,Mapping!$A:$A,0)),"Uncategorized — Review"))</f>
        <v>Personal — Owner</v>
      </c>
    </row>
    <row r="297" customFormat="false" ht="15" hidden="false" customHeight="false" outlineLevel="0" collapsed="false">
      <c r="A297" s="0" t="str">
        <f aca="false">2025_DWG_Activity!A297</f>
        <v>DEBIT</v>
      </c>
      <c r="B297" s="15" t="n">
        <f aca="false">2025_DWG_Activity!B297</f>
        <v>45821</v>
      </c>
      <c r="C297" s="0" t="str">
        <f aca="false">2025_DWG_Activity!C297</f>
        <v>SQ *ALANA'S COFFEE ROA Los Angeles CA        06/13</v>
      </c>
      <c r="D297" s="7" t="n">
        <f aca="false">2025_DWG_Activity!D297</f>
        <v>-12</v>
      </c>
      <c r="E297" s="0" t="str">
        <f aca="false">2025_DWG_Activity!E297</f>
        <v>DEBIT_CARD</v>
      </c>
      <c r="F297" s="7" t="n">
        <f aca="false">2025_DWG_Activity!F297</f>
        <v>14978.73</v>
      </c>
      <c r="G297" s="0" t="str">
        <f aca="false">2025_DWG_Activity!G297</f>
        <v>Personal - Food</v>
      </c>
      <c r="H297" s="16" t="n">
        <f aca="false">IF($B297="","",DATE(YEAR($B297),MONTH($B297),1))</f>
        <v>45809</v>
      </c>
      <c r="I297" s="0" t="str">
        <f aca="false">IF($G297="","Uncategorized — Review",IFERROR(INDEX(Mapping!$B:$B,MATCH($G297,Mapping!$A:$A,0)),"Uncategorized — Review"))</f>
        <v>Personal - Food</v>
      </c>
      <c r="J297" s="0" t="str">
        <f aca="false">IF($G297="","Uncategorized — Review",IFERROR(INDEX(Mapping!$C:$C,MATCH($G297,Mapping!$A:$A,0)),"Uncategorized — Review"))</f>
        <v>Personal — Owner</v>
      </c>
    </row>
    <row r="298" customFormat="false" ht="15" hidden="false" customHeight="false" outlineLevel="0" collapsed="false">
      <c r="A298" s="0" t="str">
        <f aca="false">2025_DWG_Activity!A298</f>
        <v>DEBIT</v>
      </c>
      <c r="B298" s="15" t="n">
        <f aca="false">2025_DWG_Activity!B298</f>
        <v>45821</v>
      </c>
      <c r="C298" s="0" t="str">
        <f aca="false">2025_DWG_Activity!C298</f>
        <v>TST*BLUEYS KITCHEN MAR Los Angeles CA        06/12</v>
      </c>
      <c r="D298" s="7" t="n">
        <f aca="false">2025_DWG_Activity!D298</f>
        <v>-115.15</v>
      </c>
      <c r="E298" s="0" t="str">
        <f aca="false">2025_DWG_Activity!E298</f>
        <v>DEBIT_CARD</v>
      </c>
      <c r="F298" s="7" t="n">
        <f aca="false">2025_DWG_Activity!F298</f>
        <v>14990.73</v>
      </c>
      <c r="G298" s="0" t="str">
        <f aca="false">2025_DWG_Activity!G298</f>
        <v>Personal - Food</v>
      </c>
      <c r="H298" s="16" t="n">
        <f aca="false">IF($B298="","",DATE(YEAR($B298),MONTH($B298),1))</f>
        <v>45809</v>
      </c>
      <c r="I298" s="0" t="str">
        <f aca="false">IF($G298="","Uncategorized — Review",IFERROR(INDEX(Mapping!$B:$B,MATCH($G298,Mapping!$A:$A,0)),"Uncategorized — Review"))</f>
        <v>Personal - Food</v>
      </c>
      <c r="J298" s="0" t="str">
        <f aca="false">IF($G298="","Uncategorized — Review",IFERROR(INDEX(Mapping!$C:$C,MATCH($G298,Mapping!$A:$A,0)),"Uncategorized — Review"))</f>
        <v>Personal — Owner</v>
      </c>
    </row>
    <row r="299" customFormat="false" ht="15" hidden="false" customHeight="false" outlineLevel="0" collapsed="false">
      <c r="A299" s="0" t="str">
        <f aca="false">2025_DWG_Activity!A299</f>
        <v>DEBIT</v>
      </c>
      <c r="B299" s="15" t="n">
        <f aca="false">2025_DWG_Activity!B299</f>
        <v>45821</v>
      </c>
      <c r="C299" s="0" t="str">
        <f aca="false">2025_DWG_Activity!C299</f>
        <v>CITY OF SANTA MONICA SANTA MONICA CA         06/12</v>
      </c>
      <c r="D299" s="7" t="n">
        <f aca="false">2025_DWG_Activity!D299</f>
        <v>-1.25</v>
      </c>
      <c r="E299" s="0" t="str">
        <f aca="false">2025_DWG_Activity!E299</f>
        <v>DEBIT_CARD</v>
      </c>
      <c r="F299" s="7" t="n">
        <f aca="false">2025_DWG_Activity!F299</f>
        <v>15105.88</v>
      </c>
      <c r="G299" s="0" t="str">
        <f aca="false">2025_DWG_Activity!G299</f>
        <v>Personal - Car</v>
      </c>
      <c r="H299" s="16" t="n">
        <f aca="false">IF($B299="","",DATE(YEAR($B299),MONTH($B299),1))</f>
        <v>45809</v>
      </c>
      <c r="I299" s="0" t="str">
        <f aca="false">IF($G299="","Uncategorized — Review",IFERROR(INDEX(Mapping!$B:$B,MATCH($G299,Mapping!$A:$A,0)),"Uncategorized — Review"))</f>
        <v>Personal - Car</v>
      </c>
      <c r="J299" s="0" t="str">
        <f aca="false">IF($G299="","Uncategorized — Review",IFERROR(INDEX(Mapping!$C:$C,MATCH($G299,Mapping!$A:$A,0)),"Uncategorized — Review"))</f>
        <v>Personal — Owner</v>
      </c>
    </row>
    <row r="300" customFormat="false" ht="15" hidden="false" customHeight="false" outlineLevel="0" collapsed="false">
      <c r="A300" s="0" t="str">
        <f aca="false">2025_DWG_Activity!A300</f>
        <v>DEBIT</v>
      </c>
      <c r="B300" s="15" t="n">
        <f aca="false">2025_DWG_Activity!B300</f>
        <v>45821</v>
      </c>
      <c r="C300" s="0" t="str">
        <f aca="false">2025_DWG_Activity!C300</f>
        <v>TST*BLUEYS KITCHEN MAR Los Angeles CA        06/12</v>
      </c>
      <c r="D300" s="7" t="n">
        <f aca="false">2025_DWG_Activity!D300</f>
        <v>-72.87</v>
      </c>
      <c r="E300" s="0" t="str">
        <f aca="false">2025_DWG_Activity!E300</f>
        <v>DEBIT_CARD</v>
      </c>
      <c r="F300" s="7" t="n">
        <f aca="false">2025_DWG_Activity!F300</f>
        <v>15107.13</v>
      </c>
      <c r="G300" s="0" t="str">
        <f aca="false">2025_DWG_Activity!G300</f>
        <v>Personal - Food</v>
      </c>
      <c r="H300" s="16" t="n">
        <f aca="false">IF($B300="","",DATE(YEAR($B300),MONTH($B300),1))</f>
        <v>45809</v>
      </c>
      <c r="I300" s="0" t="str">
        <f aca="false">IF($G300="","Uncategorized — Review",IFERROR(INDEX(Mapping!$B:$B,MATCH($G300,Mapping!$A:$A,0)),"Uncategorized — Review"))</f>
        <v>Personal - Food</v>
      </c>
      <c r="J300" s="0" t="str">
        <f aca="false">IF($G300="","Uncategorized — Review",IFERROR(INDEX(Mapping!$C:$C,MATCH($G300,Mapping!$A:$A,0)),"Uncategorized — Review"))</f>
        <v>Personal — Owner</v>
      </c>
    </row>
    <row r="301" customFormat="false" ht="15" hidden="false" customHeight="false" outlineLevel="0" collapsed="false">
      <c r="A301" s="0" t="str">
        <f aca="false">2025_DWG_Activity!A301</f>
        <v>DEBIT</v>
      </c>
      <c r="B301" s="15" t="n">
        <f aca="false">2025_DWG_Activity!B301</f>
        <v>45821</v>
      </c>
      <c r="C301" s="0" t="str">
        <f aca="false">2025_DWG_Activity!C301</f>
        <v>SQ *ALANA'S COFFEE ROA Los Angeles CA        06/12</v>
      </c>
      <c r="D301" s="7" t="n">
        <f aca="false">2025_DWG_Activity!D301</f>
        <v>-11.25</v>
      </c>
      <c r="E301" s="0" t="str">
        <f aca="false">2025_DWG_Activity!E301</f>
        <v>DEBIT_CARD</v>
      </c>
      <c r="F301" s="7" t="n">
        <f aca="false">2025_DWG_Activity!F301</f>
        <v>15180</v>
      </c>
      <c r="G301" s="0" t="str">
        <f aca="false">2025_DWG_Activity!G301</f>
        <v>Personal - Food</v>
      </c>
      <c r="H301" s="16" t="n">
        <f aca="false">IF($B301="","",DATE(YEAR($B301),MONTH($B301),1))</f>
        <v>45809</v>
      </c>
      <c r="I301" s="0" t="str">
        <f aca="false">IF($G301="","Uncategorized — Review",IFERROR(INDEX(Mapping!$B:$B,MATCH($G301,Mapping!$A:$A,0)),"Uncategorized — Review"))</f>
        <v>Personal - Food</v>
      </c>
      <c r="J301" s="0" t="str">
        <f aca="false">IF($G301="","Uncategorized — Review",IFERROR(INDEX(Mapping!$C:$C,MATCH($G301,Mapping!$A:$A,0)),"Uncategorized — Review"))</f>
        <v>Personal — Owner</v>
      </c>
    </row>
    <row r="302" customFormat="false" ht="15" hidden="false" customHeight="false" outlineLevel="0" collapsed="false">
      <c r="A302" s="0" t="str">
        <f aca="false">2025_DWG_Activity!A302</f>
        <v>DEBIT</v>
      </c>
      <c r="B302" s="15" t="n">
        <f aca="false">2025_DWG_Activity!B302</f>
        <v>45821</v>
      </c>
      <c r="C302" s="0" t="str">
        <f aca="false">2025_DWG_Activity!C302</f>
        <v>ADOBE  *800-833-6687 ADOBE.LY/ENUS CA        06/13</v>
      </c>
      <c r="D302" s="7" t="n">
        <f aca="false">2025_DWG_Activity!D302</f>
        <v>-21.64</v>
      </c>
      <c r="E302" s="0" t="str">
        <f aca="false">2025_DWG_Activity!E302</f>
        <v>DEBIT_CARD</v>
      </c>
      <c r="F302" s="7" t="n">
        <f aca="false">2025_DWG_Activity!F302</f>
        <v>15191.25</v>
      </c>
      <c r="G302" s="0" t="str">
        <f aca="false">2025_DWG_Activity!G302</f>
        <v>Personal - Subscriptions</v>
      </c>
      <c r="H302" s="16" t="n">
        <f aca="false">IF($B302="","",DATE(YEAR($B302),MONTH($B302),1))</f>
        <v>45809</v>
      </c>
      <c r="I302" s="0" t="str">
        <f aca="false">IF($G302="","Uncategorized — Review",IFERROR(INDEX(Mapping!$B:$B,MATCH($G302,Mapping!$A:$A,0)),"Uncategorized — Review"))</f>
        <v>Personal - Subscriptions</v>
      </c>
      <c r="J302" s="0" t="str">
        <f aca="false">IF($G302="","Uncategorized — Review",IFERROR(INDEX(Mapping!$C:$C,MATCH($G302,Mapping!$A:$A,0)),"Uncategorized — Review"))</f>
        <v>Personal — Owner</v>
      </c>
    </row>
    <row r="303" customFormat="false" ht="15" hidden="false" customHeight="false" outlineLevel="0" collapsed="false">
      <c r="A303" s="0" t="str">
        <f aca="false">2025_DWG_Activity!A303</f>
        <v>DEBIT</v>
      </c>
      <c r="B303" s="15" t="n">
        <f aca="false">2025_DWG_Activity!B303</f>
        <v>45821</v>
      </c>
      <c r="C303" s="0" t="str">
        <f aca="false">2025_DWG_Activity!C303</f>
        <v>THE MV GRAB AND GO LOS ANGELES CA            06/11</v>
      </c>
      <c r="D303" s="7" t="n">
        <f aca="false">2025_DWG_Activity!D303</f>
        <v>-27.25</v>
      </c>
      <c r="E303" s="0" t="str">
        <f aca="false">2025_DWG_Activity!E303</f>
        <v>DEBIT_CARD</v>
      </c>
      <c r="F303" s="7" t="n">
        <f aca="false">2025_DWG_Activity!F303</f>
        <v>15212.89</v>
      </c>
      <c r="G303" s="0" t="str">
        <f aca="false">2025_DWG_Activity!G303</f>
        <v>Personal - Food</v>
      </c>
      <c r="H303" s="16" t="n">
        <f aca="false">IF($B303="","",DATE(YEAR($B303),MONTH($B303),1))</f>
        <v>45809</v>
      </c>
      <c r="I303" s="0" t="str">
        <f aca="false">IF($G303="","Uncategorized — Review",IFERROR(INDEX(Mapping!$B:$B,MATCH($G303,Mapping!$A:$A,0)),"Uncategorized — Review"))</f>
        <v>Personal - Food</v>
      </c>
      <c r="J303" s="0" t="str">
        <f aca="false">IF($G303="","Uncategorized — Review",IFERROR(INDEX(Mapping!$C:$C,MATCH($G303,Mapping!$A:$A,0)),"Uncategorized — Review"))</f>
        <v>Personal — Owner</v>
      </c>
    </row>
    <row r="304" customFormat="false" ht="15" hidden="false" customHeight="false" outlineLevel="0" collapsed="false">
      <c r="A304" s="0" t="str">
        <f aca="false">2025_DWG_Activity!A304</f>
        <v>DEBIT</v>
      </c>
      <c r="B304" s="15" t="n">
        <f aca="false">2025_DWG_Activity!B304</f>
        <v>45821</v>
      </c>
      <c r="C304" s="0" t="str">
        <f aca="false">2025_DWG_Activity!C304</f>
        <v>THE MV GRAB AND GO LOS ANGELES CA            06/11</v>
      </c>
      <c r="D304" s="7" t="n">
        <f aca="false">2025_DWG_Activity!D304</f>
        <v>-34.85</v>
      </c>
      <c r="E304" s="0" t="str">
        <f aca="false">2025_DWG_Activity!E304</f>
        <v>DEBIT_CARD</v>
      </c>
      <c r="F304" s="7" t="n">
        <f aca="false">2025_DWG_Activity!F304</f>
        <v>15240.14</v>
      </c>
      <c r="G304" s="0" t="str">
        <f aca="false">2025_DWG_Activity!G304</f>
        <v>Personal - Food</v>
      </c>
      <c r="H304" s="16" t="n">
        <f aca="false">IF($B304="","",DATE(YEAR($B304),MONTH($B304),1))</f>
        <v>45809</v>
      </c>
      <c r="I304" s="0" t="str">
        <f aca="false">IF($G304="","Uncategorized — Review",IFERROR(INDEX(Mapping!$B:$B,MATCH($G304,Mapping!$A:$A,0)),"Uncategorized — Review"))</f>
        <v>Personal - Food</v>
      </c>
      <c r="J304" s="0" t="str">
        <f aca="false">IF($G304="","Uncategorized — Review",IFERROR(INDEX(Mapping!$C:$C,MATCH($G304,Mapping!$A:$A,0)),"Uncategorized — Review"))</f>
        <v>Personal — Owner</v>
      </c>
    </row>
    <row r="305" customFormat="false" ht="15" hidden="false" customHeight="false" outlineLevel="0" collapsed="false">
      <c r="A305" s="0" t="str">
        <f aca="false">2025_DWG_Activity!A305</f>
        <v>DEBIT</v>
      </c>
      <c r="B305" s="15" t="n">
        <f aca="false">2025_DWG_Activity!B305</f>
        <v>45821</v>
      </c>
      <c r="C305" s="0" t="str">
        <f aca="false">2025_DWG_Activity!C305</f>
        <v>LADOT METER PARKING LOS ANGELES CA           06/11</v>
      </c>
      <c r="D305" s="7" t="n">
        <f aca="false">2025_DWG_Activity!D305</f>
        <v>-1</v>
      </c>
      <c r="E305" s="0" t="str">
        <f aca="false">2025_DWG_Activity!E305</f>
        <v>DEBIT_CARD</v>
      </c>
      <c r="F305" s="7" t="n">
        <f aca="false">2025_DWG_Activity!F305</f>
        <v>15274.99</v>
      </c>
      <c r="G305" s="0" t="str">
        <f aca="false">2025_DWG_Activity!G305</f>
        <v>Personal - Car</v>
      </c>
      <c r="H305" s="16" t="n">
        <f aca="false">IF($B305="","",DATE(YEAR($B305),MONTH($B305),1))</f>
        <v>45809</v>
      </c>
      <c r="I305" s="0" t="str">
        <f aca="false">IF($G305="","Uncategorized — Review",IFERROR(INDEX(Mapping!$B:$B,MATCH($G305,Mapping!$A:$A,0)),"Uncategorized — Review"))</f>
        <v>Personal - Car</v>
      </c>
      <c r="J305" s="0" t="str">
        <f aca="false">IF($G305="","Uncategorized — Review",IFERROR(INDEX(Mapping!$C:$C,MATCH($G305,Mapping!$A:$A,0)),"Uncategorized — Review"))</f>
        <v>Personal — Owner</v>
      </c>
    </row>
    <row r="306" customFormat="false" ht="15" hidden="false" customHeight="false" outlineLevel="0" collapsed="false">
      <c r="A306" s="0" t="str">
        <f aca="false">2025_DWG_Activity!A306</f>
        <v>DEBIT</v>
      </c>
      <c r="B306" s="15" t="n">
        <f aca="false">2025_DWG_Activity!B306</f>
        <v>45820</v>
      </c>
      <c r="C306" s="0" t="str">
        <f aca="false">2025_DWG_Activity!C306</f>
        <v>Basic Online Payroll Payment 11174431959 to ########6812</v>
      </c>
      <c r="D306" s="7" t="n">
        <f aca="false">2025_DWG_Activity!D306</f>
        <v>-5000</v>
      </c>
      <c r="E306" s="0" t="str">
        <f aca="false">2025_DWG_Activity!E306</f>
        <v>BASIC_PAYROLL</v>
      </c>
      <c r="F306" s="7" t="n">
        <f aca="false">2025_DWG_Activity!F306</f>
        <v>15275.99</v>
      </c>
      <c r="G306" s="0" t="str">
        <f aca="false">2025_DWG_Activity!G306</f>
        <v>Meg Maran - Payroll</v>
      </c>
      <c r="H306" s="16" t="n">
        <f aca="false">IF($B306="","",DATE(YEAR($B306),MONTH($B306),1))</f>
        <v>45809</v>
      </c>
      <c r="I306" s="0" t="str">
        <f aca="false">IF($G306="","Uncategorized — Review",IFERROR(INDEX(Mapping!$B:$B,MATCH($G306,Mapping!$A:$A,0)),"Uncategorized — Review"))</f>
        <v>Meg Maran - Payroll</v>
      </c>
      <c r="J306" s="0" t="str">
        <f aca="false">IF($G306="","Uncategorized — Review",IFERROR(INDEX(Mapping!$C:$C,MATCH($G306,Mapping!$A:$A,0)),"Uncategorized — Review"))</f>
        <v>Payroll &amp; Contractors</v>
      </c>
    </row>
    <row r="307" customFormat="false" ht="15" hidden="false" customHeight="false" outlineLevel="0" collapsed="false">
      <c r="A307" s="0" t="str">
        <f aca="false">2025_DWG_Activity!A307</f>
        <v>DEBIT</v>
      </c>
      <c r="B307" s="15" t="n">
        <f aca="false">2025_DWG_Activity!B307</f>
        <v>45820</v>
      </c>
      <c r="C307" s="0" t="str">
        <f aca="false">2025_DWG_Activity!C307</f>
        <v>Basic Online Payroll Payment 11174397145 to ######7939</v>
      </c>
      <c r="D307" s="7" t="n">
        <f aca="false">2025_DWG_Activity!D307</f>
        <v>-5000</v>
      </c>
      <c r="E307" s="0" t="str">
        <f aca="false">2025_DWG_Activity!E307</f>
        <v>BASIC_PAYROLL</v>
      </c>
      <c r="F307" s="7" t="n">
        <f aca="false">2025_DWG_Activity!F307</f>
        <v>20275.99</v>
      </c>
      <c r="G307" s="0" t="str">
        <f aca="false">2025_DWG_Activity!G307</f>
        <v>Ryan Billings - Payroll</v>
      </c>
      <c r="H307" s="16" t="n">
        <f aca="false">IF($B307="","",DATE(YEAR($B307),MONTH($B307),1))</f>
        <v>45809</v>
      </c>
      <c r="I307" s="0" t="str">
        <f aca="false">IF($G307="","Uncategorized — Review",IFERROR(INDEX(Mapping!$B:$B,MATCH($G307,Mapping!$A:$A,0)),"Uncategorized — Review"))</f>
        <v>Ryan Billings - Payroll</v>
      </c>
      <c r="J307" s="0" t="str">
        <f aca="false">IF($G307="","Uncategorized — Review",IFERROR(INDEX(Mapping!$C:$C,MATCH($G307,Mapping!$A:$A,0)),"Uncategorized — Review"))</f>
        <v>Payroll &amp; Contractors</v>
      </c>
    </row>
    <row r="308" customFormat="false" ht="15" hidden="false" customHeight="false" outlineLevel="0" collapsed="false">
      <c r="A308" s="0" t="str">
        <f aca="false">2025_DWG_Activity!A308</f>
        <v>DEBIT</v>
      </c>
      <c r="B308" s="15" t="n">
        <f aca="false">2025_DWG_Activity!B308</f>
        <v>45820</v>
      </c>
      <c r="C308" s="0" t="str">
        <f aca="false">2025_DWG_Activity!C308</f>
        <v>STARBUCKS STORE 22640 LOS ANGELES CA         06/11</v>
      </c>
      <c r="D308" s="7" t="n">
        <f aca="false">2025_DWG_Activity!D308</f>
        <v>-5.55</v>
      </c>
      <c r="E308" s="0" t="str">
        <f aca="false">2025_DWG_Activity!E308</f>
        <v>DEBIT_CARD</v>
      </c>
      <c r="F308" s="7" t="n">
        <f aca="false">2025_DWG_Activity!F308</f>
        <v>25275.99</v>
      </c>
      <c r="G308" s="0" t="str">
        <f aca="false">2025_DWG_Activity!G308</f>
        <v>Personal - Food</v>
      </c>
      <c r="H308" s="16" t="n">
        <f aca="false">IF($B308="","",DATE(YEAR($B308),MONTH($B308),1))</f>
        <v>45809</v>
      </c>
      <c r="I308" s="0" t="str">
        <f aca="false">IF($G308="","Uncategorized — Review",IFERROR(INDEX(Mapping!$B:$B,MATCH($G308,Mapping!$A:$A,0)),"Uncategorized — Review"))</f>
        <v>Personal - Food</v>
      </c>
      <c r="J308" s="0" t="str">
        <f aca="false">IF($G308="","Uncategorized — Review",IFERROR(INDEX(Mapping!$C:$C,MATCH($G308,Mapping!$A:$A,0)),"Uncategorized — Review"))</f>
        <v>Personal — Owner</v>
      </c>
    </row>
    <row r="309" customFormat="false" ht="15" hidden="false" customHeight="false" outlineLevel="0" collapsed="false">
      <c r="A309" s="0" t="str">
        <f aca="false">2025_DWG_Activity!A309</f>
        <v>DEBIT</v>
      </c>
      <c r="B309" s="15" t="n">
        <f aca="false">2025_DWG_Activity!B309</f>
        <v>45819</v>
      </c>
      <c r="C309" s="0" t="str">
        <f aca="false">2025_DWG_Activity!C309</f>
        <v>VENICE LIQUOR LOS ANGELES CA                 06/10</v>
      </c>
      <c r="D309" s="7" t="n">
        <f aca="false">2025_DWG_Activity!D309</f>
        <v>-5.75</v>
      </c>
      <c r="E309" s="0" t="str">
        <f aca="false">2025_DWG_Activity!E309</f>
        <v>DEBIT_CARD</v>
      </c>
      <c r="F309" s="7" t="n">
        <f aca="false">2025_DWG_Activity!F309</f>
        <v>25281.54</v>
      </c>
      <c r="G309" s="0" t="str">
        <f aca="false">2025_DWG_Activity!G309</f>
        <v>Personal - Entertainment</v>
      </c>
      <c r="H309" s="16" t="n">
        <f aca="false">IF($B309="","",DATE(YEAR($B309),MONTH($B309),1))</f>
        <v>45809</v>
      </c>
      <c r="I309" s="0" t="str">
        <f aca="false">IF($G309="","Uncategorized — Review",IFERROR(INDEX(Mapping!$B:$B,MATCH($G309,Mapping!$A:$A,0)),"Uncategorized — Review"))</f>
        <v>Personal - Entertainment</v>
      </c>
      <c r="J309" s="0" t="str">
        <f aca="false">IF($G309="","Uncategorized — Review",IFERROR(INDEX(Mapping!$C:$C,MATCH($G309,Mapping!$A:$A,0)),"Uncategorized — Review"))</f>
        <v>Personal — Owner</v>
      </c>
    </row>
    <row r="310" customFormat="false" ht="15" hidden="false" customHeight="false" outlineLevel="0" collapsed="false">
      <c r="A310" s="0" t="str">
        <f aca="false">2025_DWG_Activity!A310</f>
        <v>DEBIT</v>
      </c>
      <c r="B310" s="15" t="n">
        <f aca="false">2025_DWG_Activity!B310</f>
        <v>45819</v>
      </c>
      <c r="C310" s="0" t="str">
        <f aca="false">2025_DWG_Activity!C310</f>
        <v>TST*BLUEYS KITCHEN MAR Los Angeles CA        06/10</v>
      </c>
      <c r="D310" s="7" t="n">
        <f aca="false">2025_DWG_Activity!D310</f>
        <v>-81.77</v>
      </c>
      <c r="E310" s="0" t="str">
        <f aca="false">2025_DWG_Activity!E310</f>
        <v>DEBIT_CARD</v>
      </c>
      <c r="F310" s="7" t="n">
        <f aca="false">2025_DWG_Activity!F310</f>
        <v>25287.29</v>
      </c>
      <c r="G310" s="0" t="str">
        <f aca="false">2025_DWG_Activity!G310</f>
        <v>Personal - Food</v>
      </c>
      <c r="H310" s="16" t="n">
        <f aca="false">IF($B310="","",DATE(YEAR($B310),MONTH($B310),1))</f>
        <v>45809</v>
      </c>
      <c r="I310" s="0" t="str">
        <f aca="false">IF($G310="","Uncategorized — Review",IFERROR(INDEX(Mapping!$B:$B,MATCH($G310,Mapping!$A:$A,0)),"Uncategorized — Review"))</f>
        <v>Personal - Food</v>
      </c>
      <c r="J310" s="0" t="str">
        <f aca="false">IF($G310="","Uncategorized — Review",IFERROR(INDEX(Mapping!$C:$C,MATCH($G310,Mapping!$A:$A,0)),"Uncategorized — Review"))</f>
        <v>Personal — Owner</v>
      </c>
    </row>
    <row r="311" customFormat="false" ht="15" hidden="false" customHeight="false" outlineLevel="0" collapsed="false">
      <c r="A311" s="0" t="str">
        <f aca="false">2025_DWG_Activity!A311</f>
        <v>DEBIT</v>
      </c>
      <c r="B311" s="15" t="n">
        <f aca="false">2025_DWG_Activity!B311</f>
        <v>45819</v>
      </c>
      <c r="C311" s="0" t="str">
        <f aca="false">2025_DWG_Activity!C311</f>
        <v>COR*PRATE FILINGS LLC 855-344-2677 WY        06/10</v>
      </c>
      <c r="D311" s="7" t="n">
        <f aca="false">2025_DWG_Activity!D311</f>
        <v>-35</v>
      </c>
      <c r="E311" s="0" t="str">
        <f aca="false">2025_DWG_Activity!E311</f>
        <v>DEBIT_CARD</v>
      </c>
      <c r="F311" s="7" t="n">
        <f aca="false">2025_DWG_Activity!F311</f>
        <v>25369.06</v>
      </c>
      <c r="G311" s="0" t="str">
        <f aca="false">2025_DWG_Activity!G311</f>
        <v>LLC Filing</v>
      </c>
      <c r="H311" s="16" t="n">
        <f aca="false">IF($B311="","",DATE(YEAR($B311),MONTH($B311),1))</f>
        <v>45809</v>
      </c>
      <c r="I311" s="0" t="str">
        <f aca="false">IF($G311="","Uncategorized — Review",IFERROR(INDEX(Mapping!$B:$B,MATCH($G311,Mapping!$A:$A,0)),"Uncategorized — Review"))</f>
        <v>LLC Filing</v>
      </c>
      <c r="J311" s="0" t="str">
        <f aca="false">IF($G311="","Uncategorized — Review",IFERROR(INDEX(Mapping!$C:$C,MATCH($G311,Mapping!$A:$A,0)),"Uncategorized — Review"))</f>
        <v>DWG Operating</v>
      </c>
    </row>
    <row r="312" customFormat="false" ht="15" hidden="false" customHeight="false" outlineLevel="0" collapsed="false">
      <c r="A312" s="0" t="str">
        <f aca="false">2025_DWG_Activity!A312</f>
        <v>DEBIT</v>
      </c>
      <c r="B312" s="15" t="n">
        <f aca="false">2025_DWG_Activity!B312</f>
        <v>45818</v>
      </c>
      <c r="C312" s="0" t="str">
        <f aca="false">2025_DWG_Activity!C312</f>
        <v>VENICE LIQUOR LOS ANGELES CA         003684  06/09</v>
      </c>
      <c r="D312" s="7" t="n">
        <f aca="false">2025_DWG_Activity!D312</f>
        <v>-50.62</v>
      </c>
      <c r="E312" s="0" t="str">
        <f aca="false">2025_DWG_Activity!E312</f>
        <v>DEBIT_CARD</v>
      </c>
      <c r="F312" s="7" t="n">
        <f aca="false">2025_DWG_Activity!F312</f>
        <v>25404.06</v>
      </c>
      <c r="G312" s="0" t="str">
        <f aca="false">2025_DWG_Activity!G312</f>
        <v>Personal - Entertainment</v>
      </c>
      <c r="H312" s="16" t="n">
        <f aca="false">IF($B312="","",DATE(YEAR($B312),MONTH($B312),1))</f>
        <v>45809</v>
      </c>
      <c r="I312" s="0" t="str">
        <f aca="false">IF($G312="","Uncategorized — Review",IFERROR(INDEX(Mapping!$B:$B,MATCH($G312,Mapping!$A:$A,0)),"Uncategorized — Review"))</f>
        <v>Personal - Entertainment</v>
      </c>
      <c r="J312" s="0" t="str">
        <f aca="false">IF($G312="","Uncategorized — Review",IFERROR(INDEX(Mapping!$C:$C,MATCH($G312,Mapping!$A:$A,0)),"Uncategorized — Review"))</f>
        <v>Personal — Owner</v>
      </c>
    </row>
    <row r="313" customFormat="false" ht="15" hidden="false" customHeight="false" outlineLevel="0" collapsed="false">
      <c r="A313" s="0" t="str">
        <f aca="false">2025_DWG_Activity!A313</f>
        <v>DEBIT</v>
      </c>
      <c r="B313" s="15" t="n">
        <f aca="false">2025_DWG_Activity!B313</f>
        <v>45818</v>
      </c>
      <c r="C313" s="0" t="str">
        <f aca="false">2025_DWG_Activity!C313</f>
        <v>DEPT. BEACHES &amp; HARB MARINA DEL RE CA        06/09</v>
      </c>
      <c r="D313" s="7" t="n">
        <f aca="false">2025_DWG_Activity!D313</f>
        <v>-5</v>
      </c>
      <c r="E313" s="0" t="str">
        <f aca="false">2025_DWG_Activity!E313</f>
        <v>DEBIT_CARD</v>
      </c>
      <c r="F313" s="7" t="n">
        <f aca="false">2025_DWG_Activity!F313</f>
        <v>25454.68</v>
      </c>
      <c r="G313" s="0" t="str">
        <f aca="false">2025_DWG_Activity!G313</f>
        <v>Personal - Car</v>
      </c>
      <c r="H313" s="16" t="n">
        <f aca="false">IF($B313="","",DATE(YEAR($B313),MONTH($B313),1))</f>
        <v>45809</v>
      </c>
      <c r="I313" s="0" t="str">
        <f aca="false">IF($G313="","Uncategorized — Review",IFERROR(INDEX(Mapping!$B:$B,MATCH($G313,Mapping!$A:$A,0)),"Uncategorized — Review"))</f>
        <v>Personal - Car</v>
      </c>
      <c r="J313" s="0" t="str">
        <f aca="false">IF($G313="","Uncategorized — Review",IFERROR(INDEX(Mapping!$C:$C,MATCH($G313,Mapping!$A:$A,0)),"Uncategorized — Review"))</f>
        <v>Personal — Owner</v>
      </c>
    </row>
    <row r="314" customFormat="false" ht="15" hidden="false" customHeight="false" outlineLevel="0" collapsed="false">
      <c r="A314" s="0" t="str">
        <f aca="false">2025_DWG_Activity!A314</f>
        <v>DEBIT</v>
      </c>
      <c r="B314" s="15" t="n">
        <f aca="false">2025_DWG_Activity!B314</f>
        <v>45818</v>
      </c>
      <c r="C314" s="0" t="str">
        <f aca="false">2025_DWG_Activity!C314</f>
        <v>CITY OF SANTA MONICA SANTA MONICA CA         06/09</v>
      </c>
      <c r="D314" s="7" t="n">
        <f aca="false">2025_DWG_Activity!D314</f>
        <v>-2.49</v>
      </c>
      <c r="E314" s="0" t="str">
        <f aca="false">2025_DWG_Activity!E314</f>
        <v>DEBIT_CARD</v>
      </c>
      <c r="F314" s="7" t="n">
        <f aca="false">2025_DWG_Activity!F314</f>
        <v>25459.68</v>
      </c>
      <c r="G314" s="0" t="str">
        <f aca="false">2025_DWG_Activity!G314</f>
        <v>Personal - Car</v>
      </c>
      <c r="H314" s="16" t="n">
        <f aca="false">IF($B314="","",DATE(YEAR($B314),MONTH($B314),1))</f>
        <v>45809</v>
      </c>
      <c r="I314" s="0" t="str">
        <f aca="false">IF($G314="","Uncategorized — Review",IFERROR(INDEX(Mapping!$B:$B,MATCH($G314,Mapping!$A:$A,0)),"Uncategorized — Review"))</f>
        <v>Personal - Car</v>
      </c>
      <c r="J314" s="0" t="str">
        <f aca="false">IF($G314="","Uncategorized — Review",IFERROR(INDEX(Mapping!$C:$C,MATCH($G314,Mapping!$A:$A,0)),"Uncategorized — Review"))</f>
        <v>Personal — Owner</v>
      </c>
    </row>
    <row r="315" customFormat="false" ht="15" hidden="false" customHeight="false" outlineLevel="0" collapsed="false">
      <c r="A315" s="0" t="str">
        <f aca="false">2025_DWG_Activity!A315</f>
        <v>DEBIT</v>
      </c>
      <c r="B315" s="15" t="n">
        <f aca="false">2025_DWG_Activity!B315</f>
        <v>45818</v>
      </c>
      <c r="C315" s="0" t="str">
        <f aca="false">2025_DWG_Activity!C315</f>
        <v>ADOBE  *800-833-6687 ADOBE.LY/ENUS CA        06/10</v>
      </c>
      <c r="D315" s="7" t="n">
        <f aca="false">2025_DWG_Activity!D315</f>
        <v>-37.34</v>
      </c>
      <c r="E315" s="0" t="str">
        <f aca="false">2025_DWG_Activity!E315</f>
        <v>DEBIT_CARD</v>
      </c>
      <c r="F315" s="7" t="n">
        <f aca="false">2025_DWG_Activity!F315</f>
        <v>25462.17</v>
      </c>
      <c r="G315" s="0" t="str">
        <f aca="false">2025_DWG_Activity!G315</f>
        <v>Personal - Subscriptions</v>
      </c>
      <c r="H315" s="16" t="n">
        <f aca="false">IF($B315="","",DATE(YEAR($B315),MONTH($B315),1))</f>
        <v>45809</v>
      </c>
      <c r="I315" s="0" t="str">
        <f aca="false">IF($G315="","Uncategorized — Review",IFERROR(INDEX(Mapping!$B:$B,MATCH($G315,Mapping!$A:$A,0)),"Uncategorized — Review"))</f>
        <v>Personal - Subscriptions</v>
      </c>
      <c r="J315" s="0" t="str">
        <f aca="false">IF($G315="","Uncategorized — Review",IFERROR(INDEX(Mapping!$C:$C,MATCH($G315,Mapping!$A:$A,0)),"Uncategorized — Review"))</f>
        <v>Personal — Owner</v>
      </c>
    </row>
    <row r="316" customFormat="false" ht="15" hidden="false" customHeight="false" outlineLevel="0" collapsed="false">
      <c r="A316" s="0" t="str">
        <f aca="false">2025_DWG_Activity!A316</f>
        <v>DEBIT</v>
      </c>
      <c r="B316" s="15" t="n">
        <f aca="false">2025_DWG_Activity!B316</f>
        <v>45818</v>
      </c>
      <c r="C316" s="0" t="str">
        <f aca="false">2025_DWG_Activity!C316</f>
        <v>AMC 0446 MARINA MARK MARINA DEL RE CA        06/08</v>
      </c>
      <c r="D316" s="7" t="n">
        <f aca="false">2025_DWG_Activity!D316</f>
        <v>-18.79</v>
      </c>
      <c r="E316" s="0" t="str">
        <f aca="false">2025_DWG_Activity!E316</f>
        <v>DEBIT_CARD</v>
      </c>
      <c r="F316" s="7" t="n">
        <f aca="false">2025_DWG_Activity!F316</f>
        <v>25499.51</v>
      </c>
      <c r="G316" s="0" t="str">
        <f aca="false">2025_DWG_Activity!G316</f>
        <v>Personal - Entertainment</v>
      </c>
      <c r="H316" s="16" t="n">
        <f aca="false">IF($B316="","",DATE(YEAR($B316),MONTH($B316),1))</f>
        <v>45809</v>
      </c>
      <c r="I316" s="0" t="str">
        <f aca="false">IF($G316="","Uncategorized — Review",IFERROR(INDEX(Mapping!$B:$B,MATCH($G316,Mapping!$A:$A,0)),"Uncategorized — Review"))</f>
        <v>Personal - Entertainment</v>
      </c>
      <c r="J316" s="0" t="str">
        <f aca="false">IF($G316="","Uncategorized — Review",IFERROR(INDEX(Mapping!$C:$C,MATCH($G316,Mapping!$A:$A,0)),"Uncategorized — Review"))</f>
        <v>Personal — Owner</v>
      </c>
    </row>
    <row r="317" customFormat="false" ht="15" hidden="false" customHeight="false" outlineLevel="0" collapsed="false">
      <c r="A317" s="0" t="str">
        <f aca="false">2025_DWG_Activity!A317</f>
        <v>DEBIT</v>
      </c>
      <c r="B317" s="15" t="n">
        <f aca="false">2025_DWG_Activity!B317</f>
        <v>45817</v>
      </c>
      <c r="C317" s="0" t="str">
        <f aca="false">2025_DWG_Activity!C317</f>
        <v>VENICE LIQUOR LOS ANGELES CA                 06/08</v>
      </c>
      <c r="D317" s="7" t="n">
        <f aca="false">2025_DWG_Activity!D317</f>
        <v>-8.47</v>
      </c>
      <c r="E317" s="0" t="str">
        <f aca="false">2025_DWG_Activity!E317</f>
        <v>DEBIT_CARD</v>
      </c>
      <c r="F317" s="7" t="n">
        <f aca="false">2025_DWG_Activity!F317</f>
        <v>25518.3</v>
      </c>
      <c r="G317" s="0" t="str">
        <f aca="false">2025_DWG_Activity!G317</f>
        <v>Personal - Entertainment</v>
      </c>
      <c r="H317" s="16" t="n">
        <f aca="false">IF($B317="","",DATE(YEAR($B317),MONTH($B317),1))</f>
        <v>45809</v>
      </c>
      <c r="I317" s="0" t="str">
        <f aca="false">IF($G317="","Uncategorized — Review",IFERROR(INDEX(Mapping!$B:$B,MATCH($G317,Mapping!$A:$A,0)),"Uncategorized — Review"))</f>
        <v>Personal - Entertainment</v>
      </c>
      <c r="J317" s="0" t="str">
        <f aca="false">IF($G317="","Uncategorized — Review",IFERROR(INDEX(Mapping!$C:$C,MATCH($G317,Mapping!$A:$A,0)),"Uncategorized — Review"))</f>
        <v>Personal — Owner</v>
      </c>
    </row>
    <row r="318" customFormat="false" ht="15" hidden="false" customHeight="false" outlineLevel="0" collapsed="false">
      <c r="A318" s="0" t="str">
        <f aca="false">2025_DWG_Activity!A318</f>
        <v>DEBIT</v>
      </c>
      <c r="B318" s="15" t="n">
        <f aca="false">2025_DWG_Activity!B318</f>
        <v>45817</v>
      </c>
      <c r="C318" s="0" t="str">
        <f aca="false">2025_DWG_Activity!C318</f>
        <v>AMC 9640 ONLINE 888-440-4262 KS              06/09</v>
      </c>
      <c r="D318" s="7" t="n">
        <f aca="false">2025_DWG_Activity!D318</f>
        <v>-53.04</v>
      </c>
      <c r="E318" s="0" t="str">
        <f aca="false">2025_DWG_Activity!E318</f>
        <v>DEBIT_CARD</v>
      </c>
      <c r="F318" s="7" t="n">
        <f aca="false">2025_DWG_Activity!F318</f>
        <v>25526.77</v>
      </c>
      <c r="G318" s="0" t="str">
        <f aca="false">2025_DWG_Activity!G318</f>
        <v>Personal - Entertainment</v>
      </c>
      <c r="H318" s="16" t="n">
        <f aca="false">IF($B318="","",DATE(YEAR($B318),MONTH($B318),1))</f>
        <v>45809</v>
      </c>
      <c r="I318" s="0" t="str">
        <f aca="false">IF($G318="","Uncategorized — Review",IFERROR(INDEX(Mapping!$B:$B,MATCH($G318,Mapping!$A:$A,0)),"Uncategorized — Review"))</f>
        <v>Personal - Entertainment</v>
      </c>
      <c r="J318" s="0" t="str">
        <f aca="false">IF($G318="","Uncategorized — Review",IFERROR(INDEX(Mapping!$C:$C,MATCH($G318,Mapping!$A:$A,0)),"Uncategorized — Review"))</f>
        <v>Personal — Owner</v>
      </c>
    </row>
    <row r="319" customFormat="false" ht="15" hidden="false" customHeight="false" outlineLevel="0" collapsed="false">
      <c r="A319" s="0" t="str">
        <f aca="false">2025_DWG_Activity!A319</f>
        <v>DEBIT</v>
      </c>
      <c r="B319" s="15" t="n">
        <f aca="false">2025_DWG_Activity!B319</f>
        <v>45814</v>
      </c>
      <c r="C319" s="0" t="str">
        <f aca="false">2025_DWG_Activity!C319</f>
        <v>ORIG CO NAME:AMERICAN EXPRESS       ORIG ID:2005032111 DESC DATE:250606 CO ENTRY DESCR:ACH PMT   SEC:TEL    TRACE#:021000027236390 EED:250606   IND ID:R6032                        IND NAME:JOHN DUNNING                                                                                                 ER AM TRN: 1577236390TC</v>
      </c>
      <c r="D319" s="7" t="n">
        <f aca="false">2025_DWG_Activity!D319</f>
        <v>-180.24</v>
      </c>
      <c r="E319" s="0" t="str">
        <f aca="false">2025_DWG_Activity!E319</f>
        <v>ACH_DEBIT</v>
      </c>
      <c r="F319" s="7" t="n">
        <f aca="false">2025_DWG_Activity!F319</f>
        <v>25579.81</v>
      </c>
      <c r="G319" s="0" t="str">
        <f aca="false">2025_DWG_Activity!G319</f>
        <v>AMEX Credit Card Payment</v>
      </c>
      <c r="H319" s="16" t="n">
        <f aca="false">IF($B319="","",DATE(YEAR($B319),MONTH($B319),1))</f>
        <v>45809</v>
      </c>
      <c r="I319" s="0" t="str">
        <f aca="false">IF($G319="","Uncategorized — Review",IFERROR(INDEX(Mapping!$B:$B,MATCH($G319,Mapping!$A:$A,0)),"Uncategorized — Review"))</f>
        <v>AMEX Credit Card Payment</v>
      </c>
      <c r="J319" s="0" t="str">
        <f aca="false">IF($G319="","Uncategorized — Review",IFERROR(INDEX(Mapping!$C:$C,MATCH($G319,Mapping!$A:$A,0)),"Uncategorized — Review"))</f>
        <v>Credit Card &amp; Loan Payments</v>
      </c>
    </row>
    <row r="320" customFormat="false" ht="15" hidden="false" customHeight="false" outlineLevel="0" collapsed="false">
      <c r="A320" s="0" t="str">
        <f aca="false">2025_DWG_Activity!A320</f>
        <v>CREDIT</v>
      </c>
      <c r="B320" s="15" t="n">
        <f aca="false">2025_DWG_Activity!B320</f>
        <v>45814</v>
      </c>
      <c r="C320" s="0" t="str">
        <f aca="false">2025_DWG_Activity!C320</f>
        <v>Online Transfer from CHK ...9335 transaction#: 25043829857</v>
      </c>
      <c r="D320" s="7" t="n">
        <f aca="false">2025_DWG_Activity!D320</f>
        <v>20000</v>
      </c>
      <c r="E320" s="0" t="str">
        <f aca="false">2025_DWG_Activity!E320</f>
        <v>ACCT_XFER</v>
      </c>
      <c r="F320" s="7" t="n">
        <f aca="false">2025_DWG_Activity!F320</f>
        <v>25760.05</v>
      </c>
      <c r="G320" s="0" t="str">
        <f aca="false">2025_DWG_Activity!G320</f>
        <v>Transfer from Poseidon Asset Group</v>
      </c>
      <c r="H320" s="16" t="n">
        <f aca="false">IF($B320="","",DATE(YEAR($B320),MONTH($B320),1))</f>
        <v>45809</v>
      </c>
      <c r="I320" s="0" t="str">
        <f aca="false">IF($G320="","Uncategorized — Review",IFERROR(INDEX(Mapping!$B:$B,MATCH($G320,Mapping!$A:$A,0)),"Uncategorized — Review"))</f>
        <v>Transfer from Poseidon Asset Group</v>
      </c>
      <c r="J320" s="0" t="str">
        <f aca="false">IF($G320="","Uncategorized — Review",IFERROR(INDEX(Mapping!$C:$C,MATCH($G320,Mapping!$A:$A,0)),"Uncategorized — Review"))</f>
        <v>Intercompany &amp; Savings Transfers</v>
      </c>
    </row>
    <row r="321" customFormat="false" ht="15" hidden="false" customHeight="false" outlineLevel="0" collapsed="false">
      <c r="A321" s="0" t="str">
        <f aca="false">2025_DWG_Activity!A321</f>
        <v>DEBIT</v>
      </c>
      <c r="B321" s="15" t="n">
        <f aca="false">2025_DWG_Activity!B321</f>
        <v>45813</v>
      </c>
      <c r="C321" s="0" t="str">
        <f aca="false">2025_DWG_Activity!C321</f>
        <v>DICE.FM NEW YORK NY                          06/05</v>
      </c>
      <c r="D321" s="7" t="n">
        <f aca="false">2025_DWG_Activity!D321</f>
        <v>27.81</v>
      </c>
      <c r="E321" s="0" t="str">
        <f aca="false">2025_DWG_Activity!E321</f>
        <v>DEBIT_CARD</v>
      </c>
      <c r="F321" s="7" t="n">
        <f aca="false">2025_DWG_Activity!F321</f>
        <v>5760.05</v>
      </c>
      <c r="G321" s="0" t="str">
        <f aca="false">2025_DWG_Activity!G321</f>
        <v>Personal - Entertainment</v>
      </c>
      <c r="H321" s="16" t="n">
        <f aca="false">IF($B321="","",DATE(YEAR($B321),MONTH($B321),1))</f>
        <v>45809</v>
      </c>
      <c r="I321" s="0" t="str">
        <f aca="false">IF($G321="","Uncategorized — Review",IFERROR(INDEX(Mapping!$B:$B,MATCH($G321,Mapping!$A:$A,0)),"Uncategorized — Review"))</f>
        <v>Personal - Entertainment</v>
      </c>
      <c r="J321" s="0" t="str">
        <f aca="false">IF($G321="","Uncategorized — Review",IFERROR(INDEX(Mapping!$C:$C,MATCH($G321,Mapping!$A:$A,0)),"Uncategorized — Review"))</f>
        <v>Personal — Owner</v>
      </c>
    </row>
    <row r="322" customFormat="false" ht="15" hidden="false" customHeight="false" outlineLevel="0" collapsed="false">
      <c r="A322" s="0" t="str">
        <f aca="false">2025_DWG_Activity!A322</f>
        <v>DEBIT</v>
      </c>
      <c r="B322" s="15" t="n">
        <f aca="false">2025_DWG_Activity!B322</f>
        <v>45813</v>
      </c>
      <c r="C322" s="0" t="str">
        <f aca="false">2025_DWG_Activity!C322</f>
        <v>DICE.FM NEW YORK NY                          06/04</v>
      </c>
      <c r="D322" s="7" t="n">
        <f aca="false">2025_DWG_Activity!D322</f>
        <v>27.81</v>
      </c>
      <c r="E322" s="0" t="str">
        <f aca="false">2025_DWG_Activity!E322</f>
        <v>DEBIT_CARD</v>
      </c>
      <c r="F322" s="7" t="n">
        <f aca="false">2025_DWG_Activity!F322</f>
        <v>5732.24</v>
      </c>
      <c r="G322" s="0" t="str">
        <f aca="false">2025_DWG_Activity!G322</f>
        <v>Personal - Entertainment</v>
      </c>
      <c r="H322" s="16" t="n">
        <f aca="false">IF($B322="","",DATE(YEAR($B322),MONTH($B322),1))</f>
        <v>45809</v>
      </c>
      <c r="I322" s="0" t="str">
        <f aca="false">IF($G322="","Uncategorized — Review",IFERROR(INDEX(Mapping!$B:$B,MATCH($G322,Mapping!$A:$A,0)),"Uncategorized — Review"))</f>
        <v>Personal - Entertainment</v>
      </c>
      <c r="J322" s="0" t="str">
        <f aca="false">IF($G322="","Uncategorized — Review",IFERROR(INDEX(Mapping!$C:$C,MATCH($G322,Mapping!$A:$A,0)),"Uncategorized — Review"))</f>
        <v>Personal — Owner</v>
      </c>
    </row>
    <row r="323" customFormat="false" ht="15" hidden="false" customHeight="false" outlineLevel="0" collapsed="false">
      <c r="A323" s="0" t="str">
        <f aca="false">2025_DWG_Activity!A323</f>
        <v>DEBIT</v>
      </c>
      <c r="B323" s="15" t="n">
        <f aca="false">2025_DWG_Activity!B323</f>
        <v>45811</v>
      </c>
      <c r="C323" s="0" t="str">
        <f aca="false">2025_DWG_Activity!C323</f>
        <v>PLATINUM VALET PARKI GRANADA HILLS CA        06/03</v>
      </c>
      <c r="D323" s="7" t="n">
        <f aca="false">2025_DWG_Activity!D323</f>
        <v>-20.75</v>
      </c>
      <c r="E323" s="0" t="str">
        <f aca="false">2025_DWG_Activity!E323</f>
        <v>DEBIT_CARD</v>
      </c>
      <c r="F323" s="7" t="n">
        <f aca="false">2025_DWG_Activity!F323</f>
        <v>5704.43</v>
      </c>
      <c r="G323" s="0" t="str">
        <f aca="false">2025_DWG_Activity!G323</f>
        <v>Personal - Car</v>
      </c>
      <c r="H323" s="16" t="n">
        <f aca="false">IF($B323="","",DATE(YEAR($B323),MONTH($B323),1))</f>
        <v>45809</v>
      </c>
      <c r="I323" s="0" t="str">
        <f aca="false">IF($G323="","Uncategorized — Review",IFERROR(INDEX(Mapping!$B:$B,MATCH($G323,Mapping!$A:$A,0)),"Uncategorized — Review"))</f>
        <v>Personal - Car</v>
      </c>
      <c r="J323" s="0" t="str">
        <f aca="false">IF($G323="","Uncategorized — Review",IFERROR(INDEX(Mapping!$C:$C,MATCH($G323,Mapping!$A:$A,0)),"Uncategorized — Review"))</f>
        <v>Personal — Owner</v>
      </c>
    </row>
    <row r="324" customFormat="false" ht="15" hidden="false" customHeight="false" outlineLevel="0" collapsed="false">
      <c r="A324" s="0" t="str">
        <f aca="false">2025_DWG_Activity!A324</f>
        <v>DEBIT</v>
      </c>
      <c r="B324" s="15" t="n">
        <f aca="false">2025_DWG_Activity!B324</f>
        <v>45810</v>
      </c>
      <c r="C324" s="0" t="str">
        <f aca="false">2025_DWG_Activity!C324</f>
        <v>Basic Online Payroll Payment 11172633288 to ########6812</v>
      </c>
      <c r="D324" s="7" t="n">
        <f aca="false">2025_DWG_Activity!D324</f>
        <v>-5000</v>
      </c>
      <c r="E324" s="0" t="str">
        <f aca="false">2025_DWG_Activity!E324</f>
        <v>BASIC_PAYROLL</v>
      </c>
      <c r="F324" s="7" t="n">
        <f aca="false">2025_DWG_Activity!F324</f>
        <v>5725.18</v>
      </c>
      <c r="G324" s="0" t="str">
        <f aca="false">2025_DWG_Activity!G324</f>
        <v>Meg Maran - Payroll</v>
      </c>
      <c r="H324" s="16" t="n">
        <f aca="false">IF($B324="","",DATE(YEAR($B324),MONTH($B324),1))</f>
        <v>45809</v>
      </c>
      <c r="I324" s="0" t="str">
        <f aca="false">IF($G324="","Uncategorized — Review",IFERROR(INDEX(Mapping!$B:$B,MATCH($G324,Mapping!$A:$A,0)),"Uncategorized — Review"))</f>
        <v>Meg Maran - Payroll</v>
      </c>
      <c r="J324" s="0" t="str">
        <f aca="false">IF($G324="","Uncategorized — Review",IFERROR(INDEX(Mapping!$C:$C,MATCH($G324,Mapping!$A:$A,0)),"Uncategorized — Review"))</f>
        <v>Payroll &amp; Contractors</v>
      </c>
    </row>
    <row r="325" customFormat="false" ht="15" hidden="false" customHeight="false" outlineLevel="0" collapsed="false">
      <c r="A325" s="0" t="str">
        <f aca="false">2025_DWG_Activity!A325</f>
        <v>DEBIT</v>
      </c>
      <c r="B325" s="15" t="n">
        <f aca="false">2025_DWG_Activity!B325</f>
        <v>45810</v>
      </c>
      <c r="C325" s="0" t="str">
        <f aca="false">2025_DWG_Activity!C325</f>
        <v>DBA DELEK ENTERP LOS ANGELES CA      204425  06/01</v>
      </c>
      <c r="D325" s="7" t="n">
        <f aca="false">2025_DWG_Activity!D325</f>
        <v>-71.84</v>
      </c>
      <c r="E325" s="0" t="str">
        <f aca="false">2025_DWG_Activity!E325</f>
        <v>DEBIT_CARD</v>
      </c>
      <c r="F325" s="7" t="n">
        <f aca="false">2025_DWG_Activity!F325</f>
        <v>10725.18</v>
      </c>
      <c r="G325" s="0" t="str">
        <f aca="false">2025_DWG_Activity!G325</f>
        <v>Personal - Car</v>
      </c>
      <c r="H325" s="16" t="n">
        <f aca="false">IF($B325="","",DATE(YEAR($B325),MONTH($B325),1))</f>
        <v>45809</v>
      </c>
      <c r="I325" s="0" t="str">
        <f aca="false">IF($G325="","Uncategorized — Review",IFERROR(INDEX(Mapping!$B:$B,MATCH($G325,Mapping!$A:$A,0)),"Uncategorized — Review"))</f>
        <v>Personal - Car</v>
      </c>
      <c r="J325" s="0" t="str">
        <f aca="false">IF($G325="","Uncategorized — Review",IFERROR(INDEX(Mapping!$C:$C,MATCH($G325,Mapping!$A:$A,0)),"Uncategorized — Review"))</f>
        <v>Personal — Owner</v>
      </c>
    </row>
    <row r="326" customFormat="false" ht="15" hidden="false" customHeight="false" outlineLevel="0" collapsed="false">
      <c r="A326" s="0" t="str">
        <f aca="false">2025_DWG_Activity!A326</f>
        <v>DEBIT</v>
      </c>
      <c r="B326" s="15" t="n">
        <f aca="false">2025_DWG_Activity!B326</f>
        <v>45810</v>
      </c>
      <c r="C326" s="0" t="str">
        <f aca="false">2025_DWG_Activity!C326</f>
        <v>HIHO SANTA SM 6002 SANTA MONICA CA           06/01</v>
      </c>
      <c r="D326" s="7" t="n">
        <f aca="false">2025_DWG_Activity!D326</f>
        <v>-2.05</v>
      </c>
      <c r="E326" s="0" t="str">
        <f aca="false">2025_DWG_Activity!E326</f>
        <v>DEBIT_CARD</v>
      </c>
      <c r="F326" s="7" t="n">
        <f aca="false">2025_DWG_Activity!F326</f>
        <v>10797.02</v>
      </c>
      <c r="G326" s="0" t="str">
        <f aca="false">2025_DWG_Activity!G326</f>
        <v>Personal - Food</v>
      </c>
      <c r="H326" s="16" t="n">
        <f aca="false">IF($B326="","",DATE(YEAR($B326),MONTH($B326),1))</f>
        <v>45809</v>
      </c>
      <c r="I326" s="0" t="str">
        <f aca="false">IF($G326="","Uncategorized — Review",IFERROR(INDEX(Mapping!$B:$B,MATCH($G326,Mapping!$A:$A,0)),"Uncategorized — Review"))</f>
        <v>Personal - Food</v>
      </c>
      <c r="J326" s="0" t="str">
        <f aca="false">IF($G326="","Uncategorized — Review",IFERROR(INDEX(Mapping!$C:$C,MATCH($G326,Mapping!$A:$A,0)),"Uncategorized — Review"))</f>
        <v>Personal — Owner</v>
      </c>
    </row>
    <row r="327" customFormat="false" ht="15" hidden="false" customHeight="false" outlineLevel="0" collapsed="false">
      <c r="A327" s="0" t="str">
        <f aca="false">2025_DWG_Activity!A327</f>
        <v>DEBIT</v>
      </c>
      <c r="B327" s="15" t="n">
        <f aca="false">2025_DWG_Activity!B327</f>
        <v>45810</v>
      </c>
      <c r="C327" s="0" t="str">
        <f aca="false">2025_DWG_Activity!C327</f>
        <v>HIHO SANTA SM 6002 SANTA MONICA CA           06/01</v>
      </c>
      <c r="D327" s="7" t="n">
        <f aca="false">2025_DWG_Activity!D327</f>
        <v>-2.05</v>
      </c>
      <c r="E327" s="0" t="str">
        <f aca="false">2025_DWG_Activity!E327</f>
        <v>DEBIT_CARD</v>
      </c>
      <c r="F327" s="7" t="n">
        <f aca="false">2025_DWG_Activity!F327</f>
        <v>10799.07</v>
      </c>
      <c r="G327" s="0" t="str">
        <f aca="false">2025_DWG_Activity!G327</f>
        <v>Personal - Food</v>
      </c>
      <c r="H327" s="16" t="n">
        <f aca="false">IF($B327="","",DATE(YEAR($B327),MONTH($B327),1))</f>
        <v>45809</v>
      </c>
      <c r="I327" s="0" t="str">
        <f aca="false">IF($G327="","Uncategorized — Review",IFERROR(INDEX(Mapping!$B:$B,MATCH($G327,Mapping!$A:$A,0)),"Uncategorized — Review"))</f>
        <v>Personal - Food</v>
      </c>
      <c r="J327" s="0" t="str">
        <f aca="false">IF($G327="","Uncategorized — Review",IFERROR(INDEX(Mapping!$C:$C,MATCH($G327,Mapping!$A:$A,0)),"Uncategorized — Review"))</f>
        <v>Personal — Owner</v>
      </c>
    </row>
    <row r="328" customFormat="false" ht="15" hidden="false" customHeight="false" outlineLevel="0" collapsed="false">
      <c r="A328" s="0" t="str">
        <f aca="false">2025_DWG_Activity!A328</f>
        <v>DEBIT</v>
      </c>
      <c r="B328" s="15" t="n">
        <f aca="false">2025_DWG_Activity!B328</f>
        <v>45810</v>
      </c>
      <c r="C328" s="0" t="str">
        <f aca="false">2025_DWG_Activity!C328</f>
        <v>HIHO SANTA SM 6002 SANTA MONICA CA           06/01</v>
      </c>
      <c r="D328" s="7" t="n">
        <f aca="false">2025_DWG_Activity!D328</f>
        <v>-58.29</v>
      </c>
      <c r="E328" s="0" t="str">
        <f aca="false">2025_DWG_Activity!E328</f>
        <v>DEBIT_CARD</v>
      </c>
      <c r="F328" s="7" t="n">
        <f aca="false">2025_DWG_Activity!F328</f>
        <v>10801.12</v>
      </c>
      <c r="G328" s="0" t="str">
        <f aca="false">2025_DWG_Activity!G328</f>
        <v>Personal - Food</v>
      </c>
      <c r="H328" s="16" t="n">
        <f aca="false">IF($B328="","",DATE(YEAR($B328),MONTH($B328),1))</f>
        <v>45809</v>
      </c>
      <c r="I328" s="0" t="str">
        <f aca="false">IF($G328="","Uncategorized — Review",IFERROR(INDEX(Mapping!$B:$B,MATCH($G328,Mapping!$A:$A,0)),"Uncategorized — Review"))</f>
        <v>Personal - Food</v>
      </c>
      <c r="J328" s="0" t="str">
        <f aca="false">IF($G328="","Uncategorized — Review",IFERROR(INDEX(Mapping!$C:$C,MATCH($G328,Mapping!$A:$A,0)),"Uncategorized — Review"))</f>
        <v>Personal — Owner</v>
      </c>
    </row>
    <row r="329" customFormat="false" ht="15" hidden="false" customHeight="false" outlineLevel="0" collapsed="false">
      <c r="A329" s="0" t="str">
        <f aca="false">2025_DWG_Activity!A329</f>
        <v>DEBIT</v>
      </c>
      <c r="B329" s="15" t="n">
        <f aca="false">2025_DWG_Activity!B329</f>
        <v>45810</v>
      </c>
      <c r="C329" s="0" t="str">
        <f aca="false">2025_DWG_Activity!C329</f>
        <v>DNH*GODADDY#37675722 https://www.g AZ        06/01</v>
      </c>
      <c r="D329" s="7" t="n">
        <f aca="false">2025_DWG_Activity!D329</f>
        <v>-21.98</v>
      </c>
      <c r="E329" s="0" t="str">
        <f aca="false">2025_DWG_Activity!E329</f>
        <v>DEBIT_CARD</v>
      </c>
      <c r="F329" s="7" t="n">
        <f aca="false">2025_DWG_Activity!F329</f>
        <v>10859.41</v>
      </c>
      <c r="G329" s="0" t="str">
        <f aca="false">2025_DWG_Activity!G329</f>
        <v>Go Daddy</v>
      </c>
      <c r="H329" s="16" t="n">
        <f aca="false">IF($B329="","",DATE(YEAR($B329),MONTH($B329),1))</f>
        <v>45809</v>
      </c>
      <c r="I329" s="0" t="str">
        <f aca="false">IF($G329="","Uncategorized — Review",IFERROR(INDEX(Mapping!$B:$B,MATCH($G329,Mapping!$A:$A,0)),"Uncategorized — Review"))</f>
        <v>Go Daddy</v>
      </c>
      <c r="J329" s="0" t="str">
        <f aca="false">IF($G329="","Uncategorized — Review",IFERROR(INDEX(Mapping!$C:$C,MATCH($G329,Mapping!$A:$A,0)),"Uncategorized — Review"))</f>
        <v>DWG Operating</v>
      </c>
    </row>
    <row r="330" customFormat="false" ht="15" hidden="false" customHeight="false" outlineLevel="0" collapsed="false">
      <c r="A330" s="0" t="str">
        <f aca="false">2025_DWG_Activity!A330</f>
        <v>DEBIT</v>
      </c>
      <c r="B330" s="15" t="n">
        <f aca="false">2025_DWG_Activity!B330</f>
        <v>45810</v>
      </c>
      <c r="C330" s="0" t="str">
        <f aca="false">2025_DWG_Activity!C330</f>
        <v>PY *FATBURGER 65 MARINA DEL RE CA            06/01</v>
      </c>
      <c r="D330" s="7" t="n">
        <f aca="false">2025_DWG_Activity!D330</f>
        <v>-69.84</v>
      </c>
      <c r="E330" s="0" t="str">
        <f aca="false">2025_DWG_Activity!E330</f>
        <v>DEBIT_CARD</v>
      </c>
      <c r="F330" s="7" t="n">
        <f aca="false">2025_DWG_Activity!F330</f>
        <v>10881.39</v>
      </c>
      <c r="G330" s="0" t="str">
        <f aca="false">2025_DWG_Activity!G330</f>
        <v>Personal - Food</v>
      </c>
      <c r="H330" s="16" t="n">
        <f aca="false">IF($B330="","",DATE(YEAR($B330),MONTH($B330),1))</f>
        <v>45809</v>
      </c>
      <c r="I330" s="0" t="str">
        <f aca="false">IF($G330="","Uncategorized — Review",IFERROR(INDEX(Mapping!$B:$B,MATCH($G330,Mapping!$A:$A,0)),"Uncategorized — Review"))</f>
        <v>Personal - Food</v>
      </c>
      <c r="J330" s="0" t="str">
        <f aca="false">IF($G330="","Uncategorized — Review",IFERROR(INDEX(Mapping!$C:$C,MATCH($G330,Mapping!$A:$A,0)),"Uncategorized — Review"))</f>
        <v>Personal — Owner</v>
      </c>
    </row>
    <row r="331" customFormat="false" ht="15" hidden="false" customHeight="false" outlineLevel="0" collapsed="false">
      <c r="A331" s="0" t="str">
        <f aca="false">2025_DWG_Activity!A331</f>
        <v>DEBIT</v>
      </c>
      <c r="B331" s="15" t="n">
        <f aca="false">2025_DWG_Activity!B331</f>
        <v>45810</v>
      </c>
      <c r="C331" s="0" t="str">
        <f aca="false">2025_DWG_Activity!C331</f>
        <v>RIDER SHACK LOS ANGELES CA                   05/31</v>
      </c>
      <c r="D331" s="7" t="n">
        <f aca="false">2025_DWG_Activity!D331</f>
        <v>-36.44</v>
      </c>
      <c r="E331" s="0" t="str">
        <f aca="false">2025_DWG_Activity!E331</f>
        <v>DEBIT_CARD</v>
      </c>
      <c r="F331" s="7" t="n">
        <f aca="false">2025_DWG_Activity!F331</f>
        <v>10951.23</v>
      </c>
      <c r="G331" s="0" t="str">
        <f aca="false">2025_DWG_Activity!G331</f>
        <v>Personal - Clothing</v>
      </c>
      <c r="H331" s="16" t="n">
        <f aca="false">IF($B331="","",DATE(YEAR($B331),MONTH($B331),1))</f>
        <v>45809</v>
      </c>
      <c r="I331" s="0" t="str">
        <f aca="false">IF($G331="","Uncategorized — Review",IFERROR(INDEX(Mapping!$B:$B,MATCH($G331,Mapping!$A:$A,0)),"Uncategorized — Review"))</f>
        <v>Personal - Clothing</v>
      </c>
      <c r="J331" s="0" t="str">
        <f aca="false">IF($G331="","Uncategorized — Review",IFERROR(INDEX(Mapping!$C:$C,MATCH($G331,Mapping!$A:$A,0)),"Uncategorized — Review"))</f>
        <v>Personal — Owner</v>
      </c>
    </row>
    <row r="332" customFormat="false" ht="15" hidden="false" customHeight="false" outlineLevel="0" collapsed="false">
      <c r="A332" s="0" t="str">
        <f aca="false">2025_DWG_Activity!A332</f>
        <v>DEBIT</v>
      </c>
      <c r="B332" s="15" t="n">
        <f aca="false">2025_DWG_Activity!B332</f>
        <v>45810</v>
      </c>
      <c r="C332" s="0" t="str">
        <f aca="false">2025_DWG_Activity!C332</f>
        <v>SQ *PAYA THAI LA LLC LOS ANGELES CA          05/31</v>
      </c>
      <c r="D332" s="7" t="n">
        <f aca="false">2025_DWG_Activity!D332</f>
        <v>-210</v>
      </c>
      <c r="E332" s="0" t="str">
        <f aca="false">2025_DWG_Activity!E332</f>
        <v>DEBIT_CARD</v>
      </c>
      <c r="F332" s="7" t="n">
        <f aca="false">2025_DWG_Activity!F332</f>
        <v>10987.67</v>
      </c>
      <c r="G332" s="0" t="str">
        <f aca="false">2025_DWG_Activity!G332</f>
        <v>Personal - Health</v>
      </c>
      <c r="H332" s="16" t="n">
        <f aca="false">IF($B332="","",DATE(YEAR($B332),MONTH($B332),1))</f>
        <v>45809</v>
      </c>
      <c r="I332" s="0" t="str">
        <f aca="false">IF($G332="","Uncategorized — Review",IFERROR(INDEX(Mapping!$B:$B,MATCH($G332,Mapping!$A:$A,0)),"Uncategorized — Review"))</f>
        <v>Personal - Health</v>
      </c>
      <c r="J332" s="0" t="str">
        <f aca="false">IF($G332="","Uncategorized — Review",IFERROR(INDEX(Mapping!$C:$C,MATCH($G332,Mapping!$A:$A,0)),"Uncategorized — Review"))</f>
        <v>Personal — Owner</v>
      </c>
    </row>
    <row r="333" customFormat="false" ht="15" hidden="false" customHeight="false" outlineLevel="0" collapsed="false">
      <c r="A333" s="0" t="str">
        <f aca="false">2025_DWG_Activity!A333</f>
        <v>DEBIT</v>
      </c>
      <c r="B333" s="15" t="n">
        <f aca="false">2025_DWG_Activity!B333</f>
        <v>45810</v>
      </c>
      <c r="C333" s="0" t="str">
        <f aca="false">2025_DWG_Activity!C333</f>
        <v>GELSON'S MARKET #29 SANTA MONICA CA  605696  05/31</v>
      </c>
      <c r="D333" s="7" t="n">
        <f aca="false">2025_DWG_Activity!D333</f>
        <v>-30.46</v>
      </c>
      <c r="E333" s="0" t="str">
        <f aca="false">2025_DWG_Activity!E333</f>
        <v>DEBIT_CARD</v>
      </c>
      <c r="F333" s="7" t="n">
        <f aca="false">2025_DWG_Activity!F333</f>
        <v>11197.67</v>
      </c>
      <c r="G333" s="0" t="str">
        <f aca="false">2025_DWG_Activity!G333</f>
        <v>Personal - Food</v>
      </c>
      <c r="H333" s="16" t="n">
        <f aca="false">IF($B333="","",DATE(YEAR($B333),MONTH($B333),1))</f>
        <v>45809</v>
      </c>
      <c r="I333" s="0" t="str">
        <f aca="false">IF($G333="","Uncategorized — Review",IFERROR(INDEX(Mapping!$B:$B,MATCH($G333,Mapping!$A:$A,0)),"Uncategorized — Review"))</f>
        <v>Personal - Food</v>
      </c>
      <c r="J333" s="0" t="str">
        <f aca="false">IF($G333="","Uncategorized — Review",IFERROR(INDEX(Mapping!$C:$C,MATCH($G333,Mapping!$A:$A,0)),"Uncategorized — Review"))</f>
        <v>Personal — Owner</v>
      </c>
    </row>
    <row r="334" customFormat="false" ht="15" hidden="false" customHeight="false" outlineLevel="0" collapsed="false">
      <c r="A334" s="0" t="str">
        <f aca="false">2025_DWG_Activity!A334</f>
        <v>DEBIT</v>
      </c>
      <c r="B334" s="15" t="n">
        <f aca="false">2025_DWG_Activity!B334</f>
        <v>45810</v>
      </c>
      <c r="C334" s="0" t="str">
        <f aca="false">2025_DWG_Activity!C334</f>
        <v>TST* CAFE GRATITUDE - V VENICE CA            06/01</v>
      </c>
      <c r="D334" s="7" t="n">
        <f aca="false">2025_DWG_Activity!D334</f>
        <v>-49.08</v>
      </c>
      <c r="E334" s="0" t="str">
        <f aca="false">2025_DWG_Activity!E334</f>
        <v>DEBIT_CARD</v>
      </c>
      <c r="F334" s="7" t="n">
        <f aca="false">2025_DWG_Activity!F334</f>
        <v>11228.13</v>
      </c>
      <c r="G334" s="0" t="str">
        <f aca="false">2025_DWG_Activity!G334</f>
        <v>Personal - Food</v>
      </c>
      <c r="H334" s="16" t="n">
        <f aca="false">IF($B334="","",DATE(YEAR($B334),MONTH($B334),1))</f>
        <v>45809</v>
      </c>
      <c r="I334" s="0" t="str">
        <f aca="false">IF($G334="","Uncategorized — Review",IFERROR(INDEX(Mapping!$B:$B,MATCH($G334,Mapping!$A:$A,0)),"Uncategorized — Review"))</f>
        <v>Personal - Food</v>
      </c>
      <c r="J334" s="0" t="str">
        <f aca="false">IF($G334="","Uncategorized — Review",IFERROR(INDEX(Mapping!$C:$C,MATCH($G334,Mapping!$A:$A,0)),"Uncategorized — Review"))</f>
        <v>Personal — Owner</v>
      </c>
    </row>
    <row r="335" customFormat="false" ht="15" hidden="false" customHeight="false" outlineLevel="0" collapsed="false">
      <c r="A335" s="0" t="str">
        <f aca="false">2025_DWG_Activity!A335</f>
        <v>DEBIT</v>
      </c>
      <c r="B335" s="15" t="n">
        <f aca="false">2025_DWG_Activity!B335</f>
        <v>45810</v>
      </c>
      <c r="C335" s="0" t="str">
        <f aca="false">2025_DWG_Activity!C335</f>
        <v>BLUE SHIELD CALIFORNI 800-393-6130 CA        05/31</v>
      </c>
      <c r="D335" s="7" t="n">
        <f aca="false">2025_DWG_Activity!D335</f>
        <v>-1190.49</v>
      </c>
      <c r="E335" s="0" t="str">
        <f aca="false">2025_DWG_Activity!E335</f>
        <v>DEBIT_CARD</v>
      </c>
      <c r="F335" s="7" t="n">
        <f aca="false">2025_DWG_Activity!F335</f>
        <v>11277.21</v>
      </c>
      <c r="G335" s="0" t="str">
        <f aca="false">2025_DWG_Activity!G335</f>
        <v>Personal - Health</v>
      </c>
      <c r="H335" s="16" t="n">
        <f aca="false">IF($B335="","",DATE(YEAR($B335),MONTH($B335),1))</f>
        <v>45809</v>
      </c>
      <c r="I335" s="0" t="str">
        <f aca="false">IF($G335="","Uncategorized — Review",IFERROR(INDEX(Mapping!$B:$B,MATCH($G335,Mapping!$A:$A,0)),"Uncategorized — Review"))</f>
        <v>Personal - Health</v>
      </c>
      <c r="J335" s="0" t="str">
        <f aca="false">IF($G335="","Uncategorized — Review",IFERROR(INDEX(Mapping!$C:$C,MATCH($G335,Mapping!$A:$A,0)),"Uncategorized — Review"))</f>
        <v>Personal — Owner</v>
      </c>
    </row>
    <row r="336" customFormat="false" ht="15" hidden="false" customHeight="false" outlineLevel="0" collapsed="false">
      <c r="A336" s="0" t="str">
        <f aca="false">2025_DWG_Activity!A336</f>
        <v>DEBIT</v>
      </c>
      <c r="B336" s="15" t="n">
        <f aca="false">2025_DWG_Activity!B336</f>
        <v>45810</v>
      </c>
      <c r="C336" s="0" t="str">
        <f aca="false">2025_DWG_Activity!C336</f>
        <v>AMC 9640 ONLINE 888-440-4262 KS              05/31</v>
      </c>
      <c r="D336" s="7" t="n">
        <f aca="false">2025_DWG_Activity!D336</f>
        <v>-57.54</v>
      </c>
      <c r="E336" s="0" t="str">
        <f aca="false">2025_DWG_Activity!E336</f>
        <v>DEBIT_CARD</v>
      </c>
      <c r="F336" s="7" t="n">
        <f aca="false">2025_DWG_Activity!F336</f>
        <v>12467.7</v>
      </c>
      <c r="G336" s="0" t="str">
        <f aca="false">2025_DWG_Activity!G336</f>
        <v>Personal - Entertainment</v>
      </c>
      <c r="H336" s="16" t="n">
        <f aca="false">IF($B336="","",DATE(YEAR($B336),MONTH($B336),1))</f>
        <v>45809</v>
      </c>
      <c r="I336" s="0" t="str">
        <f aca="false">IF($G336="","Uncategorized — Review",IFERROR(INDEX(Mapping!$B:$B,MATCH($G336,Mapping!$A:$A,0)),"Uncategorized — Review"))</f>
        <v>Personal - Entertainment</v>
      </c>
      <c r="J336" s="0" t="str">
        <f aca="false">IF($G336="","Uncategorized — Review",IFERROR(INDEX(Mapping!$C:$C,MATCH($G336,Mapping!$A:$A,0)),"Uncategorized — Review"))</f>
        <v>Personal — Owner</v>
      </c>
    </row>
    <row r="337" customFormat="false" ht="15" hidden="false" customHeight="false" outlineLevel="0" collapsed="false">
      <c r="A337" s="0" t="str">
        <f aca="false">2025_DWG_Activity!A337</f>
        <v>CREDIT</v>
      </c>
      <c r="B337" s="15" t="n">
        <f aca="false">2025_DWG_Activity!B337</f>
        <v>45810</v>
      </c>
      <c r="C337" s="0" t="str">
        <f aca="false">2025_DWG_Activity!C337</f>
        <v>Online Transfer from CHK ...1168 transaction#: 24987650327</v>
      </c>
      <c r="D337" s="7" t="n">
        <f aca="false">2025_DWG_Activity!D337</f>
        <v>1000</v>
      </c>
      <c r="E337" s="0" t="str">
        <f aca="false">2025_DWG_Activity!E337</f>
        <v>ACCT_XFER</v>
      </c>
      <c r="F337" s="7" t="n">
        <f aca="false">2025_DWG_Activity!F337</f>
        <v>12525.24</v>
      </c>
      <c r="G337" s="0" t="str">
        <f aca="false">2025_DWG_Activity!G337</f>
        <v>Transfer from DWG Capital Group</v>
      </c>
      <c r="H337" s="16" t="n">
        <f aca="false">IF($B337="","",DATE(YEAR($B337),MONTH($B337),1))</f>
        <v>45809</v>
      </c>
      <c r="I337" s="0" t="str">
        <f aca="false">IF($G337="","Uncategorized — Review",IFERROR(INDEX(Mapping!$B:$B,MATCH($G337,Mapping!$A:$A,0)),"Uncategorized — Review"))</f>
        <v>Transfer from DWG Capital Group</v>
      </c>
      <c r="J337" s="0" t="str">
        <f aca="false">IF($G337="","Uncategorized — Review",IFERROR(INDEX(Mapping!$C:$C,MATCH($G337,Mapping!$A:$A,0)),"Uncategorized — Review"))</f>
        <v>Intercompany &amp; Savings Transfers</v>
      </c>
    </row>
    <row r="338" customFormat="false" ht="15" hidden="false" customHeight="false" outlineLevel="0" collapsed="false">
      <c r="A338" s="0" t="str">
        <f aca="false">2025_DWG_Activity!A338</f>
        <v>CREDIT</v>
      </c>
      <c r="B338" s="15" t="n">
        <f aca="false">2025_DWG_Activity!B338</f>
        <v>45810</v>
      </c>
      <c r="C338" s="0" t="str">
        <f aca="false">2025_DWG_Activity!C338</f>
        <v>Online Transfer from CHK ...1168 transaction#: 24963263947</v>
      </c>
      <c r="D338" s="7" t="n">
        <f aca="false">2025_DWG_Activity!D338</f>
        <v>1000</v>
      </c>
      <c r="E338" s="0" t="str">
        <f aca="false">2025_DWG_Activity!E338</f>
        <v>ACCT_XFER</v>
      </c>
      <c r="F338" s="7" t="n">
        <f aca="false">2025_DWG_Activity!F338</f>
        <v>11525.24</v>
      </c>
      <c r="G338" s="0" t="str">
        <f aca="false">2025_DWG_Activity!G338</f>
        <v>Transfer from DWG Capital Group</v>
      </c>
      <c r="H338" s="16" t="n">
        <f aca="false">IF($B338="","",DATE(YEAR($B338),MONTH($B338),1))</f>
        <v>45809</v>
      </c>
      <c r="I338" s="0" t="str">
        <f aca="false">IF($G338="","Uncategorized — Review",IFERROR(INDEX(Mapping!$B:$B,MATCH($G338,Mapping!$A:$A,0)),"Uncategorized — Review"))</f>
        <v>Transfer from DWG Capital Group</v>
      </c>
      <c r="J338" s="0" t="str">
        <f aca="false">IF($G338="","Uncategorized — Review",IFERROR(INDEX(Mapping!$C:$C,MATCH($G338,Mapping!$A:$A,0)),"Uncategorized — Review"))</f>
        <v>Intercompany &amp; Savings Transfers</v>
      </c>
    </row>
    <row r="339" customFormat="false" ht="15" hidden="false" customHeight="false" outlineLevel="0" collapsed="false">
      <c r="A339" s="0" t="str">
        <f aca="false">2025_DWG_Activity!A339</f>
        <v>CREDIT</v>
      </c>
      <c r="B339" s="15" t="n">
        <f aca="false">2025_DWG_Activity!B339</f>
        <v>45810</v>
      </c>
      <c r="C339" s="0" t="str">
        <f aca="false">2025_DWG_Activity!C339</f>
        <v>Online Transfer from CHK ...8061 transaction#: 24989867833</v>
      </c>
      <c r="D339" s="7" t="n">
        <f aca="false">2025_DWG_Activity!D339</f>
        <v>10000</v>
      </c>
      <c r="E339" s="0" t="str">
        <f aca="false">2025_DWG_Activity!E339</f>
        <v>ACCT_XFER</v>
      </c>
      <c r="F339" s="7" t="n">
        <f aca="false">2025_DWG_Activity!F339</f>
        <v>10525.24</v>
      </c>
      <c r="G339" s="0" t="str">
        <f aca="false">2025_DWG_Activity!G339</f>
        <v>Transfer from Ecomm_PosPrtnrs_BC</v>
      </c>
      <c r="H339" s="16" t="n">
        <f aca="false">IF($B339="","",DATE(YEAR($B339),MONTH($B339),1))</f>
        <v>45809</v>
      </c>
      <c r="I339" s="0" t="str">
        <f aca="false">IF($G339="","Uncategorized — Review",IFERROR(INDEX(Mapping!$B:$B,MATCH($G339,Mapping!$A:$A,0)),"Uncategorized — Review"))</f>
        <v>Transfer from Ecomm_PosPrtnrs_BC</v>
      </c>
      <c r="J339" s="0" t="str">
        <f aca="false">IF($G339="","Uncategorized — Review",IFERROR(INDEX(Mapping!$C:$C,MATCH($G339,Mapping!$A:$A,0)),"Uncategorized — Review"))</f>
        <v>Intercompany &amp; Savings Transfers</v>
      </c>
    </row>
    <row r="340" customFormat="false" ht="15" hidden="false" customHeight="false" outlineLevel="0" collapsed="false">
      <c r="A340" s="0" t="str">
        <f aca="false">2025_DWG_Activity!A340</f>
        <v>DEBIT</v>
      </c>
      <c r="B340" s="15" t="n">
        <f aca="false">2025_DWG_Activity!B340</f>
        <v>45806</v>
      </c>
      <c r="C340" s="0" t="str">
        <f aca="false">2025_DWG_Activity!C340</f>
        <v>Basic Online Payroll Payment 11172624306 to ######7939</v>
      </c>
      <c r="D340" s="7" t="n">
        <f aca="false">2025_DWG_Activity!D340</f>
        <v>-5000</v>
      </c>
      <c r="E340" s="0" t="str">
        <f aca="false">2025_DWG_Activity!E340</f>
        <v>BASIC_PAYROLL</v>
      </c>
      <c r="F340" s="7" t="n">
        <f aca="false">2025_DWG_Activity!F340</f>
        <v>525.24</v>
      </c>
      <c r="G340" s="0" t="str">
        <f aca="false">2025_DWG_Activity!G340</f>
        <v>Ryan Billings - Payroll</v>
      </c>
      <c r="H340" s="16" t="n">
        <f aca="false">IF($B340="","",DATE(YEAR($B340),MONTH($B340),1))</f>
        <v>45778</v>
      </c>
      <c r="I340" s="0" t="str">
        <f aca="false">IF($G340="","Uncategorized — Review",IFERROR(INDEX(Mapping!$B:$B,MATCH($G340,Mapping!$A:$A,0)),"Uncategorized — Review"))</f>
        <v>Ryan Billings - Payroll</v>
      </c>
      <c r="J340" s="0" t="str">
        <f aca="false">IF($G340="","Uncategorized — Review",IFERROR(INDEX(Mapping!$C:$C,MATCH($G340,Mapping!$A:$A,0)),"Uncategorized — Review"))</f>
        <v>Payroll &amp; Contractors</v>
      </c>
    </row>
    <row r="341" customFormat="false" ht="15" hidden="false" customHeight="false" outlineLevel="0" collapsed="false">
      <c r="A341" s="0" t="str">
        <f aca="false">2025_DWG_Activity!A341</f>
        <v>DEBIT</v>
      </c>
      <c r="B341" s="15" t="n">
        <f aca="false">2025_DWG_Activity!B341</f>
        <v>45805</v>
      </c>
      <c r="C341" s="0" t="str">
        <f aca="false">2025_DWG_Activity!C341</f>
        <v>STARBUCKS STORE 29139 HUDSON OAKS TX         05/27</v>
      </c>
      <c r="D341" s="7" t="n">
        <f aca="false">2025_DWG_Activity!D341</f>
        <v>-7.9</v>
      </c>
      <c r="E341" s="0" t="str">
        <f aca="false">2025_DWG_Activity!E341</f>
        <v>DEBIT_CARD</v>
      </c>
      <c r="F341" s="7" t="n">
        <f aca="false">2025_DWG_Activity!F341</f>
        <v>5525.24</v>
      </c>
      <c r="G341" s="0" t="str">
        <f aca="false">2025_DWG_Activity!G341</f>
        <v>Personal - Food</v>
      </c>
      <c r="H341" s="16" t="n">
        <f aca="false">IF($B341="","",DATE(YEAR($B341),MONTH($B341),1))</f>
        <v>45778</v>
      </c>
      <c r="I341" s="0" t="str">
        <f aca="false">IF($G341="","Uncategorized — Review",IFERROR(INDEX(Mapping!$B:$B,MATCH($G341,Mapping!$A:$A,0)),"Uncategorized — Review"))</f>
        <v>Personal - Food</v>
      </c>
      <c r="J341" s="0" t="str">
        <f aca="false">IF($G341="","Uncategorized — Review",IFERROR(INDEX(Mapping!$C:$C,MATCH($G341,Mapping!$A:$A,0)),"Uncategorized — Review"))</f>
        <v>Personal — Owner</v>
      </c>
    </row>
    <row r="342" customFormat="false" ht="15" hidden="false" customHeight="false" outlineLevel="0" collapsed="false">
      <c r="A342" s="0" t="str">
        <f aca="false">2025_DWG_Activity!A342</f>
        <v>DEBIT</v>
      </c>
      <c r="B342" s="15" t="n">
        <f aca="false">2025_DWG_Activity!B342</f>
        <v>45805</v>
      </c>
      <c r="C342" s="0" t="str">
        <f aca="false">2025_DWG_Activity!C342</f>
        <v>BLU JASMINE HUDSON OAKS TX                   05/27</v>
      </c>
      <c r="D342" s="7" t="n">
        <f aca="false">2025_DWG_Activity!D342</f>
        <v>-70.36</v>
      </c>
      <c r="E342" s="0" t="str">
        <f aca="false">2025_DWG_Activity!E342</f>
        <v>DEBIT_CARD</v>
      </c>
      <c r="F342" s="7" t="n">
        <f aca="false">2025_DWG_Activity!F342</f>
        <v>5533.14</v>
      </c>
      <c r="G342" s="0" t="str">
        <f aca="false">2025_DWG_Activity!G342</f>
        <v>Personal - Food</v>
      </c>
      <c r="H342" s="16" t="n">
        <f aca="false">IF($B342="","",DATE(YEAR($B342),MONTH($B342),1))</f>
        <v>45778</v>
      </c>
      <c r="I342" s="0" t="str">
        <f aca="false">IF($G342="","Uncategorized — Review",IFERROR(INDEX(Mapping!$B:$B,MATCH($G342,Mapping!$A:$A,0)),"Uncategorized — Review"))</f>
        <v>Personal - Food</v>
      </c>
      <c r="J342" s="0" t="str">
        <f aca="false">IF($G342="","Uncategorized — Review",IFERROR(INDEX(Mapping!$C:$C,MATCH($G342,Mapping!$A:$A,0)),"Uncategorized — Review"))</f>
        <v>Personal — Owner</v>
      </c>
    </row>
    <row r="343" customFormat="false" ht="15" hidden="false" customHeight="false" outlineLevel="0" collapsed="false">
      <c r="A343" s="0" t="str">
        <f aca="false">2025_DWG_Activity!A343</f>
        <v>DEBIT</v>
      </c>
      <c r="B343" s="15" t="n">
        <f aca="false">2025_DWG_Activity!B343</f>
        <v>45804</v>
      </c>
      <c r="C343" s="0" t="str">
        <f aca="false">2025_DWG_Activity!C343</f>
        <v>ORIG CO NAME:AMERICAN EXPRESS       ORIG ID:2005032111 DESC DATE:250527 CO ENTRY DESCR:ACH PMT   SEC:CCD    TRACE#:021000021506193 EED:250527   IND ID:A3104                        IND NAME:JOHN DUNNING                                                                                                 ER AM TRN: 1471506193TC</v>
      </c>
      <c r="D343" s="7" t="n">
        <f aca="false">2025_DWG_Activity!D343</f>
        <v>-1109.5</v>
      </c>
      <c r="E343" s="0" t="str">
        <f aca="false">2025_DWG_Activity!E343</f>
        <v>ACH_DEBIT</v>
      </c>
      <c r="F343" s="7" t="n">
        <f aca="false">2025_DWG_Activity!F343</f>
        <v>5603.5</v>
      </c>
      <c r="G343" s="0" t="str">
        <f aca="false">2025_DWG_Activity!G343</f>
        <v>AMEX Credit Card Payment</v>
      </c>
      <c r="H343" s="16" t="n">
        <f aca="false">IF($B343="","",DATE(YEAR($B343),MONTH($B343),1))</f>
        <v>45778</v>
      </c>
      <c r="I343" s="0" t="str">
        <f aca="false">IF($G343="","Uncategorized — Review",IFERROR(INDEX(Mapping!$B:$B,MATCH($G343,Mapping!$A:$A,0)),"Uncategorized — Review"))</f>
        <v>AMEX Credit Card Payment</v>
      </c>
      <c r="J343" s="0" t="str">
        <f aca="false">IF($G343="","Uncategorized — Review",IFERROR(INDEX(Mapping!$C:$C,MATCH($G343,Mapping!$A:$A,0)),"Uncategorized — Review"))</f>
        <v>Credit Card &amp; Loan Payments</v>
      </c>
    </row>
    <row r="344" customFormat="false" ht="15" hidden="false" customHeight="false" outlineLevel="0" collapsed="false">
      <c r="A344" s="0" t="str">
        <f aca="false">2025_DWG_Activity!A344</f>
        <v>DEBIT</v>
      </c>
      <c r="B344" s="15" t="n">
        <f aca="false">2025_DWG_Activity!B344</f>
        <v>45804</v>
      </c>
      <c r="C344" s="0" t="str">
        <f aca="false">2025_DWG_Activity!C344</f>
        <v>ORIG CO NAME:AMERICAN EXPRESS       ORIG ID:2005032111 DESC DATE:250527 CO ENTRY DESCR:ACH PMT   SEC:CCD    TRACE#:021000021506522 EED:250527   IND ID:A3164                        IND NAME:JOHN DUNNING                                                                                                 ER AM TRN: 1471506522TC</v>
      </c>
      <c r="D344" s="7" t="n">
        <f aca="false">2025_DWG_Activity!D344</f>
        <v>-1542.61</v>
      </c>
      <c r="E344" s="0" t="str">
        <f aca="false">2025_DWG_Activity!E344</f>
        <v>ACH_DEBIT</v>
      </c>
      <c r="F344" s="7" t="n">
        <f aca="false">2025_DWG_Activity!F344</f>
        <v>6713</v>
      </c>
      <c r="G344" s="0" t="str">
        <f aca="false">2025_DWG_Activity!G344</f>
        <v>AMEX Credit Card Payment</v>
      </c>
      <c r="H344" s="16" t="n">
        <f aca="false">IF($B344="","",DATE(YEAR($B344),MONTH($B344),1))</f>
        <v>45778</v>
      </c>
      <c r="I344" s="0" t="str">
        <f aca="false">IF($G344="","Uncategorized — Review",IFERROR(INDEX(Mapping!$B:$B,MATCH($G344,Mapping!$A:$A,0)),"Uncategorized — Review"))</f>
        <v>AMEX Credit Card Payment</v>
      </c>
      <c r="J344" s="0" t="str">
        <f aca="false">IF($G344="","Uncategorized — Review",IFERROR(INDEX(Mapping!$C:$C,MATCH($G344,Mapping!$A:$A,0)),"Uncategorized — Review"))</f>
        <v>Credit Card &amp; Loan Payments</v>
      </c>
    </row>
    <row r="345" customFormat="false" ht="15" hidden="false" customHeight="false" outlineLevel="0" collapsed="false">
      <c r="A345" s="0" t="str">
        <f aca="false">2025_DWG_Activity!A345</f>
        <v>DEBIT</v>
      </c>
      <c r="B345" s="15" t="n">
        <f aca="false">2025_DWG_Activity!B345</f>
        <v>45804</v>
      </c>
      <c r="C345" s="0" t="str">
        <f aca="false">2025_DWG_Activity!C345</f>
        <v>ORIG CO NAME:AMERICAN EXPRESS       ORIG ID:2005032111 DESC DATE:250527 CO ENTRY DESCR:ACH PMT   SEC:CCD    TRACE#:021000021506096 EED:250527   IND ID:A7072                        IND NAME:JOHN DUNNING                                                                                                 ER AM TRN: 1471506096TC</v>
      </c>
      <c r="D345" s="7" t="n">
        <f aca="false">2025_DWG_Activity!D345</f>
        <v>-12500</v>
      </c>
      <c r="E345" s="0" t="str">
        <f aca="false">2025_DWG_Activity!E345</f>
        <v>ACH_DEBIT</v>
      </c>
      <c r="F345" s="7" t="n">
        <f aca="false">2025_DWG_Activity!F345</f>
        <v>8255.61</v>
      </c>
      <c r="G345" s="0" t="str">
        <f aca="false">2025_DWG_Activity!G345</f>
        <v>AMEX Credit Card Payment</v>
      </c>
      <c r="H345" s="16" t="n">
        <f aca="false">IF($B345="","",DATE(YEAR($B345),MONTH($B345),1))</f>
        <v>45778</v>
      </c>
      <c r="I345" s="0" t="str">
        <f aca="false">IF($G345="","Uncategorized — Review",IFERROR(INDEX(Mapping!$B:$B,MATCH($G345,Mapping!$A:$A,0)),"Uncategorized — Review"))</f>
        <v>AMEX Credit Card Payment</v>
      </c>
      <c r="J345" s="0" t="str">
        <f aca="false">IF($G345="","Uncategorized — Review",IFERROR(INDEX(Mapping!$C:$C,MATCH($G345,Mapping!$A:$A,0)),"Uncategorized — Review"))</f>
        <v>Credit Card &amp; Loan Payments</v>
      </c>
    </row>
    <row r="346" customFormat="false" ht="15" hidden="false" customHeight="false" outlineLevel="0" collapsed="false">
      <c r="A346" s="0" t="str">
        <f aca="false">2025_DWG_Activity!A346</f>
        <v>DEBIT</v>
      </c>
      <c r="B346" s="15" t="n">
        <f aca="false">2025_DWG_Activity!B346</f>
        <v>45804</v>
      </c>
      <c r="C346" s="0" t="str">
        <f aca="false">2025_DWG_Activity!C346</f>
        <v>ORIG CO NAME:AMERICAN EXPRESS       ORIG ID:2005032111 DESC DATE:250527 CO ENTRY DESCR:ACH PMT   SEC:CCD    TRACE#:021000021506088 EED:250527   IND ID:A2970                        IND NAME:JOHN DUNNING                                                                                                 ER AM TRN: 1471506088TC</v>
      </c>
      <c r="D346" s="7" t="n">
        <f aca="false">2025_DWG_Activity!D346</f>
        <v>-20000</v>
      </c>
      <c r="E346" s="0" t="str">
        <f aca="false">2025_DWG_Activity!E346</f>
        <v>ACH_DEBIT</v>
      </c>
      <c r="F346" s="7" t="n">
        <f aca="false">2025_DWG_Activity!F346</f>
        <v>20755.61</v>
      </c>
      <c r="G346" s="0" t="str">
        <f aca="false">2025_DWG_Activity!G346</f>
        <v>AMEX Credit Card Payment</v>
      </c>
      <c r="H346" s="16" t="n">
        <f aca="false">IF($B346="","",DATE(YEAR($B346),MONTH($B346),1))</f>
        <v>45778</v>
      </c>
      <c r="I346" s="0" t="str">
        <f aca="false">IF($G346="","Uncategorized — Review",IFERROR(INDEX(Mapping!$B:$B,MATCH($G346,Mapping!$A:$A,0)),"Uncategorized — Review"))</f>
        <v>AMEX Credit Card Payment</v>
      </c>
      <c r="J346" s="0" t="str">
        <f aca="false">IF($G346="","Uncategorized — Review",IFERROR(INDEX(Mapping!$C:$C,MATCH($G346,Mapping!$A:$A,0)),"Uncategorized — Review"))</f>
        <v>Credit Card &amp; Loan Payments</v>
      </c>
    </row>
    <row r="347" customFormat="false" ht="15" hidden="false" customHeight="false" outlineLevel="0" collapsed="false">
      <c r="A347" s="0" t="str">
        <f aca="false">2025_DWG_Activity!A347</f>
        <v>DEBIT</v>
      </c>
      <c r="B347" s="15" t="n">
        <f aca="false">2025_DWG_Activity!B347</f>
        <v>45804</v>
      </c>
      <c r="C347" s="0" t="str">
        <f aca="false">2025_DWG_Activity!C347</f>
        <v>STARBUCKS STORE 58835 NEW ORLEANS LA         05/24</v>
      </c>
      <c r="D347" s="7" t="n">
        <f aca="false">2025_DWG_Activity!D347</f>
        <v>-8.04</v>
      </c>
      <c r="E347" s="0" t="str">
        <f aca="false">2025_DWG_Activity!E347</f>
        <v>DEBIT_CARD</v>
      </c>
      <c r="F347" s="7" t="n">
        <f aca="false">2025_DWG_Activity!F347</f>
        <v>40755.61</v>
      </c>
      <c r="G347" s="0" t="str">
        <f aca="false">2025_DWG_Activity!G347</f>
        <v>Personal - Food</v>
      </c>
      <c r="H347" s="16" t="n">
        <f aca="false">IF($B347="","",DATE(YEAR($B347),MONTH($B347),1))</f>
        <v>45778</v>
      </c>
      <c r="I347" s="0" t="str">
        <f aca="false">IF($G347="","Uncategorized — Review",IFERROR(INDEX(Mapping!$B:$B,MATCH($G347,Mapping!$A:$A,0)),"Uncategorized — Review"))</f>
        <v>Personal - Food</v>
      </c>
      <c r="J347" s="0" t="str">
        <f aca="false">IF($G347="","Uncategorized — Review",IFERROR(INDEX(Mapping!$C:$C,MATCH($G347,Mapping!$A:$A,0)),"Uncategorized — Review"))</f>
        <v>Personal — Owner</v>
      </c>
    </row>
    <row r="348" customFormat="false" ht="15" hidden="false" customHeight="false" outlineLevel="0" collapsed="false">
      <c r="A348" s="0" t="str">
        <f aca="false">2025_DWG_Activity!A348</f>
        <v>DEBIT</v>
      </c>
      <c r="B348" s="15" t="n">
        <f aca="false">2025_DWG_Activity!B348</f>
        <v>45804</v>
      </c>
      <c r="C348" s="0" t="str">
        <f aca="false">2025_DWG_Activity!C348</f>
        <v>WALGREENS STORE 718 S NEW ORLEANS LA 410893  05/24</v>
      </c>
      <c r="D348" s="7" t="n">
        <f aca="false">2025_DWG_Activity!D348</f>
        <v>-25.99</v>
      </c>
      <c r="E348" s="0" t="str">
        <f aca="false">2025_DWG_Activity!E348</f>
        <v>DEBIT_CARD</v>
      </c>
      <c r="F348" s="7" t="n">
        <f aca="false">2025_DWG_Activity!F348</f>
        <v>40763.65</v>
      </c>
      <c r="G348" s="0" t="str">
        <f aca="false">2025_DWG_Activity!G348</f>
        <v>Personal - Health</v>
      </c>
      <c r="H348" s="16" t="n">
        <f aca="false">IF($B348="","",DATE(YEAR($B348),MONTH($B348),1))</f>
        <v>45778</v>
      </c>
      <c r="I348" s="0" t="str">
        <f aca="false">IF($G348="","Uncategorized — Review",IFERROR(INDEX(Mapping!$B:$B,MATCH($G348,Mapping!$A:$A,0)),"Uncategorized — Review"))</f>
        <v>Personal - Health</v>
      </c>
      <c r="J348" s="0" t="str">
        <f aca="false">IF($G348="","Uncategorized — Review",IFERROR(INDEX(Mapping!$C:$C,MATCH($G348,Mapping!$A:$A,0)),"Uncategorized — Review"))</f>
        <v>Personal — Owner</v>
      </c>
    </row>
    <row r="349" customFormat="false" ht="15" hidden="false" customHeight="false" outlineLevel="0" collapsed="false">
      <c r="A349" s="0" t="str">
        <f aca="false">2025_DWG_Activity!A349</f>
        <v>CREDIT</v>
      </c>
      <c r="B349" s="15" t="n">
        <f aca="false">2025_DWG_Activity!B349</f>
        <v>45804</v>
      </c>
      <c r="C349" s="0" t="str">
        <f aca="false">2025_DWG_Activity!C349</f>
        <v>Online Transfer from CHK ...1168 transaction#: 24878062037</v>
      </c>
      <c r="D349" s="7" t="n">
        <f aca="false">2025_DWG_Activity!D349</f>
        <v>1000</v>
      </c>
      <c r="E349" s="0" t="str">
        <f aca="false">2025_DWG_Activity!E349</f>
        <v>ACCT_XFER</v>
      </c>
      <c r="F349" s="7" t="n">
        <f aca="false">2025_DWG_Activity!F349</f>
        <v>40789.64</v>
      </c>
      <c r="G349" s="0" t="str">
        <f aca="false">2025_DWG_Activity!G349</f>
        <v>Transfer from DWG Capital Group</v>
      </c>
      <c r="H349" s="16" t="n">
        <f aca="false">IF($B349="","",DATE(YEAR($B349),MONTH($B349),1))</f>
        <v>45778</v>
      </c>
      <c r="I349" s="0" t="str">
        <f aca="false">IF($G349="","Uncategorized — Review",IFERROR(INDEX(Mapping!$B:$B,MATCH($G349,Mapping!$A:$A,0)),"Uncategorized — Review"))</f>
        <v>Transfer from DWG Capital Group</v>
      </c>
      <c r="J349" s="0" t="str">
        <f aca="false">IF($G349="","Uncategorized — Review",IFERROR(INDEX(Mapping!$C:$C,MATCH($G349,Mapping!$A:$A,0)),"Uncategorized — Review"))</f>
        <v>Intercompany &amp; Savings Transfers</v>
      </c>
    </row>
    <row r="350" customFormat="false" ht="15" hidden="false" customHeight="false" outlineLevel="0" collapsed="false">
      <c r="A350" s="0" t="str">
        <f aca="false">2025_DWG_Activity!A350</f>
        <v>CREDIT</v>
      </c>
      <c r="B350" s="15" t="n">
        <f aca="false">2025_DWG_Activity!B350</f>
        <v>45804</v>
      </c>
      <c r="C350" s="0" t="str">
        <f aca="false">2025_DWG_Activity!C350</f>
        <v>Online Transfer from CHK ...1168 transaction#: 24884530818</v>
      </c>
      <c r="D350" s="7" t="n">
        <f aca="false">2025_DWG_Activity!D350</f>
        <v>5000</v>
      </c>
      <c r="E350" s="0" t="str">
        <f aca="false">2025_DWG_Activity!E350</f>
        <v>ACCT_XFER</v>
      </c>
      <c r="F350" s="7" t="n">
        <f aca="false">2025_DWG_Activity!F350</f>
        <v>39789.64</v>
      </c>
      <c r="G350" s="0" t="str">
        <f aca="false">2025_DWG_Activity!G350</f>
        <v>Transfer from DWG Capital Group</v>
      </c>
      <c r="H350" s="16" t="n">
        <f aca="false">IF($B350="","",DATE(YEAR($B350),MONTH($B350),1))</f>
        <v>45778</v>
      </c>
      <c r="I350" s="0" t="str">
        <f aca="false">IF($G350="","Uncategorized — Review",IFERROR(INDEX(Mapping!$B:$B,MATCH($G350,Mapping!$A:$A,0)),"Uncategorized — Review"))</f>
        <v>Transfer from DWG Capital Group</v>
      </c>
      <c r="J350" s="0" t="str">
        <f aca="false">IF($G350="","Uncategorized — Review",IFERROR(INDEX(Mapping!$C:$C,MATCH($G350,Mapping!$A:$A,0)),"Uncategorized — Review"))</f>
        <v>Intercompany &amp; Savings Transfers</v>
      </c>
    </row>
    <row r="351" customFormat="false" ht="15" hidden="false" customHeight="false" outlineLevel="0" collapsed="false">
      <c r="A351" s="0" t="str">
        <f aca="false">2025_DWG_Activity!A351</f>
        <v>CREDIT</v>
      </c>
      <c r="B351" s="15" t="n">
        <f aca="false">2025_DWG_Activity!B351</f>
        <v>45804</v>
      </c>
      <c r="C351" s="0" t="str">
        <f aca="false">2025_DWG_Activity!C351</f>
        <v>Online Transfer from CHK ...9082 transaction#: 24899170317</v>
      </c>
      <c r="D351" s="7" t="n">
        <f aca="false">2025_DWG_Activity!D351</f>
        <v>35000</v>
      </c>
      <c r="E351" s="0" t="str">
        <f aca="false">2025_DWG_Activity!E351</f>
        <v>ACCT_XFER</v>
      </c>
      <c r="F351" s="7" t="n">
        <f aca="false">2025_DWG_Activity!F351</f>
        <v>34789.64</v>
      </c>
      <c r="G351" s="0" t="str">
        <f aca="false">2025_DWG_Activity!G351</f>
        <v>Transfer from AirBagit</v>
      </c>
      <c r="H351" s="16" t="n">
        <f aca="false">IF($B351="","",DATE(YEAR($B351),MONTH($B351),1))</f>
        <v>45778</v>
      </c>
      <c r="I351" s="0" t="str">
        <f aca="false">IF($G351="","Uncategorized — Review",IFERROR(INDEX(Mapping!$B:$B,MATCH($G351,Mapping!$A:$A,0)),"Uncategorized — Review"))</f>
        <v>Transfer from AirBagit</v>
      </c>
      <c r="J351" s="0" t="str">
        <f aca="false">IF($G351="","Uncategorized — Review",IFERROR(INDEX(Mapping!$C:$C,MATCH($G351,Mapping!$A:$A,0)),"Uncategorized — Review"))</f>
        <v>Intercompany &amp; Savings Transfers</v>
      </c>
    </row>
    <row r="352" customFormat="false" ht="15" hidden="false" customHeight="false" outlineLevel="0" collapsed="false">
      <c r="A352" s="0" t="str">
        <f aca="false">2025_DWG_Activity!A352</f>
        <v>DEBIT</v>
      </c>
      <c r="B352" s="15" t="n">
        <f aca="false">2025_DWG_Activity!B352</f>
        <v>45800</v>
      </c>
      <c r="C352" s="0" t="str">
        <f aca="false">2025_DWG_Activity!C352</f>
        <v>ACTIVECAMPAIGN, INC. 800-357-0402 IL         05/23</v>
      </c>
      <c r="D352" s="7" t="n">
        <f aca="false">2025_DWG_Activity!D352</f>
        <v>-925.3</v>
      </c>
      <c r="E352" s="0" t="str">
        <f aca="false">2025_DWG_Activity!E352</f>
        <v>DEBIT_CARD</v>
      </c>
      <c r="F352" s="7" t="n">
        <f aca="false">2025_DWG_Activity!F352</f>
        <v>-210.36</v>
      </c>
      <c r="G352" s="0" t="str">
        <f aca="false">2025_DWG_Activity!G352</f>
        <v>DWG Marketing</v>
      </c>
      <c r="H352" s="16" t="n">
        <f aca="false">IF($B352="","",DATE(YEAR($B352),MONTH($B352),1))</f>
        <v>45778</v>
      </c>
      <c r="I352" s="0" t="str">
        <f aca="false">IF($G352="","Uncategorized — Review",IFERROR(INDEX(Mapping!$B:$B,MATCH($G352,Mapping!$A:$A,0)),"Uncategorized — Review"))</f>
        <v>DWG Marketing</v>
      </c>
      <c r="J352" s="0" t="str">
        <f aca="false">IF($G352="","Uncategorized — Review",IFERROR(INDEX(Mapping!$C:$C,MATCH($G352,Mapping!$A:$A,0)),"Uncategorized — Review"))</f>
        <v>DWG Operating</v>
      </c>
    </row>
    <row r="353" customFormat="false" ht="15" hidden="false" customHeight="false" outlineLevel="0" collapsed="false">
      <c r="A353" s="0" t="str">
        <f aca="false">2025_DWG_Activity!A353</f>
        <v>DEBIT</v>
      </c>
      <c r="B353" s="15" t="n">
        <f aca="false">2025_DWG_Activity!B353</f>
        <v>45800</v>
      </c>
      <c r="C353" s="0" t="str">
        <f aca="false">2025_DWG_Activity!C353</f>
        <v>SHEPS PLACE WEATHERFORD TX                   05/21</v>
      </c>
      <c r="D353" s="7" t="n">
        <f aca="false">2025_DWG_Activity!D353</f>
        <v>-73.62</v>
      </c>
      <c r="E353" s="0" t="str">
        <f aca="false">2025_DWG_Activity!E353</f>
        <v>DEBIT_CARD</v>
      </c>
      <c r="F353" s="7" t="n">
        <f aca="false">2025_DWG_Activity!F353</f>
        <v>714.94</v>
      </c>
      <c r="G353" s="0" t="str">
        <f aca="false">2025_DWG_Activity!G353</f>
        <v>Personal - Food</v>
      </c>
      <c r="H353" s="16" t="n">
        <f aca="false">IF($B353="","",DATE(YEAR($B353),MONTH($B353),1))</f>
        <v>45778</v>
      </c>
      <c r="I353" s="0" t="str">
        <f aca="false">IF($G353="","Uncategorized — Review",IFERROR(INDEX(Mapping!$B:$B,MATCH($G353,Mapping!$A:$A,0)),"Uncategorized — Review"))</f>
        <v>Personal - Food</v>
      </c>
      <c r="J353" s="0" t="str">
        <f aca="false">IF($G353="","Uncategorized — Review",IFERROR(INDEX(Mapping!$C:$C,MATCH($G353,Mapping!$A:$A,0)),"Uncategorized — Review"))</f>
        <v>Personal — Owner</v>
      </c>
    </row>
    <row r="354" customFormat="false" ht="15" hidden="false" customHeight="false" outlineLevel="0" collapsed="false">
      <c r="A354" s="0" t="str">
        <f aca="false">2025_DWG_Activity!A354</f>
        <v>DEBIT</v>
      </c>
      <c r="B354" s="15" t="n">
        <f aca="false">2025_DWG_Activity!B354</f>
        <v>45799</v>
      </c>
      <c r="C354" s="0" t="str">
        <f aca="false">2025_DWG_Activity!C354</f>
        <v>STARBUCKS STORE 6932 WEATHERFORD TX          05/21</v>
      </c>
      <c r="D354" s="7" t="n">
        <f aca="false">2025_DWG_Activity!D354</f>
        <v>-17.32</v>
      </c>
      <c r="E354" s="0" t="str">
        <f aca="false">2025_DWG_Activity!E354</f>
        <v>DEBIT_CARD</v>
      </c>
      <c r="F354" s="7" t="n">
        <f aca="false">2025_DWG_Activity!F354</f>
        <v>788.56</v>
      </c>
      <c r="G354" s="0" t="str">
        <f aca="false">2025_DWG_Activity!G354</f>
        <v>Personal - Food</v>
      </c>
      <c r="H354" s="16" t="n">
        <f aca="false">IF($B354="","",DATE(YEAR($B354),MONTH($B354),1))</f>
        <v>45778</v>
      </c>
      <c r="I354" s="0" t="str">
        <f aca="false">IF($G354="","Uncategorized — Review",IFERROR(INDEX(Mapping!$B:$B,MATCH($G354,Mapping!$A:$A,0)),"Uncategorized — Review"))</f>
        <v>Personal - Food</v>
      </c>
      <c r="J354" s="0" t="str">
        <f aca="false">IF($G354="","Uncategorized — Review",IFERROR(INDEX(Mapping!$C:$C,MATCH($G354,Mapping!$A:$A,0)),"Uncategorized — Review"))</f>
        <v>Personal — Owner</v>
      </c>
    </row>
    <row r="355" customFormat="false" ht="15" hidden="false" customHeight="false" outlineLevel="0" collapsed="false">
      <c r="A355" s="0" t="str">
        <f aca="false">2025_DWG_Activity!A355</f>
        <v>DEBIT</v>
      </c>
      <c r="B355" s="15" t="n">
        <f aca="false">2025_DWG_Activity!B355</f>
        <v>45799</v>
      </c>
      <c r="C355" s="0" t="str">
        <f aca="false">2025_DWG_Activity!C355</f>
        <v>AT&amp;T PO91 79078 HUDSON OAKS TX               05/21</v>
      </c>
      <c r="D355" s="7" t="n">
        <f aca="false">2025_DWG_Activity!D355</f>
        <v>-216.49</v>
      </c>
      <c r="E355" s="0" t="str">
        <f aca="false">2025_DWG_Activity!E355</f>
        <v>DEBIT_CARD</v>
      </c>
      <c r="F355" s="7" t="n">
        <f aca="false">2025_DWG_Activity!F355</f>
        <v>805.88</v>
      </c>
      <c r="G355" s="0" t="str">
        <f aca="false">2025_DWG_Activity!G355</f>
        <v>Personal - House</v>
      </c>
      <c r="H355" s="16" t="n">
        <f aca="false">IF($B355="","",DATE(YEAR($B355),MONTH($B355),1))</f>
        <v>45778</v>
      </c>
      <c r="I355" s="0" t="str">
        <f aca="false">IF($G355="","Uncategorized — Review",IFERROR(INDEX(Mapping!$B:$B,MATCH($G355,Mapping!$A:$A,0)),"Uncategorized — Review"))</f>
        <v>Personal - House</v>
      </c>
      <c r="J355" s="0" t="str">
        <f aca="false">IF($G355="","Uncategorized — Review",IFERROR(INDEX(Mapping!$C:$C,MATCH($G355,Mapping!$A:$A,0)),"Uncategorized — Review"))</f>
        <v>Personal — Owner</v>
      </c>
    </row>
    <row r="356" customFormat="false" ht="15" hidden="false" customHeight="false" outlineLevel="0" collapsed="false">
      <c r="A356" s="0" t="str">
        <f aca="false">2025_DWG_Activity!A356</f>
        <v>DEBIT</v>
      </c>
      <c r="B356" s="15" t="n">
        <f aca="false">2025_DWG_Activity!B356</f>
        <v>45798</v>
      </c>
      <c r="C356" s="0" t="str">
        <f aca="false">2025_DWG_Activity!C356</f>
        <v>STARBUCKS STORE 6932 WEATHERFORD TX          05/20</v>
      </c>
      <c r="D356" s="7" t="n">
        <f aca="false">2025_DWG_Activity!D356</f>
        <v>-17.83</v>
      </c>
      <c r="E356" s="0" t="str">
        <f aca="false">2025_DWG_Activity!E356</f>
        <v>DEBIT_CARD</v>
      </c>
      <c r="F356" s="7" t="n">
        <f aca="false">2025_DWG_Activity!F356</f>
        <v>1022.37</v>
      </c>
      <c r="G356" s="0" t="str">
        <f aca="false">2025_DWG_Activity!G356</f>
        <v>Personal - Food</v>
      </c>
      <c r="H356" s="16" t="n">
        <f aca="false">IF($B356="","",DATE(YEAR($B356),MONTH($B356),1))</f>
        <v>45778</v>
      </c>
      <c r="I356" s="0" t="str">
        <f aca="false">IF($G356="","Uncategorized — Review",IFERROR(INDEX(Mapping!$B:$B,MATCH($G356,Mapping!$A:$A,0)),"Uncategorized — Review"))</f>
        <v>Personal - Food</v>
      </c>
      <c r="J356" s="0" t="str">
        <f aca="false">IF($G356="","Uncategorized — Review",IFERROR(INDEX(Mapping!$C:$C,MATCH($G356,Mapping!$A:$A,0)),"Uncategorized — Review"))</f>
        <v>Personal — Owner</v>
      </c>
    </row>
    <row r="357" customFormat="false" ht="15" hidden="false" customHeight="false" outlineLevel="0" collapsed="false">
      <c r="A357" s="0" t="str">
        <f aca="false">2025_DWG_Activity!A357</f>
        <v>DEBIT</v>
      </c>
      <c r="B357" s="15" t="n">
        <f aca="false">2025_DWG_Activity!B357</f>
        <v>45797</v>
      </c>
      <c r="C357" s="0" t="str">
        <f aca="false">2025_DWG_Activity!C357</f>
        <v>STARBUCKS STORE 6932 WEATHERFORD TX          05/19</v>
      </c>
      <c r="D357" s="7" t="n">
        <f aca="false">2025_DWG_Activity!D357</f>
        <v>-12.45</v>
      </c>
      <c r="E357" s="0" t="str">
        <f aca="false">2025_DWG_Activity!E357</f>
        <v>DEBIT_CARD</v>
      </c>
      <c r="F357" s="7" t="n">
        <f aca="false">2025_DWG_Activity!F357</f>
        <v>1040.2</v>
      </c>
      <c r="G357" s="0" t="str">
        <f aca="false">2025_DWG_Activity!G357</f>
        <v>Personal - Food</v>
      </c>
      <c r="H357" s="16" t="n">
        <f aca="false">IF($B357="","",DATE(YEAR($B357),MONTH($B357),1))</f>
        <v>45778</v>
      </c>
      <c r="I357" s="0" t="str">
        <f aca="false">IF($G357="","Uncategorized — Review",IFERROR(INDEX(Mapping!$B:$B,MATCH($G357,Mapping!$A:$A,0)),"Uncategorized — Review"))</f>
        <v>Personal - Food</v>
      </c>
      <c r="J357" s="0" t="str">
        <f aca="false">IF($G357="","Uncategorized — Review",IFERROR(INDEX(Mapping!$C:$C,MATCH($G357,Mapping!$A:$A,0)),"Uncategorized — Review"))</f>
        <v>Personal — Owner</v>
      </c>
    </row>
    <row r="358" customFormat="false" ht="15" hidden="false" customHeight="false" outlineLevel="0" collapsed="false">
      <c r="A358" s="0" t="str">
        <f aca="false">2025_DWG_Activity!A358</f>
        <v>CREDIT</v>
      </c>
      <c r="B358" s="15" t="n">
        <f aca="false">2025_DWG_Activity!B358</f>
        <v>45797</v>
      </c>
      <c r="C358" s="0" t="str">
        <f aca="false">2025_DWG_Activity!C358</f>
        <v>Online Transfer from CHK ...1168 transaction#: 24837292184</v>
      </c>
      <c r="D358" s="7" t="n">
        <f aca="false">2025_DWG_Activity!D358</f>
        <v>1000</v>
      </c>
      <c r="E358" s="0" t="str">
        <f aca="false">2025_DWG_Activity!E358</f>
        <v>ACCT_XFER</v>
      </c>
      <c r="F358" s="7" t="n">
        <f aca="false">2025_DWG_Activity!F358</f>
        <v>1052.65</v>
      </c>
      <c r="G358" s="0" t="str">
        <f aca="false">2025_DWG_Activity!G358</f>
        <v>Transfer from DWG Capital Group</v>
      </c>
      <c r="H358" s="16" t="n">
        <f aca="false">IF($B358="","",DATE(YEAR($B358),MONTH($B358),1))</f>
        <v>45778</v>
      </c>
      <c r="I358" s="0" t="str">
        <f aca="false">IF($G358="","Uncategorized — Review",IFERROR(INDEX(Mapping!$B:$B,MATCH($G358,Mapping!$A:$A,0)),"Uncategorized — Review"))</f>
        <v>Transfer from DWG Capital Group</v>
      </c>
      <c r="J358" s="0" t="str">
        <f aca="false">IF($G358="","Uncategorized — Review",IFERROR(INDEX(Mapping!$C:$C,MATCH($G358,Mapping!$A:$A,0)),"Uncategorized — Review"))</f>
        <v>Intercompany &amp; Savings Transfers</v>
      </c>
    </row>
    <row r="359" customFormat="false" ht="15" hidden="false" customHeight="false" outlineLevel="0" collapsed="false">
      <c r="A359" s="0" t="str">
        <f aca="false">2025_DWG_Activity!A359</f>
        <v>DEBIT</v>
      </c>
      <c r="B359" s="15" t="n">
        <f aca="false">2025_DWG_Activity!B359</f>
        <v>45796</v>
      </c>
      <c r="C359" s="0" t="str">
        <f aca="false">2025_DWG_Activity!C359</f>
        <v>THE FLYING CARPET TURK FORT WORTH TX         05/16</v>
      </c>
      <c r="D359" s="7" t="n">
        <f aca="false">2025_DWG_Activity!D359</f>
        <v>-233.92</v>
      </c>
      <c r="E359" s="0" t="str">
        <f aca="false">2025_DWG_Activity!E359</f>
        <v>DEBIT_CARD</v>
      </c>
      <c r="F359" s="7" t="n">
        <f aca="false">2025_DWG_Activity!F359</f>
        <v>52.65</v>
      </c>
      <c r="G359" s="0" t="str">
        <f aca="false">2025_DWG_Activity!G359</f>
        <v>Personal - Food</v>
      </c>
      <c r="H359" s="16" t="n">
        <f aca="false">IF($B359="","",DATE(YEAR($B359),MONTH($B359),1))</f>
        <v>45778</v>
      </c>
      <c r="I359" s="0" t="str">
        <f aca="false">IF($G359="","Uncategorized — Review",IFERROR(INDEX(Mapping!$B:$B,MATCH($G359,Mapping!$A:$A,0)),"Uncategorized — Review"))</f>
        <v>Personal - Food</v>
      </c>
      <c r="J359" s="0" t="str">
        <f aca="false">IF($G359="","Uncategorized — Review",IFERROR(INDEX(Mapping!$C:$C,MATCH($G359,Mapping!$A:$A,0)),"Uncategorized — Review"))</f>
        <v>Personal — Owner</v>
      </c>
    </row>
    <row r="360" customFormat="false" ht="15" hidden="false" customHeight="false" outlineLevel="0" collapsed="false">
      <c r="A360" s="0" t="str">
        <f aca="false">2025_DWG_Activity!A360</f>
        <v>DEBIT</v>
      </c>
      <c r="B360" s="15" t="n">
        <f aca="false">2025_DWG_Activity!B360</f>
        <v>45792</v>
      </c>
      <c r="C360" s="0" t="str">
        <f aca="false">2025_DWG_Activity!C360</f>
        <v>TST*BOCCA Fort Worth TX                      05/14</v>
      </c>
      <c r="D360" s="7" t="n">
        <f aca="false">2025_DWG_Activity!D360</f>
        <v>-266.52</v>
      </c>
      <c r="E360" s="0" t="str">
        <f aca="false">2025_DWG_Activity!E360</f>
        <v>DEBIT_CARD</v>
      </c>
      <c r="F360" s="7" t="n">
        <f aca="false">2025_DWG_Activity!F360</f>
        <v>286.57</v>
      </c>
      <c r="G360" s="0" t="str">
        <f aca="false">2025_DWG_Activity!G360</f>
        <v>Personal - Food</v>
      </c>
      <c r="H360" s="16" t="n">
        <f aca="false">IF($B360="","",DATE(YEAR($B360),MONTH($B360),1))</f>
        <v>45778</v>
      </c>
      <c r="I360" s="0" t="str">
        <f aca="false">IF($G360="","Uncategorized — Review",IFERROR(INDEX(Mapping!$B:$B,MATCH($G360,Mapping!$A:$A,0)),"Uncategorized — Review"))</f>
        <v>Personal - Food</v>
      </c>
      <c r="J360" s="0" t="str">
        <f aca="false">IF($G360="","Uncategorized — Review",IFERROR(INDEX(Mapping!$C:$C,MATCH($G360,Mapping!$A:$A,0)),"Uncategorized — Review"))</f>
        <v>Personal — Owner</v>
      </c>
    </row>
    <row r="361" customFormat="false" ht="15" hidden="false" customHeight="false" outlineLevel="0" collapsed="false">
      <c r="A361" s="0" t="str">
        <f aca="false">2025_DWG_Activity!A361</f>
        <v>DEBIT</v>
      </c>
      <c r="B361" s="15" t="n">
        <f aca="false">2025_DWG_Activity!B361</f>
        <v>45792</v>
      </c>
      <c r="C361" s="0" t="str">
        <f aca="false">2025_DWG_Activity!C361</f>
        <v>KEVIN M.ALTIERI,DDS 188-85795668 TX          05/14</v>
      </c>
      <c r="D361" s="7" t="n">
        <f aca="false">2025_DWG_Activity!D361</f>
        <v>-208</v>
      </c>
      <c r="E361" s="0" t="str">
        <f aca="false">2025_DWG_Activity!E361</f>
        <v>DEBIT_CARD</v>
      </c>
      <c r="F361" s="7" t="n">
        <f aca="false">2025_DWG_Activity!F361</f>
        <v>553.09</v>
      </c>
      <c r="G361" s="0" t="str">
        <f aca="false">2025_DWG_Activity!G361</f>
        <v>Personal - Health</v>
      </c>
      <c r="H361" s="16" t="n">
        <f aca="false">IF($B361="","",DATE(YEAR($B361),MONTH($B361),1))</f>
        <v>45778</v>
      </c>
      <c r="I361" s="0" t="str">
        <f aca="false">IF($G361="","Uncategorized — Review",IFERROR(INDEX(Mapping!$B:$B,MATCH($G361,Mapping!$A:$A,0)),"Uncategorized — Review"))</f>
        <v>Personal - Health</v>
      </c>
      <c r="J361" s="0" t="str">
        <f aca="false">IF($G361="","Uncategorized — Review",IFERROR(INDEX(Mapping!$C:$C,MATCH($G361,Mapping!$A:$A,0)),"Uncategorized — Review"))</f>
        <v>Personal — Owner</v>
      </c>
    </row>
    <row r="362" customFormat="false" ht="15" hidden="false" customHeight="false" outlineLevel="0" collapsed="false">
      <c r="A362" s="0" t="str">
        <f aca="false">2025_DWG_Activity!A362</f>
        <v>DEBIT</v>
      </c>
      <c r="B362" s="15" t="n">
        <f aca="false">2025_DWG_Activity!B362</f>
        <v>45792</v>
      </c>
      <c r="C362" s="0" t="str">
        <f aca="false">2025_DWG_Activity!C362</f>
        <v>STARBUCKS STORE 6932 WEATHERFORD TX          05/14</v>
      </c>
      <c r="D362" s="7" t="n">
        <f aca="false">2025_DWG_Activity!D362</f>
        <v>-14.12</v>
      </c>
      <c r="E362" s="0" t="str">
        <f aca="false">2025_DWG_Activity!E362</f>
        <v>DEBIT_CARD</v>
      </c>
      <c r="F362" s="7" t="n">
        <f aca="false">2025_DWG_Activity!F362</f>
        <v>761.09</v>
      </c>
      <c r="G362" s="0" t="str">
        <f aca="false">2025_DWG_Activity!G362</f>
        <v>Personal - Food</v>
      </c>
      <c r="H362" s="16" t="n">
        <f aca="false">IF($B362="","",DATE(YEAR($B362),MONTH($B362),1))</f>
        <v>45778</v>
      </c>
      <c r="I362" s="0" t="str">
        <f aca="false">IF($G362="","Uncategorized — Review",IFERROR(INDEX(Mapping!$B:$B,MATCH($G362,Mapping!$A:$A,0)),"Uncategorized — Review"))</f>
        <v>Personal - Food</v>
      </c>
      <c r="J362" s="0" t="str">
        <f aca="false">IF($G362="","Uncategorized — Review",IFERROR(INDEX(Mapping!$C:$C,MATCH($G362,Mapping!$A:$A,0)),"Uncategorized — Review"))</f>
        <v>Personal — Owner</v>
      </c>
    </row>
    <row r="363" customFormat="false" ht="15" hidden="false" customHeight="false" outlineLevel="0" collapsed="false">
      <c r="A363" s="0" t="str">
        <f aca="false">2025_DWG_Activity!A363</f>
        <v>DEBIT</v>
      </c>
      <c r="B363" s="15" t="n">
        <f aca="false">2025_DWG_Activity!B363</f>
        <v>45791</v>
      </c>
      <c r="C363" s="0" t="str">
        <f aca="false">2025_DWG_Activity!C363</f>
        <v>ROBERTS CHIROPRACTIC WEATHERFORD TX  452208  05/14</v>
      </c>
      <c r="D363" s="7" t="n">
        <f aca="false">2025_DWG_Activity!D363</f>
        <v>-360</v>
      </c>
      <c r="E363" s="0" t="str">
        <f aca="false">2025_DWG_Activity!E363</f>
        <v>DEBIT_CARD</v>
      </c>
      <c r="F363" s="7" t="n">
        <f aca="false">2025_DWG_Activity!F363</f>
        <v>775.21</v>
      </c>
      <c r="G363" s="0" t="str">
        <f aca="false">2025_DWG_Activity!G363</f>
        <v>Personal - Health</v>
      </c>
      <c r="H363" s="16" t="n">
        <f aca="false">IF($B363="","",DATE(YEAR($B363),MONTH($B363),1))</f>
        <v>45778</v>
      </c>
      <c r="I363" s="0" t="str">
        <f aca="false">IF($G363="","Uncategorized — Review",IFERROR(INDEX(Mapping!$B:$B,MATCH($G363,Mapping!$A:$A,0)),"Uncategorized — Review"))</f>
        <v>Personal - Health</v>
      </c>
      <c r="J363" s="0" t="str">
        <f aca="false">IF($G363="","Uncategorized — Review",IFERROR(INDEX(Mapping!$C:$C,MATCH($G363,Mapping!$A:$A,0)),"Uncategorized — Review"))</f>
        <v>Personal — Owner</v>
      </c>
    </row>
    <row r="364" customFormat="false" ht="15" hidden="false" customHeight="false" outlineLevel="0" collapsed="false">
      <c r="A364" s="0" t="str">
        <f aca="false">2025_DWG_Activity!A364</f>
        <v>DEBIT</v>
      </c>
      <c r="B364" s="15" t="n">
        <f aca="false">2025_DWG_Activity!B364</f>
        <v>45791</v>
      </c>
      <c r="C364" s="0" t="str">
        <f aca="false">2025_DWG_Activity!C364</f>
        <v>Basic Online Payroll Payment 11170663706 to ######7939</v>
      </c>
      <c r="D364" s="7" t="n">
        <f aca="false">2025_DWG_Activity!D364</f>
        <v>-5000</v>
      </c>
      <c r="E364" s="0" t="str">
        <f aca="false">2025_DWG_Activity!E364</f>
        <v>BASIC_PAYROLL</v>
      </c>
      <c r="F364" s="7" t="n">
        <f aca="false">2025_DWG_Activity!F364</f>
        <v>1135.21</v>
      </c>
      <c r="G364" s="0" t="str">
        <f aca="false">2025_DWG_Activity!G364</f>
        <v>Ryan Billings - Payroll</v>
      </c>
      <c r="H364" s="16" t="n">
        <f aca="false">IF($B364="","",DATE(YEAR($B364),MONTH($B364),1))</f>
        <v>45778</v>
      </c>
      <c r="I364" s="0" t="str">
        <f aca="false">IF($G364="","Uncategorized — Review",IFERROR(INDEX(Mapping!$B:$B,MATCH($G364,Mapping!$A:$A,0)),"Uncategorized — Review"))</f>
        <v>Ryan Billings - Payroll</v>
      </c>
      <c r="J364" s="0" t="str">
        <f aca="false">IF($G364="","Uncategorized — Review",IFERROR(INDEX(Mapping!$C:$C,MATCH($G364,Mapping!$A:$A,0)),"Uncategorized — Review"))</f>
        <v>Payroll &amp; Contractors</v>
      </c>
    </row>
    <row r="365" customFormat="false" ht="15" hidden="false" customHeight="false" outlineLevel="0" collapsed="false">
      <c r="A365" s="0" t="str">
        <f aca="false">2025_DWG_Activity!A365</f>
        <v>DEBIT</v>
      </c>
      <c r="B365" s="15" t="n">
        <f aca="false">2025_DWG_Activity!B365</f>
        <v>45791</v>
      </c>
      <c r="C365" s="0" t="str">
        <f aca="false">2025_DWG_Activity!C365</f>
        <v>Basic Online Payroll Payment 11170871852 to ########6812</v>
      </c>
      <c r="D365" s="7" t="n">
        <f aca="false">2025_DWG_Activity!D365</f>
        <v>-5000</v>
      </c>
      <c r="E365" s="0" t="str">
        <f aca="false">2025_DWG_Activity!E365</f>
        <v>BASIC_PAYROLL</v>
      </c>
      <c r="F365" s="7" t="n">
        <f aca="false">2025_DWG_Activity!F365</f>
        <v>6135.21</v>
      </c>
      <c r="G365" s="0" t="str">
        <f aca="false">2025_DWG_Activity!G365</f>
        <v>Meg Maran - Payroll</v>
      </c>
      <c r="H365" s="16" t="n">
        <f aca="false">IF($B365="","",DATE(YEAR($B365),MONTH($B365),1))</f>
        <v>45778</v>
      </c>
      <c r="I365" s="0" t="str">
        <f aca="false">IF($G365="","Uncategorized — Review",IFERROR(INDEX(Mapping!$B:$B,MATCH($G365,Mapping!$A:$A,0)),"Uncategorized — Review"))</f>
        <v>Meg Maran - Payroll</v>
      </c>
      <c r="J365" s="0" t="str">
        <f aca="false">IF($G365="","Uncategorized — Review",IFERROR(INDEX(Mapping!$C:$C,MATCH($G365,Mapping!$A:$A,0)),"Uncategorized — Review"))</f>
        <v>Payroll &amp; Contractors</v>
      </c>
    </row>
    <row r="366" customFormat="false" ht="15" hidden="false" customHeight="false" outlineLevel="0" collapsed="false">
      <c r="A366" s="0" t="str">
        <f aca="false">2025_DWG_Activity!A366</f>
        <v>DEBIT</v>
      </c>
      <c r="B366" s="15" t="n">
        <f aca="false">2025_DWG_Activity!B366</f>
        <v>45791</v>
      </c>
      <c r="C366" s="0" t="str">
        <f aca="false">2025_DWG_Activity!C366</f>
        <v>STARBUCKS STORE 6932 WEATHERFORD TX          05/13</v>
      </c>
      <c r="D366" s="7" t="n">
        <f aca="false">2025_DWG_Activity!D366</f>
        <v>-13.58</v>
      </c>
      <c r="E366" s="0" t="str">
        <f aca="false">2025_DWG_Activity!E366</f>
        <v>DEBIT_CARD</v>
      </c>
      <c r="F366" s="7" t="n">
        <f aca="false">2025_DWG_Activity!F366</f>
        <v>11135.21</v>
      </c>
      <c r="G366" s="0" t="str">
        <f aca="false">2025_DWG_Activity!G366</f>
        <v>Personal - Food</v>
      </c>
      <c r="H366" s="16" t="n">
        <f aca="false">IF($B366="","",DATE(YEAR($B366),MONTH($B366),1))</f>
        <v>45778</v>
      </c>
      <c r="I366" s="0" t="str">
        <f aca="false">IF($G366="","Uncategorized — Review",IFERROR(INDEX(Mapping!$B:$B,MATCH($G366,Mapping!$A:$A,0)),"Uncategorized — Review"))</f>
        <v>Personal - Food</v>
      </c>
      <c r="J366" s="0" t="str">
        <f aca="false">IF($G366="","Uncategorized — Review",IFERROR(INDEX(Mapping!$C:$C,MATCH($G366,Mapping!$A:$A,0)),"Uncategorized — Review"))</f>
        <v>Personal — Owner</v>
      </c>
    </row>
    <row r="367" customFormat="false" ht="15" hidden="false" customHeight="false" outlineLevel="0" collapsed="false">
      <c r="A367" s="0" t="str">
        <f aca="false">2025_DWG_Activity!A367</f>
        <v>DEBIT</v>
      </c>
      <c r="B367" s="15" t="n">
        <f aca="false">2025_DWG_Activity!B367</f>
        <v>45790</v>
      </c>
      <c r="C367" s="0" t="str">
        <f aca="false">2025_DWG_Activity!C367</f>
        <v>ADOBE  *800-833-6687 ADOBE.LY/ENUS CA        05/13</v>
      </c>
      <c r="D367" s="7" t="n">
        <f aca="false">2025_DWG_Activity!D367</f>
        <v>-21.64</v>
      </c>
      <c r="E367" s="0" t="str">
        <f aca="false">2025_DWG_Activity!E367</f>
        <v>DEBIT_CARD</v>
      </c>
      <c r="F367" s="7" t="n">
        <f aca="false">2025_DWG_Activity!F367</f>
        <v>11148.79</v>
      </c>
      <c r="G367" s="0" t="str">
        <f aca="false">2025_DWG_Activity!G367</f>
        <v>Personal - Subscriptions</v>
      </c>
      <c r="H367" s="16" t="n">
        <f aca="false">IF($B367="","",DATE(YEAR($B367),MONTH($B367),1))</f>
        <v>45778</v>
      </c>
      <c r="I367" s="0" t="str">
        <f aca="false">IF($G367="","Uncategorized — Review",IFERROR(INDEX(Mapping!$B:$B,MATCH($G367,Mapping!$A:$A,0)),"Uncategorized — Review"))</f>
        <v>Personal - Subscriptions</v>
      </c>
      <c r="J367" s="0" t="str">
        <f aca="false">IF($G367="","Uncategorized — Review",IFERROR(INDEX(Mapping!$C:$C,MATCH($G367,Mapping!$A:$A,0)),"Uncategorized — Review"))</f>
        <v>Personal — Owner</v>
      </c>
    </row>
    <row r="368" customFormat="false" ht="15" hidden="false" customHeight="false" outlineLevel="0" collapsed="false">
      <c r="A368" s="0" t="str">
        <f aca="false">2025_DWG_Activity!A368</f>
        <v>DEBIT</v>
      </c>
      <c r="B368" s="15" t="n">
        <f aca="false">2025_DWG_Activity!B368</f>
        <v>45789</v>
      </c>
      <c r="C368" s="0" t="str">
        <f aca="false">2025_DWG_Activity!C368</f>
        <v>CITY OF SANTA MONICA SANTA MONICA CA         05/11</v>
      </c>
      <c r="D368" s="7" t="n">
        <f aca="false">2025_DWG_Activity!D368</f>
        <v>-4</v>
      </c>
      <c r="E368" s="0" t="str">
        <f aca="false">2025_DWG_Activity!E368</f>
        <v>DEBIT_CARD</v>
      </c>
      <c r="F368" s="7" t="n">
        <f aca="false">2025_DWG_Activity!F368</f>
        <v>11170.43</v>
      </c>
      <c r="G368" s="0" t="str">
        <f aca="false">2025_DWG_Activity!G368</f>
        <v>Personal - Car</v>
      </c>
      <c r="H368" s="16" t="n">
        <f aca="false">IF($B368="","",DATE(YEAR($B368),MONTH($B368),1))</f>
        <v>45778</v>
      </c>
      <c r="I368" s="0" t="str">
        <f aca="false">IF($G368="","Uncategorized — Review",IFERROR(INDEX(Mapping!$B:$B,MATCH($G368,Mapping!$A:$A,0)),"Uncategorized — Review"))</f>
        <v>Personal - Car</v>
      </c>
      <c r="J368" s="0" t="str">
        <f aca="false">IF($G368="","Uncategorized — Review",IFERROR(INDEX(Mapping!$C:$C,MATCH($G368,Mapping!$A:$A,0)),"Uncategorized — Review"))</f>
        <v>Personal — Owner</v>
      </c>
    </row>
    <row r="369" customFormat="false" ht="15" hidden="false" customHeight="false" outlineLevel="0" collapsed="false">
      <c r="A369" s="0" t="str">
        <f aca="false">2025_DWG_Activity!A369</f>
        <v>DEBIT</v>
      </c>
      <c r="B369" s="15" t="n">
        <f aca="false">2025_DWG_Activity!B369</f>
        <v>45789</v>
      </c>
      <c r="C369" s="0" t="str">
        <f aca="false">2025_DWG_Activity!C369</f>
        <v>LA CABANA - VENICE VENICE CA                 05/09</v>
      </c>
      <c r="D369" s="7" t="n">
        <f aca="false">2025_DWG_Activity!D369</f>
        <v>-135.79</v>
      </c>
      <c r="E369" s="0" t="str">
        <f aca="false">2025_DWG_Activity!E369</f>
        <v>DEBIT_CARD</v>
      </c>
      <c r="F369" s="7" t="n">
        <f aca="false">2025_DWG_Activity!F369</f>
        <v>11174.43</v>
      </c>
      <c r="G369" s="0" t="str">
        <f aca="false">2025_DWG_Activity!G369</f>
        <v>Personal - Food</v>
      </c>
      <c r="H369" s="16" t="n">
        <f aca="false">IF($B369="","",DATE(YEAR($B369),MONTH($B369),1))</f>
        <v>45778</v>
      </c>
      <c r="I369" s="0" t="str">
        <f aca="false">IF($G369="","Uncategorized — Review",IFERROR(INDEX(Mapping!$B:$B,MATCH($G369,Mapping!$A:$A,0)),"Uncategorized — Review"))</f>
        <v>Personal - Food</v>
      </c>
      <c r="J369" s="0" t="str">
        <f aca="false">IF($G369="","Uncategorized — Review",IFERROR(INDEX(Mapping!$C:$C,MATCH($G369,Mapping!$A:$A,0)),"Uncategorized — Review"))</f>
        <v>Personal — Owner</v>
      </c>
    </row>
    <row r="370" customFormat="false" ht="15" hidden="false" customHeight="false" outlineLevel="0" collapsed="false">
      <c r="A370" s="0" t="str">
        <f aca="false">2025_DWG_Activity!A370</f>
        <v>DEBIT</v>
      </c>
      <c r="B370" s="15" t="n">
        <f aca="false">2025_DWG_Activity!B370</f>
        <v>45789</v>
      </c>
      <c r="C370" s="0" t="str">
        <f aca="false">2025_DWG_Activity!C370</f>
        <v>AUTO PARK 16 DISNEY HA LOS ANGELES CA        05/09</v>
      </c>
      <c r="D370" s="7" t="n">
        <f aca="false">2025_DWG_Activity!D370</f>
        <v>-23</v>
      </c>
      <c r="E370" s="0" t="str">
        <f aca="false">2025_DWG_Activity!E370</f>
        <v>DEBIT_CARD</v>
      </c>
      <c r="F370" s="7" t="n">
        <f aca="false">2025_DWG_Activity!F370</f>
        <v>11310.22</v>
      </c>
      <c r="G370" s="0" t="str">
        <f aca="false">2025_DWG_Activity!G370</f>
        <v>Personal - Car</v>
      </c>
      <c r="H370" s="16" t="n">
        <f aca="false">IF($B370="","",DATE(YEAR($B370),MONTH($B370),1))</f>
        <v>45778</v>
      </c>
      <c r="I370" s="0" t="str">
        <f aca="false">IF($G370="","Uncategorized — Review",IFERROR(INDEX(Mapping!$B:$B,MATCH($G370,Mapping!$A:$A,0)),"Uncategorized — Review"))</f>
        <v>Personal - Car</v>
      </c>
      <c r="J370" s="0" t="str">
        <f aca="false">IF($G370="","Uncategorized — Review",IFERROR(INDEX(Mapping!$C:$C,MATCH($G370,Mapping!$A:$A,0)),"Uncategorized — Review"))</f>
        <v>Personal — Owner</v>
      </c>
    </row>
    <row r="371" customFormat="false" ht="15" hidden="false" customHeight="false" outlineLevel="0" collapsed="false">
      <c r="A371" s="0" t="str">
        <f aca="false">2025_DWG_Activity!A371</f>
        <v>DEBIT</v>
      </c>
      <c r="B371" s="15" t="n">
        <f aca="false">2025_DWG_Activity!B371</f>
        <v>45789</v>
      </c>
      <c r="C371" s="0" t="str">
        <f aca="false">2025_DWG_Activity!C371</f>
        <v>THAI DISHES WILSHIRE SANTA MONICA CA         05/09</v>
      </c>
      <c r="D371" s="7" t="n">
        <f aca="false">2025_DWG_Activity!D371</f>
        <v>-6</v>
      </c>
      <c r="E371" s="0" t="str">
        <f aca="false">2025_DWG_Activity!E371</f>
        <v>DEBIT_CARD</v>
      </c>
      <c r="F371" s="7" t="n">
        <f aca="false">2025_DWG_Activity!F371</f>
        <v>11333.22</v>
      </c>
      <c r="G371" s="0" t="str">
        <f aca="false">2025_DWG_Activity!G371</f>
        <v>Personal - Food</v>
      </c>
      <c r="H371" s="16" t="n">
        <f aca="false">IF($B371="","",DATE(YEAR($B371),MONTH($B371),1))</f>
        <v>45778</v>
      </c>
      <c r="I371" s="0" t="str">
        <f aca="false">IF($G371="","Uncategorized — Review",IFERROR(INDEX(Mapping!$B:$B,MATCH($G371,Mapping!$A:$A,0)),"Uncategorized — Review"))</f>
        <v>Personal - Food</v>
      </c>
      <c r="J371" s="0" t="str">
        <f aca="false">IF($G371="","Uncategorized — Review",IFERROR(INDEX(Mapping!$C:$C,MATCH($G371,Mapping!$A:$A,0)),"Uncategorized — Review"))</f>
        <v>Personal — Owner</v>
      </c>
    </row>
    <row r="372" customFormat="false" ht="15" hidden="false" customHeight="false" outlineLevel="0" collapsed="false">
      <c r="A372" s="0" t="str">
        <f aca="false">2025_DWG_Activity!A372</f>
        <v>DEBIT</v>
      </c>
      <c r="B372" s="15" t="n">
        <f aca="false">2025_DWG_Activity!B372</f>
        <v>45789</v>
      </c>
      <c r="C372" s="0" t="str">
        <f aca="false">2025_DWG_Activity!C372</f>
        <v>THAI DISHES WILSHIRE SANTA MONICA CA         05/09</v>
      </c>
      <c r="D372" s="7" t="n">
        <f aca="false">2025_DWG_Activity!D372</f>
        <v>-28.26</v>
      </c>
      <c r="E372" s="0" t="str">
        <f aca="false">2025_DWG_Activity!E372</f>
        <v>DEBIT_CARD</v>
      </c>
      <c r="F372" s="7" t="n">
        <f aca="false">2025_DWG_Activity!F372</f>
        <v>11339.22</v>
      </c>
      <c r="G372" s="0" t="str">
        <f aca="false">2025_DWG_Activity!G372</f>
        <v>Personal - Food</v>
      </c>
      <c r="H372" s="16" t="n">
        <f aca="false">IF($B372="","",DATE(YEAR($B372),MONTH($B372),1))</f>
        <v>45778</v>
      </c>
      <c r="I372" s="0" t="str">
        <f aca="false">IF($G372="","Uncategorized — Review",IFERROR(INDEX(Mapping!$B:$B,MATCH($G372,Mapping!$A:$A,0)),"Uncategorized — Review"))</f>
        <v>Personal - Food</v>
      </c>
      <c r="J372" s="0" t="str">
        <f aca="false">IF($G372="","Uncategorized — Review",IFERROR(INDEX(Mapping!$C:$C,MATCH($G372,Mapping!$A:$A,0)),"Uncategorized — Review"))</f>
        <v>Personal — Owner</v>
      </c>
    </row>
    <row r="373" customFormat="false" ht="15" hidden="false" customHeight="false" outlineLevel="0" collapsed="false">
      <c r="A373" s="0" t="str">
        <f aca="false">2025_DWG_Activity!A373</f>
        <v>DEBIT</v>
      </c>
      <c r="B373" s="15" t="n">
        <f aca="false">2025_DWG_Activity!B373</f>
        <v>45789</v>
      </c>
      <c r="C373" s="0" t="str">
        <f aca="false">2025_DWG_Activity!C373</f>
        <v>ADOBE  *800-833-6687 ADOBE.LY/ENUS CA        05/10</v>
      </c>
      <c r="D373" s="7" t="n">
        <f aca="false">2025_DWG_Activity!D373</f>
        <v>-37.34</v>
      </c>
      <c r="E373" s="0" t="str">
        <f aca="false">2025_DWG_Activity!E373</f>
        <v>DEBIT_CARD</v>
      </c>
      <c r="F373" s="7" t="n">
        <f aca="false">2025_DWG_Activity!F373</f>
        <v>11367.48</v>
      </c>
      <c r="G373" s="0" t="str">
        <f aca="false">2025_DWG_Activity!G373</f>
        <v>Personal - Subscriptions</v>
      </c>
      <c r="H373" s="16" t="n">
        <f aca="false">IF($B373="","",DATE(YEAR($B373),MONTH($B373),1))</f>
        <v>45778</v>
      </c>
      <c r="I373" s="0" t="str">
        <f aca="false">IF($G373="","Uncategorized — Review",IFERROR(INDEX(Mapping!$B:$B,MATCH($G373,Mapping!$A:$A,0)),"Uncategorized — Review"))</f>
        <v>Personal - Subscriptions</v>
      </c>
      <c r="J373" s="0" t="str">
        <f aca="false">IF($G373="","Uncategorized — Review",IFERROR(INDEX(Mapping!$C:$C,MATCH($G373,Mapping!$A:$A,0)),"Uncategorized — Review"))</f>
        <v>Personal — Owner</v>
      </c>
    </row>
    <row r="374" customFormat="false" ht="15" hidden="false" customHeight="false" outlineLevel="0" collapsed="false">
      <c r="A374" s="0" t="str">
        <f aca="false">2025_DWG_Activity!A374</f>
        <v>DEBIT</v>
      </c>
      <c r="B374" s="15" t="n">
        <f aca="false">2025_DWG_Activity!B374</f>
        <v>45785</v>
      </c>
      <c r="C374" s="0" t="str">
        <f aca="false">2025_DWG_Activity!C374</f>
        <v>ONLINE DOMESTIC WIRE FEE</v>
      </c>
      <c r="D374" s="7" t="n">
        <f aca="false">2025_DWG_Activity!D374</f>
        <v>-25</v>
      </c>
      <c r="E374" s="0" t="str">
        <f aca="false">2025_DWG_Activity!E374</f>
        <v>FEE_TRANSACTION</v>
      </c>
      <c r="F374" s="7" t="n">
        <f aca="false">2025_DWG_Activity!F374</f>
        <v>11404.82</v>
      </c>
      <c r="G374" s="0" t="str">
        <f aca="false">2025_DWG_Activity!G374</f>
        <v>Wire Fee</v>
      </c>
      <c r="H374" s="16" t="n">
        <f aca="false">IF($B374="","",DATE(YEAR($B374),MONTH($B374),1))</f>
        <v>45778</v>
      </c>
      <c r="I374" s="0" t="str">
        <f aca="false">IF($G374="","Uncategorized — Review",IFERROR(INDEX(Mapping!$B:$B,MATCH($G374,Mapping!$A:$A,0)),"Uncategorized — Review"))</f>
        <v>Wire Fee</v>
      </c>
      <c r="J374" s="0" t="str">
        <f aca="false">IF($G374="","Uncategorized — Review",IFERROR(INDEX(Mapping!$C:$C,MATCH($G374,Mapping!$A:$A,0)),"Uncategorized — Review"))</f>
        <v>DWG Operating</v>
      </c>
    </row>
    <row r="375" customFormat="false" ht="15" hidden="false" customHeight="false" outlineLevel="0" collapsed="false">
      <c r="A375" s="0" t="str">
        <f aca="false">2025_DWG_Activity!A375</f>
        <v>DEBIT</v>
      </c>
      <c r="B375" s="15" t="n">
        <f aca="false">2025_DWG_Activity!B375</f>
        <v>45785</v>
      </c>
      <c r="C375" s="0" t="str">
        <f aca="false">2025_DWG_Activity!C375</f>
        <v>ONLINE DOMESTIC WIRE TRANSFER A/C: MAX E RODRIGUEZ JR OR SEABY D COTO DE CAZA CA 92679-5115 US REF: MARKETING FOR MEG/ACC/4290705355 MAX RODRIGUEZ 19 CENTAURUS WAY TRABUC O CANYON CA 92579 US TRN: 3112075128ES 05/08</v>
      </c>
      <c r="D375" s="7" t="n">
        <f aca="false">2025_DWG_Activity!D375</f>
        <v>-5000</v>
      </c>
      <c r="E375" s="0" t="str">
        <f aca="false">2025_DWG_Activity!E375</f>
        <v>WIRE_OUTGOING</v>
      </c>
      <c r="F375" s="7" t="n">
        <f aca="false">2025_DWG_Activity!F375</f>
        <v>11429.82</v>
      </c>
      <c r="G375" s="0" t="str">
        <f aca="false">2025_DWG_Activity!G375</f>
        <v>Max Rodriguez - Payroll</v>
      </c>
      <c r="H375" s="16" t="n">
        <f aca="false">IF($B375="","",DATE(YEAR($B375),MONTH($B375),1))</f>
        <v>45778</v>
      </c>
      <c r="I375" s="0" t="str">
        <f aca="false">IF($G375="","Uncategorized — Review",IFERROR(INDEX(Mapping!$B:$B,MATCH($G375,Mapping!$A:$A,0)),"Uncategorized — Review"))</f>
        <v>Max Rodriguez - Payroll</v>
      </c>
      <c r="J375" s="0" t="str">
        <f aca="false">IF($G375="","Uncategorized — Review",IFERROR(INDEX(Mapping!$C:$C,MATCH($G375,Mapping!$A:$A,0)),"Uncategorized — Review"))</f>
        <v>Payroll &amp; Contractors</v>
      </c>
    </row>
    <row r="376" customFormat="false" ht="15" hidden="false" customHeight="false" outlineLevel="0" collapsed="false">
      <c r="A376" s="0" t="str">
        <f aca="false">2025_DWG_Activity!A376</f>
        <v>DEBIT</v>
      </c>
      <c r="B376" s="15" t="n">
        <f aca="false">2025_DWG_Activity!B376</f>
        <v>45784</v>
      </c>
      <c r="C376" s="0" t="str">
        <f aca="false">2025_DWG_Activity!C376</f>
        <v>TST*JUICE CRAFTERS - Santa Monica CA         05/06</v>
      </c>
      <c r="D376" s="7" t="n">
        <f aca="false">2025_DWG_Activity!D376</f>
        <v>-29.88</v>
      </c>
      <c r="E376" s="0" t="str">
        <f aca="false">2025_DWG_Activity!E376</f>
        <v>DEBIT_CARD</v>
      </c>
      <c r="F376" s="7" t="n">
        <f aca="false">2025_DWG_Activity!F376</f>
        <v>16429.82</v>
      </c>
      <c r="G376" s="0" t="str">
        <f aca="false">2025_DWG_Activity!G376</f>
        <v>Personal - Food</v>
      </c>
      <c r="H376" s="16" t="n">
        <f aca="false">IF($B376="","",DATE(YEAR($B376),MONTH($B376),1))</f>
        <v>45778</v>
      </c>
      <c r="I376" s="0" t="str">
        <f aca="false">IF($G376="","Uncategorized — Review",IFERROR(INDEX(Mapping!$B:$B,MATCH($G376,Mapping!$A:$A,0)),"Uncategorized — Review"))</f>
        <v>Personal - Food</v>
      </c>
      <c r="J376" s="0" t="str">
        <f aca="false">IF($G376="","Uncategorized — Review",IFERROR(INDEX(Mapping!$C:$C,MATCH($G376,Mapping!$A:$A,0)),"Uncategorized — Review"))</f>
        <v>Personal — Owner</v>
      </c>
    </row>
    <row r="377" customFormat="false" ht="15" hidden="false" customHeight="false" outlineLevel="0" collapsed="false">
      <c r="A377" s="0" t="str">
        <f aca="false">2025_DWG_Activity!A377</f>
        <v>DEBIT</v>
      </c>
      <c r="B377" s="15" t="n">
        <f aca="false">2025_DWG_Activity!B377</f>
        <v>45784</v>
      </c>
      <c r="C377" s="0" t="str">
        <f aca="false">2025_DWG_Activity!C377</f>
        <v>VITO RESTAURANT SANTA MONICA CA              05/06</v>
      </c>
      <c r="D377" s="7" t="n">
        <f aca="false">2025_DWG_Activity!D377</f>
        <v>-40</v>
      </c>
      <c r="E377" s="0" t="str">
        <f aca="false">2025_DWG_Activity!E377</f>
        <v>DEBIT_CARD</v>
      </c>
      <c r="F377" s="7" t="n">
        <f aca="false">2025_DWG_Activity!F377</f>
        <v>16459.7</v>
      </c>
      <c r="G377" s="0" t="str">
        <f aca="false">2025_DWG_Activity!G377</f>
        <v>Personal - Food</v>
      </c>
      <c r="H377" s="16" t="n">
        <f aca="false">IF($B377="","",DATE(YEAR($B377),MONTH($B377),1))</f>
        <v>45778</v>
      </c>
      <c r="I377" s="0" t="str">
        <f aca="false">IF($G377="","Uncategorized — Review",IFERROR(INDEX(Mapping!$B:$B,MATCH($G377,Mapping!$A:$A,0)),"Uncategorized — Review"))</f>
        <v>Personal - Food</v>
      </c>
      <c r="J377" s="0" t="str">
        <f aca="false">IF($G377="","Uncategorized — Review",IFERROR(INDEX(Mapping!$C:$C,MATCH($G377,Mapping!$A:$A,0)),"Uncategorized — Review"))</f>
        <v>Personal — Owner</v>
      </c>
    </row>
    <row r="378" customFormat="false" ht="15" hidden="false" customHeight="false" outlineLevel="0" collapsed="false">
      <c r="A378" s="0" t="str">
        <f aca="false">2025_DWG_Activity!A378</f>
        <v>DEBIT</v>
      </c>
      <c r="B378" s="15" t="n">
        <f aca="false">2025_DWG_Activity!B378</f>
        <v>45784</v>
      </c>
      <c r="C378" s="0" t="str">
        <f aca="false">2025_DWG_Activity!C378</f>
        <v>VITO RESTAURANT SANTA MONICA CA              05/06</v>
      </c>
      <c r="D378" s="7" t="n">
        <f aca="false">2025_DWG_Activity!D378</f>
        <v>-32.58</v>
      </c>
      <c r="E378" s="0" t="str">
        <f aca="false">2025_DWG_Activity!E378</f>
        <v>DEBIT_CARD</v>
      </c>
      <c r="F378" s="7" t="n">
        <f aca="false">2025_DWG_Activity!F378</f>
        <v>16499.7</v>
      </c>
      <c r="G378" s="0" t="str">
        <f aca="false">2025_DWG_Activity!G378</f>
        <v>Personal - Food</v>
      </c>
      <c r="H378" s="16" t="n">
        <f aca="false">IF($B378="","",DATE(YEAR($B378),MONTH($B378),1))</f>
        <v>45778</v>
      </c>
      <c r="I378" s="0" t="str">
        <f aca="false">IF($G378="","Uncategorized — Review",IFERROR(INDEX(Mapping!$B:$B,MATCH($G378,Mapping!$A:$A,0)),"Uncategorized — Review"))</f>
        <v>Personal - Food</v>
      </c>
      <c r="J378" s="0" t="str">
        <f aca="false">IF($G378="","Uncategorized — Review",IFERROR(INDEX(Mapping!$C:$C,MATCH($G378,Mapping!$A:$A,0)),"Uncategorized — Review"))</f>
        <v>Personal — Owner</v>
      </c>
    </row>
    <row r="379" customFormat="false" ht="15" hidden="false" customHeight="false" outlineLevel="0" collapsed="false">
      <c r="A379" s="0" t="str">
        <f aca="false">2025_DWG_Activity!A379</f>
        <v>DEBIT</v>
      </c>
      <c r="B379" s="15" t="n">
        <f aca="false">2025_DWG_Activity!B379</f>
        <v>45784</v>
      </c>
      <c r="C379" s="0" t="str">
        <f aca="false">2025_DWG_Activity!C379</f>
        <v>CITY OF SANTA MONICA SANTA MONICA CA         05/06</v>
      </c>
      <c r="D379" s="7" t="n">
        <f aca="false">2025_DWG_Activity!D379</f>
        <v>-0.42</v>
      </c>
      <c r="E379" s="0" t="str">
        <f aca="false">2025_DWG_Activity!E379</f>
        <v>DEBIT_CARD</v>
      </c>
      <c r="F379" s="7" t="n">
        <f aca="false">2025_DWG_Activity!F379</f>
        <v>16532.28</v>
      </c>
      <c r="G379" s="0" t="str">
        <f aca="false">2025_DWG_Activity!G379</f>
        <v>Personal - Car</v>
      </c>
      <c r="H379" s="16" t="n">
        <f aca="false">IF($B379="","",DATE(YEAR($B379),MONTH($B379),1))</f>
        <v>45778</v>
      </c>
      <c r="I379" s="0" t="str">
        <f aca="false">IF($G379="","Uncategorized — Review",IFERROR(INDEX(Mapping!$B:$B,MATCH($G379,Mapping!$A:$A,0)),"Uncategorized — Review"))</f>
        <v>Personal - Car</v>
      </c>
      <c r="J379" s="0" t="str">
        <f aca="false">IF($G379="","Uncategorized — Review",IFERROR(INDEX(Mapping!$C:$C,MATCH($G379,Mapping!$A:$A,0)),"Uncategorized — Review"))</f>
        <v>Personal — Owner</v>
      </c>
    </row>
    <row r="380" customFormat="false" ht="15" hidden="false" customHeight="false" outlineLevel="0" collapsed="false">
      <c r="A380" s="0" t="str">
        <f aca="false">2025_DWG_Activity!A380</f>
        <v>DEBIT</v>
      </c>
      <c r="B380" s="15" t="n">
        <f aca="false">2025_DWG_Activity!B380</f>
        <v>45784</v>
      </c>
      <c r="C380" s="0" t="str">
        <f aca="false">2025_DWG_Activity!C380</f>
        <v>CITY OF SANTA MONICA SANTA MONICA CA         05/06</v>
      </c>
      <c r="D380" s="7" t="n">
        <f aca="false">2025_DWG_Activity!D380</f>
        <v>-1.25</v>
      </c>
      <c r="E380" s="0" t="str">
        <f aca="false">2025_DWG_Activity!E380</f>
        <v>DEBIT_CARD</v>
      </c>
      <c r="F380" s="7" t="n">
        <f aca="false">2025_DWG_Activity!F380</f>
        <v>16532.7</v>
      </c>
      <c r="G380" s="0" t="str">
        <f aca="false">2025_DWG_Activity!G380</f>
        <v>Personal - Car</v>
      </c>
      <c r="H380" s="16" t="n">
        <f aca="false">IF($B380="","",DATE(YEAR($B380),MONTH($B380),1))</f>
        <v>45778</v>
      </c>
      <c r="I380" s="0" t="str">
        <f aca="false">IF($G380="","Uncategorized — Review",IFERROR(INDEX(Mapping!$B:$B,MATCH($G380,Mapping!$A:$A,0)),"Uncategorized — Review"))</f>
        <v>Personal - Car</v>
      </c>
      <c r="J380" s="0" t="str">
        <f aca="false">IF($G380="","Uncategorized — Review",IFERROR(INDEX(Mapping!$C:$C,MATCH($G380,Mapping!$A:$A,0)),"Uncategorized — Review"))</f>
        <v>Personal — Owner</v>
      </c>
    </row>
    <row r="381" customFormat="false" ht="15" hidden="false" customHeight="false" outlineLevel="0" collapsed="false">
      <c r="A381" s="0" t="str">
        <f aca="false">2025_DWG_Activity!A381</f>
        <v>DEBIT</v>
      </c>
      <c r="B381" s="15" t="n">
        <f aca="false">2025_DWG_Activity!B381</f>
        <v>45784</v>
      </c>
      <c r="C381" s="0" t="str">
        <f aca="false">2025_DWG_Activity!C381</f>
        <v>NEW INDIA'S OVEN #2 MARINA DEL RE CA         05/05</v>
      </c>
      <c r="D381" s="7" t="n">
        <f aca="false">2025_DWG_Activity!D381</f>
        <v>-130.93</v>
      </c>
      <c r="E381" s="0" t="str">
        <f aca="false">2025_DWG_Activity!E381</f>
        <v>DEBIT_CARD</v>
      </c>
      <c r="F381" s="7" t="n">
        <f aca="false">2025_DWG_Activity!F381</f>
        <v>16533.95</v>
      </c>
      <c r="G381" s="0" t="str">
        <f aca="false">2025_DWG_Activity!G381</f>
        <v>Personal - Food</v>
      </c>
      <c r="H381" s="16" t="n">
        <f aca="false">IF($B381="","",DATE(YEAR($B381),MONTH($B381),1))</f>
        <v>45778</v>
      </c>
      <c r="I381" s="0" t="str">
        <f aca="false">IF($G381="","Uncategorized — Review",IFERROR(INDEX(Mapping!$B:$B,MATCH($G381,Mapping!$A:$A,0)),"Uncategorized — Review"))</f>
        <v>Personal - Food</v>
      </c>
      <c r="J381" s="0" t="str">
        <f aca="false">IF($G381="","Uncategorized — Review",IFERROR(INDEX(Mapping!$C:$C,MATCH($G381,Mapping!$A:$A,0)),"Uncategorized — Review"))</f>
        <v>Personal — Owner</v>
      </c>
    </row>
    <row r="382" customFormat="false" ht="15" hidden="false" customHeight="false" outlineLevel="0" collapsed="false">
      <c r="A382" s="0" t="str">
        <f aca="false">2025_DWG_Activity!A382</f>
        <v>DEBIT</v>
      </c>
      <c r="B382" s="15" t="n">
        <f aca="false">2025_DWG_Activity!B382</f>
        <v>45784</v>
      </c>
      <c r="C382" s="0" t="str">
        <f aca="false">2025_DWG_Activity!C382</f>
        <v>THE MV GRAB AND GO LOS ANGELES CA            05/05</v>
      </c>
      <c r="D382" s="7" t="n">
        <f aca="false">2025_DWG_Activity!D382</f>
        <v>-51.58</v>
      </c>
      <c r="E382" s="0" t="str">
        <f aca="false">2025_DWG_Activity!E382</f>
        <v>DEBIT_CARD</v>
      </c>
      <c r="F382" s="7" t="n">
        <f aca="false">2025_DWG_Activity!F382</f>
        <v>16664.88</v>
      </c>
      <c r="G382" s="0" t="str">
        <f aca="false">2025_DWG_Activity!G382</f>
        <v>Personal - Food</v>
      </c>
      <c r="H382" s="16" t="n">
        <f aca="false">IF($B382="","",DATE(YEAR($B382),MONTH($B382),1))</f>
        <v>45778</v>
      </c>
      <c r="I382" s="0" t="str">
        <f aca="false">IF($G382="","Uncategorized — Review",IFERROR(INDEX(Mapping!$B:$B,MATCH($G382,Mapping!$A:$A,0)),"Uncategorized — Review"))</f>
        <v>Personal - Food</v>
      </c>
      <c r="J382" s="0" t="str">
        <f aca="false">IF($G382="","Uncategorized — Review",IFERROR(INDEX(Mapping!$C:$C,MATCH($G382,Mapping!$A:$A,0)),"Uncategorized — Review"))</f>
        <v>Personal — Owner</v>
      </c>
    </row>
    <row r="383" customFormat="false" ht="15" hidden="false" customHeight="false" outlineLevel="0" collapsed="false">
      <c r="A383" s="0" t="str">
        <f aca="false">2025_DWG_Activity!A383</f>
        <v>DEBIT</v>
      </c>
      <c r="B383" s="15" t="n">
        <f aca="false">2025_DWG_Activity!B383</f>
        <v>45783</v>
      </c>
      <c r="C383" s="0" t="str">
        <f aca="false">2025_DWG_Activity!C383</f>
        <v>DICE.FM DICE.FM NY                           05/06</v>
      </c>
      <c r="D383" s="7" t="n">
        <f aca="false">2025_DWG_Activity!D383</f>
        <v>-55.62</v>
      </c>
      <c r="E383" s="0" t="str">
        <f aca="false">2025_DWG_Activity!E383</f>
        <v>DEBIT_CARD</v>
      </c>
      <c r="F383" s="7" t="n">
        <f aca="false">2025_DWG_Activity!F383</f>
        <v>16716.46</v>
      </c>
      <c r="G383" s="0" t="str">
        <f aca="false">2025_DWG_Activity!G383</f>
        <v>Personal - Entertainment</v>
      </c>
      <c r="H383" s="16" t="n">
        <f aca="false">IF($B383="","",DATE(YEAR($B383),MONTH($B383),1))</f>
        <v>45778</v>
      </c>
      <c r="I383" s="0" t="str">
        <f aca="false">IF($G383="","Uncategorized — Review",IFERROR(INDEX(Mapping!$B:$B,MATCH($G383,Mapping!$A:$A,0)),"Uncategorized — Review"))</f>
        <v>Personal - Entertainment</v>
      </c>
      <c r="J383" s="0" t="str">
        <f aca="false">IF($G383="","Uncategorized — Review",IFERROR(INDEX(Mapping!$C:$C,MATCH($G383,Mapping!$A:$A,0)),"Uncategorized — Review"))</f>
        <v>Personal — Owner</v>
      </c>
    </row>
    <row r="384" customFormat="false" ht="15" hidden="false" customHeight="false" outlineLevel="0" collapsed="false">
      <c r="A384" s="0" t="str">
        <f aca="false">2025_DWG_Activity!A384</f>
        <v>DEBIT</v>
      </c>
      <c r="B384" s="15" t="n">
        <f aca="false">2025_DWG_Activity!B384</f>
        <v>45782</v>
      </c>
      <c r="C384" s="0" t="str">
        <f aca="false">2025_DWG_Activity!C384</f>
        <v>MANHATTAN BEACH PARK MANHATTAN BEA CA        05/04</v>
      </c>
      <c r="D384" s="7" t="n">
        <f aca="false">2025_DWG_Activity!D384</f>
        <v>-7.25</v>
      </c>
      <c r="E384" s="0" t="str">
        <f aca="false">2025_DWG_Activity!E384</f>
        <v>DEBIT_CARD</v>
      </c>
      <c r="F384" s="7" t="n">
        <f aca="false">2025_DWG_Activity!F384</f>
        <v>16772.08</v>
      </c>
      <c r="G384" s="0" t="str">
        <f aca="false">2025_DWG_Activity!G384</f>
        <v>Personal - Car</v>
      </c>
      <c r="H384" s="16" t="n">
        <f aca="false">IF($B384="","",DATE(YEAR($B384),MONTH($B384),1))</f>
        <v>45778</v>
      </c>
      <c r="I384" s="0" t="str">
        <f aca="false">IF($G384="","Uncategorized — Review",IFERROR(INDEX(Mapping!$B:$B,MATCH($G384,Mapping!$A:$A,0)),"Uncategorized — Review"))</f>
        <v>Personal - Car</v>
      </c>
      <c r="J384" s="0" t="str">
        <f aca="false">IF($G384="","Uncategorized — Review",IFERROR(INDEX(Mapping!$C:$C,MATCH($G384,Mapping!$A:$A,0)),"Uncategorized — Review"))</f>
        <v>Personal — Owner</v>
      </c>
    </row>
    <row r="385" customFormat="false" ht="15" hidden="false" customHeight="false" outlineLevel="0" collapsed="false">
      <c r="A385" s="0" t="str">
        <f aca="false">2025_DWG_Activity!A385</f>
        <v>DEBIT</v>
      </c>
      <c r="B385" s="15" t="n">
        <f aca="false">2025_DWG_Activity!B385</f>
        <v>45782</v>
      </c>
      <c r="C385" s="0" t="str">
        <f aca="false">2025_DWG_Activity!C385</f>
        <v>Online Transfer to CHK ...9082 transaction#: 24643111032 05/05</v>
      </c>
      <c r="D385" s="7" t="n">
        <f aca="false">2025_DWG_Activity!D385</f>
        <v>-6000</v>
      </c>
      <c r="E385" s="0" t="str">
        <f aca="false">2025_DWG_Activity!E385</f>
        <v>ACCT_XFER</v>
      </c>
      <c r="F385" s="7" t="n">
        <f aca="false">2025_DWG_Activity!F385</f>
        <v>16779.33</v>
      </c>
      <c r="G385" s="0" t="str">
        <f aca="false">2025_DWG_Activity!G385</f>
        <v>Transfer to AirBagit</v>
      </c>
      <c r="H385" s="16" t="n">
        <f aca="false">IF($B385="","",DATE(YEAR($B385),MONTH($B385),1))</f>
        <v>45778</v>
      </c>
      <c r="I385" s="0" t="str">
        <f aca="false">IF($G385="","Uncategorized — Review",IFERROR(INDEX(Mapping!$B:$B,MATCH($G385,Mapping!$A:$A,0)),"Uncategorized — Review"))</f>
        <v>Transfer to AirBagit</v>
      </c>
      <c r="J385" s="0" t="str">
        <f aca="false">IF($G385="","Uncategorized — Review",IFERROR(INDEX(Mapping!$C:$C,MATCH($G385,Mapping!$A:$A,0)),"Uncategorized — Review"))</f>
        <v>Intercompany &amp; Savings Transfers</v>
      </c>
    </row>
    <row r="386" customFormat="false" ht="15" hidden="false" customHeight="false" outlineLevel="0" collapsed="false">
      <c r="A386" s="0" t="str">
        <f aca="false">2025_DWG_Activity!A386</f>
        <v>CREDIT</v>
      </c>
      <c r="B386" s="15" t="n">
        <f aca="false">2025_DWG_Activity!B386</f>
        <v>45782</v>
      </c>
      <c r="C386" s="0" t="str">
        <f aca="false">2025_DWG_Activity!C386</f>
        <v>Online Transfer from CHK ...9082 transaction#: 24643237781</v>
      </c>
      <c r="D386" s="7" t="n">
        <f aca="false">2025_DWG_Activity!D386</f>
        <v>5000</v>
      </c>
      <c r="E386" s="0" t="str">
        <f aca="false">2025_DWG_Activity!E386</f>
        <v>ACCT_XFER</v>
      </c>
      <c r="F386" s="7" t="n">
        <f aca="false">2025_DWG_Activity!F386</f>
        <v>22779.33</v>
      </c>
      <c r="G386" s="0" t="str">
        <f aca="false">2025_DWG_Activity!G386</f>
        <v>Transfer from AirBagit</v>
      </c>
      <c r="H386" s="16" t="n">
        <f aca="false">IF($B386="","",DATE(YEAR($B386),MONTH($B386),1))</f>
        <v>45778</v>
      </c>
      <c r="I386" s="0" t="str">
        <f aca="false">IF($G386="","Uncategorized — Review",IFERROR(INDEX(Mapping!$B:$B,MATCH($G386,Mapping!$A:$A,0)),"Uncategorized — Review"))</f>
        <v>Transfer from AirBagit</v>
      </c>
      <c r="J386" s="0" t="str">
        <f aca="false">IF($G386="","Uncategorized — Review",IFERROR(INDEX(Mapping!$C:$C,MATCH($G386,Mapping!$A:$A,0)),"Uncategorized — Review"))</f>
        <v>Intercompany &amp; Savings Transfers</v>
      </c>
    </row>
    <row r="387" customFormat="false" ht="15" hidden="false" customHeight="false" outlineLevel="0" collapsed="false">
      <c r="A387" s="0" t="str">
        <f aca="false">2025_DWG_Activity!A387</f>
        <v>CREDIT</v>
      </c>
      <c r="B387" s="15" t="n">
        <f aca="false">2025_DWG_Activity!B387</f>
        <v>45782</v>
      </c>
      <c r="C387" s="0" t="str">
        <f aca="false">2025_DWG_Activity!C387</f>
        <v>Online Transfer from CHK ...3608 transaction#: 24643083026</v>
      </c>
      <c r="D387" s="7" t="n">
        <f aca="false">2025_DWG_Activity!D387</f>
        <v>6000</v>
      </c>
      <c r="E387" s="0" t="str">
        <f aca="false">2025_DWG_Activity!E387</f>
        <v>ACCT_XFER</v>
      </c>
      <c r="F387" s="7" t="n">
        <f aca="false">2025_DWG_Activity!F387</f>
        <v>17779.33</v>
      </c>
      <c r="G387" s="0" t="str">
        <f aca="false">2025_DWG_Activity!G387</f>
        <v>Transfer from AirBagit</v>
      </c>
      <c r="H387" s="16" t="n">
        <f aca="false">IF($B387="","",DATE(YEAR($B387),MONTH($B387),1))</f>
        <v>45778</v>
      </c>
      <c r="I387" s="0" t="str">
        <f aca="false">IF($G387="","Uncategorized — Review",IFERROR(INDEX(Mapping!$B:$B,MATCH($G387,Mapping!$A:$A,0)),"Uncategorized — Review"))</f>
        <v>Transfer from AirBagit</v>
      </c>
      <c r="J387" s="0" t="str">
        <f aca="false">IF($G387="","Uncategorized — Review",IFERROR(INDEX(Mapping!$C:$C,MATCH($G387,Mapping!$A:$A,0)),"Uncategorized — Review"))</f>
        <v>Intercompany &amp; Savings Transfers</v>
      </c>
    </row>
    <row r="388" customFormat="false" ht="15" hidden="false" customHeight="false" outlineLevel="0" collapsed="false">
      <c r="A388" s="0" t="str">
        <f aca="false">2025_DWG_Activity!A388</f>
        <v>DEBIT</v>
      </c>
      <c r="B388" s="15" t="n">
        <f aca="false">2025_DWG_Activity!B388</f>
        <v>45779</v>
      </c>
      <c r="C388" s="0" t="str">
        <f aca="false">2025_DWG_Activity!C388</f>
        <v>DNH*GODADDY#37318644 https://www.g AZ        05/01</v>
      </c>
      <c r="D388" s="7" t="n">
        <f aca="false">2025_DWG_Activity!D388</f>
        <v>-21.98</v>
      </c>
      <c r="E388" s="0" t="str">
        <f aca="false">2025_DWG_Activity!E388</f>
        <v>DEBIT_CARD</v>
      </c>
      <c r="F388" s="7" t="n">
        <f aca="false">2025_DWG_Activity!F388</f>
        <v>11779.33</v>
      </c>
      <c r="G388" s="0" t="str">
        <f aca="false">2025_DWG_Activity!G388</f>
        <v>Go Daddy</v>
      </c>
      <c r="H388" s="16" t="n">
        <f aca="false">IF($B388="","",DATE(YEAR($B388),MONTH($B388),1))</f>
        <v>45778</v>
      </c>
      <c r="I388" s="0" t="str">
        <f aca="false">IF($G388="","Uncategorized — Review",IFERROR(INDEX(Mapping!$B:$B,MATCH($G388,Mapping!$A:$A,0)),"Uncategorized — Review"))</f>
        <v>Go Daddy</v>
      </c>
      <c r="J388" s="0" t="str">
        <f aca="false">IF($G388="","Uncategorized — Review",IFERROR(INDEX(Mapping!$C:$C,MATCH($G388,Mapping!$A:$A,0)),"Uncategorized — Review"))</f>
        <v>DWG Operating</v>
      </c>
    </row>
    <row r="389" customFormat="false" ht="15" hidden="false" customHeight="false" outlineLevel="0" collapsed="false">
      <c r="A389" s="0" t="str">
        <f aca="false">2025_DWG_Activity!A389</f>
        <v>DEBIT</v>
      </c>
      <c r="B389" s="15" t="n">
        <f aca="false">2025_DWG_Activity!B389</f>
        <v>45779</v>
      </c>
      <c r="C389" s="0" t="str">
        <f aca="false">2025_DWG_Activity!C389</f>
        <v>LAX AIRP CROWNS LAX T4 LOS ANGELES CA        04/30</v>
      </c>
      <c r="D389" s="7" t="n">
        <f aca="false">2025_DWG_Activity!D389</f>
        <v>-29.38</v>
      </c>
      <c r="E389" s="0" t="str">
        <f aca="false">2025_DWG_Activity!E389</f>
        <v>DEBIT_CARD</v>
      </c>
      <c r="F389" s="7" t="n">
        <f aca="false">2025_DWG_Activity!F389</f>
        <v>11801.31</v>
      </c>
      <c r="G389" s="0" t="str">
        <f aca="false">2025_DWG_Activity!G389</f>
        <v>Personal - Food</v>
      </c>
      <c r="H389" s="16" t="n">
        <f aca="false">IF($B389="","",DATE(YEAR($B389),MONTH($B389),1))</f>
        <v>45778</v>
      </c>
      <c r="I389" s="0" t="str">
        <f aca="false">IF($G389="","Uncategorized — Review",IFERROR(INDEX(Mapping!$B:$B,MATCH($G389,Mapping!$A:$A,0)),"Uncategorized — Review"))</f>
        <v>Personal - Food</v>
      </c>
      <c r="J389" s="0" t="str">
        <f aca="false">IF($G389="","Uncategorized — Review",IFERROR(INDEX(Mapping!$C:$C,MATCH($G389,Mapping!$A:$A,0)),"Uncategorized — Review"))</f>
        <v>Personal — Owner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32"/>
  </cols>
  <sheetData>
    <row r="1" customFormat="false" ht="15" hidden="false" customHeight="false" outlineLevel="0" collapsed="false">
      <c r="A1" s="9" t="s">
        <v>88</v>
      </c>
      <c r="B1" s="9" t="s">
        <v>87</v>
      </c>
      <c r="C1" s="9" t="s">
        <v>73</v>
      </c>
    </row>
    <row r="2" customFormat="false" ht="15" hidden="false" customHeight="false" outlineLevel="0" collapsed="false">
      <c r="A2" s="0" t="s">
        <v>45</v>
      </c>
      <c r="B2" s="0" t="s">
        <v>45</v>
      </c>
      <c r="C2" s="0" t="s">
        <v>44</v>
      </c>
    </row>
    <row r="3" customFormat="false" ht="15" hidden="false" customHeight="false" outlineLevel="0" collapsed="false">
      <c r="A3" s="0" t="s">
        <v>42</v>
      </c>
      <c r="B3" s="0" t="s">
        <v>42</v>
      </c>
      <c r="C3" s="0" t="s">
        <v>41</v>
      </c>
    </row>
    <row r="4" customFormat="false" ht="15" hidden="false" customHeight="false" outlineLevel="0" collapsed="false">
      <c r="A4" s="0" t="s">
        <v>69</v>
      </c>
      <c r="B4" s="0" t="s">
        <v>69</v>
      </c>
      <c r="C4" s="0" t="s">
        <v>68</v>
      </c>
    </row>
    <row r="5" customFormat="false" ht="15" hidden="false" customHeight="false" outlineLevel="0" collapsed="false">
      <c r="A5" s="0" t="s">
        <v>55</v>
      </c>
      <c r="B5" s="0" t="s">
        <v>55</v>
      </c>
      <c r="C5" s="0" t="s">
        <v>54</v>
      </c>
    </row>
    <row r="6" customFormat="false" ht="15" hidden="false" customHeight="false" outlineLevel="0" collapsed="false">
      <c r="A6" s="0" t="s">
        <v>46</v>
      </c>
      <c r="B6" s="0" t="s">
        <v>46</v>
      </c>
      <c r="C6" s="0" t="s">
        <v>44</v>
      </c>
    </row>
    <row r="7" customFormat="false" ht="15" hidden="false" customHeight="false" outlineLevel="0" collapsed="false">
      <c r="A7" s="0" t="s">
        <v>3</v>
      </c>
      <c r="B7" s="0" t="s">
        <v>3</v>
      </c>
      <c r="C7" s="0" t="s">
        <v>44</v>
      </c>
    </row>
    <row r="8" customFormat="false" ht="15" hidden="false" customHeight="false" outlineLevel="0" collapsed="false">
      <c r="A8" s="0" t="s">
        <v>47</v>
      </c>
      <c r="B8" s="0" t="s">
        <v>47</v>
      </c>
      <c r="C8" s="0" t="s">
        <v>44</v>
      </c>
    </row>
    <row r="9" customFormat="false" ht="15" hidden="false" customHeight="false" outlineLevel="0" collapsed="false">
      <c r="A9" s="0" t="s">
        <v>48</v>
      </c>
      <c r="B9" s="0" t="s">
        <v>48</v>
      </c>
      <c r="C9" s="0" t="s">
        <v>44</v>
      </c>
    </row>
    <row r="10" customFormat="false" ht="15" hidden="false" customHeight="false" outlineLevel="0" collapsed="false">
      <c r="A10" s="0" t="s">
        <v>49</v>
      </c>
      <c r="B10" s="0" t="s">
        <v>49</v>
      </c>
      <c r="C10" s="0" t="s">
        <v>44</v>
      </c>
    </row>
    <row r="11" customFormat="false" ht="15" hidden="false" customHeight="false" outlineLevel="0" collapsed="false">
      <c r="A11" s="0" t="s">
        <v>17</v>
      </c>
      <c r="B11" s="0" t="s">
        <v>17</v>
      </c>
      <c r="C11" s="0" t="s">
        <v>16</v>
      </c>
    </row>
    <row r="12" customFormat="false" ht="15" hidden="false" customHeight="false" outlineLevel="0" collapsed="false">
      <c r="A12" s="0" t="s">
        <v>50</v>
      </c>
      <c r="B12" s="0" t="s">
        <v>50</v>
      </c>
      <c r="C12" s="0" t="s">
        <v>44</v>
      </c>
    </row>
    <row r="13" customFormat="false" ht="15" hidden="false" customHeight="false" outlineLevel="0" collapsed="false">
      <c r="A13" s="0" t="s">
        <v>51</v>
      </c>
      <c r="B13" s="0" t="s">
        <v>51</v>
      </c>
      <c r="C13" s="0" t="s">
        <v>44</v>
      </c>
    </row>
    <row r="14" customFormat="false" ht="15" hidden="false" customHeight="false" outlineLevel="0" collapsed="false">
      <c r="A14" s="0" t="s">
        <v>32</v>
      </c>
      <c r="B14" s="0" t="s">
        <v>32</v>
      </c>
      <c r="C14" s="0" t="s">
        <v>31</v>
      </c>
    </row>
    <row r="15" customFormat="false" ht="15" hidden="false" customHeight="false" outlineLevel="0" collapsed="false">
      <c r="A15" s="0" t="s">
        <v>33</v>
      </c>
      <c r="B15" s="0" t="s">
        <v>33</v>
      </c>
      <c r="C15" s="0" t="s">
        <v>31</v>
      </c>
    </row>
    <row r="16" customFormat="false" ht="15" hidden="false" customHeight="false" outlineLevel="0" collapsed="false">
      <c r="A16" s="0" t="s">
        <v>34</v>
      </c>
      <c r="B16" s="0" t="s">
        <v>34</v>
      </c>
      <c r="C16" s="0" t="s">
        <v>31</v>
      </c>
    </row>
    <row r="17" customFormat="false" ht="15" hidden="false" customHeight="false" outlineLevel="0" collapsed="false">
      <c r="A17" s="0" t="s">
        <v>56</v>
      </c>
      <c r="B17" s="0" t="s">
        <v>56</v>
      </c>
      <c r="C17" s="0" t="s">
        <v>54</v>
      </c>
    </row>
    <row r="18" customFormat="false" ht="15" hidden="false" customHeight="false" outlineLevel="0" collapsed="false">
      <c r="A18" s="0" t="s">
        <v>57</v>
      </c>
      <c r="B18" s="0" t="s">
        <v>57</v>
      </c>
      <c r="C18" s="0" t="s">
        <v>54</v>
      </c>
    </row>
    <row r="19" customFormat="false" ht="15" hidden="false" customHeight="false" outlineLevel="0" collapsed="false">
      <c r="A19" s="0" t="s">
        <v>58</v>
      </c>
      <c r="B19" s="0" t="s">
        <v>58</v>
      </c>
      <c r="C19" s="0" t="s">
        <v>54</v>
      </c>
    </row>
    <row r="20" customFormat="false" ht="15" hidden="false" customHeight="false" outlineLevel="0" collapsed="false">
      <c r="A20" s="0" t="s">
        <v>59</v>
      </c>
      <c r="B20" s="0" t="s">
        <v>59</v>
      </c>
      <c r="C20" s="0" t="s">
        <v>54</v>
      </c>
    </row>
    <row r="21" customFormat="false" ht="15" hidden="false" customHeight="false" outlineLevel="0" collapsed="false">
      <c r="A21" s="0" t="s">
        <v>60</v>
      </c>
      <c r="B21" s="0" t="s">
        <v>60</v>
      </c>
      <c r="C21" s="0" t="s">
        <v>54</v>
      </c>
    </row>
    <row r="22" customFormat="false" ht="15" hidden="false" customHeight="false" outlineLevel="0" collapsed="false">
      <c r="A22" s="0" t="s">
        <v>61</v>
      </c>
      <c r="B22" s="0" t="s">
        <v>61</v>
      </c>
      <c r="C22" s="0" t="s">
        <v>54</v>
      </c>
    </row>
    <row r="23" customFormat="false" ht="15" hidden="false" customHeight="false" outlineLevel="0" collapsed="false">
      <c r="A23" s="0" t="s">
        <v>62</v>
      </c>
      <c r="B23" s="0" t="s">
        <v>62</v>
      </c>
      <c r="C23" s="0" t="s">
        <v>54</v>
      </c>
    </row>
    <row r="24" customFormat="false" ht="15" hidden="false" customHeight="false" outlineLevel="0" collapsed="false">
      <c r="A24" s="0" t="s">
        <v>63</v>
      </c>
      <c r="B24" s="0" t="s">
        <v>63</v>
      </c>
      <c r="C24" s="0" t="s">
        <v>54</v>
      </c>
    </row>
    <row r="25" customFormat="false" ht="15" hidden="false" customHeight="false" outlineLevel="0" collapsed="false">
      <c r="A25" s="0" t="s">
        <v>64</v>
      </c>
      <c r="B25" s="0" t="s">
        <v>64</v>
      </c>
      <c r="C25" s="0" t="s">
        <v>54</v>
      </c>
    </row>
    <row r="26" customFormat="false" ht="15" hidden="false" customHeight="false" outlineLevel="0" collapsed="false">
      <c r="A26" s="0" t="s">
        <v>65</v>
      </c>
      <c r="B26" s="0" t="s">
        <v>65</v>
      </c>
      <c r="C26" s="0" t="s">
        <v>54</v>
      </c>
    </row>
    <row r="27" customFormat="false" ht="15" hidden="false" customHeight="false" outlineLevel="0" collapsed="false">
      <c r="A27" s="0" t="s">
        <v>66</v>
      </c>
      <c r="B27" s="0" t="s">
        <v>66</v>
      </c>
      <c r="C27" s="0" t="s">
        <v>54</v>
      </c>
    </row>
    <row r="28" customFormat="false" ht="15" hidden="false" customHeight="false" outlineLevel="0" collapsed="false">
      <c r="A28" s="0" t="s">
        <v>35</v>
      </c>
      <c r="B28" s="0" t="s">
        <v>35</v>
      </c>
      <c r="C28" s="0" t="s">
        <v>31</v>
      </c>
    </row>
    <row r="29" customFormat="false" ht="15" hidden="false" customHeight="false" outlineLevel="0" collapsed="false">
      <c r="A29" s="0" t="s">
        <v>36</v>
      </c>
      <c r="B29" s="0" t="s">
        <v>36</v>
      </c>
      <c r="C29" s="0" t="s">
        <v>31</v>
      </c>
    </row>
    <row r="30" customFormat="false" ht="15" hidden="false" customHeight="false" outlineLevel="0" collapsed="false">
      <c r="A30" s="0" t="s">
        <v>20</v>
      </c>
      <c r="B30" s="0" t="s">
        <v>20</v>
      </c>
      <c r="C30" s="0" t="s">
        <v>19</v>
      </c>
    </row>
    <row r="31" customFormat="false" ht="15" hidden="false" customHeight="false" outlineLevel="0" collapsed="false">
      <c r="A31" s="0" t="s">
        <v>21</v>
      </c>
      <c r="B31" s="0" t="s">
        <v>21</v>
      </c>
      <c r="C31" s="0" t="s">
        <v>19</v>
      </c>
    </row>
    <row r="32" customFormat="false" ht="15" hidden="false" customHeight="false" outlineLevel="0" collapsed="false">
      <c r="A32" s="0" t="s">
        <v>22</v>
      </c>
      <c r="B32" s="0" t="s">
        <v>22</v>
      </c>
      <c r="C32" s="0" t="s">
        <v>19</v>
      </c>
    </row>
    <row r="33" customFormat="false" ht="15" hidden="false" customHeight="false" outlineLevel="0" collapsed="false">
      <c r="A33" s="0" t="s">
        <v>23</v>
      </c>
      <c r="B33" s="0" t="s">
        <v>23</v>
      </c>
      <c r="C33" s="0" t="s">
        <v>19</v>
      </c>
    </row>
    <row r="34" customFormat="false" ht="15" hidden="false" customHeight="false" outlineLevel="0" collapsed="false">
      <c r="A34" s="0" t="s">
        <v>24</v>
      </c>
      <c r="B34" s="0" t="s">
        <v>24</v>
      </c>
      <c r="C34" s="0" t="s">
        <v>19</v>
      </c>
    </row>
    <row r="35" customFormat="false" ht="15" hidden="false" customHeight="false" outlineLevel="0" collapsed="false">
      <c r="A35" s="0" t="s">
        <v>25</v>
      </c>
      <c r="B35" s="0" t="s">
        <v>25</v>
      </c>
      <c r="C35" s="0" t="s">
        <v>19</v>
      </c>
    </row>
    <row r="36" customFormat="false" ht="15" hidden="false" customHeight="false" outlineLevel="0" collapsed="false">
      <c r="A36" s="0" t="s">
        <v>26</v>
      </c>
      <c r="B36" s="0" t="s">
        <v>26</v>
      </c>
      <c r="C36" s="0" t="s">
        <v>19</v>
      </c>
    </row>
    <row r="37" customFormat="false" ht="15" hidden="false" customHeight="false" outlineLevel="0" collapsed="false">
      <c r="A37" s="0" t="s">
        <v>27</v>
      </c>
      <c r="B37" s="0" t="s">
        <v>27</v>
      </c>
      <c r="C37" s="0" t="s">
        <v>19</v>
      </c>
    </row>
    <row r="38" customFormat="false" ht="15" hidden="false" customHeight="false" outlineLevel="0" collapsed="false">
      <c r="A38" s="0" t="s">
        <v>28</v>
      </c>
      <c r="B38" s="0" t="s">
        <v>28</v>
      </c>
      <c r="C38" s="0" t="s">
        <v>19</v>
      </c>
    </row>
    <row r="39" customFormat="false" ht="15" hidden="false" customHeight="false" outlineLevel="0" collapsed="false">
      <c r="A39" s="0" t="s">
        <v>29</v>
      </c>
      <c r="B39" s="0" t="s">
        <v>29</v>
      </c>
      <c r="C39" s="0" t="s">
        <v>19</v>
      </c>
    </row>
    <row r="40" customFormat="false" ht="15" hidden="false" customHeight="false" outlineLevel="0" collapsed="false">
      <c r="A40" s="0" t="s">
        <v>70</v>
      </c>
      <c r="B40" s="0" t="s">
        <v>70</v>
      </c>
      <c r="C40" s="0" t="s">
        <v>68</v>
      </c>
    </row>
    <row r="41" customFormat="false" ht="15" hidden="false" customHeight="false" outlineLevel="0" collapsed="false">
      <c r="A41" s="0" t="s">
        <v>52</v>
      </c>
      <c r="B41" s="0" t="s">
        <v>52</v>
      </c>
      <c r="C41" s="0" t="s">
        <v>44</v>
      </c>
    </row>
    <row r="42" customFormat="false" ht="15" hidden="false" customHeight="false" outlineLevel="0" collapsed="false">
      <c r="A42" s="0" t="s">
        <v>39</v>
      </c>
      <c r="B42" s="0" t="s">
        <v>39</v>
      </c>
      <c r="C42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9" t="s">
        <v>80</v>
      </c>
      <c r="B1" s="9" t="s">
        <v>81</v>
      </c>
      <c r="C1" s="9" t="s">
        <v>82</v>
      </c>
      <c r="D1" s="9" t="s">
        <v>83</v>
      </c>
      <c r="E1" s="9" t="s">
        <v>84</v>
      </c>
      <c r="F1" s="9" t="s">
        <v>85</v>
      </c>
      <c r="G1" s="9" t="s">
        <v>89</v>
      </c>
    </row>
    <row r="2" customFormat="false" ht="15" hidden="false" customHeight="false" outlineLevel="0" collapsed="false">
      <c r="A2" s="0" t="s">
        <v>90</v>
      </c>
      <c r="B2" s="15" t="n">
        <v>46022</v>
      </c>
      <c r="C2" s="17" t="s">
        <v>91</v>
      </c>
      <c r="D2" s="7" t="n">
        <v>-23350</v>
      </c>
      <c r="E2" s="17" t="s">
        <v>92</v>
      </c>
      <c r="F2" s="7" t="n">
        <v>13515.83</v>
      </c>
      <c r="G2" s="17" t="s">
        <v>29</v>
      </c>
    </row>
    <row r="3" customFormat="false" ht="15" hidden="false" customHeight="false" outlineLevel="0" collapsed="false">
      <c r="A3" s="0" t="s">
        <v>90</v>
      </c>
      <c r="B3" s="15" t="n">
        <v>46022</v>
      </c>
      <c r="C3" s="17" t="s">
        <v>93</v>
      </c>
      <c r="D3" s="7" t="n">
        <v>-99</v>
      </c>
      <c r="E3" s="17" t="s">
        <v>94</v>
      </c>
      <c r="F3" s="7" t="n">
        <v>36865.83</v>
      </c>
      <c r="G3" s="17" t="s">
        <v>49</v>
      </c>
    </row>
    <row r="4" customFormat="false" ht="15" hidden="false" customHeight="false" outlineLevel="0" collapsed="false">
      <c r="A4" s="0" t="s">
        <v>90</v>
      </c>
      <c r="B4" s="15" t="n">
        <v>46022</v>
      </c>
      <c r="C4" s="17" t="s">
        <v>95</v>
      </c>
      <c r="D4" s="7" t="n">
        <v>-8.99</v>
      </c>
      <c r="E4" s="17" t="s">
        <v>94</v>
      </c>
      <c r="F4" s="7" t="n">
        <v>36964.83</v>
      </c>
      <c r="G4" s="17" t="s">
        <v>63</v>
      </c>
    </row>
    <row r="5" customFormat="false" ht="15" hidden="false" customHeight="false" outlineLevel="0" collapsed="false">
      <c r="A5" s="0" t="s">
        <v>90</v>
      </c>
      <c r="B5" s="15" t="n">
        <v>46022</v>
      </c>
      <c r="C5" s="17" t="s">
        <v>96</v>
      </c>
      <c r="D5" s="7" t="n">
        <v>-508</v>
      </c>
      <c r="E5" s="17" t="s">
        <v>94</v>
      </c>
      <c r="F5" s="7" t="n">
        <v>36973.82</v>
      </c>
      <c r="G5" s="17" t="s">
        <v>47</v>
      </c>
    </row>
    <row r="6" customFormat="false" ht="15" hidden="false" customHeight="false" outlineLevel="0" collapsed="false">
      <c r="A6" s="0" t="s">
        <v>97</v>
      </c>
      <c r="B6" s="15" t="n">
        <v>46022</v>
      </c>
      <c r="C6" s="17" t="s">
        <v>98</v>
      </c>
      <c r="D6" s="7" t="n">
        <v>23349</v>
      </c>
      <c r="E6" s="17" t="s">
        <v>92</v>
      </c>
      <c r="F6" s="7" t="n">
        <v>37481.82</v>
      </c>
      <c r="G6" s="17" t="s">
        <v>24</v>
      </c>
    </row>
    <row r="7" customFormat="false" ht="15" hidden="false" customHeight="false" outlineLevel="0" collapsed="false">
      <c r="A7" s="0" t="s">
        <v>90</v>
      </c>
      <c r="B7" s="15" t="n">
        <v>46021</v>
      </c>
      <c r="C7" s="17" t="s">
        <v>99</v>
      </c>
      <c r="D7" s="7" t="n">
        <v>-235000</v>
      </c>
      <c r="E7" s="17" t="s">
        <v>92</v>
      </c>
      <c r="F7" s="7" t="n">
        <v>14132.82</v>
      </c>
      <c r="G7" s="17" t="s">
        <v>17</v>
      </c>
    </row>
    <row r="8" customFormat="false" ht="15" hidden="false" customHeight="false" outlineLevel="0" collapsed="false">
      <c r="A8" s="0" t="s">
        <v>90</v>
      </c>
      <c r="B8" s="15" t="n">
        <v>46021</v>
      </c>
      <c r="C8" s="17" t="s">
        <v>100</v>
      </c>
      <c r="D8" s="7" t="n">
        <v>-187</v>
      </c>
      <c r="E8" s="17" t="s">
        <v>94</v>
      </c>
      <c r="F8" s="7" t="n">
        <v>249132.82</v>
      </c>
      <c r="G8" s="17" t="s">
        <v>48</v>
      </c>
    </row>
    <row r="9" customFormat="false" ht="15" hidden="false" customHeight="false" outlineLevel="0" collapsed="false">
      <c r="A9" s="0" t="s">
        <v>90</v>
      </c>
      <c r="B9" s="15" t="n">
        <v>46021</v>
      </c>
      <c r="C9" s="17" t="s">
        <v>101</v>
      </c>
      <c r="D9" s="7" t="n">
        <v>-5000</v>
      </c>
      <c r="E9" s="17" t="s">
        <v>102</v>
      </c>
      <c r="F9" s="7" t="n">
        <v>249319.82</v>
      </c>
      <c r="G9" s="17" t="s">
        <v>33</v>
      </c>
    </row>
    <row r="10" customFormat="false" ht="15" hidden="false" customHeight="false" outlineLevel="0" collapsed="false">
      <c r="A10" s="0" t="s">
        <v>90</v>
      </c>
      <c r="B10" s="15" t="n">
        <v>46020</v>
      </c>
      <c r="C10" s="17" t="s">
        <v>103</v>
      </c>
      <c r="D10" s="7" t="n">
        <v>-18.99</v>
      </c>
      <c r="E10" s="17" t="s">
        <v>94</v>
      </c>
      <c r="F10" s="7" t="n">
        <v>254319.82</v>
      </c>
      <c r="G10" s="17" t="s">
        <v>63</v>
      </c>
    </row>
    <row r="11" customFormat="false" ht="15" hidden="false" customHeight="false" outlineLevel="0" collapsed="false">
      <c r="A11" s="0" t="s">
        <v>90</v>
      </c>
      <c r="B11" s="15" t="n">
        <v>46020</v>
      </c>
      <c r="C11" s="17" t="s">
        <v>103</v>
      </c>
      <c r="D11" s="7" t="n">
        <v>-18.49</v>
      </c>
      <c r="E11" s="17" t="s">
        <v>94</v>
      </c>
      <c r="F11" s="7" t="n">
        <v>254338.81</v>
      </c>
      <c r="G11" s="17" t="s">
        <v>63</v>
      </c>
    </row>
    <row r="12" customFormat="false" ht="15" hidden="false" customHeight="false" outlineLevel="0" collapsed="false">
      <c r="A12" s="0" t="s">
        <v>90</v>
      </c>
      <c r="B12" s="15" t="n">
        <v>46020</v>
      </c>
      <c r="C12" s="17" t="s">
        <v>104</v>
      </c>
      <c r="D12" s="7" t="n">
        <v>-9.99</v>
      </c>
      <c r="E12" s="17" t="s">
        <v>94</v>
      </c>
      <c r="F12" s="7" t="n">
        <v>254357.3</v>
      </c>
      <c r="G12" s="17" t="s">
        <v>63</v>
      </c>
    </row>
    <row r="13" customFormat="false" ht="15" hidden="false" customHeight="false" outlineLevel="0" collapsed="false">
      <c r="A13" s="0" t="s">
        <v>90</v>
      </c>
      <c r="B13" s="15" t="n">
        <v>46020</v>
      </c>
      <c r="C13" s="17" t="s">
        <v>104</v>
      </c>
      <c r="D13" s="7" t="n">
        <v>-100</v>
      </c>
      <c r="E13" s="17" t="s">
        <v>94</v>
      </c>
      <c r="F13" s="7" t="n">
        <v>254367.29</v>
      </c>
      <c r="G13" s="17" t="s">
        <v>63</v>
      </c>
    </row>
    <row r="14" customFormat="false" ht="15" hidden="false" customHeight="false" outlineLevel="0" collapsed="false">
      <c r="A14" s="0" t="s">
        <v>90</v>
      </c>
      <c r="B14" s="15" t="n">
        <v>46017</v>
      </c>
      <c r="C14" s="17" t="s">
        <v>105</v>
      </c>
      <c r="D14" s="7" t="n">
        <v>-12.99</v>
      </c>
      <c r="E14" s="17" t="s">
        <v>94</v>
      </c>
      <c r="F14" s="7" t="n">
        <v>254467.29</v>
      </c>
      <c r="G14" s="17" t="s">
        <v>49</v>
      </c>
    </row>
    <row r="15" customFormat="false" ht="15" hidden="false" customHeight="false" outlineLevel="0" collapsed="false">
      <c r="A15" s="0" t="s">
        <v>90</v>
      </c>
      <c r="B15" s="15" t="n">
        <v>46017</v>
      </c>
      <c r="C15" s="17" t="s">
        <v>106</v>
      </c>
      <c r="D15" s="7" t="n">
        <v>-8.99</v>
      </c>
      <c r="E15" s="17" t="s">
        <v>94</v>
      </c>
      <c r="F15" s="7" t="n">
        <v>254480.28</v>
      </c>
      <c r="G15" s="17" t="s">
        <v>63</v>
      </c>
    </row>
    <row r="16" customFormat="false" ht="15" hidden="false" customHeight="false" outlineLevel="0" collapsed="false">
      <c r="A16" s="0" t="s">
        <v>90</v>
      </c>
      <c r="B16" s="15" t="n">
        <v>46015</v>
      </c>
      <c r="C16" s="17" t="s">
        <v>107</v>
      </c>
      <c r="D16" s="7" t="n">
        <v>-16</v>
      </c>
      <c r="E16" s="17" t="s">
        <v>94</v>
      </c>
      <c r="F16" s="7" t="n">
        <v>254489.27</v>
      </c>
      <c r="G16" s="17" t="s">
        <v>63</v>
      </c>
    </row>
    <row r="17" customFormat="false" ht="15" hidden="false" customHeight="false" outlineLevel="0" collapsed="false">
      <c r="A17" s="0" t="s">
        <v>90</v>
      </c>
      <c r="B17" s="15" t="n">
        <v>46015</v>
      </c>
      <c r="C17" s="17" t="s">
        <v>108</v>
      </c>
      <c r="D17" s="7" t="n">
        <v>-9.99</v>
      </c>
      <c r="E17" s="17" t="s">
        <v>94</v>
      </c>
      <c r="F17" s="7" t="n">
        <v>254505.27</v>
      </c>
      <c r="G17" s="17" t="s">
        <v>63</v>
      </c>
    </row>
    <row r="18" customFormat="false" ht="15" hidden="false" customHeight="false" outlineLevel="0" collapsed="false">
      <c r="A18" s="0" t="s">
        <v>90</v>
      </c>
      <c r="B18" s="15" t="n">
        <v>46014</v>
      </c>
      <c r="C18" s="17" t="s">
        <v>109</v>
      </c>
      <c r="D18" s="7" t="n">
        <v>-326.8</v>
      </c>
      <c r="E18" s="17" t="s">
        <v>94</v>
      </c>
      <c r="F18" s="7" t="n">
        <v>254515.26</v>
      </c>
      <c r="G18" s="17" t="s">
        <v>49</v>
      </c>
    </row>
    <row r="19" customFormat="false" ht="15" hidden="false" customHeight="false" outlineLevel="0" collapsed="false">
      <c r="A19" s="0" t="s">
        <v>90</v>
      </c>
      <c r="B19" s="15" t="n">
        <v>46013</v>
      </c>
      <c r="C19" s="17" t="s">
        <v>110</v>
      </c>
      <c r="D19" s="7" t="n">
        <v>-15</v>
      </c>
      <c r="E19" s="17" t="s">
        <v>111</v>
      </c>
      <c r="F19" s="7" t="n">
        <v>254842.06</v>
      </c>
      <c r="G19" s="17" t="s">
        <v>46</v>
      </c>
    </row>
    <row r="20" customFormat="false" ht="15" hidden="false" customHeight="false" outlineLevel="0" collapsed="false">
      <c r="A20" s="0" t="s">
        <v>90</v>
      </c>
      <c r="B20" s="15" t="n">
        <v>46013</v>
      </c>
      <c r="C20" s="17" t="s">
        <v>112</v>
      </c>
      <c r="D20" s="7" t="n">
        <v>-90000</v>
      </c>
      <c r="E20" s="17" t="s">
        <v>92</v>
      </c>
      <c r="F20" s="7" t="n">
        <v>254857.06</v>
      </c>
      <c r="G20" s="17" t="s">
        <v>29</v>
      </c>
    </row>
    <row r="21" customFormat="false" ht="15" hidden="false" customHeight="false" outlineLevel="0" collapsed="false">
      <c r="A21" s="0" t="s">
        <v>90</v>
      </c>
      <c r="B21" s="15" t="n">
        <v>46013</v>
      </c>
      <c r="C21" s="17" t="s">
        <v>113</v>
      </c>
      <c r="D21" s="7" t="n">
        <v>-30</v>
      </c>
      <c r="E21" s="17" t="s">
        <v>94</v>
      </c>
      <c r="F21" s="7" t="n">
        <v>344857.06</v>
      </c>
      <c r="G21" s="17" t="s">
        <v>63</v>
      </c>
    </row>
    <row r="22" customFormat="false" ht="15" hidden="false" customHeight="false" outlineLevel="0" collapsed="false">
      <c r="A22" s="0" t="s">
        <v>90</v>
      </c>
      <c r="B22" s="15" t="n">
        <v>46013</v>
      </c>
      <c r="C22" s="17" t="s">
        <v>114</v>
      </c>
      <c r="D22" s="7" t="n">
        <v>-12.99</v>
      </c>
      <c r="E22" s="17" t="s">
        <v>94</v>
      </c>
      <c r="F22" s="7" t="n">
        <v>344887.06</v>
      </c>
      <c r="G22" s="17" t="s">
        <v>63</v>
      </c>
    </row>
    <row r="23" customFormat="false" ht="15" hidden="false" customHeight="false" outlineLevel="0" collapsed="false">
      <c r="A23" s="0" t="s">
        <v>90</v>
      </c>
      <c r="B23" s="15" t="n">
        <v>46013</v>
      </c>
      <c r="C23" s="17" t="s">
        <v>115</v>
      </c>
      <c r="D23" s="7" t="n">
        <v>-26.89</v>
      </c>
      <c r="E23" s="17" t="s">
        <v>94</v>
      </c>
      <c r="F23" s="7" t="n">
        <v>344900.05</v>
      </c>
      <c r="G23" s="17" t="s">
        <v>63</v>
      </c>
    </row>
    <row r="24" customFormat="false" ht="15" hidden="false" customHeight="false" outlineLevel="0" collapsed="false">
      <c r="A24" s="0" t="s">
        <v>90</v>
      </c>
      <c r="B24" s="15" t="n">
        <v>46013</v>
      </c>
      <c r="C24" s="17" t="s">
        <v>116</v>
      </c>
      <c r="D24" s="7" t="n">
        <v>-15</v>
      </c>
      <c r="E24" s="17" t="s">
        <v>94</v>
      </c>
      <c r="F24" s="7" t="n">
        <v>344926.94</v>
      </c>
      <c r="G24" s="17" t="s">
        <v>63</v>
      </c>
    </row>
    <row r="25" customFormat="false" ht="15" hidden="false" customHeight="false" outlineLevel="0" collapsed="false">
      <c r="A25" s="0" t="s">
        <v>97</v>
      </c>
      <c r="B25" s="15" t="n">
        <v>46013</v>
      </c>
      <c r="C25" s="17" t="s">
        <v>117</v>
      </c>
      <c r="D25" s="7" t="n">
        <v>325000</v>
      </c>
      <c r="E25" s="17" t="s">
        <v>118</v>
      </c>
      <c r="F25" s="7" t="n">
        <v>344941.94</v>
      </c>
      <c r="G25" s="17" t="s">
        <v>17</v>
      </c>
    </row>
    <row r="26" customFormat="false" ht="15" hidden="false" customHeight="false" outlineLevel="0" collapsed="false">
      <c r="A26" s="0" t="s">
        <v>90</v>
      </c>
      <c r="B26" s="15" t="n">
        <v>46010</v>
      </c>
      <c r="C26" s="17" t="s">
        <v>119</v>
      </c>
      <c r="D26" s="7" t="n">
        <v>-8.99</v>
      </c>
      <c r="E26" s="17" t="s">
        <v>94</v>
      </c>
      <c r="F26" s="7" t="n">
        <v>19941.94</v>
      </c>
      <c r="G26" s="17" t="s">
        <v>63</v>
      </c>
    </row>
    <row r="27" customFormat="false" ht="15" hidden="false" customHeight="false" outlineLevel="0" collapsed="false">
      <c r="A27" s="0" t="s">
        <v>90</v>
      </c>
      <c r="B27" s="15" t="n">
        <v>46010</v>
      </c>
      <c r="C27" s="17" t="s">
        <v>120</v>
      </c>
      <c r="D27" s="7" t="n">
        <v>-10</v>
      </c>
      <c r="E27" s="17" t="s">
        <v>94</v>
      </c>
      <c r="F27" s="7" t="n">
        <v>19950.93</v>
      </c>
      <c r="G27" s="17" t="s">
        <v>65</v>
      </c>
    </row>
    <row r="28" customFormat="false" ht="15" hidden="false" customHeight="false" outlineLevel="0" collapsed="false">
      <c r="A28" s="0" t="s">
        <v>90</v>
      </c>
      <c r="B28" s="15" t="n">
        <v>46009</v>
      </c>
      <c r="C28" s="17" t="s">
        <v>121</v>
      </c>
      <c r="D28" s="7" t="n">
        <v>-9.99</v>
      </c>
      <c r="E28" s="17" t="s">
        <v>94</v>
      </c>
      <c r="F28" s="7" t="n">
        <v>19960.93</v>
      </c>
      <c r="G28" s="17" t="s">
        <v>63</v>
      </c>
    </row>
    <row r="29" customFormat="false" ht="15" hidden="false" customHeight="false" outlineLevel="0" collapsed="false">
      <c r="A29" s="0" t="s">
        <v>90</v>
      </c>
      <c r="B29" s="15" t="n">
        <v>46009</v>
      </c>
      <c r="C29" s="17" t="s">
        <v>122</v>
      </c>
      <c r="D29" s="7" t="n">
        <v>-33.95</v>
      </c>
      <c r="E29" s="17" t="s">
        <v>94</v>
      </c>
      <c r="F29" s="7" t="n">
        <v>19970.92</v>
      </c>
      <c r="G29" s="17" t="s">
        <v>50</v>
      </c>
    </row>
    <row r="30" customFormat="false" ht="15" hidden="false" customHeight="false" outlineLevel="0" collapsed="false">
      <c r="A30" s="0" t="s">
        <v>90</v>
      </c>
      <c r="B30" s="15" t="n">
        <v>46008</v>
      </c>
      <c r="C30" s="17" t="s">
        <v>121</v>
      </c>
      <c r="D30" s="7" t="n">
        <v>-11</v>
      </c>
      <c r="E30" s="17" t="s">
        <v>94</v>
      </c>
      <c r="F30" s="7" t="n">
        <v>20004.87</v>
      </c>
      <c r="G30" s="17" t="s">
        <v>63</v>
      </c>
    </row>
    <row r="31" customFormat="false" ht="15" hidden="false" customHeight="false" outlineLevel="0" collapsed="false">
      <c r="A31" s="0" t="s">
        <v>90</v>
      </c>
      <c r="B31" s="15" t="n">
        <v>46008</v>
      </c>
      <c r="C31" s="17" t="s">
        <v>123</v>
      </c>
      <c r="D31" s="7" t="n">
        <v>-69.99</v>
      </c>
      <c r="E31" s="17" t="s">
        <v>94</v>
      </c>
      <c r="F31" s="7" t="n">
        <v>20015.87</v>
      </c>
      <c r="G31" s="17" t="s">
        <v>47</v>
      </c>
    </row>
    <row r="32" customFormat="false" ht="15" hidden="false" customHeight="false" outlineLevel="0" collapsed="false">
      <c r="A32" s="0" t="s">
        <v>90</v>
      </c>
      <c r="B32" s="15" t="n">
        <v>46008</v>
      </c>
      <c r="C32" s="17" t="s">
        <v>123</v>
      </c>
      <c r="D32" s="7" t="n">
        <v>-89.99</v>
      </c>
      <c r="E32" s="17" t="s">
        <v>94</v>
      </c>
      <c r="F32" s="7" t="n">
        <v>20085.86</v>
      </c>
      <c r="G32" s="17" t="s">
        <v>47</v>
      </c>
    </row>
    <row r="33" customFormat="false" ht="15" hidden="false" customHeight="false" outlineLevel="0" collapsed="false">
      <c r="A33" s="0" t="s">
        <v>97</v>
      </c>
      <c r="B33" s="15" t="n">
        <v>46008</v>
      </c>
      <c r="C33" s="17" t="s">
        <v>124</v>
      </c>
      <c r="D33" s="7" t="n">
        <v>20000</v>
      </c>
      <c r="E33" s="17" t="s">
        <v>92</v>
      </c>
      <c r="F33" s="7" t="n">
        <v>20175.85</v>
      </c>
      <c r="G33" s="17" t="s">
        <v>25</v>
      </c>
    </row>
    <row r="34" customFormat="false" ht="15" hidden="false" customHeight="false" outlineLevel="0" collapsed="false">
      <c r="A34" s="0" t="s">
        <v>90</v>
      </c>
      <c r="B34" s="15" t="n">
        <v>46007</v>
      </c>
      <c r="C34" s="17" t="s">
        <v>125</v>
      </c>
      <c r="D34" s="7" t="n">
        <v>-5.47</v>
      </c>
      <c r="E34" s="17" t="s">
        <v>94</v>
      </c>
      <c r="F34" s="7" t="n">
        <v>175.85</v>
      </c>
      <c r="G34" s="17" t="s">
        <v>60</v>
      </c>
    </row>
    <row r="35" customFormat="false" ht="15" hidden="false" customHeight="false" outlineLevel="0" collapsed="false">
      <c r="A35" s="0" t="s">
        <v>90</v>
      </c>
      <c r="B35" s="15" t="n">
        <v>46007</v>
      </c>
      <c r="C35" s="17" t="s">
        <v>126</v>
      </c>
      <c r="D35" s="7" t="n">
        <v>-5.99</v>
      </c>
      <c r="E35" s="17" t="s">
        <v>94</v>
      </c>
      <c r="F35" s="7" t="n">
        <v>181.32</v>
      </c>
      <c r="G35" s="17" t="s">
        <v>63</v>
      </c>
    </row>
    <row r="36" customFormat="false" ht="15" hidden="false" customHeight="false" outlineLevel="0" collapsed="false">
      <c r="A36" s="0" t="s">
        <v>90</v>
      </c>
      <c r="B36" s="15" t="n">
        <v>46007</v>
      </c>
      <c r="C36" s="17" t="s">
        <v>127</v>
      </c>
      <c r="D36" s="7" t="n">
        <v>-29</v>
      </c>
      <c r="E36" s="17" t="s">
        <v>94</v>
      </c>
      <c r="F36" s="7" t="n">
        <v>187.31</v>
      </c>
      <c r="G36" s="17" t="s">
        <v>63</v>
      </c>
    </row>
    <row r="37" customFormat="false" ht="15" hidden="false" customHeight="false" outlineLevel="0" collapsed="false">
      <c r="A37" s="0" t="s">
        <v>90</v>
      </c>
      <c r="B37" s="15" t="n">
        <v>46007</v>
      </c>
      <c r="C37" s="17" t="s">
        <v>128</v>
      </c>
      <c r="D37" s="7" t="n">
        <v>-8.99</v>
      </c>
      <c r="E37" s="17" t="s">
        <v>94</v>
      </c>
      <c r="F37" s="7" t="n">
        <v>216.31</v>
      </c>
      <c r="G37" s="17" t="s">
        <v>50</v>
      </c>
    </row>
    <row r="38" customFormat="false" ht="15" hidden="false" customHeight="false" outlineLevel="0" collapsed="false">
      <c r="A38" s="0" t="s">
        <v>90</v>
      </c>
      <c r="B38" s="15" t="n">
        <v>46007</v>
      </c>
      <c r="C38" s="17" t="s">
        <v>125</v>
      </c>
      <c r="D38" s="7" t="n">
        <v>-79.97</v>
      </c>
      <c r="E38" s="17" t="s">
        <v>94</v>
      </c>
      <c r="F38" s="7" t="n">
        <v>225.3</v>
      </c>
      <c r="G38" s="17" t="s">
        <v>60</v>
      </c>
    </row>
    <row r="39" customFormat="false" ht="15" hidden="false" customHeight="false" outlineLevel="0" collapsed="false">
      <c r="A39" s="0" t="s">
        <v>90</v>
      </c>
      <c r="B39" s="15" t="n">
        <v>46006</v>
      </c>
      <c r="C39" s="17" t="s">
        <v>129</v>
      </c>
      <c r="D39" s="7" t="n">
        <v>-8.99</v>
      </c>
      <c r="E39" s="17" t="s">
        <v>94</v>
      </c>
      <c r="F39" s="7" t="n">
        <v>305.27</v>
      </c>
      <c r="G39" s="17" t="s">
        <v>63</v>
      </c>
    </row>
    <row r="40" customFormat="false" ht="15" hidden="false" customHeight="false" outlineLevel="0" collapsed="false">
      <c r="A40" s="0" t="s">
        <v>90</v>
      </c>
      <c r="B40" s="15" t="n">
        <v>46006</v>
      </c>
      <c r="C40" s="17" t="s">
        <v>130</v>
      </c>
      <c r="D40" s="7" t="n">
        <v>-1.99</v>
      </c>
      <c r="E40" s="17" t="s">
        <v>94</v>
      </c>
      <c r="F40" s="7" t="n">
        <v>314.26</v>
      </c>
      <c r="G40" s="17" t="s">
        <v>63</v>
      </c>
    </row>
    <row r="41" customFormat="false" ht="15" hidden="false" customHeight="false" outlineLevel="0" collapsed="false">
      <c r="A41" s="0" t="s">
        <v>90</v>
      </c>
      <c r="B41" s="15" t="n">
        <v>46006</v>
      </c>
      <c r="C41" s="17" t="s">
        <v>131</v>
      </c>
      <c r="D41" s="7" t="n">
        <v>-30.97</v>
      </c>
      <c r="E41" s="17" t="s">
        <v>94</v>
      </c>
      <c r="F41" s="7" t="n">
        <v>316.25</v>
      </c>
      <c r="G41" s="17" t="s">
        <v>50</v>
      </c>
    </row>
    <row r="42" customFormat="false" ht="15" hidden="false" customHeight="false" outlineLevel="0" collapsed="false">
      <c r="A42" s="0" t="s">
        <v>90</v>
      </c>
      <c r="B42" s="15" t="n">
        <v>46006</v>
      </c>
      <c r="C42" s="17" t="s">
        <v>132</v>
      </c>
      <c r="D42" s="7" t="n">
        <v>-10.99</v>
      </c>
      <c r="E42" s="17" t="s">
        <v>94</v>
      </c>
      <c r="F42" s="7" t="n">
        <v>347.22</v>
      </c>
      <c r="G42" s="17" t="s">
        <v>63</v>
      </c>
    </row>
    <row r="43" customFormat="false" ht="15" hidden="false" customHeight="false" outlineLevel="0" collapsed="false">
      <c r="A43" s="0" t="s">
        <v>90</v>
      </c>
      <c r="B43" s="15" t="n">
        <v>46006</v>
      </c>
      <c r="C43" s="17" t="s">
        <v>133</v>
      </c>
      <c r="D43" s="7" t="n">
        <v>-46.95</v>
      </c>
      <c r="E43" s="17" t="s">
        <v>94</v>
      </c>
      <c r="F43" s="7" t="n">
        <v>358.21</v>
      </c>
      <c r="G43" s="17" t="s">
        <v>50</v>
      </c>
    </row>
    <row r="44" customFormat="false" ht="15" hidden="false" customHeight="false" outlineLevel="0" collapsed="false">
      <c r="A44" s="0" t="s">
        <v>90</v>
      </c>
      <c r="B44" s="15" t="n">
        <v>46006</v>
      </c>
      <c r="C44" s="17" t="s">
        <v>134</v>
      </c>
      <c r="D44" s="7" t="n">
        <v>-17.99</v>
      </c>
      <c r="E44" s="17" t="s">
        <v>94</v>
      </c>
      <c r="F44" s="7" t="n">
        <v>405.16</v>
      </c>
      <c r="G44" s="17" t="s">
        <v>63</v>
      </c>
    </row>
    <row r="45" customFormat="false" ht="15" hidden="false" customHeight="false" outlineLevel="0" collapsed="false">
      <c r="A45" s="0" t="s">
        <v>90</v>
      </c>
      <c r="B45" s="15" t="n">
        <v>46006</v>
      </c>
      <c r="C45" s="17" t="s">
        <v>135</v>
      </c>
      <c r="D45" s="7" t="n">
        <v>-78.3</v>
      </c>
      <c r="E45" s="17" t="s">
        <v>94</v>
      </c>
      <c r="F45" s="7" t="n">
        <v>423.15</v>
      </c>
      <c r="G45" s="17" t="s">
        <v>60</v>
      </c>
    </row>
    <row r="46" customFormat="false" ht="15" hidden="false" customHeight="false" outlineLevel="0" collapsed="false">
      <c r="A46" s="0" t="s">
        <v>90</v>
      </c>
      <c r="B46" s="15" t="n">
        <v>46006</v>
      </c>
      <c r="C46" s="17" t="s">
        <v>136</v>
      </c>
      <c r="D46" s="7" t="n">
        <v>-18.99</v>
      </c>
      <c r="E46" s="17" t="s">
        <v>94</v>
      </c>
      <c r="F46" s="7" t="n">
        <v>501.45</v>
      </c>
      <c r="G46" s="17" t="s">
        <v>63</v>
      </c>
    </row>
    <row r="47" customFormat="false" ht="15" hidden="false" customHeight="false" outlineLevel="0" collapsed="false">
      <c r="A47" s="0" t="s">
        <v>90</v>
      </c>
      <c r="B47" s="15" t="n">
        <v>46006</v>
      </c>
      <c r="C47" s="17" t="s">
        <v>137</v>
      </c>
      <c r="D47" s="7" t="n">
        <v>-10</v>
      </c>
      <c r="E47" s="17" t="s">
        <v>94</v>
      </c>
      <c r="F47" s="7" t="n">
        <v>520.44</v>
      </c>
      <c r="G47" s="17" t="s">
        <v>65</v>
      </c>
    </row>
    <row r="48" customFormat="false" ht="15" hidden="false" customHeight="false" outlineLevel="0" collapsed="false">
      <c r="A48" s="0" t="s">
        <v>90</v>
      </c>
      <c r="B48" s="15" t="n">
        <v>46006</v>
      </c>
      <c r="C48" s="17" t="s">
        <v>138</v>
      </c>
      <c r="D48" s="7" t="n">
        <v>-21.64</v>
      </c>
      <c r="E48" s="17" t="s">
        <v>94</v>
      </c>
      <c r="F48" s="7" t="n">
        <v>530.44</v>
      </c>
      <c r="G48" s="17" t="s">
        <v>63</v>
      </c>
    </row>
    <row r="49" customFormat="false" ht="15" hidden="false" customHeight="false" outlineLevel="0" collapsed="false">
      <c r="A49" s="0" t="s">
        <v>90</v>
      </c>
      <c r="B49" s="15" t="n">
        <v>46003</v>
      </c>
      <c r="C49" s="17" t="s">
        <v>139</v>
      </c>
      <c r="D49" s="7" t="n">
        <v>-5000</v>
      </c>
      <c r="E49" s="17" t="s">
        <v>102</v>
      </c>
      <c r="F49" s="7" t="n">
        <v>552.08</v>
      </c>
      <c r="G49" s="17" t="s">
        <v>33</v>
      </c>
    </row>
    <row r="50" customFormat="false" ht="15" hidden="false" customHeight="false" outlineLevel="0" collapsed="false">
      <c r="A50" s="0" t="s">
        <v>90</v>
      </c>
      <c r="B50" s="15" t="n">
        <v>46003</v>
      </c>
      <c r="C50" s="17" t="s">
        <v>140</v>
      </c>
      <c r="D50" s="7" t="n">
        <v>-11.99</v>
      </c>
      <c r="E50" s="17" t="s">
        <v>94</v>
      </c>
      <c r="F50" s="7" t="n">
        <v>5552.08</v>
      </c>
      <c r="G50" s="17" t="s">
        <v>63</v>
      </c>
    </row>
    <row r="51" customFormat="false" ht="15" hidden="false" customHeight="false" outlineLevel="0" collapsed="false">
      <c r="A51" s="0" t="s">
        <v>90</v>
      </c>
      <c r="B51" s="15" t="n">
        <v>46003</v>
      </c>
      <c r="C51" s="17" t="s">
        <v>141</v>
      </c>
      <c r="D51" s="7" t="n">
        <v>-21.98</v>
      </c>
      <c r="E51" s="17" t="s">
        <v>94</v>
      </c>
      <c r="F51" s="7" t="n">
        <v>5564.07</v>
      </c>
      <c r="G51" s="17" t="s">
        <v>50</v>
      </c>
    </row>
    <row r="52" customFormat="false" ht="15" hidden="false" customHeight="false" outlineLevel="0" collapsed="false">
      <c r="A52" s="0" t="s">
        <v>97</v>
      </c>
      <c r="B52" s="15" t="n">
        <v>46003</v>
      </c>
      <c r="C52" s="17" t="s">
        <v>142</v>
      </c>
      <c r="D52" s="7" t="n">
        <v>5000</v>
      </c>
      <c r="E52" s="17" t="s">
        <v>92</v>
      </c>
      <c r="F52" s="7" t="n">
        <v>5586.05</v>
      </c>
      <c r="G52" s="17" t="s">
        <v>25</v>
      </c>
    </row>
    <row r="53" customFormat="false" ht="15" hidden="false" customHeight="false" outlineLevel="0" collapsed="false">
      <c r="A53" s="0" t="s">
        <v>90</v>
      </c>
      <c r="B53" s="15" t="n">
        <v>46001</v>
      </c>
      <c r="C53" s="17" t="s">
        <v>143</v>
      </c>
      <c r="D53" s="7" t="n">
        <v>-30.29</v>
      </c>
      <c r="E53" s="17" t="s">
        <v>94</v>
      </c>
      <c r="F53" s="7" t="n">
        <v>586.05</v>
      </c>
      <c r="G53" s="17" t="s">
        <v>58</v>
      </c>
    </row>
    <row r="54" customFormat="false" ht="15" hidden="false" customHeight="false" outlineLevel="0" collapsed="false">
      <c r="A54" s="0" t="s">
        <v>90</v>
      </c>
      <c r="B54" s="15" t="n">
        <v>46001</v>
      </c>
      <c r="C54" s="17" t="s">
        <v>144</v>
      </c>
      <c r="D54" s="7" t="n">
        <v>-37.34</v>
      </c>
      <c r="E54" s="17" t="s">
        <v>94</v>
      </c>
      <c r="F54" s="7" t="n">
        <v>616.34</v>
      </c>
      <c r="G54" s="17" t="s">
        <v>63</v>
      </c>
    </row>
    <row r="55" customFormat="false" ht="15" hidden="false" customHeight="false" outlineLevel="0" collapsed="false">
      <c r="A55" s="0" t="s">
        <v>90</v>
      </c>
      <c r="B55" s="15" t="n">
        <v>46001</v>
      </c>
      <c r="C55" s="17" t="s">
        <v>145</v>
      </c>
      <c r="D55" s="7" t="n">
        <v>-11.99</v>
      </c>
      <c r="E55" s="17" t="s">
        <v>94</v>
      </c>
      <c r="F55" s="7" t="n">
        <v>653.68</v>
      </c>
      <c r="G55" s="17" t="s">
        <v>63</v>
      </c>
    </row>
    <row r="56" customFormat="false" ht="15" hidden="false" customHeight="false" outlineLevel="0" collapsed="false">
      <c r="A56" s="0" t="s">
        <v>90</v>
      </c>
      <c r="B56" s="15" t="n">
        <v>46000</v>
      </c>
      <c r="C56" s="17" t="s">
        <v>146</v>
      </c>
      <c r="D56" s="7" t="n">
        <v>-529</v>
      </c>
      <c r="E56" s="17" t="s">
        <v>94</v>
      </c>
      <c r="F56" s="7" t="n">
        <v>665.67</v>
      </c>
      <c r="G56" s="17" t="s">
        <v>47</v>
      </c>
    </row>
    <row r="57" customFormat="false" ht="15" hidden="false" customHeight="false" outlineLevel="0" collapsed="false">
      <c r="A57" s="0" t="s">
        <v>90</v>
      </c>
      <c r="B57" s="15" t="n">
        <v>46000</v>
      </c>
      <c r="C57" s="17" t="s">
        <v>147</v>
      </c>
      <c r="D57" s="7" t="n">
        <v>-82.78</v>
      </c>
      <c r="E57" s="17" t="s">
        <v>94</v>
      </c>
      <c r="F57" s="7" t="n">
        <v>1194.67</v>
      </c>
      <c r="G57" s="17" t="s">
        <v>58</v>
      </c>
    </row>
    <row r="58" customFormat="false" ht="15" hidden="false" customHeight="false" outlineLevel="0" collapsed="false">
      <c r="A58" s="0" t="s">
        <v>90</v>
      </c>
      <c r="B58" s="15" t="n">
        <v>45999</v>
      </c>
      <c r="C58" s="17" t="s">
        <v>148</v>
      </c>
      <c r="D58" s="7" t="n">
        <v>-8.99</v>
      </c>
      <c r="E58" s="17" t="s">
        <v>94</v>
      </c>
      <c r="F58" s="7" t="n">
        <v>1277.45</v>
      </c>
      <c r="G58" s="17" t="s">
        <v>63</v>
      </c>
    </row>
    <row r="59" customFormat="false" ht="15" hidden="false" customHeight="false" outlineLevel="0" collapsed="false">
      <c r="A59" s="0" t="s">
        <v>90</v>
      </c>
      <c r="B59" s="15" t="n">
        <v>45999</v>
      </c>
      <c r="C59" s="17" t="s">
        <v>149</v>
      </c>
      <c r="D59" s="7" t="n">
        <v>-30.97</v>
      </c>
      <c r="E59" s="17" t="s">
        <v>94</v>
      </c>
      <c r="F59" s="7" t="n">
        <v>1286.44</v>
      </c>
      <c r="G59" s="17" t="s">
        <v>50</v>
      </c>
    </row>
    <row r="60" customFormat="false" ht="15" hidden="false" customHeight="false" outlineLevel="0" collapsed="false">
      <c r="A60" s="0" t="s">
        <v>90</v>
      </c>
      <c r="B60" s="15" t="n">
        <v>45999</v>
      </c>
      <c r="C60" s="17" t="s">
        <v>150</v>
      </c>
      <c r="D60" s="7" t="n">
        <v>-5</v>
      </c>
      <c r="E60" s="17" t="s">
        <v>94</v>
      </c>
      <c r="F60" s="7" t="n">
        <v>1317.41</v>
      </c>
      <c r="G60" s="17" t="s">
        <v>63</v>
      </c>
    </row>
    <row r="61" customFormat="false" ht="15" hidden="false" customHeight="false" outlineLevel="0" collapsed="false">
      <c r="A61" s="0" t="s">
        <v>90</v>
      </c>
      <c r="B61" s="15" t="n">
        <v>45999</v>
      </c>
      <c r="C61" s="17" t="s">
        <v>151</v>
      </c>
      <c r="D61" s="7" t="n">
        <v>-10.25</v>
      </c>
      <c r="E61" s="17" t="s">
        <v>94</v>
      </c>
      <c r="F61" s="7" t="n">
        <v>1322.41</v>
      </c>
      <c r="G61" s="17" t="s">
        <v>60</v>
      </c>
    </row>
    <row r="62" customFormat="false" ht="15" hidden="false" customHeight="false" outlineLevel="0" collapsed="false">
      <c r="A62" s="0" t="s">
        <v>90</v>
      </c>
      <c r="B62" s="15" t="n">
        <v>45999</v>
      </c>
      <c r="C62" s="17" t="s">
        <v>152</v>
      </c>
      <c r="D62" s="7" t="n">
        <v>-29.99</v>
      </c>
      <c r="E62" s="17" t="s">
        <v>94</v>
      </c>
      <c r="F62" s="7" t="n">
        <v>1332.66</v>
      </c>
      <c r="G62" s="17" t="s">
        <v>63</v>
      </c>
    </row>
    <row r="63" customFormat="false" ht="15" hidden="false" customHeight="false" outlineLevel="0" collapsed="false">
      <c r="A63" s="0" t="s">
        <v>97</v>
      </c>
      <c r="B63" s="15" t="n">
        <v>45999</v>
      </c>
      <c r="C63" s="17" t="s">
        <v>153</v>
      </c>
      <c r="D63" s="7" t="n">
        <v>1000</v>
      </c>
      <c r="E63" s="17" t="s">
        <v>92</v>
      </c>
      <c r="F63" s="7" t="n">
        <v>1362.65</v>
      </c>
      <c r="G63" s="17" t="s">
        <v>22</v>
      </c>
    </row>
    <row r="64" customFormat="false" ht="15" hidden="false" customHeight="false" outlineLevel="0" collapsed="false">
      <c r="A64" s="0" t="s">
        <v>90</v>
      </c>
      <c r="B64" s="15" t="n">
        <v>45996</v>
      </c>
      <c r="C64" s="17" t="s">
        <v>154</v>
      </c>
      <c r="D64" s="7" t="n">
        <v>-40.97</v>
      </c>
      <c r="E64" s="17" t="s">
        <v>94</v>
      </c>
      <c r="F64" s="7" t="n">
        <v>362.65</v>
      </c>
      <c r="G64" s="17" t="s">
        <v>50</v>
      </c>
    </row>
    <row r="65" customFormat="false" ht="15" hidden="false" customHeight="false" outlineLevel="0" collapsed="false">
      <c r="A65" s="0" t="s">
        <v>90</v>
      </c>
      <c r="B65" s="15" t="n">
        <v>45995</v>
      </c>
      <c r="C65" s="17" t="s">
        <v>155</v>
      </c>
      <c r="D65" s="7" t="n">
        <v>-6.48</v>
      </c>
      <c r="E65" s="17" t="s">
        <v>94</v>
      </c>
      <c r="F65" s="7" t="n">
        <v>403.62</v>
      </c>
      <c r="G65" s="17" t="s">
        <v>60</v>
      </c>
    </row>
    <row r="66" customFormat="false" ht="15" hidden="false" customHeight="false" outlineLevel="0" collapsed="false">
      <c r="A66" s="0" t="s">
        <v>90</v>
      </c>
      <c r="B66" s="15" t="n">
        <v>45995</v>
      </c>
      <c r="C66" s="17" t="s">
        <v>155</v>
      </c>
      <c r="D66" s="7" t="n">
        <v>-124.86</v>
      </c>
      <c r="E66" s="17" t="s">
        <v>94</v>
      </c>
      <c r="F66" s="7" t="n">
        <v>410.1</v>
      </c>
      <c r="G66" s="17" t="s">
        <v>60</v>
      </c>
    </row>
    <row r="67" customFormat="false" ht="15" hidden="false" customHeight="false" outlineLevel="0" collapsed="false">
      <c r="A67" s="0" t="s">
        <v>90</v>
      </c>
      <c r="B67" s="15" t="n">
        <v>45995</v>
      </c>
      <c r="C67" s="17" t="s">
        <v>156</v>
      </c>
      <c r="D67" s="7" t="n">
        <v>-300</v>
      </c>
      <c r="E67" s="17" t="s">
        <v>94</v>
      </c>
      <c r="F67" s="7" t="n">
        <v>534.96</v>
      </c>
      <c r="G67" s="17" t="s">
        <v>36</v>
      </c>
    </row>
    <row r="68" customFormat="false" ht="15" hidden="false" customHeight="false" outlineLevel="0" collapsed="false">
      <c r="A68" s="0" t="s">
        <v>90</v>
      </c>
      <c r="B68" s="15" t="n">
        <v>45994</v>
      </c>
      <c r="C68" s="17" t="s">
        <v>157</v>
      </c>
      <c r="D68" s="7" t="n">
        <v>-357.07</v>
      </c>
      <c r="E68" s="17" t="s">
        <v>94</v>
      </c>
      <c r="F68" s="7" t="n">
        <v>834.96</v>
      </c>
      <c r="G68" s="17" t="s">
        <v>17</v>
      </c>
    </row>
    <row r="69" customFormat="false" ht="15" hidden="false" customHeight="false" outlineLevel="0" collapsed="false">
      <c r="A69" s="0" t="s">
        <v>97</v>
      </c>
      <c r="B69" s="15" t="n">
        <v>45994</v>
      </c>
      <c r="C69" s="17" t="s">
        <v>158</v>
      </c>
      <c r="D69" s="7" t="n">
        <v>500</v>
      </c>
      <c r="E69" s="17" t="s">
        <v>92</v>
      </c>
      <c r="F69" s="7" t="n">
        <v>1192.03</v>
      </c>
      <c r="G69" s="17" t="s">
        <v>25</v>
      </c>
    </row>
    <row r="70" customFormat="false" ht="15" hidden="false" customHeight="false" outlineLevel="0" collapsed="false">
      <c r="A70" s="0" t="s">
        <v>90</v>
      </c>
      <c r="B70" s="15" t="n">
        <v>45993</v>
      </c>
      <c r="C70" s="17" t="s">
        <v>159</v>
      </c>
      <c r="D70" s="7" t="n">
        <v>-21.98</v>
      </c>
      <c r="E70" s="17" t="s">
        <v>94</v>
      </c>
      <c r="F70" s="7" t="n">
        <v>692.03</v>
      </c>
      <c r="G70" s="17" t="s">
        <v>50</v>
      </c>
    </row>
    <row r="71" customFormat="false" ht="15" hidden="false" customHeight="false" outlineLevel="0" collapsed="false">
      <c r="A71" s="0" t="s">
        <v>90</v>
      </c>
      <c r="B71" s="15" t="n">
        <v>45993</v>
      </c>
      <c r="C71" s="17" t="s">
        <v>160</v>
      </c>
      <c r="D71" s="7" t="n">
        <v>-299.5</v>
      </c>
      <c r="E71" s="17" t="s">
        <v>94</v>
      </c>
      <c r="F71" s="7" t="n">
        <v>714.01</v>
      </c>
      <c r="G71" s="17" t="s">
        <v>48</v>
      </c>
    </row>
    <row r="72" customFormat="false" ht="15" hidden="false" customHeight="false" outlineLevel="0" collapsed="false">
      <c r="A72" s="0" t="s">
        <v>97</v>
      </c>
      <c r="B72" s="15" t="n">
        <v>45993</v>
      </c>
      <c r="C72" s="17" t="s">
        <v>161</v>
      </c>
      <c r="D72" s="7" t="n">
        <v>500</v>
      </c>
      <c r="E72" s="17" t="s">
        <v>92</v>
      </c>
      <c r="F72" s="7" t="n">
        <v>1013.51</v>
      </c>
      <c r="G72" s="17" t="s">
        <v>25</v>
      </c>
    </row>
    <row r="73" customFormat="false" ht="15" hidden="false" customHeight="false" outlineLevel="0" collapsed="false">
      <c r="A73" s="0" t="s">
        <v>97</v>
      </c>
      <c r="B73" s="15" t="n">
        <v>45992</v>
      </c>
      <c r="C73" s="17" t="s">
        <v>162</v>
      </c>
      <c r="D73" s="7" t="n">
        <v>500</v>
      </c>
      <c r="E73" s="17" t="s">
        <v>92</v>
      </c>
      <c r="F73" s="7" t="n">
        <v>513.51</v>
      </c>
      <c r="G73" s="17" t="s">
        <v>25</v>
      </c>
    </row>
    <row r="74" customFormat="false" ht="15" hidden="false" customHeight="false" outlineLevel="0" collapsed="false">
      <c r="A74" s="0" t="s">
        <v>90</v>
      </c>
      <c r="B74" s="15" t="n">
        <v>45989</v>
      </c>
      <c r="C74" s="17" t="s">
        <v>163</v>
      </c>
      <c r="D74" s="7" t="n">
        <v>-5000</v>
      </c>
      <c r="E74" s="17" t="s">
        <v>102</v>
      </c>
      <c r="F74" s="7" t="n">
        <v>13.51</v>
      </c>
      <c r="G74" s="17" t="s">
        <v>33</v>
      </c>
    </row>
    <row r="75" customFormat="false" ht="15" hidden="false" customHeight="false" outlineLevel="0" collapsed="false">
      <c r="A75" s="0" t="s">
        <v>90</v>
      </c>
      <c r="B75" s="15" t="n">
        <v>45989</v>
      </c>
      <c r="C75" s="17" t="s">
        <v>164</v>
      </c>
      <c r="D75" s="7" t="n">
        <v>-54.53</v>
      </c>
      <c r="E75" s="17" t="s">
        <v>94</v>
      </c>
      <c r="F75" s="7" t="n">
        <v>5013.51</v>
      </c>
      <c r="G75" s="17" t="s">
        <v>60</v>
      </c>
    </row>
    <row r="76" customFormat="false" ht="15" hidden="false" customHeight="false" outlineLevel="0" collapsed="false">
      <c r="A76" s="0" t="s">
        <v>97</v>
      </c>
      <c r="B76" s="15" t="n">
        <v>45989</v>
      </c>
      <c r="C76" s="17" t="s">
        <v>165</v>
      </c>
      <c r="D76" s="7" t="n">
        <v>5000</v>
      </c>
      <c r="E76" s="17" t="s">
        <v>92</v>
      </c>
      <c r="F76" s="7" t="n">
        <v>5068.04</v>
      </c>
      <c r="G76" s="17" t="s">
        <v>25</v>
      </c>
    </row>
    <row r="77" customFormat="false" ht="15" hidden="false" customHeight="false" outlineLevel="0" collapsed="false">
      <c r="A77" s="0" t="s">
        <v>90</v>
      </c>
      <c r="B77" s="15" t="n">
        <v>45987</v>
      </c>
      <c r="C77" s="17" t="s">
        <v>166</v>
      </c>
      <c r="D77" s="7" t="n">
        <v>-270000</v>
      </c>
      <c r="E77" s="17" t="s">
        <v>92</v>
      </c>
      <c r="F77" s="7" t="n">
        <v>68.04</v>
      </c>
      <c r="G77" s="17" t="s">
        <v>29</v>
      </c>
    </row>
    <row r="78" customFormat="false" ht="15" hidden="false" customHeight="false" outlineLevel="0" collapsed="false">
      <c r="A78" s="0" t="s">
        <v>97</v>
      </c>
      <c r="B78" s="15" t="n">
        <v>45987</v>
      </c>
      <c r="C78" s="17" t="s">
        <v>167</v>
      </c>
      <c r="D78" s="7" t="n">
        <v>270000</v>
      </c>
      <c r="E78" s="17" t="s">
        <v>92</v>
      </c>
      <c r="F78" s="7" t="n">
        <v>270068.04</v>
      </c>
      <c r="G78" s="17" t="s">
        <v>26</v>
      </c>
    </row>
    <row r="79" customFormat="false" ht="15" hidden="false" customHeight="false" outlineLevel="0" collapsed="false">
      <c r="A79" s="0" t="s">
        <v>90</v>
      </c>
      <c r="B79" s="15" t="n">
        <v>45985</v>
      </c>
      <c r="C79" s="17" t="s">
        <v>168</v>
      </c>
      <c r="D79" s="7" t="n">
        <v>-32.92</v>
      </c>
      <c r="E79" s="17" t="s">
        <v>94</v>
      </c>
      <c r="F79" s="7" t="n">
        <v>68.04</v>
      </c>
      <c r="G79" s="17" t="s">
        <v>60</v>
      </c>
    </row>
    <row r="80" customFormat="false" ht="15" hidden="false" customHeight="false" outlineLevel="0" collapsed="false">
      <c r="A80" s="0" t="s">
        <v>90</v>
      </c>
      <c r="B80" s="15" t="n">
        <v>45985</v>
      </c>
      <c r="C80" s="17" t="s">
        <v>169</v>
      </c>
      <c r="D80" s="7" t="n">
        <v>-38</v>
      </c>
      <c r="E80" s="17" t="s">
        <v>94</v>
      </c>
      <c r="F80" s="7" t="n">
        <v>100.96</v>
      </c>
      <c r="G80" s="17" t="s">
        <v>60</v>
      </c>
    </row>
    <row r="81" customFormat="false" ht="15" hidden="false" customHeight="false" outlineLevel="0" collapsed="false">
      <c r="A81" s="0" t="s">
        <v>90</v>
      </c>
      <c r="B81" s="15" t="n">
        <v>45985</v>
      </c>
      <c r="C81" s="17" t="s">
        <v>170</v>
      </c>
      <c r="D81" s="7" t="n">
        <v>-326.8</v>
      </c>
      <c r="E81" s="17" t="s">
        <v>94</v>
      </c>
      <c r="F81" s="7" t="n">
        <v>138.96</v>
      </c>
      <c r="G81" s="17" t="s">
        <v>49</v>
      </c>
    </row>
    <row r="82" customFormat="false" ht="15" hidden="false" customHeight="false" outlineLevel="0" collapsed="false">
      <c r="A82" s="0" t="s">
        <v>90</v>
      </c>
      <c r="B82" s="15" t="n">
        <v>45980</v>
      </c>
      <c r="C82" s="17" t="s">
        <v>171</v>
      </c>
      <c r="D82" s="7" t="n">
        <v>-2</v>
      </c>
      <c r="E82" s="17" t="s">
        <v>94</v>
      </c>
      <c r="F82" s="7" t="n">
        <v>465.76</v>
      </c>
      <c r="G82" s="17" t="s">
        <v>56</v>
      </c>
    </row>
    <row r="83" customFormat="false" ht="15" hidden="false" customHeight="false" outlineLevel="0" collapsed="false">
      <c r="A83" s="0" t="s">
        <v>90</v>
      </c>
      <c r="B83" s="15" t="n">
        <v>45979</v>
      </c>
      <c r="C83" s="17" t="s">
        <v>172</v>
      </c>
      <c r="D83" s="7" t="n">
        <v>-33.95</v>
      </c>
      <c r="E83" s="17" t="s">
        <v>94</v>
      </c>
      <c r="F83" s="7" t="n">
        <v>467.76</v>
      </c>
      <c r="G83" s="17" t="s">
        <v>50</v>
      </c>
    </row>
    <row r="84" customFormat="false" ht="15" hidden="false" customHeight="false" outlineLevel="0" collapsed="false">
      <c r="A84" s="0" t="s">
        <v>90</v>
      </c>
      <c r="B84" s="15" t="n">
        <v>45978</v>
      </c>
      <c r="C84" s="17" t="s">
        <v>173</v>
      </c>
      <c r="D84" s="7" t="n">
        <v>-29</v>
      </c>
      <c r="E84" s="17" t="s">
        <v>94</v>
      </c>
      <c r="F84" s="7" t="n">
        <v>501.71</v>
      </c>
      <c r="G84" s="17" t="s">
        <v>63</v>
      </c>
    </row>
    <row r="85" customFormat="false" ht="15" hidden="false" customHeight="false" outlineLevel="0" collapsed="false">
      <c r="A85" s="0" t="s">
        <v>90</v>
      </c>
      <c r="B85" s="15" t="n">
        <v>45978</v>
      </c>
      <c r="C85" s="17" t="s">
        <v>174</v>
      </c>
      <c r="D85" s="7" t="n">
        <v>-8.99</v>
      </c>
      <c r="E85" s="17" t="s">
        <v>94</v>
      </c>
      <c r="F85" s="7" t="n">
        <v>530.71</v>
      </c>
      <c r="G85" s="17" t="s">
        <v>50</v>
      </c>
    </row>
    <row r="86" customFormat="false" ht="15" hidden="false" customHeight="false" outlineLevel="0" collapsed="false">
      <c r="A86" s="0" t="s">
        <v>90</v>
      </c>
      <c r="B86" s="15" t="n">
        <v>45978</v>
      </c>
      <c r="C86" s="17" t="s">
        <v>175</v>
      </c>
      <c r="D86" s="7" t="n">
        <v>-30.97</v>
      </c>
      <c r="E86" s="17" t="s">
        <v>94</v>
      </c>
      <c r="F86" s="7" t="n">
        <v>539.7</v>
      </c>
      <c r="G86" s="17" t="s">
        <v>50</v>
      </c>
    </row>
    <row r="87" customFormat="false" ht="15" hidden="false" customHeight="false" outlineLevel="0" collapsed="false">
      <c r="A87" s="0" t="s">
        <v>97</v>
      </c>
      <c r="B87" s="15" t="n">
        <v>45978</v>
      </c>
      <c r="C87" s="17" t="s">
        <v>176</v>
      </c>
      <c r="D87" s="7" t="n">
        <v>500</v>
      </c>
      <c r="E87" s="17" t="s">
        <v>92</v>
      </c>
      <c r="F87" s="7" t="n">
        <v>570.67</v>
      </c>
      <c r="G87" s="17" t="s">
        <v>22</v>
      </c>
    </row>
    <row r="88" customFormat="false" ht="15" hidden="false" customHeight="false" outlineLevel="0" collapsed="false">
      <c r="A88" s="0" t="s">
        <v>90</v>
      </c>
      <c r="B88" s="15" t="n">
        <v>45975</v>
      </c>
      <c r="C88" s="17" t="s">
        <v>177</v>
      </c>
      <c r="D88" s="7" t="n">
        <v>-46.95</v>
      </c>
      <c r="E88" s="17" t="s">
        <v>94</v>
      </c>
      <c r="F88" s="7" t="n">
        <v>70.67</v>
      </c>
      <c r="G88" s="17" t="s">
        <v>50</v>
      </c>
    </row>
    <row r="89" customFormat="false" ht="15" hidden="false" customHeight="false" outlineLevel="0" collapsed="false">
      <c r="A89" s="0" t="s">
        <v>90</v>
      </c>
      <c r="B89" s="15" t="n">
        <v>45974</v>
      </c>
      <c r="C89" s="17" t="s">
        <v>178</v>
      </c>
      <c r="D89" s="7" t="n">
        <v>-5000</v>
      </c>
      <c r="E89" s="17" t="s">
        <v>102</v>
      </c>
      <c r="F89" s="7" t="n">
        <v>117.62</v>
      </c>
      <c r="G89" s="17" t="s">
        <v>33</v>
      </c>
    </row>
    <row r="90" customFormat="false" ht="15" hidden="false" customHeight="false" outlineLevel="0" collapsed="false">
      <c r="A90" s="0" t="s">
        <v>90</v>
      </c>
      <c r="B90" s="15" t="n">
        <v>45974</v>
      </c>
      <c r="C90" s="17" t="s">
        <v>179</v>
      </c>
      <c r="D90" s="7" t="n">
        <v>-21.64</v>
      </c>
      <c r="E90" s="17" t="s">
        <v>94</v>
      </c>
      <c r="F90" s="7" t="n">
        <v>5117.62</v>
      </c>
      <c r="G90" s="17" t="s">
        <v>63</v>
      </c>
    </row>
    <row r="91" customFormat="false" ht="15" hidden="false" customHeight="false" outlineLevel="0" collapsed="false">
      <c r="A91" s="0" t="s">
        <v>90</v>
      </c>
      <c r="B91" s="15" t="n">
        <v>45974</v>
      </c>
      <c r="C91" s="17" t="s">
        <v>180</v>
      </c>
      <c r="D91" s="7" t="n">
        <v>-14.98</v>
      </c>
      <c r="E91" s="17" t="s">
        <v>94</v>
      </c>
      <c r="F91" s="7" t="n">
        <v>5139.26</v>
      </c>
      <c r="G91" s="17" t="s">
        <v>56</v>
      </c>
    </row>
    <row r="92" customFormat="false" ht="15" hidden="false" customHeight="false" outlineLevel="0" collapsed="false">
      <c r="A92" s="0" t="s">
        <v>97</v>
      </c>
      <c r="B92" s="15" t="n">
        <v>45974</v>
      </c>
      <c r="C92" s="17" t="s">
        <v>181</v>
      </c>
      <c r="D92" s="7" t="n">
        <v>5000</v>
      </c>
      <c r="E92" s="17" t="s">
        <v>92</v>
      </c>
      <c r="F92" s="7" t="n">
        <v>5154.24</v>
      </c>
      <c r="G92" s="17" t="s">
        <v>25</v>
      </c>
    </row>
    <row r="93" customFormat="false" ht="15" hidden="false" customHeight="false" outlineLevel="0" collapsed="false">
      <c r="A93" s="0" t="s">
        <v>90</v>
      </c>
      <c r="B93" s="15" t="n">
        <v>45973</v>
      </c>
      <c r="C93" s="17" t="s">
        <v>182</v>
      </c>
      <c r="D93" s="7" t="n">
        <v>-90</v>
      </c>
      <c r="E93" s="17" t="s">
        <v>94</v>
      </c>
      <c r="F93" s="7" t="n">
        <v>154.24</v>
      </c>
      <c r="G93" s="17" t="s">
        <v>61</v>
      </c>
    </row>
    <row r="94" customFormat="false" ht="15" hidden="false" customHeight="false" outlineLevel="0" collapsed="false">
      <c r="A94" s="0" t="s">
        <v>90</v>
      </c>
      <c r="B94" s="15" t="n">
        <v>45973</v>
      </c>
      <c r="C94" s="17" t="s">
        <v>183</v>
      </c>
      <c r="D94" s="7" t="n">
        <v>-21.98</v>
      </c>
      <c r="E94" s="17" t="s">
        <v>94</v>
      </c>
      <c r="F94" s="7" t="n">
        <v>244.24</v>
      </c>
      <c r="G94" s="17" t="s">
        <v>50</v>
      </c>
    </row>
    <row r="95" customFormat="false" ht="15" hidden="false" customHeight="false" outlineLevel="0" collapsed="false">
      <c r="A95" s="0" t="s">
        <v>90</v>
      </c>
      <c r="B95" s="15" t="n">
        <v>45973</v>
      </c>
      <c r="C95" s="17" t="s">
        <v>184</v>
      </c>
      <c r="D95" s="7" t="n">
        <v>-357.07</v>
      </c>
      <c r="E95" s="17" t="s">
        <v>94</v>
      </c>
      <c r="F95" s="7" t="n">
        <v>266.22</v>
      </c>
      <c r="G95" s="17" t="s">
        <v>17</v>
      </c>
    </row>
    <row r="96" customFormat="false" ht="15" hidden="false" customHeight="false" outlineLevel="0" collapsed="false">
      <c r="A96" s="0" t="s">
        <v>90</v>
      </c>
      <c r="B96" s="15" t="n">
        <v>45973</v>
      </c>
      <c r="C96" s="17" t="s">
        <v>185</v>
      </c>
      <c r="D96" s="7" t="n">
        <v>-22.14</v>
      </c>
      <c r="E96" s="17" t="s">
        <v>94</v>
      </c>
      <c r="F96" s="7" t="n">
        <v>623.29</v>
      </c>
      <c r="G96" s="17" t="s">
        <v>60</v>
      </c>
    </row>
    <row r="97" customFormat="false" ht="15" hidden="false" customHeight="false" outlineLevel="0" collapsed="false">
      <c r="A97" s="0" t="s">
        <v>90</v>
      </c>
      <c r="B97" s="15" t="n">
        <v>45971</v>
      </c>
      <c r="C97" s="17" t="s">
        <v>186</v>
      </c>
      <c r="D97" s="7" t="n">
        <v>-37.34</v>
      </c>
      <c r="E97" s="17" t="s">
        <v>94</v>
      </c>
      <c r="F97" s="7" t="n">
        <v>645.43</v>
      </c>
      <c r="G97" s="17" t="s">
        <v>63</v>
      </c>
    </row>
    <row r="98" customFormat="false" ht="15" hidden="false" customHeight="false" outlineLevel="0" collapsed="false">
      <c r="A98" s="0" t="s">
        <v>90</v>
      </c>
      <c r="B98" s="15" t="n">
        <v>45971</v>
      </c>
      <c r="C98" s="17" t="s">
        <v>187</v>
      </c>
      <c r="D98" s="7" t="n">
        <v>-1.25</v>
      </c>
      <c r="E98" s="17" t="s">
        <v>94</v>
      </c>
      <c r="F98" s="7" t="n">
        <v>682.77</v>
      </c>
      <c r="G98" s="17" t="s">
        <v>56</v>
      </c>
    </row>
    <row r="99" customFormat="false" ht="15" hidden="false" customHeight="false" outlineLevel="0" collapsed="false">
      <c r="A99" s="0" t="s">
        <v>90</v>
      </c>
      <c r="B99" s="15" t="n">
        <v>45968</v>
      </c>
      <c r="C99" s="17" t="s">
        <v>188</v>
      </c>
      <c r="D99" s="7" t="n">
        <v>-30.97</v>
      </c>
      <c r="E99" s="17" t="s">
        <v>94</v>
      </c>
      <c r="F99" s="7" t="n">
        <v>684.02</v>
      </c>
      <c r="G99" s="17" t="s">
        <v>50</v>
      </c>
    </row>
    <row r="100" customFormat="false" ht="15" hidden="false" customHeight="false" outlineLevel="0" collapsed="false">
      <c r="A100" s="0" t="s">
        <v>90</v>
      </c>
      <c r="B100" s="15" t="n">
        <v>45966</v>
      </c>
      <c r="C100" s="17" t="s">
        <v>189</v>
      </c>
      <c r="D100" s="7" t="n">
        <v>-40.97</v>
      </c>
      <c r="E100" s="17" t="s">
        <v>94</v>
      </c>
      <c r="F100" s="7" t="n">
        <v>714.99</v>
      </c>
      <c r="G100" s="17" t="s">
        <v>50</v>
      </c>
    </row>
    <row r="101" customFormat="false" ht="15" hidden="false" customHeight="false" outlineLevel="0" collapsed="false">
      <c r="A101" s="0" t="s">
        <v>90</v>
      </c>
      <c r="B101" s="15" t="n">
        <v>45964</v>
      </c>
      <c r="C101" s="17" t="s">
        <v>190</v>
      </c>
      <c r="D101" s="7" t="n">
        <v>-68.42</v>
      </c>
      <c r="E101" s="17" t="s">
        <v>94</v>
      </c>
      <c r="F101" s="7" t="n">
        <v>755.96</v>
      </c>
      <c r="G101" s="17" t="s">
        <v>60</v>
      </c>
    </row>
    <row r="102" customFormat="false" ht="15" hidden="false" customHeight="false" outlineLevel="0" collapsed="false">
      <c r="A102" s="0" t="s">
        <v>90</v>
      </c>
      <c r="B102" s="15" t="n">
        <v>45964</v>
      </c>
      <c r="C102" s="17" t="s">
        <v>191</v>
      </c>
      <c r="D102" s="7" t="n">
        <v>-21.98</v>
      </c>
      <c r="E102" s="17" t="s">
        <v>94</v>
      </c>
      <c r="F102" s="7" t="n">
        <v>824.38</v>
      </c>
      <c r="G102" s="17" t="s">
        <v>50</v>
      </c>
    </row>
    <row r="103" customFormat="false" ht="15" hidden="false" customHeight="false" outlineLevel="0" collapsed="false">
      <c r="A103" s="0" t="s">
        <v>90</v>
      </c>
      <c r="B103" s="15" t="n">
        <v>45960</v>
      </c>
      <c r="C103" s="17" t="s">
        <v>192</v>
      </c>
      <c r="D103" s="7" t="n">
        <v>-5000</v>
      </c>
      <c r="E103" s="17" t="s">
        <v>102</v>
      </c>
      <c r="F103" s="7" t="n">
        <v>846.36</v>
      </c>
      <c r="G103" s="17" t="s">
        <v>33</v>
      </c>
    </row>
    <row r="104" customFormat="false" ht="15" hidden="false" customHeight="false" outlineLevel="0" collapsed="false">
      <c r="A104" s="0" t="s">
        <v>97</v>
      </c>
      <c r="B104" s="15" t="n">
        <v>45960</v>
      </c>
      <c r="C104" s="17" t="s">
        <v>193</v>
      </c>
      <c r="D104" s="7" t="n">
        <v>5000</v>
      </c>
      <c r="E104" s="17" t="s">
        <v>92</v>
      </c>
      <c r="F104" s="7" t="n">
        <v>5846.36</v>
      </c>
      <c r="G104" s="17" t="s">
        <v>25</v>
      </c>
    </row>
    <row r="105" customFormat="false" ht="15" hidden="false" customHeight="false" outlineLevel="0" collapsed="false">
      <c r="A105" s="0" t="s">
        <v>90</v>
      </c>
      <c r="B105" s="15" t="n">
        <v>45953</v>
      </c>
      <c r="C105" s="17" t="s">
        <v>194</v>
      </c>
      <c r="D105" s="7" t="n">
        <v>-326.8</v>
      </c>
      <c r="E105" s="17" t="s">
        <v>94</v>
      </c>
      <c r="F105" s="7" t="n">
        <v>846.36</v>
      </c>
      <c r="G105" s="17" t="s">
        <v>49</v>
      </c>
    </row>
    <row r="106" customFormat="false" ht="15" hidden="false" customHeight="false" outlineLevel="0" collapsed="false">
      <c r="A106" s="0" t="s">
        <v>90</v>
      </c>
      <c r="B106" s="15" t="n">
        <v>45950</v>
      </c>
      <c r="C106" s="17" t="s">
        <v>195</v>
      </c>
      <c r="D106" s="7" t="n">
        <v>-33.95</v>
      </c>
      <c r="E106" s="17" t="s">
        <v>94</v>
      </c>
      <c r="F106" s="7" t="n">
        <v>1173.16</v>
      </c>
      <c r="G106" s="17" t="s">
        <v>50</v>
      </c>
    </row>
    <row r="107" customFormat="false" ht="15" hidden="false" customHeight="false" outlineLevel="0" collapsed="false">
      <c r="A107" s="0" t="s">
        <v>90</v>
      </c>
      <c r="B107" s="15" t="n">
        <v>45946</v>
      </c>
      <c r="C107" s="17" t="s">
        <v>196</v>
      </c>
      <c r="D107" s="7" t="n">
        <v>-8.99</v>
      </c>
      <c r="E107" s="17" t="s">
        <v>94</v>
      </c>
      <c r="F107" s="7" t="n">
        <v>1207.11</v>
      </c>
      <c r="G107" s="17" t="s">
        <v>50</v>
      </c>
    </row>
    <row r="108" customFormat="false" ht="15" hidden="false" customHeight="false" outlineLevel="0" collapsed="false">
      <c r="A108" s="0" t="s">
        <v>90</v>
      </c>
      <c r="B108" s="15" t="n">
        <v>45945</v>
      </c>
      <c r="C108" s="17" t="s">
        <v>197</v>
      </c>
      <c r="D108" s="7" t="n">
        <v>-30.97</v>
      </c>
      <c r="E108" s="17" t="s">
        <v>94</v>
      </c>
      <c r="F108" s="7" t="n">
        <v>1216.1</v>
      </c>
      <c r="G108" s="17" t="s">
        <v>50</v>
      </c>
    </row>
    <row r="109" customFormat="false" ht="15" hidden="false" customHeight="false" outlineLevel="0" collapsed="false">
      <c r="A109" s="0" t="s">
        <v>90</v>
      </c>
      <c r="B109" s="15" t="n">
        <v>45944</v>
      </c>
      <c r="C109" s="17" t="s">
        <v>198</v>
      </c>
      <c r="D109" s="7" t="n">
        <v>-5000</v>
      </c>
      <c r="E109" s="17" t="s">
        <v>102</v>
      </c>
      <c r="F109" s="7" t="n">
        <v>1247.07</v>
      </c>
      <c r="G109" s="17" t="s">
        <v>33</v>
      </c>
    </row>
    <row r="110" customFormat="false" ht="15" hidden="false" customHeight="false" outlineLevel="0" collapsed="false">
      <c r="A110" s="0" t="s">
        <v>90</v>
      </c>
      <c r="B110" s="15" t="n">
        <v>45944</v>
      </c>
      <c r="C110" s="17" t="s">
        <v>199</v>
      </c>
      <c r="D110" s="7" t="n">
        <v>-67.92</v>
      </c>
      <c r="E110" s="17" t="s">
        <v>94</v>
      </c>
      <c r="F110" s="7" t="n">
        <v>6247.07</v>
      </c>
      <c r="G110" s="17" t="s">
        <v>50</v>
      </c>
    </row>
    <row r="111" customFormat="false" ht="15" hidden="false" customHeight="false" outlineLevel="0" collapsed="false">
      <c r="A111" s="0" t="s">
        <v>90</v>
      </c>
      <c r="B111" s="15" t="n">
        <v>45944</v>
      </c>
      <c r="C111" s="17" t="s">
        <v>200</v>
      </c>
      <c r="D111" s="7" t="n">
        <v>-21.64</v>
      </c>
      <c r="E111" s="17" t="s">
        <v>94</v>
      </c>
      <c r="F111" s="7" t="n">
        <v>6314.99</v>
      </c>
      <c r="G111" s="17" t="s">
        <v>63</v>
      </c>
    </row>
    <row r="112" customFormat="false" ht="15" hidden="false" customHeight="false" outlineLevel="0" collapsed="false">
      <c r="A112" s="0" t="s">
        <v>90</v>
      </c>
      <c r="B112" s="15" t="n">
        <v>45944</v>
      </c>
      <c r="C112" s="17" t="s">
        <v>201</v>
      </c>
      <c r="D112" s="7" t="n">
        <v>-21.98</v>
      </c>
      <c r="E112" s="17" t="s">
        <v>94</v>
      </c>
      <c r="F112" s="7" t="n">
        <v>6336.63</v>
      </c>
      <c r="G112" s="17" t="s">
        <v>50</v>
      </c>
    </row>
    <row r="113" customFormat="false" ht="15" hidden="false" customHeight="false" outlineLevel="0" collapsed="false">
      <c r="A113" s="0" t="s">
        <v>90</v>
      </c>
      <c r="B113" s="15" t="n">
        <v>45944</v>
      </c>
      <c r="C113" s="17" t="s">
        <v>202</v>
      </c>
      <c r="D113" s="7" t="n">
        <v>-371.49</v>
      </c>
      <c r="E113" s="17" t="s">
        <v>94</v>
      </c>
      <c r="F113" s="7" t="n">
        <v>6358.61</v>
      </c>
      <c r="G113" s="17" t="s">
        <v>63</v>
      </c>
    </row>
    <row r="114" customFormat="false" ht="15" hidden="false" customHeight="false" outlineLevel="0" collapsed="false">
      <c r="A114" s="0" t="s">
        <v>97</v>
      </c>
      <c r="B114" s="15" t="n">
        <v>45944</v>
      </c>
      <c r="C114" s="17" t="s">
        <v>203</v>
      </c>
      <c r="D114" s="7" t="n">
        <v>5000</v>
      </c>
      <c r="E114" s="17" t="s">
        <v>92</v>
      </c>
      <c r="F114" s="7" t="n">
        <v>6730.1</v>
      </c>
      <c r="G114" s="17" t="s">
        <v>25</v>
      </c>
    </row>
    <row r="115" customFormat="false" ht="15" hidden="false" customHeight="false" outlineLevel="0" collapsed="false">
      <c r="A115" s="0" t="s">
        <v>90</v>
      </c>
      <c r="B115" s="15" t="n">
        <v>45940</v>
      </c>
      <c r="C115" s="17" t="s">
        <v>204</v>
      </c>
      <c r="D115" s="7" t="n">
        <v>-37.34</v>
      </c>
      <c r="E115" s="17" t="s">
        <v>94</v>
      </c>
      <c r="F115" s="7" t="n">
        <v>1730.1</v>
      </c>
      <c r="G115" s="17" t="s">
        <v>63</v>
      </c>
    </row>
    <row r="116" customFormat="false" ht="15" hidden="false" customHeight="false" outlineLevel="0" collapsed="false">
      <c r="A116" s="0" t="s">
        <v>90</v>
      </c>
      <c r="B116" s="15" t="n">
        <v>45937</v>
      </c>
      <c r="C116" s="17" t="s">
        <v>205</v>
      </c>
      <c r="D116" s="7" t="n">
        <v>-30.97</v>
      </c>
      <c r="E116" s="17" t="s">
        <v>94</v>
      </c>
      <c r="F116" s="7" t="n">
        <v>1767.44</v>
      </c>
      <c r="G116" s="17" t="s">
        <v>50</v>
      </c>
    </row>
    <row r="117" customFormat="false" ht="15" hidden="false" customHeight="false" outlineLevel="0" collapsed="false">
      <c r="A117" s="0" t="s">
        <v>90</v>
      </c>
      <c r="B117" s="15" t="n">
        <v>45936</v>
      </c>
      <c r="C117" s="17" t="s">
        <v>206</v>
      </c>
      <c r="D117" s="7" t="n">
        <v>-40.97</v>
      </c>
      <c r="E117" s="17" t="s">
        <v>94</v>
      </c>
      <c r="F117" s="7" t="n">
        <v>1798.41</v>
      </c>
      <c r="G117" s="17" t="s">
        <v>50</v>
      </c>
    </row>
    <row r="118" customFormat="false" ht="15" hidden="false" customHeight="false" outlineLevel="0" collapsed="false">
      <c r="A118" s="0" t="s">
        <v>90</v>
      </c>
      <c r="B118" s="15" t="n">
        <v>45933</v>
      </c>
      <c r="C118" s="17" t="s">
        <v>207</v>
      </c>
      <c r="D118" s="7" t="n">
        <v>-22.2</v>
      </c>
      <c r="E118" s="17" t="s">
        <v>94</v>
      </c>
      <c r="F118" s="7" t="n">
        <v>1839.38</v>
      </c>
      <c r="G118" s="17" t="s">
        <v>60</v>
      </c>
    </row>
    <row r="119" customFormat="false" ht="15" hidden="false" customHeight="false" outlineLevel="0" collapsed="false">
      <c r="A119" s="0" t="s">
        <v>90</v>
      </c>
      <c r="B119" s="15" t="n">
        <v>45933</v>
      </c>
      <c r="C119" s="17" t="s">
        <v>208</v>
      </c>
      <c r="D119" s="7" t="n">
        <v>-4.75</v>
      </c>
      <c r="E119" s="17" t="s">
        <v>94</v>
      </c>
      <c r="F119" s="7" t="n">
        <v>1861.58</v>
      </c>
      <c r="G119" s="17" t="s">
        <v>60</v>
      </c>
    </row>
    <row r="120" customFormat="false" ht="15" hidden="false" customHeight="false" outlineLevel="0" collapsed="false">
      <c r="A120" s="0" t="s">
        <v>90</v>
      </c>
      <c r="B120" s="15" t="n">
        <v>45932</v>
      </c>
      <c r="C120" s="17" t="s">
        <v>209</v>
      </c>
      <c r="D120" s="7" t="n">
        <v>-21.98</v>
      </c>
      <c r="E120" s="17" t="s">
        <v>94</v>
      </c>
      <c r="F120" s="7" t="n">
        <v>1866.33</v>
      </c>
      <c r="G120" s="17" t="s">
        <v>50</v>
      </c>
    </row>
    <row r="121" customFormat="false" ht="15" hidden="false" customHeight="false" outlineLevel="0" collapsed="false">
      <c r="A121" s="0" t="s">
        <v>90</v>
      </c>
      <c r="B121" s="15" t="n">
        <v>45931</v>
      </c>
      <c r="C121" s="17" t="s">
        <v>210</v>
      </c>
      <c r="D121" s="7" t="n">
        <v>-250000</v>
      </c>
      <c r="E121" s="17" t="s">
        <v>92</v>
      </c>
      <c r="F121" s="7" t="n">
        <v>1888.31</v>
      </c>
      <c r="G121" s="17" t="s">
        <v>27</v>
      </c>
    </row>
    <row r="122" customFormat="false" ht="15" hidden="false" customHeight="false" outlineLevel="0" collapsed="false">
      <c r="A122" s="0" t="s">
        <v>97</v>
      </c>
      <c r="B122" s="15" t="n">
        <v>45931</v>
      </c>
      <c r="C122" s="17" t="s">
        <v>211</v>
      </c>
      <c r="D122" s="7" t="n">
        <v>250000</v>
      </c>
      <c r="E122" s="17" t="s">
        <v>92</v>
      </c>
      <c r="F122" s="7" t="n">
        <v>251888.31</v>
      </c>
      <c r="G122" s="17" t="s">
        <v>20</v>
      </c>
    </row>
    <row r="123" customFormat="false" ht="15" hidden="false" customHeight="false" outlineLevel="0" collapsed="false">
      <c r="A123" s="0" t="s">
        <v>90</v>
      </c>
      <c r="B123" s="15" t="n">
        <v>45930</v>
      </c>
      <c r="C123" s="17" t="s">
        <v>212</v>
      </c>
      <c r="D123" s="7" t="n">
        <v>-1190.49</v>
      </c>
      <c r="E123" s="17" t="s">
        <v>94</v>
      </c>
      <c r="F123" s="7" t="n">
        <v>1888.31</v>
      </c>
      <c r="G123" s="17" t="s">
        <v>61</v>
      </c>
    </row>
    <row r="124" customFormat="false" ht="15" hidden="false" customHeight="false" outlineLevel="0" collapsed="false">
      <c r="A124" s="0" t="s">
        <v>90</v>
      </c>
      <c r="B124" s="15" t="n">
        <v>45930</v>
      </c>
      <c r="C124" s="17" t="s">
        <v>213</v>
      </c>
      <c r="D124" s="7" t="n">
        <v>-5000</v>
      </c>
      <c r="E124" s="17" t="s">
        <v>102</v>
      </c>
      <c r="F124" s="7" t="n">
        <v>3078.8</v>
      </c>
      <c r="G124" s="17" t="s">
        <v>35</v>
      </c>
    </row>
    <row r="125" customFormat="false" ht="15" hidden="false" customHeight="false" outlineLevel="0" collapsed="false">
      <c r="A125" s="0" t="s">
        <v>90</v>
      </c>
      <c r="B125" s="15" t="n">
        <v>45930</v>
      </c>
      <c r="C125" s="17" t="s">
        <v>214</v>
      </c>
      <c r="D125" s="7" t="n">
        <v>-5000</v>
      </c>
      <c r="E125" s="17" t="s">
        <v>102</v>
      </c>
      <c r="F125" s="7" t="n">
        <v>8078.8</v>
      </c>
      <c r="G125" s="17" t="s">
        <v>33</v>
      </c>
    </row>
    <row r="126" customFormat="false" ht="15" hidden="false" customHeight="false" outlineLevel="0" collapsed="false">
      <c r="A126" s="0" t="s">
        <v>97</v>
      </c>
      <c r="B126" s="15" t="n">
        <v>45929</v>
      </c>
      <c r="C126" s="17" t="s">
        <v>215</v>
      </c>
      <c r="D126" s="7" t="n">
        <v>12000</v>
      </c>
      <c r="E126" s="17" t="s">
        <v>92</v>
      </c>
      <c r="F126" s="7" t="n">
        <v>13078.8</v>
      </c>
      <c r="G126" s="17" t="s">
        <v>22</v>
      </c>
    </row>
    <row r="127" customFormat="false" ht="15" hidden="false" customHeight="false" outlineLevel="0" collapsed="false">
      <c r="A127" s="0" t="s">
        <v>90</v>
      </c>
      <c r="B127" s="15" t="n">
        <v>45924</v>
      </c>
      <c r="C127" s="17" t="s">
        <v>216</v>
      </c>
      <c r="D127" s="7" t="n">
        <v>-15</v>
      </c>
      <c r="E127" s="17" t="s">
        <v>111</v>
      </c>
      <c r="F127" s="7" t="n">
        <v>1078.8</v>
      </c>
      <c r="G127" s="17" t="s">
        <v>46</v>
      </c>
    </row>
    <row r="128" customFormat="false" ht="15" hidden="false" customHeight="false" outlineLevel="0" collapsed="false">
      <c r="A128" s="0" t="s">
        <v>90</v>
      </c>
      <c r="B128" s="15" t="n">
        <v>45924</v>
      </c>
      <c r="C128" s="17" t="s">
        <v>217</v>
      </c>
      <c r="D128" s="7" t="n">
        <v>-250000</v>
      </c>
      <c r="E128" s="17" t="s">
        <v>92</v>
      </c>
      <c r="F128" s="7" t="n">
        <v>1093.8</v>
      </c>
      <c r="G128" s="17" t="s">
        <v>27</v>
      </c>
    </row>
    <row r="129" customFormat="false" ht="15" hidden="false" customHeight="false" outlineLevel="0" collapsed="false">
      <c r="A129" s="0" t="s">
        <v>90</v>
      </c>
      <c r="B129" s="15" t="n">
        <v>45924</v>
      </c>
      <c r="C129" s="17" t="s">
        <v>218</v>
      </c>
      <c r="D129" s="7" t="n">
        <v>-326.8</v>
      </c>
      <c r="E129" s="17" t="s">
        <v>94</v>
      </c>
      <c r="F129" s="7" t="n">
        <v>251093.8</v>
      </c>
      <c r="G129" s="17" t="s">
        <v>49</v>
      </c>
    </row>
    <row r="130" customFormat="false" ht="15" hidden="false" customHeight="false" outlineLevel="0" collapsed="false">
      <c r="A130" s="0" t="s">
        <v>97</v>
      </c>
      <c r="B130" s="15" t="n">
        <v>45924</v>
      </c>
      <c r="C130" s="17" t="s">
        <v>219</v>
      </c>
      <c r="D130" s="7" t="n">
        <v>250000</v>
      </c>
      <c r="E130" s="17" t="s">
        <v>118</v>
      </c>
      <c r="F130" s="7" t="n">
        <v>251420.6</v>
      </c>
      <c r="G130" s="17" t="s">
        <v>20</v>
      </c>
    </row>
    <row r="131" customFormat="false" ht="15" hidden="false" customHeight="false" outlineLevel="0" collapsed="false">
      <c r="A131" s="0" t="s">
        <v>90</v>
      </c>
      <c r="B131" s="15" t="n">
        <v>45922</v>
      </c>
      <c r="C131" s="17" t="s">
        <v>220</v>
      </c>
      <c r="D131" s="7" t="n">
        <v>-25</v>
      </c>
      <c r="E131" s="17" t="s">
        <v>111</v>
      </c>
      <c r="F131" s="7" t="n">
        <v>1420.6</v>
      </c>
      <c r="G131" s="17" t="s">
        <v>46</v>
      </c>
    </row>
    <row r="132" customFormat="false" ht="15" hidden="false" customHeight="false" outlineLevel="0" collapsed="false">
      <c r="A132" s="0" t="s">
        <v>90</v>
      </c>
      <c r="B132" s="15" t="n">
        <v>45922</v>
      </c>
      <c r="C132" s="17" t="s">
        <v>221</v>
      </c>
      <c r="D132" s="7" t="n">
        <v>-75000</v>
      </c>
      <c r="E132" s="17" t="s">
        <v>222</v>
      </c>
      <c r="F132" s="7" t="n">
        <v>1445.6</v>
      </c>
      <c r="G132" s="17" t="s">
        <v>17</v>
      </c>
    </row>
    <row r="133" customFormat="false" ht="15" hidden="false" customHeight="false" outlineLevel="0" collapsed="false">
      <c r="A133" s="0" t="s">
        <v>97</v>
      </c>
      <c r="B133" s="15" t="n">
        <v>45922</v>
      </c>
      <c r="C133" s="17" t="s">
        <v>223</v>
      </c>
      <c r="D133" s="7" t="n">
        <v>75000</v>
      </c>
      <c r="E133" s="17" t="s">
        <v>92</v>
      </c>
      <c r="F133" s="7" t="n">
        <v>76445.6</v>
      </c>
      <c r="G133" s="17" t="s">
        <v>22</v>
      </c>
    </row>
    <row r="134" customFormat="false" ht="15" hidden="false" customHeight="false" outlineLevel="0" collapsed="false">
      <c r="A134" s="0" t="s">
        <v>90</v>
      </c>
      <c r="B134" s="15" t="n">
        <v>45918</v>
      </c>
      <c r="C134" s="17" t="s">
        <v>224</v>
      </c>
      <c r="D134" s="7" t="n">
        <v>-19.5</v>
      </c>
      <c r="E134" s="17" t="s">
        <v>94</v>
      </c>
      <c r="F134" s="7" t="n">
        <v>1445.6</v>
      </c>
      <c r="G134" s="17" t="s">
        <v>61</v>
      </c>
    </row>
    <row r="135" customFormat="false" ht="15" hidden="false" customHeight="false" outlineLevel="0" collapsed="false">
      <c r="A135" s="0" t="s">
        <v>90</v>
      </c>
      <c r="B135" s="15" t="n">
        <v>45918</v>
      </c>
      <c r="C135" s="17" t="s">
        <v>224</v>
      </c>
      <c r="D135" s="7" t="n">
        <v>-3.25</v>
      </c>
      <c r="E135" s="17" t="s">
        <v>94</v>
      </c>
      <c r="F135" s="7" t="n">
        <v>1465.1</v>
      </c>
      <c r="G135" s="17" t="s">
        <v>61</v>
      </c>
    </row>
    <row r="136" customFormat="false" ht="15" hidden="false" customHeight="false" outlineLevel="0" collapsed="false">
      <c r="A136" s="0" t="s">
        <v>90</v>
      </c>
      <c r="B136" s="15" t="n">
        <v>45918</v>
      </c>
      <c r="C136" s="17" t="s">
        <v>225</v>
      </c>
      <c r="D136" s="7" t="n">
        <v>-33.95</v>
      </c>
      <c r="E136" s="17" t="s">
        <v>94</v>
      </c>
      <c r="F136" s="7" t="n">
        <v>1468.35</v>
      </c>
      <c r="G136" s="17" t="s">
        <v>50</v>
      </c>
    </row>
    <row r="137" customFormat="false" ht="15" hidden="false" customHeight="false" outlineLevel="0" collapsed="false">
      <c r="A137" s="0" t="s">
        <v>90</v>
      </c>
      <c r="B137" s="15" t="n">
        <v>45916</v>
      </c>
      <c r="C137" s="17" t="s">
        <v>220</v>
      </c>
      <c r="D137" s="7" t="n">
        <v>-25</v>
      </c>
      <c r="E137" s="17" t="s">
        <v>111</v>
      </c>
      <c r="F137" s="7" t="n">
        <v>1502.3</v>
      </c>
      <c r="G137" s="17" t="s">
        <v>46</v>
      </c>
    </row>
    <row r="138" customFormat="false" ht="15" hidden="false" customHeight="false" outlineLevel="0" collapsed="false">
      <c r="A138" s="0" t="s">
        <v>90</v>
      </c>
      <c r="B138" s="15" t="n">
        <v>45916</v>
      </c>
      <c r="C138" s="17" t="s">
        <v>226</v>
      </c>
      <c r="D138" s="7" t="n">
        <v>-50000</v>
      </c>
      <c r="E138" s="17" t="s">
        <v>222</v>
      </c>
      <c r="F138" s="7" t="n">
        <v>1527.3</v>
      </c>
      <c r="G138" s="17" t="s">
        <v>17</v>
      </c>
    </row>
    <row r="139" customFormat="false" ht="15" hidden="false" customHeight="false" outlineLevel="0" collapsed="false">
      <c r="A139" s="0" t="s">
        <v>90</v>
      </c>
      <c r="B139" s="15" t="n">
        <v>45916</v>
      </c>
      <c r="C139" s="17" t="s">
        <v>227</v>
      </c>
      <c r="D139" s="7" t="n">
        <v>-8.99</v>
      </c>
      <c r="E139" s="17" t="s">
        <v>94</v>
      </c>
      <c r="F139" s="7" t="n">
        <v>51527.3</v>
      </c>
      <c r="G139" s="17" t="s">
        <v>50</v>
      </c>
    </row>
    <row r="140" customFormat="false" ht="15" hidden="false" customHeight="false" outlineLevel="0" collapsed="false">
      <c r="A140" s="0" t="s">
        <v>90</v>
      </c>
      <c r="B140" s="15" t="n">
        <v>45915</v>
      </c>
      <c r="C140" s="17" t="s">
        <v>228</v>
      </c>
      <c r="D140" s="7" t="n">
        <v>-30.97</v>
      </c>
      <c r="E140" s="17" t="s">
        <v>94</v>
      </c>
      <c r="F140" s="7" t="n">
        <v>51536.29</v>
      </c>
      <c r="G140" s="17" t="s">
        <v>50</v>
      </c>
    </row>
    <row r="141" customFormat="false" ht="15" hidden="false" customHeight="false" outlineLevel="0" collapsed="false">
      <c r="A141" s="0" t="s">
        <v>90</v>
      </c>
      <c r="B141" s="15" t="n">
        <v>45915</v>
      </c>
      <c r="C141" s="17" t="s">
        <v>229</v>
      </c>
      <c r="D141" s="7" t="n">
        <v>-46.95</v>
      </c>
      <c r="E141" s="17" t="s">
        <v>94</v>
      </c>
      <c r="F141" s="7" t="n">
        <v>51567.26</v>
      </c>
      <c r="G141" s="17" t="s">
        <v>50</v>
      </c>
    </row>
    <row r="142" customFormat="false" ht="15" hidden="false" customHeight="false" outlineLevel="0" collapsed="false">
      <c r="A142" s="0" t="s">
        <v>90</v>
      </c>
      <c r="B142" s="15" t="n">
        <v>45915</v>
      </c>
      <c r="C142" s="17" t="s">
        <v>230</v>
      </c>
      <c r="D142" s="7" t="n">
        <v>-21.64</v>
      </c>
      <c r="E142" s="17" t="s">
        <v>94</v>
      </c>
      <c r="F142" s="7" t="n">
        <v>51614.21</v>
      </c>
      <c r="G142" s="17" t="s">
        <v>63</v>
      </c>
    </row>
    <row r="143" customFormat="false" ht="15" hidden="false" customHeight="false" outlineLevel="0" collapsed="false">
      <c r="A143" s="0" t="s">
        <v>90</v>
      </c>
      <c r="B143" s="15" t="n">
        <v>45912</v>
      </c>
      <c r="C143" s="17" t="s">
        <v>231</v>
      </c>
      <c r="D143" s="7" t="n">
        <v>-5</v>
      </c>
      <c r="E143" s="17" t="s">
        <v>94</v>
      </c>
      <c r="F143" s="7" t="n">
        <v>51635.85</v>
      </c>
      <c r="G143" s="17" t="s">
        <v>61</v>
      </c>
    </row>
    <row r="144" customFormat="false" ht="15" hidden="false" customHeight="false" outlineLevel="0" collapsed="false">
      <c r="A144" s="0" t="s">
        <v>90</v>
      </c>
      <c r="B144" s="15" t="n">
        <v>45912</v>
      </c>
      <c r="C144" s="17" t="s">
        <v>232</v>
      </c>
      <c r="D144" s="7" t="n">
        <v>-5000</v>
      </c>
      <c r="E144" s="17" t="s">
        <v>102</v>
      </c>
      <c r="F144" s="7" t="n">
        <v>51640.85</v>
      </c>
      <c r="G144" s="17" t="s">
        <v>35</v>
      </c>
    </row>
    <row r="145" customFormat="false" ht="15" hidden="false" customHeight="false" outlineLevel="0" collapsed="false">
      <c r="A145" s="0" t="s">
        <v>90</v>
      </c>
      <c r="B145" s="15" t="n">
        <v>45912</v>
      </c>
      <c r="C145" s="17" t="s">
        <v>233</v>
      </c>
      <c r="D145" s="7" t="n">
        <v>-5000</v>
      </c>
      <c r="E145" s="17" t="s">
        <v>102</v>
      </c>
      <c r="F145" s="7" t="n">
        <v>56640.85</v>
      </c>
      <c r="G145" s="17" t="s">
        <v>33</v>
      </c>
    </row>
    <row r="146" customFormat="false" ht="15" hidden="false" customHeight="false" outlineLevel="0" collapsed="false">
      <c r="A146" s="0" t="s">
        <v>90</v>
      </c>
      <c r="B146" s="15" t="n">
        <v>45912</v>
      </c>
      <c r="C146" s="17" t="s">
        <v>234</v>
      </c>
      <c r="D146" s="7" t="n">
        <v>-21.98</v>
      </c>
      <c r="E146" s="17" t="s">
        <v>94</v>
      </c>
      <c r="F146" s="7" t="n">
        <v>61640.85</v>
      </c>
      <c r="G146" s="17" t="s">
        <v>50</v>
      </c>
    </row>
    <row r="147" customFormat="false" ht="15" hidden="false" customHeight="false" outlineLevel="0" collapsed="false">
      <c r="A147" s="0" t="s">
        <v>90</v>
      </c>
      <c r="B147" s="15" t="n">
        <v>45911</v>
      </c>
      <c r="C147" s="17" t="s">
        <v>235</v>
      </c>
      <c r="D147" s="7" t="n">
        <v>-19.5</v>
      </c>
      <c r="E147" s="17" t="s">
        <v>94</v>
      </c>
      <c r="F147" s="7" t="n">
        <v>61662.83</v>
      </c>
      <c r="G147" s="17" t="s">
        <v>61</v>
      </c>
    </row>
    <row r="148" customFormat="false" ht="15" hidden="false" customHeight="false" outlineLevel="0" collapsed="false">
      <c r="A148" s="0" t="s">
        <v>90</v>
      </c>
      <c r="B148" s="15" t="n">
        <v>45911</v>
      </c>
      <c r="C148" s="17" t="s">
        <v>236</v>
      </c>
      <c r="D148" s="7" t="n">
        <v>-45.25</v>
      </c>
      <c r="E148" s="17" t="s">
        <v>94</v>
      </c>
      <c r="F148" s="7" t="n">
        <v>61682.33</v>
      </c>
      <c r="G148" s="17" t="s">
        <v>55</v>
      </c>
    </row>
    <row r="149" customFormat="false" ht="15" hidden="false" customHeight="false" outlineLevel="0" collapsed="false">
      <c r="A149" s="0" t="s">
        <v>90</v>
      </c>
      <c r="B149" s="15" t="n">
        <v>45910</v>
      </c>
      <c r="C149" s="17" t="s">
        <v>237</v>
      </c>
      <c r="D149" s="7" t="n">
        <v>-37.34</v>
      </c>
      <c r="E149" s="17" t="s">
        <v>94</v>
      </c>
      <c r="F149" s="7" t="n">
        <v>61727.58</v>
      </c>
      <c r="G149" s="17" t="s">
        <v>63</v>
      </c>
    </row>
    <row r="150" customFormat="false" ht="15" hidden="false" customHeight="false" outlineLevel="0" collapsed="false">
      <c r="A150" s="0" t="s">
        <v>97</v>
      </c>
      <c r="B150" s="15" t="n">
        <v>45910</v>
      </c>
      <c r="C150" s="17" t="s">
        <v>238</v>
      </c>
      <c r="D150" s="7" t="n">
        <v>50000</v>
      </c>
      <c r="E150" s="17" t="s">
        <v>92</v>
      </c>
      <c r="F150" s="7" t="n">
        <v>61764.92</v>
      </c>
      <c r="G150" s="17" t="s">
        <v>25</v>
      </c>
    </row>
    <row r="151" customFormat="false" ht="15" hidden="false" customHeight="false" outlineLevel="0" collapsed="false">
      <c r="A151" s="0" t="s">
        <v>90</v>
      </c>
      <c r="B151" s="15" t="n">
        <v>45908</v>
      </c>
      <c r="C151" s="17" t="s">
        <v>239</v>
      </c>
      <c r="D151" s="7" t="n">
        <v>-30.97</v>
      </c>
      <c r="E151" s="17" t="s">
        <v>94</v>
      </c>
      <c r="F151" s="7" t="n">
        <v>11764.92</v>
      </c>
      <c r="G151" s="17" t="s">
        <v>50</v>
      </c>
    </row>
    <row r="152" customFormat="false" ht="15" hidden="false" customHeight="false" outlineLevel="0" collapsed="false">
      <c r="A152" s="0" t="s">
        <v>90</v>
      </c>
      <c r="B152" s="15" t="n">
        <v>45905</v>
      </c>
      <c r="C152" s="17" t="s">
        <v>240</v>
      </c>
      <c r="D152" s="7" t="n">
        <v>-40.97</v>
      </c>
      <c r="E152" s="17" t="s">
        <v>94</v>
      </c>
      <c r="F152" s="7" t="n">
        <v>11795.89</v>
      </c>
      <c r="G152" s="17" t="s">
        <v>50</v>
      </c>
    </row>
    <row r="153" customFormat="false" ht="15" hidden="false" customHeight="false" outlineLevel="0" collapsed="false">
      <c r="A153" s="0" t="s">
        <v>90</v>
      </c>
      <c r="B153" s="15" t="n">
        <v>45903</v>
      </c>
      <c r="C153" s="17" t="s">
        <v>241</v>
      </c>
      <c r="D153" s="7" t="n">
        <v>-40</v>
      </c>
      <c r="E153" s="17" t="s">
        <v>94</v>
      </c>
      <c r="F153" s="7" t="n">
        <v>11836.86</v>
      </c>
      <c r="G153" s="17" t="s">
        <v>60</v>
      </c>
    </row>
    <row r="154" customFormat="false" ht="15" hidden="false" customHeight="false" outlineLevel="0" collapsed="false">
      <c r="A154" s="0" t="s">
        <v>90</v>
      </c>
      <c r="B154" s="15" t="n">
        <v>45902</v>
      </c>
      <c r="C154" s="17" t="s">
        <v>242</v>
      </c>
      <c r="D154" s="7" t="n">
        <v>-4616.56</v>
      </c>
      <c r="E154" s="17" t="s">
        <v>243</v>
      </c>
      <c r="F154" s="7" t="n">
        <v>11876.86</v>
      </c>
      <c r="G154" s="17" t="s">
        <v>42</v>
      </c>
    </row>
    <row r="155" customFormat="false" ht="15" hidden="false" customHeight="false" outlineLevel="0" collapsed="false">
      <c r="A155" s="0" t="s">
        <v>90</v>
      </c>
      <c r="B155" s="15" t="n">
        <v>45902</v>
      </c>
      <c r="C155" s="17" t="s">
        <v>244</v>
      </c>
      <c r="D155" s="7" t="n">
        <v>-21.98</v>
      </c>
      <c r="E155" s="17" t="s">
        <v>94</v>
      </c>
      <c r="F155" s="7" t="n">
        <v>16493.42</v>
      </c>
      <c r="G155" s="17" t="s">
        <v>50</v>
      </c>
    </row>
    <row r="156" customFormat="false" ht="15" hidden="false" customHeight="false" outlineLevel="0" collapsed="false">
      <c r="A156" s="0" t="s">
        <v>90</v>
      </c>
      <c r="B156" s="15" t="n">
        <v>45902</v>
      </c>
      <c r="C156" s="17" t="s">
        <v>245</v>
      </c>
      <c r="D156" s="7" t="n">
        <v>-3.39</v>
      </c>
      <c r="E156" s="17" t="s">
        <v>94</v>
      </c>
      <c r="F156" s="7" t="n">
        <v>16515.4</v>
      </c>
      <c r="G156" s="17" t="s">
        <v>66</v>
      </c>
    </row>
    <row r="157" customFormat="false" ht="15" hidden="false" customHeight="false" outlineLevel="0" collapsed="false">
      <c r="A157" s="0" t="s">
        <v>90</v>
      </c>
      <c r="B157" s="15" t="n">
        <v>45902</v>
      </c>
      <c r="C157" s="17" t="s">
        <v>246</v>
      </c>
      <c r="D157" s="7" t="n">
        <v>-1190.49</v>
      </c>
      <c r="E157" s="17" t="s">
        <v>94</v>
      </c>
      <c r="F157" s="7" t="n">
        <v>16518.79</v>
      </c>
      <c r="G157" s="17" t="s">
        <v>61</v>
      </c>
    </row>
    <row r="158" customFormat="false" ht="15" hidden="false" customHeight="false" outlineLevel="0" collapsed="false">
      <c r="A158" s="0" t="s">
        <v>90</v>
      </c>
      <c r="B158" s="15" t="n">
        <v>45902</v>
      </c>
      <c r="C158" s="17" t="s">
        <v>245</v>
      </c>
      <c r="D158" s="7" t="n">
        <v>-169.33</v>
      </c>
      <c r="E158" s="17" t="s">
        <v>94</v>
      </c>
      <c r="F158" s="7" t="n">
        <v>17709.28</v>
      </c>
      <c r="G158" s="17" t="s">
        <v>66</v>
      </c>
    </row>
    <row r="159" customFormat="false" ht="15" hidden="false" customHeight="false" outlineLevel="0" collapsed="false">
      <c r="A159" s="0" t="s">
        <v>90</v>
      </c>
      <c r="B159" s="15" t="n">
        <v>45897</v>
      </c>
      <c r="C159" s="17" t="s">
        <v>247</v>
      </c>
      <c r="D159" s="7" t="n">
        <v>-5000</v>
      </c>
      <c r="E159" s="17" t="s">
        <v>102</v>
      </c>
      <c r="F159" s="7" t="n">
        <v>17878.61</v>
      </c>
      <c r="G159" s="17" t="s">
        <v>35</v>
      </c>
    </row>
    <row r="160" customFormat="false" ht="15" hidden="false" customHeight="false" outlineLevel="0" collapsed="false">
      <c r="A160" s="0" t="s">
        <v>90</v>
      </c>
      <c r="B160" s="15" t="n">
        <v>45897</v>
      </c>
      <c r="C160" s="17" t="s">
        <v>248</v>
      </c>
      <c r="D160" s="7" t="n">
        <v>-5000</v>
      </c>
      <c r="E160" s="17" t="s">
        <v>102</v>
      </c>
      <c r="F160" s="7" t="n">
        <v>22878.61</v>
      </c>
      <c r="G160" s="17" t="s">
        <v>33</v>
      </c>
    </row>
    <row r="161" customFormat="false" ht="15" hidden="false" customHeight="false" outlineLevel="0" collapsed="false">
      <c r="A161" s="0" t="s">
        <v>97</v>
      </c>
      <c r="B161" s="15" t="n">
        <v>45897</v>
      </c>
      <c r="C161" s="17" t="s">
        <v>249</v>
      </c>
      <c r="D161" s="7" t="n">
        <v>20000</v>
      </c>
      <c r="E161" s="17" t="s">
        <v>92</v>
      </c>
      <c r="F161" s="7" t="n">
        <v>27878.61</v>
      </c>
      <c r="G161" s="17" t="s">
        <v>25</v>
      </c>
    </row>
    <row r="162" customFormat="false" ht="15" hidden="false" customHeight="false" outlineLevel="0" collapsed="false">
      <c r="A162" s="0" t="s">
        <v>90</v>
      </c>
      <c r="B162" s="15" t="n">
        <v>45894</v>
      </c>
      <c r="C162" s="17" t="s">
        <v>250</v>
      </c>
      <c r="D162" s="7" t="n">
        <v>-467.64</v>
      </c>
      <c r="E162" s="17" t="s">
        <v>94</v>
      </c>
      <c r="F162" s="7" t="n">
        <v>7878.61</v>
      </c>
      <c r="G162" s="17" t="s">
        <v>50</v>
      </c>
    </row>
    <row r="163" customFormat="false" ht="15" hidden="false" customHeight="false" outlineLevel="0" collapsed="false">
      <c r="A163" s="0" t="s">
        <v>90</v>
      </c>
      <c r="B163" s="15" t="n">
        <v>45894</v>
      </c>
      <c r="C163" s="17" t="s">
        <v>251</v>
      </c>
      <c r="D163" s="7" t="n">
        <v>-16.25</v>
      </c>
      <c r="E163" s="17" t="s">
        <v>94</v>
      </c>
      <c r="F163" s="7" t="n">
        <v>8346.25</v>
      </c>
      <c r="G163" s="17" t="s">
        <v>61</v>
      </c>
    </row>
    <row r="164" customFormat="false" ht="15" hidden="false" customHeight="false" outlineLevel="0" collapsed="false">
      <c r="A164" s="0" t="s">
        <v>90</v>
      </c>
      <c r="B164" s="15" t="n">
        <v>45894</v>
      </c>
      <c r="C164" s="17" t="s">
        <v>252</v>
      </c>
      <c r="D164" s="7" t="n">
        <v>-326.8</v>
      </c>
      <c r="E164" s="17" t="s">
        <v>94</v>
      </c>
      <c r="F164" s="7" t="n">
        <v>8362.5</v>
      </c>
      <c r="G164" s="17" t="s">
        <v>49</v>
      </c>
    </row>
    <row r="165" customFormat="false" ht="15" hidden="false" customHeight="false" outlineLevel="0" collapsed="false">
      <c r="A165" s="0" t="s">
        <v>97</v>
      </c>
      <c r="B165" s="15" t="n">
        <v>45889</v>
      </c>
      <c r="C165" s="17" t="s">
        <v>253</v>
      </c>
      <c r="D165" s="7" t="n">
        <v>1000</v>
      </c>
      <c r="E165" s="17" t="s">
        <v>254</v>
      </c>
      <c r="F165" s="7" t="n">
        <v>8689.3</v>
      </c>
      <c r="G165" s="17" t="s">
        <v>39</v>
      </c>
    </row>
    <row r="166" customFormat="false" ht="15" hidden="false" customHeight="false" outlineLevel="0" collapsed="false">
      <c r="A166" s="0" t="s">
        <v>97</v>
      </c>
      <c r="B166" s="15" t="n">
        <v>45888</v>
      </c>
      <c r="C166" s="17" t="s">
        <v>255</v>
      </c>
      <c r="D166" s="7" t="n">
        <v>1000</v>
      </c>
      <c r="E166" s="17" t="s">
        <v>254</v>
      </c>
      <c r="F166" s="7" t="n">
        <v>7689.3</v>
      </c>
      <c r="G166" s="17" t="s">
        <v>39</v>
      </c>
    </row>
    <row r="167" customFormat="false" ht="15" hidden="false" customHeight="false" outlineLevel="0" collapsed="false">
      <c r="A167" s="0" t="s">
        <v>90</v>
      </c>
      <c r="B167" s="15" t="n">
        <v>45887</v>
      </c>
      <c r="C167" s="17" t="s">
        <v>256</v>
      </c>
      <c r="D167" s="7" t="n">
        <v>-33.95</v>
      </c>
      <c r="E167" s="17" t="s">
        <v>94</v>
      </c>
      <c r="F167" s="7" t="n">
        <v>6689.3</v>
      </c>
      <c r="G167" s="17" t="s">
        <v>50</v>
      </c>
    </row>
    <row r="168" customFormat="false" ht="15" hidden="false" customHeight="false" outlineLevel="0" collapsed="false">
      <c r="A168" s="0" t="s">
        <v>90</v>
      </c>
      <c r="B168" s="15" t="n">
        <v>45887</v>
      </c>
      <c r="C168" s="17" t="s">
        <v>257</v>
      </c>
      <c r="D168" s="7" t="n">
        <v>-69.62</v>
      </c>
      <c r="E168" s="17" t="s">
        <v>94</v>
      </c>
      <c r="F168" s="7" t="n">
        <v>6723.25</v>
      </c>
      <c r="G168" s="17" t="s">
        <v>49</v>
      </c>
    </row>
    <row r="169" customFormat="false" ht="15" hidden="false" customHeight="false" outlineLevel="0" collapsed="false">
      <c r="A169" s="0" t="s">
        <v>90</v>
      </c>
      <c r="B169" s="15" t="n">
        <v>45887</v>
      </c>
      <c r="C169" s="17" t="s">
        <v>258</v>
      </c>
      <c r="D169" s="7" t="n">
        <v>-8.99</v>
      </c>
      <c r="E169" s="17" t="s">
        <v>94</v>
      </c>
      <c r="F169" s="7" t="n">
        <v>6792.87</v>
      </c>
      <c r="G169" s="17" t="s">
        <v>50</v>
      </c>
    </row>
    <row r="170" customFormat="false" ht="15" hidden="false" customHeight="false" outlineLevel="0" collapsed="false">
      <c r="A170" s="0" t="s">
        <v>90</v>
      </c>
      <c r="B170" s="15" t="n">
        <v>45884</v>
      </c>
      <c r="C170" s="17" t="s">
        <v>259</v>
      </c>
      <c r="D170" s="7" t="n">
        <v>-30.97</v>
      </c>
      <c r="E170" s="17" t="s">
        <v>94</v>
      </c>
      <c r="F170" s="7" t="n">
        <v>6801.86</v>
      </c>
      <c r="G170" s="17" t="s">
        <v>50</v>
      </c>
    </row>
    <row r="171" customFormat="false" ht="15" hidden="false" customHeight="false" outlineLevel="0" collapsed="false">
      <c r="A171" s="0" t="s">
        <v>90</v>
      </c>
      <c r="B171" s="15" t="n">
        <v>45883</v>
      </c>
      <c r="C171" s="17" t="s">
        <v>260</v>
      </c>
      <c r="D171" s="7" t="n">
        <v>-5000</v>
      </c>
      <c r="E171" s="17" t="s">
        <v>102</v>
      </c>
      <c r="F171" s="7" t="n">
        <v>6832.83</v>
      </c>
      <c r="G171" s="17" t="s">
        <v>33</v>
      </c>
    </row>
    <row r="172" customFormat="false" ht="15" hidden="false" customHeight="false" outlineLevel="0" collapsed="false">
      <c r="A172" s="0" t="s">
        <v>90</v>
      </c>
      <c r="B172" s="15" t="n">
        <v>45883</v>
      </c>
      <c r="C172" s="17" t="s">
        <v>261</v>
      </c>
      <c r="D172" s="7" t="n">
        <v>-5000</v>
      </c>
      <c r="E172" s="17" t="s">
        <v>102</v>
      </c>
      <c r="F172" s="7" t="n">
        <v>11832.83</v>
      </c>
      <c r="G172" s="17" t="s">
        <v>35</v>
      </c>
    </row>
    <row r="173" customFormat="false" ht="15" hidden="false" customHeight="false" outlineLevel="0" collapsed="false">
      <c r="A173" s="0" t="s">
        <v>90</v>
      </c>
      <c r="B173" s="15" t="n">
        <v>45883</v>
      </c>
      <c r="C173" s="17" t="s">
        <v>262</v>
      </c>
      <c r="D173" s="7" t="n">
        <v>-46.95</v>
      </c>
      <c r="E173" s="17" t="s">
        <v>94</v>
      </c>
      <c r="F173" s="7" t="n">
        <v>16832.83</v>
      </c>
      <c r="G173" s="17" t="s">
        <v>50</v>
      </c>
    </row>
    <row r="174" customFormat="false" ht="15" hidden="false" customHeight="false" outlineLevel="0" collapsed="false">
      <c r="A174" s="0" t="s">
        <v>90</v>
      </c>
      <c r="B174" s="15" t="n">
        <v>45882</v>
      </c>
      <c r="C174" s="17" t="s">
        <v>263</v>
      </c>
      <c r="D174" s="7" t="n">
        <v>-21.64</v>
      </c>
      <c r="E174" s="17" t="s">
        <v>94</v>
      </c>
      <c r="F174" s="7" t="n">
        <v>16879.78</v>
      </c>
      <c r="G174" s="17" t="s">
        <v>63</v>
      </c>
    </row>
    <row r="175" customFormat="false" ht="15" hidden="false" customHeight="false" outlineLevel="0" collapsed="false">
      <c r="A175" s="0" t="s">
        <v>90</v>
      </c>
      <c r="B175" s="15" t="n">
        <v>45881</v>
      </c>
      <c r="C175" s="17" t="s">
        <v>264</v>
      </c>
      <c r="D175" s="7" t="n">
        <v>-21.98</v>
      </c>
      <c r="E175" s="17" t="s">
        <v>94</v>
      </c>
      <c r="F175" s="7" t="n">
        <v>16901.42</v>
      </c>
      <c r="G175" s="17" t="s">
        <v>50</v>
      </c>
    </row>
    <row r="176" customFormat="false" ht="15" hidden="false" customHeight="false" outlineLevel="0" collapsed="false">
      <c r="A176" s="0" t="s">
        <v>90</v>
      </c>
      <c r="B176" s="15" t="n">
        <v>45880</v>
      </c>
      <c r="C176" s="17" t="s">
        <v>265</v>
      </c>
      <c r="D176" s="7" t="n">
        <v>-19.5</v>
      </c>
      <c r="E176" s="17" t="s">
        <v>94</v>
      </c>
      <c r="F176" s="7" t="n">
        <v>16923.4</v>
      </c>
      <c r="G176" s="17" t="s">
        <v>61</v>
      </c>
    </row>
    <row r="177" customFormat="false" ht="15" hidden="false" customHeight="false" outlineLevel="0" collapsed="false">
      <c r="A177" s="0" t="s">
        <v>90</v>
      </c>
      <c r="B177" s="15" t="n">
        <v>45880</v>
      </c>
      <c r="C177" s="17" t="s">
        <v>266</v>
      </c>
      <c r="D177" s="7" t="n">
        <v>-37.34</v>
      </c>
      <c r="E177" s="17" t="s">
        <v>94</v>
      </c>
      <c r="F177" s="7" t="n">
        <v>16942.9</v>
      </c>
      <c r="G177" s="17" t="s">
        <v>63</v>
      </c>
    </row>
    <row r="178" customFormat="false" ht="15" hidden="false" customHeight="false" outlineLevel="0" collapsed="false">
      <c r="A178" s="0" t="s">
        <v>90</v>
      </c>
      <c r="B178" s="15" t="n">
        <v>45880</v>
      </c>
      <c r="C178" s="17" t="s">
        <v>267</v>
      </c>
      <c r="D178" s="7" t="n">
        <v>-30</v>
      </c>
      <c r="E178" s="17" t="s">
        <v>94</v>
      </c>
      <c r="F178" s="7" t="n">
        <v>16980.24</v>
      </c>
      <c r="G178" s="17" t="s">
        <v>45</v>
      </c>
    </row>
    <row r="179" customFormat="false" ht="15" hidden="false" customHeight="false" outlineLevel="0" collapsed="false">
      <c r="A179" s="0" t="s">
        <v>90</v>
      </c>
      <c r="B179" s="15" t="n">
        <v>45877</v>
      </c>
      <c r="C179" s="17" t="s">
        <v>268</v>
      </c>
      <c r="D179" s="7" t="n">
        <v>-6.5</v>
      </c>
      <c r="E179" s="17" t="s">
        <v>94</v>
      </c>
      <c r="F179" s="7" t="n">
        <v>17010.24</v>
      </c>
      <c r="G179" s="17" t="s">
        <v>61</v>
      </c>
    </row>
    <row r="180" customFormat="false" ht="15" hidden="false" customHeight="false" outlineLevel="0" collapsed="false">
      <c r="A180" s="0" t="s">
        <v>90</v>
      </c>
      <c r="B180" s="15" t="n">
        <v>45876</v>
      </c>
      <c r="C180" s="17" t="s">
        <v>269</v>
      </c>
      <c r="D180" s="7" t="n">
        <v>-1500</v>
      </c>
      <c r="E180" s="17" t="s">
        <v>92</v>
      </c>
      <c r="F180" s="7" t="n">
        <v>17016.74</v>
      </c>
      <c r="G180" s="17" t="s">
        <v>28</v>
      </c>
    </row>
    <row r="181" customFormat="false" ht="15" hidden="false" customHeight="false" outlineLevel="0" collapsed="false">
      <c r="A181" s="0" t="s">
        <v>90</v>
      </c>
      <c r="B181" s="15" t="n">
        <v>45876</v>
      </c>
      <c r="C181" s="17" t="s">
        <v>270</v>
      </c>
      <c r="D181" s="7" t="n">
        <v>-30.97</v>
      </c>
      <c r="E181" s="17" t="s">
        <v>94</v>
      </c>
      <c r="F181" s="7" t="n">
        <v>18516.74</v>
      </c>
      <c r="G181" s="17" t="s">
        <v>50</v>
      </c>
    </row>
    <row r="182" customFormat="false" ht="15" hidden="false" customHeight="false" outlineLevel="0" collapsed="false">
      <c r="A182" s="0" t="s">
        <v>90</v>
      </c>
      <c r="B182" s="15" t="n">
        <v>45875</v>
      </c>
      <c r="C182" s="17" t="s">
        <v>271</v>
      </c>
      <c r="D182" s="7" t="n">
        <v>-5000</v>
      </c>
      <c r="E182" s="17" t="s">
        <v>272</v>
      </c>
      <c r="F182" s="7" t="n">
        <v>18547.71</v>
      </c>
      <c r="G182" s="17" t="s">
        <v>17</v>
      </c>
    </row>
    <row r="183" customFormat="false" ht="15" hidden="false" customHeight="false" outlineLevel="0" collapsed="false">
      <c r="A183" s="0" t="s">
        <v>97</v>
      </c>
      <c r="B183" s="15" t="n">
        <v>45875</v>
      </c>
      <c r="C183" s="17" t="s">
        <v>273</v>
      </c>
      <c r="D183" s="7" t="n">
        <v>1500</v>
      </c>
      <c r="E183" s="17" t="s">
        <v>254</v>
      </c>
      <c r="F183" s="7" t="n">
        <v>23547.71</v>
      </c>
      <c r="G183" s="17" t="s">
        <v>17</v>
      </c>
    </row>
    <row r="184" customFormat="false" ht="15" hidden="false" customHeight="false" outlineLevel="0" collapsed="false">
      <c r="A184" s="0" t="s">
        <v>90</v>
      </c>
      <c r="B184" s="15" t="n">
        <v>45874</v>
      </c>
      <c r="C184" s="17" t="s">
        <v>274</v>
      </c>
      <c r="D184" s="7" t="n">
        <v>-40.97</v>
      </c>
      <c r="E184" s="17" t="s">
        <v>94</v>
      </c>
      <c r="F184" s="7" t="n">
        <v>22047.71</v>
      </c>
      <c r="G184" s="17" t="s">
        <v>50</v>
      </c>
    </row>
    <row r="185" customFormat="false" ht="15" hidden="false" customHeight="false" outlineLevel="0" collapsed="false">
      <c r="A185" s="0" t="s">
        <v>90</v>
      </c>
      <c r="B185" s="15" t="n">
        <v>45873</v>
      </c>
      <c r="C185" s="17" t="s">
        <v>275</v>
      </c>
      <c r="D185" s="7" t="n">
        <v>-18.98</v>
      </c>
      <c r="E185" s="17" t="s">
        <v>94</v>
      </c>
      <c r="F185" s="7" t="n">
        <v>22088.68</v>
      </c>
      <c r="G185" s="17" t="s">
        <v>59</v>
      </c>
    </row>
    <row r="186" customFormat="false" ht="15" hidden="false" customHeight="false" outlineLevel="0" collapsed="false">
      <c r="A186" s="0" t="s">
        <v>90</v>
      </c>
      <c r="B186" s="15" t="n">
        <v>45873</v>
      </c>
      <c r="C186" s="17" t="s">
        <v>275</v>
      </c>
      <c r="D186" s="7" t="n">
        <v>-55.47</v>
      </c>
      <c r="E186" s="17" t="s">
        <v>94</v>
      </c>
      <c r="F186" s="7" t="n">
        <v>22107.66</v>
      </c>
      <c r="G186" s="17" t="s">
        <v>59</v>
      </c>
    </row>
    <row r="187" customFormat="false" ht="15" hidden="false" customHeight="false" outlineLevel="0" collapsed="false">
      <c r="A187" s="0" t="s">
        <v>90</v>
      </c>
      <c r="B187" s="15" t="n">
        <v>45873</v>
      </c>
      <c r="C187" s="17" t="s">
        <v>276</v>
      </c>
      <c r="D187" s="7" t="n">
        <v>-21.98</v>
      </c>
      <c r="E187" s="17" t="s">
        <v>94</v>
      </c>
      <c r="F187" s="7" t="n">
        <v>22163.13</v>
      </c>
      <c r="G187" s="17" t="s">
        <v>50</v>
      </c>
    </row>
    <row r="188" customFormat="false" ht="15" hidden="false" customHeight="false" outlineLevel="0" collapsed="false">
      <c r="A188" s="0" t="s">
        <v>90</v>
      </c>
      <c r="B188" s="15" t="n">
        <v>45870</v>
      </c>
      <c r="C188" s="17" t="s">
        <v>277</v>
      </c>
      <c r="D188" s="7" t="n">
        <v>-1860</v>
      </c>
      <c r="E188" s="17" t="s">
        <v>94</v>
      </c>
      <c r="F188" s="7" t="n">
        <v>22185.11</v>
      </c>
      <c r="G188" s="17" t="s">
        <v>61</v>
      </c>
    </row>
    <row r="189" customFormat="false" ht="15" hidden="false" customHeight="false" outlineLevel="0" collapsed="false">
      <c r="A189" s="0" t="s">
        <v>90</v>
      </c>
      <c r="B189" s="15" t="n">
        <v>45869</v>
      </c>
      <c r="C189" s="17" t="s">
        <v>278</v>
      </c>
      <c r="D189" s="7" t="n">
        <v>-1190.49</v>
      </c>
      <c r="E189" s="17" t="s">
        <v>94</v>
      </c>
      <c r="F189" s="7" t="n">
        <v>24045.11</v>
      </c>
      <c r="G189" s="17" t="s">
        <v>61</v>
      </c>
    </row>
    <row r="190" customFormat="false" ht="15" hidden="false" customHeight="false" outlineLevel="0" collapsed="false">
      <c r="A190" s="0" t="s">
        <v>90</v>
      </c>
      <c r="B190" s="15" t="n">
        <v>45869</v>
      </c>
      <c r="C190" s="17" t="s">
        <v>279</v>
      </c>
      <c r="D190" s="7" t="n">
        <v>-5000</v>
      </c>
      <c r="E190" s="17" t="s">
        <v>102</v>
      </c>
      <c r="F190" s="7" t="n">
        <v>25235.6</v>
      </c>
      <c r="G190" s="17" t="s">
        <v>33</v>
      </c>
    </row>
    <row r="191" customFormat="false" ht="15" hidden="false" customHeight="false" outlineLevel="0" collapsed="false">
      <c r="A191" s="0" t="s">
        <v>90</v>
      </c>
      <c r="B191" s="15" t="n">
        <v>45868</v>
      </c>
      <c r="C191" s="17" t="s">
        <v>280</v>
      </c>
      <c r="D191" s="7" t="n">
        <v>-5000</v>
      </c>
      <c r="E191" s="17" t="s">
        <v>102</v>
      </c>
      <c r="F191" s="7" t="n">
        <v>30235.6</v>
      </c>
      <c r="G191" s="17" t="s">
        <v>35</v>
      </c>
    </row>
    <row r="192" customFormat="false" ht="15" hidden="false" customHeight="false" outlineLevel="0" collapsed="false">
      <c r="A192" s="0" t="s">
        <v>90</v>
      </c>
      <c r="B192" s="15" t="n">
        <v>45868</v>
      </c>
      <c r="C192" s="17" t="s">
        <v>281</v>
      </c>
      <c r="D192" s="7" t="n">
        <v>-43.83</v>
      </c>
      <c r="E192" s="17" t="s">
        <v>94</v>
      </c>
      <c r="F192" s="7" t="n">
        <v>35235.6</v>
      </c>
      <c r="G192" s="17" t="s">
        <v>60</v>
      </c>
    </row>
    <row r="193" customFormat="false" ht="15" hidden="false" customHeight="false" outlineLevel="0" collapsed="false">
      <c r="A193" s="0" t="s">
        <v>90</v>
      </c>
      <c r="B193" s="15" t="n">
        <v>45867</v>
      </c>
      <c r="C193" s="17" t="s">
        <v>282</v>
      </c>
      <c r="D193" s="7" t="n">
        <v>-19.43</v>
      </c>
      <c r="E193" s="17" t="s">
        <v>94</v>
      </c>
      <c r="F193" s="7" t="n">
        <v>35279.43</v>
      </c>
      <c r="G193" s="17" t="s">
        <v>57</v>
      </c>
    </row>
    <row r="194" customFormat="false" ht="15" hidden="false" customHeight="false" outlineLevel="0" collapsed="false">
      <c r="A194" s="0" t="s">
        <v>90</v>
      </c>
      <c r="B194" s="15" t="n">
        <v>45863</v>
      </c>
      <c r="C194" s="17" t="s">
        <v>283</v>
      </c>
      <c r="D194" s="7" t="n">
        <v>-11.15</v>
      </c>
      <c r="E194" s="17" t="s">
        <v>94</v>
      </c>
      <c r="F194" s="7" t="n">
        <v>35298.86</v>
      </c>
      <c r="G194" s="17" t="s">
        <v>60</v>
      </c>
    </row>
    <row r="195" customFormat="false" ht="15" hidden="false" customHeight="false" outlineLevel="0" collapsed="false">
      <c r="A195" s="0" t="s">
        <v>90</v>
      </c>
      <c r="B195" s="15" t="n">
        <v>45862</v>
      </c>
      <c r="C195" s="17" t="s">
        <v>284</v>
      </c>
      <c r="D195" s="7" t="n">
        <v>-99</v>
      </c>
      <c r="E195" s="17" t="s">
        <v>94</v>
      </c>
      <c r="F195" s="7" t="n">
        <v>35310.01</v>
      </c>
      <c r="G195" s="17" t="s">
        <v>61</v>
      </c>
    </row>
    <row r="196" customFormat="false" ht="15" hidden="false" customHeight="false" outlineLevel="0" collapsed="false">
      <c r="A196" s="0" t="s">
        <v>90</v>
      </c>
      <c r="B196" s="15" t="n">
        <v>45862</v>
      </c>
      <c r="C196" s="17" t="s">
        <v>285</v>
      </c>
      <c r="D196" s="7" t="n">
        <v>-5.55</v>
      </c>
      <c r="E196" s="17" t="s">
        <v>94</v>
      </c>
      <c r="F196" s="7" t="n">
        <v>35409.01</v>
      </c>
      <c r="G196" s="17" t="s">
        <v>60</v>
      </c>
    </row>
    <row r="197" customFormat="false" ht="15" hidden="false" customHeight="false" outlineLevel="0" collapsed="false">
      <c r="A197" s="0" t="s">
        <v>90</v>
      </c>
      <c r="B197" s="15" t="n">
        <v>45862</v>
      </c>
      <c r="C197" s="17" t="s">
        <v>286</v>
      </c>
      <c r="D197" s="7" t="n">
        <v>-57.13</v>
      </c>
      <c r="E197" s="17" t="s">
        <v>94</v>
      </c>
      <c r="F197" s="7" t="n">
        <v>35414.56</v>
      </c>
      <c r="G197" s="17" t="s">
        <v>60</v>
      </c>
    </row>
    <row r="198" customFormat="false" ht="15" hidden="false" customHeight="false" outlineLevel="0" collapsed="false">
      <c r="A198" s="0" t="s">
        <v>90</v>
      </c>
      <c r="B198" s="15" t="n">
        <v>45861</v>
      </c>
      <c r="C198" s="17" t="s">
        <v>287</v>
      </c>
      <c r="D198" s="7" t="n">
        <v>-326.8</v>
      </c>
      <c r="E198" s="17" t="s">
        <v>94</v>
      </c>
      <c r="F198" s="7" t="n">
        <v>35471.69</v>
      </c>
      <c r="G198" s="17" t="s">
        <v>49</v>
      </c>
    </row>
    <row r="199" customFormat="false" ht="15" hidden="false" customHeight="false" outlineLevel="0" collapsed="false">
      <c r="A199" s="0" t="s">
        <v>90</v>
      </c>
      <c r="B199" s="15" t="n">
        <v>45859</v>
      </c>
      <c r="C199" s="17" t="s">
        <v>220</v>
      </c>
      <c r="D199" s="7" t="n">
        <v>-25</v>
      </c>
      <c r="E199" s="17" t="s">
        <v>111</v>
      </c>
      <c r="F199" s="7" t="n">
        <v>35798.49</v>
      </c>
      <c r="G199" s="17" t="s">
        <v>46</v>
      </c>
    </row>
    <row r="200" customFormat="false" ht="15" hidden="false" customHeight="false" outlineLevel="0" collapsed="false">
      <c r="A200" s="0" t="s">
        <v>90</v>
      </c>
      <c r="B200" s="15" t="n">
        <v>45859</v>
      </c>
      <c r="C200" s="17" t="s">
        <v>288</v>
      </c>
      <c r="D200" s="7" t="n">
        <v>-10000</v>
      </c>
      <c r="E200" s="17" t="s">
        <v>222</v>
      </c>
      <c r="F200" s="7" t="n">
        <v>35823.49</v>
      </c>
    </row>
    <row r="201" customFormat="false" ht="15" hidden="false" customHeight="false" outlineLevel="0" collapsed="false">
      <c r="A201" s="0" t="s">
        <v>97</v>
      </c>
      <c r="B201" s="15" t="n">
        <v>45859</v>
      </c>
      <c r="C201" s="17" t="s">
        <v>289</v>
      </c>
      <c r="D201" s="7" t="n">
        <v>10000</v>
      </c>
      <c r="E201" s="17" t="s">
        <v>92</v>
      </c>
      <c r="F201" s="7" t="n">
        <v>45823.49</v>
      </c>
      <c r="G201" s="17" t="s">
        <v>25</v>
      </c>
    </row>
    <row r="202" customFormat="false" ht="15" hidden="false" customHeight="false" outlineLevel="0" collapsed="false">
      <c r="A202" s="0" t="s">
        <v>90</v>
      </c>
      <c r="B202" s="15" t="n">
        <v>45856</v>
      </c>
      <c r="C202" s="17" t="s">
        <v>290</v>
      </c>
      <c r="D202" s="7" t="n">
        <v>-19.97</v>
      </c>
      <c r="E202" s="17" t="s">
        <v>94</v>
      </c>
      <c r="F202" s="7" t="n">
        <v>35823.49</v>
      </c>
      <c r="G202" s="17" t="s">
        <v>50</v>
      </c>
    </row>
    <row r="203" customFormat="false" ht="15" hidden="false" customHeight="false" outlineLevel="0" collapsed="false">
      <c r="A203" s="0" t="s">
        <v>90</v>
      </c>
      <c r="B203" s="15" t="n">
        <v>45856</v>
      </c>
      <c r="C203" s="17" t="s">
        <v>290</v>
      </c>
      <c r="D203" s="7" t="n">
        <v>-13.98</v>
      </c>
      <c r="E203" s="17" t="s">
        <v>94</v>
      </c>
      <c r="F203" s="7" t="n">
        <v>35843.46</v>
      </c>
      <c r="G203" s="17" t="s">
        <v>50</v>
      </c>
    </row>
    <row r="204" customFormat="false" ht="15" hidden="false" customHeight="false" outlineLevel="0" collapsed="false">
      <c r="A204" s="0" t="s">
        <v>97</v>
      </c>
      <c r="B204" s="15" t="n">
        <v>45855</v>
      </c>
      <c r="C204" s="17" t="s">
        <v>291</v>
      </c>
      <c r="D204" s="7" t="n">
        <v>0.01</v>
      </c>
      <c r="E204" s="17" t="s">
        <v>292</v>
      </c>
      <c r="F204" s="7" t="n">
        <v>35857.44</v>
      </c>
      <c r="G204" s="17" t="s">
        <v>70</v>
      </c>
    </row>
    <row r="205" customFormat="false" ht="15" hidden="false" customHeight="false" outlineLevel="0" collapsed="false">
      <c r="A205" s="0" t="s">
        <v>90</v>
      </c>
      <c r="B205" s="15" t="n">
        <v>45854</v>
      </c>
      <c r="C205" s="17" t="s">
        <v>293</v>
      </c>
      <c r="D205" s="7" t="n">
        <v>-8.99</v>
      </c>
      <c r="E205" s="17" t="s">
        <v>94</v>
      </c>
      <c r="F205" s="7" t="n">
        <v>35857.43</v>
      </c>
      <c r="G205" s="17" t="s">
        <v>50</v>
      </c>
    </row>
    <row r="206" customFormat="false" ht="15" hidden="false" customHeight="false" outlineLevel="0" collapsed="false">
      <c r="A206" s="0" t="s">
        <v>90</v>
      </c>
      <c r="B206" s="15" t="n">
        <v>45853</v>
      </c>
      <c r="C206" s="17" t="s">
        <v>294</v>
      </c>
      <c r="D206" s="7" t="n">
        <v>-118.92</v>
      </c>
      <c r="E206" s="17" t="s">
        <v>94</v>
      </c>
      <c r="F206" s="7" t="n">
        <v>35866.42</v>
      </c>
      <c r="G206" s="17" t="s">
        <v>60</v>
      </c>
    </row>
    <row r="207" customFormat="false" ht="15" hidden="false" customHeight="false" outlineLevel="0" collapsed="false">
      <c r="A207" s="0" t="s">
        <v>90</v>
      </c>
      <c r="B207" s="15" t="n">
        <v>45853</v>
      </c>
      <c r="C207" s="17" t="s">
        <v>295</v>
      </c>
      <c r="D207" s="7" t="n">
        <v>-1.25</v>
      </c>
      <c r="E207" s="17" t="s">
        <v>94</v>
      </c>
      <c r="F207" s="7" t="n">
        <v>35985.34</v>
      </c>
      <c r="G207" s="17" t="s">
        <v>56</v>
      </c>
    </row>
    <row r="208" customFormat="false" ht="15" hidden="false" customHeight="false" outlineLevel="0" collapsed="false">
      <c r="A208" s="0" t="s">
        <v>90</v>
      </c>
      <c r="B208" s="15" t="n">
        <v>45853</v>
      </c>
      <c r="C208" s="17" t="s">
        <v>296</v>
      </c>
      <c r="D208" s="7" t="n">
        <v>-73.15</v>
      </c>
      <c r="E208" s="17" t="s">
        <v>94</v>
      </c>
      <c r="F208" s="7" t="n">
        <v>35986.59</v>
      </c>
      <c r="G208" s="17" t="s">
        <v>50</v>
      </c>
    </row>
    <row r="209" customFormat="false" ht="15" hidden="false" customHeight="false" outlineLevel="0" collapsed="false">
      <c r="A209" s="0" t="s">
        <v>90</v>
      </c>
      <c r="B209" s="15" t="n">
        <v>45853</v>
      </c>
      <c r="C209" s="17" t="s">
        <v>297</v>
      </c>
      <c r="D209" s="7" t="n">
        <v>-228.76</v>
      </c>
      <c r="E209" s="17" t="s">
        <v>94</v>
      </c>
      <c r="F209" s="7" t="n">
        <v>36059.74</v>
      </c>
      <c r="G209" s="17" t="s">
        <v>60</v>
      </c>
    </row>
    <row r="210" customFormat="false" ht="15" hidden="false" customHeight="false" outlineLevel="0" collapsed="false">
      <c r="A210" s="0" t="s">
        <v>90</v>
      </c>
      <c r="B210" s="15" t="n">
        <v>45852</v>
      </c>
      <c r="C210" s="17" t="s">
        <v>298</v>
      </c>
      <c r="D210" s="7" t="n">
        <v>-10000</v>
      </c>
      <c r="E210" s="17" t="s">
        <v>102</v>
      </c>
      <c r="F210" s="7" t="n">
        <v>36288.5</v>
      </c>
      <c r="G210" s="17" t="s">
        <v>35</v>
      </c>
    </row>
    <row r="211" customFormat="false" ht="15" hidden="false" customHeight="false" outlineLevel="0" collapsed="false">
      <c r="A211" s="0" t="s">
        <v>90</v>
      </c>
      <c r="B211" s="15" t="n">
        <v>45852</v>
      </c>
      <c r="C211" s="17" t="s">
        <v>299</v>
      </c>
      <c r="D211" s="7" t="n">
        <v>-5000</v>
      </c>
      <c r="E211" s="17" t="s">
        <v>102</v>
      </c>
      <c r="F211" s="7" t="n">
        <v>46288.5</v>
      </c>
      <c r="G211" s="17" t="s">
        <v>33</v>
      </c>
    </row>
    <row r="212" customFormat="false" ht="15" hidden="false" customHeight="false" outlineLevel="0" collapsed="false">
      <c r="A212" s="0" t="s">
        <v>90</v>
      </c>
      <c r="B212" s="15" t="n">
        <v>45852</v>
      </c>
      <c r="C212" s="17" t="s">
        <v>300</v>
      </c>
      <c r="D212" s="7" t="n">
        <v>-35.19</v>
      </c>
      <c r="E212" s="17" t="s">
        <v>94</v>
      </c>
      <c r="F212" s="7" t="n">
        <v>51288.5</v>
      </c>
      <c r="G212" s="17" t="s">
        <v>3</v>
      </c>
    </row>
    <row r="213" customFormat="false" ht="15" hidden="false" customHeight="false" outlineLevel="0" collapsed="false">
      <c r="A213" s="0" t="s">
        <v>90</v>
      </c>
      <c r="B213" s="15" t="n">
        <v>45852</v>
      </c>
      <c r="C213" s="17" t="s">
        <v>301</v>
      </c>
      <c r="D213" s="7" t="n">
        <v>-68.7</v>
      </c>
      <c r="E213" s="17" t="s">
        <v>94</v>
      </c>
      <c r="F213" s="7" t="n">
        <v>51323.69</v>
      </c>
      <c r="G213" s="17" t="s">
        <v>3</v>
      </c>
    </row>
    <row r="214" customFormat="false" ht="15" hidden="false" customHeight="false" outlineLevel="0" collapsed="false">
      <c r="A214" s="0" t="s">
        <v>90</v>
      </c>
      <c r="B214" s="15" t="n">
        <v>45852</v>
      </c>
      <c r="C214" s="17" t="s">
        <v>302</v>
      </c>
      <c r="D214" s="7" t="n">
        <v>-8.6</v>
      </c>
      <c r="E214" s="17" t="s">
        <v>94</v>
      </c>
      <c r="F214" s="7" t="n">
        <v>51392.39</v>
      </c>
      <c r="G214" s="17" t="s">
        <v>3</v>
      </c>
    </row>
    <row r="215" customFormat="false" ht="15" hidden="false" customHeight="false" outlineLevel="0" collapsed="false">
      <c r="A215" s="0" t="s">
        <v>90</v>
      </c>
      <c r="B215" s="15" t="n">
        <v>45852</v>
      </c>
      <c r="C215" s="17" t="s">
        <v>303</v>
      </c>
      <c r="D215" s="7" t="n">
        <v>-15.98</v>
      </c>
      <c r="E215" s="17" t="s">
        <v>94</v>
      </c>
      <c r="F215" s="7" t="n">
        <v>51400.99</v>
      </c>
      <c r="G215" s="17" t="s">
        <v>50</v>
      </c>
    </row>
    <row r="216" customFormat="false" ht="15" hidden="false" customHeight="false" outlineLevel="0" collapsed="false">
      <c r="A216" s="0" t="s">
        <v>90</v>
      </c>
      <c r="B216" s="15" t="n">
        <v>45852</v>
      </c>
      <c r="C216" s="17" t="s">
        <v>304</v>
      </c>
      <c r="D216" s="7" t="n">
        <v>-51.94</v>
      </c>
      <c r="E216" s="17" t="s">
        <v>94</v>
      </c>
      <c r="F216" s="7" t="n">
        <v>51416.97</v>
      </c>
      <c r="G216" s="17" t="s">
        <v>50</v>
      </c>
    </row>
    <row r="217" customFormat="false" ht="15" hidden="false" customHeight="false" outlineLevel="0" collapsed="false">
      <c r="A217" s="0" t="s">
        <v>90</v>
      </c>
      <c r="B217" s="15" t="n">
        <v>45852</v>
      </c>
      <c r="C217" s="17" t="s">
        <v>305</v>
      </c>
      <c r="D217" s="7" t="n">
        <v>-21.64</v>
      </c>
      <c r="E217" s="17" t="s">
        <v>94</v>
      </c>
      <c r="F217" s="7" t="n">
        <v>51468.91</v>
      </c>
      <c r="G217" s="17" t="s">
        <v>63</v>
      </c>
    </row>
    <row r="218" customFormat="false" ht="15" hidden="false" customHeight="false" outlineLevel="0" collapsed="false">
      <c r="A218" s="0" t="s">
        <v>97</v>
      </c>
      <c r="B218" s="15" t="n">
        <v>45852</v>
      </c>
      <c r="C218" s="17" t="s">
        <v>306</v>
      </c>
      <c r="D218" s="7" t="n">
        <v>50000</v>
      </c>
      <c r="E218" s="17" t="s">
        <v>92</v>
      </c>
      <c r="F218" s="7" t="n">
        <v>51490.55</v>
      </c>
      <c r="G218" s="17" t="s">
        <v>25</v>
      </c>
    </row>
    <row r="219" customFormat="false" ht="15" hidden="false" customHeight="false" outlineLevel="0" collapsed="false">
      <c r="A219" s="0" t="s">
        <v>90</v>
      </c>
      <c r="B219" s="15" t="n">
        <v>45848</v>
      </c>
      <c r="C219" s="17" t="s">
        <v>307</v>
      </c>
      <c r="D219" s="7" t="n">
        <v>-24.88</v>
      </c>
      <c r="E219" s="17" t="s">
        <v>94</v>
      </c>
      <c r="F219" s="7" t="n">
        <v>1490.55</v>
      </c>
      <c r="G219" s="17" t="s">
        <v>61</v>
      </c>
    </row>
    <row r="220" customFormat="false" ht="15" hidden="false" customHeight="false" outlineLevel="0" collapsed="false">
      <c r="A220" s="0" t="s">
        <v>90</v>
      </c>
      <c r="B220" s="15" t="n">
        <v>45848</v>
      </c>
      <c r="C220" s="17" t="s">
        <v>308</v>
      </c>
      <c r="D220" s="7" t="n">
        <v>-35.41</v>
      </c>
      <c r="E220" s="17" t="s">
        <v>94</v>
      </c>
      <c r="F220" s="7" t="n">
        <v>1515.43</v>
      </c>
      <c r="G220" s="17" t="s">
        <v>3</v>
      </c>
    </row>
    <row r="221" customFormat="false" ht="15" hidden="false" customHeight="false" outlineLevel="0" collapsed="false">
      <c r="A221" s="0" t="s">
        <v>90</v>
      </c>
      <c r="B221" s="15" t="n">
        <v>45848</v>
      </c>
      <c r="C221" s="17" t="s">
        <v>309</v>
      </c>
      <c r="D221" s="7" t="n">
        <v>-9.19</v>
      </c>
      <c r="E221" s="17" t="s">
        <v>94</v>
      </c>
      <c r="F221" s="7" t="n">
        <v>1550.84</v>
      </c>
      <c r="G221" s="17" t="s">
        <v>3</v>
      </c>
    </row>
    <row r="222" customFormat="false" ht="15" hidden="false" customHeight="false" outlineLevel="0" collapsed="false">
      <c r="A222" s="0" t="s">
        <v>90</v>
      </c>
      <c r="B222" s="15" t="n">
        <v>45848</v>
      </c>
      <c r="C222" s="17" t="s">
        <v>310</v>
      </c>
      <c r="D222" s="7" t="n">
        <v>-23.27</v>
      </c>
      <c r="E222" s="17" t="s">
        <v>94</v>
      </c>
      <c r="F222" s="7" t="n">
        <v>1560.03</v>
      </c>
      <c r="G222" s="17" t="s">
        <v>3</v>
      </c>
    </row>
    <row r="223" customFormat="false" ht="15" hidden="false" customHeight="false" outlineLevel="0" collapsed="false">
      <c r="A223" s="0" t="s">
        <v>90</v>
      </c>
      <c r="B223" s="15" t="n">
        <v>45848</v>
      </c>
      <c r="C223" s="17" t="s">
        <v>311</v>
      </c>
      <c r="D223" s="7" t="n">
        <v>-37.34</v>
      </c>
      <c r="E223" s="17" t="s">
        <v>94</v>
      </c>
      <c r="F223" s="7" t="n">
        <v>1583.3</v>
      </c>
      <c r="G223" s="17" t="s">
        <v>63</v>
      </c>
    </row>
    <row r="224" customFormat="false" ht="15" hidden="false" customHeight="false" outlineLevel="0" collapsed="false">
      <c r="A224" s="0" t="s">
        <v>90</v>
      </c>
      <c r="B224" s="15" t="n">
        <v>45847</v>
      </c>
      <c r="C224" s="17" t="s">
        <v>312</v>
      </c>
      <c r="D224" s="7" t="n">
        <v>-88.7</v>
      </c>
      <c r="E224" s="17" t="s">
        <v>94</v>
      </c>
      <c r="F224" s="7" t="n">
        <v>1620.64</v>
      </c>
      <c r="G224" s="17" t="s">
        <v>61</v>
      </c>
    </row>
    <row r="225" customFormat="false" ht="15" hidden="false" customHeight="false" outlineLevel="0" collapsed="false">
      <c r="A225" s="0" t="s">
        <v>90</v>
      </c>
      <c r="B225" s="15" t="n">
        <v>45847</v>
      </c>
      <c r="C225" s="17" t="s">
        <v>313</v>
      </c>
      <c r="D225" s="7" t="n">
        <v>-1.25</v>
      </c>
      <c r="E225" s="17" t="s">
        <v>94</v>
      </c>
      <c r="F225" s="7" t="n">
        <v>1709.34</v>
      </c>
      <c r="G225" s="17" t="s">
        <v>56</v>
      </c>
    </row>
    <row r="226" customFormat="false" ht="15" hidden="false" customHeight="false" outlineLevel="0" collapsed="false">
      <c r="A226" s="0" t="s">
        <v>90</v>
      </c>
      <c r="B226" s="15" t="n">
        <v>45847</v>
      </c>
      <c r="C226" s="17" t="s">
        <v>314</v>
      </c>
      <c r="D226" s="7" t="n">
        <v>-104</v>
      </c>
      <c r="E226" s="17" t="s">
        <v>94</v>
      </c>
      <c r="F226" s="7" t="n">
        <v>1710.59</v>
      </c>
      <c r="G226" s="17" t="s">
        <v>61</v>
      </c>
    </row>
    <row r="227" customFormat="false" ht="15" hidden="false" customHeight="false" outlineLevel="0" collapsed="false">
      <c r="A227" s="0" t="s">
        <v>90</v>
      </c>
      <c r="B227" s="15" t="n">
        <v>45847</v>
      </c>
      <c r="C227" s="17" t="s">
        <v>315</v>
      </c>
      <c r="D227" s="7" t="n">
        <v>-30</v>
      </c>
      <c r="E227" s="17" t="s">
        <v>94</v>
      </c>
      <c r="F227" s="7" t="n">
        <v>1814.59</v>
      </c>
      <c r="G227" s="17" t="s">
        <v>45</v>
      </c>
    </row>
    <row r="228" customFormat="false" ht="15" hidden="false" customHeight="false" outlineLevel="0" collapsed="false">
      <c r="A228" s="0" t="s">
        <v>90</v>
      </c>
      <c r="B228" s="15" t="n">
        <v>45846</v>
      </c>
      <c r="C228" s="17" t="s">
        <v>316</v>
      </c>
      <c r="D228" s="7" t="n">
        <v>-373.15</v>
      </c>
      <c r="E228" s="17" t="s">
        <v>94</v>
      </c>
      <c r="F228" s="7" t="n">
        <v>1844.59</v>
      </c>
      <c r="G228" s="17" t="s">
        <v>57</v>
      </c>
    </row>
    <row r="229" customFormat="false" ht="15" hidden="false" customHeight="false" outlineLevel="0" collapsed="false">
      <c r="A229" s="0" t="s">
        <v>90</v>
      </c>
      <c r="B229" s="15" t="n">
        <v>45845</v>
      </c>
      <c r="C229" s="17" t="s">
        <v>317</v>
      </c>
      <c r="D229" s="7" t="n">
        <v>-3</v>
      </c>
      <c r="E229" s="17" t="s">
        <v>111</v>
      </c>
      <c r="F229" s="7" t="n">
        <v>2217.74</v>
      </c>
      <c r="G229" s="17" t="s">
        <v>46</v>
      </c>
    </row>
    <row r="230" customFormat="false" ht="15" hidden="false" customHeight="false" outlineLevel="0" collapsed="false">
      <c r="A230" s="0" t="s">
        <v>90</v>
      </c>
      <c r="B230" s="15" t="n">
        <v>45845</v>
      </c>
      <c r="C230" s="17" t="s">
        <v>318</v>
      </c>
      <c r="D230" s="7" t="n">
        <v>-23.65</v>
      </c>
      <c r="E230" s="17" t="s">
        <v>94</v>
      </c>
      <c r="F230" s="7" t="n">
        <v>2220.74</v>
      </c>
      <c r="G230" s="17" t="s">
        <v>60</v>
      </c>
    </row>
    <row r="231" customFormat="false" ht="15" hidden="false" customHeight="false" outlineLevel="0" collapsed="false">
      <c r="A231" s="0" t="s">
        <v>90</v>
      </c>
      <c r="B231" s="15" t="n">
        <v>45845</v>
      </c>
      <c r="C231" s="17" t="s">
        <v>319</v>
      </c>
      <c r="D231" s="7" t="n">
        <v>-123</v>
      </c>
      <c r="E231" s="17" t="s">
        <v>320</v>
      </c>
      <c r="F231" s="7" t="n">
        <v>2244.39</v>
      </c>
      <c r="G231" s="17" t="s">
        <v>69</v>
      </c>
    </row>
    <row r="232" customFormat="false" ht="15" hidden="false" customHeight="false" outlineLevel="0" collapsed="false">
      <c r="A232" s="0" t="s">
        <v>90</v>
      </c>
      <c r="B232" s="15" t="n">
        <v>45845</v>
      </c>
      <c r="C232" s="17" t="s">
        <v>321</v>
      </c>
      <c r="D232" s="7" t="n">
        <v>-27.43</v>
      </c>
      <c r="E232" s="17" t="s">
        <v>94</v>
      </c>
      <c r="F232" s="7" t="n">
        <v>2367.39</v>
      </c>
      <c r="G232" s="17" t="s">
        <v>59</v>
      </c>
    </row>
    <row r="233" customFormat="false" ht="15" hidden="false" customHeight="false" outlineLevel="0" collapsed="false">
      <c r="A233" s="0" t="s">
        <v>90</v>
      </c>
      <c r="B233" s="15" t="n">
        <v>45840</v>
      </c>
      <c r="C233" s="17" t="s">
        <v>322</v>
      </c>
      <c r="D233" s="7" t="n">
        <v>-5000</v>
      </c>
      <c r="E233" s="17" t="s">
        <v>102</v>
      </c>
      <c r="F233" s="7" t="n">
        <v>2394.82</v>
      </c>
      <c r="G233" s="17" t="s">
        <v>33</v>
      </c>
    </row>
    <row r="234" customFormat="false" ht="15" hidden="false" customHeight="false" outlineLevel="0" collapsed="false">
      <c r="A234" s="0" t="s">
        <v>90</v>
      </c>
      <c r="B234" s="15" t="n">
        <v>45840</v>
      </c>
      <c r="C234" s="17" t="s">
        <v>323</v>
      </c>
      <c r="D234" s="7" t="n">
        <v>-21.98</v>
      </c>
      <c r="E234" s="17" t="s">
        <v>94</v>
      </c>
      <c r="F234" s="7" t="n">
        <v>7394.82</v>
      </c>
      <c r="G234" s="17" t="s">
        <v>50</v>
      </c>
    </row>
    <row r="235" customFormat="false" ht="15" hidden="false" customHeight="false" outlineLevel="0" collapsed="false">
      <c r="A235" s="0" t="s">
        <v>90</v>
      </c>
      <c r="B235" s="15" t="n">
        <v>45839</v>
      </c>
      <c r="C235" s="17" t="s">
        <v>324</v>
      </c>
      <c r="D235" s="7" t="n">
        <v>-46.76</v>
      </c>
      <c r="E235" s="17" t="s">
        <v>94</v>
      </c>
      <c r="F235" s="7" t="n">
        <v>7416.8</v>
      </c>
      <c r="G235" s="17" t="s">
        <v>60</v>
      </c>
    </row>
    <row r="236" customFormat="false" ht="15" hidden="false" customHeight="false" outlineLevel="0" collapsed="false">
      <c r="A236" s="0" t="s">
        <v>90</v>
      </c>
      <c r="B236" s="15" t="n">
        <v>45839</v>
      </c>
      <c r="C236" s="17" t="s">
        <v>325</v>
      </c>
      <c r="D236" s="7" t="n">
        <v>-62.4</v>
      </c>
      <c r="E236" s="17" t="s">
        <v>94</v>
      </c>
      <c r="F236" s="7" t="n">
        <v>7463.56</v>
      </c>
      <c r="G236" s="17" t="s">
        <v>66</v>
      </c>
    </row>
    <row r="237" customFormat="false" ht="15" hidden="false" customHeight="false" outlineLevel="0" collapsed="false">
      <c r="A237" s="0" t="s">
        <v>90</v>
      </c>
      <c r="B237" s="15" t="n">
        <v>45839</v>
      </c>
      <c r="C237" s="17" t="s">
        <v>326</v>
      </c>
      <c r="D237" s="7" t="n">
        <v>-8</v>
      </c>
      <c r="E237" s="17" t="s">
        <v>94</v>
      </c>
      <c r="F237" s="7" t="n">
        <v>7525.96</v>
      </c>
      <c r="G237" s="17" t="s">
        <v>66</v>
      </c>
    </row>
    <row r="238" customFormat="false" ht="15" hidden="false" customHeight="false" outlineLevel="0" collapsed="false">
      <c r="A238" s="0" t="s">
        <v>97</v>
      </c>
      <c r="B238" s="15" t="n">
        <v>45839</v>
      </c>
      <c r="C238" s="17" t="s">
        <v>327</v>
      </c>
      <c r="D238" s="7" t="n">
        <v>5000</v>
      </c>
      <c r="E238" s="17" t="s">
        <v>92</v>
      </c>
      <c r="F238" s="7" t="n">
        <v>7533.96</v>
      </c>
      <c r="G238" s="17" t="s">
        <v>25</v>
      </c>
    </row>
    <row r="239" customFormat="false" ht="15" hidden="false" customHeight="false" outlineLevel="0" collapsed="false">
      <c r="A239" s="0" t="s">
        <v>90</v>
      </c>
      <c r="B239" s="15" t="n">
        <v>45838</v>
      </c>
      <c r="C239" s="17" t="s">
        <v>328</v>
      </c>
      <c r="D239" s="7" t="n">
        <v>-1190.49</v>
      </c>
      <c r="E239" s="17" t="s">
        <v>94</v>
      </c>
      <c r="F239" s="7" t="n">
        <v>2533.96</v>
      </c>
      <c r="G239" s="17" t="s">
        <v>61</v>
      </c>
    </row>
    <row r="240" customFormat="false" ht="15" hidden="false" customHeight="false" outlineLevel="0" collapsed="false">
      <c r="A240" s="0" t="s">
        <v>90</v>
      </c>
      <c r="B240" s="15" t="n">
        <v>45838</v>
      </c>
      <c r="C240" s="17" t="s">
        <v>329</v>
      </c>
      <c r="D240" s="7" t="n">
        <v>-40</v>
      </c>
      <c r="E240" s="17" t="s">
        <v>94</v>
      </c>
      <c r="F240" s="7" t="n">
        <v>3724.45</v>
      </c>
      <c r="G240" s="17" t="s">
        <v>66</v>
      </c>
    </row>
    <row r="241" customFormat="false" ht="15" hidden="false" customHeight="false" outlineLevel="0" collapsed="false">
      <c r="A241" s="0" t="s">
        <v>90</v>
      </c>
      <c r="B241" s="15" t="n">
        <v>45838</v>
      </c>
      <c r="C241" s="17" t="s">
        <v>330</v>
      </c>
      <c r="D241" s="7" t="n">
        <v>-48</v>
      </c>
      <c r="E241" s="17" t="s">
        <v>94</v>
      </c>
      <c r="F241" s="7" t="n">
        <v>3764.45</v>
      </c>
      <c r="G241" s="17" t="s">
        <v>60</v>
      </c>
    </row>
    <row r="242" customFormat="false" ht="15" hidden="false" customHeight="false" outlineLevel="0" collapsed="false">
      <c r="A242" s="0" t="s">
        <v>90</v>
      </c>
      <c r="B242" s="15" t="n">
        <v>45838</v>
      </c>
      <c r="C242" s="17" t="s">
        <v>331</v>
      </c>
      <c r="D242" s="7" t="n">
        <v>-22.14</v>
      </c>
      <c r="E242" s="17" t="s">
        <v>94</v>
      </c>
      <c r="F242" s="7" t="n">
        <v>3812.45</v>
      </c>
      <c r="G242" s="17" t="s">
        <v>60</v>
      </c>
    </row>
    <row r="243" customFormat="false" ht="15" hidden="false" customHeight="false" outlineLevel="0" collapsed="false">
      <c r="A243" s="0" t="s">
        <v>90</v>
      </c>
      <c r="B243" s="15" t="n">
        <v>45835</v>
      </c>
      <c r="C243" s="17" t="s">
        <v>332</v>
      </c>
      <c r="D243" s="7" t="n">
        <v>-17.02</v>
      </c>
      <c r="E243" s="17" t="s">
        <v>94</v>
      </c>
      <c r="F243" s="7" t="n">
        <v>3834.59</v>
      </c>
      <c r="G243" s="17" t="s">
        <v>59</v>
      </c>
    </row>
    <row r="244" customFormat="false" ht="15" hidden="false" customHeight="false" outlineLevel="0" collapsed="false">
      <c r="A244" s="0" t="s">
        <v>90</v>
      </c>
      <c r="B244" s="15" t="n">
        <v>45835</v>
      </c>
      <c r="C244" s="17" t="s">
        <v>333</v>
      </c>
      <c r="D244" s="7" t="n">
        <v>-5000</v>
      </c>
      <c r="E244" s="17" t="s">
        <v>102</v>
      </c>
      <c r="F244" s="7" t="n">
        <v>3851.61</v>
      </c>
      <c r="G244" s="17" t="s">
        <v>35</v>
      </c>
    </row>
    <row r="245" customFormat="false" ht="15" hidden="false" customHeight="false" outlineLevel="0" collapsed="false">
      <c r="A245" s="0" t="s">
        <v>90</v>
      </c>
      <c r="B245" s="15" t="n">
        <v>45835</v>
      </c>
      <c r="C245" s="17" t="s">
        <v>334</v>
      </c>
      <c r="D245" s="7" t="n">
        <v>-8.98</v>
      </c>
      <c r="E245" s="17" t="s">
        <v>94</v>
      </c>
      <c r="F245" s="7" t="n">
        <v>8851.61</v>
      </c>
      <c r="G245" s="17" t="s">
        <v>60</v>
      </c>
    </row>
    <row r="246" customFormat="false" ht="15" hidden="false" customHeight="false" outlineLevel="0" collapsed="false">
      <c r="A246" s="0" t="s">
        <v>90</v>
      </c>
      <c r="B246" s="15" t="n">
        <v>45835</v>
      </c>
      <c r="C246" s="17" t="s">
        <v>335</v>
      </c>
      <c r="D246" s="7" t="n">
        <v>-26.32</v>
      </c>
      <c r="E246" s="17" t="s">
        <v>94</v>
      </c>
      <c r="F246" s="7" t="n">
        <v>8860.59</v>
      </c>
      <c r="G246" s="17" t="s">
        <v>60</v>
      </c>
    </row>
    <row r="247" customFormat="false" ht="15" hidden="false" customHeight="false" outlineLevel="0" collapsed="false">
      <c r="A247" s="0" t="s">
        <v>90</v>
      </c>
      <c r="B247" s="15" t="n">
        <v>45834</v>
      </c>
      <c r="C247" s="17" t="s">
        <v>336</v>
      </c>
      <c r="D247" s="7" t="n">
        <v>-60</v>
      </c>
      <c r="E247" s="17" t="s">
        <v>94</v>
      </c>
      <c r="F247" s="7" t="n">
        <v>8886.91</v>
      </c>
      <c r="G247" s="17" t="s">
        <v>60</v>
      </c>
    </row>
    <row r="248" customFormat="false" ht="15" hidden="false" customHeight="false" outlineLevel="0" collapsed="false">
      <c r="A248" s="0" t="s">
        <v>90</v>
      </c>
      <c r="B248" s="15" t="n">
        <v>45834</v>
      </c>
      <c r="C248" s="17" t="s">
        <v>337</v>
      </c>
      <c r="D248" s="7" t="n">
        <v>-10.73</v>
      </c>
      <c r="E248" s="17" t="s">
        <v>94</v>
      </c>
      <c r="F248" s="7" t="n">
        <v>8946.91</v>
      </c>
      <c r="G248" s="17" t="s">
        <v>60</v>
      </c>
    </row>
    <row r="249" customFormat="false" ht="15" hidden="false" customHeight="false" outlineLevel="0" collapsed="false">
      <c r="A249" s="0" t="s">
        <v>90</v>
      </c>
      <c r="B249" s="15" t="n">
        <v>45834</v>
      </c>
      <c r="C249" s="17" t="s">
        <v>338</v>
      </c>
      <c r="D249" s="7" t="n">
        <v>-38.6</v>
      </c>
      <c r="E249" s="17" t="s">
        <v>94</v>
      </c>
      <c r="F249" s="7" t="n">
        <v>8957.64</v>
      </c>
      <c r="G249" s="17" t="s">
        <v>60</v>
      </c>
    </row>
    <row r="250" customFormat="false" ht="15" hidden="false" customHeight="false" outlineLevel="0" collapsed="false">
      <c r="A250" s="0" t="s">
        <v>90</v>
      </c>
      <c r="B250" s="15" t="n">
        <v>45834</v>
      </c>
      <c r="C250" s="17" t="s">
        <v>339</v>
      </c>
      <c r="D250" s="7" t="n">
        <v>-8.73</v>
      </c>
      <c r="E250" s="17" t="s">
        <v>94</v>
      </c>
      <c r="F250" s="7" t="n">
        <v>8996.24</v>
      </c>
      <c r="G250" s="17" t="s">
        <v>59</v>
      </c>
    </row>
    <row r="251" customFormat="false" ht="15" hidden="false" customHeight="false" outlineLevel="0" collapsed="false">
      <c r="A251" s="0" t="s">
        <v>90</v>
      </c>
      <c r="B251" s="15" t="n">
        <v>45833</v>
      </c>
      <c r="C251" s="17" t="s">
        <v>340</v>
      </c>
      <c r="D251" s="7" t="n">
        <v>-122.3</v>
      </c>
      <c r="E251" s="17" t="s">
        <v>94</v>
      </c>
      <c r="F251" s="7" t="n">
        <v>9004.97</v>
      </c>
      <c r="G251" s="17" t="s">
        <v>60</v>
      </c>
    </row>
    <row r="252" customFormat="false" ht="15" hidden="false" customHeight="false" outlineLevel="0" collapsed="false">
      <c r="A252" s="0" t="s">
        <v>90</v>
      </c>
      <c r="B252" s="15" t="n">
        <v>45833</v>
      </c>
      <c r="C252" s="17" t="s">
        <v>341</v>
      </c>
      <c r="D252" s="7" t="n">
        <v>-1.25</v>
      </c>
      <c r="E252" s="17" t="s">
        <v>94</v>
      </c>
      <c r="F252" s="7" t="n">
        <v>9127.27</v>
      </c>
      <c r="G252" s="17" t="s">
        <v>56</v>
      </c>
    </row>
    <row r="253" customFormat="false" ht="15" hidden="false" customHeight="false" outlineLevel="0" collapsed="false">
      <c r="A253" s="0" t="s">
        <v>90</v>
      </c>
      <c r="B253" s="15" t="n">
        <v>45832</v>
      </c>
      <c r="C253" s="17" t="s">
        <v>342</v>
      </c>
      <c r="D253" s="7" t="n">
        <v>-25.34</v>
      </c>
      <c r="E253" s="17" t="s">
        <v>94</v>
      </c>
      <c r="F253" s="7" t="n">
        <v>9128.52</v>
      </c>
      <c r="G253" s="17" t="s">
        <v>56</v>
      </c>
    </row>
    <row r="254" customFormat="false" ht="15" hidden="false" customHeight="false" outlineLevel="0" collapsed="false">
      <c r="A254" s="0" t="s">
        <v>90</v>
      </c>
      <c r="B254" s="15" t="n">
        <v>45832</v>
      </c>
      <c r="C254" s="17" t="s">
        <v>343</v>
      </c>
      <c r="D254" s="7" t="n">
        <v>-36.75</v>
      </c>
      <c r="E254" s="17" t="s">
        <v>94</v>
      </c>
      <c r="F254" s="7" t="n">
        <v>9153.86</v>
      </c>
      <c r="G254" s="17" t="s">
        <v>60</v>
      </c>
    </row>
    <row r="255" customFormat="false" ht="15" hidden="false" customHeight="false" outlineLevel="0" collapsed="false">
      <c r="A255" s="0" t="s">
        <v>90</v>
      </c>
      <c r="B255" s="15" t="n">
        <v>45832</v>
      </c>
      <c r="C255" s="17" t="s">
        <v>343</v>
      </c>
      <c r="D255" s="7" t="n">
        <v>-44.89</v>
      </c>
      <c r="E255" s="17" t="s">
        <v>94</v>
      </c>
      <c r="F255" s="7" t="n">
        <v>9190.61</v>
      </c>
      <c r="G255" s="17" t="s">
        <v>60</v>
      </c>
    </row>
    <row r="256" customFormat="false" ht="15" hidden="false" customHeight="false" outlineLevel="0" collapsed="false">
      <c r="A256" s="0" t="s">
        <v>90</v>
      </c>
      <c r="B256" s="15" t="n">
        <v>45832</v>
      </c>
      <c r="C256" s="17" t="s">
        <v>344</v>
      </c>
      <c r="D256" s="7" t="n">
        <v>-1.25</v>
      </c>
      <c r="E256" s="17" t="s">
        <v>94</v>
      </c>
      <c r="F256" s="7" t="n">
        <v>9235.5</v>
      </c>
      <c r="G256" s="17" t="s">
        <v>56</v>
      </c>
    </row>
    <row r="257" customFormat="false" ht="15" hidden="false" customHeight="false" outlineLevel="0" collapsed="false">
      <c r="A257" s="0" t="s">
        <v>90</v>
      </c>
      <c r="B257" s="15" t="n">
        <v>45831</v>
      </c>
      <c r="C257" s="17" t="s">
        <v>345</v>
      </c>
      <c r="D257" s="7" t="n">
        <v>-925.3</v>
      </c>
      <c r="E257" s="17" t="s">
        <v>94</v>
      </c>
      <c r="F257" s="7" t="n">
        <v>9236.75</v>
      </c>
      <c r="G257" s="17" t="s">
        <v>49</v>
      </c>
    </row>
    <row r="258" customFormat="false" ht="15" hidden="false" customHeight="false" outlineLevel="0" collapsed="false">
      <c r="A258" s="0" t="s">
        <v>90</v>
      </c>
      <c r="B258" s="15" t="n">
        <v>45831</v>
      </c>
      <c r="C258" s="17" t="s">
        <v>346</v>
      </c>
      <c r="D258" s="7" t="n">
        <v>-61.71</v>
      </c>
      <c r="E258" s="17" t="s">
        <v>94</v>
      </c>
      <c r="F258" s="7" t="n">
        <v>10162.05</v>
      </c>
      <c r="G258" s="17" t="s">
        <v>60</v>
      </c>
    </row>
    <row r="259" customFormat="false" ht="15" hidden="false" customHeight="false" outlineLevel="0" collapsed="false">
      <c r="A259" s="0" t="s">
        <v>90</v>
      </c>
      <c r="B259" s="15" t="n">
        <v>45831</v>
      </c>
      <c r="C259" s="17" t="s">
        <v>347</v>
      </c>
      <c r="D259" s="7" t="n">
        <v>-14.4</v>
      </c>
      <c r="E259" s="17" t="s">
        <v>94</v>
      </c>
      <c r="F259" s="7" t="n">
        <v>10223.76</v>
      </c>
      <c r="G259" s="17" t="s">
        <v>60</v>
      </c>
    </row>
    <row r="260" customFormat="false" ht="15" hidden="false" customHeight="false" outlineLevel="0" collapsed="false">
      <c r="A260" s="0" t="s">
        <v>90</v>
      </c>
      <c r="B260" s="15" t="n">
        <v>45831</v>
      </c>
      <c r="C260" s="17" t="s">
        <v>348</v>
      </c>
      <c r="D260" s="7" t="n">
        <v>-30</v>
      </c>
      <c r="E260" s="17" t="s">
        <v>94</v>
      </c>
      <c r="F260" s="7" t="n">
        <v>10238.16</v>
      </c>
      <c r="G260" s="17" t="s">
        <v>64</v>
      </c>
    </row>
    <row r="261" customFormat="false" ht="15" hidden="false" customHeight="false" outlineLevel="0" collapsed="false">
      <c r="A261" s="0" t="s">
        <v>90</v>
      </c>
      <c r="B261" s="15" t="n">
        <v>45831</v>
      </c>
      <c r="C261" s="17" t="s">
        <v>349</v>
      </c>
      <c r="D261" s="7" t="n">
        <v>-32.38</v>
      </c>
      <c r="E261" s="17" t="s">
        <v>94</v>
      </c>
      <c r="F261" s="7" t="n">
        <v>10268.16</v>
      </c>
      <c r="G261" s="17" t="s">
        <v>60</v>
      </c>
    </row>
    <row r="262" customFormat="false" ht="15" hidden="false" customHeight="false" outlineLevel="0" collapsed="false">
      <c r="A262" s="0" t="s">
        <v>90</v>
      </c>
      <c r="B262" s="15" t="n">
        <v>45831</v>
      </c>
      <c r="C262" s="17" t="s">
        <v>350</v>
      </c>
      <c r="D262" s="7" t="n">
        <v>-23.3</v>
      </c>
      <c r="E262" s="17" t="s">
        <v>94</v>
      </c>
      <c r="F262" s="7" t="n">
        <v>10300.54</v>
      </c>
      <c r="G262" s="17" t="s">
        <v>60</v>
      </c>
    </row>
    <row r="263" customFormat="false" ht="15" hidden="false" customHeight="false" outlineLevel="0" collapsed="false">
      <c r="A263" s="0" t="s">
        <v>90</v>
      </c>
      <c r="B263" s="15" t="n">
        <v>45831</v>
      </c>
      <c r="C263" s="17" t="s">
        <v>351</v>
      </c>
      <c r="D263" s="7" t="n">
        <v>-250</v>
      </c>
      <c r="E263" s="17" t="s">
        <v>94</v>
      </c>
      <c r="F263" s="7" t="n">
        <v>10323.84</v>
      </c>
      <c r="G263" s="17" t="s">
        <v>61</v>
      </c>
    </row>
    <row r="264" customFormat="false" ht="15" hidden="false" customHeight="false" outlineLevel="0" collapsed="false">
      <c r="A264" s="0" t="s">
        <v>90</v>
      </c>
      <c r="B264" s="15" t="n">
        <v>45831</v>
      </c>
      <c r="C264" s="17" t="s">
        <v>352</v>
      </c>
      <c r="D264" s="7" t="n">
        <v>-579.06</v>
      </c>
      <c r="E264" s="17" t="s">
        <v>94</v>
      </c>
      <c r="F264" s="7" t="n">
        <v>10573.84</v>
      </c>
      <c r="G264" s="17" t="s">
        <v>59</v>
      </c>
    </row>
    <row r="265" customFormat="false" ht="15" hidden="false" customHeight="false" outlineLevel="0" collapsed="false">
      <c r="A265" s="0" t="s">
        <v>90</v>
      </c>
      <c r="B265" s="15" t="n">
        <v>45831</v>
      </c>
      <c r="C265" s="17" t="s">
        <v>353</v>
      </c>
      <c r="D265" s="7" t="n">
        <v>-2.5</v>
      </c>
      <c r="E265" s="17" t="s">
        <v>94</v>
      </c>
      <c r="F265" s="7" t="n">
        <v>11152.9</v>
      </c>
      <c r="G265" s="17" t="s">
        <v>56</v>
      </c>
    </row>
    <row r="266" customFormat="false" ht="15" hidden="false" customHeight="false" outlineLevel="0" collapsed="false">
      <c r="A266" s="0" t="s">
        <v>90</v>
      </c>
      <c r="B266" s="15" t="n">
        <v>45831</v>
      </c>
      <c r="C266" s="17" t="s">
        <v>353</v>
      </c>
      <c r="D266" s="7" t="n">
        <v>-0.5</v>
      </c>
      <c r="E266" s="17" t="s">
        <v>94</v>
      </c>
      <c r="F266" s="7" t="n">
        <v>11155.4</v>
      </c>
      <c r="G266" s="17" t="s">
        <v>56</v>
      </c>
    </row>
    <row r="267" customFormat="false" ht="15" hidden="false" customHeight="false" outlineLevel="0" collapsed="false">
      <c r="A267" s="0" t="s">
        <v>90</v>
      </c>
      <c r="B267" s="15" t="n">
        <v>45831</v>
      </c>
      <c r="C267" s="17" t="s">
        <v>354</v>
      </c>
      <c r="D267" s="7" t="n">
        <v>-15.36</v>
      </c>
      <c r="E267" s="17" t="s">
        <v>94</v>
      </c>
      <c r="F267" s="7" t="n">
        <v>11155.9</v>
      </c>
      <c r="G267" s="17" t="s">
        <v>59</v>
      </c>
    </row>
    <row r="268" customFormat="false" ht="15" hidden="false" customHeight="false" outlineLevel="0" collapsed="false">
      <c r="A268" s="0" t="s">
        <v>90</v>
      </c>
      <c r="B268" s="15" t="n">
        <v>45831</v>
      </c>
      <c r="C268" s="17" t="s">
        <v>355</v>
      </c>
      <c r="D268" s="7" t="n">
        <v>-110.07</v>
      </c>
      <c r="E268" s="17" t="s">
        <v>94</v>
      </c>
      <c r="F268" s="7" t="n">
        <v>11171.26</v>
      </c>
      <c r="G268" s="17" t="s">
        <v>60</v>
      </c>
    </row>
    <row r="269" customFormat="false" ht="15" hidden="false" customHeight="false" outlineLevel="0" collapsed="false">
      <c r="A269" s="0" t="s">
        <v>90</v>
      </c>
      <c r="B269" s="15" t="n">
        <v>45831</v>
      </c>
      <c r="C269" s="17" t="s">
        <v>356</v>
      </c>
      <c r="D269" s="7" t="n">
        <v>-2671.34</v>
      </c>
      <c r="E269" s="17" t="s">
        <v>94</v>
      </c>
      <c r="F269" s="7" t="n">
        <v>11281.33</v>
      </c>
      <c r="G269" s="17" t="s">
        <v>34</v>
      </c>
    </row>
    <row r="270" customFormat="false" ht="15" hidden="false" customHeight="false" outlineLevel="0" collapsed="false">
      <c r="A270" s="0" t="s">
        <v>90</v>
      </c>
      <c r="B270" s="15" t="n">
        <v>45828</v>
      </c>
      <c r="C270" s="17" t="s">
        <v>357</v>
      </c>
      <c r="D270" s="7" t="n">
        <v>-3.75</v>
      </c>
      <c r="E270" s="17" t="s">
        <v>94</v>
      </c>
      <c r="F270" s="7" t="n">
        <v>13952.67</v>
      </c>
      <c r="G270" s="17" t="s">
        <v>56</v>
      </c>
    </row>
    <row r="271" customFormat="false" ht="15" hidden="false" customHeight="false" outlineLevel="0" collapsed="false">
      <c r="A271" s="0" t="s">
        <v>90</v>
      </c>
      <c r="B271" s="15" t="n">
        <v>45828</v>
      </c>
      <c r="C271" s="17" t="s">
        <v>358</v>
      </c>
      <c r="D271" s="7" t="n">
        <v>-1.87</v>
      </c>
      <c r="E271" s="17" t="s">
        <v>94</v>
      </c>
      <c r="F271" s="7" t="n">
        <v>13956.42</v>
      </c>
      <c r="G271" s="17" t="s">
        <v>56</v>
      </c>
    </row>
    <row r="272" customFormat="false" ht="15" hidden="false" customHeight="false" outlineLevel="0" collapsed="false">
      <c r="A272" s="0" t="s">
        <v>90</v>
      </c>
      <c r="B272" s="15" t="n">
        <v>45828</v>
      </c>
      <c r="C272" s="17" t="s">
        <v>359</v>
      </c>
      <c r="D272" s="7" t="n">
        <v>-6.21</v>
      </c>
      <c r="E272" s="17" t="s">
        <v>94</v>
      </c>
      <c r="F272" s="7" t="n">
        <v>13958.29</v>
      </c>
      <c r="G272" s="17" t="s">
        <v>60</v>
      </c>
    </row>
    <row r="273" customFormat="false" ht="15" hidden="false" customHeight="false" outlineLevel="0" collapsed="false">
      <c r="A273" s="0" t="s">
        <v>90</v>
      </c>
      <c r="B273" s="15" t="n">
        <v>45828</v>
      </c>
      <c r="C273" s="17" t="s">
        <v>360</v>
      </c>
      <c r="D273" s="7" t="n">
        <v>-112.42</v>
      </c>
      <c r="E273" s="17" t="s">
        <v>94</v>
      </c>
      <c r="F273" s="7" t="n">
        <v>13964.5</v>
      </c>
      <c r="G273" s="17" t="s">
        <v>60</v>
      </c>
    </row>
    <row r="274" customFormat="false" ht="15" hidden="false" customHeight="false" outlineLevel="0" collapsed="false">
      <c r="A274" s="0" t="s">
        <v>90</v>
      </c>
      <c r="B274" s="15" t="n">
        <v>45828</v>
      </c>
      <c r="C274" s="17" t="s">
        <v>361</v>
      </c>
      <c r="D274" s="7" t="n">
        <v>-9</v>
      </c>
      <c r="E274" s="17" t="s">
        <v>94</v>
      </c>
      <c r="F274" s="7" t="n">
        <v>14076.92</v>
      </c>
      <c r="G274" s="17" t="s">
        <v>56</v>
      </c>
    </row>
    <row r="275" customFormat="false" ht="15" hidden="false" customHeight="false" outlineLevel="0" collapsed="false">
      <c r="A275" s="0" t="s">
        <v>90</v>
      </c>
      <c r="B275" s="15" t="n">
        <v>45828</v>
      </c>
      <c r="C275" s="17" t="s">
        <v>362</v>
      </c>
      <c r="D275" s="7" t="n">
        <v>-17.7</v>
      </c>
      <c r="E275" s="17" t="s">
        <v>94</v>
      </c>
      <c r="F275" s="7" t="n">
        <v>14085.92</v>
      </c>
      <c r="G275" s="17" t="s">
        <v>60</v>
      </c>
    </row>
    <row r="276" customFormat="false" ht="15" hidden="false" customHeight="false" outlineLevel="0" collapsed="false">
      <c r="A276" s="0" t="s">
        <v>90</v>
      </c>
      <c r="B276" s="15" t="n">
        <v>45828</v>
      </c>
      <c r="C276" s="17" t="s">
        <v>363</v>
      </c>
      <c r="D276" s="7" t="n">
        <v>-52.22</v>
      </c>
      <c r="E276" s="17" t="s">
        <v>94</v>
      </c>
      <c r="F276" s="7" t="n">
        <v>14103.62</v>
      </c>
      <c r="G276" s="17" t="s">
        <v>60</v>
      </c>
    </row>
    <row r="277" customFormat="false" ht="15" hidden="false" customHeight="false" outlineLevel="0" collapsed="false">
      <c r="A277" s="0" t="s">
        <v>90</v>
      </c>
      <c r="B277" s="15" t="n">
        <v>45826</v>
      </c>
      <c r="C277" s="17" t="s">
        <v>364</v>
      </c>
      <c r="D277" s="7" t="n">
        <v>-1.75</v>
      </c>
      <c r="E277" s="17" t="s">
        <v>94</v>
      </c>
      <c r="F277" s="7" t="n">
        <v>14155.84</v>
      </c>
      <c r="G277" s="17" t="s">
        <v>56</v>
      </c>
    </row>
    <row r="278" customFormat="false" ht="15" hidden="false" customHeight="false" outlineLevel="0" collapsed="false">
      <c r="A278" s="0" t="s">
        <v>90</v>
      </c>
      <c r="B278" s="15" t="n">
        <v>45825</v>
      </c>
      <c r="C278" s="17" t="s">
        <v>365</v>
      </c>
      <c r="D278" s="7" t="n">
        <v>-157.64</v>
      </c>
      <c r="E278" s="17" t="s">
        <v>94</v>
      </c>
      <c r="F278" s="7" t="n">
        <v>14157.59</v>
      </c>
      <c r="G278" s="17" t="s">
        <v>60</v>
      </c>
    </row>
    <row r="279" customFormat="false" ht="15" hidden="false" customHeight="false" outlineLevel="0" collapsed="false">
      <c r="A279" s="0" t="s">
        <v>90</v>
      </c>
      <c r="B279" s="15" t="n">
        <v>45824</v>
      </c>
      <c r="C279" s="17" t="s">
        <v>366</v>
      </c>
      <c r="D279" s="7" t="n">
        <v>-7.5</v>
      </c>
      <c r="E279" s="17" t="s">
        <v>94</v>
      </c>
      <c r="F279" s="7" t="n">
        <v>14315.23</v>
      </c>
      <c r="G279" s="17" t="s">
        <v>60</v>
      </c>
    </row>
    <row r="280" customFormat="false" ht="15" hidden="false" customHeight="false" outlineLevel="0" collapsed="false">
      <c r="A280" s="0" t="s">
        <v>90</v>
      </c>
      <c r="B280" s="15" t="n">
        <v>45824</v>
      </c>
      <c r="C280" s="17" t="s">
        <v>367</v>
      </c>
      <c r="D280" s="7" t="n">
        <v>-169.39</v>
      </c>
      <c r="E280" s="17" t="s">
        <v>94</v>
      </c>
      <c r="F280" s="7" t="n">
        <v>14322.73</v>
      </c>
      <c r="G280" s="17" t="s">
        <v>60</v>
      </c>
    </row>
    <row r="281" customFormat="false" ht="15" hidden="false" customHeight="false" outlineLevel="0" collapsed="false">
      <c r="A281" s="0" t="s">
        <v>90</v>
      </c>
      <c r="B281" s="15" t="n">
        <v>45824</v>
      </c>
      <c r="C281" s="17" t="s">
        <v>368</v>
      </c>
      <c r="D281" s="7" t="n">
        <v>-18.9</v>
      </c>
      <c r="E281" s="17" t="s">
        <v>94</v>
      </c>
      <c r="F281" s="7" t="n">
        <v>14492.12</v>
      </c>
      <c r="G281" s="17" t="s">
        <v>60</v>
      </c>
    </row>
    <row r="282" customFormat="false" ht="15" hidden="false" customHeight="false" outlineLevel="0" collapsed="false">
      <c r="A282" s="0" t="s">
        <v>90</v>
      </c>
      <c r="B282" s="15" t="n">
        <v>45824</v>
      </c>
      <c r="C282" s="17" t="s">
        <v>369</v>
      </c>
      <c r="D282" s="7" t="n">
        <v>-35.04</v>
      </c>
      <c r="E282" s="17" t="s">
        <v>94</v>
      </c>
      <c r="F282" s="7" t="n">
        <v>14511.02</v>
      </c>
      <c r="G282" s="17" t="s">
        <v>61</v>
      </c>
    </row>
    <row r="283" customFormat="false" ht="15" hidden="false" customHeight="false" outlineLevel="0" collapsed="false">
      <c r="A283" s="0" t="s">
        <v>90</v>
      </c>
      <c r="B283" s="15" t="n">
        <v>45824</v>
      </c>
      <c r="C283" s="17" t="s">
        <v>370</v>
      </c>
      <c r="D283" s="7" t="n">
        <v>-10</v>
      </c>
      <c r="E283" s="17" t="s">
        <v>94</v>
      </c>
      <c r="F283" s="7" t="n">
        <v>14546.06</v>
      </c>
      <c r="G283" s="17" t="s">
        <v>60</v>
      </c>
    </row>
    <row r="284" customFormat="false" ht="15" hidden="false" customHeight="false" outlineLevel="0" collapsed="false">
      <c r="A284" s="0" t="s">
        <v>90</v>
      </c>
      <c r="B284" s="15" t="n">
        <v>45824</v>
      </c>
      <c r="C284" s="17" t="s">
        <v>371</v>
      </c>
      <c r="D284" s="7" t="n">
        <v>-8.5</v>
      </c>
      <c r="E284" s="17" t="s">
        <v>94</v>
      </c>
      <c r="F284" s="7" t="n">
        <v>14556.06</v>
      </c>
      <c r="G284" s="17" t="s">
        <v>60</v>
      </c>
    </row>
    <row r="285" customFormat="false" ht="15" hidden="false" customHeight="false" outlineLevel="0" collapsed="false">
      <c r="A285" s="0" t="s">
        <v>90</v>
      </c>
      <c r="B285" s="15" t="n">
        <v>45824</v>
      </c>
      <c r="C285" s="17" t="s">
        <v>372</v>
      </c>
      <c r="D285" s="7" t="n">
        <v>-13</v>
      </c>
      <c r="E285" s="17" t="s">
        <v>94</v>
      </c>
      <c r="F285" s="7" t="n">
        <v>14564.56</v>
      </c>
      <c r="G285" s="17" t="s">
        <v>60</v>
      </c>
    </row>
    <row r="286" customFormat="false" ht="15" hidden="false" customHeight="false" outlineLevel="0" collapsed="false">
      <c r="A286" s="0" t="s">
        <v>90</v>
      </c>
      <c r="B286" s="15" t="n">
        <v>45824</v>
      </c>
      <c r="C286" s="17" t="s">
        <v>373</v>
      </c>
      <c r="D286" s="7" t="n">
        <v>-15</v>
      </c>
      <c r="E286" s="17" t="s">
        <v>94</v>
      </c>
      <c r="F286" s="7" t="n">
        <v>14577.56</v>
      </c>
      <c r="G286" s="17" t="s">
        <v>60</v>
      </c>
    </row>
    <row r="287" customFormat="false" ht="15" hidden="false" customHeight="false" outlineLevel="0" collapsed="false">
      <c r="A287" s="0" t="s">
        <v>90</v>
      </c>
      <c r="B287" s="15" t="n">
        <v>45824</v>
      </c>
      <c r="C287" s="17" t="s">
        <v>374</v>
      </c>
      <c r="D287" s="7" t="n">
        <v>-30</v>
      </c>
      <c r="E287" s="17" t="s">
        <v>94</v>
      </c>
      <c r="F287" s="7" t="n">
        <v>14592.56</v>
      </c>
      <c r="G287" s="17" t="s">
        <v>60</v>
      </c>
    </row>
    <row r="288" customFormat="false" ht="15" hidden="false" customHeight="false" outlineLevel="0" collapsed="false">
      <c r="A288" s="0" t="s">
        <v>90</v>
      </c>
      <c r="B288" s="15" t="n">
        <v>45824</v>
      </c>
      <c r="C288" s="17" t="s">
        <v>375</v>
      </c>
      <c r="D288" s="7" t="n">
        <v>-20</v>
      </c>
      <c r="E288" s="17" t="s">
        <v>94</v>
      </c>
      <c r="F288" s="7" t="n">
        <v>14622.56</v>
      </c>
      <c r="G288" s="17" t="s">
        <v>60</v>
      </c>
    </row>
    <row r="289" customFormat="false" ht="15" hidden="false" customHeight="false" outlineLevel="0" collapsed="false">
      <c r="A289" s="0" t="s">
        <v>90</v>
      </c>
      <c r="B289" s="15" t="n">
        <v>45824</v>
      </c>
      <c r="C289" s="17" t="s">
        <v>376</v>
      </c>
      <c r="D289" s="7" t="n">
        <v>-42</v>
      </c>
      <c r="E289" s="17" t="s">
        <v>94</v>
      </c>
      <c r="F289" s="7" t="n">
        <v>14642.56</v>
      </c>
      <c r="G289" s="17" t="s">
        <v>60</v>
      </c>
    </row>
    <row r="290" customFormat="false" ht="15" hidden="false" customHeight="false" outlineLevel="0" collapsed="false">
      <c r="A290" s="0" t="s">
        <v>90</v>
      </c>
      <c r="B290" s="15" t="n">
        <v>45824</v>
      </c>
      <c r="C290" s="17" t="s">
        <v>377</v>
      </c>
      <c r="D290" s="7" t="n">
        <v>-11</v>
      </c>
      <c r="E290" s="17" t="s">
        <v>94</v>
      </c>
      <c r="F290" s="7" t="n">
        <v>14684.56</v>
      </c>
      <c r="G290" s="17" t="s">
        <v>60</v>
      </c>
    </row>
    <row r="291" customFormat="false" ht="15" hidden="false" customHeight="false" outlineLevel="0" collapsed="false">
      <c r="A291" s="0" t="s">
        <v>90</v>
      </c>
      <c r="B291" s="15" t="n">
        <v>45824</v>
      </c>
      <c r="C291" s="17" t="s">
        <v>378</v>
      </c>
      <c r="D291" s="7" t="n">
        <v>-8</v>
      </c>
      <c r="E291" s="17" t="s">
        <v>94</v>
      </c>
      <c r="F291" s="7" t="n">
        <v>14695.56</v>
      </c>
      <c r="G291" s="17" t="s">
        <v>60</v>
      </c>
    </row>
    <row r="292" customFormat="false" ht="15" hidden="false" customHeight="false" outlineLevel="0" collapsed="false">
      <c r="A292" s="0" t="s">
        <v>90</v>
      </c>
      <c r="B292" s="15" t="n">
        <v>45824</v>
      </c>
      <c r="C292" s="17" t="s">
        <v>379</v>
      </c>
      <c r="D292" s="7" t="n">
        <v>-12.15</v>
      </c>
      <c r="E292" s="17" t="s">
        <v>94</v>
      </c>
      <c r="F292" s="7" t="n">
        <v>14703.56</v>
      </c>
      <c r="G292" s="17" t="s">
        <v>56</v>
      </c>
    </row>
    <row r="293" customFormat="false" ht="15" hidden="false" customHeight="false" outlineLevel="0" collapsed="false">
      <c r="A293" s="0" t="s">
        <v>90</v>
      </c>
      <c r="B293" s="15" t="n">
        <v>45824</v>
      </c>
      <c r="C293" s="17" t="s">
        <v>380</v>
      </c>
      <c r="D293" s="7" t="n">
        <v>-51</v>
      </c>
      <c r="E293" s="17" t="s">
        <v>94</v>
      </c>
      <c r="F293" s="7" t="n">
        <v>14715.71</v>
      </c>
      <c r="G293" s="17" t="s">
        <v>61</v>
      </c>
    </row>
    <row r="294" customFormat="false" ht="15" hidden="false" customHeight="false" outlineLevel="0" collapsed="false">
      <c r="A294" s="0" t="s">
        <v>90</v>
      </c>
      <c r="B294" s="15" t="n">
        <v>45824</v>
      </c>
      <c r="C294" s="17" t="s">
        <v>381</v>
      </c>
      <c r="D294" s="7" t="n">
        <v>-132</v>
      </c>
      <c r="E294" s="17" t="s">
        <v>94</v>
      </c>
      <c r="F294" s="7" t="n">
        <v>14766.71</v>
      </c>
      <c r="G294" s="17" t="s">
        <v>59</v>
      </c>
    </row>
    <row r="295" customFormat="false" ht="15" hidden="false" customHeight="false" outlineLevel="0" collapsed="false">
      <c r="A295" s="0" t="s">
        <v>90</v>
      </c>
      <c r="B295" s="15" t="n">
        <v>45824</v>
      </c>
      <c r="C295" s="17" t="s">
        <v>382</v>
      </c>
      <c r="D295" s="7" t="n">
        <v>-68.52</v>
      </c>
      <c r="E295" s="17" t="s">
        <v>94</v>
      </c>
      <c r="F295" s="7" t="n">
        <v>14898.71</v>
      </c>
      <c r="G295" s="17" t="s">
        <v>60</v>
      </c>
    </row>
    <row r="296" customFormat="false" ht="15" hidden="false" customHeight="false" outlineLevel="0" collapsed="false">
      <c r="A296" s="0" t="s">
        <v>90</v>
      </c>
      <c r="B296" s="15" t="n">
        <v>45824</v>
      </c>
      <c r="C296" s="17" t="s">
        <v>383</v>
      </c>
      <c r="D296" s="7" t="n">
        <v>-11.5</v>
      </c>
      <c r="E296" s="17" t="s">
        <v>94</v>
      </c>
      <c r="F296" s="7" t="n">
        <v>14967.23</v>
      </c>
      <c r="G296" s="17" t="s">
        <v>60</v>
      </c>
    </row>
    <row r="297" customFormat="false" ht="15" hidden="false" customHeight="false" outlineLevel="0" collapsed="false">
      <c r="A297" s="0" t="s">
        <v>90</v>
      </c>
      <c r="B297" s="15" t="n">
        <v>45821</v>
      </c>
      <c r="C297" s="17" t="s">
        <v>383</v>
      </c>
      <c r="D297" s="7" t="n">
        <v>-12</v>
      </c>
      <c r="E297" s="17" t="s">
        <v>94</v>
      </c>
      <c r="F297" s="7" t="n">
        <v>14978.73</v>
      </c>
      <c r="G297" s="17" t="s">
        <v>60</v>
      </c>
    </row>
    <row r="298" customFormat="false" ht="15" hidden="false" customHeight="false" outlineLevel="0" collapsed="false">
      <c r="A298" s="0" t="s">
        <v>90</v>
      </c>
      <c r="B298" s="15" t="n">
        <v>45821</v>
      </c>
      <c r="C298" s="17" t="s">
        <v>384</v>
      </c>
      <c r="D298" s="7" t="n">
        <v>-115.15</v>
      </c>
      <c r="E298" s="17" t="s">
        <v>94</v>
      </c>
      <c r="F298" s="7" t="n">
        <v>14990.73</v>
      </c>
      <c r="G298" s="17" t="s">
        <v>60</v>
      </c>
    </row>
    <row r="299" customFormat="false" ht="15" hidden="false" customHeight="false" outlineLevel="0" collapsed="false">
      <c r="A299" s="0" t="s">
        <v>90</v>
      </c>
      <c r="B299" s="15" t="n">
        <v>45821</v>
      </c>
      <c r="C299" s="17" t="s">
        <v>385</v>
      </c>
      <c r="D299" s="7" t="n">
        <v>-1.25</v>
      </c>
      <c r="E299" s="17" t="s">
        <v>94</v>
      </c>
      <c r="F299" s="7" t="n">
        <v>15105.88</v>
      </c>
      <c r="G299" s="17" t="s">
        <v>56</v>
      </c>
    </row>
    <row r="300" customFormat="false" ht="15" hidden="false" customHeight="false" outlineLevel="0" collapsed="false">
      <c r="A300" s="0" t="s">
        <v>90</v>
      </c>
      <c r="B300" s="15" t="n">
        <v>45821</v>
      </c>
      <c r="C300" s="17" t="s">
        <v>384</v>
      </c>
      <c r="D300" s="7" t="n">
        <v>-72.87</v>
      </c>
      <c r="E300" s="17" t="s">
        <v>94</v>
      </c>
      <c r="F300" s="7" t="n">
        <v>15107.13</v>
      </c>
      <c r="G300" s="17" t="s">
        <v>60</v>
      </c>
    </row>
    <row r="301" customFormat="false" ht="15" hidden="false" customHeight="false" outlineLevel="0" collapsed="false">
      <c r="A301" s="0" t="s">
        <v>90</v>
      </c>
      <c r="B301" s="15" t="n">
        <v>45821</v>
      </c>
      <c r="C301" s="17" t="s">
        <v>386</v>
      </c>
      <c r="D301" s="7" t="n">
        <v>-11.25</v>
      </c>
      <c r="E301" s="17" t="s">
        <v>94</v>
      </c>
      <c r="F301" s="7" t="n">
        <v>15180</v>
      </c>
      <c r="G301" s="17" t="s">
        <v>60</v>
      </c>
    </row>
    <row r="302" customFormat="false" ht="15" hidden="false" customHeight="false" outlineLevel="0" collapsed="false">
      <c r="A302" s="0" t="s">
        <v>90</v>
      </c>
      <c r="B302" s="15" t="n">
        <v>45821</v>
      </c>
      <c r="C302" s="17" t="s">
        <v>387</v>
      </c>
      <c r="D302" s="7" t="n">
        <v>-21.64</v>
      </c>
      <c r="E302" s="17" t="s">
        <v>94</v>
      </c>
      <c r="F302" s="7" t="n">
        <v>15191.25</v>
      </c>
      <c r="G302" s="17" t="s">
        <v>63</v>
      </c>
    </row>
    <row r="303" customFormat="false" ht="15" hidden="false" customHeight="false" outlineLevel="0" collapsed="false">
      <c r="A303" s="0" t="s">
        <v>90</v>
      </c>
      <c r="B303" s="15" t="n">
        <v>45821</v>
      </c>
      <c r="C303" s="17" t="s">
        <v>388</v>
      </c>
      <c r="D303" s="7" t="n">
        <v>-27.25</v>
      </c>
      <c r="E303" s="17" t="s">
        <v>94</v>
      </c>
      <c r="F303" s="7" t="n">
        <v>15212.89</v>
      </c>
      <c r="G303" s="17" t="s">
        <v>60</v>
      </c>
    </row>
    <row r="304" customFormat="false" ht="15" hidden="false" customHeight="false" outlineLevel="0" collapsed="false">
      <c r="A304" s="0" t="s">
        <v>90</v>
      </c>
      <c r="B304" s="15" t="n">
        <v>45821</v>
      </c>
      <c r="C304" s="17" t="s">
        <v>388</v>
      </c>
      <c r="D304" s="7" t="n">
        <v>-34.85</v>
      </c>
      <c r="E304" s="17" t="s">
        <v>94</v>
      </c>
      <c r="F304" s="7" t="n">
        <v>15240.14</v>
      </c>
      <c r="G304" s="17" t="s">
        <v>60</v>
      </c>
    </row>
    <row r="305" customFormat="false" ht="15" hidden="false" customHeight="false" outlineLevel="0" collapsed="false">
      <c r="A305" s="0" t="s">
        <v>90</v>
      </c>
      <c r="B305" s="15" t="n">
        <v>45821</v>
      </c>
      <c r="C305" s="17" t="s">
        <v>389</v>
      </c>
      <c r="D305" s="7" t="n">
        <v>-1</v>
      </c>
      <c r="E305" s="17" t="s">
        <v>94</v>
      </c>
      <c r="F305" s="7" t="n">
        <v>15274.99</v>
      </c>
      <c r="G305" s="17" t="s">
        <v>56</v>
      </c>
    </row>
    <row r="306" customFormat="false" ht="15" hidden="false" customHeight="false" outlineLevel="0" collapsed="false">
      <c r="A306" s="0" t="s">
        <v>90</v>
      </c>
      <c r="B306" s="15" t="n">
        <v>45820</v>
      </c>
      <c r="C306" s="17" t="s">
        <v>390</v>
      </c>
      <c r="D306" s="7" t="n">
        <v>-5000</v>
      </c>
      <c r="E306" s="17" t="s">
        <v>102</v>
      </c>
      <c r="F306" s="7" t="n">
        <v>15275.99</v>
      </c>
      <c r="G306" s="17" t="s">
        <v>33</v>
      </c>
    </row>
    <row r="307" customFormat="false" ht="15" hidden="false" customHeight="false" outlineLevel="0" collapsed="false">
      <c r="A307" s="0" t="s">
        <v>90</v>
      </c>
      <c r="B307" s="15" t="n">
        <v>45820</v>
      </c>
      <c r="C307" s="17" t="s">
        <v>391</v>
      </c>
      <c r="D307" s="7" t="n">
        <v>-5000</v>
      </c>
      <c r="E307" s="17" t="s">
        <v>102</v>
      </c>
      <c r="F307" s="7" t="n">
        <v>20275.99</v>
      </c>
      <c r="G307" s="17" t="s">
        <v>35</v>
      </c>
    </row>
    <row r="308" customFormat="false" ht="15" hidden="false" customHeight="false" outlineLevel="0" collapsed="false">
      <c r="A308" s="0" t="s">
        <v>90</v>
      </c>
      <c r="B308" s="15" t="n">
        <v>45820</v>
      </c>
      <c r="C308" s="17" t="s">
        <v>392</v>
      </c>
      <c r="D308" s="7" t="n">
        <v>-5.55</v>
      </c>
      <c r="E308" s="17" t="s">
        <v>94</v>
      </c>
      <c r="F308" s="7" t="n">
        <v>25275.99</v>
      </c>
      <c r="G308" s="17" t="s">
        <v>60</v>
      </c>
    </row>
    <row r="309" customFormat="false" ht="15" hidden="false" customHeight="false" outlineLevel="0" collapsed="false">
      <c r="A309" s="0" t="s">
        <v>90</v>
      </c>
      <c r="B309" s="15" t="n">
        <v>45819</v>
      </c>
      <c r="C309" s="17" t="s">
        <v>393</v>
      </c>
      <c r="D309" s="7" t="n">
        <v>-5.75</v>
      </c>
      <c r="E309" s="17" t="s">
        <v>94</v>
      </c>
      <c r="F309" s="7" t="n">
        <v>25281.54</v>
      </c>
      <c r="G309" s="17" t="s">
        <v>59</v>
      </c>
    </row>
    <row r="310" customFormat="false" ht="15" hidden="false" customHeight="false" outlineLevel="0" collapsed="false">
      <c r="A310" s="0" t="s">
        <v>90</v>
      </c>
      <c r="B310" s="15" t="n">
        <v>45819</v>
      </c>
      <c r="C310" s="17" t="s">
        <v>394</v>
      </c>
      <c r="D310" s="7" t="n">
        <v>-81.77</v>
      </c>
      <c r="E310" s="17" t="s">
        <v>94</v>
      </c>
      <c r="F310" s="7" t="n">
        <v>25287.29</v>
      </c>
      <c r="G310" s="17" t="s">
        <v>60</v>
      </c>
    </row>
    <row r="311" customFormat="false" ht="15" hidden="false" customHeight="false" outlineLevel="0" collapsed="false">
      <c r="A311" s="0" t="s">
        <v>90</v>
      </c>
      <c r="B311" s="15" t="n">
        <v>45819</v>
      </c>
      <c r="C311" s="17" t="s">
        <v>395</v>
      </c>
      <c r="D311" s="7" t="n">
        <v>-35</v>
      </c>
      <c r="E311" s="17" t="s">
        <v>94</v>
      </c>
      <c r="F311" s="7" t="n">
        <v>25369.06</v>
      </c>
      <c r="G311" s="17" t="s">
        <v>51</v>
      </c>
    </row>
    <row r="312" customFormat="false" ht="15" hidden="false" customHeight="false" outlineLevel="0" collapsed="false">
      <c r="A312" s="0" t="s">
        <v>90</v>
      </c>
      <c r="B312" s="15" t="n">
        <v>45818</v>
      </c>
      <c r="C312" s="17" t="s">
        <v>396</v>
      </c>
      <c r="D312" s="7" t="n">
        <v>-50.62</v>
      </c>
      <c r="E312" s="17" t="s">
        <v>94</v>
      </c>
      <c r="F312" s="7" t="n">
        <v>25404.06</v>
      </c>
      <c r="G312" s="17" t="s">
        <v>59</v>
      </c>
    </row>
    <row r="313" customFormat="false" ht="15" hidden="false" customHeight="false" outlineLevel="0" collapsed="false">
      <c r="A313" s="0" t="s">
        <v>90</v>
      </c>
      <c r="B313" s="15" t="n">
        <v>45818</v>
      </c>
      <c r="C313" s="17" t="s">
        <v>397</v>
      </c>
      <c r="D313" s="7" t="n">
        <v>-5</v>
      </c>
      <c r="E313" s="17" t="s">
        <v>94</v>
      </c>
      <c r="F313" s="7" t="n">
        <v>25454.68</v>
      </c>
      <c r="G313" s="17" t="s">
        <v>56</v>
      </c>
    </row>
    <row r="314" customFormat="false" ht="15" hidden="false" customHeight="false" outlineLevel="0" collapsed="false">
      <c r="A314" s="0" t="s">
        <v>90</v>
      </c>
      <c r="B314" s="15" t="n">
        <v>45818</v>
      </c>
      <c r="C314" s="17" t="s">
        <v>398</v>
      </c>
      <c r="D314" s="7" t="n">
        <v>-2.49</v>
      </c>
      <c r="E314" s="17" t="s">
        <v>94</v>
      </c>
      <c r="F314" s="7" t="n">
        <v>25459.68</v>
      </c>
      <c r="G314" s="17" t="s">
        <v>56</v>
      </c>
    </row>
    <row r="315" customFormat="false" ht="15" hidden="false" customHeight="false" outlineLevel="0" collapsed="false">
      <c r="A315" s="0" t="s">
        <v>90</v>
      </c>
      <c r="B315" s="15" t="n">
        <v>45818</v>
      </c>
      <c r="C315" s="17" t="s">
        <v>399</v>
      </c>
      <c r="D315" s="7" t="n">
        <v>-37.34</v>
      </c>
      <c r="E315" s="17" t="s">
        <v>94</v>
      </c>
      <c r="F315" s="7" t="n">
        <v>25462.17</v>
      </c>
      <c r="G315" s="17" t="s">
        <v>63</v>
      </c>
    </row>
    <row r="316" customFormat="false" ht="15" hidden="false" customHeight="false" outlineLevel="0" collapsed="false">
      <c r="A316" s="0" t="s">
        <v>90</v>
      </c>
      <c r="B316" s="15" t="n">
        <v>45818</v>
      </c>
      <c r="C316" s="17" t="s">
        <v>400</v>
      </c>
      <c r="D316" s="7" t="n">
        <v>-18.79</v>
      </c>
      <c r="E316" s="17" t="s">
        <v>94</v>
      </c>
      <c r="F316" s="7" t="n">
        <v>25499.51</v>
      </c>
      <c r="G316" s="17" t="s">
        <v>59</v>
      </c>
    </row>
    <row r="317" customFormat="false" ht="15" hidden="false" customHeight="false" outlineLevel="0" collapsed="false">
      <c r="A317" s="0" t="s">
        <v>90</v>
      </c>
      <c r="B317" s="15" t="n">
        <v>45817</v>
      </c>
      <c r="C317" s="17" t="s">
        <v>401</v>
      </c>
      <c r="D317" s="7" t="n">
        <v>-8.47</v>
      </c>
      <c r="E317" s="17" t="s">
        <v>94</v>
      </c>
      <c r="F317" s="7" t="n">
        <v>25518.3</v>
      </c>
      <c r="G317" s="17" t="s">
        <v>59</v>
      </c>
    </row>
    <row r="318" customFormat="false" ht="15" hidden="false" customHeight="false" outlineLevel="0" collapsed="false">
      <c r="A318" s="0" t="s">
        <v>90</v>
      </c>
      <c r="B318" s="15" t="n">
        <v>45817</v>
      </c>
      <c r="C318" s="17" t="s">
        <v>402</v>
      </c>
      <c r="D318" s="7" t="n">
        <v>-53.04</v>
      </c>
      <c r="E318" s="17" t="s">
        <v>94</v>
      </c>
      <c r="F318" s="7" t="n">
        <v>25526.77</v>
      </c>
      <c r="G318" s="17" t="s">
        <v>59</v>
      </c>
    </row>
    <row r="319" customFormat="false" ht="15" hidden="false" customHeight="false" outlineLevel="0" collapsed="false">
      <c r="A319" s="0" t="s">
        <v>90</v>
      </c>
      <c r="B319" s="15" t="n">
        <v>45814</v>
      </c>
      <c r="C319" s="17" t="s">
        <v>403</v>
      </c>
      <c r="D319" s="7" t="n">
        <v>-180.24</v>
      </c>
      <c r="E319" s="17" t="s">
        <v>243</v>
      </c>
      <c r="F319" s="7" t="n">
        <v>25579.81</v>
      </c>
      <c r="G319" s="17" t="s">
        <v>42</v>
      </c>
    </row>
    <row r="320" customFormat="false" ht="15" hidden="false" customHeight="false" outlineLevel="0" collapsed="false">
      <c r="A320" s="0" t="s">
        <v>97</v>
      </c>
      <c r="B320" s="15" t="n">
        <v>45814</v>
      </c>
      <c r="C320" s="17" t="s">
        <v>404</v>
      </c>
      <c r="D320" s="7" t="n">
        <v>20000</v>
      </c>
      <c r="E320" s="17" t="s">
        <v>92</v>
      </c>
      <c r="F320" s="7" t="n">
        <v>25760.05</v>
      </c>
      <c r="G320" s="17" t="s">
        <v>25</v>
      </c>
    </row>
    <row r="321" customFormat="false" ht="15" hidden="false" customHeight="false" outlineLevel="0" collapsed="false">
      <c r="A321" s="0" t="s">
        <v>90</v>
      </c>
      <c r="B321" s="15" t="n">
        <v>45813</v>
      </c>
      <c r="C321" s="17" t="s">
        <v>405</v>
      </c>
      <c r="D321" s="7" t="n">
        <v>27.81</v>
      </c>
      <c r="E321" s="17" t="s">
        <v>94</v>
      </c>
      <c r="F321" s="7" t="n">
        <v>5760.05</v>
      </c>
      <c r="G321" s="17" t="s">
        <v>59</v>
      </c>
    </row>
    <row r="322" customFormat="false" ht="15" hidden="false" customHeight="false" outlineLevel="0" collapsed="false">
      <c r="A322" s="0" t="s">
        <v>90</v>
      </c>
      <c r="B322" s="15" t="n">
        <v>45813</v>
      </c>
      <c r="C322" s="17" t="s">
        <v>406</v>
      </c>
      <c r="D322" s="7" t="n">
        <v>27.81</v>
      </c>
      <c r="E322" s="17" t="s">
        <v>94</v>
      </c>
      <c r="F322" s="7" t="n">
        <v>5732.24</v>
      </c>
      <c r="G322" s="17" t="s">
        <v>59</v>
      </c>
    </row>
    <row r="323" customFormat="false" ht="15" hidden="false" customHeight="false" outlineLevel="0" collapsed="false">
      <c r="A323" s="0" t="s">
        <v>90</v>
      </c>
      <c r="B323" s="15" t="n">
        <v>45811</v>
      </c>
      <c r="C323" s="17" t="s">
        <v>407</v>
      </c>
      <c r="D323" s="7" t="n">
        <v>-20.75</v>
      </c>
      <c r="E323" s="17" t="s">
        <v>94</v>
      </c>
      <c r="F323" s="7" t="n">
        <v>5704.43</v>
      </c>
      <c r="G323" s="17" t="s">
        <v>56</v>
      </c>
    </row>
    <row r="324" customFormat="false" ht="15" hidden="false" customHeight="false" outlineLevel="0" collapsed="false">
      <c r="A324" s="0" t="s">
        <v>90</v>
      </c>
      <c r="B324" s="15" t="n">
        <v>45810</v>
      </c>
      <c r="C324" s="17" t="s">
        <v>408</v>
      </c>
      <c r="D324" s="7" t="n">
        <v>-5000</v>
      </c>
      <c r="E324" s="17" t="s">
        <v>102</v>
      </c>
      <c r="F324" s="7" t="n">
        <v>5725.18</v>
      </c>
      <c r="G324" s="17" t="s">
        <v>33</v>
      </c>
    </row>
    <row r="325" customFormat="false" ht="15" hidden="false" customHeight="false" outlineLevel="0" collapsed="false">
      <c r="A325" s="0" t="s">
        <v>90</v>
      </c>
      <c r="B325" s="15" t="n">
        <v>45810</v>
      </c>
      <c r="C325" s="17" t="s">
        <v>409</v>
      </c>
      <c r="D325" s="7" t="n">
        <v>-71.84</v>
      </c>
      <c r="E325" s="17" t="s">
        <v>94</v>
      </c>
      <c r="F325" s="7" t="n">
        <v>10725.18</v>
      </c>
      <c r="G325" s="17" t="s">
        <v>56</v>
      </c>
    </row>
    <row r="326" customFormat="false" ht="15" hidden="false" customHeight="false" outlineLevel="0" collapsed="false">
      <c r="A326" s="0" t="s">
        <v>90</v>
      </c>
      <c r="B326" s="15" t="n">
        <v>45810</v>
      </c>
      <c r="C326" s="17" t="s">
        <v>410</v>
      </c>
      <c r="D326" s="7" t="n">
        <v>-2.05</v>
      </c>
      <c r="E326" s="17" t="s">
        <v>94</v>
      </c>
      <c r="F326" s="7" t="n">
        <v>10797.02</v>
      </c>
      <c r="G326" s="17" t="s">
        <v>60</v>
      </c>
    </row>
    <row r="327" customFormat="false" ht="15" hidden="false" customHeight="false" outlineLevel="0" collapsed="false">
      <c r="A327" s="0" t="s">
        <v>90</v>
      </c>
      <c r="B327" s="15" t="n">
        <v>45810</v>
      </c>
      <c r="C327" s="17" t="s">
        <v>410</v>
      </c>
      <c r="D327" s="7" t="n">
        <v>-2.05</v>
      </c>
      <c r="E327" s="17" t="s">
        <v>94</v>
      </c>
      <c r="F327" s="7" t="n">
        <v>10799.07</v>
      </c>
      <c r="G327" s="17" t="s">
        <v>60</v>
      </c>
    </row>
    <row r="328" customFormat="false" ht="15" hidden="false" customHeight="false" outlineLevel="0" collapsed="false">
      <c r="A328" s="0" t="s">
        <v>90</v>
      </c>
      <c r="B328" s="15" t="n">
        <v>45810</v>
      </c>
      <c r="C328" s="17" t="s">
        <v>410</v>
      </c>
      <c r="D328" s="7" t="n">
        <v>-58.29</v>
      </c>
      <c r="E328" s="17" t="s">
        <v>94</v>
      </c>
      <c r="F328" s="7" t="n">
        <v>10801.12</v>
      </c>
      <c r="G328" s="17" t="s">
        <v>60</v>
      </c>
    </row>
    <row r="329" customFormat="false" ht="15" hidden="false" customHeight="false" outlineLevel="0" collapsed="false">
      <c r="A329" s="0" t="s">
        <v>90</v>
      </c>
      <c r="B329" s="15" t="n">
        <v>45810</v>
      </c>
      <c r="C329" s="17" t="s">
        <v>411</v>
      </c>
      <c r="D329" s="7" t="n">
        <v>-21.98</v>
      </c>
      <c r="E329" s="17" t="s">
        <v>94</v>
      </c>
      <c r="F329" s="7" t="n">
        <v>10859.41</v>
      </c>
      <c r="G329" s="17" t="s">
        <v>50</v>
      </c>
    </row>
    <row r="330" customFormat="false" ht="15" hidden="false" customHeight="false" outlineLevel="0" collapsed="false">
      <c r="A330" s="0" t="s">
        <v>90</v>
      </c>
      <c r="B330" s="15" t="n">
        <v>45810</v>
      </c>
      <c r="C330" s="17" t="s">
        <v>412</v>
      </c>
      <c r="D330" s="7" t="n">
        <v>-69.84</v>
      </c>
      <c r="E330" s="17" t="s">
        <v>94</v>
      </c>
      <c r="F330" s="7" t="n">
        <v>10881.39</v>
      </c>
      <c r="G330" s="17" t="s">
        <v>60</v>
      </c>
    </row>
    <row r="331" customFormat="false" ht="15" hidden="false" customHeight="false" outlineLevel="0" collapsed="false">
      <c r="A331" s="0" t="s">
        <v>90</v>
      </c>
      <c r="B331" s="15" t="n">
        <v>45810</v>
      </c>
      <c r="C331" s="17" t="s">
        <v>413</v>
      </c>
      <c r="D331" s="7" t="n">
        <v>-36.44</v>
      </c>
      <c r="E331" s="17" t="s">
        <v>94</v>
      </c>
      <c r="F331" s="7" t="n">
        <v>10951.23</v>
      </c>
      <c r="G331" s="17" t="s">
        <v>58</v>
      </c>
    </row>
    <row r="332" customFormat="false" ht="15" hidden="false" customHeight="false" outlineLevel="0" collapsed="false">
      <c r="A332" s="0" t="s">
        <v>90</v>
      </c>
      <c r="B332" s="15" t="n">
        <v>45810</v>
      </c>
      <c r="C332" s="17" t="s">
        <v>414</v>
      </c>
      <c r="D332" s="7" t="n">
        <v>-210</v>
      </c>
      <c r="E332" s="17" t="s">
        <v>94</v>
      </c>
      <c r="F332" s="7" t="n">
        <v>10987.67</v>
      </c>
      <c r="G332" s="17" t="s">
        <v>61</v>
      </c>
    </row>
    <row r="333" customFormat="false" ht="15" hidden="false" customHeight="false" outlineLevel="0" collapsed="false">
      <c r="A333" s="0" t="s">
        <v>90</v>
      </c>
      <c r="B333" s="15" t="n">
        <v>45810</v>
      </c>
      <c r="C333" s="17" t="s">
        <v>415</v>
      </c>
      <c r="D333" s="7" t="n">
        <v>-30.46</v>
      </c>
      <c r="E333" s="17" t="s">
        <v>94</v>
      </c>
      <c r="F333" s="7" t="n">
        <v>11197.67</v>
      </c>
      <c r="G333" s="17" t="s">
        <v>60</v>
      </c>
    </row>
    <row r="334" customFormat="false" ht="15" hidden="false" customHeight="false" outlineLevel="0" collapsed="false">
      <c r="A334" s="0" t="s">
        <v>90</v>
      </c>
      <c r="B334" s="15" t="n">
        <v>45810</v>
      </c>
      <c r="C334" s="17" t="s">
        <v>416</v>
      </c>
      <c r="D334" s="7" t="n">
        <v>-49.08</v>
      </c>
      <c r="E334" s="17" t="s">
        <v>94</v>
      </c>
      <c r="F334" s="7" t="n">
        <v>11228.13</v>
      </c>
      <c r="G334" s="17" t="s">
        <v>60</v>
      </c>
    </row>
    <row r="335" customFormat="false" ht="15" hidden="false" customHeight="false" outlineLevel="0" collapsed="false">
      <c r="A335" s="0" t="s">
        <v>90</v>
      </c>
      <c r="B335" s="15" t="n">
        <v>45810</v>
      </c>
      <c r="C335" s="17" t="s">
        <v>417</v>
      </c>
      <c r="D335" s="7" t="n">
        <v>-1190.49</v>
      </c>
      <c r="E335" s="17" t="s">
        <v>94</v>
      </c>
      <c r="F335" s="7" t="n">
        <v>11277.21</v>
      </c>
      <c r="G335" s="17" t="s">
        <v>61</v>
      </c>
    </row>
    <row r="336" customFormat="false" ht="15" hidden="false" customHeight="false" outlineLevel="0" collapsed="false">
      <c r="A336" s="0" t="s">
        <v>90</v>
      </c>
      <c r="B336" s="15" t="n">
        <v>45810</v>
      </c>
      <c r="C336" s="17" t="s">
        <v>418</v>
      </c>
      <c r="D336" s="7" t="n">
        <v>-57.54</v>
      </c>
      <c r="E336" s="17" t="s">
        <v>94</v>
      </c>
      <c r="F336" s="7" t="n">
        <v>12467.7</v>
      </c>
      <c r="G336" s="17" t="s">
        <v>59</v>
      </c>
    </row>
    <row r="337" customFormat="false" ht="15" hidden="false" customHeight="false" outlineLevel="0" collapsed="false">
      <c r="A337" s="0" t="s">
        <v>97</v>
      </c>
      <c r="B337" s="15" t="n">
        <v>45810</v>
      </c>
      <c r="C337" s="17" t="s">
        <v>419</v>
      </c>
      <c r="D337" s="7" t="n">
        <v>1000</v>
      </c>
      <c r="E337" s="17" t="s">
        <v>92</v>
      </c>
      <c r="F337" s="7" t="n">
        <v>12525.24</v>
      </c>
      <c r="G337" s="17" t="s">
        <v>22</v>
      </c>
    </row>
    <row r="338" customFormat="false" ht="15" hidden="false" customHeight="false" outlineLevel="0" collapsed="false">
      <c r="A338" s="0" t="s">
        <v>97</v>
      </c>
      <c r="B338" s="15" t="n">
        <v>45810</v>
      </c>
      <c r="C338" s="17" t="s">
        <v>420</v>
      </c>
      <c r="D338" s="7" t="n">
        <v>1000</v>
      </c>
      <c r="E338" s="17" t="s">
        <v>92</v>
      </c>
      <c r="F338" s="7" t="n">
        <v>11525.24</v>
      </c>
      <c r="G338" s="17" t="s">
        <v>22</v>
      </c>
    </row>
    <row r="339" customFormat="false" ht="15" hidden="false" customHeight="false" outlineLevel="0" collapsed="false">
      <c r="A339" s="0" t="s">
        <v>97</v>
      </c>
      <c r="B339" s="15" t="n">
        <v>45810</v>
      </c>
      <c r="C339" s="17" t="s">
        <v>421</v>
      </c>
      <c r="D339" s="7" t="n">
        <v>10000</v>
      </c>
      <c r="E339" s="17" t="s">
        <v>92</v>
      </c>
      <c r="F339" s="7" t="n">
        <v>10525.24</v>
      </c>
      <c r="G339" s="17" t="s">
        <v>23</v>
      </c>
    </row>
    <row r="340" customFormat="false" ht="15" hidden="false" customHeight="false" outlineLevel="0" collapsed="false">
      <c r="A340" s="0" t="s">
        <v>90</v>
      </c>
      <c r="B340" s="15" t="n">
        <v>45806</v>
      </c>
      <c r="C340" s="17" t="s">
        <v>422</v>
      </c>
      <c r="D340" s="7" t="n">
        <v>-5000</v>
      </c>
      <c r="E340" s="17" t="s">
        <v>102</v>
      </c>
      <c r="F340" s="7" t="n">
        <v>525.24</v>
      </c>
      <c r="G340" s="17" t="s">
        <v>35</v>
      </c>
    </row>
    <row r="341" customFormat="false" ht="15" hidden="false" customHeight="false" outlineLevel="0" collapsed="false">
      <c r="A341" s="0" t="s">
        <v>90</v>
      </c>
      <c r="B341" s="15" t="n">
        <v>45805</v>
      </c>
      <c r="C341" s="17" t="s">
        <v>423</v>
      </c>
      <c r="D341" s="7" t="n">
        <v>-7.9</v>
      </c>
      <c r="E341" s="17" t="s">
        <v>94</v>
      </c>
      <c r="F341" s="7" t="n">
        <v>5525.24</v>
      </c>
      <c r="G341" s="17" t="s">
        <v>60</v>
      </c>
    </row>
    <row r="342" customFormat="false" ht="15" hidden="false" customHeight="false" outlineLevel="0" collapsed="false">
      <c r="A342" s="0" t="s">
        <v>90</v>
      </c>
      <c r="B342" s="15" t="n">
        <v>45805</v>
      </c>
      <c r="C342" s="17" t="s">
        <v>424</v>
      </c>
      <c r="D342" s="7" t="n">
        <v>-70.36</v>
      </c>
      <c r="E342" s="17" t="s">
        <v>94</v>
      </c>
      <c r="F342" s="7" t="n">
        <v>5533.14</v>
      </c>
      <c r="G342" s="17" t="s">
        <v>60</v>
      </c>
    </row>
    <row r="343" customFormat="false" ht="15" hidden="false" customHeight="false" outlineLevel="0" collapsed="false">
      <c r="A343" s="0" t="s">
        <v>90</v>
      </c>
      <c r="B343" s="15" t="n">
        <v>45804</v>
      </c>
      <c r="C343" s="17" t="s">
        <v>425</v>
      </c>
      <c r="D343" s="7" t="n">
        <v>-1109.5</v>
      </c>
      <c r="E343" s="17" t="s">
        <v>243</v>
      </c>
      <c r="F343" s="7" t="n">
        <v>5603.5</v>
      </c>
      <c r="G343" s="17" t="s">
        <v>42</v>
      </c>
    </row>
    <row r="344" customFormat="false" ht="15" hidden="false" customHeight="false" outlineLevel="0" collapsed="false">
      <c r="A344" s="0" t="s">
        <v>90</v>
      </c>
      <c r="B344" s="15" t="n">
        <v>45804</v>
      </c>
      <c r="C344" s="17" t="s">
        <v>426</v>
      </c>
      <c r="D344" s="7" t="n">
        <v>-1542.61</v>
      </c>
      <c r="E344" s="17" t="s">
        <v>243</v>
      </c>
      <c r="F344" s="7" t="n">
        <v>6713</v>
      </c>
      <c r="G344" s="17" t="s">
        <v>42</v>
      </c>
    </row>
    <row r="345" customFormat="false" ht="15" hidden="false" customHeight="false" outlineLevel="0" collapsed="false">
      <c r="A345" s="0" t="s">
        <v>90</v>
      </c>
      <c r="B345" s="15" t="n">
        <v>45804</v>
      </c>
      <c r="C345" s="17" t="s">
        <v>427</v>
      </c>
      <c r="D345" s="7" t="n">
        <v>-12500</v>
      </c>
      <c r="E345" s="17" t="s">
        <v>243</v>
      </c>
      <c r="F345" s="7" t="n">
        <v>8255.61</v>
      </c>
      <c r="G345" s="17" t="s">
        <v>42</v>
      </c>
    </row>
    <row r="346" customFormat="false" ht="15" hidden="false" customHeight="false" outlineLevel="0" collapsed="false">
      <c r="A346" s="0" t="s">
        <v>90</v>
      </c>
      <c r="B346" s="15" t="n">
        <v>45804</v>
      </c>
      <c r="C346" s="17" t="s">
        <v>428</v>
      </c>
      <c r="D346" s="7" t="n">
        <v>-20000</v>
      </c>
      <c r="E346" s="17" t="s">
        <v>243</v>
      </c>
      <c r="F346" s="7" t="n">
        <v>20755.61</v>
      </c>
      <c r="G346" s="17" t="s">
        <v>42</v>
      </c>
    </row>
    <row r="347" customFormat="false" ht="15" hidden="false" customHeight="false" outlineLevel="0" collapsed="false">
      <c r="A347" s="0" t="s">
        <v>90</v>
      </c>
      <c r="B347" s="15" t="n">
        <v>45804</v>
      </c>
      <c r="C347" s="17" t="s">
        <v>429</v>
      </c>
      <c r="D347" s="7" t="n">
        <v>-8.04</v>
      </c>
      <c r="E347" s="17" t="s">
        <v>94</v>
      </c>
      <c r="F347" s="7" t="n">
        <v>40755.61</v>
      </c>
      <c r="G347" s="17" t="s">
        <v>60</v>
      </c>
    </row>
    <row r="348" customFormat="false" ht="15" hidden="false" customHeight="false" outlineLevel="0" collapsed="false">
      <c r="A348" s="0" t="s">
        <v>90</v>
      </c>
      <c r="B348" s="15" t="n">
        <v>45804</v>
      </c>
      <c r="C348" s="17" t="s">
        <v>430</v>
      </c>
      <c r="D348" s="7" t="n">
        <v>-25.99</v>
      </c>
      <c r="E348" s="17" t="s">
        <v>94</v>
      </c>
      <c r="F348" s="7" t="n">
        <v>40763.65</v>
      </c>
      <c r="G348" s="17" t="s">
        <v>61</v>
      </c>
    </row>
    <row r="349" customFormat="false" ht="15" hidden="false" customHeight="false" outlineLevel="0" collapsed="false">
      <c r="A349" s="0" t="s">
        <v>97</v>
      </c>
      <c r="B349" s="15" t="n">
        <v>45804</v>
      </c>
      <c r="C349" s="17" t="s">
        <v>431</v>
      </c>
      <c r="D349" s="7" t="n">
        <v>1000</v>
      </c>
      <c r="E349" s="17" t="s">
        <v>92</v>
      </c>
      <c r="F349" s="7" t="n">
        <v>40789.64</v>
      </c>
      <c r="G349" s="17" t="s">
        <v>22</v>
      </c>
    </row>
    <row r="350" customFormat="false" ht="15" hidden="false" customHeight="false" outlineLevel="0" collapsed="false">
      <c r="A350" s="0" t="s">
        <v>97</v>
      </c>
      <c r="B350" s="15" t="n">
        <v>45804</v>
      </c>
      <c r="C350" s="17" t="s">
        <v>432</v>
      </c>
      <c r="D350" s="7" t="n">
        <v>5000</v>
      </c>
      <c r="E350" s="17" t="s">
        <v>92</v>
      </c>
      <c r="F350" s="7" t="n">
        <v>39789.64</v>
      </c>
      <c r="G350" s="17" t="s">
        <v>22</v>
      </c>
    </row>
    <row r="351" customFormat="false" ht="15" hidden="false" customHeight="false" outlineLevel="0" collapsed="false">
      <c r="A351" s="0" t="s">
        <v>97</v>
      </c>
      <c r="B351" s="15" t="n">
        <v>45804</v>
      </c>
      <c r="C351" s="17" t="s">
        <v>433</v>
      </c>
      <c r="D351" s="7" t="n">
        <v>35000</v>
      </c>
      <c r="E351" s="17" t="s">
        <v>92</v>
      </c>
      <c r="F351" s="7" t="n">
        <v>34789.64</v>
      </c>
      <c r="G351" s="17" t="s">
        <v>21</v>
      </c>
    </row>
    <row r="352" customFormat="false" ht="15" hidden="false" customHeight="false" outlineLevel="0" collapsed="false">
      <c r="A352" s="0" t="s">
        <v>90</v>
      </c>
      <c r="B352" s="15" t="n">
        <v>45800</v>
      </c>
      <c r="C352" s="17" t="s">
        <v>434</v>
      </c>
      <c r="D352" s="7" t="n">
        <v>-925.3</v>
      </c>
      <c r="E352" s="17" t="s">
        <v>94</v>
      </c>
      <c r="F352" s="7" t="n">
        <v>-210.36</v>
      </c>
      <c r="G352" s="17" t="s">
        <v>49</v>
      </c>
    </row>
    <row r="353" customFormat="false" ht="15" hidden="false" customHeight="false" outlineLevel="0" collapsed="false">
      <c r="A353" s="0" t="s">
        <v>90</v>
      </c>
      <c r="B353" s="15" t="n">
        <v>45800</v>
      </c>
      <c r="C353" s="17" t="s">
        <v>435</v>
      </c>
      <c r="D353" s="7" t="n">
        <v>-73.62</v>
      </c>
      <c r="E353" s="17" t="s">
        <v>94</v>
      </c>
      <c r="F353" s="7" t="n">
        <v>714.94</v>
      </c>
      <c r="G353" s="17" t="s">
        <v>60</v>
      </c>
    </row>
    <row r="354" customFormat="false" ht="15" hidden="false" customHeight="false" outlineLevel="0" collapsed="false">
      <c r="A354" s="0" t="s">
        <v>90</v>
      </c>
      <c r="B354" s="15" t="n">
        <v>45799</v>
      </c>
      <c r="C354" s="17" t="s">
        <v>436</v>
      </c>
      <c r="D354" s="7" t="n">
        <v>-17.32</v>
      </c>
      <c r="E354" s="17" t="s">
        <v>94</v>
      </c>
      <c r="F354" s="7" t="n">
        <v>788.56</v>
      </c>
      <c r="G354" s="17" t="s">
        <v>60</v>
      </c>
    </row>
    <row r="355" customFormat="false" ht="15" hidden="false" customHeight="false" outlineLevel="0" collapsed="false">
      <c r="A355" s="0" t="s">
        <v>90</v>
      </c>
      <c r="B355" s="15" t="n">
        <v>45799</v>
      </c>
      <c r="C355" s="17" t="s">
        <v>437</v>
      </c>
      <c r="D355" s="7" t="n">
        <v>-216.49</v>
      </c>
      <c r="E355" s="17" t="s">
        <v>94</v>
      </c>
      <c r="F355" s="7" t="n">
        <v>805.88</v>
      </c>
      <c r="G355" s="17" t="s">
        <v>62</v>
      </c>
    </row>
    <row r="356" customFormat="false" ht="15" hidden="false" customHeight="false" outlineLevel="0" collapsed="false">
      <c r="A356" s="0" t="s">
        <v>90</v>
      </c>
      <c r="B356" s="15" t="n">
        <v>45798</v>
      </c>
      <c r="C356" s="17" t="s">
        <v>438</v>
      </c>
      <c r="D356" s="7" t="n">
        <v>-17.83</v>
      </c>
      <c r="E356" s="17" t="s">
        <v>94</v>
      </c>
      <c r="F356" s="7" t="n">
        <v>1022.37</v>
      </c>
      <c r="G356" s="17" t="s">
        <v>60</v>
      </c>
    </row>
    <row r="357" customFormat="false" ht="15" hidden="false" customHeight="false" outlineLevel="0" collapsed="false">
      <c r="A357" s="0" t="s">
        <v>90</v>
      </c>
      <c r="B357" s="15" t="n">
        <v>45797</v>
      </c>
      <c r="C357" s="17" t="s">
        <v>439</v>
      </c>
      <c r="D357" s="7" t="n">
        <v>-12.45</v>
      </c>
      <c r="E357" s="17" t="s">
        <v>94</v>
      </c>
      <c r="F357" s="7" t="n">
        <v>1040.2</v>
      </c>
      <c r="G357" s="17" t="s">
        <v>60</v>
      </c>
    </row>
    <row r="358" customFormat="false" ht="15" hidden="false" customHeight="false" outlineLevel="0" collapsed="false">
      <c r="A358" s="0" t="s">
        <v>97</v>
      </c>
      <c r="B358" s="15" t="n">
        <v>45797</v>
      </c>
      <c r="C358" s="17" t="s">
        <v>440</v>
      </c>
      <c r="D358" s="7" t="n">
        <v>1000</v>
      </c>
      <c r="E358" s="17" t="s">
        <v>92</v>
      </c>
      <c r="F358" s="7" t="n">
        <v>1052.65</v>
      </c>
      <c r="G358" s="17" t="s">
        <v>22</v>
      </c>
    </row>
    <row r="359" customFormat="false" ht="15" hidden="false" customHeight="false" outlineLevel="0" collapsed="false">
      <c r="A359" s="0" t="s">
        <v>90</v>
      </c>
      <c r="B359" s="15" t="n">
        <v>45796</v>
      </c>
      <c r="C359" s="17" t="s">
        <v>441</v>
      </c>
      <c r="D359" s="7" t="n">
        <v>-233.92</v>
      </c>
      <c r="E359" s="17" t="s">
        <v>94</v>
      </c>
      <c r="F359" s="7" t="n">
        <v>52.65</v>
      </c>
      <c r="G359" s="17" t="s">
        <v>60</v>
      </c>
    </row>
    <row r="360" customFormat="false" ht="15" hidden="false" customHeight="false" outlineLevel="0" collapsed="false">
      <c r="A360" s="0" t="s">
        <v>90</v>
      </c>
      <c r="B360" s="15" t="n">
        <v>45792</v>
      </c>
      <c r="C360" s="17" t="s">
        <v>442</v>
      </c>
      <c r="D360" s="7" t="n">
        <v>-266.52</v>
      </c>
      <c r="E360" s="17" t="s">
        <v>94</v>
      </c>
      <c r="F360" s="7" t="n">
        <v>286.57</v>
      </c>
      <c r="G360" s="17" t="s">
        <v>60</v>
      </c>
    </row>
    <row r="361" customFormat="false" ht="15" hidden="false" customHeight="false" outlineLevel="0" collapsed="false">
      <c r="A361" s="0" t="s">
        <v>90</v>
      </c>
      <c r="B361" s="15" t="n">
        <v>45792</v>
      </c>
      <c r="C361" s="17" t="s">
        <v>443</v>
      </c>
      <c r="D361" s="7" t="n">
        <v>-208</v>
      </c>
      <c r="E361" s="17" t="s">
        <v>94</v>
      </c>
      <c r="F361" s="7" t="n">
        <v>553.09</v>
      </c>
      <c r="G361" s="17" t="s">
        <v>61</v>
      </c>
    </row>
    <row r="362" customFormat="false" ht="15" hidden="false" customHeight="false" outlineLevel="0" collapsed="false">
      <c r="A362" s="0" t="s">
        <v>90</v>
      </c>
      <c r="B362" s="15" t="n">
        <v>45792</v>
      </c>
      <c r="C362" s="17" t="s">
        <v>444</v>
      </c>
      <c r="D362" s="7" t="n">
        <v>-14.12</v>
      </c>
      <c r="E362" s="17" t="s">
        <v>94</v>
      </c>
      <c r="F362" s="7" t="n">
        <v>761.09</v>
      </c>
      <c r="G362" s="17" t="s">
        <v>60</v>
      </c>
    </row>
    <row r="363" customFormat="false" ht="15" hidden="false" customHeight="false" outlineLevel="0" collapsed="false">
      <c r="A363" s="0" t="s">
        <v>90</v>
      </c>
      <c r="B363" s="15" t="n">
        <v>45791</v>
      </c>
      <c r="C363" s="17" t="s">
        <v>445</v>
      </c>
      <c r="D363" s="7" t="n">
        <v>-360</v>
      </c>
      <c r="E363" s="17" t="s">
        <v>94</v>
      </c>
      <c r="F363" s="7" t="n">
        <v>775.21</v>
      </c>
      <c r="G363" s="17" t="s">
        <v>61</v>
      </c>
    </row>
    <row r="364" customFormat="false" ht="15" hidden="false" customHeight="false" outlineLevel="0" collapsed="false">
      <c r="A364" s="0" t="s">
        <v>90</v>
      </c>
      <c r="B364" s="15" t="n">
        <v>45791</v>
      </c>
      <c r="C364" s="17" t="s">
        <v>446</v>
      </c>
      <c r="D364" s="7" t="n">
        <v>-5000</v>
      </c>
      <c r="E364" s="17" t="s">
        <v>102</v>
      </c>
      <c r="F364" s="7" t="n">
        <v>1135.21</v>
      </c>
      <c r="G364" s="17" t="s">
        <v>35</v>
      </c>
    </row>
    <row r="365" customFormat="false" ht="15" hidden="false" customHeight="false" outlineLevel="0" collapsed="false">
      <c r="A365" s="0" t="s">
        <v>90</v>
      </c>
      <c r="B365" s="15" t="n">
        <v>45791</v>
      </c>
      <c r="C365" s="17" t="s">
        <v>447</v>
      </c>
      <c r="D365" s="7" t="n">
        <v>-5000</v>
      </c>
      <c r="E365" s="17" t="s">
        <v>102</v>
      </c>
      <c r="F365" s="7" t="n">
        <v>6135.21</v>
      </c>
      <c r="G365" s="17" t="s">
        <v>33</v>
      </c>
    </row>
    <row r="366" customFormat="false" ht="15" hidden="false" customHeight="false" outlineLevel="0" collapsed="false">
      <c r="A366" s="0" t="s">
        <v>90</v>
      </c>
      <c r="B366" s="15" t="n">
        <v>45791</v>
      </c>
      <c r="C366" s="17" t="s">
        <v>448</v>
      </c>
      <c r="D366" s="7" t="n">
        <v>-13.58</v>
      </c>
      <c r="E366" s="17" t="s">
        <v>94</v>
      </c>
      <c r="F366" s="7" t="n">
        <v>11135.21</v>
      </c>
      <c r="G366" s="17" t="s">
        <v>60</v>
      </c>
    </row>
    <row r="367" customFormat="false" ht="15" hidden="false" customHeight="false" outlineLevel="0" collapsed="false">
      <c r="A367" s="0" t="s">
        <v>90</v>
      </c>
      <c r="B367" s="15" t="n">
        <v>45790</v>
      </c>
      <c r="C367" s="17" t="s">
        <v>449</v>
      </c>
      <c r="D367" s="7" t="n">
        <v>-21.64</v>
      </c>
      <c r="E367" s="17" t="s">
        <v>94</v>
      </c>
      <c r="F367" s="7" t="n">
        <v>11148.79</v>
      </c>
      <c r="G367" s="17" t="s">
        <v>63</v>
      </c>
    </row>
    <row r="368" customFormat="false" ht="15" hidden="false" customHeight="false" outlineLevel="0" collapsed="false">
      <c r="A368" s="0" t="s">
        <v>90</v>
      </c>
      <c r="B368" s="15" t="n">
        <v>45789</v>
      </c>
      <c r="C368" s="17" t="s">
        <v>450</v>
      </c>
      <c r="D368" s="7" t="n">
        <v>-4</v>
      </c>
      <c r="E368" s="17" t="s">
        <v>94</v>
      </c>
      <c r="F368" s="7" t="n">
        <v>11170.43</v>
      </c>
      <c r="G368" s="17" t="s">
        <v>56</v>
      </c>
    </row>
    <row r="369" customFormat="false" ht="15" hidden="false" customHeight="false" outlineLevel="0" collapsed="false">
      <c r="A369" s="0" t="s">
        <v>90</v>
      </c>
      <c r="B369" s="15" t="n">
        <v>45789</v>
      </c>
      <c r="C369" s="17" t="s">
        <v>451</v>
      </c>
      <c r="D369" s="7" t="n">
        <v>-135.79</v>
      </c>
      <c r="E369" s="17" t="s">
        <v>94</v>
      </c>
      <c r="F369" s="7" t="n">
        <v>11174.43</v>
      </c>
      <c r="G369" s="17" t="s">
        <v>60</v>
      </c>
    </row>
    <row r="370" customFormat="false" ht="15" hidden="false" customHeight="false" outlineLevel="0" collapsed="false">
      <c r="A370" s="0" t="s">
        <v>90</v>
      </c>
      <c r="B370" s="15" t="n">
        <v>45789</v>
      </c>
      <c r="C370" s="17" t="s">
        <v>452</v>
      </c>
      <c r="D370" s="7" t="n">
        <v>-23</v>
      </c>
      <c r="E370" s="17" t="s">
        <v>94</v>
      </c>
      <c r="F370" s="7" t="n">
        <v>11310.22</v>
      </c>
      <c r="G370" s="17" t="s">
        <v>56</v>
      </c>
    </row>
    <row r="371" customFormat="false" ht="15" hidden="false" customHeight="false" outlineLevel="0" collapsed="false">
      <c r="A371" s="0" t="s">
        <v>90</v>
      </c>
      <c r="B371" s="15" t="n">
        <v>45789</v>
      </c>
      <c r="C371" s="17" t="s">
        <v>453</v>
      </c>
      <c r="D371" s="7" t="n">
        <v>-6</v>
      </c>
      <c r="E371" s="17" t="s">
        <v>94</v>
      </c>
      <c r="F371" s="7" t="n">
        <v>11333.22</v>
      </c>
      <c r="G371" s="17" t="s">
        <v>60</v>
      </c>
    </row>
    <row r="372" customFormat="false" ht="15" hidden="false" customHeight="false" outlineLevel="0" collapsed="false">
      <c r="A372" s="0" t="s">
        <v>90</v>
      </c>
      <c r="B372" s="15" t="n">
        <v>45789</v>
      </c>
      <c r="C372" s="17" t="s">
        <v>453</v>
      </c>
      <c r="D372" s="7" t="n">
        <v>-28.26</v>
      </c>
      <c r="E372" s="17" t="s">
        <v>94</v>
      </c>
      <c r="F372" s="7" t="n">
        <v>11339.22</v>
      </c>
      <c r="G372" s="17" t="s">
        <v>60</v>
      </c>
    </row>
    <row r="373" customFormat="false" ht="15" hidden="false" customHeight="false" outlineLevel="0" collapsed="false">
      <c r="A373" s="0" t="s">
        <v>90</v>
      </c>
      <c r="B373" s="15" t="n">
        <v>45789</v>
      </c>
      <c r="C373" s="17" t="s">
        <v>454</v>
      </c>
      <c r="D373" s="7" t="n">
        <v>-37.34</v>
      </c>
      <c r="E373" s="17" t="s">
        <v>94</v>
      </c>
      <c r="F373" s="7" t="n">
        <v>11367.48</v>
      </c>
      <c r="G373" s="17" t="s">
        <v>63</v>
      </c>
    </row>
    <row r="374" customFormat="false" ht="15" hidden="false" customHeight="false" outlineLevel="0" collapsed="false">
      <c r="A374" s="0" t="s">
        <v>90</v>
      </c>
      <c r="B374" s="15" t="n">
        <v>45785</v>
      </c>
      <c r="C374" s="17" t="s">
        <v>220</v>
      </c>
      <c r="D374" s="7" t="n">
        <v>-25</v>
      </c>
      <c r="E374" s="17" t="s">
        <v>111</v>
      </c>
      <c r="F374" s="7" t="n">
        <v>11404.82</v>
      </c>
      <c r="G374" s="17" t="s">
        <v>52</v>
      </c>
    </row>
    <row r="375" customFormat="false" ht="15" hidden="false" customHeight="false" outlineLevel="0" collapsed="false">
      <c r="A375" s="0" t="s">
        <v>90</v>
      </c>
      <c r="B375" s="15" t="n">
        <v>45785</v>
      </c>
      <c r="C375" s="17" t="s">
        <v>455</v>
      </c>
      <c r="D375" s="7" t="n">
        <v>-5000</v>
      </c>
      <c r="E375" s="17" t="s">
        <v>222</v>
      </c>
      <c r="F375" s="7" t="n">
        <v>11429.82</v>
      </c>
      <c r="G375" s="17" t="s">
        <v>32</v>
      </c>
    </row>
    <row r="376" customFormat="false" ht="15" hidden="false" customHeight="false" outlineLevel="0" collapsed="false">
      <c r="A376" s="0" t="s">
        <v>90</v>
      </c>
      <c r="B376" s="15" t="n">
        <v>45784</v>
      </c>
      <c r="C376" s="17" t="s">
        <v>456</v>
      </c>
      <c r="D376" s="7" t="n">
        <v>-29.88</v>
      </c>
      <c r="E376" s="17" t="s">
        <v>94</v>
      </c>
      <c r="F376" s="7" t="n">
        <v>16429.82</v>
      </c>
      <c r="G376" s="17" t="s">
        <v>60</v>
      </c>
    </row>
    <row r="377" customFormat="false" ht="15" hidden="false" customHeight="false" outlineLevel="0" collapsed="false">
      <c r="A377" s="0" t="s">
        <v>90</v>
      </c>
      <c r="B377" s="15" t="n">
        <v>45784</v>
      </c>
      <c r="C377" s="17" t="s">
        <v>457</v>
      </c>
      <c r="D377" s="7" t="n">
        <v>-40</v>
      </c>
      <c r="E377" s="17" t="s">
        <v>94</v>
      </c>
      <c r="F377" s="7" t="n">
        <v>16459.7</v>
      </c>
      <c r="G377" s="17" t="s">
        <v>60</v>
      </c>
    </row>
    <row r="378" customFormat="false" ht="15" hidden="false" customHeight="false" outlineLevel="0" collapsed="false">
      <c r="A378" s="0" t="s">
        <v>90</v>
      </c>
      <c r="B378" s="15" t="n">
        <v>45784</v>
      </c>
      <c r="C378" s="17" t="s">
        <v>457</v>
      </c>
      <c r="D378" s="7" t="n">
        <v>-32.58</v>
      </c>
      <c r="E378" s="17" t="s">
        <v>94</v>
      </c>
      <c r="F378" s="7" t="n">
        <v>16499.7</v>
      </c>
      <c r="G378" s="17" t="s">
        <v>60</v>
      </c>
    </row>
    <row r="379" customFormat="false" ht="15" hidden="false" customHeight="false" outlineLevel="0" collapsed="false">
      <c r="A379" s="0" t="s">
        <v>90</v>
      </c>
      <c r="B379" s="15" t="n">
        <v>45784</v>
      </c>
      <c r="C379" s="17" t="s">
        <v>458</v>
      </c>
      <c r="D379" s="7" t="n">
        <v>-0.42</v>
      </c>
      <c r="E379" s="17" t="s">
        <v>94</v>
      </c>
      <c r="F379" s="7" t="n">
        <v>16532.28</v>
      </c>
      <c r="G379" s="17" t="s">
        <v>56</v>
      </c>
    </row>
    <row r="380" customFormat="false" ht="15" hidden="false" customHeight="false" outlineLevel="0" collapsed="false">
      <c r="A380" s="0" t="s">
        <v>90</v>
      </c>
      <c r="B380" s="15" t="n">
        <v>45784</v>
      </c>
      <c r="C380" s="17" t="s">
        <v>458</v>
      </c>
      <c r="D380" s="7" t="n">
        <v>-1.25</v>
      </c>
      <c r="E380" s="17" t="s">
        <v>94</v>
      </c>
      <c r="F380" s="7" t="n">
        <v>16532.7</v>
      </c>
      <c r="G380" s="17" t="s">
        <v>56</v>
      </c>
    </row>
    <row r="381" customFormat="false" ht="15" hidden="false" customHeight="false" outlineLevel="0" collapsed="false">
      <c r="A381" s="0" t="s">
        <v>90</v>
      </c>
      <c r="B381" s="15" t="n">
        <v>45784</v>
      </c>
      <c r="C381" s="17" t="s">
        <v>459</v>
      </c>
      <c r="D381" s="7" t="n">
        <v>-130.93</v>
      </c>
      <c r="E381" s="17" t="s">
        <v>94</v>
      </c>
      <c r="F381" s="7" t="n">
        <v>16533.95</v>
      </c>
      <c r="G381" s="17" t="s">
        <v>60</v>
      </c>
    </row>
    <row r="382" customFormat="false" ht="15" hidden="false" customHeight="false" outlineLevel="0" collapsed="false">
      <c r="A382" s="0" t="s">
        <v>90</v>
      </c>
      <c r="B382" s="15" t="n">
        <v>45784</v>
      </c>
      <c r="C382" s="17" t="s">
        <v>460</v>
      </c>
      <c r="D382" s="7" t="n">
        <v>-51.58</v>
      </c>
      <c r="E382" s="17" t="s">
        <v>94</v>
      </c>
      <c r="F382" s="7" t="n">
        <v>16664.88</v>
      </c>
      <c r="G382" s="17" t="s">
        <v>60</v>
      </c>
    </row>
    <row r="383" customFormat="false" ht="15" hidden="false" customHeight="false" outlineLevel="0" collapsed="false">
      <c r="A383" s="0" t="s">
        <v>90</v>
      </c>
      <c r="B383" s="15" t="n">
        <v>45783</v>
      </c>
      <c r="C383" s="17" t="s">
        <v>461</v>
      </c>
      <c r="D383" s="7" t="n">
        <v>-55.62</v>
      </c>
      <c r="E383" s="17" t="s">
        <v>94</v>
      </c>
      <c r="F383" s="7" t="n">
        <v>16716.46</v>
      </c>
      <c r="G383" s="17" t="s">
        <v>59</v>
      </c>
    </row>
    <row r="384" customFormat="false" ht="15" hidden="false" customHeight="false" outlineLevel="0" collapsed="false">
      <c r="A384" s="0" t="s">
        <v>90</v>
      </c>
      <c r="B384" s="15" t="n">
        <v>45782</v>
      </c>
      <c r="C384" s="17" t="s">
        <v>462</v>
      </c>
      <c r="D384" s="7" t="n">
        <v>-7.25</v>
      </c>
      <c r="E384" s="17" t="s">
        <v>94</v>
      </c>
      <c r="F384" s="7" t="n">
        <v>16772.08</v>
      </c>
      <c r="G384" s="17" t="s">
        <v>56</v>
      </c>
    </row>
    <row r="385" customFormat="false" ht="15" hidden="false" customHeight="false" outlineLevel="0" collapsed="false">
      <c r="A385" s="0" t="s">
        <v>90</v>
      </c>
      <c r="B385" s="15" t="n">
        <v>45782</v>
      </c>
      <c r="C385" s="17" t="s">
        <v>463</v>
      </c>
      <c r="D385" s="7" t="n">
        <v>-6000</v>
      </c>
      <c r="E385" s="17" t="s">
        <v>92</v>
      </c>
      <c r="F385" s="7" t="n">
        <v>16779.33</v>
      </c>
      <c r="G385" s="17" t="s">
        <v>28</v>
      </c>
    </row>
    <row r="386" customFormat="false" ht="15" hidden="false" customHeight="false" outlineLevel="0" collapsed="false">
      <c r="A386" s="0" t="s">
        <v>97</v>
      </c>
      <c r="B386" s="15" t="n">
        <v>45782</v>
      </c>
      <c r="C386" s="17" t="s">
        <v>464</v>
      </c>
      <c r="D386" s="7" t="n">
        <v>5000</v>
      </c>
      <c r="E386" s="17" t="s">
        <v>92</v>
      </c>
      <c r="F386" s="7" t="n">
        <v>22779.33</v>
      </c>
      <c r="G386" s="17" t="s">
        <v>21</v>
      </c>
    </row>
    <row r="387" customFormat="false" ht="15" hidden="false" customHeight="false" outlineLevel="0" collapsed="false">
      <c r="A387" s="0" t="s">
        <v>97</v>
      </c>
      <c r="B387" s="15" t="n">
        <v>45782</v>
      </c>
      <c r="C387" s="17" t="s">
        <v>465</v>
      </c>
      <c r="D387" s="7" t="n">
        <v>6000</v>
      </c>
      <c r="E387" s="17" t="s">
        <v>92</v>
      </c>
      <c r="F387" s="7" t="n">
        <v>17779.33</v>
      </c>
      <c r="G387" s="17" t="s">
        <v>21</v>
      </c>
    </row>
    <row r="388" customFormat="false" ht="15" hidden="false" customHeight="false" outlineLevel="0" collapsed="false">
      <c r="A388" s="0" t="s">
        <v>90</v>
      </c>
      <c r="B388" s="15" t="n">
        <v>45779</v>
      </c>
      <c r="C388" s="17" t="s">
        <v>466</v>
      </c>
      <c r="D388" s="7" t="n">
        <v>-21.98</v>
      </c>
      <c r="E388" s="17" t="s">
        <v>94</v>
      </c>
      <c r="F388" s="7" t="n">
        <v>11779.33</v>
      </c>
      <c r="G388" s="17" t="s">
        <v>50</v>
      </c>
    </row>
    <row r="389" customFormat="false" ht="15" hidden="false" customHeight="false" outlineLevel="0" collapsed="false">
      <c r="A389" s="0" t="s">
        <v>90</v>
      </c>
      <c r="B389" s="15" t="n">
        <v>45779</v>
      </c>
      <c r="C389" s="17" t="s">
        <v>467</v>
      </c>
      <c r="D389" s="7" t="n">
        <v>-29.38</v>
      </c>
      <c r="E389" s="17" t="s">
        <v>94</v>
      </c>
      <c r="F389" s="7" t="n">
        <v>11801.31</v>
      </c>
      <c r="G389" s="17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2026-07-09T22:38:09Z</dcterms:created>
  <dc:creator>openpyxl</dc:creator>
  <dc:description/>
  <dc:language>en-US</dc:language>
  <cp:lastModifiedBy/>
  <dcterms:modified xsi:type="dcterms:W3CDTF">2026-07-09T22:38:09Z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