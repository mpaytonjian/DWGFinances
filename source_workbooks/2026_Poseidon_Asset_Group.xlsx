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00. Staff Desktops\00. Mike Desktop\10. Full Banking Analysis\Chase Bank\Poseidon Asset Group\"/>
    </mc:Choice>
  </mc:AlternateContent>
  <xr:revisionPtr revIDLastSave="0" documentId="8_{E927E14F-4A29-495B-A55B-9DE9996F95AC}" xr6:coauthVersionLast="47" xr6:coauthVersionMax="47" xr10:uidLastSave="{00000000-0000-0000-0000-000000000000}"/>
  <bookViews>
    <workbookView xWindow="-120" yWindow="-120" windowWidth="29040" windowHeight="15720" xr2:uid="{C7F2C5A8-C087-42A1-8545-6F44B5DFD937}"/>
  </bookViews>
  <sheets>
    <sheet name="Category Summary" sheetId="4" r:id="rId1"/>
    <sheet name="Monthly Breakdown" sheetId="5" r:id="rId2"/>
    <sheet name="Monthly Detail" sheetId="6" r:id="rId3"/>
    <sheet name="Transfer In" sheetId="7" r:id="rId4"/>
    <sheet name="Transfer Out" sheetId="8" r:id="rId5"/>
    <sheet name="Commission" sheetId="9" r:id="rId6"/>
    <sheet name="Wire In" sheetId="10" r:id="rId7"/>
    <sheet name="Wire Out" sheetId="11" r:id="rId8"/>
    <sheet name="Transaction Overview" sheetId="3" r:id="rId9"/>
    <sheet name="Mapping" sheetId="2" r:id="rId10"/>
    <sheet name="2026_Chase9335_Activity_2026062" sheetId="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5" l="1"/>
  <c r="F68" i="5"/>
  <c r="E68" i="5"/>
  <c r="D68" i="5"/>
  <c r="C68" i="5"/>
  <c r="B68" i="5"/>
  <c r="I42" i="6"/>
  <c r="H42" i="6"/>
  <c r="G42" i="6"/>
  <c r="F42" i="6"/>
  <c r="E42" i="6"/>
  <c r="D42" i="6"/>
  <c r="C42" i="6"/>
  <c r="H67" i="5"/>
  <c r="H68" i="5"/>
  <c r="G67" i="5"/>
  <c r="F67" i="5"/>
  <c r="E67" i="5"/>
  <c r="D67" i="5"/>
  <c r="C67" i="5"/>
  <c r="B67" i="5"/>
  <c r="D77" i="4"/>
  <c r="C77" i="4"/>
  <c r="B77" i="4"/>
  <c r="C20" i="11" a="1"/>
  <c r="C20" i="11" s="1"/>
  <c r="B20" i="11" a="1"/>
  <c r="B20" i="11" s="1"/>
  <c r="A20" i="11" a="1"/>
  <c r="A20" i="11" s="1"/>
  <c r="C6" i="11"/>
  <c r="C5" i="11"/>
  <c r="C19" i="10" a="1"/>
  <c r="C19" i="10" s="1"/>
  <c r="B19" i="10" a="1"/>
  <c r="B19" i="10" s="1"/>
  <c r="A19" i="10" a="1"/>
  <c r="A19" i="10" s="1"/>
  <c r="C6" i="10"/>
  <c r="C5" i="10"/>
  <c r="C28" i="8" a="1"/>
  <c r="C28" i="8" s="1"/>
  <c r="B28" i="8" a="1"/>
  <c r="B28" i="8" s="1"/>
  <c r="A28" i="8" a="1"/>
  <c r="A28" i="8" s="1"/>
  <c r="C6" i="8"/>
  <c r="C5" i="8"/>
  <c r="C18" i="7" a="1"/>
  <c r="C18" i="7" s="1"/>
  <c r="B18" i="7" a="1"/>
  <c r="B18" i="7" s="1"/>
  <c r="A18" i="7" a="1"/>
  <c r="A18" i="7" s="1"/>
  <c r="C6" i="7"/>
  <c r="C5" i="7"/>
  <c r="H4" i="6"/>
  <c r="H11" i="6" s="1"/>
  <c r="G4" i="6"/>
  <c r="F4" i="6"/>
  <c r="E4" i="6"/>
  <c r="D4" i="6"/>
  <c r="C4" i="6"/>
  <c r="G4" i="5"/>
  <c r="F4" i="5"/>
  <c r="E4" i="5"/>
  <c r="D4" i="5"/>
  <c r="C4" i="5"/>
  <c r="B4" i="5"/>
  <c r="C32" i="4"/>
  <c r="C76" i="4"/>
  <c r="B9" i="4"/>
  <c r="B10" i="4"/>
  <c r="B64" i="4"/>
  <c r="B92" i="4"/>
  <c r="J467" i="3"/>
  <c r="I467" i="3"/>
  <c r="H467" i="3"/>
  <c r="G467" i="3"/>
  <c r="F467" i="3"/>
  <c r="E467" i="3"/>
  <c r="D467" i="3"/>
  <c r="C467" i="3"/>
  <c r="B467" i="3"/>
  <c r="A467" i="3"/>
  <c r="G466" i="3"/>
  <c r="F466" i="3"/>
  <c r="E466" i="3"/>
  <c r="D466" i="3"/>
  <c r="C466" i="3"/>
  <c r="B466" i="3"/>
  <c r="H466" i="3" s="1"/>
  <c r="A466" i="3"/>
  <c r="J465" i="3"/>
  <c r="I465" i="3"/>
  <c r="G465" i="3"/>
  <c r="F465" i="3"/>
  <c r="E465" i="3"/>
  <c r="D465" i="3"/>
  <c r="C465" i="3"/>
  <c r="B465" i="3"/>
  <c r="H465" i="3" s="1"/>
  <c r="A465" i="3"/>
  <c r="I464" i="3"/>
  <c r="H464" i="3"/>
  <c r="G464" i="3"/>
  <c r="J464" i="3" s="1"/>
  <c r="F464" i="3"/>
  <c r="E464" i="3"/>
  <c r="D464" i="3"/>
  <c r="C464" i="3"/>
  <c r="B464" i="3"/>
  <c r="A464" i="3"/>
  <c r="I463" i="3"/>
  <c r="G463" i="3"/>
  <c r="J463" i="3" s="1"/>
  <c r="F463" i="3"/>
  <c r="E463" i="3"/>
  <c r="D463" i="3"/>
  <c r="C463" i="3"/>
  <c r="B463" i="3"/>
  <c r="H463" i="3" s="1"/>
  <c r="A463" i="3"/>
  <c r="H462" i="3"/>
  <c r="G462" i="3"/>
  <c r="I462" i="3" s="1"/>
  <c r="F462" i="3"/>
  <c r="E462" i="3"/>
  <c r="D462" i="3"/>
  <c r="C462" i="3"/>
  <c r="B462" i="3"/>
  <c r="A462" i="3"/>
  <c r="G461" i="3"/>
  <c r="J461" i="3" s="1"/>
  <c r="F461" i="3"/>
  <c r="E461" i="3"/>
  <c r="D461" i="3"/>
  <c r="C461" i="3"/>
  <c r="B461" i="3"/>
  <c r="H461" i="3" s="1"/>
  <c r="A461" i="3"/>
  <c r="G460" i="3"/>
  <c r="F460" i="3"/>
  <c r="E460" i="3"/>
  <c r="D460" i="3"/>
  <c r="C460" i="3"/>
  <c r="B460" i="3"/>
  <c r="H460" i="3" s="1"/>
  <c r="A460" i="3"/>
  <c r="J459" i="3"/>
  <c r="I459" i="3"/>
  <c r="H459" i="3"/>
  <c r="G459" i="3"/>
  <c r="F459" i="3"/>
  <c r="E459" i="3"/>
  <c r="D459" i="3"/>
  <c r="C459" i="3"/>
  <c r="B459" i="3"/>
  <c r="A459" i="3"/>
  <c r="G458" i="3"/>
  <c r="F458" i="3"/>
  <c r="E458" i="3"/>
  <c r="D458" i="3"/>
  <c r="C458" i="3"/>
  <c r="B458" i="3"/>
  <c r="H458" i="3" s="1"/>
  <c r="A458" i="3"/>
  <c r="J457" i="3"/>
  <c r="I457" i="3"/>
  <c r="G457" i="3"/>
  <c r="F457" i="3"/>
  <c r="E457" i="3"/>
  <c r="D457" i="3"/>
  <c r="C457" i="3"/>
  <c r="B457" i="3"/>
  <c r="H457" i="3" s="1"/>
  <c r="A457" i="3"/>
  <c r="I456" i="3"/>
  <c r="H456" i="3"/>
  <c r="G456" i="3"/>
  <c r="J456" i="3" s="1"/>
  <c r="F456" i="3"/>
  <c r="E456" i="3"/>
  <c r="D456" i="3"/>
  <c r="C456" i="3"/>
  <c r="B456" i="3"/>
  <c r="A456" i="3"/>
  <c r="I455" i="3"/>
  <c r="G455" i="3"/>
  <c r="J455" i="3" s="1"/>
  <c r="F455" i="3"/>
  <c r="E455" i="3"/>
  <c r="D455" i="3"/>
  <c r="C455" i="3"/>
  <c r="B455" i="3"/>
  <c r="H455" i="3" s="1"/>
  <c r="A455" i="3"/>
  <c r="J454" i="3"/>
  <c r="H454" i="3"/>
  <c r="G454" i="3"/>
  <c r="I454" i="3" s="1"/>
  <c r="F454" i="3"/>
  <c r="E454" i="3"/>
  <c r="D454" i="3"/>
  <c r="C454" i="3"/>
  <c r="B454" i="3"/>
  <c r="A454" i="3"/>
  <c r="I453" i="3"/>
  <c r="G453" i="3"/>
  <c r="J453" i="3" s="1"/>
  <c r="F453" i="3"/>
  <c r="E453" i="3"/>
  <c r="D453" i="3"/>
  <c r="C453" i="3"/>
  <c r="B453" i="3"/>
  <c r="H453" i="3" s="1"/>
  <c r="A453" i="3"/>
  <c r="G452" i="3"/>
  <c r="F452" i="3"/>
  <c r="E452" i="3"/>
  <c r="D452" i="3"/>
  <c r="C452" i="3"/>
  <c r="B452" i="3"/>
  <c r="H452" i="3" s="1"/>
  <c r="A452" i="3"/>
  <c r="J451" i="3"/>
  <c r="I451" i="3"/>
  <c r="H451" i="3"/>
  <c r="G451" i="3"/>
  <c r="F451" i="3"/>
  <c r="E451" i="3"/>
  <c r="D451" i="3"/>
  <c r="C451" i="3"/>
  <c r="B451" i="3"/>
  <c r="A451" i="3"/>
  <c r="G450" i="3"/>
  <c r="F450" i="3"/>
  <c r="E450" i="3"/>
  <c r="D450" i="3"/>
  <c r="C450" i="3"/>
  <c r="B450" i="3"/>
  <c r="H450" i="3" s="1"/>
  <c r="A450" i="3"/>
  <c r="J449" i="3"/>
  <c r="I449" i="3"/>
  <c r="G449" i="3"/>
  <c r="F449" i="3"/>
  <c r="E449" i="3"/>
  <c r="D449" i="3"/>
  <c r="C449" i="3"/>
  <c r="B449" i="3"/>
  <c r="H449" i="3" s="1"/>
  <c r="A449" i="3"/>
  <c r="I448" i="3"/>
  <c r="H448" i="3"/>
  <c r="G448" i="3"/>
  <c r="J448" i="3" s="1"/>
  <c r="F448" i="3"/>
  <c r="E448" i="3"/>
  <c r="D448" i="3"/>
  <c r="C448" i="3"/>
  <c r="B448" i="3"/>
  <c r="A448" i="3"/>
  <c r="I447" i="3"/>
  <c r="G447" i="3"/>
  <c r="J447" i="3" s="1"/>
  <c r="F447" i="3"/>
  <c r="E447" i="3"/>
  <c r="D447" i="3"/>
  <c r="C447" i="3"/>
  <c r="B447" i="3"/>
  <c r="H447" i="3" s="1"/>
  <c r="A447" i="3"/>
  <c r="H446" i="3"/>
  <c r="G446" i="3"/>
  <c r="I446" i="3" s="1"/>
  <c r="F446" i="3"/>
  <c r="E446" i="3"/>
  <c r="D446" i="3"/>
  <c r="C446" i="3"/>
  <c r="B446" i="3"/>
  <c r="A446" i="3"/>
  <c r="I445" i="3"/>
  <c r="G445" i="3"/>
  <c r="J445" i="3" s="1"/>
  <c r="F445" i="3"/>
  <c r="E445" i="3"/>
  <c r="D445" i="3"/>
  <c r="C445" i="3"/>
  <c r="B445" i="3"/>
  <c r="H445" i="3" s="1"/>
  <c r="A445" i="3"/>
  <c r="G444" i="3"/>
  <c r="F444" i="3"/>
  <c r="E444" i="3"/>
  <c r="D444" i="3"/>
  <c r="C444" i="3"/>
  <c r="B444" i="3"/>
  <c r="H444" i="3" s="1"/>
  <c r="A444" i="3"/>
  <c r="J443" i="3"/>
  <c r="I443" i="3"/>
  <c r="H443" i="3"/>
  <c r="G443" i="3"/>
  <c r="F443" i="3"/>
  <c r="E443" i="3"/>
  <c r="D443" i="3"/>
  <c r="C443" i="3"/>
  <c r="B443" i="3"/>
  <c r="A443" i="3"/>
  <c r="G442" i="3"/>
  <c r="F442" i="3"/>
  <c r="E442" i="3"/>
  <c r="D442" i="3"/>
  <c r="C442" i="3"/>
  <c r="B442" i="3"/>
  <c r="H442" i="3" s="1"/>
  <c r="A442" i="3"/>
  <c r="J441" i="3"/>
  <c r="I441" i="3"/>
  <c r="G441" i="3"/>
  <c r="F441" i="3"/>
  <c r="E441" i="3"/>
  <c r="D441" i="3"/>
  <c r="C441" i="3"/>
  <c r="B441" i="3"/>
  <c r="H441" i="3" s="1"/>
  <c r="A441" i="3"/>
  <c r="I440" i="3"/>
  <c r="H440" i="3"/>
  <c r="G440" i="3"/>
  <c r="J440" i="3" s="1"/>
  <c r="F440" i="3"/>
  <c r="E440" i="3"/>
  <c r="D440" i="3"/>
  <c r="C440" i="3"/>
  <c r="B440" i="3"/>
  <c r="A440" i="3"/>
  <c r="I439" i="3"/>
  <c r="G439" i="3"/>
  <c r="J439" i="3" s="1"/>
  <c r="F439" i="3"/>
  <c r="E439" i="3"/>
  <c r="D439" i="3"/>
  <c r="C439" i="3"/>
  <c r="B439" i="3"/>
  <c r="H439" i="3" s="1"/>
  <c r="A439" i="3"/>
  <c r="H438" i="3"/>
  <c r="G438" i="3"/>
  <c r="I438" i="3" s="1"/>
  <c r="F438" i="3"/>
  <c r="E438" i="3"/>
  <c r="D438" i="3"/>
  <c r="C438" i="3"/>
  <c r="B438" i="3"/>
  <c r="A438" i="3"/>
  <c r="I437" i="3"/>
  <c r="G437" i="3"/>
  <c r="J437" i="3" s="1"/>
  <c r="F437" i="3"/>
  <c r="E437" i="3"/>
  <c r="D437" i="3"/>
  <c r="C437" i="3"/>
  <c r="B437" i="3"/>
  <c r="H437" i="3" s="1"/>
  <c r="A437" i="3"/>
  <c r="G436" i="3"/>
  <c r="F436" i="3"/>
  <c r="E436" i="3"/>
  <c r="D436" i="3"/>
  <c r="C436" i="3"/>
  <c r="B436" i="3"/>
  <c r="H436" i="3" s="1"/>
  <c r="A436" i="3"/>
  <c r="J435" i="3"/>
  <c r="I435" i="3"/>
  <c r="H435" i="3"/>
  <c r="G435" i="3"/>
  <c r="F435" i="3"/>
  <c r="E435" i="3"/>
  <c r="D435" i="3"/>
  <c r="C435" i="3"/>
  <c r="B435" i="3"/>
  <c r="A435" i="3"/>
  <c r="G434" i="3"/>
  <c r="F434" i="3"/>
  <c r="E434" i="3"/>
  <c r="D434" i="3"/>
  <c r="C434" i="3"/>
  <c r="B434" i="3"/>
  <c r="H434" i="3" s="1"/>
  <c r="A434" i="3"/>
  <c r="J433" i="3"/>
  <c r="I433" i="3"/>
  <c r="G433" i="3"/>
  <c r="F433" i="3"/>
  <c r="E433" i="3"/>
  <c r="D433" i="3"/>
  <c r="C433" i="3"/>
  <c r="B433" i="3"/>
  <c r="H433" i="3" s="1"/>
  <c r="A433" i="3"/>
  <c r="I432" i="3"/>
  <c r="H432" i="3"/>
  <c r="G432" i="3"/>
  <c r="J432" i="3" s="1"/>
  <c r="F432" i="3"/>
  <c r="E432" i="3"/>
  <c r="D432" i="3"/>
  <c r="C432" i="3"/>
  <c r="B432" i="3"/>
  <c r="A432" i="3"/>
  <c r="I431" i="3"/>
  <c r="G431" i="3"/>
  <c r="J431" i="3" s="1"/>
  <c r="F431" i="3"/>
  <c r="E431" i="3"/>
  <c r="D431" i="3"/>
  <c r="C431" i="3"/>
  <c r="B431" i="3"/>
  <c r="H431" i="3" s="1"/>
  <c r="A431" i="3"/>
  <c r="H430" i="3"/>
  <c r="G430" i="3"/>
  <c r="I430" i="3" s="1"/>
  <c r="F430" i="3"/>
  <c r="E430" i="3"/>
  <c r="D430" i="3"/>
  <c r="C430" i="3"/>
  <c r="B430" i="3"/>
  <c r="A430" i="3"/>
  <c r="I429" i="3"/>
  <c r="G429" i="3"/>
  <c r="J429" i="3" s="1"/>
  <c r="F429" i="3"/>
  <c r="E429" i="3"/>
  <c r="D429" i="3"/>
  <c r="C429" i="3"/>
  <c r="B429" i="3"/>
  <c r="H429" i="3" s="1"/>
  <c r="A429" i="3"/>
  <c r="G428" i="3"/>
  <c r="F428" i="3"/>
  <c r="E428" i="3"/>
  <c r="D428" i="3"/>
  <c r="C428" i="3"/>
  <c r="B428" i="3"/>
  <c r="H428" i="3" s="1"/>
  <c r="A428" i="3"/>
  <c r="J427" i="3"/>
  <c r="I427" i="3"/>
  <c r="H427" i="3"/>
  <c r="G427" i="3"/>
  <c r="F427" i="3"/>
  <c r="E427" i="3"/>
  <c r="D427" i="3"/>
  <c r="C427" i="3"/>
  <c r="B427" i="3"/>
  <c r="A427" i="3"/>
  <c r="G426" i="3"/>
  <c r="F426" i="3"/>
  <c r="E426" i="3"/>
  <c r="D426" i="3"/>
  <c r="C426" i="3"/>
  <c r="B426" i="3"/>
  <c r="H426" i="3" s="1"/>
  <c r="A426" i="3"/>
  <c r="J425" i="3"/>
  <c r="I425" i="3"/>
  <c r="G425" i="3"/>
  <c r="F425" i="3"/>
  <c r="E425" i="3"/>
  <c r="D425" i="3"/>
  <c r="C425" i="3"/>
  <c r="B425" i="3"/>
  <c r="H425" i="3" s="1"/>
  <c r="A425" i="3"/>
  <c r="I424" i="3"/>
  <c r="H424" i="3"/>
  <c r="G424" i="3"/>
  <c r="J424" i="3" s="1"/>
  <c r="F424" i="3"/>
  <c r="E424" i="3"/>
  <c r="D424" i="3"/>
  <c r="C424" i="3"/>
  <c r="B424" i="3"/>
  <c r="A424" i="3"/>
  <c r="I423" i="3"/>
  <c r="G423" i="3"/>
  <c r="J423" i="3" s="1"/>
  <c r="F423" i="3"/>
  <c r="E423" i="3"/>
  <c r="D423" i="3"/>
  <c r="C423" i="3"/>
  <c r="B423" i="3"/>
  <c r="H423" i="3" s="1"/>
  <c r="A423" i="3"/>
  <c r="J422" i="3"/>
  <c r="H422" i="3"/>
  <c r="G422" i="3"/>
  <c r="I422" i="3" s="1"/>
  <c r="F422" i="3"/>
  <c r="E422" i="3"/>
  <c r="D422" i="3"/>
  <c r="C422" i="3"/>
  <c r="B422" i="3"/>
  <c r="A422" i="3"/>
  <c r="I421" i="3"/>
  <c r="G421" i="3"/>
  <c r="J421" i="3" s="1"/>
  <c r="F421" i="3"/>
  <c r="E421" i="3"/>
  <c r="D421" i="3"/>
  <c r="C421" i="3"/>
  <c r="B421" i="3"/>
  <c r="H421" i="3" s="1"/>
  <c r="A421" i="3"/>
  <c r="G420" i="3"/>
  <c r="F420" i="3"/>
  <c r="E420" i="3"/>
  <c r="D420" i="3"/>
  <c r="C420" i="3"/>
  <c r="B420" i="3"/>
  <c r="H420" i="3" s="1"/>
  <c r="A420" i="3"/>
  <c r="J419" i="3"/>
  <c r="I419" i="3"/>
  <c r="H419" i="3"/>
  <c r="G419" i="3"/>
  <c r="F419" i="3"/>
  <c r="E419" i="3"/>
  <c r="D419" i="3"/>
  <c r="C419" i="3"/>
  <c r="B419" i="3"/>
  <c r="A419" i="3"/>
  <c r="G418" i="3"/>
  <c r="F418" i="3"/>
  <c r="E418" i="3"/>
  <c r="D418" i="3"/>
  <c r="C418" i="3"/>
  <c r="B418" i="3"/>
  <c r="H418" i="3" s="1"/>
  <c r="A418" i="3"/>
  <c r="J417" i="3"/>
  <c r="I417" i="3"/>
  <c r="G417" i="3"/>
  <c r="F417" i="3"/>
  <c r="E417" i="3"/>
  <c r="D417" i="3"/>
  <c r="C417" i="3"/>
  <c r="B417" i="3"/>
  <c r="H417" i="3" s="1"/>
  <c r="A417" i="3"/>
  <c r="I416" i="3"/>
  <c r="H416" i="3"/>
  <c r="G416" i="3"/>
  <c r="J416" i="3" s="1"/>
  <c r="F416" i="3"/>
  <c r="E416" i="3"/>
  <c r="D416" i="3"/>
  <c r="C416" i="3"/>
  <c r="B416" i="3"/>
  <c r="A416" i="3"/>
  <c r="I415" i="3"/>
  <c r="G415" i="3"/>
  <c r="J415" i="3" s="1"/>
  <c r="F415" i="3"/>
  <c r="E415" i="3"/>
  <c r="D415" i="3"/>
  <c r="C415" i="3"/>
  <c r="B415" i="3"/>
  <c r="H415" i="3" s="1"/>
  <c r="A415" i="3"/>
  <c r="H414" i="3"/>
  <c r="G414" i="3"/>
  <c r="I414" i="3" s="1"/>
  <c r="F414" i="3"/>
  <c r="E414" i="3"/>
  <c r="D414" i="3"/>
  <c r="C414" i="3"/>
  <c r="B414" i="3"/>
  <c r="A414" i="3"/>
  <c r="I413" i="3"/>
  <c r="G413" i="3"/>
  <c r="J413" i="3" s="1"/>
  <c r="F413" i="3"/>
  <c r="E413" i="3"/>
  <c r="D413" i="3"/>
  <c r="C413" i="3"/>
  <c r="B413" i="3"/>
  <c r="H413" i="3" s="1"/>
  <c r="A413" i="3"/>
  <c r="G412" i="3"/>
  <c r="F412" i="3"/>
  <c r="E412" i="3"/>
  <c r="D412" i="3"/>
  <c r="C412" i="3"/>
  <c r="B412" i="3"/>
  <c r="H412" i="3" s="1"/>
  <c r="A412" i="3"/>
  <c r="J411" i="3"/>
  <c r="I411" i="3"/>
  <c r="H411" i="3"/>
  <c r="G411" i="3"/>
  <c r="F411" i="3"/>
  <c r="E411" i="3"/>
  <c r="D411" i="3"/>
  <c r="C411" i="3"/>
  <c r="B411" i="3"/>
  <c r="A411" i="3"/>
  <c r="G410" i="3"/>
  <c r="F410" i="3"/>
  <c r="E410" i="3"/>
  <c r="D410" i="3"/>
  <c r="C410" i="3"/>
  <c r="B410" i="3"/>
  <c r="H410" i="3" s="1"/>
  <c r="A410" i="3"/>
  <c r="J409" i="3"/>
  <c r="I409" i="3"/>
  <c r="G409" i="3"/>
  <c r="F409" i="3"/>
  <c r="E409" i="3"/>
  <c r="D409" i="3"/>
  <c r="C409" i="3"/>
  <c r="B409" i="3"/>
  <c r="H409" i="3" s="1"/>
  <c r="A409" i="3"/>
  <c r="I408" i="3"/>
  <c r="H408" i="3"/>
  <c r="G408" i="3"/>
  <c r="J408" i="3" s="1"/>
  <c r="F408" i="3"/>
  <c r="E408" i="3"/>
  <c r="D408" i="3"/>
  <c r="C408" i="3"/>
  <c r="B408" i="3"/>
  <c r="A408" i="3"/>
  <c r="I407" i="3"/>
  <c r="G407" i="3"/>
  <c r="J407" i="3" s="1"/>
  <c r="F407" i="3"/>
  <c r="E407" i="3"/>
  <c r="D407" i="3"/>
  <c r="C407" i="3"/>
  <c r="B407" i="3"/>
  <c r="H407" i="3" s="1"/>
  <c r="A407" i="3"/>
  <c r="H406" i="3"/>
  <c r="G406" i="3"/>
  <c r="I406" i="3" s="1"/>
  <c r="F406" i="3"/>
  <c r="E406" i="3"/>
  <c r="D406" i="3"/>
  <c r="C406" i="3"/>
  <c r="B406" i="3"/>
  <c r="A406" i="3"/>
  <c r="I405" i="3"/>
  <c r="G405" i="3"/>
  <c r="J405" i="3" s="1"/>
  <c r="F405" i="3"/>
  <c r="E405" i="3"/>
  <c r="D405" i="3"/>
  <c r="C405" i="3"/>
  <c r="B405" i="3"/>
  <c r="H405" i="3" s="1"/>
  <c r="A405" i="3"/>
  <c r="G404" i="3"/>
  <c r="F404" i="3"/>
  <c r="E404" i="3"/>
  <c r="D404" i="3"/>
  <c r="C404" i="3"/>
  <c r="B404" i="3"/>
  <c r="H404" i="3" s="1"/>
  <c r="A404" i="3"/>
  <c r="J403" i="3"/>
  <c r="I403" i="3"/>
  <c r="H403" i="3"/>
  <c r="G403" i="3"/>
  <c r="F403" i="3"/>
  <c r="E403" i="3"/>
  <c r="D403" i="3"/>
  <c r="C403" i="3"/>
  <c r="B403" i="3"/>
  <c r="A403" i="3"/>
  <c r="G402" i="3"/>
  <c r="F402" i="3"/>
  <c r="E402" i="3"/>
  <c r="D402" i="3"/>
  <c r="C402" i="3"/>
  <c r="B402" i="3"/>
  <c r="H402" i="3" s="1"/>
  <c r="A402" i="3"/>
  <c r="J401" i="3"/>
  <c r="I401" i="3"/>
  <c r="G401" i="3"/>
  <c r="F401" i="3"/>
  <c r="E401" i="3"/>
  <c r="D401" i="3"/>
  <c r="C401" i="3"/>
  <c r="B401" i="3"/>
  <c r="H401" i="3" s="1"/>
  <c r="A401" i="3"/>
  <c r="I400" i="3"/>
  <c r="H400" i="3"/>
  <c r="G400" i="3"/>
  <c r="J400" i="3" s="1"/>
  <c r="F400" i="3"/>
  <c r="E400" i="3"/>
  <c r="D400" i="3"/>
  <c r="C400" i="3"/>
  <c r="B400" i="3"/>
  <c r="A400" i="3"/>
  <c r="I399" i="3"/>
  <c r="G399" i="3"/>
  <c r="J399" i="3" s="1"/>
  <c r="F399" i="3"/>
  <c r="E399" i="3"/>
  <c r="D399" i="3"/>
  <c r="C399" i="3"/>
  <c r="B399" i="3"/>
  <c r="H399" i="3" s="1"/>
  <c r="A399" i="3"/>
  <c r="H398" i="3"/>
  <c r="G398" i="3"/>
  <c r="I398" i="3" s="1"/>
  <c r="F398" i="3"/>
  <c r="E398" i="3"/>
  <c r="D398" i="3"/>
  <c r="C398" i="3"/>
  <c r="B398" i="3"/>
  <c r="A398" i="3"/>
  <c r="G397" i="3"/>
  <c r="J397" i="3" s="1"/>
  <c r="F397" i="3"/>
  <c r="E397" i="3"/>
  <c r="D397" i="3"/>
  <c r="C397" i="3"/>
  <c r="B397" i="3"/>
  <c r="H397" i="3" s="1"/>
  <c r="A397" i="3"/>
  <c r="G396" i="3"/>
  <c r="F396" i="3"/>
  <c r="E396" i="3"/>
  <c r="D396" i="3"/>
  <c r="C396" i="3"/>
  <c r="B396" i="3"/>
  <c r="H396" i="3" s="1"/>
  <c r="A396" i="3"/>
  <c r="J395" i="3"/>
  <c r="I395" i="3"/>
  <c r="H395" i="3"/>
  <c r="G395" i="3"/>
  <c r="F395" i="3"/>
  <c r="E395" i="3"/>
  <c r="D395" i="3"/>
  <c r="C395" i="3"/>
  <c r="B395" i="3"/>
  <c r="A395" i="3"/>
  <c r="G394" i="3"/>
  <c r="F394" i="3"/>
  <c r="E394" i="3"/>
  <c r="D394" i="3"/>
  <c r="C394" i="3"/>
  <c r="B394" i="3"/>
  <c r="H394" i="3" s="1"/>
  <c r="A394" i="3"/>
  <c r="J393" i="3"/>
  <c r="I393" i="3"/>
  <c r="G393" i="3"/>
  <c r="F393" i="3"/>
  <c r="E393" i="3"/>
  <c r="D393" i="3"/>
  <c r="C393" i="3"/>
  <c r="B393" i="3"/>
  <c r="H393" i="3" s="1"/>
  <c r="A393" i="3"/>
  <c r="I392" i="3"/>
  <c r="H392" i="3"/>
  <c r="G392" i="3"/>
  <c r="J392" i="3" s="1"/>
  <c r="F392" i="3"/>
  <c r="E392" i="3"/>
  <c r="D392" i="3"/>
  <c r="C392" i="3"/>
  <c r="B392" i="3"/>
  <c r="A392" i="3"/>
  <c r="I391" i="3"/>
  <c r="G391" i="3"/>
  <c r="J391" i="3" s="1"/>
  <c r="F391" i="3"/>
  <c r="E391" i="3"/>
  <c r="D391" i="3"/>
  <c r="C391" i="3"/>
  <c r="B391" i="3"/>
  <c r="H391" i="3" s="1"/>
  <c r="A391" i="3"/>
  <c r="J390" i="3"/>
  <c r="H390" i="3"/>
  <c r="G390" i="3"/>
  <c r="I390" i="3" s="1"/>
  <c r="F390" i="3"/>
  <c r="E390" i="3"/>
  <c r="D390" i="3"/>
  <c r="C390" i="3"/>
  <c r="B390" i="3"/>
  <c r="A390" i="3"/>
  <c r="I389" i="3"/>
  <c r="G389" i="3"/>
  <c r="J389" i="3" s="1"/>
  <c r="F389" i="3"/>
  <c r="E389" i="3"/>
  <c r="D389" i="3"/>
  <c r="C389" i="3"/>
  <c r="B389" i="3"/>
  <c r="H389" i="3" s="1"/>
  <c r="A389" i="3"/>
  <c r="G388" i="3"/>
  <c r="F388" i="3"/>
  <c r="E388" i="3"/>
  <c r="D388" i="3"/>
  <c r="C388" i="3"/>
  <c r="B388" i="3"/>
  <c r="H388" i="3" s="1"/>
  <c r="A388" i="3"/>
  <c r="J387" i="3"/>
  <c r="I387" i="3"/>
  <c r="H387" i="3"/>
  <c r="G387" i="3"/>
  <c r="F387" i="3"/>
  <c r="E387" i="3"/>
  <c r="D387" i="3"/>
  <c r="C387" i="3"/>
  <c r="B387" i="3"/>
  <c r="A387" i="3"/>
  <c r="G386" i="3"/>
  <c r="F386" i="3"/>
  <c r="E386" i="3"/>
  <c r="D386" i="3"/>
  <c r="C386" i="3"/>
  <c r="B386" i="3"/>
  <c r="H386" i="3" s="1"/>
  <c r="A386" i="3"/>
  <c r="J385" i="3"/>
  <c r="I385" i="3"/>
  <c r="G385" i="3"/>
  <c r="F385" i="3"/>
  <c r="E385" i="3"/>
  <c r="D385" i="3"/>
  <c r="C385" i="3"/>
  <c r="B385" i="3"/>
  <c r="H385" i="3" s="1"/>
  <c r="A385" i="3"/>
  <c r="H384" i="3"/>
  <c r="G384" i="3"/>
  <c r="J384" i="3" s="1"/>
  <c r="F384" i="3"/>
  <c r="E384" i="3"/>
  <c r="D384" i="3"/>
  <c r="C384" i="3"/>
  <c r="B384" i="3"/>
  <c r="A384" i="3"/>
  <c r="G383" i="3"/>
  <c r="J383" i="3" s="1"/>
  <c r="F383" i="3"/>
  <c r="E383" i="3"/>
  <c r="D383" i="3"/>
  <c r="C383" i="3"/>
  <c r="B383" i="3"/>
  <c r="H383" i="3" s="1"/>
  <c r="A383" i="3"/>
  <c r="J382" i="3"/>
  <c r="H382" i="3"/>
  <c r="G382" i="3"/>
  <c r="I382" i="3" s="1"/>
  <c r="F382" i="3"/>
  <c r="E382" i="3"/>
  <c r="D382" i="3"/>
  <c r="C382" i="3"/>
  <c r="B382" i="3"/>
  <c r="A382" i="3"/>
  <c r="I381" i="3"/>
  <c r="G381" i="3"/>
  <c r="J381" i="3" s="1"/>
  <c r="F381" i="3"/>
  <c r="E381" i="3"/>
  <c r="D381" i="3"/>
  <c r="C381" i="3"/>
  <c r="B381" i="3"/>
  <c r="H381" i="3" s="1"/>
  <c r="A381" i="3"/>
  <c r="G380" i="3"/>
  <c r="F380" i="3"/>
  <c r="E380" i="3"/>
  <c r="D380" i="3"/>
  <c r="C380" i="3"/>
  <c r="B380" i="3"/>
  <c r="H380" i="3" s="1"/>
  <c r="A380" i="3"/>
  <c r="J379" i="3"/>
  <c r="I379" i="3"/>
  <c r="H379" i="3"/>
  <c r="G379" i="3"/>
  <c r="F379" i="3"/>
  <c r="E379" i="3"/>
  <c r="D379" i="3"/>
  <c r="C379" i="3"/>
  <c r="B379" i="3"/>
  <c r="A379" i="3"/>
  <c r="G378" i="3"/>
  <c r="J378" i="3" s="1"/>
  <c r="F378" i="3"/>
  <c r="E378" i="3"/>
  <c r="D378" i="3"/>
  <c r="C378" i="3"/>
  <c r="B378" i="3"/>
  <c r="H378" i="3" s="1"/>
  <c r="A378" i="3"/>
  <c r="J377" i="3"/>
  <c r="I377" i="3"/>
  <c r="G377" i="3"/>
  <c r="B10" i="11" s="1"/>
  <c r="F377" i="3"/>
  <c r="E377" i="3"/>
  <c r="D377" i="3"/>
  <c r="C377" i="3"/>
  <c r="B377" i="3"/>
  <c r="H377" i="3" s="1"/>
  <c r="A377" i="3"/>
  <c r="H376" i="3"/>
  <c r="G376" i="3"/>
  <c r="J376" i="3" s="1"/>
  <c r="F376" i="3"/>
  <c r="E376" i="3"/>
  <c r="D376" i="3"/>
  <c r="C376" i="3"/>
  <c r="B376" i="3"/>
  <c r="A376" i="3"/>
  <c r="I375" i="3"/>
  <c r="G375" i="3"/>
  <c r="J375" i="3" s="1"/>
  <c r="F375" i="3"/>
  <c r="E375" i="3"/>
  <c r="D375" i="3"/>
  <c r="C375" i="3"/>
  <c r="B375" i="3"/>
  <c r="H375" i="3" s="1"/>
  <c r="A375" i="3"/>
  <c r="H374" i="3"/>
  <c r="G374" i="3"/>
  <c r="I374" i="3" s="1"/>
  <c r="F374" i="3"/>
  <c r="E374" i="3"/>
  <c r="D374" i="3"/>
  <c r="C374" i="3"/>
  <c r="B374" i="3"/>
  <c r="A374" i="3"/>
  <c r="I373" i="3"/>
  <c r="G373" i="3"/>
  <c r="J373" i="3" s="1"/>
  <c r="F373" i="3"/>
  <c r="E373" i="3"/>
  <c r="D373" i="3"/>
  <c r="C373" i="3"/>
  <c r="B373" i="3"/>
  <c r="H373" i="3" s="1"/>
  <c r="A373" i="3"/>
  <c r="G372" i="3"/>
  <c r="F372" i="3"/>
  <c r="E372" i="3"/>
  <c r="D372" i="3"/>
  <c r="C372" i="3"/>
  <c r="B372" i="3"/>
  <c r="H372" i="3" s="1"/>
  <c r="A372" i="3"/>
  <c r="J371" i="3"/>
  <c r="I371" i="3"/>
  <c r="H371" i="3"/>
  <c r="G371" i="3"/>
  <c r="F371" i="3"/>
  <c r="E371" i="3"/>
  <c r="D371" i="3"/>
  <c r="C371" i="3"/>
  <c r="B371" i="3"/>
  <c r="A371" i="3"/>
  <c r="I370" i="3"/>
  <c r="G370" i="3"/>
  <c r="J370" i="3" s="1"/>
  <c r="F370" i="3"/>
  <c r="E370" i="3"/>
  <c r="D370" i="3"/>
  <c r="C370" i="3"/>
  <c r="B370" i="3"/>
  <c r="H370" i="3" s="1"/>
  <c r="A370" i="3"/>
  <c r="J369" i="3"/>
  <c r="I369" i="3"/>
  <c r="G369" i="3"/>
  <c r="F369" i="3"/>
  <c r="E369" i="3"/>
  <c r="D369" i="3"/>
  <c r="C369" i="3"/>
  <c r="B369" i="3"/>
  <c r="H369" i="3" s="1"/>
  <c r="A369" i="3"/>
  <c r="H368" i="3"/>
  <c r="G368" i="3"/>
  <c r="J368" i="3" s="1"/>
  <c r="F368" i="3"/>
  <c r="E368" i="3"/>
  <c r="D368" i="3"/>
  <c r="C368" i="3"/>
  <c r="B368" i="3"/>
  <c r="A368" i="3"/>
  <c r="I367" i="3"/>
  <c r="G367" i="3"/>
  <c r="J367" i="3" s="1"/>
  <c r="F367" i="3"/>
  <c r="E367" i="3"/>
  <c r="D367" i="3"/>
  <c r="C367" i="3"/>
  <c r="B367" i="3"/>
  <c r="H367" i="3" s="1"/>
  <c r="A367" i="3"/>
  <c r="H366" i="3"/>
  <c r="G366" i="3"/>
  <c r="I366" i="3" s="1"/>
  <c r="F366" i="3"/>
  <c r="E366" i="3"/>
  <c r="D366" i="3"/>
  <c r="C366" i="3"/>
  <c r="B366" i="3"/>
  <c r="A366" i="3"/>
  <c r="I365" i="3"/>
  <c r="G365" i="3"/>
  <c r="J365" i="3" s="1"/>
  <c r="F365" i="3"/>
  <c r="E365" i="3"/>
  <c r="D365" i="3"/>
  <c r="C365" i="3"/>
  <c r="B365" i="3"/>
  <c r="H365" i="3" s="1"/>
  <c r="A365" i="3"/>
  <c r="G364" i="3"/>
  <c r="F364" i="3"/>
  <c r="E364" i="3"/>
  <c r="D364" i="3"/>
  <c r="C364" i="3"/>
  <c r="B364" i="3"/>
  <c r="H364" i="3" s="1"/>
  <c r="A364" i="3"/>
  <c r="J363" i="3"/>
  <c r="I363" i="3"/>
  <c r="H363" i="3"/>
  <c r="G363" i="3"/>
  <c r="F363" i="3"/>
  <c r="E363" i="3"/>
  <c r="D363" i="3"/>
  <c r="C363" i="3"/>
  <c r="B363" i="3"/>
  <c r="A363" i="3"/>
  <c r="I362" i="3"/>
  <c r="G362" i="3"/>
  <c r="J362" i="3" s="1"/>
  <c r="F362" i="3"/>
  <c r="E362" i="3"/>
  <c r="D362" i="3"/>
  <c r="C362" i="3"/>
  <c r="B362" i="3"/>
  <c r="H362" i="3" s="1"/>
  <c r="A362" i="3"/>
  <c r="J361" i="3"/>
  <c r="I361" i="3"/>
  <c r="G361" i="3"/>
  <c r="F361" i="3"/>
  <c r="E361" i="3"/>
  <c r="D361" i="3"/>
  <c r="C361" i="3"/>
  <c r="B361" i="3"/>
  <c r="H361" i="3" s="1"/>
  <c r="A361" i="3"/>
  <c r="H360" i="3"/>
  <c r="G360" i="3"/>
  <c r="J360" i="3" s="1"/>
  <c r="F360" i="3"/>
  <c r="E360" i="3"/>
  <c r="D360" i="3"/>
  <c r="C360" i="3"/>
  <c r="B360" i="3"/>
  <c r="A360" i="3"/>
  <c r="G359" i="3"/>
  <c r="J359" i="3" s="1"/>
  <c r="F359" i="3"/>
  <c r="E359" i="3"/>
  <c r="D359" i="3"/>
  <c r="C359" i="3"/>
  <c r="B359" i="3"/>
  <c r="H359" i="3" s="1"/>
  <c r="A359" i="3"/>
  <c r="J358" i="3"/>
  <c r="H358" i="3"/>
  <c r="G358" i="3"/>
  <c r="I358" i="3" s="1"/>
  <c r="F358" i="3"/>
  <c r="E358" i="3"/>
  <c r="D358" i="3"/>
  <c r="C358" i="3"/>
  <c r="B358" i="3"/>
  <c r="A358" i="3"/>
  <c r="G357" i="3"/>
  <c r="J357" i="3" s="1"/>
  <c r="F357" i="3"/>
  <c r="E357" i="3"/>
  <c r="D357" i="3"/>
  <c r="C357" i="3"/>
  <c r="B357" i="3"/>
  <c r="H357" i="3" s="1"/>
  <c r="A357" i="3"/>
  <c r="G356" i="3"/>
  <c r="F356" i="3"/>
  <c r="E356" i="3"/>
  <c r="D356" i="3"/>
  <c r="C356" i="3"/>
  <c r="B356" i="3"/>
  <c r="H356" i="3" s="1"/>
  <c r="A356" i="3"/>
  <c r="J355" i="3"/>
  <c r="I355" i="3"/>
  <c r="H355" i="3"/>
  <c r="G355" i="3"/>
  <c r="F355" i="3"/>
  <c r="E355" i="3"/>
  <c r="D355" i="3"/>
  <c r="C355" i="3"/>
  <c r="B355" i="3"/>
  <c r="A355" i="3"/>
  <c r="I354" i="3"/>
  <c r="G354" i="3"/>
  <c r="J354" i="3" s="1"/>
  <c r="F354" i="3"/>
  <c r="E354" i="3"/>
  <c r="D354" i="3"/>
  <c r="C354" i="3"/>
  <c r="B354" i="3"/>
  <c r="H354" i="3" s="1"/>
  <c r="A354" i="3"/>
  <c r="J353" i="3"/>
  <c r="I353" i="3"/>
  <c r="G353" i="3"/>
  <c r="F353" i="3"/>
  <c r="E353" i="3"/>
  <c r="D353" i="3"/>
  <c r="C353" i="3"/>
  <c r="B353" i="3"/>
  <c r="H353" i="3" s="1"/>
  <c r="A353" i="3"/>
  <c r="H352" i="3"/>
  <c r="G352" i="3"/>
  <c r="J352" i="3" s="1"/>
  <c r="F352" i="3"/>
  <c r="E352" i="3"/>
  <c r="D352" i="3"/>
  <c r="C352" i="3"/>
  <c r="B352" i="3"/>
  <c r="A352" i="3"/>
  <c r="G351" i="3"/>
  <c r="J351" i="3" s="1"/>
  <c r="F351" i="3"/>
  <c r="E351" i="3"/>
  <c r="D351" i="3"/>
  <c r="C351" i="3"/>
  <c r="B351" i="3"/>
  <c r="H351" i="3" s="1"/>
  <c r="A351" i="3"/>
  <c r="J350" i="3"/>
  <c r="H350" i="3"/>
  <c r="G350" i="3"/>
  <c r="I350" i="3" s="1"/>
  <c r="F350" i="3"/>
  <c r="E350" i="3"/>
  <c r="D350" i="3"/>
  <c r="C350" i="3"/>
  <c r="B350" i="3"/>
  <c r="A350" i="3"/>
  <c r="I349" i="3"/>
  <c r="G349" i="3"/>
  <c r="J349" i="3" s="1"/>
  <c r="F349" i="3"/>
  <c r="E349" i="3"/>
  <c r="D349" i="3"/>
  <c r="C349" i="3"/>
  <c r="B349" i="3"/>
  <c r="H349" i="3" s="1"/>
  <c r="A349" i="3"/>
  <c r="G348" i="3"/>
  <c r="F348" i="3"/>
  <c r="E348" i="3"/>
  <c r="D348" i="3"/>
  <c r="C348" i="3"/>
  <c r="B348" i="3"/>
  <c r="H348" i="3" s="1"/>
  <c r="A348" i="3"/>
  <c r="J347" i="3"/>
  <c r="I347" i="3"/>
  <c r="H347" i="3"/>
  <c r="G347" i="3"/>
  <c r="F347" i="3"/>
  <c r="E347" i="3"/>
  <c r="D347" i="3"/>
  <c r="C347" i="3"/>
  <c r="B347" i="3"/>
  <c r="A347" i="3"/>
  <c r="I346" i="3"/>
  <c r="G346" i="3"/>
  <c r="J346" i="3" s="1"/>
  <c r="F346" i="3"/>
  <c r="E346" i="3"/>
  <c r="D346" i="3"/>
  <c r="C346" i="3"/>
  <c r="B346" i="3"/>
  <c r="H346" i="3" s="1"/>
  <c r="A346" i="3"/>
  <c r="J345" i="3"/>
  <c r="I345" i="3"/>
  <c r="G345" i="3"/>
  <c r="F345" i="3"/>
  <c r="E345" i="3"/>
  <c r="D345" i="3"/>
  <c r="C345" i="3"/>
  <c r="B345" i="3"/>
  <c r="H345" i="3" s="1"/>
  <c r="A345" i="3"/>
  <c r="H344" i="3"/>
  <c r="G344" i="3"/>
  <c r="J344" i="3" s="1"/>
  <c r="F344" i="3"/>
  <c r="E344" i="3"/>
  <c r="D344" i="3"/>
  <c r="C344" i="3"/>
  <c r="B344" i="3"/>
  <c r="A344" i="3"/>
  <c r="G343" i="3"/>
  <c r="J343" i="3" s="1"/>
  <c r="F343" i="3"/>
  <c r="E343" i="3"/>
  <c r="D343" i="3"/>
  <c r="C343" i="3"/>
  <c r="B343" i="3"/>
  <c r="H343" i="3" s="1"/>
  <c r="A343" i="3"/>
  <c r="H342" i="3"/>
  <c r="G342" i="3"/>
  <c r="I342" i="3" s="1"/>
  <c r="F342" i="3"/>
  <c r="E342" i="3"/>
  <c r="D342" i="3"/>
  <c r="C342" i="3"/>
  <c r="B342" i="3"/>
  <c r="A342" i="3"/>
  <c r="I341" i="3"/>
  <c r="G341" i="3"/>
  <c r="J341" i="3" s="1"/>
  <c r="F341" i="3"/>
  <c r="E341" i="3"/>
  <c r="D341" i="3"/>
  <c r="C341" i="3"/>
  <c r="B341" i="3"/>
  <c r="H341" i="3" s="1"/>
  <c r="A341" i="3"/>
  <c r="G340" i="3"/>
  <c r="F340" i="3"/>
  <c r="E340" i="3"/>
  <c r="D340" i="3"/>
  <c r="C340" i="3"/>
  <c r="B340" i="3"/>
  <c r="H340" i="3" s="1"/>
  <c r="A340" i="3"/>
  <c r="J339" i="3"/>
  <c r="I339" i="3"/>
  <c r="H339" i="3"/>
  <c r="G339" i="3"/>
  <c r="F339" i="3"/>
  <c r="E339" i="3"/>
  <c r="D339" i="3"/>
  <c r="C339" i="3"/>
  <c r="B339" i="3"/>
  <c r="A339" i="3"/>
  <c r="I338" i="3"/>
  <c r="G338" i="3"/>
  <c r="J338" i="3" s="1"/>
  <c r="F338" i="3"/>
  <c r="E338" i="3"/>
  <c r="D338" i="3"/>
  <c r="C338" i="3"/>
  <c r="B338" i="3"/>
  <c r="H338" i="3" s="1"/>
  <c r="A338" i="3"/>
  <c r="J337" i="3"/>
  <c r="I337" i="3"/>
  <c r="G337" i="3"/>
  <c r="F337" i="3"/>
  <c r="E337" i="3"/>
  <c r="D337" i="3"/>
  <c r="C337" i="3"/>
  <c r="B337" i="3"/>
  <c r="H337" i="3" s="1"/>
  <c r="A337" i="3"/>
  <c r="H336" i="3"/>
  <c r="G336" i="3"/>
  <c r="J336" i="3" s="1"/>
  <c r="F336" i="3"/>
  <c r="E336" i="3"/>
  <c r="D336" i="3"/>
  <c r="C336" i="3"/>
  <c r="B336" i="3"/>
  <c r="A336" i="3"/>
  <c r="I335" i="3"/>
  <c r="G335" i="3"/>
  <c r="J335" i="3" s="1"/>
  <c r="F335" i="3"/>
  <c r="E335" i="3"/>
  <c r="D335" i="3"/>
  <c r="C335" i="3"/>
  <c r="B335" i="3"/>
  <c r="H335" i="3" s="1"/>
  <c r="A335" i="3"/>
  <c r="H334" i="3"/>
  <c r="G334" i="3"/>
  <c r="I334" i="3" s="1"/>
  <c r="F334" i="3"/>
  <c r="E334" i="3"/>
  <c r="D334" i="3"/>
  <c r="C334" i="3"/>
  <c r="B334" i="3"/>
  <c r="A334" i="3"/>
  <c r="I333" i="3"/>
  <c r="G333" i="3"/>
  <c r="J333" i="3" s="1"/>
  <c r="F333" i="3"/>
  <c r="E333" i="3"/>
  <c r="D333" i="3"/>
  <c r="C333" i="3"/>
  <c r="B333" i="3"/>
  <c r="H333" i="3" s="1"/>
  <c r="A333" i="3"/>
  <c r="G332" i="3"/>
  <c r="F332" i="3"/>
  <c r="E332" i="3"/>
  <c r="D332" i="3"/>
  <c r="C332" i="3"/>
  <c r="B332" i="3"/>
  <c r="H332" i="3" s="1"/>
  <c r="A332" i="3"/>
  <c r="J331" i="3"/>
  <c r="I331" i="3"/>
  <c r="H331" i="3"/>
  <c r="G331" i="3"/>
  <c r="F331" i="3"/>
  <c r="E331" i="3"/>
  <c r="D331" i="3"/>
  <c r="C331" i="3"/>
  <c r="B331" i="3"/>
  <c r="A331" i="3"/>
  <c r="I330" i="3"/>
  <c r="G330" i="3"/>
  <c r="J330" i="3" s="1"/>
  <c r="F330" i="3"/>
  <c r="E330" i="3"/>
  <c r="D330" i="3"/>
  <c r="C330" i="3"/>
  <c r="B330" i="3"/>
  <c r="H330" i="3" s="1"/>
  <c r="A330" i="3"/>
  <c r="J329" i="3"/>
  <c r="I329" i="3"/>
  <c r="G329" i="3"/>
  <c r="F329" i="3"/>
  <c r="E329" i="3"/>
  <c r="D329" i="3"/>
  <c r="C329" i="3"/>
  <c r="B329" i="3"/>
  <c r="H329" i="3" s="1"/>
  <c r="A329" i="3"/>
  <c r="H328" i="3"/>
  <c r="G328" i="3"/>
  <c r="J328" i="3" s="1"/>
  <c r="F328" i="3"/>
  <c r="E328" i="3"/>
  <c r="D328" i="3"/>
  <c r="C328" i="3"/>
  <c r="B328" i="3"/>
  <c r="A328" i="3"/>
  <c r="G327" i="3"/>
  <c r="J327" i="3" s="1"/>
  <c r="F327" i="3"/>
  <c r="E327" i="3"/>
  <c r="D327" i="3"/>
  <c r="C327" i="3"/>
  <c r="B327" i="3"/>
  <c r="H327" i="3" s="1"/>
  <c r="A327" i="3"/>
  <c r="J326" i="3"/>
  <c r="H326" i="3"/>
  <c r="G326" i="3"/>
  <c r="I326" i="3" s="1"/>
  <c r="F326" i="3"/>
  <c r="E326" i="3"/>
  <c r="D326" i="3"/>
  <c r="C326" i="3"/>
  <c r="B326" i="3"/>
  <c r="A326" i="3"/>
  <c r="G325" i="3"/>
  <c r="J325" i="3" s="1"/>
  <c r="F325" i="3"/>
  <c r="E325" i="3"/>
  <c r="D325" i="3"/>
  <c r="C325" i="3"/>
  <c r="B325" i="3"/>
  <c r="H325" i="3" s="1"/>
  <c r="A325" i="3"/>
  <c r="H324" i="3"/>
  <c r="G324" i="3"/>
  <c r="F324" i="3"/>
  <c r="E324" i="3"/>
  <c r="D324" i="3"/>
  <c r="C324" i="3"/>
  <c r="B324" i="3"/>
  <c r="A324" i="3"/>
  <c r="J323" i="3"/>
  <c r="I323" i="3"/>
  <c r="H323" i="3"/>
  <c r="G323" i="3"/>
  <c r="F323" i="3"/>
  <c r="E323" i="3"/>
  <c r="D323" i="3"/>
  <c r="C323" i="3"/>
  <c r="B323" i="3"/>
  <c r="A323" i="3"/>
  <c r="G322" i="3"/>
  <c r="J322" i="3" s="1"/>
  <c r="F322" i="3"/>
  <c r="E322" i="3"/>
  <c r="D322" i="3"/>
  <c r="C322" i="3"/>
  <c r="B322" i="3"/>
  <c r="H322" i="3" s="1"/>
  <c r="A322" i="3"/>
  <c r="J321" i="3"/>
  <c r="I321" i="3"/>
  <c r="G321" i="3"/>
  <c r="F321" i="3"/>
  <c r="E321" i="3"/>
  <c r="D321" i="3"/>
  <c r="C321" i="3"/>
  <c r="B321" i="3"/>
  <c r="H321" i="3" s="1"/>
  <c r="A321" i="3"/>
  <c r="I320" i="3"/>
  <c r="H320" i="3"/>
  <c r="G320" i="3"/>
  <c r="J320" i="3" s="1"/>
  <c r="F320" i="3"/>
  <c r="E320" i="3"/>
  <c r="D320" i="3"/>
  <c r="C320" i="3"/>
  <c r="B320" i="3"/>
  <c r="A320" i="3"/>
  <c r="I319" i="3"/>
  <c r="G319" i="3"/>
  <c r="J319" i="3" s="1"/>
  <c r="F319" i="3"/>
  <c r="E319" i="3"/>
  <c r="D319" i="3"/>
  <c r="C319" i="3"/>
  <c r="B319" i="3"/>
  <c r="H319" i="3" s="1"/>
  <c r="A319" i="3"/>
  <c r="J318" i="3"/>
  <c r="H318" i="3"/>
  <c r="G318" i="3"/>
  <c r="I318" i="3" s="1"/>
  <c r="F318" i="3"/>
  <c r="E318" i="3"/>
  <c r="D318" i="3"/>
  <c r="C318" i="3"/>
  <c r="B318" i="3"/>
  <c r="A318" i="3"/>
  <c r="I317" i="3"/>
  <c r="G317" i="3"/>
  <c r="J317" i="3" s="1"/>
  <c r="F317" i="3"/>
  <c r="E317" i="3"/>
  <c r="D317" i="3"/>
  <c r="C317" i="3"/>
  <c r="B317" i="3"/>
  <c r="H317" i="3" s="1"/>
  <c r="A317" i="3"/>
  <c r="H316" i="3"/>
  <c r="G316" i="3"/>
  <c r="F316" i="3"/>
  <c r="E316" i="3"/>
  <c r="D316" i="3"/>
  <c r="C316" i="3"/>
  <c r="B316" i="3"/>
  <c r="A316" i="3"/>
  <c r="J315" i="3"/>
  <c r="I315" i="3"/>
  <c r="H315" i="3"/>
  <c r="G315" i="3"/>
  <c r="F315" i="3"/>
  <c r="E315" i="3"/>
  <c r="D315" i="3"/>
  <c r="C315" i="3"/>
  <c r="B315" i="3"/>
  <c r="A315" i="3"/>
  <c r="G314" i="3"/>
  <c r="J314" i="3" s="1"/>
  <c r="F314" i="3"/>
  <c r="E314" i="3"/>
  <c r="D314" i="3"/>
  <c r="C314" i="3"/>
  <c r="B314" i="3"/>
  <c r="H314" i="3" s="1"/>
  <c r="A314" i="3"/>
  <c r="J313" i="3"/>
  <c r="I313" i="3"/>
  <c r="G313" i="3"/>
  <c r="F313" i="3"/>
  <c r="E313" i="3"/>
  <c r="D313" i="3"/>
  <c r="C313" i="3"/>
  <c r="B313" i="3"/>
  <c r="H313" i="3" s="1"/>
  <c r="A313" i="3"/>
  <c r="I312" i="3"/>
  <c r="H312" i="3"/>
  <c r="G312" i="3"/>
  <c r="J312" i="3" s="1"/>
  <c r="F312" i="3"/>
  <c r="E312" i="3"/>
  <c r="D312" i="3"/>
  <c r="C312" i="3"/>
  <c r="B312" i="3"/>
  <c r="A312" i="3"/>
  <c r="I311" i="3"/>
  <c r="G311" i="3"/>
  <c r="J311" i="3" s="1"/>
  <c r="F311" i="3"/>
  <c r="E311" i="3"/>
  <c r="D311" i="3"/>
  <c r="C311" i="3"/>
  <c r="B311" i="3"/>
  <c r="H311" i="3" s="1"/>
  <c r="A311" i="3"/>
  <c r="J310" i="3"/>
  <c r="H310" i="3"/>
  <c r="G310" i="3"/>
  <c r="I310" i="3" s="1"/>
  <c r="F310" i="3"/>
  <c r="E310" i="3"/>
  <c r="D310" i="3"/>
  <c r="C310" i="3"/>
  <c r="B310" i="3"/>
  <c r="A310" i="3"/>
  <c r="G309" i="3"/>
  <c r="J309" i="3" s="1"/>
  <c r="F309" i="3"/>
  <c r="E309" i="3"/>
  <c r="D309" i="3"/>
  <c r="C309" i="3"/>
  <c r="B309" i="3"/>
  <c r="H309" i="3" s="1"/>
  <c r="A309" i="3"/>
  <c r="H308" i="3"/>
  <c r="G308" i="3"/>
  <c r="F308" i="3"/>
  <c r="E308" i="3"/>
  <c r="D308" i="3"/>
  <c r="C308" i="3"/>
  <c r="B308" i="3"/>
  <c r="A308" i="3"/>
  <c r="J307" i="3"/>
  <c r="I307" i="3"/>
  <c r="H307" i="3"/>
  <c r="G307" i="3"/>
  <c r="F307" i="3"/>
  <c r="E307" i="3"/>
  <c r="D307" i="3"/>
  <c r="C307" i="3"/>
  <c r="B307" i="3"/>
  <c r="A307" i="3"/>
  <c r="I306" i="3"/>
  <c r="G306" i="3"/>
  <c r="J306" i="3" s="1"/>
  <c r="F306" i="3"/>
  <c r="E306" i="3"/>
  <c r="D306" i="3"/>
  <c r="C306" i="3"/>
  <c r="B306" i="3"/>
  <c r="H306" i="3" s="1"/>
  <c r="A306" i="3"/>
  <c r="J305" i="3"/>
  <c r="I305" i="3"/>
  <c r="G305" i="3"/>
  <c r="F305" i="3"/>
  <c r="E305" i="3"/>
  <c r="D305" i="3"/>
  <c r="C305" i="3"/>
  <c r="B305" i="3"/>
  <c r="H305" i="3" s="1"/>
  <c r="A305" i="3"/>
  <c r="H304" i="3"/>
  <c r="G304" i="3"/>
  <c r="J304" i="3" s="1"/>
  <c r="F304" i="3"/>
  <c r="E304" i="3"/>
  <c r="D304" i="3"/>
  <c r="C304" i="3"/>
  <c r="B304" i="3"/>
  <c r="A304" i="3"/>
  <c r="I303" i="3"/>
  <c r="G303" i="3"/>
  <c r="J303" i="3" s="1"/>
  <c r="F303" i="3"/>
  <c r="E303" i="3"/>
  <c r="D303" i="3"/>
  <c r="C303" i="3"/>
  <c r="B303" i="3"/>
  <c r="H303" i="3" s="1"/>
  <c r="A303" i="3"/>
  <c r="H302" i="3"/>
  <c r="G302" i="3"/>
  <c r="I302" i="3" s="1"/>
  <c r="F302" i="3"/>
  <c r="E302" i="3"/>
  <c r="D302" i="3"/>
  <c r="C302" i="3"/>
  <c r="B302" i="3"/>
  <c r="A302" i="3"/>
  <c r="G301" i="3"/>
  <c r="J301" i="3" s="1"/>
  <c r="F301" i="3"/>
  <c r="E301" i="3"/>
  <c r="D301" i="3"/>
  <c r="C301" i="3"/>
  <c r="B301" i="3"/>
  <c r="H301" i="3" s="1"/>
  <c r="A301" i="3"/>
  <c r="H300" i="3"/>
  <c r="G300" i="3"/>
  <c r="F300" i="3"/>
  <c r="E300" i="3"/>
  <c r="D300" i="3"/>
  <c r="C300" i="3"/>
  <c r="B300" i="3"/>
  <c r="A300" i="3"/>
  <c r="J299" i="3"/>
  <c r="I299" i="3"/>
  <c r="H299" i="3"/>
  <c r="G299" i="3"/>
  <c r="F299" i="3"/>
  <c r="E299" i="3"/>
  <c r="D299" i="3"/>
  <c r="C299" i="3"/>
  <c r="B299" i="3"/>
  <c r="A299" i="3"/>
  <c r="I298" i="3"/>
  <c r="G298" i="3"/>
  <c r="J298" i="3" s="1"/>
  <c r="F298" i="3"/>
  <c r="E298" i="3"/>
  <c r="D298" i="3"/>
  <c r="C298" i="3"/>
  <c r="B298" i="3"/>
  <c r="H298" i="3" s="1"/>
  <c r="A298" i="3"/>
  <c r="J297" i="3"/>
  <c r="I297" i="3"/>
  <c r="G297" i="3"/>
  <c r="F297" i="3"/>
  <c r="E297" i="3"/>
  <c r="D297" i="3"/>
  <c r="C297" i="3"/>
  <c r="B297" i="3"/>
  <c r="H297" i="3" s="1"/>
  <c r="A297" i="3"/>
  <c r="H296" i="3"/>
  <c r="G296" i="3"/>
  <c r="J296" i="3" s="1"/>
  <c r="F296" i="3"/>
  <c r="E296" i="3"/>
  <c r="D296" i="3"/>
  <c r="C296" i="3"/>
  <c r="B296" i="3"/>
  <c r="A296" i="3"/>
  <c r="G295" i="3"/>
  <c r="J295" i="3" s="1"/>
  <c r="F295" i="3"/>
  <c r="E295" i="3"/>
  <c r="D295" i="3"/>
  <c r="C295" i="3"/>
  <c r="B295" i="3"/>
  <c r="H295" i="3" s="1"/>
  <c r="A295" i="3"/>
  <c r="J294" i="3"/>
  <c r="H294" i="3"/>
  <c r="G294" i="3"/>
  <c r="I294" i="3" s="1"/>
  <c r="F294" i="3"/>
  <c r="E294" i="3"/>
  <c r="D294" i="3"/>
  <c r="C294" i="3"/>
  <c r="B294" i="3"/>
  <c r="A294" i="3"/>
  <c r="I293" i="3"/>
  <c r="G293" i="3"/>
  <c r="J293" i="3" s="1"/>
  <c r="F293" i="3"/>
  <c r="E293" i="3"/>
  <c r="D293" i="3"/>
  <c r="C293" i="3"/>
  <c r="B293" i="3"/>
  <c r="H293" i="3" s="1"/>
  <c r="A293" i="3"/>
  <c r="H292" i="3"/>
  <c r="G292" i="3"/>
  <c r="F292" i="3"/>
  <c r="E292" i="3"/>
  <c r="D292" i="3"/>
  <c r="C292" i="3"/>
  <c r="B292" i="3"/>
  <c r="A292" i="3"/>
  <c r="J291" i="3"/>
  <c r="I291" i="3"/>
  <c r="H291" i="3"/>
  <c r="G291" i="3"/>
  <c r="F291" i="3"/>
  <c r="E291" i="3"/>
  <c r="D291" i="3"/>
  <c r="C291" i="3"/>
  <c r="B291" i="3"/>
  <c r="A291" i="3"/>
  <c r="I290" i="3"/>
  <c r="G290" i="3"/>
  <c r="J290" i="3" s="1"/>
  <c r="F290" i="3"/>
  <c r="E290" i="3"/>
  <c r="D290" i="3"/>
  <c r="C290" i="3"/>
  <c r="B290" i="3"/>
  <c r="H290" i="3" s="1"/>
  <c r="A290" i="3"/>
  <c r="J289" i="3"/>
  <c r="I289" i="3"/>
  <c r="G289" i="3"/>
  <c r="F289" i="3"/>
  <c r="E289" i="3"/>
  <c r="D289" i="3"/>
  <c r="C289" i="3"/>
  <c r="B289" i="3"/>
  <c r="H289" i="3" s="1"/>
  <c r="A289" i="3"/>
  <c r="H288" i="3"/>
  <c r="G288" i="3"/>
  <c r="J288" i="3" s="1"/>
  <c r="F288" i="3"/>
  <c r="E288" i="3"/>
  <c r="D288" i="3"/>
  <c r="C288" i="3"/>
  <c r="B288" i="3"/>
  <c r="A288" i="3"/>
  <c r="I287" i="3"/>
  <c r="G287" i="3"/>
  <c r="J287" i="3" s="1"/>
  <c r="F287" i="3"/>
  <c r="E287" i="3"/>
  <c r="D287" i="3"/>
  <c r="C287" i="3"/>
  <c r="B287" i="3"/>
  <c r="H287" i="3" s="1"/>
  <c r="A287" i="3"/>
  <c r="J286" i="3"/>
  <c r="H286" i="3"/>
  <c r="G286" i="3"/>
  <c r="I286" i="3" s="1"/>
  <c r="F286" i="3"/>
  <c r="E286" i="3"/>
  <c r="D286" i="3"/>
  <c r="C286" i="3"/>
  <c r="B286" i="3"/>
  <c r="A286" i="3"/>
  <c r="I285" i="3"/>
  <c r="G285" i="3"/>
  <c r="J285" i="3" s="1"/>
  <c r="F285" i="3"/>
  <c r="E285" i="3"/>
  <c r="D285" i="3"/>
  <c r="C285" i="3"/>
  <c r="B285" i="3"/>
  <c r="H285" i="3" s="1"/>
  <c r="A285" i="3"/>
  <c r="H284" i="3"/>
  <c r="G284" i="3"/>
  <c r="F284" i="3"/>
  <c r="E284" i="3"/>
  <c r="D284" i="3"/>
  <c r="C284" i="3"/>
  <c r="B284" i="3"/>
  <c r="A284" i="3"/>
  <c r="J283" i="3"/>
  <c r="I283" i="3"/>
  <c r="H283" i="3"/>
  <c r="G283" i="3"/>
  <c r="F283" i="3"/>
  <c r="E283" i="3"/>
  <c r="D283" i="3"/>
  <c r="C283" i="3"/>
  <c r="B283" i="3"/>
  <c r="A283" i="3"/>
  <c r="G282" i="3"/>
  <c r="J282" i="3" s="1"/>
  <c r="F282" i="3"/>
  <c r="E282" i="3"/>
  <c r="D282" i="3"/>
  <c r="C282" i="3"/>
  <c r="B282" i="3"/>
  <c r="H282" i="3" s="1"/>
  <c r="A282" i="3"/>
  <c r="J281" i="3"/>
  <c r="I281" i="3"/>
  <c r="G281" i="3"/>
  <c r="F281" i="3"/>
  <c r="E281" i="3"/>
  <c r="D281" i="3"/>
  <c r="C281" i="3"/>
  <c r="B281" i="3"/>
  <c r="H281" i="3" s="1"/>
  <c r="A281" i="3"/>
  <c r="I280" i="3"/>
  <c r="H280" i="3"/>
  <c r="G280" i="3"/>
  <c r="J280" i="3" s="1"/>
  <c r="F280" i="3"/>
  <c r="E280" i="3"/>
  <c r="D280" i="3"/>
  <c r="C280" i="3"/>
  <c r="B280" i="3"/>
  <c r="A280" i="3"/>
  <c r="I279" i="3"/>
  <c r="G279" i="3"/>
  <c r="J279" i="3" s="1"/>
  <c r="F279" i="3"/>
  <c r="E279" i="3"/>
  <c r="D279" i="3"/>
  <c r="C279" i="3"/>
  <c r="B279" i="3"/>
  <c r="H279" i="3" s="1"/>
  <c r="A279" i="3"/>
  <c r="H278" i="3"/>
  <c r="G278" i="3"/>
  <c r="I278" i="3" s="1"/>
  <c r="F278" i="3"/>
  <c r="E278" i="3"/>
  <c r="D278" i="3"/>
  <c r="C278" i="3"/>
  <c r="B278" i="3"/>
  <c r="A278" i="3"/>
  <c r="I277" i="3"/>
  <c r="G277" i="3"/>
  <c r="J277" i="3" s="1"/>
  <c r="F277" i="3"/>
  <c r="E277" i="3"/>
  <c r="D277" i="3"/>
  <c r="C277" i="3"/>
  <c r="B277" i="3"/>
  <c r="H277" i="3" s="1"/>
  <c r="A277" i="3"/>
  <c r="H276" i="3"/>
  <c r="G276" i="3"/>
  <c r="J276" i="3" s="1"/>
  <c r="F276" i="3"/>
  <c r="E276" i="3"/>
  <c r="D276" i="3"/>
  <c r="C276" i="3"/>
  <c r="B276" i="3"/>
  <c r="A276" i="3"/>
  <c r="J275" i="3"/>
  <c r="I275" i="3"/>
  <c r="H275" i="3"/>
  <c r="G275" i="3"/>
  <c r="F275" i="3"/>
  <c r="E275" i="3"/>
  <c r="D275" i="3"/>
  <c r="C275" i="3"/>
  <c r="B275" i="3"/>
  <c r="A275" i="3"/>
  <c r="I274" i="3"/>
  <c r="G274" i="3"/>
  <c r="J274" i="3" s="1"/>
  <c r="F274" i="3"/>
  <c r="E274" i="3"/>
  <c r="D274" i="3"/>
  <c r="C274" i="3"/>
  <c r="B274" i="3"/>
  <c r="H274" i="3" s="1"/>
  <c r="A274" i="3"/>
  <c r="J273" i="3"/>
  <c r="I273" i="3"/>
  <c r="G273" i="3"/>
  <c r="F273" i="3"/>
  <c r="E273" i="3"/>
  <c r="D273" i="3"/>
  <c r="C273" i="3"/>
  <c r="B273" i="3"/>
  <c r="H273" i="3" s="1"/>
  <c r="A273" i="3"/>
  <c r="H272" i="3"/>
  <c r="G272" i="3"/>
  <c r="J272" i="3" s="1"/>
  <c r="F272" i="3"/>
  <c r="E272" i="3"/>
  <c r="D272" i="3"/>
  <c r="C272" i="3"/>
  <c r="B272" i="3"/>
  <c r="A272" i="3"/>
  <c r="G271" i="3"/>
  <c r="J271" i="3" s="1"/>
  <c r="F271" i="3"/>
  <c r="E271" i="3"/>
  <c r="D271" i="3"/>
  <c r="C271" i="3"/>
  <c r="B271" i="3"/>
  <c r="H271" i="3" s="1"/>
  <c r="A271" i="3"/>
  <c r="J270" i="3"/>
  <c r="H270" i="3"/>
  <c r="G270" i="3"/>
  <c r="I270" i="3" s="1"/>
  <c r="F270" i="3"/>
  <c r="E270" i="3"/>
  <c r="D270" i="3"/>
  <c r="C270" i="3"/>
  <c r="B270" i="3"/>
  <c r="A270" i="3"/>
  <c r="I269" i="3"/>
  <c r="G269" i="3"/>
  <c r="J269" i="3" s="1"/>
  <c r="F269" i="3"/>
  <c r="E269" i="3"/>
  <c r="D269" i="3"/>
  <c r="C269" i="3"/>
  <c r="B269" i="3"/>
  <c r="H269" i="3" s="1"/>
  <c r="A269" i="3"/>
  <c r="I268" i="3"/>
  <c r="H268" i="3"/>
  <c r="G268" i="3"/>
  <c r="J268" i="3" s="1"/>
  <c r="F268" i="3"/>
  <c r="E268" i="3"/>
  <c r="D268" i="3"/>
  <c r="C268" i="3"/>
  <c r="B268" i="3"/>
  <c r="A268" i="3"/>
  <c r="J267" i="3"/>
  <c r="I267" i="3"/>
  <c r="H267" i="3"/>
  <c r="G267" i="3"/>
  <c r="F267" i="3"/>
  <c r="E267" i="3"/>
  <c r="D267" i="3"/>
  <c r="C267" i="3"/>
  <c r="B267" i="3"/>
  <c r="A267" i="3"/>
  <c r="G266" i="3"/>
  <c r="J266" i="3" s="1"/>
  <c r="F266" i="3"/>
  <c r="E266" i="3"/>
  <c r="D266" i="3"/>
  <c r="C266" i="3"/>
  <c r="B266" i="3"/>
  <c r="H266" i="3" s="1"/>
  <c r="A266" i="3"/>
  <c r="J265" i="3"/>
  <c r="I265" i="3"/>
  <c r="G265" i="3"/>
  <c r="F265" i="3"/>
  <c r="E265" i="3"/>
  <c r="D265" i="3"/>
  <c r="C265" i="3"/>
  <c r="B265" i="3"/>
  <c r="H265" i="3" s="1"/>
  <c r="A265" i="3"/>
  <c r="I264" i="3"/>
  <c r="H264" i="3"/>
  <c r="G264" i="3"/>
  <c r="J264" i="3" s="1"/>
  <c r="F264" i="3"/>
  <c r="E264" i="3"/>
  <c r="D264" i="3"/>
  <c r="C264" i="3"/>
  <c r="B264" i="3"/>
  <c r="A264" i="3"/>
  <c r="I263" i="3"/>
  <c r="G263" i="3"/>
  <c r="J263" i="3" s="1"/>
  <c r="F263" i="3"/>
  <c r="E263" i="3"/>
  <c r="D263" i="3"/>
  <c r="C263" i="3"/>
  <c r="B263" i="3"/>
  <c r="H263" i="3" s="1"/>
  <c r="A263" i="3"/>
  <c r="J262" i="3"/>
  <c r="H262" i="3"/>
  <c r="G262" i="3"/>
  <c r="I262" i="3" s="1"/>
  <c r="F262" i="3"/>
  <c r="E262" i="3"/>
  <c r="D262" i="3"/>
  <c r="C262" i="3"/>
  <c r="B262" i="3"/>
  <c r="A262" i="3"/>
  <c r="G261" i="3"/>
  <c r="J261" i="3" s="1"/>
  <c r="F261" i="3"/>
  <c r="E261" i="3"/>
  <c r="D261" i="3"/>
  <c r="C261" i="3"/>
  <c r="B261" i="3"/>
  <c r="H261" i="3" s="1"/>
  <c r="A261" i="3"/>
  <c r="H260" i="3"/>
  <c r="G260" i="3"/>
  <c r="J260" i="3" s="1"/>
  <c r="F260" i="3"/>
  <c r="E260" i="3"/>
  <c r="D260" i="3"/>
  <c r="C260" i="3"/>
  <c r="B260" i="3"/>
  <c r="A260" i="3"/>
  <c r="J259" i="3"/>
  <c r="I259" i="3"/>
  <c r="H259" i="3"/>
  <c r="G259" i="3"/>
  <c r="F259" i="3"/>
  <c r="E259" i="3"/>
  <c r="D259" i="3"/>
  <c r="C259" i="3"/>
  <c r="B259" i="3"/>
  <c r="A259" i="3"/>
  <c r="I258" i="3"/>
  <c r="G258" i="3"/>
  <c r="J258" i="3" s="1"/>
  <c r="F258" i="3"/>
  <c r="E258" i="3"/>
  <c r="D258" i="3"/>
  <c r="C258" i="3"/>
  <c r="B258" i="3"/>
  <c r="H258" i="3" s="1"/>
  <c r="A258" i="3"/>
  <c r="J257" i="3"/>
  <c r="I257" i="3"/>
  <c r="G257" i="3"/>
  <c r="F257" i="3"/>
  <c r="E257" i="3"/>
  <c r="D257" i="3"/>
  <c r="C257" i="3"/>
  <c r="B257" i="3"/>
  <c r="H257" i="3" s="1"/>
  <c r="A257" i="3"/>
  <c r="H256" i="3"/>
  <c r="G256" i="3"/>
  <c r="J256" i="3" s="1"/>
  <c r="F256" i="3"/>
  <c r="E256" i="3"/>
  <c r="D256" i="3"/>
  <c r="C256" i="3"/>
  <c r="B256" i="3"/>
  <c r="A256" i="3"/>
  <c r="G255" i="3"/>
  <c r="J255" i="3" s="1"/>
  <c r="F255" i="3"/>
  <c r="E255" i="3"/>
  <c r="D255" i="3"/>
  <c r="C255" i="3"/>
  <c r="B255" i="3"/>
  <c r="H255" i="3" s="1"/>
  <c r="A255" i="3"/>
  <c r="J254" i="3"/>
  <c r="H254" i="3"/>
  <c r="G254" i="3"/>
  <c r="I254" i="3" s="1"/>
  <c r="F254" i="3"/>
  <c r="E254" i="3"/>
  <c r="D254" i="3"/>
  <c r="C254" i="3"/>
  <c r="B254" i="3"/>
  <c r="A254" i="3"/>
  <c r="G253" i="3"/>
  <c r="J253" i="3" s="1"/>
  <c r="F253" i="3"/>
  <c r="E253" i="3"/>
  <c r="D253" i="3"/>
  <c r="C253" i="3"/>
  <c r="B253" i="3"/>
  <c r="H253" i="3" s="1"/>
  <c r="A253" i="3"/>
  <c r="I252" i="3"/>
  <c r="H252" i="3"/>
  <c r="G252" i="3"/>
  <c r="J252" i="3" s="1"/>
  <c r="F252" i="3"/>
  <c r="E252" i="3"/>
  <c r="D252" i="3"/>
  <c r="C252" i="3"/>
  <c r="B252" i="3"/>
  <c r="A252" i="3"/>
  <c r="J251" i="3"/>
  <c r="I251" i="3"/>
  <c r="H251" i="3"/>
  <c r="G251" i="3"/>
  <c r="F251" i="3"/>
  <c r="E251" i="3"/>
  <c r="D251" i="3"/>
  <c r="C251" i="3"/>
  <c r="B251" i="3"/>
  <c r="A251" i="3"/>
  <c r="I250" i="3"/>
  <c r="G250" i="3"/>
  <c r="J250" i="3" s="1"/>
  <c r="F250" i="3"/>
  <c r="E250" i="3"/>
  <c r="D250" i="3"/>
  <c r="C250" i="3"/>
  <c r="B250" i="3"/>
  <c r="H250" i="3" s="1"/>
  <c r="A250" i="3"/>
  <c r="I249" i="3"/>
  <c r="G249" i="3"/>
  <c r="J249" i="3" s="1"/>
  <c r="F249" i="3"/>
  <c r="E249" i="3"/>
  <c r="D249" i="3"/>
  <c r="C249" i="3"/>
  <c r="B249" i="3"/>
  <c r="H249" i="3" s="1"/>
  <c r="A249" i="3"/>
  <c r="I248" i="3"/>
  <c r="H248" i="3"/>
  <c r="G248" i="3"/>
  <c r="J248" i="3" s="1"/>
  <c r="F248" i="3"/>
  <c r="E248" i="3"/>
  <c r="D248" i="3"/>
  <c r="C248" i="3"/>
  <c r="B248" i="3"/>
  <c r="A248" i="3"/>
  <c r="I247" i="3"/>
  <c r="G247" i="3"/>
  <c r="J247" i="3" s="1"/>
  <c r="F247" i="3"/>
  <c r="E247" i="3"/>
  <c r="D247" i="3"/>
  <c r="C247" i="3"/>
  <c r="B247" i="3"/>
  <c r="H247" i="3" s="1"/>
  <c r="A247" i="3"/>
  <c r="J246" i="3"/>
  <c r="H246" i="3"/>
  <c r="G246" i="3"/>
  <c r="I246" i="3" s="1"/>
  <c r="F246" i="3"/>
  <c r="E246" i="3"/>
  <c r="D246" i="3"/>
  <c r="C246" i="3"/>
  <c r="B246" i="3"/>
  <c r="A246" i="3"/>
  <c r="G245" i="3"/>
  <c r="J245" i="3" s="1"/>
  <c r="F245" i="3"/>
  <c r="E245" i="3"/>
  <c r="D245" i="3"/>
  <c r="C245" i="3"/>
  <c r="B245" i="3"/>
  <c r="H245" i="3" s="1"/>
  <c r="A245" i="3"/>
  <c r="H244" i="3"/>
  <c r="G244" i="3"/>
  <c r="J244" i="3" s="1"/>
  <c r="F244" i="3"/>
  <c r="E244" i="3"/>
  <c r="D244" i="3"/>
  <c r="C244" i="3"/>
  <c r="B244" i="3"/>
  <c r="A244" i="3"/>
  <c r="J243" i="3"/>
  <c r="I243" i="3"/>
  <c r="H243" i="3"/>
  <c r="G243" i="3"/>
  <c r="F243" i="3"/>
  <c r="E243" i="3"/>
  <c r="D243" i="3"/>
  <c r="C243" i="3"/>
  <c r="B243" i="3"/>
  <c r="A243" i="3"/>
  <c r="I242" i="3"/>
  <c r="G242" i="3"/>
  <c r="J242" i="3" s="1"/>
  <c r="F242" i="3"/>
  <c r="E242" i="3"/>
  <c r="D242" i="3"/>
  <c r="C242" i="3"/>
  <c r="B242" i="3"/>
  <c r="H242" i="3" s="1"/>
  <c r="A242" i="3"/>
  <c r="G241" i="3"/>
  <c r="J241" i="3" s="1"/>
  <c r="F241" i="3"/>
  <c r="E241" i="3"/>
  <c r="D241" i="3"/>
  <c r="C241" i="3"/>
  <c r="B241" i="3"/>
  <c r="H241" i="3" s="1"/>
  <c r="A241" i="3"/>
  <c r="H240" i="3"/>
  <c r="G240" i="3"/>
  <c r="J240" i="3" s="1"/>
  <c r="F240" i="3"/>
  <c r="E240" i="3"/>
  <c r="D240" i="3"/>
  <c r="C240" i="3"/>
  <c r="B240" i="3"/>
  <c r="A240" i="3"/>
  <c r="I239" i="3"/>
  <c r="G239" i="3"/>
  <c r="J239" i="3" s="1"/>
  <c r="F239" i="3"/>
  <c r="E239" i="3"/>
  <c r="D239" i="3"/>
  <c r="C239" i="3"/>
  <c r="B239" i="3"/>
  <c r="H239" i="3" s="1"/>
  <c r="A239" i="3"/>
  <c r="H238" i="3"/>
  <c r="G238" i="3"/>
  <c r="I238" i="3" s="1"/>
  <c r="F238" i="3"/>
  <c r="E238" i="3"/>
  <c r="D238" i="3"/>
  <c r="C238" i="3"/>
  <c r="B238" i="3"/>
  <c r="A238" i="3"/>
  <c r="I237" i="3"/>
  <c r="G237" i="3"/>
  <c r="J237" i="3" s="1"/>
  <c r="F237" i="3"/>
  <c r="E237" i="3"/>
  <c r="D237" i="3"/>
  <c r="C237" i="3"/>
  <c r="B237" i="3"/>
  <c r="H237" i="3" s="1"/>
  <c r="A237" i="3"/>
  <c r="I236" i="3"/>
  <c r="H236" i="3"/>
  <c r="G236" i="3"/>
  <c r="J236" i="3" s="1"/>
  <c r="F236" i="3"/>
  <c r="E236" i="3"/>
  <c r="D236" i="3"/>
  <c r="C236" i="3"/>
  <c r="B236" i="3"/>
  <c r="A236" i="3"/>
  <c r="H235" i="3"/>
  <c r="G235" i="3"/>
  <c r="J235" i="3" s="1"/>
  <c r="F235" i="3"/>
  <c r="E235" i="3"/>
  <c r="D235" i="3"/>
  <c r="C235" i="3"/>
  <c r="B235" i="3"/>
  <c r="A235" i="3"/>
  <c r="I234" i="3"/>
  <c r="H234" i="3"/>
  <c r="G234" i="3"/>
  <c r="J234" i="3" s="1"/>
  <c r="F234" i="3"/>
  <c r="E234" i="3"/>
  <c r="D234" i="3"/>
  <c r="C234" i="3"/>
  <c r="B234" i="3"/>
  <c r="A234" i="3"/>
  <c r="J233" i="3"/>
  <c r="I233" i="3"/>
  <c r="G233" i="3"/>
  <c r="F233" i="3"/>
  <c r="E233" i="3"/>
  <c r="D233" i="3"/>
  <c r="C233" i="3"/>
  <c r="B233" i="3"/>
  <c r="H233" i="3" s="1"/>
  <c r="A233" i="3"/>
  <c r="H232" i="3"/>
  <c r="G232" i="3"/>
  <c r="J232" i="3" s="1"/>
  <c r="F232" i="3"/>
  <c r="E232" i="3"/>
  <c r="D232" i="3"/>
  <c r="C232" i="3"/>
  <c r="B232" i="3"/>
  <c r="A232" i="3"/>
  <c r="I231" i="3"/>
  <c r="G231" i="3"/>
  <c r="J231" i="3" s="1"/>
  <c r="F231" i="3"/>
  <c r="E231" i="3"/>
  <c r="D231" i="3"/>
  <c r="C231" i="3"/>
  <c r="B231" i="3"/>
  <c r="H231" i="3" s="1"/>
  <c r="A231" i="3"/>
  <c r="I230" i="3"/>
  <c r="H230" i="3"/>
  <c r="G230" i="3"/>
  <c r="J230" i="3" s="1"/>
  <c r="F230" i="3"/>
  <c r="E230" i="3"/>
  <c r="D230" i="3"/>
  <c r="C230" i="3"/>
  <c r="B230" i="3"/>
  <c r="A230" i="3"/>
  <c r="J229" i="3"/>
  <c r="I229" i="3"/>
  <c r="G229" i="3"/>
  <c r="F229" i="3"/>
  <c r="E229" i="3"/>
  <c r="D229" i="3"/>
  <c r="C229" i="3"/>
  <c r="B229" i="3"/>
  <c r="H229" i="3" s="1"/>
  <c r="A229" i="3"/>
  <c r="I228" i="3"/>
  <c r="H228" i="3"/>
  <c r="G228" i="3"/>
  <c r="J228" i="3" s="1"/>
  <c r="F228" i="3"/>
  <c r="E228" i="3"/>
  <c r="D228" i="3"/>
  <c r="C228" i="3"/>
  <c r="B228" i="3"/>
  <c r="A228" i="3"/>
  <c r="I227" i="3"/>
  <c r="H227" i="3"/>
  <c r="G227" i="3"/>
  <c r="J227" i="3" s="1"/>
  <c r="F227" i="3"/>
  <c r="E227" i="3"/>
  <c r="D227" i="3"/>
  <c r="C227" i="3"/>
  <c r="B227" i="3"/>
  <c r="A227" i="3"/>
  <c r="I226" i="3"/>
  <c r="H226" i="3"/>
  <c r="G226" i="3"/>
  <c r="J226" i="3" s="1"/>
  <c r="F226" i="3"/>
  <c r="E226" i="3"/>
  <c r="D226" i="3"/>
  <c r="C226" i="3"/>
  <c r="B226" i="3"/>
  <c r="A226" i="3"/>
  <c r="G225" i="3"/>
  <c r="J225" i="3" s="1"/>
  <c r="F225" i="3"/>
  <c r="E225" i="3"/>
  <c r="D225" i="3"/>
  <c r="C225" i="3"/>
  <c r="B225" i="3"/>
  <c r="H225" i="3" s="1"/>
  <c r="A225" i="3"/>
  <c r="H224" i="3"/>
  <c r="G224" i="3"/>
  <c r="J224" i="3" s="1"/>
  <c r="F224" i="3"/>
  <c r="E224" i="3"/>
  <c r="D224" i="3"/>
  <c r="C224" i="3"/>
  <c r="B224" i="3"/>
  <c r="A224" i="3"/>
  <c r="I223" i="3"/>
  <c r="G223" i="3"/>
  <c r="J223" i="3" s="1"/>
  <c r="F223" i="3"/>
  <c r="E223" i="3"/>
  <c r="D223" i="3"/>
  <c r="C223" i="3"/>
  <c r="B223" i="3"/>
  <c r="H223" i="3" s="1"/>
  <c r="A223" i="3"/>
  <c r="I222" i="3"/>
  <c r="H222" i="3"/>
  <c r="G222" i="3"/>
  <c r="J222" i="3" s="1"/>
  <c r="F222" i="3"/>
  <c r="E222" i="3"/>
  <c r="D222" i="3"/>
  <c r="C222" i="3"/>
  <c r="B222" i="3"/>
  <c r="A222" i="3"/>
  <c r="J221" i="3"/>
  <c r="I221" i="3"/>
  <c r="G221" i="3"/>
  <c r="F221" i="3"/>
  <c r="E221" i="3"/>
  <c r="D221" i="3"/>
  <c r="C221" i="3"/>
  <c r="B221" i="3"/>
  <c r="H221" i="3" s="1"/>
  <c r="A221" i="3"/>
  <c r="H220" i="3"/>
  <c r="G220" i="3"/>
  <c r="J220" i="3" s="1"/>
  <c r="F220" i="3"/>
  <c r="E220" i="3"/>
  <c r="D220" i="3"/>
  <c r="C220" i="3"/>
  <c r="B220" i="3"/>
  <c r="A220" i="3"/>
  <c r="J219" i="3"/>
  <c r="I219" i="3"/>
  <c r="H219" i="3"/>
  <c r="G219" i="3"/>
  <c r="F219" i="3"/>
  <c r="E219" i="3"/>
  <c r="D219" i="3"/>
  <c r="C219" i="3"/>
  <c r="B219" i="3"/>
  <c r="A219" i="3"/>
  <c r="G218" i="3"/>
  <c r="J218" i="3" s="1"/>
  <c r="F218" i="3"/>
  <c r="E218" i="3"/>
  <c r="D218" i="3"/>
  <c r="C218" i="3"/>
  <c r="B218" i="3"/>
  <c r="H218" i="3" s="1"/>
  <c r="A218" i="3"/>
  <c r="G217" i="3"/>
  <c r="J217" i="3" s="1"/>
  <c r="F217" i="3"/>
  <c r="E217" i="3"/>
  <c r="D217" i="3"/>
  <c r="C217" i="3"/>
  <c r="B217" i="3"/>
  <c r="H217" i="3" s="1"/>
  <c r="A217" i="3"/>
  <c r="I216" i="3"/>
  <c r="H216" i="3"/>
  <c r="G216" i="3"/>
  <c r="J216" i="3" s="1"/>
  <c r="F216" i="3"/>
  <c r="E216" i="3"/>
  <c r="D216" i="3"/>
  <c r="C216" i="3"/>
  <c r="B216" i="3"/>
  <c r="A216" i="3"/>
  <c r="I215" i="3"/>
  <c r="G215" i="3"/>
  <c r="J215" i="3" s="1"/>
  <c r="F215" i="3"/>
  <c r="E215" i="3"/>
  <c r="D215" i="3"/>
  <c r="C215" i="3"/>
  <c r="B215" i="3"/>
  <c r="H215" i="3" s="1"/>
  <c r="A215" i="3"/>
  <c r="J214" i="3"/>
  <c r="I214" i="3"/>
  <c r="H214" i="3"/>
  <c r="G214" i="3"/>
  <c r="F214" i="3"/>
  <c r="E214" i="3"/>
  <c r="D214" i="3"/>
  <c r="C214" i="3"/>
  <c r="B214" i="3"/>
  <c r="A214" i="3"/>
  <c r="G213" i="3"/>
  <c r="J213" i="3" s="1"/>
  <c r="F213" i="3"/>
  <c r="E213" i="3"/>
  <c r="D213" i="3"/>
  <c r="C213" i="3"/>
  <c r="B213" i="3"/>
  <c r="H213" i="3" s="1"/>
  <c r="A213" i="3"/>
  <c r="H212" i="3"/>
  <c r="G212" i="3"/>
  <c r="J212" i="3" s="1"/>
  <c r="F212" i="3"/>
  <c r="E212" i="3"/>
  <c r="D212" i="3"/>
  <c r="C212" i="3"/>
  <c r="B212" i="3"/>
  <c r="A212" i="3"/>
  <c r="H211" i="3"/>
  <c r="G211" i="3"/>
  <c r="J211" i="3" s="1"/>
  <c r="F211" i="3"/>
  <c r="E211" i="3"/>
  <c r="D211" i="3"/>
  <c r="C211" i="3"/>
  <c r="B211" i="3"/>
  <c r="A211" i="3"/>
  <c r="G210" i="3"/>
  <c r="J210" i="3" s="1"/>
  <c r="F210" i="3"/>
  <c r="E210" i="3"/>
  <c r="D210" i="3"/>
  <c r="C210" i="3"/>
  <c r="B210" i="3"/>
  <c r="H210" i="3" s="1"/>
  <c r="A210" i="3"/>
  <c r="J209" i="3"/>
  <c r="I209" i="3"/>
  <c r="G209" i="3"/>
  <c r="F209" i="3"/>
  <c r="E209" i="3"/>
  <c r="D209" i="3"/>
  <c r="C209" i="3"/>
  <c r="B209" i="3"/>
  <c r="H209" i="3" s="1"/>
  <c r="A209" i="3"/>
  <c r="I208" i="3"/>
  <c r="H208" i="3"/>
  <c r="G208" i="3"/>
  <c r="J208" i="3" s="1"/>
  <c r="F208" i="3"/>
  <c r="E208" i="3"/>
  <c r="D208" i="3"/>
  <c r="C208" i="3"/>
  <c r="B208" i="3"/>
  <c r="A208" i="3"/>
  <c r="I207" i="3"/>
  <c r="G207" i="3"/>
  <c r="J207" i="3" s="1"/>
  <c r="F207" i="3"/>
  <c r="E207" i="3"/>
  <c r="D207" i="3"/>
  <c r="C207" i="3"/>
  <c r="B207" i="3"/>
  <c r="H207" i="3" s="1"/>
  <c r="A207" i="3"/>
  <c r="H206" i="3"/>
  <c r="G206" i="3"/>
  <c r="J206" i="3" s="1"/>
  <c r="F206" i="3"/>
  <c r="E206" i="3"/>
  <c r="D206" i="3"/>
  <c r="C206" i="3"/>
  <c r="B206" i="3"/>
  <c r="A206" i="3"/>
  <c r="G205" i="3"/>
  <c r="J205" i="3" s="1"/>
  <c r="F205" i="3"/>
  <c r="E205" i="3"/>
  <c r="D205" i="3"/>
  <c r="C205" i="3"/>
  <c r="B205" i="3"/>
  <c r="H205" i="3" s="1"/>
  <c r="A205" i="3"/>
  <c r="I204" i="3"/>
  <c r="H204" i="3"/>
  <c r="G204" i="3"/>
  <c r="J204" i="3" s="1"/>
  <c r="F204" i="3"/>
  <c r="E204" i="3"/>
  <c r="D204" i="3"/>
  <c r="C204" i="3"/>
  <c r="B204" i="3"/>
  <c r="A204" i="3"/>
  <c r="J203" i="3"/>
  <c r="H203" i="3"/>
  <c r="G203" i="3"/>
  <c r="I203" i="3" s="1"/>
  <c r="F203" i="3"/>
  <c r="E203" i="3"/>
  <c r="D203" i="3"/>
  <c r="C203" i="3"/>
  <c r="B203" i="3"/>
  <c r="A203" i="3"/>
  <c r="I202" i="3"/>
  <c r="H202" i="3"/>
  <c r="G202" i="3"/>
  <c r="J202" i="3" s="1"/>
  <c r="F202" i="3"/>
  <c r="E202" i="3"/>
  <c r="D202" i="3"/>
  <c r="C202" i="3"/>
  <c r="B202" i="3"/>
  <c r="A202" i="3"/>
  <c r="J201" i="3"/>
  <c r="I201" i="3"/>
  <c r="G201" i="3"/>
  <c r="F201" i="3"/>
  <c r="E201" i="3"/>
  <c r="D201" i="3"/>
  <c r="C201" i="3"/>
  <c r="B201" i="3"/>
  <c r="H201" i="3" s="1"/>
  <c r="A201" i="3"/>
  <c r="I200" i="3"/>
  <c r="H200" i="3"/>
  <c r="G200" i="3"/>
  <c r="J200" i="3" s="1"/>
  <c r="F200" i="3"/>
  <c r="E200" i="3"/>
  <c r="D200" i="3"/>
  <c r="C200" i="3"/>
  <c r="B200" i="3"/>
  <c r="A200" i="3"/>
  <c r="G199" i="3"/>
  <c r="J199" i="3" s="1"/>
  <c r="F199" i="3"/>
  <c r="E199" i="3"/>
  <c r="D199" i="3"/>
  <c r="C199" i="3"/>
  <c r="B199" i="3"/>
  <c r="H199" i="3" s="1"/>
  <c r="A199" i="3"/>
  <c r="H198" i="3"/>
  <c r="G198" i="3"/>
  <c r="J198" i="3" s="1"/>
  <c r="F198" i="3"/>
  <c r="E198" i="3"/>
  <c r="D198" i="3"/>
  <c r="C198" i="3"/>
  <c r="B198" i="3"/>
  <c r="A198" i="3"/>
  <c r="J197" i="3"/>
  <c r="I197" i="3"/>
  <c r="G197" i="3"/>
  <c r="F197" i="3"/>
  <c r="E197" i="3"/>
  <c r="D197" i="3"/>
  <c r="C197" i="3"/>
  <c r="B197" i="3"/>
  <c r="H197" i="3" s="1"/>
  <c r="A197" i="3"/>
  <c r="I196" i="3"/>
  <c r="H196" i="3"/>
  <c r="G196" i="3"/>
  <c r="J196" i="3" s="1"/>
  <c r="F196" i="3"/>
  <c r="E196" i="3"/>
  <c r="D196" i="3"/>
  <c r="C196" i="3"/>
  <c r="B196" i="3"/>
  <c r="A196" i="3"/>
  <c r="I195" i="3"/>
  <c r="H195" i="3"/>
  <c r="G195" i="3"/>
  <c r="J195" i="3" s="1"/>
  <c r="F195" i="3"/>
  <c r="E195" i="3"/>
  <c r="D195" i="3"/>
  <c r="C195" i="3"/>
  <c r="B195" i="3"/>
  <c r="A195" i="3"/>
  <c r="I194" i="3"/>
  <c r="G194" i="3"/>
  <c r="J194" i="3" s="1"/>
  <c r="F194" i="3"/>
  <c r="E194" i="3"/>
  <c r="D194" i="3"/>
  <c r="C194" i="3"/>
  <c r="B194" i="3"/>
  <c r="H194" i="3" s="1"/>
  <c r="A194" i="3"/>
  <c r="J193" i="3"/>
  <c r="I193" i="3"/>
  <c r="G193" i="3"/>
  <c r="F193" i="3"/>
  <c r="E193" i="3"/>
  <c r="D193" i="3"/>
  <c r="C193" i="3"/>
  <c r="B193" i="3"/>
  <c r="H193" i="3" s="1"/>
  <c r="A193" i="3"/>
  <c r="H192" i="3"/>
  <c r="G192" i="3"/>
  <c r="J192" i="3" s="1"/>
  <c r="F192" i="3"/>
  <c r="E192" i="3"/>
  <c r="D192" i="3"/>
  <c r="C192" i="3"/>
  <c r="B192" i="3"/>
  <c r="A192" i="3"/>
  <c r="G191" i="3"/>
  <c r="J191" i="3" s="1"/>
  <c r="F191" i="3"/>
  <c r="E191" i="3"/>
  <c r="D191" i="3"/>
  <c r="C191" i="3"/>
  <c r="B191" i="3"/>
  <c r="H191" i="3" s="1"/>
  <c r="A191" i="3"/>
  <c r="H190" i="3"/>
  <c r="G190" i="3"/>
  <c r="J190" i="3" s="1"/>
  <c r="F190" i="3"/>
  <c r="E190" i="3"/>
  <c r="D190" i="3"/>
  <c r="C190" i="3"/>
  <c r="B190" i="3"/>
  <c r="A190" i="3"/>
  <c r="G189" i="3"/>
  <c r="J189" i="3" s="1"/>
  <c r="F189" i="3"/>
  <c r="E189" i="3"/>
  <c r="D189" i="3"/>
  <c r="C189" i="3"/>
  <c r="B189" i="3"/>
  <c r="H189" i="3" s="1"/>
  <c r="A189" i="3"/>
  <c r="I188" i="3"/>
  <c r="H188" i="3"/>
  <c r="G188" i="3"/>
  <c r="J188" i="3" s="1"/>
  <c r="F188" i="3"/>
  <c r="E188" i="3"/>
  <c r="D188" i="3"/>
  <c r="C188" i="3"/>
  <c r="B188" i="3"/>
  <c r="A188" i="3"/>
  <c r="J187" i="3"/>
  <c r="G187" i="3"/>
  <c r="I187" i="3" s="1"/>
  <c r="F187" i="3"/>
  <c r="E187" i="3"/>
  <c r="D187" i="3"/>
  <c r="C187" i="3"/>
  <c r="B187" i="3"/>
  <c r="H187" i="3" s="1"/>
  <c r="A187" i="3"/>
  <c r="G186" i="3"/>
  <c r="J186" i="3" s="1"/>
  <c r="F186" i="3"/>
  <c r="E186" i="3"/>
  <c r="D186" i="3"/>
  <c r="C186" i="3"/>
  <c r="B186" i="3"/>
  <c r="H186" i="3" s="1"/>
  <c r="A186" i="3"/>
  <c r="J185" i="3"/>
  <c r="I185" i="3"/>
  <c r="G185" i="3"/>
  <c r="F185" i="3"/>
  <c r="E185" i="3"/>
  <c r="D185" i="3"/>
  <c r="C185" i="3"/>
  <c r="B185" i="3"/>
  <c r="H185" i="3" s="1"/>
  <c r="A185" i="3"/>
  <c r="I184" i="3"/>
  <c r="H184" i="3"/>
  <c r="G184" i="3"/>
  <c r="J184" i="3" s="1"/>
  <c r="F184" i="3"/>
  <c r="E184" i="3"/>
  <c r="D184" i="3"/>
  <c r="C184" i="3"/>
  <c r="B184" i="3"/>
  <c r="A184" i="3"/>
  <c r="G183" i="3"/>
  <c r="J183" i="3" s="1"/>
  <c r="F183" i="3"/>
  <c r="E183" i="3"/>
  <c r="D183" i="3"/>
  <c r="C183" i="3"/>
  <c r="B183" i="3"/>
  <c r="H183" i="3" s="1"/>
  <c r="A183" i="3"/>
  <c r="H182" i="3"/>
  <c r="G182" i="3"/>
  <c r="J182" i="3" s="1"/>
  <c r="F182" i="3"/>
  <c r="E182" i="3"/>
  <c r="D182" i="3"/>
  <c r="C182" i="3"/>
  <c r="B182" i="3"/>
  <c r="A182" i="3"/>
  <c r="J181" i="3"/>
  <c r="I181" i="3"/>
  <c r="G181" i="3"/>
  <c r="F181" i="3"/>
  <c r="E181" i="3"/>
  <c r="D181" i="3"/>
  <c r="C181" i="3"/>
  <c r="B181" i="3"/>
  <c r="H181" i="3" s="1"/>
  <c r="A181" i="3"/>
  <c r="H180" i="3"/>
  <c r="G180" i="3"/>
  <c r="J180" i="3" s="1"/>
  <c r="F180" i="3"/>
  <c r="E180" i="3"/>
  <c r="D180" i="3"/>
  <c r="C180" i="3"/>
  <c r="B180" i="3"/>
  <c r="A180" i="3"/>
  <c r="H179" i="3"/>
  <c r="G179" i="3"/>
  <c r="J179" i="3" s="1"/>
  <c r="F179" i="3"/>
  <c r="E179" i="3"/>
  <c r="D179" i="3"/>
  <c r="C179" i="3"/>
  <c r="B179" i="3"/>
  <c r="A179" i="3"/>
  <c r="I178" i="3"/>
  <c r="H178" i="3"/>
  <c r="G178" i="3"/>
  <c r="J178" i="3" s="1"/>
  <c r="F178" i="3"/>
  <c r="E178" i="3"/>
  <c r="D178" i="3"/>
  <c r="C178" i="3"/>
  <c r="B178" i="3"/>
  <c r="A178" i="3"/>
  <c r="J177" i="3"/>
  <c r="I177" i="3"/>
  <c r="G177" i="3"/>
  <c r="F177" i="3"/>
  <c r="E177" i="3"/>
  <c r="D177" i="3"/>
  <c r="C177" i="3"/>
  <c r="B177" i="3"/>
  <c r="H177" i="3" s="1"/>
  <c r="A177" i="3"/>
  <c r="H176" i="3"/>
  <c r="G176" i="3"/>
  <c r="J176" i="3" s="1"/>
  <c r="F176" i="3"/>
  <c r="E176" i="3"/>
  <c r="D176" i="3"/>
  <c r="C176" i="3"/>
  <c r="B176" i="3"/>
  <c r="A176" i="3"/>
  <c r="I175" i="3"/>
  <c r="G175" i="3"/>
  <c r="J175" i="3" s="1"/>
  <c r="F175" i="3"/>
  <c r="E175" i="3"/>
  <c r="D175" i="3"/>
  <c r="C175" i="3"/>
  <c r="B175" i="3"/>
  <c r="H175" i="3" s="1"/>
  <c r="A175" i="3"/>
  <c r="J174" i="3"/>
  <c r="I174" i="3"/>
  <c r="H174" i="3"/>
  <c r="G174" i="3"/>
  <c r="F174" i="3"/>
  <c r="E174" i="3"/>
  <c r="D174" i="3"/>
  <c r="C174" i="3"/>
  <c r="B174" i="3"/>
  <c r="A174" i="3"/>
  <c r="G173" i="3"/>
  <c r="J173" i="3" s="1"/>
  <c r="F173" i="3"/>
  <c r="E173" i="3"/>
  <c r="D173" i="3"/>
  <c r="C173" i="3"/>
  <c r="B173" i="3"/>
  <c r="H173" i="3" s="1"/>
  <c r="A173" i="3"/>
  <c r="H172" i="3"/>
  <c r="G172" i="3"/>
  <c r="J172" i="3" s="1"/>
  <c r="F172" i="3"/>
  <c r="E172" i="3"/>
  <c r="D172" i="3"/>
  <c r="C172" i="3"/>
  <c r="B172" i="3"/>
  <c r="A172" i="3"/>
  <c r="G171" i="3"/>
  <c r="J171" i="3" s="1"/>
  <c r="F171" i="3"/>
  <c r="E171" i="3"/>
  <c r="D171" i="3"/>
  <c r="C171" i="3"/>
  <c r="B171" i="3"/>
  <c r="H171" i="3" s="1"/>
  <c r="A171" i="3"/>
  <c r="G170" i="3"/>
  <c r="J170" i="3" s="1"/>
  <c r="F170" i="3"/>
  <c r="E170" i="3"/>
  <c r="D170" i="3"/>
  <c r="C170" i="3"/>
  <c r="B170" i="3"/>
  <c r="H170" i="3" s="1"/>
  <c r="A170" i="3"/>
  <c r="J169" i="3"/>
  <c r="I169" i="3"/>
  <c r="G169" i="3"/>
  <c r="F169" i="3"/>
  <c r="E169" i="3"/>
  <c r="D169" i="3"/>
  <c r="C169" i="3"/>
  <c r="B169" i="3"/>
  <c r="H169" i="3" s="1"/>
  <c r="A169" i="3"/>
  <c r="I168" i="3"/>
  <c r="H168" i="3"/>
  <c r="G168" i="3"/>
  <c r="J168" i="3" s="1"/>
  <c r="F168" i="3"/>
  <c r="E168" i="3"/>
  <c r="D168" i="3"/>
  <c r="C168" i="3"/>
  <c r="B168" i="3"/>
  <c r="A168" i="3"/>
  <c r="J167" i="3"/>
  <c r="I167" i="3"/>
  <c r="G167" i="3"/>
  <c r="F167" i="3"/>
  <c r="E167" i="3"/>
  <c r="D167" i="3"/>
  <c r="C167" i="3"/>
  <c r="B167" i="3"/>
  <c r="H167" i="3" s="1"/>
  <c r="A167" i="3"/>
  <c r="I166" i="3"/>
  <c r="H166" i="3"/>
  <c r="G166" i="3"/>
  <c r="J166" i="3" s="1"/>
  <c r="F166" i="3"/>
  <c r="E166" i="3"/>
  <c r="D166" i="3"/>
  <c r="C166" i="3"/>
  <c r="B166" i="3"/>
  <c r="A166" i="3"/>
  <c r="J165" i="3"/>
  <c r="I165" i="3"/>
  <c r="G165" i="3"/>
  <c r="F165" i="3"/>
  <c r="E165" i="3"/>
  <c r="D165" i="3"/>
  <c r="C165" i="3"/>
  <c r="B165" i="3"/>
  <c r="H165" i="3" s="1"/>
  <c r="A165" i="3"/>
  <c r="H164" i="3"/>
  <c r="G164" i="3"/>
  <c r="J164" i="3" s="1"/>
  <c r="F164" i="3"/>
  <c r="E164" i="3"/>
  <c r="D164" i="3"/>
  <c r="C164" i="3"/>
  <c r="B164" i="3"/>
  <c r="A164" i="3"/>
  <c r="H163" i="3"/>
  <c r="G163" i="3"/>
  <c r="J163" i="3" s="1"/>
  <c r="F163" i="3"/>
  <c r="E163" i="3"/>
  <c r="D163" i="3"/>
  <c r="C163" i="3"/>
  <c r="B163" i="3"/>
  <c r="A163" i="3"/>
  <c r="I162" i="3"/>
  <c r="H162" i="3"/>
  <c r="G162" i="3"/>
  <c r="J162" i="3" s="1"/>
  <c r="F162" i="3"/>
  <c r="E162" i="3"/>
  <c r="D162" i="3"/>
  <c r="C162" i="3"/>
  <c r="B162" i="3"/>
  <c r="A162" i="3"/>
  <c r="G161" i="3"/>
  <c r="J161" i="3" s="1"/>
  <c r="F161" i="3"/>
  <c r="E161" i="3"/>
  <c r="D161" i="3"/>
  <c r="C161" i="3"/>
  <c r="B161" i="3"/>
  <c r="H161" i="3" s="1"/>
  <c r="A161" i="3"/>
  <c r="H160" i="3"/>
  <c r="G160" i="3"/>
  <c r="J160" i="3" s="1"/>
  <c r="F160" i="3"/>
  <c r="E160" i="3"/>
  <c r="D160" i="3"/>
  <c r="C160" i="3"/>
  <c r="B160" i="3"/>
  <c r="A160" i="3"/>
  <c r="J159" i="3"/>
  <c r="I159" i="3"/>
  <c r="G159" i="3"/>
  <c r="F159" i="3"/>
  <c r="E159" i="3"/>
  <c r="D159" i="3"/>
  <c r="C159" i="3"/>
  <c r="B159" i="3"/>
  <c r="H159" i="3" s="1"/>
  <c r="A159" i="3"/>
  <c r="J158" i="3"/>
  <c r="I158" i="3"/>
  <c r="H158" i="3"/>
  <c r="G158" i="3"/>
  <c r="F158" i="3"/>
  <c r="E158" i="3"/>
  <c r="D158" i="3"/>
  <c r="C158" i="3"/>
  <c r="B158" i="3"/>
  <c r="A158" i="3"/>
  <c r="I157" i="3"/>
  <c r="G157" i="3"/>
  <c r="J157" i="3" s="1"/>
  <c r="F157" i="3"/>
  <c r="E157" i="3"/>
  <c r="D157" i="3"/>
  <c r="C157" i="3"/>
  <c r="B157" i="3"/>
  <c r="H157" i="3" s="1"/>
  <c r="A157" i="3"/>
  <c r="H156" i="3"/>
  <c r="G156" i="3"/>
  <c r="J156" i="3" s="1"/>
  <c r="F156" i="3"/>
  <c r="E156" i="3"/>
  <c r="D156" i="3"/>
  <c r="C156" i="3"/>
  <c r="B156" i="3"/>
  <c r="A156" i="3"/>
  <c r="J155" i="3"/>
  <c r="I155" i="3"/>
  <c r="G155" i="3"/>
  <c r="F155" i="3"/>
  <c r="E155" i="3"/>
  <c r="D155" i="3"/>
  <c r="C155" i="3"/>
  <c r="B155" i="3"/>
  <c r="H155" i="3" s="1"/>
  <c r="A155" i="3"/>
  <c r="H154" i="3"/>
  <c r="G154" i="3"/>
  <c r="J154" i="3" s="1"/>
  <c r="F154" i="3"/>
  <c r="E154" i="3"/>
  <c r="D154" i="3"/>
  <c r="C154" i="3"/>
  <c r="B154" i="3"/>
  <c r="A154" i="3"/>
  <c r="G153" i="3"/>
  <c r="J153" i="3" s="1"/>
  <c r="F153" i="3"/>
  <c r="E153" i="3"/>
  <c r="D153" i="3"/>
  <c r="C153" i="3"/>
  <c r="B153" i="3"/>
  <c r="H153" i="3" s="1"/>
  <c r="A153" i="3"/>
  <c r="I152" i="3"/>
  <c r="H152" i="3"/>
  <c r="G152" i="3"/>
  <c r="J152" i="3" s="1"/>
  <c r="F152" i="3"/>
  <c r="E152" i="3"/>
  <c r="D152" i="3"/>
  <c r="C152" i="3"/>
  <c r="B152" i="3"/>
  <c r="A152" i="3"/>
  <c r="J151" i="3"/>
  <c r="I151" i="3"/>
  <c r="G151" i="3"/>
  <c r="F151" i="3"/>
  <c r="E151" i="3"/>
  <c r="D151" i="3"/>
  <c r="C151" i="3"/>
  <c r="B151" i="3"/>
  <c r="H151" i="3" s="1"/>
  <c r="A151" i="3"/>
  <c r="I150" i="3"/>
  <c r="H150" i="3"/>
  <c r="G150" i="3"/>
  <c r="J150" i="3" s="1"/>
  <c r="F150" i="3"/>
  <c r="E150" i="3"/>
  <c r="D150" i="3"/>
  <c r="C150" i="3"/>
  <c r="B150" i="3"/>
  <c r="A150" i="3"/>
  <c r="J149" i="3"/>
  <c r="I149" i="3"/>
  <c r="G149" i="3"/>
  <c r="F149" i="3"/>
  <c r="E149" i="3"/>
  <c r="D149" i="3"/>
  <c r="C149" i="3"/>
  <c r="B149" i="3"/>
  <c r="H149" i="3" s="1"/>
  <c r="A149" i="3"/>
  <c r="I148" i="3"/>
  <c r="H148" i="3"/>
  <c r="G148" i="3"/>
  <c r="J148" i="3" s="1"/>
  <c r="F148" i="3"/>
  <c r="E148" i="3"/>
  <c r="D148" i="3"/>
  <c r="C148" i="3"/>
  <c r="B148" i="3"/>
  <c r="A148" i="3"/>
  <c r="I147" i="3"/>
  <c r="H147" i="3"/>
  <c r="G147" i="3"/>
  <c r="J147" i="3" s="1"/>
  <c r="F147" i="3"/>
  <c r="E147" i="3"/>
  <c r="D147" i="3"/>
  <c r="C147" i="3"/>
  <c r="B147" i="3"/>
  <c r="A147" i="3"/>
  <c r="I146" i="3"/>
  <c r="H146" i="3"/>
  <c r="G146" i="3"/>
  <c r="J146" i="3" s="1"/>
  <c r="F146" i="3"/>
  <c r="E146" i="3"/>
  <c r="D146" i="3"/>
  <c r="C146" i="3"/>
  <c r="B146" i="3"/>
  <c r="A146" i="3"/>
  <c r="G145" i="3"/>
  <c r="J145" i="3" s="1"/>
  <c r="F145" i="3"/>
  <c r="E145" i="3"/>
  <c r="D145" i="3"/>
  <c r="C145" i="3"/>
  <c r="B145" i="3"/>
  <c r="H145" i="3" s="1"/>
  <c r="A145" i="3"/>
  <c r="H144" i="3"/>
  <c r="G144" i="3"/>
  <c r="J144" i="3" s="1"/>
  <c r="F144" i="3"/>
  <c r="E144" i="3"/>
  <c r="D144" i="3"/>
  <c r="C144" i="3"/>
  <c r="B144" i="3"/>
  <c r="A144" i="3"/>
  <c r="J143" i="3"/>
  <c r="I143" i="3"/>
  <c r="G143" i="3"/>
  <c r="F143" i="3"/>
  <c r="E143" i="3"/>
  <c r="D143" i="3"/>
  <c r="C143" i="3"/>
  <c r="B143" i="3"/>
  <c r="H143" i="3" s="1"/>
  <c r="A143" i="3"/>
  <c r="J142" i="3"/>
  <c r="H142" i="3"/>
  <c r="G142" i="3"/>
  <c r="I142" i="3" s="1"/>
  <c r="F142" i="3"/>
  <c r="E142" i="3"/>
  <c r="D142" i="3"/>
  <c r="C142" i="3"/>
  <c r="B142" i="3"/>
  <c r="A142" i="3"/>
  <c r="G141" i="3"/>
  <c r="J141" i="3" s="1"/>
  <c r="F141" i="3"/>
  <c r="E141" i="3"/>
  <c r="D141" i="3"/>
  <c r="C141" i="3"/>
  <c r="B141" i="3"/>
  <c r="H141" i="3" s="1"/>
  <c r="A141" i="3"/>
  <c r="I140" i="3"/>
  <c r="H140" i="3"/>
  <c r="G140" i="3"/>
  <c r="J140" i="3" s="1"/>
  <c r="F140" i="3"/>
  <c r="E140" i="3"/>
  <c r="D140" i="3"/>
  <c r="C140" i="3"/>
  <c r="B140" i="3"/>
  <c r="A140" i="3"/>
  <c r="J139" i="3"/>
  <c r="I139" i="3"/>
  <c r="G139" i="3"/>
  <c r="F139" i="3"/>
  <c r="E139" i="3"/>
  <c r="D139" i="3"/>
  <c r="C139" i="3"/>
  <c r="B139" i="3"/>
  <c r="H139" i="3" s="1"/>
  <c r="A139" i="3"/>
  <c r="G138" i="3"/>
  <c r="J138" i="3" s="1"/>
  <c r="F138" i="3"/>
  <c r="E138" i="3"/>
  <c r="D138" i="3"/>
  <c r="C138" i="3"/>
  <c r="B138" i="3"/>
  <c r="H138" i="3" s="1"/>
  <c r="A138" i="3"/>
  <c r="I137" i="3"/>
  <c r="G137" i="3"/>
  <c r="J137" i="3" s="1"/>
  <c r="F137" i="3"/>
  <c r="E137" i="3"/>
  <c r="D137" i="3"/>
  <c r="C137" i="3"/>
  <c r="B137" i="3"/>
  <c r="H137" i="3" s="1"/>
  <c r="A137" i="3"/>
  <c r="I136" i="3"/>
  <c r="H136" i="3"/>
  <c r="G136" i="3"/>
  <c r="J136" i="3" s="1"/>
  <c r="F136" i="3"/>
  <c r="E136" i="3"/>
  <c r="D136" i="3"/>
  <c r="C136" i="3"/>
  <c r="B136" i="3"/>
  <c r="A136" i="3"/>
  <c r="H135" i="3"/>
  <c r="G135" i="3"/>
  <c r="J135" i="3" s="1"/>
  <c r="F135" i="3"/>
  <c r="E135" i="3"/>
  <c r="D135" i="3"/>
  <c r="C135" i="3"/>
  <c r="B135" i="3"/>
  <c r="A135" i="3"/>
  <c r="J134" i="3"/>
  <c r="I134" i="3"/>
  <c r="H134" i="3"/>
  <c r="G134" i="3"/>
  <c r="F134" i="3"/>
  <c r="E134" i="3"/>
  <c r="D134" i="3"/>
  <c r="C134" i="3"/>
  <c r="B134" i="3"/>
  <c r="A134" i="3"/>
  <c r="G133" i="3"/>
  <c r="J133" i="3" s="1"/>
  <c r="F133" i="3"/>
  <c r="E133" i="3"/>
  <c r="D133" i="3"/>
  <c r="C133" i="3"/>
  <c r="B133" i="3"/>
  <c r="H133" i="3" s="1"/>
  <c r="A133" i="3"/>
  <c r="H132" i="3"/>
  <c r="G132" i="3"/>
  <c r="J132" i="3" s="1"/>
  <c r="F132" i="3"/>
  <c r="E132" i="3"/>
  <c r="D132" i="3"/>
  <c r="C132" i="3"/>
  <c r="B132" i="3"/>
  <c r="A132" i="3"/>
  <c r="J131" i="3"/>
  <c r="I131" i="3"/>
  <c r="H131" i="3"/>
  <c r="G131" i="3"/>
  <c r="F131" i="3"/>
  <c r="E131" i="3"/>
  <c r="D131" i="3"/>
  <c r="C131" i="3"/>
  <c r="B131" i="3"/>
  <c r="A131" i="3"/>
  <c r="H130" i="3"/>
  <c r="G130" i="3"/>
  <c r="J130" i="3" s="1"/>
  <c r="F130" i="3"/>
  <c r="E130" i="3"/>
  <c r="D130" i="3"/>
  <c r="C130" i="3"/>
  <c r="B130" i="3"/>
  <c r="A130" i="3"/>
  <c r="G129" i="3"/>
  <c r="J129" i="3" s="1"/>
  <c r="F129" i="3"/>
  <c r="E129" i="3"/>
  <c r="D129" i="3"/>
  <c r="C129" i="3"/>
  <c r="B129" i="3"/>
  <c r="H129" i="3" s="1"/>
  <c r="A129" i="3"/>
  <c r="I128" i="3"/>
  <c r="H128" i="3"/>
  <c r="G128" i="3"/>
  <c r="J128" i="3" s="1"/>
  <c r="F128" i="3"/>
  <c r="E128" i="3"/>
  <c r="D128" i="3"/>
  <c r="C128" i="3"/>
  <c r="B128" i="3"/>
  <c r="A128" i="3"/>
  <c r="J127" i="3"/>
  <c r="G127" i="3"/>
  <c r="I127" i="3" s="1"/>
  <c r="F127" i="3"/>
  <c r="E127" i="3"/>
  <c r="D127" i="3"/>
  <c r="C127" i="3"/>
  <c r="B127" i="3"/>
  <c r="H127" i="3" s="1"/>
  <c r="A127" i="3"/>
  <c r="J126" i="3"/>
  <c r="I126" i="3"/>
  <c r="H126" i="3"/>
  <c r="G126" i="3"/>
  <c r="F126" i="3"/>
  <c r="E126" i="3"/>
  <c r="D126" i="3"/>
  <c r="C126" i="3"/>
  <c r="B126" i="3"/>
  <c r="A126" i="3"/>
  <c r="H125" i="3"/>
  <c r="G125" i="3"/>
  <c r="J125" i="3" s="1"/>
  <c r="F125" i="3"/>
  <c r="E125" i="3"/>
  <c r="D125" i="3"/>
  <c r="C125" i="3"/>
  <c r="B125" i="3"/>
  <c r="A125" i="3"/>
  <c r="J124" i="3"/>
  <c r="I124" i="3"/>
  <c r="H124" i="3"/>
  <c r="G124" i="3"/>
  <c r="F124" i="3"/>
  <c r="E124" i="3"/>
  <c r="D124" i="3"/>
  <c r="C124" i="3"/>
  <c r="B124" i="3"/>
  <c r="A124" i="3"/>
  <c r="G123" i="3"/>
  <c r="J123" i="3" s="1"/>
  <c r="F123" i="3"/>
  <c r="E123" i="3"/>
  <c r="D123" i="3"/>
  <c r="C123" i="3"/>
  <c r="B123" i="3"/>
  <c r="H123" i="3" s="1"/>
  <c r="A123" i="3"/>
  <c r="I122" i="3"/>
  <c r="G122" i="3"/>
  <c r="J122" i="3" s="1"/>
  <c r="F122" i="3"/>
  <c r="E122" i="3"/>
  <c r="D122" i="3"/>
  <c r="C122" i="3"/>
  <c r="B122" i="3"/>
  <c r="H122" i="3" s="1"/>
  <c r="A122" i="3"/>
  <c r="G121" i="3"/>
  <c r="J121" i="3" s="1"/>
  <c r="F121" i="3"/>
  <c r="E121" i="3"/>
  <c r="D121" i="3"/>
  <c r="C121" i="3"/>
  <c r="B121" i="3"/>
  <c r="H121" i="3" s="1"/>
  <c r="A121" i="3"/>
  <c r="J120" i="3"/>
  <c r="I120" i="3"/>
  <c r="H120" i="3"/>
  <c r="G120" i="3"/>
  <c r="F120" i="3"/>
  <c r="E120" i="3"/>
  <c r="D120" i="3"/>
  <c r="C120" i="3"/>
  <c r="B120" i="3"/>
  <c r="A120" i="3"/>
  <c r="G119" i="3"/>
  <c r="I119" i="3" s="1"/>
  <c r="F119" i="3"/>
  <c r="E119" i="3"/>
  <c r="D119" i="3"/>
  <c r="C119" i="3"/>
  <c r="B119" i="3"/>
  <c r="H119" i="3" s="1"/>
  <c r="A119" i="3"/>
  <c r="J118" i="3"/>
  <c r="I118" i="3"/>
  <c r="H118" i="3"/>
  <c r="G118" i="3"/>
  <c r="F118" i="3"/>
  <c r="E118" i="3"/>
  <c r="D118" i="3"/>
  <c r="C118" i="3"/>
  <c r="B118" i="3"/>
  <c r="A118" i="3"/>
  <c r="H117" i="3"/>
  <c r="G117" i="3"/>
  <c r="J117" i="3" s="1"/>
  <c r="F117" i="3"/>
  <c r="E117" i="3"/>
  <c r="D117" i="3"/>
  <c r="C117" i="3"/>
  <c r="B117" i="3"/>
  <c r="A117" i="3"/>
  <c r="J116" i="3"/>
  <c r="I116" i="3"/>
  <c r="H116" i="3"/>
  <c r="G116" i="3"/>
  <c r="F116" i="3"/>
  <c r="E116" i="3"/>
  <c r="D116" i="3"/>
  <c r="C116" i="3"/>
  <c r="B116" i="3"/>
  <c r="A116" i="3"/>
  <c r="G115" i="3"/>
  <c r="J115" i="3" s="1"/>
  <c r="F115" i="3"/>
  <c r="E115" i="3"/>
  <c r="D115" i="3"/>
  <c r="C115" i="3"/>
  <c r="B115" i="3"/>
  <c r="H115" i="3" s="1"/>
  <c r="A115" i="3"/>
  <c r="I114" i="3"/>
  <c r="G114" i="3"/>
  <c r="J114" i="3" s="1"/>
  <c r="F114" i="3"/>
  <c r="E114" i="3"/>
  <c r="D114" i="3"/>
  <c r="C114" i="3"/>
  <c r="B114" i="3"/>
  <c r="H114" i="3" s="1"/>
  <c r="A114" i="3"/>
  <c r="G113" i="3"/>
  <c r="J113" i="3" s="1"/>
  <c r="F113" i="3"/>
  <c r="E113" i="3"/>
  <c r="D113" i="3"/>
  <c r="C113" i="3"/>
  <c r="B113" i="3"/>
  <c r="H113" i="3" s="1"/>
  <c r="A113" i="3"/>
  <c r="J112" i="3"/>
  <c r="I112" i="3"/>
  <c r="H112" i="3"/>
  <c r="G112" i="3"/>
  <c r="F112" i="3"/>
  <c r="E112" i="3"/>
  <c r="D112" i="3"/>
  <c r="C112" i="3"/>
  <c r="B112" i="3"/>
  <c r="A112" i="3"/>
  <c r="G111" i="3"/>
  <c r="I111" i="3" s="1"/>
  <c r="F111" i="3"/>
  <c r="E111" i="3"/>
  <c r="D111" i="3"/>
  <c r="C111" i="3"/>
  <c r="B111" i="3"/>
  <c r="H111" i="3" s="1"/>
  <c r="A111" i="3"/>
  <c r="J110" i="3"/>
  <c r="I110" i="3"/>
  <c r="H110" i="3"/>
  <c r="G110" i="3"/>
  <c r="F110" i="3"/>
  <c r="E110" i="3"/>
  <c r="D110" i="3"/>
  <c r="C110" i="3"/>
  <c r="B110" i="3"/>
  <c r="A110" i="3"/>
  <c r="H109" i="3"/>
  <c r="G109" i="3"/>
  <c r="J109" i="3" s="1"/>
  <c r="F109" i="3"/>
  <c r="E109" i="3"/>
  <c r="D109" i="3"/>
  <c r="C109" i="3"/>
  <c r="B109" i="3"/>
  <c r="A109" i="3"/>
  <c r="J108" i="3"/>
  <c r="I108" i="3"/>
  <c r="H108" i="3"/>
  <c r="G108" i="3"/>
  <c r="F108" i="3"/>
  <c r="E108" i="3"/>
  <c r="D108" i="3"/>
  <c r="C108" i="3"/>
  <c r="B108" i="3"/>
  <c r="A108" i="3"/>
  <c r="G107" i="3"/>
  <c r="J107" i="3" s="1"/>
  <c r="F107" i="3"/>
  <c r="E107" i="3"/>
  <c r="D107" i="3"/>
  <c r="C107" i="3"/>
  <c r="B107" i="3"/>
  <c r="H107" i="3" s="1"/>
  <c r="A107" i="3"/>
  <c r="I106" i="3"/>
  <c r="G106" i="3"/>
  <c r="J106" i="3" s="1"/>
  <c r="F106" i="3"/>
  <c r="E106" i="3"/>
  <c r="D106" i="3"/>
  <c r="C106" i="3"/>
  <c r="B106" i="3"/>
  <c r="H106" i="3" s="1"/>
  <c r="A106" i="3"/>
  <c r="G105" i="3"/>
  <c r="J105" i="3" s="1"/>
  <c r="F105" i="3"/>
  <c r="E105" i="3"/>
  <c r="D105" i="3"/>
  <c r="C105" i="3"/>
  <c r="B105" i="3"/>
  <c r="H105" i="3" s="1"/>
  <c r="A105" i="3"/>
  <c r="J104" i="3"/>
  <c r="I104" i="3"/>
  <c r="H104" i="3"/>
  <c r="G104" i="3"/>
  <c r="F104" i="3"/>
  <c r="E104" i="3"/>
  <c r="D104" i="3"/>
  <c r="C104" i="3"/>
  <c r="B104" i="3"/>
  <c r="A104" i="3"/>
  <c r="G103" i="3"/>
  <c r="I103" i="3" s="1"/>
  <c r="F103" i="3"/>
  <c r="E103" i="3"/>
  <c r="D103" i="3"/>
  <c r="C103" i="3"/>
  <c r="B103" i="3"/>
  <c r="H103" i="3" s="1"/>
  <c r="A103" i="3"/>
  <c r="J102" i="3"/>
  <c r="I102" i="3"/>
  <c r="H102" i="3"/>
  <c r="G102" i="3"/>
  <c r="F102" i="3"/>
  <c r="E102" i="3"/>
  <c r="D102" i="3"/>
  <c r="C102" i="3"/>
  <c r="B102" i="3"/>
  <c r="A102" i="3"/>
  <c r="H101" i="3"/>
  <c r="G101" i="3"/>
  <c r="J101" i="3" s="1"/>
  <c r="F101" i="3"/>
  <c r="E101" i="3"/>
  <c r="D101" i="3"/>
  <c r="C101" i="3"/>
  <c r="B101" i="3"/>
  <c r="A101" i="3"/>
  <c r="J100" i="3"/>
  <c r="I100" i="3"/>
  <c r="H100" i="3"/>
  <c r="G100" i="3"/>
  <c r="F100" i="3"/>
  <c r="E100" i="3"/>
  <c r="D100" i="3"/>
  <c r="C100" i="3"/>
  <c r="B100" i="3"/>
  <c r="A100" i="3"/>
  <c r="G99" i="3"/>
  <c r="J99" i="3" s="1"/>
  <c r="F99" i="3"/>
  <c r="E99" i="3"/>
  <c r="D99" i="3"/>
  <c r="C99" i="3"/>
  <c r="B99" i="3"/>
  <c r="H99" i="3" s="1"/>
  <c r="A99" i="3"/>
  <c r="I98" i="3"/>
  <c r="G98" i="3"/>
  <c r="J98" i="3" s="1"/>
  <c r="F98" i="3"/>
  <c r="E98" i="3"/>
  <c r="D98" i="3"/>
  <c r="C98" i="3"/>
  <c r="B98" i="3"/>
  <c r="H98" i="3" s="1"/>
  <c r="A98" i="3"/>
  <c r="G97" i="3"/>
  <c r="J97" i="3" s="1"/>
  <c r="F97" i="3"/>
  <c r="E97" i="3"/>
  <c r="D97" i="3"/>
  <c r="C97" i="3"/>
  <c r="B97" i="3"/>
  <c r="H97" i="3" s="1"/>
  <c r="A97" i="3"/>
  <c r="J96" i="3"/>
  <c r="I96" i="3"/>
  <c r="H96" i="3"/>
  <c r="G96" i="3"/>
  <c r="F96" i="3"/>
  <c r="E96" i="3"/>
  <c r="D96" i="3"/>
  <c r="C96" i="3"/>
  <c r="B96" i="3"/>
  <c r="A96" i="3"/>
  <c r="G95" i="3"/>
  <c r="I95" i="3" s="1"/>
  <c r="F95" i="3"/>
  <c r="E95" i="3"/>
  <c r="D95" i="3"/>
  <c r="C95" i="3"/>
  <c r="B95" i="3"/>
  <c r="H95" i="3" s="1"/>
  <c r="A95" i="3"/>
  <c r="J94" i="3"/>
  <c r="I94" i="3"/>
  <c r="H94" i="3"/>
  <c r="G94" i="3"/>
  <c r="F94" i="3"/>
  <c r="E94" i="3"/>
  <c r="D94" i="3"/>
  <c r="C94" i="3"/>
  <c r="B94" i="3"/>
  <c r="A94" i="3"/>
  <c r="H93" i="3"/>
  <c r="G93" i="3"/>
  <c r="J93" i="3" s="1"/>
  <c r="F93" i="3"/>
  <c r="E93" i="3"/>
  <c r="D93" i="3"/>
  <c r="C93" i="3"/>
  <c r="B93" i="3"/>
  <c r="A93" i="3"/>
  <c r="J92" i="3"/>
  <c r="I92" i="3"/>
  <c r="H92" i="3"/>
  <c r="G92" i="3"/>
  <c r="F92" i="3"/>
  <c r="E92" i="3"/>
  <c r="D92" i="3"/>
  <c r="C92" i="3"/>
  <c r="B92" i="3"/>
  <c r="A92" i="3"/>
  <c r="G91" i="3"/>
  <c r="J91" i="3" s="1"/>
  <c r="F91" i="3"/>
  <c r="E91" i="3"/>
  <c r="D91" i="3"/>
  <c r="C91" i="3"/>
  <c r="B91" i="3"/>
  <c r="H91" i="3" s="1"/>
  <c r="A91" i="3"/>
  <c r="I90" i="3"/>
  <c r="G90" i="3"/>
  <c r="J90" i="3" s="1"/>
  <c r="F90" i="3"/>
  <c r="E90" i="3"/>
  <c r="D90" i="3"/>
  <c r="C90" i="3"/>
  <c r="B90" i="3"/>
  <c r="H90" i="3" s="1"/>
  <c r="A90" i="3"/>
  <c r="G89" i="3"/>
  <c r="J89" i="3" s="1"/>
  <c r="F89" i="3"/>
  <c r="E89" i="3"/>
  <c r="D89" i="3"/>
  <c r="C89" i="3"/>
  <c r="B89" i="3"/>
  <c r="H89" i="3" s="1"/>
  <c r="A89" i="3"/>
  <c r="J88" i="3"/>
  <c r="I88" i="3"/>
  <c r="H88" i="3"/>
  <c r="G88" i="3"/>
  <c r="F88" i="3"/>
  <c r="E88" i="3"/>
  <c r="D88" i="3"/>
  <c r="C88" i="3"/>
  <c r="B88" i="3"/>
  <c r="A88" i="3"/>
  <c r="G87" i="3"/>
  <c r="I87" i="3" s="1"/>
  <c r="F87" i="3"/>
  <c r="E87" i="3"/>
  <c r="D87" i="3"/>
  <c r="C87" i="3"/>
  <c r="B87" i="3"/>
  <c r="H87" i="3" s="1"/>
  <c r="A87" i="3"/>
  <c r="J86" i="3"/>
  <c r="I86" i="3"/>
  <c r="H86" i="3"/>
  <c r="G86" i="3"/>
  <c r="F86" i="3"/>
  <c r="E86" i="3"/>
  <c r="D86" i="3"/>
  <c r="C86" i="3"/>
  <c r="B86" i="3"/>
  <c r="A86" i="3"/>
  <c r="H85" i="3"/>
  <c r="G85" i="3"/>
  <c r="J85" i="3" s="1"/>
  <c r="F85" i="3"/>
  <c r="E85" i="3"/>
  <c r="D85" i="3"/>
  <c r="C85" i="3"/>
  <c r="B85" i="3"/>
  <c r="A85" i="3"/>
  <c r="J84" i="3"/>
  <c r="I84" i="3"/>
  <c r="H84" i="3"/>
  <c r="G84" i="3"/>
  <c r="F84" i="3"/>
  <c r="E84" i="3"/>
  <c r="D84" i="3"/>
  <c r="C84" i="3"/>
  <c r="B84" i="3"/>
  <c r="A84" i="3"/>
  <c r="G83" i="3"/>
  <c r="J83" i="3" s="1"/>
  <c r="F83" i="3"/>
  <c r="E83" i="3"/>
  <c r="D83" i="3"/>
  <c r="C83" i="3"/>
  <c r="B83" i="3"/>
  <c r="H83" i="3" s="1"/>
  <c r="A83" i="3"/>
  <c r="I82" i="3"/>
  <c r="G82" i="3"/>
  <c r="J82" i="3" s="1"/>
  <c r="F82" i="3"/>
  <c r="E82" i="3"/>
  <c r="D82" i="3"/>
  <c r="C82" i="3"/>
  <c r="B82" i="3"/>
  <c r="H82" i="3" s="1"/>
  <c r="A82" i="3"/>
  <c r="G81" i="3"/>
  <c r="J81" i="3" s="1"/>
  <c r="F81" i="3"/>
  <c r="E81" i="3"/>
  <c r="D81" i="3"/>
  <c r="C81" i="3"/>
  <c r="B81" i="3"/>
  <c r="H81" i="3" s="1"/>
  <c r="A81" i="3"/>
  <c r="J80" i="3"/>
  <c r="I80" i="3"/>
  <c r="H80" i="3"/>
  <c r="G80" i="3"/>
  <c r="F80" i="3"/>
  <c r="E80" i="3"/>
  <c r="D80" i="3"/>
  <c r="C80" i="3"/>
  <c r="B80" i="3"/>
  <c r="A80" i="3"/>
  <c r="G79" i="3"/>
  <c r="I79" i="3" s="1"/>
  <c r="F79" i="3"/>
  <c r="E79" i="3"/>
  <c r="D79" i="3"/>
  <c r="C79" i="3"/>
  <c r="B79" i="3"/>
  <c r="H79" i="3" s="1"/>
  <c r="A79" i="3"/>
  <c r="J78" i="3"/>
  <c r="I78" i="3"/>
  <c r="H78" i="3"/>
  <c r="G78" i="3"/>
  <c r="F78" i="3"/>
  <c r="E78" i="3"/>
  <c r="D78" i="3"/>
  <c r="C78" i="3"/>
  <c r="B78" i="3"/>
  <c r="A78" i="3"/>
  <c r="H77" i="3"/>
  <c r="G77" i="3"/>
  <c r="J77" i="3" s="1"/>
  <c r="F77" i="3"/>
  <c r="E77" i="3"/>
  <c r="D77" i="3"/>
  <c r="C77" i="3"/>
  <c r="B77" i="3"/>
  <c r="A77" i="3"/>
  <c r="J76" i="3"/>
  <c r="I76" i="3"/>
  <c r="H76" i="3"/>
  <c r="G76" i="3"/>
  <c r="F76" i="3"/>
  <c r="E76" i="3"/>
  <c r="D76" i="3"/>
  <c r="C76" i="3"/>
  <c r="B76" i="3"/>
  <c r="A76" i="3"/>
  <c r="G75" i="3"/>
  <c r="J75" i="3" s="1"/>
  <c r="F75" i="3"/>
  <c r="E75" i="3"/>
  <c r="D75" i="3"/>
  <c r="C75" i="3"/>
  <c r="B75" i="3"/>
  <c r="H75" i="3" s="1"/>
  <c r="A75" i="3"/>
  <c r="I74" i="3"/>
  <c r="G74" i="3"/>
  <c r="J74" i="3" s="1"/>
  <c r="F74" i="3"/>
  <c r="E74" i="3"/>
  <c r="D74" i="3"/>
  <c r="C74" i="3"/>
  <c r="B74" i="3"/>
  <c r="H74" i="3" s="1"/>
  <c r="A74" i="3"/>
  <c r="G73" i="3"/>
  <c r="J73" i="3" s="1"/>
  <c r="F73" i="3"/>
  <c r="E73" i="3"/>
  <c r="D73" i="3"/>
  <c r="C73" i="3"/>
  <c r="B73" i="3"/>
  <c r="H73" i="3" s="1"/>
  <c r="A73" i="3"/>
  <c r="J72" i="3"/>
  <c r="I72" i="3"/>
  <c r="H72" i="3"/>
  <c r="G72" i="3"/>
  <c r="F72" i="3"/>
  <c r="E72" i="3"/>
  <c r="D72" i="3"/>
  <c r="C72" i="3"/>
  <c r="B72" i="3"/>
  <c r="A72" i="3"/>
  <c r="G71" i="3"/>
  <c r="I71" i="3" s="1"/>
  <c r="F71" i="3"/>
  <c r="E71" i="3"/>
  <c r="D71" i="3"/>
  <c r="C71" i="3"/>
  <c r="B71" i="3"/>
  <c r="H71" i="3" s="1"/>
  <c r="A71" i="3"/>
  <c r="J70" i="3"/>
  <c r="I70" i="3"/>
  <c r="H70" i="3"/>
  <c r="G70" i="3"/>
  <c r="F70" i="3"/>
  <c r="E70" i="3"/>
  <c r="D70" i="3"/>
  <c r="C70" i="3"/>
  <c r="B70" i="3"/>
  <c r="A70" i="3"/>
  <c r="H69" i="3"/>
  <c r="G69" i="3"/>
  <c r="J69" i="3" s="1"/>
  <c r="F69" i="3"/>
  <c r="E69" i="3"/>
  <c r="D69" i="3"/>
  <c r="C69" i="3"/>
  <c r="B69" i="3"/>
  <c r="A69" i="3"/>
  <c r="J68" i="3"/>
  <c r="I68" i="3"/>
  <c r="H68" i="3"/>
  <c r="G68" i="3"/>
  <c r="F68" i="3"/>
  <c r="E68" i="3"/>
  <c r="D68" i="3"/>
  <c r="C68" i="3"/>
  <c r="B68" i="3"/>
  <c r="A68" i="3"/>
  <c r="G67" i="3"/>
  <c r="J67" i="3" s="1"/>
  <c r="F67" i="3"/>
  <c r="E67" i="3"/>
  <c r="D67" i="3"/>
  <c r="C67" i="3"/>
  <c r="B67" i="3"/>
  <c r="H67" i="3" s="1"/>
  <c r="A67" i="3"/>
  <c r="I66" i="3"/>
  <c r="G66" i="3"/>
  <c r="J66" i="3" s="1"/>
  <c r="F66" i="3"/>
  <c r="E66" i="3"/>
  <c r="D66" i="3"/>
  <c r="C66" i="3"/>
  <c r="B66" i="3"/>
  <c r="H66" i="3" s="1"/>
  <c r="A66" i="3"/>
  <c r="G65" i="3"/>
  <c r="J65" i="3" s="1"/>
  <c r="F65" i="3"/>
  <c r="E65" i="3"/>
  <c r="D65" i="3"/>
  <c r="C65" i="3"/>
  <c r="B65" i="3"/>
  <c r="H65" i="3" s="1"/>
  <c r="A65" i="3"/>
  <c r="J64" i="3"/>
  <c r="I64" i="3"/>
  <c r="H64" i="3"/>
  <c r="G64" i="3"/>
  <c r="F64" i="3"/>
  <c r="E64" i="3"/>
  <c r="D64" i="3"/>
  <c r="C64" i="3"/>
  <c r="B64" i="3"/>
  <c r="A64" i="3"/>
  <c r="G63" i="3"/>
  <c r="I63" i="3" s="1"/>
  <c r="F63" i="3"/>
  <c r="E63" i="3"/>
  <c r="D63" i="3"/>
  <c r="C63" i="3"/>
  <c r="B63" i="3"/>
  <c r="H63" i="3" s="1"/>
  <c r="A63" i="3"/>
  <c r="J62" i="3"/>
  <c r="I62" i="3"/>
  <c r="H62" i="3"/>
  <c r="G62" i="3"/>
  <c r="F62" i="3"/>
  <c r="E62" i="3"/>
  <c r="D62" i="3"/>
  <c r="C62" i="3"/>
  <c r="B62" i="3"/>
  <c r="A62" i="3"/>
  <c r="H61" i="3"/>
  <c r="G61" i="3"/>
  <c r="J61" i="3" s="1"/>
  <c r="F61" i="3"/>
  <c r="E61" i="3"/>
  <c r="D61" i="3"/>
  <c r="C61" i="3"/>
  <c r="B61" i="3"/>
  <c r="A61" i="3"/>
  <c r="J60" i="3"/>
  <c r="I60" i="3"/>
  <c r="H60" i="3"/>
  <c r="G60" i="3"/>
  <c r="F60" i="3"/>
  <c r="E60" i="3"/>
  <c r="D60" i="3"/>
  <c r="C60" i="3"/>
  <c r="B60" i="3"/>
  <c r="A60" i="3"/>
  <c r="G59" i="3"/>
  <c r="J59" i="3" s="1"/>
  <c r="F59" i="3"/>
  <c r="E59" i="3"/>
  <c r="D59" i="3"/>
  <c r="C59" i="3"/>
  <c r="B59" i="3"/>
  <c r="H59" i="3" s="1"/>
  <c r="A59" i="3"/>
  <c r="I58" i="3"/>
  <c r="G58" i="3"/>
  <c r="J58" i="3" s="1"/>
  <c r="F58" i="3"/>
  <c r="E58" i="3"/>
  <c r="D58" i="3"/>
  <c r="C58" i="3"/>
  <c r="B58" i="3"/>
  <c r="H58" i="3" s="1"/>
  <c r="A58" i="3"/>
  <c r="G57" i="3"/>
  <c r="J57" i="3" s="1"/>
  <c r="F57" i="3"/>
  <c r="E57" i="3"/>
  <c r="D57" i="3"/>
  <c r="C57" i="3"/>
  <c r="B57" i="3"/>
  <c r="H57" i="3" s="1"/>
  <c r="A57" i="3"/>
  <c r="J56" i="3"/>
  <c r="I56" i="3"/>
  <c r="H56" i="3"/>
  <c r="G56" i="3"/>
  <c r="F56" i="3"/>
  <c r="E56" i="3"/>
  <c r="D56" i="3"/>
  <c r="C56" i="3"/>
  <c r="B56" i="3"/>
  <c r="A56" i="3"/>
  <c r="G55" i="3"/>
  <c r="I55" i="3" s="1"/>
  <c r="F55" i="3"/>
  <c r="E55" i="3"/>
  <c r="D55" i="3"/>
  <c r="C55" i="3"/>
  <c r="B55" i="3"/>
  <c r="H55" i="3" s="1"/>
  <c r="A55" i="3"/>
  <c r="J54" i="3"/>
  <c r="I54" i="3"/>
  <c r="H54" i="3"/>
  <c r="G54" i="3"/>
  <c r="F54" i="3"/>
  <c r="E54" i="3"/>
  <c r="D54" i="3"/>
  <c r="C54" i="3"/>
  <c r="B54" i="3"/>
  <c r="A54" i="3"/>
  <c r="H53" i="3"/>
  <c r="G53" i="3"/>
  <c r="J53" i="3" s="1"/>
  <c r="F53" i="3"/>
  <c r="E53" i="3"/>
  <c r="D53" i="3"/>
  <c r="C53" i="3"/>
  <c r="B53" i="3"/>
  <c r="A53" i="3"/>
  <c r="J52" i="3"/>
  <c r="I52" i="3"/>
  <c r="H52" i="3"/>
  <c r="G52" i="3"/>
  <c r="F52" i="3"/>
  <c r="E52" i="3"/>
  <c r="D52" i="3"/>
  <c r="C52" i="3"/>
  <c r="B52" i="3"/>
  <c r="A52" i="3"/>
  <c r="G51" i="3"/>
  <c r="J51" i="3" s="1"/>
  <c r="F51" i="3"/>
  <c r="E51" i="3"/>
  <c r="D51" i="3"/>
  <c r="C51" i="3"/>
  <c r="B51" i="3"/>
  <c r="H51" i="3" s="1"/>
  <c r="A51" i="3"/>
  <c r="I50" i="3"/>
  <c r="G50" i="3"/>
  <c r="J50" i="3" s="1"/>
  <c r="F50" i="3"/>
  <c r="E50" i="3"/>
  <c r="D50" i="3"/>
  <c r="C50" i="3"/>
  <c r="B50" i="3"/>
  <c r="H50" i="3" s="1"/>
  <c r="A50" i="3"/>
  <c r="G49" i="3"/>
  <c r="J49" i="3" s="1"/>
  <c r="F49" i="3"/>
  <c r="E49" i="3"/>
  <c r="D49" i="3"/>
  <c r="C49" i="3"/>
  <c r="B49" i="3"/>
  <c r="H49" i="3" s="1"/>
  <c r="A49" i="3"/>
  <c r="J48" i="3"/>
  <c r="I48" i="3"/>
  <c r="H48" i="3"/>
  <c r="G48" i="3"/>
  <c r="F48" i="3"/>
  <c r="E48" i="3"/>
  <c r="D48" i="3"/>
  <c r="C48" i="3"/>
  <c r="B48" i="3"/>
  <c r="A48" i="3"/>
  <c r="G47" i="3"/>
  <c r="I47" i="3" s="1"/>
  <c r="F47" i="3"/>
  <c r="E47" i="3"/>
  <c r="D47" i="3"/>
  <c r="C47" i="3"/>
  <c r="B47" i="3"/>
  <c r="H47" i="3" s="1"/>
  <c r="A47" i="3"/>
  <c r="J46" i="3"/>
  <c r="I46" i="3"/>
  <c r="H46" i="3"/>
  <c r="G46" i="3"/>
  <c r="F46" i="3"/>
  <c r="E46" i="3"/>
  <c r="D46" i="3"/>
  <c r="C46" i="3"/>
  <c r="B46" i="3"/>
  <c r="A46" i="3"/>
  <c r="H45" i="3"/>
  <c r="G45" i="3"/>
  <c r="J45" i="3" s="1"/>
  <c r="F45" i="3"/>
  <c r="E45" i="3"/>
  <c r="D45" i="3"/>
  <c r="C45" i="3"/>
  <c r="B45" i="3"/>
  <c r="A45" i="3"/>
  <c r="J44" i="3"/>
  <c r="I44" i="3"/>
  <c r="H44" i="3"/>
  <c r="G44" i="3"/>
  <c r="F44" i="3"/>
  <c r="E44" i="3"/>
  <c r="D44" i="3"/>
  <c r="C44" i="3"/>
  <c r="B44" i="3"/>
  <c r="A44" i="3"/>
  <c r="G43" i="3"/>
  <c r="J43" i="3" s="1"/>
  <c r="F43" i="3"/>
  <c r="E43" i="3"/>
  <c r="D43" i="3"/>
  <c r="C43" i="3"/>
  <c r="B43" i="3"/>
  <c r="H43" i="3" s="1"/>
  <c r="A43" i="3"/>
  <c r="I42" i="3"/>
  <c r="G42" i="3"/>
  <c r="J42" i="3" s="1"/>
  <c r="F42" i="3"/>
  <c r="E42" i="3"/>
  <c r="D42" i="3"/>
  <c r="C42" i="3"/>
  <c r="B42" i="3"/>
  <c r="H42" i="3" s="1"/>
  <c r="A42" i="3"/>
  <c r="G41" i="3"/>
  <c r="J41" i="3" s="1"/>
  <c r="F41" i="3"/>
  <c r="E41" i="3"/>
  <c r="D41" i="3"/>
  <c r="C41" i="3"/>
  <c r="B41" i="3"/>
  <c r="H41" i="3" s="1"/>
  <c r="A41" i="3"/>
  <c r="J40" i="3"/>
  <c r="I40" i="3"/>
  <c r="H40" i="3"/>
  <c r="G40" i="3"/>
  <c r="F40" i="3"/>
  <c r="E40" i="3"/>
  <c r="D40" i="3"/>
  <c r="C40" i="3"/>
  <c r="B40" i="3"/>
  <c r="A40" i="3"/>
  <c r="G39" i="3"/>
  <c r="I39" i="3" s="1"/>
  <c r="F39" i="3"/>
  <c r="E39" i="3"/>
  <c r="D39" i="3"/>
  <c r="C39" i="3"/>
  <c r="B39" i="3"/>
  <c r="H39" i="3" s="1"/>
  <c r="A39" i="3"/>
  <c r="J38" i="3"/>
  <c r="I38" i="3"/>
  <c r="H38" i="3"/>
  <c r="G38" i="3"/>
  <c r="F38" i="3"/>
  <c r="E38" i="3"/>
  <c r="D38" i="3"/>
  <c r="C38" i="3"/>
  <c r="B38" i="3"/>
  <c r="A38" i="3"/>
  <c r="H37" i="3"/>
  <c r="G37" i="3"/>
  <c r="J37" i="3" s="1"/>
  <c r="F37" i="3"/>
  <c r="E37" i="3"/>
  <c r="D37" i="3"/>
  <c r="C37" i="3"/>
  <c r="B37" i="3"/>
  <c r="A37" i="3"/>
  <c r="J36" i="3"/>
  <c r="I36" i="3"/>
  <c r="H36" i="3"/>
  <c r="G36" i="3"/>
  <c r="F36" i="3"/>
  <c r="E36" i="3"/>
  <c r="D36" i="3"/>
  <c r="C36" i="3"/>
  <c r="B36" i="3"/>
  <c r="A36" i="3"/>
  <c r="G35" i="3"/>
  <c r="J35" i="3" s="1"/>
  <c r="F35" i="3"/>
  <c r="E35" i="3"/>
  <c r="D35" i="3"/>
  <c r="C35" i="3"/>
  <c r="B35" i="3"/>
  <c r="H35" i="3" s="1"/>
  <c r="A35" i="3"/>
  <c r="I34" i="3"/>
  <c r="G34" i="3"/>
  <c r="J34" i="3" s="1"/>
  <c r="F34" i="3"/>
  <c r="E34" i="3"/>
  <c r="D34" i="3"/>
  <c r="C34" i="3"/>
  <c r="B34" i="3"/>
  <c r="H34" i="3" s="1"/>
  <c r="A34" i="3"/>
  <c r="G33" i="3"/>
  <c r="J33" i="3" s="1"/>
  <c r="F33" i="3"/>
  <c r="E33" i="3"/>
  <c r="D33" i="3"/>
  <c r="C33" i="3"/>
  <c r="B33" i="3"/>
  <c r="H33" i="3" s="1"/>
  <c r="A33" i="3"/>
  <c r="J32" i="3"/>
  <c r="I32" i="3"/>
  <c r="G32" i="3"/>
  <c r="F32" i="3"/>
  <c r="E32" i="3"/>
  <c r="D32" i="3"/>
  <c r="C32" i="3"/>
  <c r="B32" i="3"/>
  <c r="H32" i="3" s="1"/>
  <c r="A32" i="3"/>
  <c r="G31" i="3"/>
  <c r="I31" i="3" s="1"/>
  <c r="F31" i="3"/>
  <c r="E31" i="3"/>
  <c r="D31" i="3"/>
  <c r="C31" i="3"/>
  <c r="B31" i="3"/>
  <c r="H31" i="3" s="1"/>
  <c r="A31" i="3"/>
  <c r="J30" i="3"/>
  <c r="I30" i="3"/>
  <c r="H30" i="3"/>
  <c r="G30" i="3"/>
  <c r="F30" i="3"/>
  <c r="E30" i="3"/>
  <c r="D30" i="3"/>
  <c r="C30" i="3"/>
  <c r="B30" i="3"/>
  <c r="A30" i="3"/>
  <c r="H29" i="3"/>
  <c r="G29" i="3"/>
  <c r="J29" i="3" s="1"/>
  <c r="F29" i="3"/>
  <c r="E29" i="3"/>
  <c r="D29" i="3"/>
  <c r="C29" i="3"/>
  <c r="B29" i="3"/>
  <c r="A29" i="3"/>
  <c r="J28" i="3"/>
  <c r="I28" i="3"/>
  <c r="H28" i="3"/>
  <c r="G28" i="3"/>
  <c r="F28" i="3"/>
  <c r="E28" i="3"/>
  <c r="D28" i="3"/>
  <c r="C28" i="3"/>
  <c r="B28" i="3"/>
  <c r="A28" i="3"/>
  <c r="G27" i="3"/>
  <c r="J27" i="3" s="1"/>
  <c r="F27" i="3"/>
  <c r="E27" i="3"/>
  <c r="D27" i="3"/>
  <c r="C27" i="3"/>
  <c r="B27" i="3"/>
  <c r="H27" i="3" s="1"/>
  <c r="A27" i="3"/>
  <c r="I26" i="3"/>
  <c r="G26" i="3"/>
  <c r="J26" i="3" s="1"/>
  <c r="F26" i="3"/>
  <c r="E26" i="3"/>
  <c r="D26" i="3"/>
  <c r="C26" i="3"/>
  <c r="B26" i="3"/>
  <c r="H26" i="3" s="1"/>
  <c r="A26" i="3"/>
  <c r="G25" i="3"/>
  <c r="J25" i="3" s="1"/>
  <c r="F25" i="3"/>
  <c r="E25" i="3"/>
  <c r="D25" i="3"/>
  <c r="C25" i="3"/>
  <c r="B25" i="3"/>
  <c r="H25" i="3" s="1"/>
  <c r="A25" i="3"/>
  <c r="J24" i="3"/>
  <c r="I24" i="3"/>
  <c r="G24" i="3"/>
  <c r="F24" i="3"/>
  <c r="E24" i="3"/>
  <c r="D24" i="3"/>
  <c r="C24" i="3"/>
  <c r="B24" i="3"/>
  <c r="H24" i="3" s="1"/>
  <c r="A24" i="3"/>
  <c r="G23" i="3"/>
  <c r="I23" i="3" s="1"/>
  <c r="F23" i="3"/>
  <c r="E23" i="3"/>
  <c r="D23" i="3"/>
  <c r="C23" i="3"/>
  <c r="B23" i="3"/>
  <c r="H23" i="3" s="1"/>
  <c r="A23" i="3"/>
  <c r="J22" i="3"/>
  <c r="I22" i="3"/>
  <c r="H22" i="3"/>
  <c r="G22" i="3"/>
  <c r="F22" i="3"/>
  <c r="E22" i="3"/>
  <c r="D22" i="3"/>
  <c r="C22" i="3"/>
  <c r="B22" i="3"/>
  <c r="A22" i="3"/>
  <c r="H21" i="3"/>
  <c r="G21" i="3"/>
  <c r="J21" i="3" s="1"/>
  <c r="F21" i="3"/>
  <c r="E21" i="3"/>
  <c r="D21" i="3"/>
  <c r="C21" i="3"/>
  <c r="B21" i="3"/>
  <c r="A21" i="3"/>
  <c r="J20" i="3"/>
  <c r="I20" i="3"/>
  <c r="H20" i="3"/>
  <c r="G20" i="3"/>
  <c r="F20" i="3"/>
  <c r="E20" i="3"/>
  <c r="D20" i="3"/>
  <c r="C20" i="3"/>
  <c r="B20" i="3"/>
  <c r="A20" i="3"/>
  <c r="G19" i="3"/>
  <c r="J19" i="3" s="1"/>
  <c r="F19" i="3"/>
  <c r="E19" i="3"/>
  <c r="D19" i="3"/>
  <c r="C19" i="3"/>
  <c r="B19" i="3"/>
  <c r="H19" i="3" s="1"/>
  <c r="A19" i="3"/>
  <c r="I18" i="3"/>
  <c r="G18" i="3"/>
  <c r="J18" i="3" s="1"/>
  <c r="F18" i="3"/>
  <c r="E18" i="3"/>
  <c r="D18" i="3"/>
  <c r="C18" i="3"/>
  <c r="B18" i="3"/>
  <c r="H18" i="3" s="1"/>
  <c r="A18" i="3"/>
  <c r="H17" i="3"/>
  <c r="G17" i="3"/>
  <c r="J17" i="3" s="1"/>
  <c r="F17" i="3"/>
  <c r="E17" i="3"/>
  <c r="D17" i="3"/>
  <c r="C17" i="3"/>
  <c r="B17" i="3"/>
  <c r="A17" i="3"/>
  <c r="J16" i="3"/>
  <c r="I16" i="3"/>
  <c r="G16" i="3"/>
  <c r="F16" i="3"/>
  <c r="E16" i="3"/>
  <c r="D16" i="3"/>
  <c r="C16" i="3"/>
  <c r="B16" i="3"/>
  <c r="H16" i="3" s="1"/>
  <c r="A16" i="3"/>
  <c r="G15" i="3"/>
  <c r="I15" i="3" s="1"/>
  <c r="F15" i="3"/>
  <c r="E15" i="3"/>
  <c r="D15" i="3"/>
  <c r="C15" i="3"/>
  <c r="B15" i="3"/>
  <c r="H15" i="3" s="1"/>
  <c r="A15" i="3"/>
  <c r="J14" i="3"/>
  <c r="I14" i="3"/>
  <c r="H14" i="3"/>
  <c r="G14" i="3"/>
  <c r="F14" i="3"/>
  <c r="E14" i="3"/>
  <c r="D14" i="3"/>
  <c r="C14" i="3"/>
  <c r="B14" i="3"/>
  <c r="A14" i="3"/>
  <c r="H13" i="3"/>
  <c r="G13" i="3"/>
  <c r="J13" i="3" s="1"/>
  <c r="F13" i="3"/>
  <c r="E13" i="3"/>
  <c r="D13" i="3"/>
  <c r="C13" i="3"/>
  <c r="B13" i="3"/>
  <c r="A13" i="3"/>
  <c r="J12" i="3"/>
  <c r="I12" i="3"/>
  <c r="H12" i="3"/>
  <c r="G12" i="3"/>
  <c r="F12" i="3"/>
  <c r="E12" i="3"/>
  <c r="D12" i="3"/>
  <c r="C12" i="3"/>
  <c r="B12" i="3"/>
  <c r="A12" i="3"/>
  <c r="G11" i="3"/>
  <c r="J11" i="3" s="1"/>
  <c r="F11" i="3"/>
  <c r="E11" i="3"/>
  <c r="D11" i="3"/>
  <c r="C11" i="3"/>
  <c r="B11" i="3"/>
  <c r="H11" i="3" s="1"/>
  <c r="A11" i="3"/>
  <c r="I10" i="3"/>
  <c r="G10" i="3"/>
  <c r="J10" i="3" s="1"/>
  <c r="F10" i="3"/>
  <c r="E10" i="3"/>
  <c r="D10" i="3"/>
  <c r="C10" i="3"/>
  <c r="B10" i="3"/>
  <c r="H10" i="3" s="1"/>
  <c r="A10" i="3"/>
  <c r="H9" i="3"/>
  <c r="G9" i="3"/>
  <c r="J9" i="3" s="1"/>
  <c r="F9" i="3"/>
  <c r="E9" i="3"/>
  <c r="D9" i="3"/>
  <c r="C9" i="3"/>
  <c r="B9" i="3"/>
  <c r="A9" i="3"/>
  <c r="J8" i="3"/>
  <c r="I8" i="3"/>
  <c r="G8" i="3"/>
  <c r="F8" i="3"/>
  <c r="E8" i="3"/>
  <c r="D8" i="3"/>
  <c r="C8" i="3"/>
  <c r="B8" i="3"/>
  <c r="H8" i="3" s="1"/>
  <c r="A8" i="3"/>
  <c r="G7" i="3"/>
  <c r="I7" i="3" s="1"/>
  <c r="F7" i="3"/>
  <c r="E7" i="3"/>
  <c r="D7" i="3"/>
  <c r="C7" i="3"/>
  <c r="B7" i="3"/>
  <c r="H7" i="3" s="1"/>
  <c r="A7" i="3"/>
  <c r="J6" i="3"/>
  <c r="I6" i="3"/>
  <c r="H6" i="3"/>
  <c r="G6" i="3"/>
  <c r="F6" i="3"/>
  <c r="E6" i="3"/>
  <c r="D6" i="3"/>
  <c r="C6" i="3"/>
  <c r="B6" i="3"/>
  <c r="A6" i="3"/>
  <c r="H5" i="3"/>
  <c r="G5" i="3"/>
  <c r="J5" i="3" s="1"/>
  <c r="F5" i="3"/>
  <c r="E5" i="3"/>
  <c r="D5" i="3"/>
  <c r="C5" i="3"/>
  <c r="B5" i="3"/>
  <c r="A5" i="3"/>
  <c r="J4" i="3"/>
  <c r="I4" i="3"/>
  <c r="H4" i="3"/>
  <c r="G4" i="3"/>
  <c r="F4" i="3"/>
  <c r="E4" i="3"/>
  <c r="D4" i="3"/>
  <c r="C4" i="3"/>
  <c r="B4" i="3"/>
  <c r="A4" i="3"/>
  <c r="G3" i="3"/>
  <c r="J3" i="3" s="1"/>
  <c r="F3" i="3"/>
  <c r="E3" i="3"/>
  <c r="D3" i="3"/>
  <c r="C3" i="3"/>
  <c r="B3" i="3"/>
  <c r="H3" i="3" s="1"/>
  <c r="A3" i="3"/>
  <c r="J2" i="3"/>
  <c r="I2" i="3"/>
  <c r="H2" i="3"/>
  <c r="G2" i="3"/>
  <c r="F2" i="3"/>
  <c r="E2" i="3"/>
  <c r="D2" i="3"/>
  <c r="C2" i="3"/>
  <c r="B2" i="3"/>
  <c r="A2" i="3"/>
  <c r="B11" i="4" l="1"/>
  <c r="C111" i="4"/>
  <c r="B111" i="4"/>
  <c r="C99" i="4"/>
  <c r="C92" i="4"/>
  <c r="D92" i="4" s="1"/>
  <c r="B94" i="4"/>
  <c r="C91" i="4"/>
  <c r="B91" i="4"/>
  <c r="D91" i="4" s="1"/>
  <c r="B81" i="4"/>
  <c r="C64" i="4"/>
  <c r="D64" i="4" s="1"/>
  <c r="D7" i="6"/>
  <c r="C56" i="4"/>
  <c r="E7" i="6"/>
  <c r="B76" i="4"/>
  <c r="C44" i="4"/>
  <c r="F9" i="6"/>
  <c r="B57" i="4"/>
  <c r="G18" i="6"/>
  <c r="B56" i="4"/>
  <c r="D56" i="4" s="1"/>
  <c r="E32" i="6"/>
  <c r="B44" i="4"/>
  <c r="B20" i="4"/>
  <c r="D76" i="4"/>
  <c r="C14" i="6"/>
  <c r="E16" i="6"/>
  <c r="D23" i="6"/>
  <c r="F25" i="6"/>
  <c r="C21" i="4"/>
  <c r="H27" i="6"/>
  <c r="B32" i="4"/>
  <c r="D32" i="4" s="1"/>
  <c r="C20" i="4"/>
  <c r="D20" i="4" s="1"/>
  <c r="C30" i="6"/>
  <c r="B103" i="4"/>
  <c r="G34" i="6"/>
  <c r="D39" i="6"/>
  <c r="B99" i="4"/>
  <c r="D99" i="4" s="1"/>
  <c r="C5" i="6"/>
  <c r="F41" i="6"/>
  <c r="H44" i="6"/>
  <c r="C47" i="6"/>
  <c r="E49" i="6"/>
  <c r="G51" i="6"/>
  <c r="D56" i="6"/>
  <c r="F58" i="6"/>
  <c r="H60" i="6"/>
  <c r="C12" i="7"/>
  <c r="B13" i="8"/>
  <c r="B21" i="8"/>
  <c r="B12" i="9"/>
  <c r="B11" i="10"/>
  <c r="C10" i="11"/>
  <c r="G9" i="6"/>
  <c r="D14" i="6"/>
  <c r="F16" i="6"/>
  <c r="H18" i="6"/>
  <c r="C21" i="6"/>
  <c r="E23" i="6"/>
  <c r="G25" i="6"/>
  <c r="D30" i="6"/>
  <c r="F32" i="6"/>
  <c r="H34" i="6"/>
  <c r="C37" i="6"/>
  <c r="E39" i="6"/>
  <c r="G41" i="6"/>
  <c r="D47" i="6"/>
  <c r="F49" i="6"/>
  <c r="H51" i="6"/>
  <c r="C54" i="6"/>
  <c r="E56" i="6"/>
  <c r="G58" i="6"/>
  <c r="B13" i="7"/>
  <c r="C13" i="8"/>
  <c r="C21" i="8"/>
  <c r="C12" i="9"/>
  <c r="C11" i="10"/>
  <c r="B11" i="11"/>
  <c r="B98" i="4"/>
  <c r="B75" i="4"/>
  <c r="B55" i="4"/>
  <c r="B31" i="4"/>
  <c r="C90" i="4"/>
  <c r="C63" i="4"/>
  <c r="C43" i="4"/>
  <c r="C19" i="4"/>
  <c r="D5" i="6"/>
  <c r="F7" i="6"/>
  <c r="H9" i="6"/>
  <c r="C12" i="6"/>
  <c r="E14" i="6"/>
  <c r="G16" i="6"/>
  <c r="D21" i="6"/>
  <c r="F23" i="6"/>
  <c r="H25" i="6"/>
  <c r="C28" i="6"/>
  <c r="E30" i="6"/>
  <c r="G32" i="6"/>
  <c r="D37" i="6"/>
  <c r="F39" i="6"/>
  <c r="H41" i="6"/>
  <c r="C45" i="6"/>
  <c r="E47" i="6"/>
  <c r="G49" i="6"/>
  <c r="D54" i="6"/>
  <c r="F56" i="6"/>
  <c r="H58" i="6"/>
  <c r="C61" i="6"/>
  <c r="C13" i="7"/>
  <c r="B14" i="8"/>
  <c r="B22" i="8"/>
  <c r="B12" i="10"/>
  <c r="C11" i="11"/>
  <c r="B97" i="4"/>
  <c r="B74" i="4"/>
  <c r="B54" i="4"/>
  <c r="B30" i="4"/>
  <c r="C107" i="4"/>
  <c r="C62" i="4"/>
  <c r="C42" i="4"/>
  <c r="C18" i="4"/>
  <c r="E5" i="6"/>
  <c r="G7" i="6"/>
  <c r="D12" i="6"/>
  <c r="F14" i="6"/>
  <c r="H16" i="6"/>
  <c r="C19" i="6"/>
  <c r="E21" i="6"/>
  <c r="G23" i="6"/>
  <c r="D28" i="6"/>
  <c r="F30" i="6"/>
  <c r="H32" i="6"/>
  <c r="C35" i="6"/>
  <c r="E37" i="6"/>
  <c r="G39" i="6"/>
  <c r="D45" i="6"/>
  <c r="F47" i="6"/>
  <c r="H49" i="6"/>
  <c r="C52" i="6"/>
  <c r="E54" i="6"/>
  <c r="G56" i="6"/>
  <c r="D61" i="6"/>
  <c r="C14" i="8"/>
  <c r="C22" i="8"/>
  <c r="C12" i="10"/>
  <c r="B12" i="11"/>
  <c r="B73" i="4"/>
  <c r="C106" i="4"/>
  <c r="C61" i="4"/>
  <c r="C17" i="4"/>
  <c r="F5" i="6"/>
  <c r="H7" i="6"/>
  <c r="C10" i="6"/>
  <c r="E12" i="6"/>
  <c r="G14" i="6"/>
  <c r="D19" i="6"/>
  <c r="F21" i="6"/>
  <c r="H23" i="6"/>
  <c r="C26" i="6"/>
  <c r="E28" i="6"/>
  <c r="G30" i="6"/>
  <c r="D35" i="6"/>
  <c r="F37" i="6"/>
  <c r="H39" i="6"/>
  <c r="C43" i="6"/>
  <c r="E45" i="6"/>
  <c r="G47" i="6"/>
  <c r="D52" i="6"/>
  <c r="F54" i="6"/>
  <c r="H56" i="6"/>
  <c r="C59" i="6"/>
  <c r="E61" i="6"/>
  <c r="B15" i="8"/>
  <c r="B23" i="8"/>
  <c r="B17" i="9"/>
  <c r="B13" i="10"/>
  <c r="C12" i="11"/>
  <c r="B96" i="4"/>
  <c r="C86" i="4"/>
  <c r="B95" i="4"/>
  <c r="B50" i="4"/>
  <c r="B26" i="4"/>
  <c r="C105" i="4"/>
  <c r="C60" i="4"/>
  <c r="C38" i="4"/>
  <c r="C16" i="4"/>
  <c r="G5" i="6"/>
  <c r="D10" i="6"/>
  <c r="F12" i="6"/>
  <c r="H14" i="6"/>
  <c r="C17" i="6"/>
  <c r="E19" i="6"/>
  <c r="G21" i="6"/>
  <c r="D26" i="6"/>
  <c r="F28" i="6"/>
  <c r="H30" i="6"/>
  <c r="C33" i="6"/>
  <c r="E35" i="6"/>
  <c r="G37" i="6"/>
  <c r="D43" i="6"/>
  <c r="F45" i="6"/>
  <c r="H47" i="6"/>
  <c r="C50" i="6"/>
  <c r="E52" i="6"/>
  <c r="G54" i="6"/>
  <c r="D59" i="6"/>
  <c r="F61" i="6"/>
  <c r="C15" i="8"/>
  <c r="C23" i="8"/>
  <c r="C17" i="9"/>
  <c r="C13" i="10"/>
  <c r="B13" i="11"/>
  <c r="B49" i="4"/>
  <c r="C104" i="4"/>
  <c r="C82" i="4"/>
  <c r="C37" i="4"/>
  <c r="H5" i="6"/>
  <c r="C8" i="6"/>
  <c r="E10" i="6"/>
  <c r="G12" i="6"/>
  <c r="D17" i="6"/>
  <c r="F19" i="6"/>
  <c r="H21" i="6"/>
  <c r="C24" i="6"/>
  <c r="E26" i="6"/>
  <c r="G28" i="6"/>
  <c r="D33" i="6"/>
  <c r="F35" i="6"/>
  <c r="H37" i="6"/>
  <c r="C40" i="6"/>
  <c r="E43" i="6"/>
  <c r="G45" i="6"/>
  <c r="D50" i="6"/>
  <c r="F52" i="6"/>
  <c r="H54" i="6"/>
  <c r="C57" i="6"/>
  <c r="E59" i="6"/>
  <c r="G61" i="6"/>
  <c r="B16" i="8"/>
  <c r="B18" i="9"/>
  <c r="B14" i="10"/>
  <c r="C13" i="11"/>
  <c r="B69" i="4"/>
  <c r="B25" i="4"/>
  <c r="C59" i="4"/>
  <c r="B93" i="4"/>
  <c r="B68" i="4"/>
  <c r="B48" i="4"/>
  <c r="C103" i="4"/>
  <c r="C81" i="4"/>
  <c r="D81" i="4" s="1"/>
  <c r="C58" i="4"/>
  <c r="C36" i="4"/>
  <c r="D8" i="6"/>
  <c r="F10" i="6"/>
  <c r="H12" i="6"/>
  <c r="C15" i="6"/>
  <c r="E17" i="6"/>
  <c r="G19" i="6"/>
  <c r="D24" i="6"/>
  <c r="F26" i="6"/>
  <c r="H28" i="6"/>
  <c r="C31" i="6"/>
  <c r="E33" i="6"/>
  <c r="G35" i="6"/>
  <c r="D40" i="6"/>
  <c r="F43" i="6"/>
  <c r="H45" i="6"/>
  <c r="C48" i="6"/>
  <c r="E50" i="6"/>
  <c r="G52" i="6"/>
  <c r="D57" i="6"/>
  <c r="F59" i="6"/>
  <c r="H61" i="6"/>
  <c r="C16" i="8"/>
  <c r="C18" i="9"/>
  <c r="C14" i="10"/>
  <c r="B14" i="11"/>
  <c r="B21" i="4"/>
  <c r="C57" i="4"/>
  <c r="D57" i="4" s="1"/>
  <c r="C6" i="6"/>
  <c r="E8" i="6"/>
  <c r="G10" i="6"/>
  <c r="D15" i="6"/>
  <c r="F17" i="6"/>
  <c r="H19" i="6"/>
  <c r="C22" i="6"/>
  <c r="E24" i="6"/>
  <c r="G26" i="6"/>
  <c r="D31" i="6"/>
  <c r="F33" i="6"/>
  <c r="H35" i="6"/>
  <c r="C38" i="6"/>
  <c r="E40" i="6"/>
  <c r="G43" i="6"/>
  <c r="D48" i="6"/>
  <c r="F50" i="6"/>
  <c r="H52" i="6"/>
  <c r="C55" i="6"/>
  <c r="E57" i="6"/>
  <c r="G59" i="6"/>
  <c r="B17" i="8"/>
  <c r="B19" i="9"/>
  <c r="C14" i="11"/>
  <c r="D6" i="6"/>
  <c r="F8" i="6"/>
  <c r="H10" i="6"/>
  <c r="C13" i="6"/>
  <c r="E15" i="6"/>
  <c r="G17" i="6"/>
  <c r="D22" i="6"/>
  <c r="F24" i="6"/>
  <c r="H26" i="6"/>
  <c r="C29" i="6"/>
  <c r="E31" i="6"/>
  <c r="G33" i="6"/>
  <c r="D38" i="6"/>
  <c r="F40" i="6"/>
  <c r="H43" i="6"/>
  <c r="C46" i="6"/>
  <c r="E48" i="6"/>
  <c r="G50" i="6"/>
  <c r="D55" i="6"/>
  <c r="F57" i="6"/>
  <c r="H59" i="6"/>
  <c r="C17" i="8"/>
  <c r="C19" i="9"/>
  <c r="B15" i="11"/>
  <c r="B90" i="4"/>
  <c r="D90" i="4" s="1"/>
  <c r="B63" i="4"/>
  <c r="D63" i="4" s="1"/>
  <c r="B43" i="4"/>
  <c r="B19" i="4"/>
  <c r="D19" i="4" s="1"/>
  <c r="C98" i="4"/>
  <c r="C75" i="4"/>
  <c r="C55" i="4"/>
  <c r="C31" i="4"/>
  <c r="E6" i="6"/>
  <c r="G8" i="6"/>
  <c r="D13" i="6"/>
  <c r="F15" i="6"/>
  <c r="H17" i="6"/>
  <c r="C20" i="6"/>
  <c r="E22" i="6"/>
  <c r="G24" i="6"/>
  <c r="D29" i="6"/>
  <c r="F31" i="6"/>
  <c r="H33" i="6"/>
  <c r="C36" i="6"/>
  <c r="E38" i="6"/>
  <c r="G40" i="6"/>
  <c r="D46" i="6"/>
  <c r="F48" i="6"/>
  <c r="H50" i="6"/>
  <c r="C53" i="6"/>
  <c r="E55" i="6"/>
  <c r="G57" i="6"/>
  <c r="B10" i="8"/>
  <c r="B18" i="8"/>
  <c r="C15" i="11"/>
  <c r="B107" i="4"/>
  <c r="D107" i="4" s="1"/>
  <c r="B62" i="4"/>
  <c r="D62" i="4" s="1"/>
  <c r="B42" i="4"/>
  <c r="D42" i="4" s="1"/>
  <c r="B18" i="4"/>
  <c r="D18" i="4" s="1"/>
  <c r="C97" i="4"/>
  <c r="C74" i="4"/>
  <c r="C54" i="4"/>
  <c r="C30" i="4"/>
  <c r="F6" i="6"/>
  <c r="H8" i="6"/>
  <c r="C11" i="6"/>
  <c r="E13" i="6"/>
  <c r="G15" i="6"/>
  <c r="D20" i="6"/>
  <c r="F22" i="6"/>
  <c r="H24" i="6"/>
  <c r="C27" i="6"/>
  <c r="E29" i="6"/>
  <c r="G31" i="6"/>
  <c r="D36" i="6"/>
  <c r="F38" i="6"/>
  <c r="H40" i="6"/>
  <c r="C44" i="6"/>
  <c r="E46" i="6"/>
  <c r="G48" i="6"/>
  <c r="D53" i="6"/>
  <c r="F55" i="6"/>
  <c r="H57" i="6"/>
  <c r="C60" i="6"/>
  <c r="B10" i="7"/>
  <c r="C10" i="8"/>
  <c r="C18" i="8"/>
  <c r="B106" i="4"/>
  <c r="B86" i="4"/>
  <c r="D86" i="4" s="1"/>
  <c r="B61" i="4"/>
  <c r="D61" i="4" s="1"/>
  <c r="B17" i="4"/>
  <c r="D17" i="4" s="1"/>
  <c r="C96" i="4"/>
  <c r="C73" i="4"/>
  <c r="G6" i="6"/>
  <c r="D11" i="6"/>
  <c r="F13" i="6"/>
  <c r="H15" i="6"/>
  <c r="C18" i="6"/>
  <c r="E20" i="6"/>
  <c r="G22" i="6"/>
  <c r="D27" i="6"/>
  <c r="F29" i="6"/>
  <c r="H31" i="6"/>
  <c r="C34" i="6"/>
  <c r="E36" i="6"/>
  <c r="G38" i="6"/>
  <c r="D44" i="6"/>
  <c r="F46" i="6"/>
  <c r="H48" i="6"/>
  <c r="C51" i="6"/>
  <c r="E53" i="6"/>
  <c r="G55" i="6"/>
  <c r="D60" i="6"/>
  <c r="C10" i="7"/>
  <c r="B11" i="8"/>
  <c r="B19" i="8"/>
  <c r="B105" i="4"/>
  <c r="D105" i="4" s="1"/>
  <c r="B60" i="4"/>
  <c r="D60" i="4" s="1"/>
  <c r="B38" i="4"/>
  <c r="B16" i="4"/>
  <c r="D16" i="4" s="1"/>
  <c r="C95" i="4"/>
  <c r="C50" i="4"/>
  <c r="C26" i="4"/>
  <c r="H6" i="6"/>
  <c r="C9" i="6"/>
  <c r="E11" i="6"/>
  <c r="G13" i="6"/>
  <c r="D18" i="6"/>
  <c r="F20" i="6"/>
  <c r="H22" i="6"/>
  <c r="C25" i="6"/>
  <c r="E27" i="6"/>
  <c r="G29" i="6"/>
  <c r="D34" i="6"/>
  <c r="F36" i="6"/>
  <c r="H38" i="6"/>
  <c r="C41" i="6"/>
  <c r="E44" i="6"/>
  <c r="G46" i="6"/>
  <c r="D51" i="6"/>
  <c r="F53" i="6"/>
  <c r="H55" i="6"/>
  <c r="C58" i="6"/>
  <c r="E60" i="6"/>
  <c r="B11" i="7"/>
  <c r="C11" i="8"/>
  <c r="C19" i="8"/>
  <c r="B104" i="4"/>
  <c r="D104" i="4" s="1"/>
  <c r="B82" i="4"/>
  <c r="D82" i="4" s="1"/>
  <c r="B59" i="4"/>
  <c r="D59" i="4" s="1"/>
  <c r="B37" i="4"/>
  <c r="D37" i="4" s="1"/>
  <c r="C94" i="4"/>
  <c r="D94" i="4" s="1"/>
  <c r="C69" i="4"/>
  <c r="C49" i="4"/>
  <c r="C25" i="4"/>
  <c r="D9" i="6"/>
  <c r="F11" i="6"/>
  <c r="H13" i="6"/>
  <c r="C16" i="6"/>
  <c r="E18" i="6"/>
  <c r="G20" i="6"/>
  <c r="D25" i="6"/>
  <c r="F27" i="6"/>
  <c r="H29" i="6"/>
  <c r="C32" i="6"/>
  <c r="E34" i="6"/>
  <c r="G36" i="6"/>
  <c r="D41" i="6"/>
  <c r="F44" i="6"/>
  <c r="H46" i="6"/>
  <c r="C49" i="6"/>
  <c r="E51" i="6"/>
  <c r="G53" i="6"/>
  <c r="D58" i="6"/>
  <c r="F60" i="6"/>
  <c r="C11" i="7"/>
  <c r="B12" i="8"/>
  <c r="B20" i="8"/>
  <c r="B11" i="9"/>
  <c r="B13" i="9" s="1"/>
  <c r="B10" i="10"/>
  <c r="B15" i="10" s="1"/>
  <c r="B58" i="4"/>
  <c r="B36" i="4"/>
  <c r="C93" i="4"/>
  <c r="C68" i="4"/>
  <c r="C48" i="4"/>
  <c r="C7" i="6"/>
  <c r="E9" i="6"/>
  <c r="G11" i="6"/>
  <c r="D16" i="6"/>
  <c r="F18" i="6"/>
  <c r="H20" i="6"/>
  <c r="C23" i="6"/>
  <c r="I23" i="6" s="1"/>
  <c r="E25" i="6"/>
  <c r="G27" i="6"/>
  <c r="D32" i="6"/>
  <c r="F34" i="6"/>
  <c r="H36" i="6"/>
  <c r="C39" i="6"/>
  <c r="E41" i="6"/>
  <c r="G44" i="6"/>
  <c r="D49" i="6"/>
  <c r="F51" i="6"/>
  <c r="H53" i="6"/>
  <c r="C56" i="6"/>
  <c r="E58" i="6"/>
  <c r="G60" i="6"/>
  <c r="B12" i="7"/>
  <c r="C12" i="8"/>
  <c r="C20" i="8"/>
  <c r="C11" i="9"/>
  <c r="C13" i="9" s="1"/>
  <c r="C10" i="10"/>
  <c r="C15" i="10" s="1"/>
  <c r="J103" i="3"/>
  <c r="I129" i="3"/>
  <c r="I153" i="3"/>
  <c r="I191" i="3"/>
  <c r="I205" i="3"/>
  <c r="I253" i="3"/>
  <c r="I325" i="3"/>
  <c r="J340" i="3"/>
  <c r="I340" i="3"/>
  <c r="I357" i="3"/>
  <c r="J372" i="3"/>
  <c r="I372" i="3"/>
  <c r="J412" i="3"/>
  <c r="I412" i="3"/>
  <c r="J47" i="3"/>
  <c r="J63" i="3"/>
  <c r="J87" i="3"/>
  <c r="J119" i="3"/>
  <c r="J410" i="3"/>
  <c r="I410" i="3"/>
  <c r="J452" i="3"/>
  <c r="I452" i="3"/>
  <c r="I141" i="3"/>
  <c r="I172" i="3"/>
  <c r="I179" i="3"/>
  <c r="I198" i="3"/>
  <c r="I212" i="3"/>
  <c r="I255" i="3"/>
  <c r="I266" i="3"/>
  <c r="I288" i="3"/>
  <c r="I301" i="3"/>
  <c r="I314" i="3"/>
  <c r="I327" i="3"/>
  <c r="J342" i="3"/>
  <c r="I359" i="3"/>
  <c r="J374" i="3"/>
  <c r="J414" i="3"/>
  <c r="J458" i="3"/>
  <c r="I458" i="3"/>
  <c r="J55" i="3"/>
  <c r="J71" i="3"/>
  <c r="J79" i="3"/>
  <c r="I9" i="3"/>
  <c r="I17" i="3"/>
  <c r="I25" i="3"/>
  <c r="I33" i="3"/>
  <c r="I41" i="3"/>
  <c r="I49" i="3"/>
  <c r="I57" i="3"/>
  <c r="I65" i="3"/>
  <c r="I73" i="3"/>
  <c r="I81" i="3"/>
  <c r="I89" i="3"/>
  <c r="I97" i="3"/>
  <c r="I105" i="3"/>
  <c r="I113" i="3"/>
  <c r="I121" i="3"/>
  <c r="I160" i="3"/>
  <c r="I186" i="3"/>
  <c r="I235" i="3"/>
  <c r="I244" i="3"/>
  <c r="J316" i="3"/>
  <c r="I316" i="3"/>
  <c r="I344" i="3"/>
  <c r="I376" i="3"/>
  <c r="I397" i="3"/>
  <c r="J418" i="3"/>
  <c r="I418" i="3"/>
  <c r="J460" i="3"/>
  <c r="I460" i="3"/>
  <c r="J111" i="3"/>
  <c r="J292" i="3"/>
  <c r="I292" i="3"/>
  <c r="I378" i="3"/>
  <c r="J420" i="3"/>
  <c r="I420" i="3"/>
  <c r="J462" i="3"/>
  <c r="J95" i="3"/>
  <c r="J348" i="3"/>
  <c r="I348" i="3"/>
  <c r="J380" i="3"/>
  <c r="I380" i="3"/>
  <c r="J466" i="3"/>
  <c r="I466" i="3"/>
  <c r="J15" i="3"/>
  <c r="J426" i="3"/>
  <c r="I426" i="3"/>
  <c r="I3" i="3"/>
  <c r="I11" i="3"/>
  <c r="I19" i="3"/>
  <c r="I27" i="3"/>
  <c r="I35" i="3"/>
  <c r="I43" i="3"/>
  <c r="I51" i="3"/>
  <c r="I59" i="3"/>
  <c r="I67" i="3"/>
  <c r="I75" i="3"/>
  <c r="I83" i="3"/>
  <c r="I91" i="3"/>
  <c r="I99" i="3"/>
  <c r="I107" i="3"/>
  <c r="I115" i="3"/>
  <c r="I123" i="3"/>
  <c r="I133" i="3"/>
  <c r="I138" i="3"/>
  <c r="I145" i="3"/>
  <c r="I176" i="3"/>
  <c r="I183" i="3"/>
  <c r="I225" i="3"/>
  <c r="I241" i="3"/>
  <c r="I261" i="3"/>
  <c r="I272" i="3"/>
  <c r="I296" i="3"/>
  <c r="I309" i="3"/>
  <c r="I322" i="3"/>
  <c r="I352" i="3"/>
  <c r="I384" i="3"/>
  <c r="J386" i="3"/>
  <c r="I386" i="3"/>
  <c r="J428" i="3"/>
  <c r="I428" i="3"/>
  <c r="I164" i="3"/>
  <c r="I171" i="3"/>
  <c r="I190" i="3"/>
  <c r="I211" i="3"/>
  <c r="I218" i="3"/>
  <c r="I232" i="3"/>
  <c r="J324" i="3"/>
  <c r="I324" i="3"/>
  <c r="J388" i="3"/>
  <c r="I388" i="3"/>
  <c r="J430" i="3"/>
  <c r="J39" i="3"/>
  <c r="J300" i="3"/>
  <c r="I300" i="3"/>
  <c r="J356" i="3"/>
  <c r="I356" i="3"/>
  <c r="J434" i="3"/>
  <c r="I434" i="3"/>
  <c r="J31" i="3"/>
  <c r="I343" i="3"/>
  <c r="J394" i="3"/>
  <c r="I394" i="3"/>
  <c r="J436" i="3"/>
  <c r="I436" i="3"/>
  <c r="J7" i="3"/>
  <c r="I173" i="3"/>
  <c r="I213" i="3"/>
  <c r="I5" i="3"/>
  <c r="I13" i="3"/>
  <c r="I21" i="3"/>
  <c r="I29" i="3"/>
  <c r="I37" i="3"/>
  <c r="I45" i="3"/>
  <c r="I53" i="3"/>
  <c r="I61" i="3"/>
  <c r="I69" i="3"/>
  <c r="I77" i="3"/>
  <c r="I85" i="3"/>
  <c r="I93" i="3"/>
  <c r="I101" i="3"/>
  <c r="I109" i="3"/>
  <c r="I117" i="3"/>
  <c r="I125" i="3"/>
  <c r="I130" i="3"/>
  <c r="I135" i="3"/>
  <c r="I154" i="3"/>
  <c r="I161" i="3"/>
  <c r="I192" i="3"/>
  <c r="I199" i="3"/>
  <c r="I206" i="3"/>
  <c r="I220" i="3"/>
  <c r="I245" i="3"/>
  <c r="I256" i="3"/>
  <c r="I276" i="3"/>
  <c r="J302" i="3"/>
  <c r="I328" i="3"/>
  <c r="I360" i="3"/>
  <c r="J396" i="3"/>
  <c r="I396" i="3"/>
  <c r="J438" i="3"/>
  <c r="I461" i="3"/>
  <c r="J23" i="3"/>
  <c r="I180" i="3"/>
  <c r="J278" i="3"/>
  <c r="I304" i="3"/>
  <c r="J398" i="3"/>
  <c r="J442" i="3"/>
  <c r="I442" i="3"/>
  <c r="J364" i="3"/>
  <c r="I364" i="3"/>
  <c r="J402" i="3"/>
  <c r="I402" i="3"/>
  <c r="J444" i="3"/>
  <c r="I444" i="3"/>
  <c r="I156" i="3"/>
  <c r="I163" i="3"/>
  <c r="I182" i="3"/>
  <c r="I189" i="3"/>
  <c r="I217" i="3"/>
  <c r="J238" i="3"/>
  <c r="I271" i="3"/>
  <c r="I282" i="3"/>
  <c r="I295" i="3"/>
  <c r="J308" i="3"/>
  <c r="I308" i="3"/>
  <c r="J334" i="3"/>
  <c r="I351" i="3"/>
  <c r="J366" i="3"/>
  <c r="I383" i="3"/>
  <c r="J404" i="3"/>
  <c r="I404" i="3"/>
  <c r="J446" i="3"/>
  <c r="J332" i="3"/>
  <c r="I332" i="3"/>
  <c r="I132" i="3"/>
  <c r="I144" i="3"/>
  <c r="I170" i="3"/>
  <c r="I210" i="3"/>
  <c r="I224" i="3"/>
  <c r="I240" i="3"/>
  <c r="I260" i="3"/>
  <c r="J284" i="3"/>
  <c r="I284" i="3"/>
  <c r="I336" i="3"/>
  <c r="I368" i="3"/>
  <c r="J406" i="3"/>
  <c r="J450" i="3"/>
  <c r="I450" i="3"/>
  <c r="D43" i="4" l="1"/>
  <c r="D38" i="4"/>
  <c r="D21" i="4"/>
  <c r="D58" i="4"/>
  <c r="E71" i="5"/>
  <c r="G38" i="5"/>
  <c r="C8" i="5"/>
  <c r="B80" i="5"/>
  <c r="G81" i="5"/>
  <c r="E81" i="5"/>
  <c r="C93" i="5"/>
  <c r="F65" i="5"/>
  <c r="E65" i="5"/>
  <c r="E76" i="5"/>
  <c r="E77" i="5" s="1"/>
  <c r="C47" i="5"/>
  <c r="D83" i="5"/>
  <c r="E38" i="5"/>
  <c r="D63" i="5"/>
  <c r="C63" i="5"/>
  <c r="C71" i="5"/>
  <c r="B32" i="5"/>
  <c r="G72" i="5"/>
  <c r="F63" i="5"/>
  <c r="B58" i="5"/>
  <c r="B48" i="5"/>
  <c r="C45" i="5"/>
  <c r="G95" i="5"/>
  <c r="B49" i="5"/>
  <c r="G52" i="5"/>
  <c r="F96" i="5"/>
  <c r="B27" i="5"/>
  <c r="C88" i="5"/>
  <c r="F28" i="5"/>
  <c r="C83" i="4"/>
  <c r="C59" i="5"/>
  <c r="F51" i="5"/>
  <c r="B71" i="5"/>
  <c r="E22" i="5"/>
  <c r="B38" i="5"/>
  <c r="C54" i="5"/>
  <c r="C34" i="5"/>
  <c r="F46" i="5"/>
  <c r="F87" i="5"/>
  <c r="D101" i="5"/>
  <c r="D102" i="5" s="1"/>
  <c r="E72" i="5"/>
  <c r="G87" i="5"/>
  <c r="E39" i="5"/>
  <c r="C20" i="5"/>
  <c r="E96" i="5"/>
  <c r="F49" i="5"/>
  <c r="D21" i="5"/>
  <c r="B39" i="5"/>
  <c r="F10" i="5"/>
  <c r="F58" i="5"/>
  <c r="G59" i="5"/>
  <c r="G27" i="5"/>
  <c r="F9" i="5"/>
  <c r="C94" i="5"/>
  <c r="D47" i="5"/>
  <c r="G10" i="5"/>
  <c r="E46" i="5"/>
  <c r="E21" i="5"/>
  <c r="D48" i="5"/>
  <c r="D33" i="5"/>
  <c r="D94" i="5"/>
  <c r="D6" i="5"/>
  <c r="F45" i="5"/>
  <c r="D7" i="5"/>
  <c r="B82" i="5"/>
  <c r="G39" i="5"/>
  <c r="C6" i="5"/>
  <c r="B26" i="5"/>
  <c r="D81" i="5"/>
  <c r="G93" i="5"/>
  <c r="C82" i="5"/>
  <c r="D66" i="5"/>
  <c r="E94" i="5"/>
  <c r="B94" i="5"/>
  <c r="C32" i="5"/>
  <c r="B46" i="5"/>
  <c r="C15" i="5"/>
  <c r="E50" i="5"/>
  <c r="E84" i="5"/>
  <c r="D76" i="5"/>
  <c r="D77" i="5" s="1"/>
  <c r="B63" i="5"/>
  <c r="C89" i="5"/>
  <c r="C96" i="5"/>
  <c r="D16" i="5"/>
  <c r="B34" i="5"/>
  <c r="D46" i="5"/>
  <c r="D38" i="5"/>
  <c r="B33" i="5"/>
  <c r="B20" i="5"/>
  <c r="F88" i="5"/>
  <c r="B86" i="5"/>
  <c r="G97" i="5"/>
  <c r="B51" i="4"/>
  <c r="B33" i="4"/>
  <c r="C100" i="4"/>
  <c r="B27" i="4"/>
  <c r="D36" i="4"/>
  <c r="C27" i="4"/>
  <c r="C78" i="4"/>
  <c r="C70" i="4"/>
  <c r="C51" i="4"/>
  <c r="B45" i="4"/>
  <c r="C87" i="4"/>
  <c r="B65" i="4"/>
  <c r="B22" i="4"/>
  <c r="B112" i="4"/>
  <c r="C45" i="4"/>
  <c r="B39" i="4"/>
  <c r="C108" i="4"/>
  <c r="B83" i="4"/>
  <c r="D83" i="4" s="1"/>
  <c r="D44" i="4"/>
  <c r="B78" i="4"/>
  <c r="C65" i="4"/>
  <c r="B100" i="4"/>
  <c r="C6" i="9"/>
  <c r="C7" i="9" s="1"/>
  <c r="C5" i="9"/>
  <c r="B87" i="4"/>
  <c r="B70" i="4"/>
  <c r="D70" i="4" s="1"/>
  <c r="D111" i="4"/>
  <c r="I7" i="6"/>
  <c r="B108" i="4"/>
  <c r="I30" i="6"/>
  <c r="C33" i="4"/>
  <c r="C39" i="4"/>
  <c r="C22" i="4"/>
  <c r="C112" i="4"/>
  <c r="E34" i="5"/>
  <c r="E93" i="5"/>
  <c r="B16" i="5"/>
  <c r="F85" i="5"/>
  <c r="E10" i="5"/>
  <c r="C51" i="5"/>
  <c r="C95" i="5"/>
  <c r="F48" i="5"/>
  <c r="C72" i="5"/>
  <c r="B22" i="5"/>
  <c r="E32" i="5"/>
  <c r="F86" i="5"/>
  <c r="B9" i="5"/>
  <c r="G53" i="5"/>
  <c r="G47" i="5"/>
  <c r="F82" i="5"/>
  <c r="C52" i="5"/>
  <c r="B16" i="11"/>
  <c r="B96" i="5"/>
  <c r="F21" i="5"/>
  <c r="F83" i="5"/>
  <c r="E8" i="5"/>
  <c r="B81" i="5"/>
  <c r="B83" i="5"/>
  <c r="D44" i="5"/>
  <c r="B28" i="5"/>
  <c r="B44" i="5"/>
  <c r="E82" i="5"/>
  <c r="F76" i="5"/>
  <c r="F77" i="5" s="1"/>
  <c r="E9" i="5"/>
  <c r="G54" i="5"/>
  <c r="F38" i="5"/>
  <c r="C27" i="5"/>
  <c r="D52" i="5"/>
  <c r="F33" i="5"/>
  <c r="C80" i="5"/>
  <c r="G49" i="5"/>
  <c r="G96" i="5"/>
  <c r="D27" i="5"/>
  <c r="E16" i="5"/>
  <c r="G94" i="5"/>
  <c r="G45" i="5"/>
  <c r="F22" i="5"/>
  <c r="E73" i="5"/>
  <c r="C84" i="5"/>
  <c r="E88" i="5"/>
  <c r="B11" i="5"/>
  <c r="B76" i="5"/>
  <c r="B88" i="5"/>
  <c r="E66" i="5"/>
  <c r="C44" i="5"/>
  <c r="G33" i="5"/>
  <c r="B72" i="5"/>
  <c r="B73" i="5" s="1"/>
  <c r="E33" i="5"/>
  <c r="F50" i="5"/>
  <c r="C40" i="5"/>
  <c r="F101" i="5"/>
  <c r="F102" i="5" s="1"/>
  <c r="D85" i="5"/>
  <c r="F16" i="5"/>
  <c r="E7" i="5"/>
  <c r="G83" i="5"/>
  <c r="G80" i="5"/>
  <c r="D34" i="5"/>
  <c r="E11" i="5"/>
  <c r="C48" i="5"/>
  <c r="C38" i="5"/>
  <c r="B65" i="5"/>
  <c r="C86" i="5"/>
  <c r="G8" i="5"/>
  <c r="G66" i="5"/>
  <c r="E83" i="5"/>
  <c r="C64" i="5"/>
  <c r="F97" i="5"/>
  <c r="E28" i="5"/>
  <c r="D97" i="5"/>
  <c r="C28" i="5"/>
  <c r="G40" i="5"/>
  <c r="C87" i="5"/>
  <c r="G28" i="5"/>
  <c r="G85" i="5"/>
  <c r="G65" i="5"/>
  <c r="F7" i="5"/>
  <c r="F64" i="5"/>
  <c r="F93" i="5"/>
  <c r="G84" i="5"/>
  <c r="G22" i="5"/>
  <c r="C33" i="5"/>
  <c r="F59" i="5"/>
  <c r="C22" i="5"/>
  <c r="C11" i="5"/>
  <c r="G88" i="5"/>
  <c r="D80" i="5"/>
  <c r="E51" i="5"/>
  <c r="D45" i="5"/>
  <c r="F40" i="5"/>
  <c r="B7" i="5"/>
  <c r="E101" i="5"/>
  <c r="E102" i="5" s="1"/>
  <c r="F81" i="5"/>
  <c r="E6" i="5"/>
  <c r="E64" i="5"/>
  <c r="C81" i="5"/>
  <c r="F53" i="5"/>
  <c r="D95" i="5"/>
  <c r="C26" i="5"/>
  <c r="B95" i="5"/>
  <c r="F20" i="5"/>
  <c r="F32" i="5"/>
  <c r="F71" i="5"/>
  <c r="D106" i="4"/>
  <c r="G20" i="5"/>
  <c r="F66" i="5"/>
  <c r="D54" i="5"/>
  <c r="F52" i="5"/>
  <c r="G82" i="5"/>
  <c r="F11" i="5"/>
  <c r="B6" i="5"/>
  <c r="D51" i="5"/>
  <c r="B93" i="5"/>
  <c r="F15" i="5"/>
  <c r="F17" i="5" s="1"/>
  <c r="G89" i="5"/>
  <c r="D15" i="5"/>
  <c r="G21" i="5"/>
  <c r="C58" i="5"/>
  <c r="C60" i="5" s="1"/>
  <c r="C9" i="5"/>
  <c r="E54" i="5"/>
  <c r="E48" i="5"/>
  <c r="F47" i="5"/>
  <c r="D64" i="5"/>
  <c r="F6" i="5"/>
  <c r="I14" i="6"/>
  <c r="C35" i="5"/>
  <c r="D10" i="5"/>
  <c r="E87" i="5"/>
  <c r="B10" i="5"/>
  <c r="I56" i="6"/>
  <c r="G9" i="5"/>
  <c r="B50" i="5"/>
  <c r="G101" i="5"/>
  <c r="G102" i="5" s="1"/>
  <c r="F39" i="5"/>
  <c r="D39" i="5"/>
  <c r="G34" i="5"/>
  <c r="E45" i="5"/>
  <c r="E52" i="5"/>
  <c r="B89" i="5"/>
  <c r="D86" i="5"/>
  <c r="G64" i="5"/>
  <c r="C76" i="5"/>
  <c r="C77" i="5" s="1"/>
  <c r="D49" i="5"/>
  <c r="B15" i="5"/>
  <c r="B17" i="5" s="1"/>
  <c r="G46" i="5"/>
  <c r="E85" i="5"/>
  <c r="B8" i="5"/>
  <c r="C85" i="5"/>
  <c r="G7" i="5"/>
  <c r="D89" i="5"/>
  <c r="D40" i="5"/>
  <c r="E86" i="5"/>
  <c r="F27" i="5"/>
  <c r="E27" i="5"/>
  <c r="D103" i="4"/>
  <c r="G26" i="5"/>
  <c r="G29" i="5" s="1"/>
  <c r="E47" i="5"/>
  <c r="E89" i="5"/>
  <c r="H33" i="5"/>
  <c r="G86" i="5"/>
  <c r="B84" i="5"/>
  <c r="E59" i="5"/>
  <c r="C101" i="5"/>
  <c r="C102" i="5" s="1"/>
  <c r="B47" i="5"/>
  <c r="B59" i="5"/>
  <c r="E44" i="5"/>
  <c r="C83" i="5"/>
  <c r="C66" i="5"/>
  <c r="F80" i="5"/>
  <c r="B85" i="5"/>
  <c r="D32" i="5"/>
  <c r="D35" i="5" s="1"/>
  <c r="D71" i="5"/>
  <c r="G48" i="5"/>
  <c r="H48" i="5" s="1"/>
  <c r="F8" i="5"/>
  <c r="G16" i="5"/>
  <c r="C16" i="5"/>
  <c r="C17" i="5" s="1"/>
  <c r="F34" i="5"/>
  <c r="G51" i="5"/>
  <c r="B54" i="5"/>
  <c r="G44" i="5"/>
  <c r="C49" i="5"/>
  <c r="C39" i="5"/>
  <c r="F72" i="5"/>
  <c r="F73" i="5" s="1"/>
  <c r="B51" i="5"/>
  <c r="D72" i="5"/>
  <c r="B53" i="5"/>
  <c r="G76" i="5"/>
  <c r="G77" i="5" s="1"/>
  <c r="D87" i="5"/>
  <c r="C21" i="5"/>
  <c r="C23" i="5" s="1"/>
  <c r="F54" i="5"/>
  <c r="D20" i="5"/>
  <c r="D8" i="5"/>
  <c r="C7" i="5"/>
  <c r="E26" i="5"/>
  <c r="D11" i="5"/>
  <c r="B66" i="5"/>
  <c r="C46" i="5"/>
  <c r="D59" i="5"/>
  <c r="G71" i="5"/>
  <c r="D9" i="5"/>
  <c r="E49" i="5"/>
  <c r="F95" i="5"/>
  <c r="G11" i="5"/>
  <c r="I5" i="6"/>
  <c r="F94" i="5"/>
  <c r="C73" i="5"/>
  <c r="D26" i="5"/>
  <c r="B64" i="5"/>
  <c r="H64" i="5" s="1"/>
  <c r="E15" i="5"/>
  <c r="E17" i="5" s="1"/>
  <c r="G63" i="5"/>
  <c r="B97" i="5"/>
  <c r="G50" i="5"/>
  <c r="D58" i="5"/>
  <c r="D60" i="5" s="1"/>
  <c r="B87" i="5"/>
  <c r="B90" i="5" s="1"/>
  <c r="B40" i="5"/>
  <c r="D96" i="5"/>
  <c r="D84" i="5"/>
  <c r="G6" i="5"/>
  <c r="F89" i="5"/>
  <c r="C50" i="5"/>
  <c r="B52" i="5"/>
  <c r="H52" i="5" s="1"/>
  <c r="B45" i="5"/>
  <c r="B101" i="5"/>
  <c r="H101" i="5" s="1"/>
  <c r="H102" i="5" s="1"/>
  <c r="F26" i="5"/>
  <c r="F29" i="5" s="1"/>
  <c r="E95" i="5"/>
  <c r="B21" i="5"/>
  <c r="B23" i="5" s="1"/>
  <c r="G58" i="5"/>
  <c r="C10" i="5"/>
  <c r="E58" i="5"/>
  <c r="E60" i="5" s="1"/>
  <c r="C97" i="5"/>
  <c r="I39" i="6"/>
  <c r="F44" i="5"/>
  <c r="D50" i="5"/>
  <c r="D28" i="5"/>
  <c r="H28" i="5" s="1"/>
  <c r="F84" i="5"/>
  <c r="C65" i="5"/>
  <c r="D82" i="5"/>
  <c r="H82" i="5" s="1"/>
  <c r="G15" i="5"/>
  <c r="E53" i="5"/>
  <c r="E97" i="5"/>
  <c r="E98" i="5" s="1"/>
  <c r="C53" i="5"/>
  <c r="E80" i="5"/>
  <c r="H80" i="5" s="1"/>
  <c r="G32" i="5"/>
  <c r="E40" i="5"/>
  <c r="E20" i="5"/>
  <c r="D65" i="5"/>
  <c r="D53" i="5"/>
  <c r="D93" i="5"/>
  <c r="E63" i="5"/>
  <c r="D22" i="5"/>
  <c r="D88" i="5"/>
  <c r="H88" i="5" s="1"/>
  <c r="G23" i="5"/>
  <c r="I53" i="6"/>
  <c r="I38" i="6"/>
  <c r="D51" i="4"/>
  <c r="I43" i="6"/>
  <c r="I32" i="6"/>
  <c r="I58" i="6"/>
  <c r="I27" i="6"/>
  <c r="D96" i="4"/>
  <c r="I61" i="6"/>
  <c r="I47" i="6"/>
  <c r="I57" i="6"/>
  <c r="D49" i="4"/>
  <c r="I33" i="6"/>
  <c r="I54" i="6"/>
  <c r="I9" i="6"/>
  <c r="C24" i="8"/>
  <c r="I15" i="6"/>
  <c r="I19" i="6"/>
  <c r="I12" i="6"/>
  <c r="I34" i="6"/>
  <c r="B14" i="7"/>
  <c r="I29" i="6"/>
  <c r="I8" i="6"/>
  <c r="I60" i="6"/>
  <c r="D48" i="4"/>
  <c r="C20" i="9"/>
  <c r="D31" i="4"/>
  <c r="I36" i="6"/>
  <c r="I22" i="6"/>
  <c r="D68" i="4"/>
  <c r="B20" i="9"/>
  <c r="I26" i="6"/>
  <c r="D55" i="4"/>
  <c r="C16" i="11"/>
  <c r="I16" i="6"/>
  <c r="I41" i="6"/>
  <c r="I11" i="6"/>
  <c r="I48" i="6"/>
  <c r="D93" i="4"/>
  <c r="I52" i="6"/>
  <c r="D30" i="4"/>
  <c r="I45" i="6"/>
  <c r="D75" i="4"/>
  <c r="I40" i="6"/>
  <c r="I17" i="6"/>
  <c r="D54" i="4"/>
  <c r="D98" i="4"/>
  <c r="I37" i="6"/>
  <c r="D25" i="4"/>
  <c r="D74" i="4"/>
  <c r="C14" i="7"/>
  <c r="I18" i="6"/>
  <c r="I13" i="6"/>
  <c r="I55" i="6"/>
  <c r="D69" i="4"/>
  <c r="I59" i="6"/>
  <c r="D97" i="4"/>
  <c r="I49" i="6"/>
  <c r="I44" i="6"/>
  <c r="D26" i="4"/>
  <c r="I20" i="6"/>
  <c r="I6" i="6"/>
  <c r="I50" i="6"/>
  <c r="D50" i="4"/>
  <c r="I10" i="6"/>
  <c r="E35" i="5"/>
  <c r="I25" i="6"/>
  <c r="B24" i="8"/>
  <c r="I31" i="6"/>
  <c r="D73" i="4"/>
  <c r="I35" i="6"/>
  <c r="I28" i="6"/>
  <c r="I51" i="6"/>
  <c r="I46" i="6"/>
  <c r="I24" i="6"/>
  <c r="D95" i="4"/>
  <c r="I21" i="6"/>
  <c r="B35" i="5"/>
  <c r="H27" i="5"/>
  <c r="B29" i="5"/>
  <c r="B60" i="5"/>
  <c r="B77" i="5"/>
  <c r="D17" i="5"/>
  <c r="H71" i="5"/>
  <c r="D45" i="4" l="1"/>
  <c r="D27" i="4"/>
  <c r="H39" i="5"/>
  <c r="C55" i="5"/>
  <c r="F12" i="5"/>
  <c r="H54" i="5"/>
  <c r="H34" i="5"/>
  <c r="H94" i="5"/>
  <c r="G90" i="5"/>
  <c r="G98" i="5"/>
  <c r="H83" i="5"/>
  <c r="H51" i="5"/>
  <c r="H59" i="5"/>
  <c r="D12" i="5"/>
  <c r="H81" i="5"/>
  <c r="H96" i="5"/>
  <c r="C12" i="5"/>
  <c r="B41" i="5"/>
  <c r="H86" i="5"/>
  <c r="C90" i="5"/>
  <c r="F23" i="5"/>
  <c r="G41" i="5"/>
  <c r="B55" i="5"/>
  <c r="G17" i="5"/>
  <c r="D100" i="4"/>
  <c r="G12" i="5"/>
  <c r="G73" i="5"/>
  <c r="C98" i="5"/>
  <c r="D23" i="5"/>
  <c r="H72" i="5"/>
  <c r="H73" i="5" s="1"/>
  <c r="D108" i="4"/>
  <c r="H38" i="5"/>
  <c r="F55" i="5"/>
  <c r="H46" i="5"/>
  <c r="H26" i="5"/>
  <c r="H87" i="5"/>
  <c r="F90" i="5"/>
  <c r="E41" i="5"/>
  <c r="H66" i="5"/>
  <c r="H58" i="5"/>
  <c r="H60" i="5" s="1"/>
  <c r="G35" i="5"/>
  <c r="G60" i="5"/>
  <c r="C29" i="5"/>
  <c r="F60" i="5"/>
  <c r="H50" i="5"/>
  <c r="H20" i="5"/>
  <c r="H16" i="5"/>
  <c r="H21" i="5"/>
  <c r="D98" i="5"/>
  <c r="H8" i="5"/>
  <c r="H32" i="5"/>
  <c r="H9" i="5"/>
  <c r="D39" i="4"/>
  <c r="H63" i="5"/>
  <c r="H53" i="5"/>
  <c r="D33" i="4"/>
  <c r="D41" i="5"/>
  <c r="D90" i="5"/>
  <c r="D112" i="4"/>
  <c r="E55" i="5"/>
  <c r="D22" i="4"/>
  <c r="H49" i="5"/>
  <c r="H85" i="5"/>
  <c r="G55" i="5"/>
  <c r="D65" i="4"/>
  <c r="H97" i="5"/>
  <c r="H95" i="5"/>
  <c r="H22" i="5"/>
  <c r="D87" i="4"/>
  <c r="B12" i="5"/>
  <c r="H93" i="5"/>
  <c r="D78" i="4"/>
  <c r="B102" i="5"/>
  <c r="E90" i="5"/>
  <c r="H15" i="5"/>
  <c r="H40" i="5"/>
  <c r="H65" i="5"/>
  <c r="F98" i="5"/>
  <c r="H84" i="5"/>
  <c r="H47" i="5"/>
  <c r="H76" i="5"/>
  <c r="H77" i="5" s="1"/>
  <c r="D55" i="5"/>
  <c r="H45" i="5"/>
  <c r="D73" i="5"/>
  <c r="H89" i="5"/>
  <c r="E23" i="5"/>
  <c r="H10" i="5"/>
  <c r="E12" i="5"/>
  <c r="B98" i="5"/>
  <c r="C41" i="5"/>
  <c r="H6" i="5"/>
  <c r="H7" i="5"/>
  <c r="F41" i="5"/>
  <c r="D29" i="5"/>
  <c r="H11" i="5"/>
  <c r="H44" i="5"/>
  <c r="F35" i="5"/>
  <c r="E29" i="5"/>
  <c r="H29" i="5"/>
  <c r="H23" i="5" l="1"/>
  <c r="H55" i="5"/>
  <c r="H98" i="5"/>
  <c r="H35" i="5"/>
  <c r="H41" i="5"/>
  <c r="H90" i="5"/>
  <c r="H12" i="5"/>
  <c r="H1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<sst xmlns="http://schemas.openxmlformats.org/spreadsheetml/2006/main" count="2471" uniqueCount="605">
  <si>
    <t>Details</t>
  </si>
  <si>
    <t>Posting Date</t>
  </si>
  <si>
    <t>Description</t>
  </si>
  <si>
    <t>Amount</t>
  </si>
  <si>
    <t>Type</t>
  </si>
  <si>
    <t>Balance</t>
  </si>
  <si>
    <t>DEBIT</t>
  </si>
  <si>
    <t>ORIG CO NAME:AMERICAN EXPRESS       ORIG ID:2005032111 DESC DATE:260622 CO ENTRY DESCR:ACH PMT   SEC:CCD    TRACE#:021000023462426 EED:260622   IND ID:W7800                        IND NAME:JOHN DUNNING                                                                                                 ER AM TRN: 1733462426TC</t>
  </si>
  <si>
    <t>ACH_DEBIT</t>
  </si>
  <si>
    <t>UBER   * EATS PENDIN SAN FRANCISCO CA137460  06/22</t>
  </si>
  <si>
    <t>DEBIT_CARD</t>
  </si>
  <si>
    <t>UBER   * EATS PENDIN SAN FRANCISCO CA016992  06/21</t>
  </si>
  <si>
    <t>Netflix 1 8445052993 CA                      06/21</t>
  </si>
  <si>
    <t>APPLE.COM/BILL 866-712-7753 CA               06/21</t>
  </si>
  <si>
    <t>ORIG CO NAME:AMERICAN EXPRESS       ORIG ID:2005032111 DESC DATE:260618 CO ENTRY DESCR:ACH PMT   SEC:CCD    TRACE#:021000025422371 EED:260618   IND ID:W3988                        IND NAME:JOHN DUNNING                                                                                                 ER AM TRN: 1695422371TC</t>
  </si>
  <si>
    <t>APPLE.COM/BILL 866-712-7753 CA               06/14</t>
  </si>
  <si>
    <t>VIOLET VAPOR - 2 WEATHERFORD TX      999940  06/13</t>
  </si>
  <si>
    <t>BLOOMBERG* 37033964 BLOOMBERG.COM NY         06/12</t>
  </si>
  <si>
    <t>ORIG CO NAME:AMERICAN EXPRESS       ORIG ID:2005032111 DESC DATE:260610 CO ENTRY DESCR:ACH PMT   SEC:CCD    TRACE#:021000028992821 EED:260610   IND ID:W5660                        IND NAME:JOHN DUNNING                                                                                                 ER AM TRN: 1618992821TC</t>
  </si>
  <si>
    <t>ORIG CO NAME:AMERICAN EXPRESS       ORIG ID:2005032111 DESC DATE:260610 CO ENTRY DESCR:ACH PMT   SEC:CCD    TRACE#:021000028992161 EED:260610   IND ID:W3546                        IND NAME:JOHN DUNNING                                                                                                 ER AM TRN: 1618992161TC</t>
  </si>
  <si>
    <t>CREDIT</t>
  </si>
  <si>
    <t>ORIG CO NAME:Austin Iron Hold       ORIG ID:945440567  DESC DATE:       CO ENTRY DESCR:PAYMENT   SEC:PPD    TRACE#:273976360594060 EED:260610   IND ID:                             IND NAME:John Dunning TRN: 1610594060TC</t>
  </si>
  <si>
    <t>ACH_CREDIT</t>
  </si>
  <si>
    <t>ORIG CO NAME:Merit-Lancaster        ORIG ID:945440567  DESC DATE:       CO ENTRY DESCR:PAYMENT   SEC:PPD    TRACE#:273976360593004 EED:260610   IND ID:                             IND NAME:John Dunning TRN: 1610593004TC</t>
  </si>
  <si>
    <t>ORIG CO NAME:Rabourn Road Ind       ORIG ID:945440567  DESC DATE:       CO ENTRY DESCR:PAYMENT   SEC:PPD    TRACE#:273976362896575 EED:260609   IND ID:                             IND NAME:John Dunning TRN: 1602896575TC</t>
  </si>
  <si>
    <t>UBER   * EATS PENDIN SAN FRANCISCO CA014189  06/08</t>
  </si>
  <si>
    <t>UBER * EATS PENDING SAN FRANCISCO CA 410898  06/07</t>
  </si>
  <si>
    <t>APPLE.COM/BILL 866-712-7753 CA               06/07</t>
  </si>
  <si>
    <t>APPLE.COM/BILL 866-712-7753 CA               06/06</t>
  </si>
  <si>
    <t>Online Transfer to CHK ...1117 transaction#: 29493391769 06/04</t>
  </si>
  <si>
    <t>ACCT_XFER</t>
  </si>
  <si>
    <t>UBER   * EATS PENDIN SAN FRANCISCO CA139701  06/03</t>
  </si>
  <si>
    <t>Online Transfer to CHK ...1168 transaction#: 29465359966 06/02</t>
  </si>
  <si>
    <t>Zelle payment to Francisco Bautista  29461050112</t>
  </si>
  <si>
    <t>QUICKPAY_DEBIT</t>
  </si>
  <si>
    <t>UBER *ELFENIXIRVI SAN FRANCISCO CA   251014  06/01</t>
  </si>
  <si>
    <t>Experian* Credit Repor 479-3436237 CA        06/01</t>
  </si>
  <si>
    <t>UBER   * EATS PENDIN SAN FRANCISCO CA089909  05/31</t>
  </si>
  <si>
    <t>APPLE.COM/BILL 866-712-7753 CA               05/31</t>
  </si>
  <si>
    <t>ORIG CO NAME:AMERICAN EXPRESS       ORIG ID:2005032111 DESC DATE:260528 CO ENTRY DESCR:ACH PMT   SEC:CCD    TRACE#:021000022939137 EED:260528   IND ID:W9302                        IND NAME:JOHN DUNNING                                                                                                 ER AM TRN: 1482939137TC</t>
  </si>
  <si>
    <t>ORIG CO NAME:AMERICAN EXPRESS       ORIG ID:2005032111 DESC DATE:260527 CO ENTRY DESCR:ACH PMT   SEC:CCD    TRACE#:021000021573134 EED:260527   IND ID:W3010                        IND NAME:JOHN DUNNING                                                                                                 ER AM TRN: 1471573134TC</t>
  </si>
  <si>
    <t>ORIG CO NAME:AMERICAN EXPRESS       ORIG ID:2005032111 DESC DATE:260527 CO ENTRY DESCR:ACH PMT   SEC:CCD    TRACE#:021000021565745 EED:260527   IND ID:W6130                        IND NAME:JOHN DUNNING                                                                                                 ER AM TRN: 1471565745TC</t>
  </si>
  <si>
    <t>ORIG CO NAME:AMERICAN EXPRESS       ORIG ID:2005032111 DESC DATE:260527 CO ENTRY DESCR:ACH PMT   SEC:CCD    TRACE#:021000021573655 EED:260527   IND ID:W0336                        IND NAME:JOHN DUNNING                                                                                                 ER AM TRN: 1471573655TC</t>
  </si>
  <si>
    <t>ORIG CO NAME:AMERICAN EXPRESS       ORIG ID:2005032111 DESC DATE:260527 CO ENTRY DESCR:ACH PMT   SEC:CCD    TRACE#:021000021573381 EED:260527   IND ID:W8738                        IND NAME:JOHN DUNNING                                                                                                 ER AM TRN: 1471573381TC</t>
  </si>
  <si>
    <t>UBER *ONE MEMBERSHIP SAN FRANCISCO CA230292  05/27</t>
  </si>
  <si>
    <t>Prime Video *6E9NV6EX 888-802-3080 WA        05/26</t>
  </si>
  <si>
    <t>UBER *ONE MEMBERSHIP SAN FRANCISCO CA688353  05/27</t>
  </si>
  <si>
    <t>UBER   * EATS PENDIN SAN FRANCISCO CA085369  05/25</t>
  </si>
  <si>
    <t>APPLE.COM/BILL 866-712-7753 CA               05/24</t>
  </si>
  <si>
    <t>DFW AIRPORT PARKING DFW AIRPORT TX           05/23</t>
  </si>
  <si>
    <t>UBER   * EATS PENDIN SAN FRANCISCO CA087650  05/22</t>
  </si>
  <si>
    <t>Prime Video *QZ8ON0EI 888-802-3080 WA        05/22</t>
  </si>
  <si>
    <t>Prime Video *E03J242Q 888-802-3080 WA        05/21</t>
  </si>
  <si>
    <t>NETFLIX.COM NETFLIX.COM CA                   05/21</t>
  </si>
  <si>
    <t>UBER   * EATS PENDIN SAN FRANCISCO CA028828  05/21</t>
  </si>
  <si>
    <t>UBER   * EATS PENDIN SAN FRANCISCO CA147710  05/20</t>
  </si>
  <si>
    <t>UBER   * EATS PENDIN SAN FRANCISCO CA149637  05/20</t>
  </si>
  <si>
    <t>Prime Video *9P1AF6ME 888-802-3080 WA        05/21</t>
  </si>
  <si>
    <t>Amazon.com*Y84XH0FC3 Amzn.com/bill WA        05/20</t>
  </si>
  <si>
    <t>UBER   * EATS PENDIN SAN FRANCISCO CA019931  05/19</t>
  </si>
  <si>
    <t>Amazon.com*N29952483 Amzn.com/bill WA        05/18</t>
  </si>
  <si>
    <t>Amazon.com*BF3HY7V10 Amzn.com/bill WA        05/18</t>
  </si>
  <si>
    <t>Zelle payment to Michael Paytonjian JPM99chc3rx1</t>
  </si>
  <si>
    <t>CHASE_TO_PARTNERFI</t>
  </si>
  <si>
    <t>Amazon.com*XV7SL5KU3 Amzn.com/bill WA        05/17</t>
  </si>
  <si>
    <t>Prime Video *1M7I73KH 888-802-3080 WA        05/16</t>
  </si>
  <si>
    <t>APPLE.COM/BILL 866-712-7753 CA               05/17</t>
  </si>
  <si>
    <t>Online Transfer to CHK ...3922 transaction#: 29232475282 05/15</t>
  </si>
  <si>
    <t>Online Transfer to CHK ...3365 transaction#: 29230345411 05/15</t>
  </si>
  <si>
    <t>AMAZON MKTPL*A65NE9Y Amzn.com/bill WA        05/14</t>
  </si>
  <si>
    <t>Amazon.com*L62140P43 Amzn.com/bill WA        05/14</t>
  </si>
  <si>
    <t>Amazon.com*4T27F6GL3 Amzn.com/bill WA        05/14</t>
  </si>
  <si>
    <t>AMAZON MKTPLACE PMTS Amzn.com/bill WA        05/13</t>
  </si>
  <si>
    <t>ORIG CO NAME:AMERICAN EXPRESS       ORIG ID:2005032111 DESC DATE:260513 CO ENTRY DESCR:ACH PMT   SEC:CCD    TRACE#:021000026335659 EED:260513   IND ID:W7906                        IND NAME:JOHN DUNNING                                                                                                 ER AM TRN: 1336335659TC</t>
  </si>
  <si>
    <t>ORIG CO NAME:AMERICAN EXPRESS       ORIG ID:2005032111 DESC DATE:260513 CO ENTRY DESCR:ACH PMT   SEC:CCD    TRACE#:021000026336489 EED:260513   IND ID:W0762                        IND NAME:JOHN DUNNING                                                                                                 ER AM TRN: 1336336489TC</t>
  </si>
  <si>
    <t>ORIG CO NAME:AMERICAN EXPRESS       ORIG ID:2005032111 DESC DATE:260513 CO ENTRY DESCR:ACH PMT   SEC:CCD    TRACE#:021000026336175 EED:260513   IND ID:W3034                        IND NAME:JOHN DUNNING                                                                                                 ER AM TRN: 1336336175TC</t>
  </si>
  <si>
    <t>Amazon.com*BV4M02620 Amzn.com/bill WA        05/13</t>
  </si>
  <si>
    <t>Amazon.com*BV7IV9690 Amzn.com/bill WA        05/13</t>
  </si>
  <si>
    <t>BLOOMBERG* 37033964 BLOOMBERG.COM NY         05/12</t>
  </si>
  <si>
    <t>Amazon.com*BV87W9XY0 Amzn.com/bill WA        05/11</t>
  </si>
  <si>
    <t>ORIG CO NAME:AMERICAN EXPRESS       ORIG ID:2005032111 DESC DATE:260511 CO ENTRY DESCR:ACH PMT   SEC:CCD    TRACE#:021000027833845 EED:260511   IND ID:W5148                        IND NAME:JOHN DUNNING                                                                                                 ER AM TRN: 1317833845TC</t>
  </si>
  <si>
    <t>Zelle payment to Michael Paytonjian JPM99cgk4tob</t>
  </si>
  <si>
    <t>Amazon.com*ZS0U78MH3 Amzn.com/bill WA        05/11</t>
  </si>
  <si>
    <t>Amazon.com*BF56V8FY1 Amzn.com/bill WA        05/10</t>
  </si>
  <si>
    <t>APPLE.COM/BILL 866-712-7753 CA               05/10</t>
  </si>
  <si>
    <t>LA CABANA - VENICE VENICE CA                 05/08</t>
  </si>
  <si>
    <t>SMOKE HOUSE RESTAURANT BURBANK CA            05/08</t>
  </si>
  <si>
    <t>ORIG CO NAME:Rabourn Road Ind       ORIG ID:945440567  DESC DATE:       CO ENTRY DESCR:PAYMENT   SEC:PPD    TRACE#:273976369667029 EED:260511   IND ID:                             IND NAME:John Dunning TRN: 1319667029TC</t>
  </si>
  <si>
    <t>ORIG CO NAME:Austin Iron Hold       ORIG ID:945440567  DESC DATE:       CO ENTRY DESCR:PAYMENT   SEC:PPD    TRACE#:273976369667343 EED:260511   IND ID:                             IND NAME:John Dunning TRN: 1319667343TC</t>
  </si>
  <si>
    <t>ORIG CO NAME:Merit-Lancaster        ORIG ID:945440567  DESC DATE:       CO ENTRY DESCR:PAYMENT   SEC:PPD    TRACE#:273976369667013 EED:260511   IND ID:                             IND NAME:John Dunning TRN: 1319667013TC</t>
  </si>
  <si>
    <t>UBER   *EATS HELP.UB SAN FRANCISCO CA019533  05/08</t>
  </si>
  <si>
    <t>UBER * EATS PENDING SAN FRANCISCO CA 927006  05/08</t>
  </si>
  <si>
    <t>UBER *ONE MEMBERSHIP SAN FRANCISCO CA251420  05/08</t>
  </si>
  <si>
    <t>APPLE.COM/BILL 866-712-7753 CA               05/06</t>
  </si>
  <si>
    <t>UBER   * EATS PENDIN SAN FRANCISCO CA148711  05/06</t>
  </si>
  <si>
    <t>FACEBK *ZXG8XNRZP2 650-543-7818 CA           05/06</t>
  </si>
  <si>
    <t>SQ *ALANA'S COFFEE ROA Los Angeles CA        05/05</t>
  </si>
  <si>
    <t>SQ *THE COW'S END CA Marina del Re CA        05/05</t>
  </si>
  <si>
    <t>DEPT. BEACHES &amp; HARB MARINA DEL RE CA        05/05</t>
  </si>
  <si>
    <t>FACEBK *AD6KXQ9ZP2 650-5434800 DE            05/05</t>
  </si>
  <si>
    <t>Prime Video *BV13L2ON 888-802-3080 WA        05/05</t>
  </si>
  <si>
    <t>Amazon.com*BV6BI54F1 Amzn.com/bill WA        05/05</t>
  </si>
  <si>
    <t>Amazon.com*BJ1XI7WI1 Amzn.com/bill WA        05/04</t>
  </si>
  <si>
    <t>ORIG CO NAME:CORP FILINGS LLC       ORIG ID:0000617262 DESC DATE:260504 CO ENTRY DESCR:REG AGENT SEC:CCD    TRACE#:021000027174484 EED:260504   IND ID:3043617                      IND NAME:POSEIDON ASSET *GROUP                                                                                        855-344-2677 TRN: 1247174484TC</t>
  </si>
  <si>
    <t>ORIG CO NAME:CORP FILINGS LLC       ORIG ID:0000617262 DESC DATE:260504 CO ENTRY DESCR:REG AGENT SEC:CCD    TRACE#:021000027174474 EED:260504   IND ID:3043388                      IND NAME:POSEIDON ASSET *GROUP                                                                                        855-344-2677 TRN: 1247174474TC</t>
  </si>
  <si>
    <t>TST*BLUEYS KITCHEN MAR Los Angeles CA        05/02</t>
  </si>
  <si>
    <t>Amazon.com*BJ8ZF8Z90 Amzn.com/bill WA        05/03</t>
  </si>
  <si>
    <t>CITY OF SANTA MONICA SANTA MONICA CA         05/02</t>
  </si>
  <si>
    <t>UBER   * EATS PENDIN SAN FRANCISCO CA024566  05/01</t>
  </si>
  <si>
    <t>Experian* Credit Repor 479-3436237 CA        05/01</t>
  </si>
  <si>
    <t>Prime Video *BS8FA39Q 888-802-3080 WA        05/01</t>
  </si>
  <si>
    <t>Prime Video *BS7TE779 888-802-3080 WA        05/01</t>
  </si>
  <si>
    <t>Online Transfer to CHK ...3922 transaction#: 29021813625 04/30</t>
  </si>
  <si>
    <t>AMAZON MKTPL*BV3RX5E Amzn.com/bill WA        04/30</t>
  </si>
  <si>
    <t>AMAZON MKTPL*BJ1DA1L Amzn.com/bill WA        04/29</t>
  </si>
  <si>
    <t>Online Transfer to CHK ...1168 transaction#: 29013835948 04/29</t>
  </si>
  <si>
    <t>Online Transfer to CHK ...1168 transaction#: 29012615752 04/29</t>
  </si>
  <si>
    <t>APPLE.COM/BILL 866-712-7753 CA               04/29</t>
  </si>
  <si>
    <t>Zelle payment to Michael Paytonjian JPM99cetsy23</t>
  </si>
  <si>
    <t>Amazon.com*BS08X3TK0 Amzn.com/bill WA        04/28</t>
  </si>
  <si>
    <t>Amazon.com*BS8ZM8A30 Amzn.com/bill WA        04/28</t>
  </si>
  <si>
    <t>Amazon.com*BJ2ZZ3YC2 Amzn.com/bill WA        04/28</t>
  </si>
  <si>
    <t>ONLINE DOMESTIC WIRE FEE</t>
  </si>
  <si>
    <t>FEE_TRANSACTION</t>
  </si>
  <si>
    <t>ORIG CO NAME:AMERICAN EXPRESS       ORIG ID:2005032111 DESC DATE:260427 CO ENTRY DESCR:ACH PMT   SEC:CCD    TRACE#:021000022351479 EED:260427   IND ID:W0388                        IND NAME:JOHN DUNNING                                                                                                 ER AM TRN: 1172351479TC</t>
  </si>
  <si>
    <t>ORIG CO NAME:AMERICAN EXPRESS       ORIG ID:2005032111 DESC DATE:260427 CO ENTRY DESCR:ACH PMT   SEC:CCD    TRACE#:021000022351611 EED:260427   IND ID:W9466                        IND NAME:JOHN DUNNING                                                                                                 ER AM TRN: 1172351611TC</t>
  </si>
  <si>
    <t>ORIG CO NAME:AMERICAN EXPRESS       ORIG ID:2005032111 DESC DATE:260427 CO ENTRY DESCR:ACH PMT   SEC:CCD    TRACE#:021000022351689 EED:260427   IND ID:W2230                        IND NAME:JOHN DUNNING                                                                                                 ER AM TRN: 1172351689TC</t>
  </si>
  <si>
    <t>Zelle payment to Meg Maran JPM99cet7m9w</t>
  </si>
  <si>
    <t>ONLINE DOMESTIC WIRE TRANSFER VIA: WELLS FARGO NA/121000248 A/C: KEVIN WONG HAWTHORNE CA 90250 US REF: .33/SPF/TIME/21:49 IMAD: 0427MMQFMP2N036899 TRN: 3918486117ES 04/27</t>
  </si>
  <si>
    <t>WIRE_OUTGOING</t>
  </si>
  <si>
    <t>UBER * EATS PENDING SAN FRANCISCO CA 383232  04/27</t>
  </si>
  <si>
    <t>UBER * EATS PENDING SAN FRANCISCO CA 558712  04/27</t>
  </si>
  <si>
    <t>APPLE.COM/BILL 866-712-7753 CA               04/26</t>
  </si>
  <si>
    <t>Amazon.com*BJ19C5EA2 Amzn.com/bill WA        04/23</t>
  </si>
  <si>
    <t>Amazon.com*BY2KP8HF0 Amzn.com/bill WA        04/23</t>
  </si>
  <si>
    <t>Online Transfer from CHK ...9816 transaction#: 28953813748</t>
  </si>
  <si>
    <t>DOMESTIC INCOMING WIRE FEE</t>
  </si>
  <si>
    <t>Online Transfer to CHK ...1168 transaction#: 28931902991 04/23</t>
  </si>
  <si>
    <t>UBER   * EATS PENDIN SAN FRANCISCO CA078563  04/22</t>
  </si>
  <si>
    <t>FEDWIRE CREDIT VIA: BANK OF AMERICA, N.A./026009593 B/O: CT SOCAL COMM FBSC/CT BS FXBC RIVERSIDE CA 92505 REF: CHASE NYC/CTR/BNF=POSEIDON ASSET GROUP, LLC LOS ANGELES CA 90066-3638 US/AC-000000007200 RFB=NOTPROVIDED OBI=/URI/FN-FBSC2602503 LOAN GUARAN TEE F/EE- SPF INDUSTRIAL PARTNERS, LLC/PROPA DDR-232 H IMAD: 0423B6B7HU2R014386 TRN: 0780111113FF</t>
  </si>
  <si>
    <t>WIRE_INCOMING</t>
  </si>
  <si>
    <t>FEDWIRE CREDIT VIA: BANK OF AMERICA, N.A./026009593 B/O: CT SOCAL COMM FBSC/CT BS FXBC RIVERSIDE CA 92505 REF: CHASE NYC/CTR/BNF=POSEIDON ASSET GROUP, LLC LOS ANGELES CA 90066-3638 US/AC-000000007200 RFB=NOTPROVIDED OBI=/URI/FN-FBSC2602503 LOAN BROKER FEE/SPFINDUSTRIAL PARTNERS, LLC PR OPA/DDR-2 32 HIGHWA IMAD: 0423B6B7HU4R014100 TRN: 0772521113FF</t>
  </si>
  <si>
    <t>FEDWIRE CREDIT VIA: BANK OF AMERICA, N.A./026009593 B/O: CT SOCAL COMM FBSC/CT BS FXBC RIVERSIDE CA 92505 REF: CHASE NYC/CTR/BNF=POSEIDON ASSET GROUP, LLC LOS ANGELES CA 90066-3638 US/AC-000000007200 RFB=NOTPROVIDED OBI=/URI/FN-FBSC2602503 COMMISSION DUE P/ROPA DDR-232 HIGHWAY 49, BYRO N, G A/31008 IMAD: 0423B6B7HU4R014101 TRN: 0772701113FF</t>
  </si>
  <si>
    <t>SQ *MVGG RESTAURANT Los Angeles CA           04/21</t>
  </si>
  <si>
    <t>SQ *ALANA'S COFFEE ROA Los Angeles CA        04/21</t>
  </si>
  <si>
    <t>Amazon.com*BY24P47Q1 Amzn.com/bill WA        04/21</t>
  </si>
  <si>
    <t>NETFLIX.COM LOS GATOS CA             025913  04/21</t>
  </si>
  <si>
    <t>AMAZON MKTPL*BS9XW7U Amzn.com/bill WA        04/20</t>
  </si>
  <si>
    <t>ONLINE DOMESTIC WIRE TRANSFER A/C: ADMEER ADVISORY, LLC DANA POINT CA 92629-3313 US REF: CANDY BARS TRN: 3786616110ES 04/20</t>
  </si>
  <si>
    <t>APPLE.COM/BILL 866-712-7753 CA               04/19</t>
  </si>
  <si>
    <t>UBER   *EATS HELP.UB SAN FRANCISCO CA089708  04/18</t>
  </si>
  <si>
    <t>Kindle Svcs*BS7TA3MK2 888-802-3080 WA        04/18</t>
  </si>
  <si>
    <t>Amazon.com*BS3C93552 Amzn.com/bill WA        04/18</t>
  </si>
  <si>
    <t>Amazon.com*BS87K6562 Amzn.com/bill WA        04/18</t>
  </si>
  <si>
    <t>UBER *EATS SAN FRANCISCO CA          256253  04/17</t>
  </si>
  <si>
    <t>UBER   * EATS PENDIN SAN FRANCISCO CA146591  04/17</t>
  </si>
  <si>
    <t>Prime Video *BY5AP2OS 888-802-3080 WA        04/17</t>
  </si>
  <si>
    <t>Prime Video *BS0Z641L 888-802-3080 WA        04/17</t>
  </si>
  <si>
    <t>Zelle payment to Michael Paytonjian JPM99cdf3mea</t>
  </si>
  <si>
    <t>AMAZON MKTPL*BS9N33N Amzn.com/bill WA        04/15</t>
  </si>
  <si>
    <t>Prime Video *BS08T9OI 888-802-3080 WA        04/15</t>
  </si>
  <si>
    <t>Prime Video *B73RR9A9 888-802-3080 WA        04/15</t>
  </si>
  <si>
    <t>AMAZON MKTPL*BS0D22O Amzn.com/bill WA        04/15</t>
  </si>
  <si>
    <t>Amazon.com*BS1GF8O02 Amzn.com/bill WA        04/15</t>
  </si>
  <si>
    <t>Amazon.com*B79Q085A1 Amzn.com/bill WA        04/14</t>
  </si>
  <si>
    <t>Amazon.com*BY3LR0U62 Amzn.com/bill WA        04/14</t>
  </si>
  <si>
    <t>Amazon.com*BY4UX9U12 Amzn.com/bill WA        04/14</t>
  </si>
  <si>
    <t>FOREIGN EXCHANGE RATE ADJUSTMENT FEE         04/10NYX*Serun</t>
  </si>
  <si>
    <t>FOREIGN EXCHANGE RATE ADJUSTMENT FEE         04/11FIERROIL</t>
  </si>
  <si>
    <t>FOREIGN EXCHANGE RATE ADJUSTMENT FEE         04/12FIRST CLA</t>
  </si>
  <si>
    <t>FOREIGN EXCHANGE RATE ADJUSTMENT FEE         04/11ITP*DOCTO</t>
  </si>
  <si>
    <t>ORIG CO NAME:AMERICAN EXPRESS       ORIG ID:2005032111 DESC DATE:260413 CO ENTRY DESCR:ACH PMT   SEC:CCD    TRACE#:021000020190099 EED:260413   IND ID:W4888                        IND NAME:JOHN DUNNING                                                                                                 ER AM TRN: 1030190099TC</t>
  </si>
  <si>
    <t>ORIG CO NAME:AMERICAN EXPRESS       ORIG ID:2005032111 DESC DATE:260413 CO ENTRY DESCR:ACH PMT   SEC:CCD    TRACE#:021000020190577 EED:260413   IND ID:W7038                        IND NAME:JOHN DUNNING                                                                                                 ER AM TRN: 1030190577TC</t>
  </si>
  <si>
    <t>UBER * EATS PENDING SAN FRANCISCO CA 062498  04/12</t>
  </si>
  <si>
    <t>FIRST CLASS CAFE LISBOA                      04/12 Euro       4.95 X 1.173737 (EXCHG RTE)</t>
  </si>
  <si>
    <t>Prime Video *BY9X285Y 888-802-3080 WA        04/12</t>
  </si>
  <si>
    <t>BLOOMBERG* 37033964 BLOOMBERG.COM NY         04/12</t>
  </si>
  <si>
    <t>FARMACIA SAO MAMEDE 82 B - LISBOA            04/11</t>
  </si>
  <si>
    <t>FIERROIL ALMENDRALEJO                        04/11 Euro       4.50 X 1.173333 (EXCHG RTE)</t>
  </si>
  <si>
    <t>ITP*DOCTORONCALLLD RECEITAMEDICA             04/11 Euro       49.90 X 1.173948 (EXCHG RTE)</t>
  </si>
  <si>
    <t>Prime Video *B72UU245 888-802-3080 WA        04/11</t>
  </si>
  <si>
    <t>NYX*SerunionVending Granada                  04/10 Euro       2.00 X 1.170000 (EXCHG RTE)</t>
  </si>
  <si>
    <t>FOREIGN EXCHANGE RATE ADJUSTMENT FEE         04/09TAXI GR 5</t>
  </si>
  <si>
    <t>FOREIGN EXCHANGE RATE ADJUSTMENT FEE         04/09MEZZE GRA</t>
  </si>
  <si>
    <t>Kindle Svcs*BC8X24BN0 888-802-3080 WA        04/10</t>
  </si>
  <si>
    <t>Prime Video *BY96Y4JQ 888-802-3080 WA        04/09</t>
  </si>
  <si>
    <t>MEZZE GRANADA                                04/09 Euro       81.00 X 1.172346 (EXCHG RTE)</t>
  </si>
  <si>
    <t>TAXI GR 559 GRANADA                          04/09 Euro       10.00 X 1.172000 (EXCHG RTE)</t>
  </si>
  <si>
    <t>UBER   * EATS PENDIN SAN FRANCISCO CA147971  04/09</t>
  </si>
  <si>
    <t>UBER   * EATS PENDIN SAN FRANCISCO CA075848  04/08</t>
  </si>
  <si>
    <t>ORIG CO NAME:Rabourn Road Ind       ORIG ID:945440567  DESC DATE:       CO ENTRY DESCR:PAYMENT   SEC:PPD    TRACE#:273976364711827 EED:260409   IND ID:                             IND NAME:John Dunning TRN: 0994711827TC</t>
  </si>
  <si>
    <t>ORIG CO NAME:Austin Iron Hold       ORIG ID:945440567  DESC DATE:       CO ENTRY DESCR:PAYMENT   SEC:PPD    TRACE#:273976364712561 EED:260409   IND ID:                             IND NAME:John Dunning TRN: 0994712561TC</t>
  </si>
  <si>
    <t>ORIG CO NAME:Merit-Lancaster        ORIG ID:945440567  DESC DATE:       CO ENTRY DESCR:PAYMENT   SEC:PPD    TRACE#:273976364712232 EED:260409   IND ID:                             IND NAME:John Dunning TRN: 0994712232TC</t>
  </si>
  <si>
    <t>FOREIGN EXCHANGE RATE ADJUSTMENT FEE         04/07NATURALME</t>
  </si>
  <si>
    <t>ORIG CO NAME:AMERICAN EXPRESS       ORIG ID:2005032111 DESC DATE:260408 CO ENTRY DESCR:ACH PMT   SEC:CCD    TRACE#:021000026112870 EED:260408   IND ID:W1946                        IND NAME:JOHN DUNNING                                                                                                 ER AM TRN: 0986112870TC</t>
  </si>
  <si>
    <t>UBER   *ONE MEMBERSH SAN FRANCISCO CA135266  04/08</t>
  </si>
  <si>
    <t>Online Transfer to CHK ...1168 transaction#: 28750412871 04/08</t>
  </si>
  <si>
    <t>NATURALMENTE SEVILLA                         04/07 Euro       54.48 X 1.157305 (EXCHG RTE)</t>
  </si>
  <si>
    <t>FOREIGN EXCHANGE RATE ADJUSTMENT FEE         04/06CENTRO CU</t>
  </si>
  <si>
    <t>CENTRO CULTURAL FLAMENC SEVILLA              04/06 Euro       40.00 X 1.155000 (EXCHG RTE)</t>
  </si>
  <si>
    <t>APPLE.COM/BILL 866-712-7753 CA               04/06</t>
  </si>
  <si>
    <t>UBER   * EATS PENDIN SAN FRANCISCO CA089334  04/06</t>
  </si>
  <si>
    <t>Prime Video *B78QL0VC 888-802-3080 WA        04/05</t>
  </si>
  <si>
    <t>Online Transfer to CHK ...9905 transaction#: 28682192926 04/03</t>
  </si>
  <si>
    <t>Experian* Credit Repor 479-3436237 CA        04/01</t>
  </si>
  <si>
    <t>APPLE.COM/BILL 866-712-7753 CA               04/01</t>
  </si>
  <si>
    <t>Amazon.com*BG9PV9ZG0 Amzn.com/bill WA        03/31</t>
  </si>
  <si>
    <t>ORIG CO NAME:MITCHELL ASSET G       ORIG ID:9024218048 DESC DATE:260401 CO ENTRY DESCR:ACH Pmt   SEC:CCD    TRACE#:021000026858635 EED:260401   IND ID:11213391309                  IND NAME:                           Marketing Reimbursement TRN: 0916858635TC</t>
  </si>
  <si>
    <t>UBER   * EATS PENDIN SAN FRANCISCO CA076010  03/31</t>
  </si>
  <si>
    <t>ORIG CO NAME:AMERICAN EXPRESS       ORIG ID:2005032111 DESC DATE:260330 CO ENTRY DESCR:ACH PMT   SEC:CCD    TRACE#:021000024697852 EED:260330   IND ID:W6148                        IND NAME:JOHN DUNNING                                                                                                 ER AM TRN: 0894697852TC</t>
  </si>
  <si>
    <t>ORIG CO NAME:AMERICAN EXPRESS       ORIG ID:2005032111 DESC DATE:260330 CO ENTRY DESCR:ACH PMT   SEC:CCD    TRACE#:021000024697649 EED:260330   IND ID:W8168                        IND NAME:JOHN DUNNING                                                                                                 ER AM TRN: 0894697649TC</t>
  </si>
  <si>
    <t>ORIG CO NAME:AMERICAN EXPRESS       ORIG ID:2005032111 DESC DATE:260330 CO ENTRY DESCR:ACH PMT   SEC:CCD    TRACE#:021000024697670 EED:260330   IND ID:W6964                        IND NAME:JOHN DUNNING                                                                                                 ER AM TRN: 0894697670TC</t>
  </si>
  <si>
    <t>UBER   * PENDING SAN FRANCISCO CA    135222  03/29</t>
  </si>
  <si>
    <t>APPLE.COM/BILL 866-712-7753 CA               03/29</t>
  </si>
  <si>
    <t>WITHDRAWAL 03/30</t>
  </si>
  <si>
    <t>MISC_DEBIT</t>
  </si>
  <si>
    <t>Online Transfer to CHK ...1168 transaction#: 28600213789 03/30</t>
  </si>
  <si>
    <t>Online Transfer to CHK ...1168 transaction#: 28600211780 03/30</t>
  </si>
  <si>
    <t>Online Transfer to CHK ...1168 transaction#: 28600210630 03/30</t>
  </si>
  <si>
    <t>Online Transfer from CHK ...5153 transaction#: 28604857175</t>
  </si>
  <si>
    <t>Prime Video *B58DN629 888-802-3080 WA        03/27</t>
  </si>
  <si>
    <t>Amazon.com*B52Z38PK0 Amzn.com/bill WA        03/27</t>
  </si>
  <si>
    <t>Amazon.com*BG7E83YD2 Amzn.com/bill WA        03/27</t>
  </si>
  <si>
    <t>Amazon.com*B58TJ31K0 Amzn.com/bill WA        03/27</t>
  </si>
  <si>
    <t>Online Transfer to CHK ...3922 transaction#: 28577249101 03/26</t>
  </si>
  <si>
    <t>AMAZON MKTPL*B50Q07G Amzn.com/bill WA        03/25</t>
  </si>
  <si>
    <t>Amazon.com*BG0MW9V42 Amzn.com/bill WA        03/23</t>
  </si>
  <si>
    <t>UBER   * EATS PENDIN SAN FRANCISCO CA144875  03/23</t>
  </si>
  <si>
    <t>Prime Video *B55YJ5Z6 888-802-3080 WA        03/23</t>
  </si>
  <si>
    <t>Online Transfer to CHK ...1168 transaction#: 28532232790 03/23</t>
  </si>
  <si>
    <t>APPLE.COM/BILL 866-712-7753 CA               03/22</t>
  </si>
  <si>
    <t>Amazon.com*BD7503WA1 Amzn.com/bill WA        03/21</t>
  </si>
  <si>
    <t>Netflix.com netflix.com CA                   03/21</t>
  </si>
  <si>
    <t>UBER   * EATS PENDIN SAN FRANCISCO CA086641  03/20</t>
  </si>
  <si>
    <t>Zelle payment to Michael Paytonjian JPM99c9x8n88</t>
  </si>
  <si>
    <t>Amazon.com*BD16C20B0 Amzn.com/bill WA        03/20</t>
  </si>
  <si>
    <t>ANGEL WWW.ANGEL.COM UT                       03/19</t>
  </si>
  <si>
    <t>Amazon.com*BD3V23BE1 Amzn.com/bill WA        03/19</t>
  </si>
  <si>
    <t>Prime Video *BD1DI8CM 888-802-3080 WA        03/18</t>
  </si>
  <si>
    <t>AMAZON MKTPL*B54825M Amzn.com/bill WA        03/18</t>
  </si>
  <si>
    <t>AMAZON MKTPL*BP58M4Y Amzn.com/bill WA        03/18</t>
  </si>
  <si>
    <t>Amazon.com*B50NF2XW2 Amzn.com/bill WA        03/17</t>
  </si>
  <si>
    <t>UBER   *EATS HELP.UB SAN FRANCISCO CA076377  03/17</t>
  </si>
  <si>
    <t>UBER   * EATS PENDIN SAN FRANCISCO CA142143  03/17</t>
  </si>
  <si>
    <t>ROBBINS RESEARCH INT WWW.TONYROBBI CA        03/16</t>
  </si>
  <si>
    <t>Amazon.com*BD4S15AN1 Amzn.com/bill WA        03/17</t>
  </si>
  <si>
    <t>Zelle payment to Michael Paytonjian JPM99c9dyp8w</t>
  </si>
  <si>
    <t>Amazon.com*BD2RO43P1 Amzn.com/bill WA        03/16</t>
  </si>
  <si>
    <t>Prime Video *B59AY1CB 888-802-3080 WA        03/15</t>
  </si>
  <si>
    <t>APPLE.COM/BILL 866-712-7753 CA               03/15</t>
  </si>
  <si>
    <t>UBER   * EATS PENDIN SAN FRANCISCO CA145223  03/13</t>
  </si>
  <si>
    <t>UBER   * EATS PENDIN SAN FRANCISCO CA077423  03/13</t>
  </si>
  <si>
    <t>Zelle payment to Michael Paytonjian JPM99c90w0wp</t>
  </si>
  <si>
    <t>BLOOMBERG* 37033964 BLOOMBERG.COM NY         03/12</t>
  </si>
  <si>
    <t>AMAZON MKTPL*BD9SD30 Amzn.com/bill WA        03/11</t>
  </si>
  <si>
    <t>ORIG CO NAME:MRM Industrial P       ORIG ID:945440567  DESC DATE:       CO ENTRY DESCR:PAYMENT   SEC:PPD    TRACE#:273976369122380 EED:260311   IND ID:                             IND NAME:John Dunning TRN: 0709122380TC</t>
  </si>
  <si>
    <t>ORIG CO NAME:Austin Iron Hold       ORIG ID:945440567  DESC DATE:       CO ENTRY DESCR:PAYMENT   SEC:PPD    TRACE#:273976369121115 EED:260311   IND ID:                             IND NAME:John Dunning TRN: 0709121115TC</t>
  </si>
  <si>
    <t>ORIG CO NAME:T and T Machine        ORIG ID:945440567  DESC DATE:       CO ENTRY DESCR:PAYMENT   SEC:PPD    TRACE#:273976369120963 EED:260311   IND ID:                             IND NAME:John Dunning TRN: 0709120963TC</t>
  </si>
  <si>
    <t>ORIG CO NAME:Merit-Lancaster        ORIG ID:945440567  DESC DATE:       CO ENTRY DESCR:PAYMENT   SEC:PPD    TRACE#:273976369123438 EED:260311   IND ID:                             IND NAME:John Dunning TRN: 0709123438TC</t>
  </si>
  <si>
    <t>Amazon.com*BE1TA9ID0 Amzn.com/bill WA        03/10</t>
  </si>
  <si>
    <t>Amazon.com*BD3ZO1N72 Amzn.com/bill WA        03/10</t>
  </si>
  <si>
    <t>Amazon.com*BE6PC72A0 Amzn.com/bill WA        03/09</t>
  </si>
  <si>
    <t>LinkedIn JOB P84168939 855-6535653 CA        03/09</t>
  </si>
  <si>
    <t>Peacock D9347 Premium 212-6640138 NY         03/09</t>
  </si>
  <si>
    <t>Prime Video *BE2QK7QE 888-802-3080 WA        03/08</t>
  </si>
  <si>
    <t>Prime Video *BE1PL0Q3 888-802-3080 WA        03/08</t>
  </si>
  <si>
    <t>UBER *ONE MEMBERSHIP SAN FRANCISCO CA993926  03/08</t>
  </si>
  <si>
    <t>APPLE.COM/BILL 866-712-7753 CA               03/08</t>
  </si>
  <si>
    <t>APPLE.COM/BILL 866-712-7753 CA               03/06</t>
  </si>
  <si>
    <t>ORIG CO NAME:Rabourn Road Ind       ORIG ID:945440567  DESC DATE:       CO ENTRY DESCR:PAYMENT   SEC:PPD    TRACE#:273976363038965 EED:260309   IND ID:                             IND NAME:John Dunning TRN: 0683038965TC</t>
  </si>
  <si>
    <t>POWERHOUSE PILATES WWW.POWERHOUS CA          03/05</t>
  </si>
  <si>
    <t>Prime Video *BE9I9252 888-802-3080 WA        03/05</t>
  </si>
  <si>
    <t>Amazon.com*BP3A47PG2 Amzn.com/bill WA        03/05</t>
  </si>
  <si>
    <t>Amazon.com*BE88C1F70 Amzn.com/bill WA        03/04</t>
  </si>
  <si>
    <t>AMAZON MKTPL*BP0YQ4E Amzn.com/bill WA        03/04</t>
  </si>
  <si>
    <t>LinkedIn 650-6873555 CA                      03/04</t>
  </si>
  <si>
    <t>Prime Video *BP5WV4TQ 888-802-3080 WA        03/04</t>
  </si>
  <si>
    <t>Amazon.com*B94L70YC0 Amzn.com/bill WA        03/04</t>
  </si>
  <si>
    <t>Amazon.com*BE6028G91 Amzn.com/bill WA        03/04</t>
  </si>
  <si>
    <t>Online Transfer to CHK ...1168 transaction#: 28293264811 03/03</t>
  </si>
  <si>
    <t>Amazon.com*B92OD12T0 Amzn.com/bill WA        03/03</t>
  </si>
  <si>
    <t>Online Transfer to CHK ...9769 transaction#: 28281789059 03/02</t>
  </si>
  <si>
    <t>Experian* Credit Repor 479-3436237 CA        03/01</t>
  </si>
  <si>
    <t>CITY OF SANTA MONICA SANTA MONICA CA         02/28</t>
  </si>
  <si>
    <t>APPLE.COM/BILL 866-712-7753 CA               02/28</t>
  </si>
  <si>
    <t>Amazon.com*B94K59XX0 Amzn.com/bill WA        03/01</t>
  </si>
  <si>
    <t>Amazon.com*B90808SS1 Amzn.com/bill WA        02/28</t>
  </si>
  <si>
    <t>Online Transfer to CHK ...1927 transaction#: 28232263169 02/27</t>
  </si>
  <si>
    <t>LinkedIn JOB P82408803 855-6535653 CA        02/27</t>
  </si>
  <si>
    <t>AMAZON MKTPL*BE8HI2V Amzn.com/bill WA        02/27</t>
  </si>
  <si>
    <t>ORIG CO NAME:AMERICAN EXPRESS       ORIG ID:2005032111 DESC DATE:260226 CO ENTRY DESCR:ACH PMT   SEC:CCD    TRACE#:021000029827822 EED:260226   IND ID:W0812                        IND NAME:JOHN DUNNING                                                                                                 ER AM TRN: 0579827822TC</t>
  </si>
  <si>
    <t>Amazon Tips*SX8YA9PI Amzn.com/bill WA        02/25</t>
  </si>
  <si>
    <t>Online Transfer to CHK ...7899 transaction#: 28201884880 02/25</t>
  </si>
  <si>
    <t>Online Transfer to CHK ...1168 transaction#: 28201888543 02/25</t>
  </si>
  <si>
    <t>Online Transfer to CHK ...1117 transaction#: 28201880160 02/25</t>
  </si>
  <si>
    <t>Amazon.com*B94R63N51 Amzn.com/bill WA        02/24</t>
  </si>
  <si>
    <t>ORIG CO NAME:AMERICAN EXPRESS       ORIG ID:2005032111 DESC DATE:260224 CO ENTRY DESCR:ACH PMT   SEC:CCD    TRACE#:021000020920560 EED:260224   IND ID:W8898                        IND NAME:JOHN DUNNING                                                                                                 ER AM TRN: 0550920560TC</t>
  </si>
  <si>
    <t>ORIG CO NAME:AMERICAN EXPRESS       ORIG ID:2005032111 DESC DATE:260224 CO ENTRY DESCR:ACH PMT   SEC:CCD    TRACE#:021000020921240 EED:260224   IND ID:W7754                        IND NAME:JOHN DUNNING                                                                                                 ER AM TRN: 0550921240TC</t>
  </si>
  <si>
    <t>ORIG CO NAME:AMERICAN EXPRESS       ORIG ID:2005032111 DESC DATE:260224 CO ENTRY DESCR:ACH PMT   SEC:CCD    TRACE#:021000020920988 EED:260224   IND ID:W4566                        IND NAME:JOHN DUNNING                                                                                                 ER AM TRN: 0550920988TC</t>
  </si>
  <si>
    <t>Amazon.com*B90UC52Q2 Amzn.com/bill WA        02/22</t>
  </si>
  <si>
    <t>AMAZON MKTPL*B99Y832 Amzn.com/bill WA        02/22</t>
  </si>
  <si>
    <t>Prime Video *IU2BG8OM 888-802-3080 WA        02/22</t>
  </si>
  <si>
    <t>Prime Video *F25Q00CR 888-802-3080 WA        02/21</t>
  </si>
  <si>
    <t>Prime Video *3W2UJ15T 888-802-3080 WA        02/21</t>
  </si>
  <si>
    <t>APPLE.COM/BILL 866-712-7753 CA               02/22</t>
  </si>
  <si>
    <t>AMAZON MKTPL*AF4JI4V Amzn.com/bill WA        02/22</t>
  </si>
  <si>
    <t>AMAZON MKTPL*U18642B Amzn.com/bill WA        02/22</t>
  </si>
  <si>
    <t>Netflix.com netflix.com CA                   02/21</t>
  </si>
  <si>
    <t>AA WIFI 1-877-350-0038 Fort Worth TX         02/20</t>
  </si>
  <si>
    <t>ORIG CO NAME:T and T Machine        ORIG ID:945440567  DESC DATE:       CO ENTRY DESCR:PAYMENT   SEC:PPD    TRACE#:273976367045821 EED:260223   IND ID:                             IND NAME:John Dunning TRN: 0547045821TC</t>
  </si>
  <si>
    <t>ORIG CO NAME:THE BRANDON LAW        ORIG ID:8263863381 DESC DATE:       CO ENTRY DESCR:J2804 OOFFSEC:CCD    TRACE#:111000022792526 EED:260220   IND ID:CZ10000NZUJ4C                IND NAME:POSEIDON ASSET GROUP L     TRN*1*CZ10000NZUJ4C\RMR*IK*THE BRAN DON LAW FIRM PLL\ TRN: 0512792526TC</t>
  </si>
  <si>
    <t>Online Transfer to CHK ...1117 transaction#: 28137686870 02/20</t>
  </si>
  <si>
    <t>Amazon.com*B92EG3G42 Amzn.com/bill WA        02/20</t>
  </si>
  <si>
    <t>Online Transfer to CHK ...1168 transaction#: 28131453248 02/19</t>
  </si>
  <si>
    <t>Online Transfer to CHK ...7899 transaction#: 28131459271 02/19</t>
  </si>
  <si>
    <t>Zelle payment to Michael Paytonjian JPM99c690glm</t>
  </si>
  <si>
    <t>Amazon Tips*B900H8EO Amzn.com/bill WA        02/19</t>
  </si>
  <si>
    <t>Online Transfer to CHK ...7753 transaction#: 28126995851 02/19</t>
  </si>
  <si>
    <t>ANGEL WWW.ANGEL.COM UT                       02/19</t>
  </si>
  <si>
    <t>Prime Video *958170DT 888-802-3080 WA        02/19</t>
  </si>
  <si>
    <t>Amazon.com*M82QO1KL3 Amzn.com/bill WA        02/19</t>
  </si>
  <si>
    <t>Amazon.com*B90JJ23J2 Amzn.com/bill WA        02/18</t>
  </si>
  <si>
    <t>BOOK TRANSFER CREDIT B/O: SCOTT D BRECHNER PHOENIX AZ 85076-1102 US TRN: 3674476049ES</t>
  </si>
  <si>
    <t>Prime Video *B96TH045 888-802-3080 WA        02/18</t>
  </si>
  <si>
    <t>Amazon.com*0178F0M63 Amzn.com/bill WA        02/18</t>
  </si>
  <si>
    <t>Amazon.com*B93EN64X2 Amzn.com/bill WA        02/18</t>
  </si>
  <si>
    <t>Amazon.com*B913D3Z12 Amzn.com/bill WA        02/18</t>
  </si>
  <si>
    <t>Amazon Tips*CX9S94YL Amzn.com/bill WA        02/17</t>
  </si>
  <si>
    <t>WITHDRAWAL 02/17</t>
  </si>
  <si>
    <t>TST* THE BUTCHER'S DAUG VENICE CA            02/17</t>
  </si>
  <si>
    <t>Amazon.com*B11JW99L2 Amzn.com/bill WA        02/16</t>
  </si>
  <si>
    <t>ROBBINS RESEARCH INT WWW.TONYROBBI CA        02/16</t>
  </si>
  <si>
    <t>APPLE.COM/BILL 866-712-7753 CA               02/15</t>
  </si>
  <si>
    <t>APPLE CASH SENT MONE 1INFINITELOOP CA        02/14</t>
  </si>
  <si>
    <t>Amazon Tips*TX6DJ2DI Amzn.com/bill WA        02/13</t>
  </si>
  <si>
    <t>Amazon.com Amzn.com/bill WA                  02/16</t>
  </si>
  <si>
    <t>Prime Video *X28D60E2 888-802-3080 WA        02/13</t>
  </si>
  <si>
    <t>Prime Video *NR8TF4Q8 888-802-3080 WA        02/13</t>
  </si>
  <si>
    <t>Amazon.com*BI0QR5MD3 Amzn.com/bill WA        02/13</t>
  </si>
  <si>
    <t>Amazon.com*ST7JP96B3 Amzn.com/bill WA        02/12</t>
  </si>
  <si>
    <t>APPLE CASH SENT MONE 1INFINITELOOP CA        02/12</t>
  </si>
  <si>
    <t>BLOOMBERG* 37033964 BLOOMBERG.COM NY         02/12</t>
  </si>
  <si>
    <t>Amazon Tips*WR5K49YN Amzn.com/bill WA        02/11</t>
  </si>
  <si>
    <t>Prime Video *7R2154EX 888-802-3080 WA        02/10</t>
  </si>
  <si>
    <t>Prime Video *QK3D797H 888-802-3080 WA        02/10</t>
  </si>
  <si>
    <t>Prime Video *IP6E262S 888-802-3080 WA        02/10</t>
  </si>
  <si>
    <t>Prime Video *4Y4889OY 888-802-3080 WA        02/10</t>
  </si>
  <si>
    <t>AMAZON MKTPL*GV8H14K Amzn.com/bill WA        02/10</t>
  </si>
  <si>
    <t>Amazon.com*RU59R2FK3 Amzn.com/bill WA        02/10</t>
  </si>
  <si>
    <t>TST*AMERICAN BEAUTY STE Venice CA            02/09</t>
  </si>
  <si>
    <t>Amazon.com*QC7JM3SV3 Amzn.com/bill WA        02/10</t>
  </si>
  <si>
    <t>ORIG CO NAME:Rabourn Road Ind       ORIG ID:945440567  DESC DATE:       CO ENTRY DESCR:PAYMENT   SEC:PPD    TRACE#:273976369604141 EED:260210   IND ID:                             IND NAME:John Dunning TRN: 0419604141TC</t>
  </si>
  <si>
    <t>ORIG CO NAME:MRM Industrial P       ORIG ID:945440567  DESC DATE:       CO ENTRY DESCR:PAYMENT   SEC:PPD    TRACE#:273976369603863 EED:260210   IND ID:                             IND NAME:John Dunning TRN: 0419603863TC</t>
  </si>
  <si>
    <t>ORIG CO NAME:Austin Iron Hold       ORIG ID:945440567  DESC DATE:       CO ENTRY DESCR:PAYMENT   SEC:PPD    TRACE#:273976369603891 EED:260210   IND ID:                             IND NAME:John Dunning TRN: 0419603891TC</t>
  </si>
  <si>
    <t>ORIG CO NAME:Merit-Lancaster        ORIG ID:945440567  DESC DATE:       CO ENTRY DESCR:PAYMENT   SEC:PPD    TRACE#:273976369603779 EED:260210   IND ID:                             IND NAME:John Dunning TRN: 0419603779TC</t>
  </si>
  <si>
    <t>ORIG CO NAME:TRB INSURANCE AG       ORIG ID:8263863381 DESC DATE:       CO ENTRY DESCR:J2792 OOFFSEC:PPD    TRACE#:111000022845799 EED:260209   IND ID:                             IND NAME:JOHN DUNNING TRN: 0402845799TC</t>
  </si>
  <si>
    <t>Peacock EB119 Premium 212-6640138 NY         02/09</t>
  </si>
  <si>
    <t>UBER *ONE MEMBERSHIP SAN FRANCISCO CA081739  02/08</t>
  </si>
  <si>
    <t>Peacock X4382 Peacock 212-6640138 NY         02/08</t>
  </si>
  <si>
    <t>Prime Video *K46AZ6DS 888-802-3080 WA        02/07</t>
  </si>
  <si>
    <t>APPLE.COM/BILL 866-712-7753 CA               02/07</t>
  </si>
  <si>
    <t>AA WIFI 1-888-649-6711 Fort Worth TX         02/07</t>
  </si>
  <si>
    <t>INSTACART INSTACART.COM CA                   02/07</t>
  </si>
  <si>
    <t>Peacock X4382 Peacock 212-6640138 NY         02/09</t>
  </si>
  <si>
    <t>Online Transfer to CHK ...1168 transaction#: 27978462862 02/06</t>
  </si>
  <si>
    <t>APPLE COM BILL CUPERTINO CA          325179  02/06</t>
  </si>
  <si>
    <t>Zelle payment to Michael Paytonjian JPM99c4pk0wr</t>
  </si>
  <si>
    <t>Amazon Tips*1K8VS7VX Amzn.com/bill WA        02/05</t>
  </si>
  <si>
    <t>Amazon Tips*Y61P07VN Amzn.com/bill WA        02/05</t>
  </si>
  <si>
    <t>Amazon.com*L45EZ6EH3 Amzn.com/bill WA        02/05</t>
  </si>
  <si>
    <t>Zelle payment to Michael Paytonjian JPM99c4k99js</t>
  </si>
  <si>
    <t>Amazon.com*W30BA4K93 Amzn.com/bill WA        02/04</t>
  </si>
  <si>
    <t>Prime Video *1Y6NB28R 888-802-3080 WA        02/04</t>
  </si>
  <si>
    <t>AA WIFI 1-888-649-6711 Fort Worth TX         02/04</t>
  </si>
  <si>
    <t>Amazon Retai*580IK5G Amzn.com/bill WA        02/04</t>
  </si>
  <si>
    <t>Amazon Retail Partne Amzn.com/bill WA        02/04</t>
  </si>
  <si>
    <t>ONLINE DOMESTIC WIRE TRANSFER VIA: BK COMRCE SD/122235821 A/C: RTB ASSOCIATES INVESTIGATIONS MINNEAPOLIS MN 55402 US IMAD: 0204MMQFMP2N020286 TRN: 3376136035ES 02/04</t>
  </si>
  <si>
    <t>ONLINE DOMESTIC WIRE TRANSFER A/C: GI CAPITAL GROUP RICHMOND CA 94804-5637 US TRN: 3764556034ES 02/03</t>
  </si>
  <si>
    <t>ONLINE DOMESTIC WIRE TRANSFER A/C: ADMEER ADVISORY, LLC DANA POINT CA 92629-3313 US REF: CANDY BARS TRN: 3497016034ES 02/03</t>
  </si>
  <si>
    <t>ORIG CO NAME:MITCHELL ASSET G       ORIG ID:9024218048 DESC DATE:260203 CO ENTRY DESCR:ACH Pmt   SEC:CCD    TRACE#:021000026983316 EED:260203   IND ID:11205797586                  IND NAME:                           Reimbursement - Marketing Expense TRN: 0346983316TC</t>
  </si>
  <si>
    <t>Online Transfer from CHK ...1168 transaction#: 27936308043</t>
  </si>
  <si>
    <t>FEDWIRE CREDIT VIA: ZIONS BANCORPORATION N.A./124000054 B/O: GRIFFITHS &amp; TURNER GT TITLE SERVICEUSA 84107 REF: CHASE NYC/CTR/BNF=POSEIDON ASSET GROUP, LLC LOS ANGELES CA 90066-3638 US/AC-000000007200 RFB=NOTPROVIDED OBI=/URI/OVERAGE OF BUYERS WIRE2331 MES A RD #4, MOABGT TITLE FILE#SL6 2787M GT TITLE DQ 8 IMAD: 0203L4B74B3C001903 TRN: 0931881034FF</t>
  </si>
  <si>
    <t>Online Transfer to CHK ...1168 transaction#: 27927945998 02/02</t>
  </si>
  <si>
    <t>Experian* Credit Repor 479-3436237 CA        02/01</t>
  </si>
  <si>
    <t>Amazon Tips*IJ4TA3RD Amzn.com/bill WA        01/31</t>
  </si>
  <si>
    <t>Amazon Tips*QF4O19EK Amzn.com/bill WA        01/30</t>
  </si>
  <si>
    <t>SWA*EXCS_BAG526430991 800-435-9792 TX        01/29</t>
  </si>
  <si>
    <t>Online Transfer from CHK ...5153 transaction#: 27927914475</t>
  </si>
  <si>
    <t>BOOK TRANSFER CREDIT B/O: JOSEPH WHITNER MIAMI FL 33133-3184 US TRN: 4141146033ES</t>
  </si>
  <si>
    <t>Prime Video *UH8DB6AD 888-802-3080 WA        01/30</t>
  </si>
  <si>
    <t>Amazon.com*SB3EX9NH3 Amzn.com/bill WA        01/30</t>
  </si>
  <si>
    <t>VIASATSWAIRLINES Carlsbad CA                 01/29</t>
  </si>
  <si>
    <t>CAFFE AL TEATRO 702-7702540 NV               01/28</t>
  </si>
  <si>
    <t>Amazon Retail Partne Amzn.com/bill WA        01/29</t>
  </si>
  <si>
    <t>Online Transfer to CHK ...3922 transaction#: 27864886441 01/29</t>
  </si>
  <si>
    <t>ZTRIP TAXI 181-65123039 MO                   01/29</t>
  </si>
  <si>
    <t>Amazon Retai*OE3U72A Amzn.com/bill WA        01/29</t>
  </si>
  <si>
    <t>Online Transfer to CHK ...3922 transaction#: 27863196629 01/29</t>
  </si>
  <si>
    <t>APPLE COM BILL CUPERTINO CA          079658  01/29</t>
  </si>
  <si>
    <t>NON-CHASE ATM FEE-WITH</t>
  </si>
  <si>
    <t>NON-CHASE ATM WITHDRAW               000559  01/273600 LAS</t>
  </si>
  <si>
    <t>ATM</t>
  </si>
  <si>
    <t>Prime Video *B03SL40E 888-802-3080 WA        01/28</t>
  </si>
  <si>
    <t>ORIG CO NAME:AMERICAN EXPRESS       ORIG ID:2005032111 DESC DATE:260127 CO ENTRY DESCR:ACH PMT   SEC:CCD    TRACE#:021000025706522 EED:260127   IND ID:W7458                        IND NAME:JOHN DUNNING                                                                                                 ER AM TRN: 0275706522TC</t>
  </si>
  <si>
    <t>ORIG CO NAME:AMERICAN EXPRESS       ORIG ID:2005032111 DESC DATE:260127 CO ENTRY DESCR:ACH PMT   SEC:CCD    TRACE#:021000025706469 EED:260127   IND ID:W9370                        IND NAME:JOHN DUNNING                                                                                                 ER AM TRN: 0275706469TC</t>
  </si>
  <si>
    <t>Online Transfer to CHK ...1168 transaction#: 27845061443 01/27</t>
  </si>
  <si>
    <t>Prime Video *Z46XH89G 888-802-3080 WA        01/26</t>
  </si>
  <si>
    <t>APPLE CASH SENT MONE 1INFINITELOOP CA        01/26</t>
  </si>
  <si>
    <t>NON-CHASE ATM WITHDRAW               004799  01/263131 LAS</t>
  </si>
  <si>
    <t>ORIG CO NAME:AMERICAN EXPRESS       ORIG ID:2005032111 DESC DATE:260126 CO ENTRY DESCR:ACH PMT   SEC:CCD    TRACE#:021000022147626 EED:260126   IND ID:W4212                        IND NAME:JOHN DUNNING                                                                                                 ER AM TRN: 0262147626TC</t>
  </si>
  <si>
    <t>Amazon.com*D70JT20J3 Amzn.com/bill WA        01/26</t>
  </si>
  <si>
    <t>Prime Video *X47432OV 888-802-3080 WA        01/25</t>
  </si>
  <si>
    <t>APPLE.COM/BILL 866-712-7753 CA               01/25</t>
  </si>
  <si>
    <t>Amazon Tips*DG19F29B Amzn.com/bill WA        01/24</t>
  </si>
  <si>
    <t>Amazon Retai*217FU6V Amzn.com/bill WA        01/23</t>
  </si>
  <si>
    <t>Amazon.com*2Y7QQ0WL3 Amzn.com/bill WA        01/23</t>
  </si>
  <si>
    <t>Zelle payment to Chase Hall 27789049787</t>
  </si>
  <si>
    <t>Amazon.com*IV2SJ0EW3 Amzn.com/bill WA        01/22</t>
  </si>
  <si>
    <t>Netflix.com netflix.com CA                   01/21</t>
  </si>
  <si>
    <t>Zelle payment to Michael Paytonjian JPM99c2swdss</t>
  </si>
  <si>
    <t>Online ACH Payment 11204142159 To CalCPAGroup (_#####3767)</t>
  </si>
  <si>
    <t>ACH_PAYMENT</t>
  </si>
  <si>
    <t>Online Transfer to CHK ...1168 transaction#: 27771975106 01/21</t>
  </si>
  <si>
    <t>Amazon Tips*JB8WA5G6 Amzn.com/bill WA        01/20</t>
  </si>
  <si>
    <t>Online Transfer to CHK ...1927 transaction#: 27770842807 01/20</t>
  </si>
  <si>
    <t>Zelle payment to Michael Paytonjian JPM99c2mzr6i</t>
  </si>
  <si>
    <t>Amazon Retai*CC8Q85P Amzn.com/bill WA        01/19</t>
  </si>
  <si>
    <t>ANGEL WWW.ANGEL.COM UT                       01/19</t>
  </si>
  <si>
    <t>Amazon.com*0X3840C33 Amzn.com/bill WA        01/19</t>
  </si>
  <si>
    <t>Amazon.com*1K8LK1CX3 Amzn.com/bill WA        01/18</t>
  </si>
  <si>
    <t>Prime Video *JD2AT525 888-802-3080 WA        01/18</t>
  </si>
  <si>
    <t>APPLE.COM/BILL 866-712-7753 CA               01/18</t>
  </si>
  <si>
    <t>ROBBINS RESEARCH INT WWW.TONYROBBI CA        01/17</t>
  </si>
  <si>
    <t>ORIG CO NAME:T and T Machine        ORIG ID:945440567  DESC DATE:       CO ENTRY DESCR:PAYMENT   SEC:PPD    TRACE#:273976360066131 EED:260116   IND ID:                             IND NAME:John Dunning TRN: 0160066131TC</t>
  </si>
  <si>
    <t>ORIG CO NAME:Rabourn Road Ind       ORIG ID:945440567  DESC DATE:       CO ENTRY DESCR:PAYMENT   SEC:PPD    TRACE#:273976364175433 EED:260115   IND ID:                             IND NAME:John Dunning TRN: 0154175433TC</t>
  </si>
  <si>
    <t>ORIG CO NAME:Merit-Lancaster        ORIG ID:945440567  DESC DATE:       CO ENTRY DESCR:PAYMENT   SEC:PPD    TRACE#:273976364175483 EED:260115   IND ID:                             IND NAME:John Dunning TRN: 0154175483TC</t>
  </si>
  <si>
    <t>AMAZON MKTPL*QF1FH48 Amzn.com/bill WA        01/13</t>
  </si>
  <si>
    <t>ORIG CO NAME:MRM Industrial P       ORIG ID:945440567  DESC DATE:       CO ENTRY DESCR:PAYMENT   SEC:PPD    TRACE#:273976368464874 EED:260114   IND ID:                             IND NAME:John Dunning TRN: 0148464874TC</t>
  </si>
  <si>
    <t>ORIG CO NAME:Austin Iron Hold       ORIG ID:945440567  DESC DATE:       CO ENTRY DESCR:PAYMENT   SEC:PPD    TRACE#:273976368464853 EED:260114   IND ID:                             IND NAME:John Dunning TRN: 0148464853TC</t>
  </si>
  <si>
    <t>Online Transfer to CHK ...1168 transaction#: 27686013256 01/13</t>
  </si>
  <si>
    <t>Online Transfer from CHK ...9082 transaction#: 27689024575</t>
  </si>
  <si>
    <t>Zelle payment to Michael Paytonjian JPM99c1t31zt</t>
  </si>
  <si>
    <t>BLOOMBERG* 37033964 BLOOMBERG.COM NY         01/12</t>
  </si>
  <si>
    <t>Prime Video *A98DL1Q8 888-802-3080 WA        01/11</t>
  </si>
  <si>
    <t>APPLE COM BILL CUPERTINO CA          146359  01/10</t>
  </si>
  <si>
    <t>Amazon.com*6X3NF7XX3 Amzn.com/bill WA        01/09</t>
  </si>
  <si>
    <t>LADOT METER PARKING LOS ANGELES CA           01/08</t>
  </si>
  <si>
    <t>Zelle payment to Scott Brech 27629512010</t>
  </si>
  <si>
    <t>EREWHON VENICE VENICE CA             699645  01/08</t>
  </si>
  <si>
    <t>UBER *ONE MEMBERSHIP SAN FRANCISCO CA021175  01/08</t>
  </si>
  <si>
    <t>Online Transfer to CHK ...9905 transaction#: 27628345128 01/08</t>
  </si>
  <si>
    <t>LIME*RIDE LI.ME CA                           01/08</t>
  </si>
  <si>
    <t>ONLINE DOMESTIC WIRE TRANSFER A/C: JOSEPH WHITNER MIAMI FL 33133-3184 US REF:/ACC/309234364 JC WHITNER 2369 OVERBROOK ST MIAMI FL 33133 US TRN: 3566066007ES 01/07</t>
  </si>
  <si>
    <t>ONLINE DOMESTIC WIRE TRANSFER VIA: WELLS FARGO NA/121000248 A/C: KEVIN WONG HAWTHORNE CA 90250 US REF: STEVE LOAN/TIME/20:11 IMAD: 0107MMQFMP2L026839 TRN: 3539546007ES 01/07</t>
  </si>
  <si>
    <t>Prime Video *SJ71Y0W4 888-802-3080 WA        01/07</t>
  </si>
  <si>
    <t>Prime Video *2S9LY78G 888-802-3080 WA        01/07</t>
  </si>
  <si>
    <t>Prime Video *WA2N41GV 888-802-3080 WA        01/07</t>
  </si>
  <si>
    <t>Prime Video *CN5WP3T5 888-802-3080 WA        01/07</t>
  </si>
  <si>
    <t>FEDWIRE CREDIT VIA: PACIFIC ALLIANCE BANK/122244511 B/O: STEVEN HOWARD KLAR LOS ANGELES CA 90016 REF: CHASE NYC/CTR/BNF=POSEIDON ASSET GROUP, LLC LOS ANGELES CA 90066-3638 US/AC-000000007200 RFB=2331 LUCERNE KLA OBI=/PURP/FAMILY/HOUSEHOLD/PER SONAL BBI=/BNF/CHASE BANK 270 PARK AVE 43RD F L NEW YORK NY 100 IMAD: 0107GMQFMP01018890 TRN: 0796091007FF</t>
  </si>
  <si>
    <t>APPLE COM BILL CUPERTINO CA          036845  01/06</t>
  </si>
  <si>
    <t>Prime Video *QX6IP4BT 888-802-3080 WA        01/06</t>
  </si>
  <si>
    <t>Prime Video *2J57V3JR 888-802-3080 WA        01/06</t>
  </si>
  <si>
    <t>Prime Video *N81IP4N8 888-802-3080 WA        01/06</t>
  </si>
  <si>
    <t>Prime Video *U99PJ08Y 888-802-3080 WA        01/06</t>
  </si>
  <si>
    <t>AA WIFI 1-888-649-6711 Fort Worth TX         01/05</t>
  </si>
  <si>
    <t>Amazon Tips*IO61C0HZ Amzn.com/bill WA        01/03</t>
  </si>
  <si>
    <t>AMAZON MKTPL*W21G791 Amzn.com/bill WA        01/03</t>
  </si>
  <si>
    <t>Amazon.com*A40R24G63 Amzn.com/bill WA        01/03</t>
  </si>
  <si>
    <t>Amazon Retai*CK5A731 Amzn.com/bill WA        01/02</t>
  </si>
  <si>
    <t>Amazon.com*QQ50Q2HC3 Amzn.com/bill WA        01/02</t>
  </si>
  <si>
    <t>Prime Video *GI9E19VK 888-802-3080 WA        01/02</t>
  </si>
  <si>
    <t>Prime Video *UY9BA4XN 888-802-3080 WA        01/01</t>
  </si>
  <si>
    <t>VENICE LIQUOR LOS ANGELES CA                 01/01</t>
  </si>
  <si>
    <t>Experian* Credit Repor 479-3436237 CA        01/01</t>
  </si>
  <si>
    <t>Category</t>
  </si>
  <si>
    <t>American Express Credit Card PMT</t>
  </si>
  <si>
    <t>Personal - Subscriptions</t>
  </si>
  <si>
    <t>Personal - Food &amp; Dining</t>
  </si>
  <si>
    <t>Transfer to Angela Dunning</t>
  </si>
  <si>
    <t>Transfer to DWG Capital Group</t>
  </si>
  <si>
    <t>Zelle - Francisco Bautista</t>
  </si>
  <si>
    <t>Office/Miscellaneous Reimbursement - Mike P.</t>
  </si>
  <si>
    <t>Transfer to DWG Capital Partners</t>
  </si>
  <si>
    <t>Wire Fee</t>
  </si>
  <si>
    <t>Meg Maran - MDC Commission</t>
  </si>
  <si>
    <t>Transfer From SPF</t>
  </si>
  <si>
    <t>MAG - Admeer Advisory Transfer</t>
  </si>
  <si>
    <t>Transfer to Edgebuilders</t>
  </si>
  <si>
    <t>ATM/Cash</t>
  </si>
  <si>
    <t>Transfer From Stryten</t>
  </si>
  <si>
    <t>DWG HR</t>
  </si>
  <si>
    <t>Personal - Health (incl. Ins.)</t>
  </si>
  <si>
    <t>Transfer to Judd Sol Prop</t>
  </si>
  <si>
    <t>Transfer to TX Personal Joint</t>
  </si>
  <si>
    <t>Transfer to DWG Capital Group_Costar</t>
  </si>
  <si>
    <t>Transfer From DWG Capital Group</t>
  </si>
  <si>
    <t>Bank Fees</t>
  </si>
  <si>
    <t>Transfer From Poseidon</t>
  </si>
  <si>
    <t>Amazon</t>
  </si>
  <si>
    <t>Personal - Car</t>
  </si>
  <si>
    <t>Personal - Entertainment</t>
  </si>
  <si>
    <t>Deal Specific: Austin Iron</t>
  </si>
  <si>
    <t>Deal Specific: Merit-Lancaster</t>
  </si>
  <si>
    <t>Deal Specific: Rabourn Road</t>
  </si>
  <si>
    <t>Transfer to Buckeye</t>
  </si>
  <si>
    <t>Facebook</t>
  </si>
  <si>
    <t>Personal - Travel</t>
  </si>
  <si>
    <t>Incoming wire from Steve Klar</t>
  </si>
  <si>
    <t>Kevin Wong Commission (Steve Klar)</t>
  </si>
  <si>
    <t>Bridge Coverage (JC Whitner)</t>
  </si>
  <si>
    <t>Zelle - Chase Hall</t>
  </si>
  <si>
    <t>Zelle - Scott Brech</t>
  </si>
  <si>
    <t>ACH payment to CALCPA group</t>
  </si>
  <si>
    <t>TBD</t>
  </si>
  <si>
    <t>Incoming wire from JC Whitner</t>
  </si>
  <si>
    <t>Deal Specific: MRM</t>
  </si>
  <si>
    <t>Deal Specific: T&amp;T Machine</t>
  </si>
  <si>
    <t>Personal - Travel (Portugal)</t>
  </si>
  <si>
    <t>MAG Marketing Reimbursement</t>
  </si>
  <si>
    <t>Incoming Commission: SPF</t>
  </si>
  <si>
    <t>Kevin Wong Commission (SPF)</t>
  </si>
  <si>
    <t>LLC Filing</t>
  </si>
  <si>
    <t>Transfer to JAL Southbend</t>
  </si>
  <si>
    <t>Wire to Jon Brandon</t>
  </si>
  <si>
    <t>Incoming Commission: Rembrandt</t>
  </si>
  <si>
    <t>Apple Payment</t>
  </si>
  <si>
    <t>Personal - House</t>
  </si>
  <si>
    <t>Wire to Ryan Bodmer</t>
  </si>
  <si>
    <t>MAG - Admeer Advisory Reimbursement</t>
  </si>
  <si>
    <t>Wire to Gi Capital Group (+ Moab Funds)</t>
  </si>
  <si>
    <t>Incoming wire from Moab (Leftover Funds)</t>
  </si>
  <si>
    <t>Raw Category</t>
  </si>
  <si>
    <t>Combined Category</t>
  </si>
  <si>
    <t>Group</t>
  </si>
  <si>
    <t>DWG Operating</t>
  </si>
  <si>
    <t>Personal — Owner</t>
  </si>
  <si>
    <t>Credit Card &amp; Loan Payments</t>
  </si>
  <si>
    <t>P2P Payments (Zelle/Venmo/PayPal)</t>
  </si>
  <si>
    <t>Deal-Specific</t>
  </si>
  <si>
    <t>Payroll &amp; Contractors</t>
  </si>
  <si>
    <t>Commissions — Incoming</t>
  </si>
  <si>
    <t>Wire Transfers — Incoming</t>
  </si>
  <si>
    <t>Commissions — Outgoing</t>
  </si>
  <si>
    <t>MAG Pass-Through</t>
  </si>
  <si>
    <t>Personal - Car &amp; Auto</t>
  </si>
  <si>
    <t>Uncategorized — Review</t>
  </si>
  <si>
    <t>Intercompany &amp; Savings Transfers</t>
  </si>
  <si>
    <t>Owner / Family Distributions</t>
  </si>
  <si>
    <t>Wire Transfers — Outgoing</t>
  </si>
  <si>
    <t>Month</t>
  </si>
  <si>
    <t>Chase 9335 — 2026 Activity</t>
  </si>
  <si>
    <t>Category Summary  |  Jan 2026 – Jun 2026</t>
  </si>
  <si>
    <t>Entity</t>
  </si>
  <si>
    <t>Account</t>
  </si>
  <si>
    <t>Period</t>
  </si>
  <si>
    <t>TOTALS</t>
  </si>
  <si>
    <t>Total Inflows</t>
  </si>
  <si>
    <t>Total Outflows</t>
  </si>
  <si>
    <t>Net Change</t>
  </si>
  <si>
    <t>FLOW BY CATEGORY</t>
  </si>
  <si>
    <t>Subtotal — Deal-Specific</t>
  </si>
  <si>
    <t>Subtotal — Commissions — Incoming</t>
  </si>
  <si>
    <t>Subtotal — Commissions — Outgoing</t>
  </si>
  <si>
    <t>Subtotal — MAG Pass-Through</t>
  </si>
  <si>
    <t>Subtotal — Wire Transfers — Incoming</t>
  </si>
  <si>
    <t>Subtotal — Wire Transfers — Outgoing</t>
  </si>
  <si>
    <t>Subtotal — Intercompany &amp; Savings Transfers</t>
  </si>
  <si>
    <t>Subtotal — Owner / Family Distributions</t>
  </si>
  <si>
    <t>Subtotal — P2P Payments (Zelle/Venmo/PayPal)</t>
  </si>
  <si>
    <t>Subtotal — Payroll &amp; Contractors</t>
  </si>
  <si>
    <t>Subtotal — Credit Card &amp; Loan Payments</t>
  </si>
  <si>
    <t>Subtotal — Personal — Owner</t>
  </si>
  <si>
    <t>Subtotal — DWG Operating</t>
  </si>
  <si>
    <t>Subtotal — Uncategorized — Review</t>
  </si>
  <si>
    <t>Personal Checking — Chase 9335</t>
  </si>
  <si>
    <t>Jan 2026 – Jun 2026</t>
  </si>
  <si>
    <t>Inflows</t>
  </si>
  <si>
    <t>Outflows</t>
  </si>
  <si>
    <t>Net</t>
  </si>
  <si>
    <t>Monthly Breakdown  |  Net by Category  |  Jan 2026 – Jun 2026</t>
  </si>
  <si>
    <t>Total</t>
  </si>
  <si>
    <t>Monthly Detail — Spend by Individual Category  |  Jan 2026 – Jun 2026</t>
  </si>
  <si>
    <t>Chase 9335 — 2026 Activity — Transfer In</t>
  </si>
  <si>
    <t>Statement  |  Jan 2026 – Jun 2026</t>
  </si>
  <si>
    <t>SUMMARY</t>
  </si>
  <si>
    <t># Transactions</t>
  </si>
  <si>
    <t>BY COUNTERPARTY</t>
  </si>
  <si>
    <t>Counterparty</t>
  </si>
  <si>
    <t># Txns</t>
  </si>
  <si>
    <t>Subtotal</t>
  </si>
  <si>
    <t>DETAIL</t>
  </si>
  <si>
    <t>Date</t>
  </si>
  <si>
    <t>Chase 9335 — 2026 Activity — Transfer Out</t>
  </si>
  <si>
    <t>Commissions Statement  |  Jan 2026 – Jun 2026</t>
  </si>
  <si>
    <t>Commissions Earned (net)</t>
  </si>
  <si>
    <t>Commissions Paid Out</t>
  </si>
  <si>
    <t>Net Commission Kept</t>
  </si>
  <si>
    <t>BY DEAL — INCOMING</t>
  </si>
  <si>
    <t>Subtotal — Incoming</t>
  </si>
  <si>
    <t>BY DEAL — OUTGOING</t>
  </si>
  <si>
    <t>Subtotal — Outgoing</t>
  </si>
  <si>
    <t>Chase 9335 — 2026 Activity — Wire In</t>
  </si>
  <si>
    <t>Chase 9335 — 2026 Activity — Wire Out</t>
  </si>
  <si>
    <t>Apple Cash</t>
  </si>
  <si>
    <t>Poseidon Asset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</si>
</sst>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&quot;$&quot;#,##0.00;\(&quot;$&quot;#,##0.00\);&quot;-&quot;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6B6B6B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C2C2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DEDE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0" fillId="0" borderId="0" xfId="0" applyFont="1" applyFill="1"/>
    <xf numFmtId="0" fontId="16" fillId="0" borderId="0" xfId="0" applyFont="1"/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0" fontId="19" fillId="33" borderId="0" xfId="0" applyFont="1" applyFill="1"/>
    <xf numFmtId="0" fontId="21" fillId="33" borderId="0" xfId="0" applyFont="1" applyFill="1"/>
    <xf numFmtId="0" fontId="23" fillId="0" borderId="0" xfId="0" applyFont="1"/>
    <xf numFmtId="0" fontId="23" fillId="34" borderId="0" xfId="0" applyFont="1" applyFill="1"/>
    <xf numFmtId="0" fontId="20" fillId="0" borderId="0" xfId="0" applyFont="1"/>
    <xf numFmtId="0" fontId="16" fillId="35" borderId="0" xfId="0" applyFont="1" applyFill="1"/>
    <xf numFmtId="0" fontId="24" fillId="35" borderId="0" xfId="0" applyFont="1" applyFill="1"/>
    <xf numFmtId="165" fontId="24" fillId="35" borderId="0" xfId="0" applyNumberFormat="1" applyFont="1" applyFill="1"/>
    <xf numFmtId="0" fontId="24" fillId="36" borderId="0" xfId="0" applyFont="1" applyFill="1"/>
    <xf numFmtId="0" fontId="22" fillId="35" borderId="0" xfId="0" applyFont="1" applyFill="1"/>
    <xf numFmtId="0" fontId="25" fillId="33" borderId="0" xfId="0" applyFont="1" applyFill="1"/>
    <xf numFmtId="164" fontId="25" fillId="33" borderId="0" xfId="0" applyNumberFormat="1" applyFont="1" applyFill="1"/>
    <xf numFmtId="165" fontId="0" fillId="36" borderId="0" xfId="0" applyNumberFormat="1" applyFill="1"/>
    <xf numFmtId="165" fontId="22" fillId="35" borderId="0" xfId="0" applyNumberFormat="1" applyFont="1" applyFill="1"/>
    <xf numFmtId="165" fontId="16" fillId="35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20" row="2">
    <wetp:webextensionref xmlns:r="http://schemas.openxmlformats.org/officeDocument/2006/relationships" r:id="rId1"/>
  </wetp:taskpane>
  <wetp:taskpane dockstate="right" visibility="0" width="663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2FB2CAE-2825-43C4-B167-8DF59035B021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22acb583-ad48-4ddd-aa49-94243f5edc1e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384AE1B-61C4-4D2C-8323-A2E542D3D37C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499bade1-b730-4cfa-b52f-7fa5510f0dd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93C7-4CCF-4444-8363-77F37828A990}">
  <dimension ref="A1:D112"/>
  <sheetViews>
    <sheetView tabSelected="1" workbookViewId="0">
      <pane xSplit="4" ySplit="14" topLeftCell="E15" activePane="bottomRight" state="frozen"/>
      <selection pane="topRight" activeCell="E1" sqref="E1"/>
      <selection pane="bottomLeft" activeCell="A15" sqref="A15"/>
      <selection pane="bottomRight" activeCell="B5" sqref="B5"/>
    </sheetView>
  </sheetViews>
  <sheetFormatPr defaultRowHeight="15" x14ac:dyDescent="0.25"/>
  <cols>
    <col min="1" max="1" width="43" bestFit="1" customWidth="1"/>
    <col min="2" max="2" width="38.28515625" customWidth="1"/>
    <col min="3" max="4" width="30.42578125" customWidth="1"/>
  </cols>
  <sheetData>
    <row r="1" spans="1:4" ht="21" x14ac:dyDescent="0.35">
      <c r="A1" s="8" t="s">
        <v>550</v>
      </c>
      <c r="B1" s="8"/>
      <c r="C1" s="8"/>
      <c r="D1" s="8"/>
    </row>
    <row r="2" spans="1:4" x14ac:dyDescent="0.25">
      <c r="A2" s="6" t="s">
        <v>551</v>
      </c>
      <c r="B2" s="6"/>
      <c r="C2" s="6"/>
      <c r="D2" s="6"/>
    </row>
    <row r="4" spans="1:4" x14ac:dyDescent="0.25">
      <c r="A4" s="9" t="s">
        <v>552</v>
      </c>
      <c r="B4" t="s">
        <v>604</v>
      </c>
    </row>
    <row r="5" spans="1:4" x14ac:dyDescent="0.25">
      <c r="A5" s="9" t="s">
        <v>553</v>
      </c>
      <c r="B5" t="s">
        <v>574</v>
      </c>
    </row>
    <row r="6" spans="1:4" x14ac:dyDescent="0.25">
      <c r="A6" s="9" t="s">
        <v>554</v>
      </c>
      <c r="B6" t="s">
        <v>575</v>
      </c>
    </row>
    <row r="8" spans="1:4" x14ac:dyDescent="0.25">
      <c r="A8" s="7" t="s">
        <v>555</v>
      </c>
      <c r="B8" s="7"/>
      <c r="C8" s="7"/>
      <c r="D8" s="7"/>
    </row>
    <row r="9" spans="1:4" x14ac:dyDescent="0.25">
      <c r="A9" t="s">
        <v>556</v>
      </c>
      <c r="B9" s="5">
        <f>SUMIFS('Transaction Overview'!$D$2:$D$467,'Transaction Overview'!$D$2:$D$467,"&gt;0")</f>
        <v>680055.65999999992</v>
      </c>
      <c r="C9" s="5"/>
      <c r="D9" s="5"/>
    </row>
    <row r="10" spans="1:4" x14ac:dyDescent="0.25">
      <c r="A10" t="s">
        <v>557</v>
      </c>
      <c r="B10" s="5">
        <f>SUMIFS('Transaction Overview'!$D$2:$D$467,'Transaction Overview'!$D$2:$D$467,"&lt;0")</f>
        <v>-901960.83999999962</v>
      </c>
      <c r="C10" s="5"/>
      <c r="D10" s="5"/>
    </row>
    <row r="11" spans="1:4" x14ac:dyDescent="0.25">
      <c r="A11" t="s">
        <v>558</v>
      </c>
      <c r="B11" s="5">
        <f>B9+B10</f>
        <v>-221905.1799999997</v>
      </c>
      <c r="C11" s="5"/>
      <c r="D11" s="5"/>
    </row>
    <row r="13" spans="1:4" x14ac:dyDescent="0.25">
      <c r="A13" s="7" t="s">
        <v>559</v>
      </c>
      <c r="B13" s="7"/>
      <c r="C13" s="7"/>
      <c r="D13" s="7"/>
    </row>
    <row r="14" spans="1:4" x14ac:dyDescent="0.25">
      <c r="A14" s="10" t="s">
        <v>474</v>
      </c>
      <c r="B14" s="10" t="s">
        <v>576</v>
      </c>
      <c r="C14" s="10" t="s">
        <v>577</v>
      </c>
      <c r="D14" s="10" t="s">
        <v>578</v>
      </c>
    </row>
    <row r="15" spans="1:4" x14ac:dyDescent="0.25">
      <c r="A15" s="11" t="s">
        <v>538</v>
      </c>
    </row>
    <row r="16" spans="1:4" x14ac:dyDescent="0.25">
      <c r="A16" t="s">
        <v>509</v>
      </c>
      <c r="B16" s="5">
        <f>SUMIFS('Transaction Overview'!$D$2:$D$467,'Transaction Overview'!$G$2:$G$467,$A16,'Transaction Overview'!$D$2:$D$467,"&gt;0")</f>
        <v>0</v>
      </c>
      <c r="C16" s="5">
        <f>SUMIFS('Transaction Overview'!$D$2:$D$467,'Transaction Overview'!$G$2:$G$467,$A16,'Transaction Overview'!$D$2:$D$467,"&lt;0")</f>
        <v>-10000</v>
      </c>
      <c r="D16" s="5">
        <f>B16+C16</f>
        <v>-10000</v>
      </c>
    </row>
    <row r="17" spans="1:4" x14ac:dyDescent="0.25">
      <c r="A17" t="s">
        <v>501</v>
      </c>
      <c r="B17" s="5">
        <f>SUMIFS('Transaction Overview'!$D$2:$D$467,'Transaction Overview'!$G$2:$G$467,$A17,'Transaction Overview'!$D$2:$D$467,"&gt;0")</f>
        <v>2100</v>
      </c>
      <c r="C17" s="5">
        <f>SUMIFS('Transaction Overview'!$D$2:$D$467,'Transaction Overview'!$G$2:$G$467,$A17,'Transaction Overview'!$D$2:$D$467,"&lt;0")</f>
        <v>0</v>
      </c>
      <c r="D17" s="5">
        <f>B17+C17</f>
        <v>2100</v>
      </c>
    </row>
    <row r="18" spans="1:4" x14ac:dyDescent="0.25">
      <c r="A18" t="s">
        <v>515</v>
      </c>
      <c r="B18" s="5">
        <f>SUMIFS('Transaction Overview'!$D$2:$D$467,'Transaction Overview'!$G$2:$G$467,$A18,'Transaction Overview'!$D$2:$D$467,"&gt;0")</f>
        <v>725.61</v>
      </c>
      <c r="C18" s="5">
        <f>SUMIFS('Transaction Overview'!$D$2:$D$467,'Transaction Overview'!$G$2:$G$467,$A18,'Transaction Overview'!$D$2:$D$467,"&lt;0")</f>
        <v>0</v>
      </c>
      <c r="D18" s="5">
        <f>B18+C18</f>
        <v>725.61</v>
      </c>
    </row>
    <row r="19" spans="1:4" x14ac:dyDescent="0.25">
      <c r="A19" t="s">
        <v>502</v>
      </c>
      <c r="B19" s="5">
        <f>SUMIFS('Transaction Overview'!$D$2:$D$467,'Transaction Overview'!$G$2:$G$467,$A19,'Transaction Overview'!$D$2:$D$467,"&gt;0")</f>
        <v>2917.98</v>
      </c>
      <c r="C19" s="5">
        <f>SUMIFS('Transaction Overview'!$D$2:$D$467,'Transaction Overview'!$G$2:$G$467,$A19,'Transaction Overview'!$D$2:$D$467,"&lt;0")</f>
        <v>0</v>
      </c>
      <c r="D19" s="5">
        <f>B19+C19</f>
        <v>2917.98</v>
      </c>
    </row>
    <row r="20" spans="1:4" x14ac:dyDescent="0.25">
      <c r="A20" t="s">
        <v>503</v>
      </c>
      <c r="B20" s="5">
        <f>SUMIFS('Transaction Overview'!$D$2:$D$467,'Transaction Overview'!$G$2:$G$467,$A20,'Transaction Overview'!$D$2:$D$467,"&gt;0")</f>
        <v>1399.98</v>
      </c>
      <c r="C20" s="5">
        <f>SUMIFS('Transaction Overview'!$D$2:$D$467,'Transaction Overview'!$G$2:$G$467,$A20,'Transaction Overview'!$D$2:$D$467,"&lt;0")</f>
        <v>0</v>
      </c>
      <c r="D20" s="5">
        <f>B20+C20</f>
        <v>1399.98</v>
      </c>
    </row>
    <row r="21" spans="1:4" x14ac:dyDescent="0.25">
      <c r="A21" t="s">
        <v>516</v>
      </c>
      <c r="B21" s="5">
        <f>SUMIFS('Transaction Overview'!$D$2:$D$467,'Transaction Overview'!$G$2:$G$467,$A21,'Transaction Overview'!$D$2:$D$467,"&gt;0")</f>
        <v>1091.42</v>
      </c>
      <c r="C21" s="5">
        <f>SUMIFS('Transaction Overview'!$D$2:$D$467,'Transaction Overview'!$G$2:$G$467,$A21,'Transaction Overview'!$D$2:$D$467,"&lt;0")</f>
        <v>0</v>
      </c>
      <c r="D21" s="5">
        <f>B21+C21</f>
        <v>1091.42</v>
      </c>
    </row>
    <row r="22" spans="1:4" x14ac:dyDescent="0.25">
      <c r="A22" s="13" t="s">
        <v>560</v>
      </c>
      <c r="B22" s="14">
        <f>SUMIFS('Transaction Overview'!$D$2:$D$467,'Transaction Overview'!$J$2:$J$467,"Deal-Specific",'Transaction Overview'!$D$2:$D$467,"&gt;0")</f>
        <v>8234.989999999998</v>
      </c>
      <c r="C22" s="14">
        <f>SUMIFS('Transaction Overview'!$D$2:$D$467,'Transaction Overview'!$J$2:$J$467,"Deal-Specific",'Transaction Overview'!$D$2:$D$467,"&lt;0")</f>
        <v>-10000</v>
      </c>
      <c r="D22" s="14">
        <f>B22+C22</f>
        <v>-1765.010000000002</v>
      </c>
    </row>
    <row r="24" spans="1:4" x14ac:dyDescent="0.25">
      <c r="A24" s="11" t="s">
        <v>540</v>
      </c>
    </row>
    <row r="25" spans="1:4" x14ac:dyDescent="0.25">
      <c r="A25" t="s">
        <v>524</v>
      </c>
      <c r="B25" s="5">
        <f>SUMIFS('Transaction Overview'!$D$2:$D$467,'Transaction Overview'!$G$2:$G$467,$A25,'Transaction Overview'!$D$2:$D$467,"&gt;0")</f>
        <v>168266</v>
      </c>
      <c r="C25" s="5">
        <f>SUMIFS('Transaction Overview'!$D$2:$D$467,'Transaction Overview'!$G$2:$G$467,$A25,'Transaction Overview'!$D$2:$D$467,"&lt;0")</f>
        <v>0</v>
      </c>
      <c r="D25" s="5">
        <f>B25+C25</f>
        <v>168266</v>
      </c>
    </row>
    <row r="26" spans="1:4" x14ac:dyDescent="0.25">
      <c r="A26" t="s">
        <v>519</v>
      </c>
      <c r="B26" s="5">
        <f>SUMIFS('Transaction Overview'!$D$2:$D$467,'Transaction Overview'!$G$2:$G$467,$A26,'Transaction Overview'!$D$2:$D$467,"&gt;0")</f>
        <v>266889.44</v>
      </c>
      <c r="C26" s="5">
        <f>SUMIFS('Transaction Overview'!$D$2:$D$467,'Transaction Overview'!$G$2:$G$467,$A26,'Transaction Overview'!$D$2:$D$467,"&lt;0")</f>
        <v>0</v>
      </c>
      <c r="D26" s="5">
        <f>B26+C26</f>
        <v>266889.44</v>
      </c>
    </row>
    <row r="27" spans="1:4" x14ac:dyDescent="0.25">
      <c r="A27" s="13" t="s">
        <v>561</v>
      </c>
      <c r="B27" s="14">
        <f>SUMIFS('Transaction Overview'!$D$2:$D$467,'Transaction Overview'!$J$2:$J$467,"Commissions — Incoming",'Transaction Overview'!$D$2:$D$467,"&gt;0")</f>
        <v>435155.44</v>
      </c>
      <c r="C27" s="14">
        <f>SUMIFS('Transaction Overview'!$D$2:$D$467,'Transaction Overview'!$J$2:$J$467,"Commissions — Incoming",'Transaction Overview'!$D$2:$D$467,"&lt;0")</f>
        <v>0</v>
      </c>
      <c r="D27" s="14">
        <f>B27+C27</f>
        <v>435155.44</v>
      </c>
    </row>
    <row r="29" spans="1:4" x14ac:dyDescent="0.25">
      <c r="A29" s="11" t="s">
        <v>542</v>
      </c>
    </row>
    <row r="30" spans="1:4" x14ac:dyDescent="0.25">
      <c r="A30" t="s">
        <v>520</v>
      </c>
      <c r="B30" s="5">
        <f>SUMIFS('Transaction Overview'!$D$2:$D$467,'Transaction Overview'!$G$2:$G$467,$A30,'Transaction Overview'!$D$2:$D$467,"&gt;0")</f>
        <v>0</v>
      </c>
      <c r="C30" s="5">
        <f>SUMIFS('Transaction Overview'!$D$2:$D$467,'Transaction Overview'!$G$2:$G$467,$A30,'Transaction Overview'!$D$2:$D$467,"&lt;0")</f>
        <v>-16087.5</v>
      </c>
      <c r="D30" s="5">
        <f>B30+C30</f>
        <v>-16087.5</v>
      </c>
    </row>
    <row r="31" spans="1:4" x14ac:dyDescent="0.25">
      <c r="A31" t="s">
        <v>508</v>
      </c>
      <c r="B31" s="5">
        <f>SUMIFS('Transaction Overview'!$D$2:$D$467,'Transaction Overview'!$G$2:$G$467,$A31,'Transaction Overview'!$D$2:$D$467,"&gt;0")</f>
        <v>0</v>
      </c>
      <c r="C31" s="5">
        <f>SUMIFS('Transaction Overview'!$D$2:$D$467,'Transaction Overview'!$G$2:$G$467,$A31,'Transaction Overview'!$D$2:$D$467,"&lt;0")</f>
        <v>-6000</v>
      </c>
      <c r="D31" s="5">
        <f>B31+C31</f>
        <v>-6000</v>
      </c>
    </row>
    <row r="32" spans="1:4" x14ac:dyDescent="0.25">
      <c r="A32" t="s">
        <v>484</v>
      </c>
      <c r="B32" s="5">
        <f>SUMIFS('Transaction Overview'!$D$2:$D$467,'Transaction Overview'!$G$2:$G$467,$A32,'Transaction Overview'!$D$2:$D$467,"&gt;0")</f>
        <v>0</v>
      </c>
      <c r="C32" s="5">
        <f>SUMIFS('Transaction Overview'!$D$2:$D$467,'Transaction Overview'!$G$2:$G$467,$A32,'Transaction Overview'!$D$2:$D$467,"&lt;0")</f>
        <v>-1500</v>
      </c>
      <c r="D32" s="5">
        <f>B32+C32</f>
        <v>-1500</v>
      </c>
    </row>
    <row r="33" spans="1:4" x14ac:dyDescent="0.25">
      <c r="A33" s="13" t="s">
        <v>562</v>
      </c>
      <c r="B33" s="14">
        <f>SUMIFS('Transaction Overview'!$D$2:$D$467,'Transaction Overview'!$J$2:$J$467,"Commissions — Outgoing",'Transaction Overview'!$D$2:$D$467,"&gt;0")</f>
        <v>0</v>
      </c>
      <c r="C33" s="14">
        <f>SUMIFS('Transaction Overview'!$D$2:$D$467,'Transaction Overview'!$J$2:$J$467,"Commissions — Outgoing",'Transaction Overview'!$D$2:$D$467,"&lt;0")</f>
        <v>-23587.5</v>
      </c>
      <c r="D33" s="14">
        <f>B33+C33</f>
        <v>-23587.5</v>
      </c>
    </row>
    <row r="35" spans="1:4" x14ac:dyDescent="0.25">
      <c r="A35" s="11" t="s">
        <v>543</v>
      </c>
    </row>
    <row r="36" spans="1:4" x14ac:dyDescent="0.25">
      <c r="A36" t="s">
        <v>528</v>
      </c>
      <c r="B36" s="5">
        <f>SUMIFS('Transaction Overview'!$D$2:$D$467,'Transaction Overview'!$G$2:$G$467,$A36,'Transaction Overview'!$D$2:$D$467,"&gt;0")</f>
        <v>5000</v>
      </c>
      <c r="C36" s="5">
        <f>SUMIFS('Transaction Overview'!$D$2:$D$467,'Transaction Overview'!$G$2:$G$467,$A36,'Transaction Overview'!$D$2:$D$467,"&lt;0")</f>
        <v>0</v>
      </c>
      <c r="D36" s="5">
        <f>B36+C36</f>
        <v>5000</v>
      </c>
    </row>
    <row r="37" spans="1:4" x14ac:dyDescent="0.25">
      <c r="A37" t="s">
        <v>486</v>
      </c>
      <c r="B37" s="5">
        <f>SUMIFS('Transaction Overview'!$D$2:$D$467,'Transaction Overview'!$G$2:$G$467,$A37,'Transaction Overview'!$D$2:$D$467,"&gt;0")</f>
        <v>0</v>
      </c>
      <c r="C37" s="5">
        <f>SUMIFS('Transaction Overview'!$D$2:$D$467,'Transaction Overview'!$G$2:$G$467,$A37,'Transaction Overview'!$D$2:$D$467,"&lt;0")</f>
        <v>-10000</v>
      </c>
      <c r="D37" s="5">
        <f>B37+C37</f>
        <v>-10000</v>
      </c>
    </row>
    <row r="38" spans="1:4" x14ac:dyDescent="0.25">
      <c r="A38" t="s">
        <v>518</v>
      </c>
      <c r="B38" s="5">
        <f>SUMIFS('Transaction Overview'!$D$2:$D$467,'Transaction Overview'!$G$2:$G$467,$A38,'Transaction Overview'!$D$2:$D$467,"&gt;0")</f>
        <v>15000</v>
      </c>
      <c r="C38" s="5">
        <f>SUMIFS('Transaction Overview'!$D$2:$D$467,'Transaction Overview'!$G$2:$G$467,$A38,'Transaction Overview'!$D$2:$D$467,"&lt;0")</f>
        <v>0</v>
      </c>
      <c r="D38" s="5">
        <f>B38+C38</f>
        <v>15000</v>
      </c>
    </row>
    <row r="39" spans="1:4" x14ac:dyDescent="0.25">
      <c r="A39" s="13" t="s">
        <v>563</v>
      </c>
      <c r="B39" s="14">
        <f>SUMIFS('Transaction Overview'!$D$2:$D$467,'Transaction Overview'!$J$2:$J$467,"MAG Pass-Through",'Transaction Overview'!$D$2:$D$467,"&gt;0")</f>
        <v>20000</v>
      </c>
      <c r="C39" s="14">
        <f>SUMIFS('Transaction Overview'!$D$2:$D$467,'Transaction Overview'!$J$2:$J$467,"MAG Pass-Through",'Transaction Overview'!$D$2:$D$467,"&lt;0")</f>
        <v>-10000</v>
      </c>
      <c r="D39" s="14">
        <f>B39+C39</f>
        <v>10000</v>
      </c>
    </row>
    <row r="41" spans="1:4" x14ac:dyDescent="0.25">
      <c r="A41" s="11" t="s">
        <v>541</v>
      </c>
    </row>
    <row r="42" spans="1:4" x14ac:dyDescent="0.25">
      <c r="A42" t="s">
        <v>514</v>
      </c>
      <c r="B42" s="5">
        <f>SUMIFS('Transaction Overview'!$D$2:$D$467,'Transaction Overview'!$G$2:$G$467,$A42,'Transaction Overview'!$D$2:$D$467,"&gt;0")</f>
        <v>20000</v>
      </c>
      <c r="C42" s="5">
        <f>SUMIFS('Transaction Overview'!$D$2:$D$467,'Transaction Overview'!$G$2:$G$467,$A42,'Transaction Overview'!$D$2:$D$467,"&lt;0")</f>
        <v>0</v>
      </c>
      <c r="D42" s="5">
        <f>B42+C42</f>
        <v>20000</v>
      </c>
    </row>
    <row r="43" spans="1:4" x14ac:dyDescent="0.25">
      <c r="A43" t="s">
        <v>530</v>
      </c>
      <c r="B43" s="5">
        <f>SUMIFS('Transaction Overview'!$D$2:$D$467,'Transaction Overview'!$G$2:$G$467,$A43,'Transaction Overview'!$D$2:$D$467,"&gt;0")</f>
        <v>58370.85</v>
      </c>
      <c r="C43" s="5">
        <f>SUMIFS('Transaction Overview'!$D$2:$D$467,'Transaction Overview'!$G$2:$G$467,$A43,'Transaction Overview'!$D$2:$D$467,"&lt;0")</f>
        <v>0</v>
      </c>
      <c r="D43" s="5">
        <f>B43+C43</f>
        <v>58370.85</v>
      </c>
    </row>
    <row r="44" spans="1:4" x14ac:dyDescent="0.25">
      <c r="A44" t="s">
        <v>507</v>
      </c>
      <c r="B44" s="5">
        <f>SUMIFS('Transaction Overview'!$D$2:$D$467,'Transaction Overview'!$G$2:$G$467,$A44,'Transaction Overview'!$D$2:$D$467,"&gt;0")</f>
        <v>16000</v>
      </c>
      <c r="C44" s="5">
        <f>SUMIFS('Transaction Overview'!$D$2:$D$467,'Transaction Overview'!$G$2:$G$467,$A44,'Transaction Overview'!$D$2:$D$467,"&lt;0")</f>
        <v>0</v>
      </c>
      <c r="D44" s="5">
        <f>B44+C44</f>
        <v>16000</v>
      </c>
    </row>
    <row r="45" spans="1:4" x14ac:dyDescent="0.25">
      <c r="A45" s="13" t="s">
        <v>564</v>
      </c>
      <c r="B45" s="14">
        <f>SUMIFS('Transaction Overview'!$D$2:$D$467,'Transaction Overview'!$J$2:$J$467,"Wire Transfers — Incoming",'Transaction Overview'!$D$2:$D$467,"&gt;0")</f>
        <v>94370.85</v>
      </c>
      <c r="C45" s="14">
        <f>SUMIFS('Transaction Overview'!$D$2:$D$467,'Transaction Overview'!$J$2:$J$467,"Wire Transfers — Incoming",'Transaction Overview'!$D$2:$D$467,"&lt;0")</f>
        <v>0</v>
      </c>
      <c r="D45" s="14">
        <f>B45+C45</f>
        <v>94370.85</v>
      </c>
    </row>
    <row r="47" spans="1:4" x14ac:dyDescent="0.25">
      <c r="A47" s="11" t="s">
        <v>548</v>
      </c>
    </row>
    <row r="48" spans="1:4" x14ac:dyDescent="0.25">
      <c r="A48" t="s">
        <v>529</v>
      </c>
      <c r="B48" s="5">
        <f>SUMIFS('Transaction Overview'!$D$2:$D$467,'Transaction Overview'!$G$2:$G$467,$A48,'Transaction Overview'!$D$2:$D$467,"&gt;0")</f>
        <v>0</v>
      </c>
      <c r="C48" s="5">
        <f>SUMIFS('Transaction Overview'!$D$2:$D$467,'Transaction Overview'!$G$2:$G$467,$A48,'Transaction Overview'!$D$2:$D$467,"&lt;0")</f>
        <v>-56670.85</v>
      </c>
      <c r="D48" s="5">
        <f>B48+C48</f>
        <v>-56670.85</v>
      </c>
    </row>
    <row r="49" spans="1:4" x14ac:dyDescent="0.25">
      <c r="A49" t="s">
        <v>523</v>
      </c>
      <c r="B49" s="5">
        <f>SUMIFS('Transaction Overview'!$D$2:$D$467,'Transaction Overview'!$G$2:$G$467,$A49,'Transaction Overview'!$D$2:$D$467,"&gt;0")</f>
        <v>0</v>
      </c>
      <c r="C49" s="5">
        <f>SUMIFS('Transaction Overview'!$D$2:$D$467,'Transaction Overview'!$G$2:$G$467,$A49,'Transaction Overview'!$D$2:$D$467,"&lt;0")</f>
        <v>-10000</v>
      </c>
      <c r="D49" s="5">
        <f>B49+C49</f>
        <v>-10000</v>
      </c>
    </row>
    <row r="50" spans="1:4" x14ac:dyDescent="0.25">
      <c r="A50" t="s">
        <v>527</v>
      </c>
      <c r="B50" s="5">
        <f>SUMIFS('Transaction Overview'!$D$2:$D$467,'Transaction Overview'!$G$2:$G$467,$A50,'Transaction Overview'!$D$2:$D$467,"&gt;0")</f>
        <v>0</v>
      </c>
      <c r="C50" s="5">
        <f>SUMIFS('Transaction Overview'!$D$2:$D$467,'Transaction Overview'!$G$2:$G$467,$A50,'Transaction Overview'!$D$2:$D$467,"&lt;0")</f>
        <v>-10000</v>
      </c>
      <c r="D50" s="5">
        <f>B50+C50</f>
        <v>-10000</v>
      </c>
    </row>
    <row r="51" spans="1:4" x14ac:dyDescent="0.25">
      <c r="A51" s="13" t="s">
        <v>565</v>
      </c>
      <c r="B51" s="14">
        <f>SUMIFS('Transaction Overview'!$D$2:$D$467,'Transaction Overview'!$J$2:$J$467,"Wire Transfers — Outgoing",'Transaction Overview'!$D$2:$D$467,"&gt;0")</f>
        <v>0</v>
      </c>
      <c r="C51" s="14">
        <f>SUMIFS('Transaction Overview'!$D$2:$D$467,'Transaction Overview'!$J$2:$J$467,"Wire Transfers — Outgoing",'Transaction Overview'!$D$2:$D$467,"&lt;0")</f>
        <v>-76670.850000000006</v>
      </c>
      <c r="D51" s="14">
        <f>B51+C51</f>
        <v>-76670.850000000006</v>
      </c>
    </row>
    <row r="53" spans="1:4" x14ac:dyDescent="0.25">
      <c r="A53" s="11" t="s">
        <v>546</v>
      </c>
    </row>
    <row r="54" spans="1:4" x14ac:dyDescent="0.25">
      <c r="A54" t="s">
        <v>495</v>
      </c>
      <c r="B54" s="5">
        <f>SUMIFS('Transaction Overview'!$D$2:$D$467,'Transaction Overview'!$G$2:$G$467,$A54,'Transaction Overview'!$D$2:$D$467,"&gt;0")</f>
        <v>8556.41</v>
      </c>
      <c r="C54" s="5">
        <f>SUMIFS('Transaction Overview'!$D$2:$D$467,'Transaction Overview'!$G$2:$G$467,$A54,'Transaction Overview'!$D$2:$D$467,"&lt;0")</f>
        <v>0</v>
      </c>
      <c r="D54" s="5">
        <f>B54+C54</f>
        <v>8556.41</v>
      </c>
    </row>
    <row r="55" spans="1:4" x14ac:dyDescent="0.25">
      <c r="A55" t="s">
        <v>497</v>
      </c>
      <c r="B55" s="5">
        <f>SUMIFS('Transaction Overview'!$D$2:$D$467,'Transaction Overview'!$G$2:$G$467,$A55,'Transaction Overview'!$D$2:$D$467,"&gt;0")</f>
        <v>2000</v>
      </c>
      <c r="C55" s="5">
        <f>SUMIFS('Transaction Overview'!$D$2:$D$467,'Transaction Overview'!$G$2:$G$467,$A55,'Transaction Overview'!$D$2:$D$467,"&lt;0")</f>
        <v>0</v>
      </c>
      <c r="D55" s="5">
        <f>B55+C55</f>
        <v>2000</v>
      </c>
    </row>
    <row r="56" spans="1:4" x14ac:dyDescent="0.25">
      <c r="A56" t="s">
        <v>485</v>
      </c>
      <c r="B56" s="5">
        <f>SUMIFS('Transaction Overview'!$D$2:$D$467,'Transaction Overview'!$G$2:$G$467,$A56,'Transaction Overview'!$D$2:$D$467,"&gt;0")</f>
        <v>11450</v>
      </c>
      <c r="C56" s="5">
        <f>SUMIFS('Transaction Overview'!$D$2:$D$467,'Transaction Overview'!$G$2:$G$467,$A56,'Transaction Overview'!$D$2:$D$467,"&lt;0")</f>
        <v>0</v>
      </c>
      <c r="D56" s="5">
        <f>B56+C56</f>
        <v>11450</v>
      </c>
    </row>
    <row r="57" spans="1:4" x14ac:dyDescent="0.25">
      <c r="A57" t="s">
        <v>489</v>
      </c>
      <c r="B57" s="5">
        <f>SUMIFS('Transaction Overview'!$D$2:$D$467,'Transaction Overview'!$G$2:$G$467,$A57,'Transaction Overview'!$D$2:$D$467,"&gt;0")</f>
        <v>100000</v>
      </c>
      <c r="C57" s="5">
        <f>SUMIFS('Transaction Overview'!$D$2:$D$467,'Transaction Overview'!$G$2:$G$467,$A57,'Transaction Overview'!$D$2:$D$467,"&lt;0")</f>
        <v>0</v>
      </c>
      <c r="D57" s="5">
        <f>B57+C57</f>
        <v>100000</v>
      </c>
    </row>
    <row r="58" spans="1:4" x14ac:dyDescent="0.25">
      <c r="A58" t="s">
        <v>504</v>
      </c>
      <c r="B58" s="5">
        <f>SUMIFS('Transaction Overview'!$D$2:$D$467,'Transaction Overview'!$G$2:$G$467,$A58,'Transaction Overview'!$D$2:$D$467,"&gt;0")</f>
        <v>0</v>
      </c>
      <c r="C58" s="5">
        <f>SUMIFS('Transaction Overview'!$D$2:$D$467,'Transaction Overview'!$G$2:$G$467,$A58,'Transaction Overview'!$D$2:$D$467,"&lt;0")</f>
        <v>-20000</v>
      </c>
      <c r="D58" s="5">
        <f>B58+C58</f>
        <v>-20000</v>
      </c>
    </row>
    <row r="59" spans="1:4" x14ac:dyDescent="0.25">
      <c r="A59" t="s">
        <v>479</v>
      </c>
      <c r="B59" s="5">
        <f>SUMIFS('Transaction Overview'!$D$2:$D$467,'Transaction Overview'!$G$2:$G$467,$A59,'Transaction Overview'!$D$2:$D$467,"&gt;0")</f>
        <v>0</v>
      </c>
      <c r="C59" s="5">
        <f>SUMIFS('Transaction Overview'!$D$2:$D$467,'Transaction Overview'!$G$2:$G$467,$A59,'Transaction Overview'!$D$2:$D$467,"&lt;0")</f>
        <v>-298556.41000000003</v>
      </c>
      <c r="D59" s="5">
        <f>B59+C59</f>
        <v>-298556.41000000003</v>
      </c>
    </row>
    <row r="60" spans="1:4" x14ac:dyDescent="0.25">
      <c r="A60" t="s">
        <v>494</v>
      </c>
      <c r="B60" s="5">
        <f>SUMIFS('Transaction Overview'!$D$2:$D$467,'Transaction Overview'!$G$2:$G$467,$A60,'Transaction Overview'!$D$2:$D$467,"&gt;0")</f>
        <v>0</v>
      </c>
      <c r="C60" s="5">
        <f>SUMIFS('Transaction Overview'!$D$2:$D$467,'Transaction Overview'!$G$2:$G$467,$A60,'Transaction Overview'!$D$2:$D$467,"&lt;0")</f>
        <v>-15000</v>
      </c>
      <c r="D60" s="5">
        <f>B60+C60</f>
        <v>-15000</v>
      </c>
    </row>
    <row r="61" spans="1:4" x14ac:dyDescent="0.25">
      <c r="A61" t="s">
        <v>482</v>
      </c>
      <c r="B61" s="5">
        <f>SUMIFS('Transaction Overview'!$D$2:$D$467,'Transaction Overview'!$G$2:$G$467,$A61,'Transaction Overview'!$D$2:$D$467,"&gt;0")</f>
        <v>0</v>
      </c>
      <c r="C61" s="5">
        <f>SUMIFS('Transaction Overview'!$D$2:$D$467,'Transaction Overview'!$G$2:$G$467,$A61,'Transaction Overview'!$D$2:$D$467,"&lt;0")</f>
        <v>-77000</v>
      </c>
      <c r="D61" s="5">
        <f>B61+C61</f>
        <v>-77000</v>
      </c>
    </row>
    <row r="62" spans="1:4" x14ac:dyDescent="0.25">
      <c r="A62" t="s">
        <v>487</v>
      </c>
      <c r="B62" s="5">
        <f>SUMIFS('Transaction Overview'!$D$2:$D$467,'Transaction Overview'!$G$2:$G$467,$A62,'Transaction Overview'!$D$2:$D$467,"&gt;0")</f>
        <v>0</v>
      </c>
      <c r="C62" s="5">
        <f>SUMIFS('Transaction Overview'!$D$2:$D$467,'Transaction Overview'!$G$2:$G$467,$A62,'Transaction Overview'!$D$2:$D$467,"&lt;0")</f>
        <v>-35200</v>
      </c>
      <c r="D62" s="5">
        <f>B62+C62</f>
        <v>-35200</v>
      </c>
    </row>
    <row r="63" spans="1:4" x14ac:dyDescent="0.25">
      <c r="A63" t="s">
        <v>522</v>
      </c>
      <c r="B63" s="5">
        <f>SUMIFS('Transaction Overview'!$D$2:$D$467,'Transaction Overview'!$G$2:$G$467,$A63,'Transaction Overview'!$D$2:$D$467,"&gt;0")</f>
        <v>0</v>
      </c>
      <c r="C63" s="5">
        <f>SUMIFS('Transaction Overview'!$D$2:$D$467,'Transaction Overview'!$G$2:$G$467,$A63,'Transaction Overview'!$D$2:$D$467,"&lt;0")</f>
        <v>-13000</v>
      </c>
      <c r="D63" s="5">
        <f>B63+C63</f>
        <v>-13000</v>
      </c>
    </row>
    <row r="64" spans="1:4" x14ac:dyDescent="0.25">
      <c r="A64" t="s">
        <v>492</v>
      </c>
      <c r="B64" s="5">
        <f>SUMIFS('Transaction Overview'!$D$2:$D$467,'Transaction Overview'!$G$2:$G$467,$A64,'Transaction Overview'!$D$2:$D$467,"&gt;0")</f>
        <v>0</v>
      </c>
      <c r="C64" s="5">
        <f>SUMIFS('Transaction Overview'!$D$2:$D$467,'Transaction Overview'!$G$2:$G$467,$A64,'Transaction Overview'!$D$2:$D$467,"&lt;0")</f>
        <v>-200</v>
      </c>
      <c r="D64" s="5">
        <f>B64+C64</f>
        <v>-200</v>
      </c>
    </row>
    <row r="65" spans="1:4" x14ac:dyDescent="0.25">
      <c r="A65" s="13" t="s">
        <v>566</v>
      </c>
      <c r="B65" s="14">
        <f>SUMIFS('Transaction Overview'!$D$2:$D$467,'Transaction Overview'!$J$2:$J$467,"Intercompany &amp; Savings Transfers",'Transaction Overview'!$D$2:$D$467,"&gt;0")</f>
        <v>122006.41</v>
      </c>
      <c r="C65" s="14">
        <f>SUMIFS('Transaction Overview'!$D$2:$D$467,'Transaction Overview'!$J$2:$J$467,"Intercompany &amp; Savings Transfers",'Transaction Overview'!$D$2:$D$467,"&lt;0")</f>
        <v>-458956.41</v>
      </c>
      <c r="D65" s="14">
        <f>B65+C65</f>
        <v>-336950</v>
      </c>
    </row>
    <row r="67" spans="1:4" x14ac:dyDescent="0.25">
      <c r="A67" s="11" t="s">
        <v>547</v>
      </c>
    </row>
    <row r="68" spans="1:4" x14ac:dyDescent="0.25">
      <c r="A68" t="s">
        <v>478</v>
      </c>
      <c r="B68" s="5">
        <f>SUMIFS('Transaction Overview'!$D$2:$D$467,'Transaction Overview'!$G$2:$G$467,$A68,'Transaction Overview'!$D$2:$D$467,"&gt;0")</f>
        <v>0</v>
      </c>
      <c r="C68" s="5">
        <f>SUMIFS('Transaction Overview'!$D$2:$D$467,'Transaction Overview'!$G$2:$G$467,$A68,'Transaction Overview'!$D$2:$D$467,"&lt;0")</f>
        <v>-31000</v>
      </c>
      <c r="D68" s="5">
        <f>B68+C68</f>
        <v>-31000</v>
      </c>
    </row>
    <row r="69" spans="1:4" x14ac:dyDescent="0.25">
      <c r="A69" t="s">
        <v>493</v>
      </c>
      <c r="B69" s="5">
        <f>SUMIFS('Transaction Overview'!$D$2:$D$467,'Transaction Overview'!$G$2:$G$467,$A69,'Transaction Overview'!$D$2:$D$467,"&gt;0")</f>
        <v>0</v>
      </c>
      <c r="C69" s="5">
        <f>SUMIFS('Transaction Overview'!$D$2:$D$467,'Transaction Overview'!$G$2:$G$467,$A69,'Transaction Overview'!$D$2:$D$467,"&lt;0")</f>
        <v>-40000</v>
      </c>
      <c r="D69" s="5">
        <f>B69+C69</f>
        <v>-40000</v>
      </c>
    </row>
    <row r="70" spans="1:4" x14ac:dyDescent="0.25">
      <c r="A70" s="13" t="s">
        <v>567</v>
      </c>
      <c r="B70" s="14">
        <f>SUMIFS('Transaction Overview'!$D$2:$D$467,'Transaction Overview'!$J$2:$J$467,"Owner / Family Distributions",'Transaction Overview'!$D$2:$D$467,"&gt;0")</f>
        <v>0</v>
      </c>
      <c r="C70" s="14">
        <f>SUMIFS('Transaction Overview'!$D$2:$D$467,'Transaction Overview'!$J$2:$J$467,"Owner / Family Distributions",'Transaction Overview'!$D$2:$D$467,"&lt;0")</f>
        <v>-71000</v>
      </c>
      <c r="D70" s="14">
        <f>B70+C70</f>
        <v>-71000</v>
      </c>
    </row>
    <row r="72" spans="1:4" x14ac:dyDescent="0.25">
      <c r="A72" s="11" t="s">
        <v>537</v>
      </c>
    </row>
    <row r="73" spans="1:4" x14ac:dyDescent="0.25">
      <c r="A73" t="s">
        <v>525</v>
      </c>
      <c r="B73" s="5">
        <f>SUMIFS('Transaction Overview'!$D$2:$D$467,'Transaction Overview'!$G$2:$G$467,$A73,'Transaction Overview'!$D$2:$D$467,"&gt;0")</f>
        <v>0</v>
      </c>
      <c r="C73" s="5">
        <f>SUMIFS('Transaction Overview'!$D$2:$D$467,'Transaction Overview'!$G$2:$G$467,$A73,'Transaction Overview'!$D$2:$D$467,"&lt;0")</f>
        <v>-100</v>
      </c>
      <c r="D73" s="5">
        <f>B73+C73</f>
        <v>-100</v>
      </c>
    </row>
    <row r="74" spans="1:4" x14ac:dyDescent="0.25">
      <c r="A74" t="s">
        <v>510</v>
      </c>
      <c r="B74" s="5">
        <f>SUMIFS('Transaction Overview'!$D$2:$D$467,'Transaction Overview'!$G$2:$G$467,$A74,'Transaction Overview'!$D$2:$D$467,"&gt;0")</f>
        <v>0</v>
      </c>
      <c r="C74" s="5">
        <f>SUMIFS('Transaction Overview'!$D$2:$D$467,'Transaction Overview'!$G$2:$G$467,$A74,'Transaction Overview'!$D$2:$D$467,"&lt;0")</f>
        <v>-325</v>
      </c>
      <c r="D74" s="5">
        <f>B74+C74</f>
        <v>-325</v>
      </c>
    </row>
    <row r="75" spans="1:4" x14ac:dyDescent="0.25">
      <c r="A75" t="s">
        <v>480</v>
      </c>
      <c r="B75" s="5">
        <f>SUMIFS('Transaction Overview'!$D$2:$D$467,'Transaction Overview'!$G$2:$G$467,$A75,'Transaction Overview'!$D$2:$D$467,"&gt;0")</f>
        <v>0</v>
      </c>
      <c r="C75" s="5">
        <f>SUMIFS('Transaction Overview'!$D$2:$D$467,'Transaction Overview'!$G$2:$G$467,$A75,'Transaction Overview'!$D$2:$D$467,"&lt;0")</f>
        <v>-2500</v>
      </c>
      <c r="D75" s="5">
        <f>B75+C75</f>
        <v>-2500</v>
      </c>
    </row>
    <row r="76" spans="1:4" x14ac:dyDescent="0.25">
      <c r="A76" t="s">
        <v>511</v>
      </c>
      <c r="B76" s="5">
        <f>SUMIFS('Transaction Overview'!$D$2:$D$467,'Transaction Overview'!$G$2:$G$467,$A76,'Transaction Overview'!$D$2:$D$467,"&gt;0")</f>
        <v>0</v>
      </c>
      <c r="C76" s="5">
        <f>SUMIFS('Transaction Overview'!$D$2:$D$467,'Transaction Overview'!$G$2:$G$467,$A76,'Transaction Overview'!$D$2:$D$467,"&lt;0")</f>
        <v>-700</v>
      </c>
      <c r="D76" s="5">
        <f>B76+C76</f>
        <v>-700</v>
      </c>
    </row>
    <row r="77" spans="1:4" x14ac:dyDescent="0.25">
      <c r="A77" t="s">
        <v>603</v>
      </c>
      <c r="B77" s="5">
        <f>SUMIFS('Transaction Overview'!$D$2:$D$467,'Transaction Overview'!$G$2:$G$467,$A77,'Transaction Overview'!$D$2:$D$467,"&gt;0")</f>
        <v>0</v>
      </c>
      <c r="C77" s="5">
        <f>SUMIFS('Transaction Overview'!$D$2:$D$467,'Transaction Overview'!$G$2:$G$467,$A77,'Transaction Overview'!$D$2:$D$467,"&lt;0")</f>
        <v>-370</v>
      </c>
      <c r="D77" s="5">
        <f>B77+C77</f>
        <v>-370</v>
      </c>
    </row>
    <row r="78" spans="1:4" x14ac:dyDescent="0.25">
      <c r="A78" s="13" t="s">
        <v>568</v>
      </c>
      <c r="B78" s="14">
        <f>SUMIFS('Transaction Overview'!$D$2:$D$467,'Transaction Overview'!$J$2:$J$467,"P2P Payments (Zelle/Venmo/PayPal)",'Transaction Overview'!$D$2:$D$467,"&gt;0")</f>
        <v>0</v>
      </c>
      <c r="C78" s="14">
        <f>SUMIFS('Transaction Overview'!$D$2:$D$467,'Transaction Overview'!$J$2:$J$467,"P2P Payments (Zelle/Venmo/PayPal)",'Transaction Overview'!$D$2:$D$467,"&lt;0")</f>
        <v>-3995</v>
      </c>
      <c r="D78" s="14">
        <f>B78+C78</f>
        <v>-3995</v>
      </c>
    </row>
    <row r="80" spans="1:4" x14ac:dyDescent="0.25">
      <c r="A80" s="11" t="s">
        <v>539</v>
      </c>
    </row>
    <row r="81" spans="1:4" x14ac:dyDescent="0.25">
      <c r="A81" t="s">
        <v>490</v>
      </c>
      <c r="B81" s="5">
        <f>SUMIFS('Transaction Overview'!$D$2:$D$467,'Transaction Overview'!$G$2:$G$467,$A81,'Transaction Overview'!$D$2:$D$467,"&gt;0")</f>
        <v>0</v>
      </c>
      <c r="C81" s="5">
        <f>SUMIFS('Transaction Overview'!$D$2:$D$467,'Transaction Overview'!$G$2:$G$467,$A81,'Transaction Overview'!$D$2:$D$467,"&lt;0")</f>
        <v>-1371.4499999999998</v>
      </c>
      <c r="D81" s="5">
        <f>B81+C81</f>
        <v>-1371.4499999999998</v>
      </c>
    </row>
    <row r="82" spans="1:4" x14ac:dyDescent="0.25">
      <c r="A82" t="s">
        <v>481</v>
      </c>
      <c r="B82" s="5">
        <f>SUMIFS('Transaction Overview'!$D$2:$D$467,'Transaction Overview'!$G$2:$G$467,$A82,'Transaction Overview'!$D$2:$D$467,"&gt;0")</f>
        <v>0</v>
      </c>
      <c r="C82" s="5">
        <f>SUMIFS('Transaction Overview'!$D$2:$D$467,'Transaction Overview'!$G$2:$G$467,$A82,'Transaction Overview'!$D$2:$D$467,"&lt;0")</f>
        <v>-6637</v>
      </c>
      <c r="D82" s="5">
        <f>B82+C82</f>
        <v>-6637</v>
      </c>
    </row>
    <row r="83" spans="1:4" x14ac:dyDescent="0.25">
      <c r="A83" s="13" t="s">
        <v>569</v>
      </c>
      <c r="B83" s="14">
        <f>SUMIFS('Transaction Overview'!$D$2:$D$467,'Transaction Overview'!$J$2:$J$467,"Payroll &amp; Contractors",'Transaction Overview'!$D$2:$D$467,"&gt;0")</f>
        <v>0</v>
      </c>
      <c r="C83" s="14">
        <f>SUMIFS('Transaction Overview'!$D$2:$D$467,'Transaction Overview'!$J$2:$J$467,"Payroll &amp; Contractors",'Transaction Overview'!$D$2:$D$467,"&lt;0")</f>
        <v>-8008.4500000000007</v>
      </c>
      <c r="D83" s="14">
        <f>B83+C83</f>
        <v>-8008.4500000000007</v>
      </c>
    </row>
    <row r="85" spans="1:4" x14ac:dyDescent="0.25">
      <c r="A85" s="11" t="s">
        <v>536</v>
      </c>
    </row>
    <row r="86" spans="1:4" x14ac:dyDescent="0.25">
      <c r="A86" t="s">
        <v>475</v>
      </c>
      <c r="B86" s="5">
        <f>SUMIFS('Transaction Overview'!$D$2:$D$467,'Transaction Overview'!$G$2:$G$467,$A86,'Transaction Overview'!$D$2:$D$467,"&gt;0")</f>
        <v>0</v>
      </c>
      <c r="C86" s="5">
        <f>SUMIFS('Transaction Overview'!$D$2:$D$467,'Transaction Overview'!$G$2:$G$467,$A86,'Transaction Overview'!$D$2:$D$467,"&lt;0")</f>
        <v>-197763.92</v>
      </c>
      <c r="D86" s="5">
        <f>B86+C86</f>
        <v>-197763.92</v>
      </c>
    </row>
    <row r="87" spans="1:4" x14ac:dyDescent="0.25">
      <c r="A87" s="13" t="s">
        <v>570</v>
      </c>
      <c r="B87" s="14">
        <f>SUMIFS('Transaction Overview'!$D$2:$D$467,'Transaction Overview'!$J$2:$J$467,"Credit Card &amp; Loan Payments",'Transaction Overview'!$D$2:$D$467,"&gt;0")</f>
        <v>0</v>
      </c>
      <c r="C87" s="14">
        <f>SUMIFS('Transaction Overview'!$D$2:$D$467,'Transaction Overview'!$J$2:$J$467,"Credit Card &amp; Loan Payments",'Transaction Overview'!$D$2:$D$467,"&lt;0")</f>
        <v>-197763.92</v>
      </c>
      <c r="D87" s="14">
        <f>B87+C87</f>
        <v>-197763.92</v>
      </c>
    </row>
    <row r="89" spans="1:4" x14ac:dyDescent="0.25">
      <c r="A89" s="11" t="s">
        <v>535</v>
      </c>
    </row>
    <row r="90" spans="1:4" x14ac:dyDescent="0.25">
      <c r="A90" t="s">
        <v>488</v>
      </c>
      <c r="B90" s="5">
        <f>SUMIFS('Transaction Overview'!$D$2:$D$467,'Transaction Overview'!$G$2:$G$467,$A90,'Transaction Overview'!$D$2:$D$467,"&gt;0")</f>
        <v>0</v>
      </c>
      <c r="C90" s="5">
        <f>SUMIFS('Transaction Overview'!$D$2:$D$467,'Transaction Overview'!$G$2:$G$467,$A90,'Transaction Overview'!$D$2:$D$467,"&lt;0")</f>
        <v>-13723.98</v>
      </c>
      <c r="D90" s="5">
        <f>B90+C90</f>
        <v>-13723.98</v>
      </c>
    </row>
    <row r="91" spans="1:4" x14ac:dyDescent="0.25">
      <c r="A91" t="s">
        <v>498</v>
      </c>
      <c r="B91" s="5">
        <f>SUMIFS('Transaction Overview'!$D$2:$D$467,'Transaction Overview'!$G$2:$G$467,$A91,'Transaction Overview'!$D$2:$D$467,"&gt;0")</f>
        <v>274.93</v>
      </c>
      <c r="C91" s="5">
        <f>SUMIFS('Transaction Overview'!$D$2:$D$467,'Transaction Overview'!$G$2:$G$467,$A91,'Transaction Overview'!$D$2:$D$467,"&lt;0")</f>
        <v>-4256.8599999999997</v>
      </c>
      <c r="D91" s="5">
        <f>B91+C91</f>
        <v>-3981.93</v>
      </c>
    </row>
    <row r="92" spans="1:4" x14ac:dyDescent="0.25">
      <c r="A92" t="s">
        <v>499</v>
      </c>
      <c r="B92" s="5">
        <f>SUMIFS('Transaction Overview'!$D$2:$D$467,'Transaction Overview'!$G$2:$G$467,$A92,'Transaction Overview'!$D$2:$D$467,"&gt;0")</f>
        <v>0</v>
      </c>
      <c r="C92" s="5">
        <f>SUMIFS('Transaction Overview'!$D$2:$D$467,'Transaction Overview'!$G$2:$G$467,$A92,'Transaction Overview'!$D$2:$D$467,"&lt;0")</f>
        <v>-1630.9</v>
      </c>
      <c r="D92" s="5">
        <f>B92+C92</f>
        <v>-1630.9</v>
      </c>
    </row>
    <row r="93" spans="1:4" x14ac:dyDescent="0.25">
      <c r="A93" t="s">
        <v>500</v>
      </c>
      <c r="B93" s="5">
        <f>SUMIFS('Transaction Overview'!$D$2:$D$467,'Transaction Overview'!$G$2:$G$467,$A93,'Transaction Overview'!$D$2:$D$467,"&gt;0")</f>
        <v>0</v>
      </c>
      <c r="C93" s="5">
        <f>SUMIFS('Transaction Overview'!$D$2:$D$467,'Transaction Overview'!$G$2:$G$467,$A93,'Transaction Overview'!$D$2:$D$467,"&lt;0")</f>
        <v>-32.31</v>
      </c>
      <c r="D93" s="5">
        <f>B93+C93</f>
        <v>-32.31</v>
      </c>
    </row>
    <row r="94" spans="1:4" x14ac:dyDescent="0.25">
      <c r="A94" t="s">
        <v>477</v>
      </c>
      <c r="B94" s="5">
        <f>SUMIFS('Transaction Overview'!$D$2:$D$467,'Transaction Overview'!$G$2:$G$467,$A94,'Transaction Overview'!$D$2:$D$467,"&gt;0")</f>
        <v>0</v>
      </c>
      <c r="C94" s="5">
        <f>SUMIFS('Transaction Overview'!$D$2:$D$467,'Transaction Overview'!$G$2:$G$467,$A94,'Transaction Overview'!$D$2:$D$467,"&lt;0")</f>
        <v>-1357.76</v>
      </c>
      <c r="D94" s="5">
        <f>B94+C94</f>
        <v>-1357.76</v>
      </c>
    </row>
    <row r="95" spans="1:4" x14ac:dyDescent="0.25">
      <c r="A95" t="s">
        <v>491</v>
      </c>
      <c r="B95" s="5">
        <f>SUMIFS('Transaction Overview'!$D$2:$D$467,'Transaction Overview'!$G$2:$G$467,$A95,'Transaction Overview'!$D$2:$D$467,"&gt;0")</f>
        <v>0</v>
      </c>
      <c r="C95" s="5">
        <f>SUMIFS('Transaction Overview'!$D$2:$D$467,'Transaction Overview'!$G$2:$G$467,$A95,'Transaction Overview'!$D$2:$D$467,"&lt;0")</f>
        <v>-1050</v>
      </c>
      <c r="D95" s="5">
        <f>B95+C95</f>
        <v>-1050</v>
      </c>
    </row>
    <row r="96" spans="1:4" x14ac:dyDescent="0.25">
      <c r="A96" t="s">
        <v>526</v>
      </c>
      <c r="B96" s="5">
        <f>SUMIFS('Transaction Overview'!$D$2:$D$467,'Transaction Overview'!$G$2:$G$467,$A96,'Transaction Overview'!$D$2:$D$467,"&gt;0")</f>
        <v>0</v>
      </c>
      <c r="C96" s="5">
        <f>SUMIFS('Transaction Overview'!$D$2:$D$467,'Transaction Overview'!$G$2:$G$467,$A96,'Transaction Overview'!$D$2:$D$467,"&lt;0")</f>
        <v>-16287.51</v>
      </c>
      <c r="D96" s="5">
        <f>B96+C96</f>
        <v>-16287.51</v>
      </c>
    </row>
    <row r="97" spans="1:4" x14ac:dyDescent="0.25">
      <c r="A97" t="s">
        <v>476</v>
      </c>
      <c r="B97" s="5">
        <f>SUMIFS('Transaction Overview'!$D$2:$D$467,'Transaction Overview'!$G$2:$G$467,$A97,'Transaction Overview'!$D$2:$D$467,"&gt;0")</f>
        <v>13.04</v>
      </c>
      <c r="C97" s="5">
        <f>SUMIFS('Transaction Overview'!$D$2:$D$467,'Transaction Overview'!$G$2:$G$467,$A97,'Transaction Overview'!$D$2:$D$467,"&lt;0")</f>
        <v>-2189.4800000000005</v>
      </c>
      <c r="D97" s="5">
        <f>B97+C97</f>
        <v>-2176.4400000000005</v>
      </c>
    </row>
    <row r="98" spans="1:4" x14ac:dyDescent="0.25">
      <c r="A98" t="s">
        <v>506</v>
      </c>
      <c r="B98" s="5">
        <f>SUMIFS('Transaction Overview'!$D$2:$D$467,'Transaction Overview'!$G$2:$G$467,$A98,'Transaction Overview'!$D$2:$D$467,"&gt;0")</f>
        <v>0</v>
      </c>
      <c r="C98" s="5">
        <f>SUMIFS('Transaction Overview'!$D$2:$D$467,'Transaction Overview'!$G$2:$G$467,$A98,'Transaction Overview'!$D$2:$D$467,"&lt;0")</f>
        <v>-179.7</v>
      </c>
      <c r="D98" s="5">
        <f>B98+C98</f>
        <v>-179.7</v>
      </c>
    </row>
    <row r="99" spans="1:4" x14ac:dyDescent="0.25">
      <c r="A99" t="s">
        <v>517</v>
      </c>
      <c r="B99" s="5">
        <f>SUMIFS('Transaction Overview'!$D$2:$D$467,'Transaction Overview'!$G$2:$G$467,$A99,'Transaction Overview'!$D$2:$D$467,"&gt;0")</f>
        <v>0</v>
      </c>
      <c r="C99" s="5">
        <f>SUMIFS('Transaction Overview'!$D$2:$D$467,'Transaction Overview'!$G$2:$G$467,$A99,'Transaction Overview'!$D$2:$D$467,"&lt;0")</f>
        <v>-428.27</v>
      </c>
      <c r="D99" s="5">
        <f>B99+C99</f>
        <v>-428.27</v>
      </c>
    </row>
    <row r="100" spans="1:4" x14ac:dyDescent="0.25">
      <c r="A100" s="13" t="s">
        <v>571</v>
      </c>
      <c r="B100" s="14">
        <f>SUMIFS('Transaction Overview'!$D$2:$D$467,'Transaction Overview'!$J$2:$J$467,"Personal — Owner",'Transaction Overview'!$D$2:$D$467,"&gt;0")</f>
        <v>287.97000000000003</v>
      </c>
      <c r="C100" s="14">
        <f>SUMIFS('Transaction Overview'!$D$2:$D$467,'Transaction Overview'!$J$2:$J$467,"Personal — Owner",'Transaction Overview'!$D$2:$D$467,"&lt;0")</f>
        <v>-41136.769999999997</v>
      </c>
      <c r="D100" s="14">
        <f>B100+C100</f>
        <v>-40848.799999999996</v>
      </c>
    </row>
    <row r="102" spans="1:4" x14ac:dyDescent="0.25">
      <c r="A102" s="11" t="s">
        <v>534</v>
      </c>
    </row>
    <row r="103" spans="1:4" x14ac:dyDescent="0.25">
      <c r="A103" t="s">
        <v>512</v>
      </c>
      <c r="B103" s="5">
        <f>SUMIFS('Transaction Overview'!$D$2:$D$467,'Transaction Overview'!$G$2:$G$467,$A103,'Transaction Overview'!$D$2:$D$467,"&gt;0")</f>
        <v>0</v>
      </c>
      <c r="C103" s="5">
        <f>SUMIFS('Transaction Overview'!$D$2:$D$467,'Transaction Overview'!$G$2:$G$467,$A103,'Transaction Overview'!$D$2:$D$467,"&lt;0")</f>
        <v>-501.25</v>
      </c>
      <c r="D103" s="5">
        <f>B103+C103</f>
        <v>-501.25</v>
      </c>
    </row>
    <row r="104" spans="1:4" x14ac:dyDescent="0.25">
      <c r="A104" t="s">
        <v>496</v>
      </c>
      <c r="B104" s="5">
        <f>SUMIFS('Transaction Overview'!$D$2:$D$467,'Transaction Overview'!$G$2:$G$467,$A104,'Transaction Overview'!$D$2:$D$467,"&gt;0")</f>
        <v>0</v>
      </c>
      <c r="C104" s="5">
        <f>SUMIFS('Transaction Overview'!$D$2:$D$467,'Transaction Overview'!$G$2:$G$467,$A104,'Transaction Overview'!$D$2:$D$467,"&lt;0")</f>
        <v>-6</v>
      </c>
      <c r="D104" s="5">
        <f>B104+C104</f>
        <v>-6</v>
      </c>
    </row>
    <row r="105" spans="1:4" x14ac:dyDescent="0.25">
      <c r="A105" t="s">
        <v>505</v>
      </c>
      <c r="B105" s="5">
        <f>SUMIFS('Transaction Overview'!$D$2:$D$467,'Transaction Overview'!$G$2:$G$467,$A105,'Transaction Overview'!$D$2:$D$467,"&gt;0")</f>
        <v>0</v>
      </c>
      <c r="C105" s="5">
        <f>SUMIFS('Transaction Overview'!$D$2:$D$467,'Transaction Overview'!$G$2:$G$467,$A105,'Transaction Overview'!$D$2:$D$467,"&lt;0")</f>
        <v>-14.690000000000001</v>
      </c>
      <c r="D105" s="5">
        <f>B105+C105</f>
        <v>-14.690000000000001</v>
      </c>
    </row>
    <row r="106" spans="1:4" x14ac:dyDescent="0.25">
      <c r="A106" t="s">
        <v>521</v>
      </c>
      <c r="B106" s="5">
        <f>SUMIFS('Transaction Overview'!$D$2:$D$467,'Transaction Overview'!$G$2:$G$467,$A106,'Transaction Overview'!$D$2:$D$467,"&gt;0")</f>
        <v>0</v>
      </c>
      <c r="C106" s="5">
        <f>SUMIFS('Transaction Overview'!$D$2:$D$467,'Transaction Overview'!$G$2:$G$467,$A106,'Transaction Overview'!$D$2:$D$467,"&lt;0")</f>
        <v>-70</v>
      </c>
      <c r="D106" s="5">
        <f>B106+C106</f>
        <v>-70</v>
      </c>
    </row>
    <row r="107" spans="1:4" x14ac:dyDescent="0.25">
      <c r="A107" t="s">
        <v>483</v>
      </c>
      <c r="B107" s="5">
        <f>SUMIFS('Transaction Overview'!$D$2:$D$467,'Transaction Overview'!$G$2:$G$467,$A107,'Transaction Overview'!$D$2:$D$467,"&gt;0")</f>
        <v>0</v>
      </c>
      <c r="C107" s="5">
        <f>SUMIFS('Transaction Overview'!$D$2:$D$467,'Transaction Overview'!$G$2:$G$467,$A107,'Transaction Overview'!$D$2:$D$467,"&lt;0")</f>
        <v>-250</v>
      </c>
      <c r="D107" s="5">
        <f>B107+C107</f>
        <v>-250</v>
      </c>
    </row>
    <row r="108" spans="1:4" x14ac:dyDescent="0.25">
      <c r="A108" s="13" t="s">
        <v>572</v>
      </c>
      <c r="B108" s="14">
        <f>SUMIFS('Transaction Overview'!$D$2:$D$467,'Transaction Overview'!$J$2:$J$467,"DWG Operating",'Transaction Overview'!$D$2:$D$467,"&gt;0")</f>
        <v>0</v>
      </c>
      <c r="C108" s="14">
        <f>SUMIFS('Transaction Overview'!$D$2:$D$467,'Transaction Overview'!$J$2:$J$467,"DWG Operating",'Transaction Overview'!$D$2:$D$467,"&lt;0")</f>
        <v>-841.94</v>
      </c>
      <c r="D108" s="14">
        <f>B108+C108</f>
        <v>-841.94</v>
      </c>
    </row>
    <row r="110" spans="1:4" x14ac:dyDescent="0.25">
      <c r="A110" s="11" t="s">
        <v>545</v>
      </c>
    </row>
    <row r="111" spans="1:4" x14ac:dyDescent="0.25">
      <c r="A111" t="s">
        <v>513</v>
      </c>
      <c r="B111" s="5">
        <f>SUMIFS('Transaction Overview'!$D$2:$D$467,'Transaction Overview'!$G$2:$G$467,$A111,'Transaction Overview'!$D$2:$D$467,"&gt;0")</f>
        <v>0</v>
      </c>
      <c r="C111" s="5">
        <f>SUMIFS('Transaction Overview'!$D$2:$D$467,'Transaction Overview'!$G$2:$G$467,$A111,'Transaction Overview'!$D$2:$D$467,"&lt;0")</f>
        <v>0</v>
      </c>
      <c r="D111" s="5">
        <f>B111+C111</f>
        <v>0</v>
      </c>
    </row>
    <row r="112" spans="1:4" x14ac:dyDescent="0.25">
      <c r="A112" s="13" t="s">
        <v>573</v>
      </c>
      <c r="B112" s="14">
        <f>SUMIFS('Transaction Overview'!$D$2:$D$467,'Transaction Overview'!$J$2:$J$467,"Uncategorized — Review",'Transaction Overview'!$D$2:$D$467,"&gt;0")</f>
        <v>0</v>
      </c>
      <c r="C112" s="14">
        <f>SUMIFS('Transaction Overview'!$D$2:$D$467,'Transaction Overview'!$J$2:$J$467,"Uncategorized — Review",'Transaction Overview'!$D$2:$D$467,"&lt;0")</f>
        <v>0</v>
      </c>
      <c r="D112" s="14">
        <f>B112+C112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E029-96C7-483D-A17F-1481112910FB}">
  <dimension ref="A1:H10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4" sqref="I14"/>
    </sheetView>
  </sheetViews>
  <sheetFormatPr defaultRowHeight="15" x14ac:dyDescent="0.25"/>
  <cols>
    <col min="1" max="1" width="57.140625" customWidth="1"/>
    <col min="2" max="8" width="12.5703125" customWidth="1"/>
  </cols>
  <sheetData>
    <row r="1" spans="1:8" ht="21" x14ac:dyDescent="0.35">
      <c r="A1" s="8" t="s">
        <v>550</v>
      </c>
      <c r="B1" s="8"/>
      <c r="C1" s="8"/>
      <c r="D1" s="8"/>
      <c r="E1" s="8"/>
      <c r="F1" s="8"/>
      <c r="G1" s="8"/>
      <c r="H1" s="8"/>
    </row>
    <row r="2" spans="1:8" x14ac:dyDescent="0.25">
      <c r="A2" s="6" t="s">
        <v>579</v>
      </c>
      <c r="B2" s="6"/>
      <c r="C2" s="6"/>
      <c r="D2" s="6"/>
      <c r="E2" s="6"/>
      <c r="F2" s="6"/>
      <c r="G2" s="6"/>
      <c r="H2" s="6"/>
    </row>
    <row r="4" spans="1:8" x14ac:dyDescent="0.25">
      <c r="A4" s="17" t="s">
        <v>474</v>
      </c>
      <c r="B4" s="18">
        <f>DATE(2026,1,1)</f>
        <v>46023</v>
      </c>
      <c r="C4" s="18">
        <f>DATE(2026,2,1)</f>
        <v>46054</v>
      </c>
      <c r="D4" s="18">
        <f>DATE(2026,3,1)</f>
        <v>46082</v>
      </c>
      <c r="E4" s="18">
        <f>DATE(2026,4,1)</f>
        <v>46113</v>
      </c>
      <c r="F4" s="18">
        <f>DATE(2026,5,1)</f>
        <v>46143</v>
      </c>
      <c r="G4" s="18">
        <f>DATE(2026,6,1)</f>
        <v>46174</v>
      </c>
      <c r="H4" s="17" t="s">
        <v>580</v>
      </c>
    </row>
    <row r="5" spans="1:8" x14ac:dyDescent="0.25">
      <c r="A5" s="15" t="s">
        <v>538</v>
      </c>
      <c r="B5" s="19"/>
      <c r="C5" s="19"/>
      <c r="D5" s="19"/>
      <c r="E5" s="19"/>
      <c r="F5" s="19"/>
      <c r="G5" s="19"/>
      <c r="H5" s="19"/>
    </row>
    <row r="6" spans="1:8" x14ac:dyDescent="0.25">
      <c r="A6" t="s">
        <v>509</v>
      </c>
      <c r="B6" s="5">
        <f>SUMIFS('Transaction Overview'!$D$2:$D$467,'Transaction Overview'!$I$2:$I$467,$A6,'Transaction Overview'!$H$2:$H$467,B$4)</f>
        <v>-10000</v>
      </c>
      <c r="C6" s="5">
        <f>SUMIFS('Transaction Overview'!$D$2:$D$467,'Transaction Overview'!$I$2:$I$467,$A6,'Transaction Overview'!$H$2:$H$467,C$4)</f>
        <v>0</v>
      </c>
      <c r="D6" s="5">
        <f>SUMIFS('Transaction Overview'!$D$2:$D$467,'Transaction Overview'!$I$2:$I$467,$A6,'Transaction Overview'!$H$2:$H$467,D$4)</f>
        <v>0</v>
      </c>
      <c r="E6" s="5">
        <f>SUMIFS('Transaction Overview'!$D$2:$D$467,'Transaction Overview'!$I$2:$I$467,$A6,'Transaction Overview'!$H$2:$H$467,E$4)</f>
        <v>0</v>
      </c>
      <c r="F6" s="5">
        <f>SUMIFS('Transaction Overview'!$D$2:$D$467,'Transaction Overview'!$I$2:$I$467,$A6,'Transaction Overview'!$H$2:$H$467,F$4)</f>
        <v>0</v>
      </c>
      <c r="G6" s="5">
        <f>SUMIFS('Transaction Overview'!$D$2:$D$467,'Transaction Overview'!$I$2:$I$467,$A6,'Transaction Overview'!$H$2:$H$467,G$4)</f>
        <v>0</v>
      </c>
      <c r="H6" s="5">
        <f>SUM(B6:G6)</f>
        <v>-10000</v>
      </c>
    </row>
    <row r="7" spans="1:8" x14ac:dyDescent="0.25">
      <c r="A7" t="s">
        <v>501</v>
      </c>
      <c r="B7" s="5">
        <f>SUMIFS('Transaction Overview'!$D$2:$D$467,'Transaction Overview'!$I$2:$I$467,$A7,'Transaction Overview'!$H$2:$H$467,B$4)</f>
        <v>350</v>
      </c>
      <c r="C7" s="5">
        <f>SUMIFS('Transaction Overview'!$D$2:$D$467,'Transaction Overview'!$I$2:$I$467,$A7,'Transaction Overview'!$H$2:$H$467,C$4)</f>
        <v>350</v>
      </c>
      <c r="D7" s="5">
        <f>SUMIFS('Transaction Overview'!$D$2:$D$467,'Transaction Overview'!$I$2:$I$467,$A7,'Transaction Overview'!$H$2:$H$467,D$4)</f>
        <v>350</v>
      </c>
      <c r="E7" s="5">
        <f>SUMIFS('Transaction Overview'!$D$2:$D$467,'Transaction Overview'!$I$2:$I$467,$A7,'Transaction Overview'!$H$2:$H$467,E$4)</f>
        <v>350</v>
      </c>
      <c r="F7" s="5">
        <f>SUMIFS('Transaction Overview'!$D$2:$D$467,'Transaction Overview'!$I$2:$I$467,$A7,'Transaction Overview'!$H$2:$H$467,F$4)</f>
        <v>350</v>
      </c>
      <c r="G7" s="5">
        <f>SUMIFS('Transaction Overview'!$D$2:$D$467,'Transaction Overview'!$I$2:$I$467,$A7,'Transaction Overview'!$H$2:$H$467,G$4)</f>
        <v>350</v>
      </c>
      <c r="H7" s="5">
        <f>SUM(B7:G7)</f>
        <v>2100</v>
      </c>
    </row>
    <row r="8" spans="1:8" x14ac:dyDescent="0.25">
      <c r="A8" t="s">
        <v>515</v>
      </c>
      <c r="B8" s="5">
        <f>SUMIFS('Transaction Overview'!$D$2:$D$467,'Transaction Overview'!$I$2:$I$467,$A8,'Transaction Overview'!$H$2:$H$467,B$4)</f>
        <v>241.87</v>
      </c>
      <c r="C8" s="5">
        <f>SUMIFS('Transaction Overview'!$D$2:$D$467,'Transaction Overview'!$I$2:$I$467,$A8,'Transaction Overview'!$H$2:$H$467,C$4)</f>
        <v>241.87</v>
      </c>
      <c r="D8" s="5">
        <f>SUMIFS('Transaction Overview'!$D$2:$D$467,'Transaction Overview'!$I$2:$I$467,$A8,'Transaction Overview'!$H$2:$H$467,D$4)</f>
        <v>241.87</v>
      </c>
      <c r="E8" s="5">
        <f>SUMIFS('Transaction Overview'!$D$2:$D$467,'Transaction Overview'!$I$2:$I$467,$A8,'Transaction Overview'!$H$2:$H$467,E$4)</f>
        <v>0</v>
      </c>
      <c r="F8" s="5">
        <f>SUMIFS('Transaction Overview'!$D$2:$D$467,'Transaction Overview'!$I$2:$I$467,$A8,'Transaction Overview'!$H$2:$H$467,F$4)</f>
        <v>0</v>
      </c>
      <c r="G8" s="5">
        <f>SUMIFS('Transaction Overview'!$D$2:$D$467,'Transaction Overview'!$I$2:$I$467,$A8,'Transaction Overview'!$H$2:$H$467,G$4)</f>
        <v>0</v>
      </c>
      <c r="H8" s="5">
        <f>SUM(B8:G8)</f>
        <v>725.61</v>
      </c>
    </row>
    <row r="9" spans="1:8" x14ac:dyDescent="0.25">
      <c r="A9" t="s">
        <v>502</v>
      </c>
      <c r="B9" s="5">
        <f>SUMIFS('Transaction Overview'!$D$2:$D$467,'Transaction Overview'!$I$2:$I$467,$A9,'Transaction Overview'!$H$2:$H$467,B$4)</f>
        <v>476.41</v>
      </c>
      <c r="C9" s="5">
        <f>SUMIFS('Transaction Overview'!$D$2:$D$467,'Transaction Overview'!$I$2:$I$467,$A9,'Transaction Overview'!$H$2:$H$467,C$4)</f>
        <v>476.41</v>
      </c>
      <c r="D9" s="5">
        <f>SUMIFS('Transaction Overview'!$D$2:$D$467,'Transaction Overview'!$I$2:$I$467,$A9,'Transaction Overview'!$H$2:$H$467,D$4)</f>
        <v>491.29</v>
      </c>
      <c r="E9" s="5">
        <f>SUMIFS('Transaction Overview'!$D$2:$D$467,'Transaction Overview'!$I$2:$I$467,$A9,'Transaction Overview'!$H$2:$H$467,E$4)</f>
        <v>491.29</v>
      </c>
      <c r="F9" s="5">
        <f>SUMIFS('Transaction Overview'!$D$2:$D$467,'Transaction Overview'!$I$2:$I$467,$A9,'Transaction Overview'!$H$2:$H$467,F$4)</f>
        <v>491.29</v>
      </c>
      <c r="G9" s="5">
        <f>SUMIFS('Transaction Overview'!$D$2:$D$467,'Transaction Overview'!$I$2:$I$467,$A9,'Transaction Overview'!$H$2:$H$467,G$4)</f>
        <v>491.29</v>
      </c>
      <c r="H9" s="5">
        <f>SUM(B9:G9)</f>
        <v>2917.98</v>
      </c>
    </row>
    <row r="10" spans="1:8" x14ac:dyDescent="0.25">
      <c r="A10" t="s">
        <v>503</v>
      </c>
      <c r="B10" s="5">
        <f>SUMIFS('Transaction Overview'!$D$2:$D$467,'Transaction Overview'!$I$2:$I$467,$A10,'Transaction Overview'!$H$2:$H$467,B$4)</f>
        <v>233.33</v>
      </c>
      <c r="C10" s="5">
        <f>SUMIFS('Transaction Overview'!$D$2:$D$467,'Transaction Overview'!$I$2:$I$467,$A10,'Transaction Overview'!$H$2:$H$467,C$4)</f>
        <v>233.33</v>
      </c>
      <c r="D10" s="5">
        <f>SUMIFS('Transaction Overview'!$D$2:$D$467,'Transaction Overview'!$I$2:$I$467,$A10,'Transaction Overview'!$H$2:$H$467,D$4)</f>
        <v>233.33</v>
      </c>
      <c r="E10" s="5">
        <f>SUMIFS('Transaction Overview'!$D$2:$D$467,'Transaction Overview'!$I$2:$I$467,$A10,'Transaction Overview'!$H$2:$H$467,E$4)</f>
        <v>233.33</v>
      </c>
      <c r="F10" s="5">
        <f>SUMIFS('Transaction Overview'!$D$2:$D$467,'Transaction Overview'!$I$2:$I$467,$A10,'Transaction Overview'!$H$2:$H$467,F$4)</f>
        <v>233.33</v>
      </c>
      <c r="G10" s="5">
        <f>SUMIFS('Transaction Overview'!$D$2:$D$467,'Transaction Overview'!$I$2:$I$467,$A10,'Transaction Overview'!$H$2:$H$467,G$4)</f>
        <v>233.33</v>
      </c>
      <c r="H10" s="5">
        <f>SUM(B10:G10)</f>
        <v>1399.98</v>
      </c>
    </row>
    <row r="11" spans="1:8" x14ac:dyDescent="0.25">
      <c r="A11" t="s">
        <v>516</v>
      </c>
      <c r="B11" s="5">
        <f>SUMIFS('Transaction Overview'!$D$2:$D$467,'Transaction Overview'!$I$2:$I$467,$A11,'Transaction Overview'!$H$2:$H$467,B$4)</f>
        <v>356.38</v>
      </c>
      <c r="C11" s="5">
        <f>SUMIFS('Transaction Overview'!$D$2:$D$467,'Transaction Overview'!$I$2:$I$467,$A11,'Transaction Overview'!$H$2:$H$467,C$4)</f>
        <v>367.52</v>
      </c>
      <c r="D11" s="5">
        <f>SUMIFS('Transaction Overview'!$D$2:$D$467,'Transaction Overview'!$I$2:$I$467,$A11,'Transaction Overview'!$H$2:$H$467,D$4)</f>
        <v>367.52</v>
      </c>
      <c r="E11" s="5">
        <f>SUMIFS('Transaction Overview'!$D$2:$D$467,'Transaction Overview'!$I$2:$I$467,$A11,'Transaction Overview'!$H$2:$H$467,E$4)</f>
        <v>0</v>
      </c>
      <c r="F11" s="5">
        <f>SUMIFS('Transaction Overview'!$D$2:$D$467,'Transaction Overview'!$I$2:$I$467,$A11,'Transaction Overview'!$H$2:$H$467,F$4)</f>
        <v>0</v>
      </c>
      <c r="G11" s="5">
        <f>SUMIFS('Transaction Overview'!$D$2:$D$467,'Transaction Overview'!$I$2:$I$467,$A11,'Transaction Overview'!$H$2:$H$467,G$4)</f>
        <v>0</v>
      </c>
      <c r="H11" s="5">
        <f>SUM(B11:G11)</f>
        <v>1091.42</v>
      </c>
    </row>
    <row r="12" spans="1:8" x14ac:dyDescent="0.25">
      <c r="A12" s="16" t="s">
        <v>560</v>
      </c>
      <c r="B12" s="20">
        <f>SUM(B6:B11)</f>
        <v>-8342.01</v>
      </c>
      <c r="C12" s="20">
        <f>SUM(C6:C11)</f>
        <v>1669.1299999999999</v>
      </c>
      <c r="D12" s="20">
        <f>SUM(D6:D11)</f>
        <v>1684.01</v>
      </c>
      <c r="E12" s="20">
        <f>SUM(E6:E11)</f>
        <v>1074.6199999999999</v>
      </c>
      <c r="F12" s="20">
        <f>SUM(F6:F11)</f>
        <v>1074.6199999999999</v>
      </c>
      <c r="G12" s="20">
        <f>SUM(G6:G11)</f>
        <v>1074.6199999999999</v>
      </c>
      <c r="H12" s="20">
        <f>SUM(H6:H11)</f>
        <v>-1765.0099999999998</v>
      </c>
    </row>
    <row r="13" spans="1:8" x14ac:dyDescent="0.25">
      <c r="B13" s="5"/>
      <c r="C13" s="5"/>
      <c r="D13" s="5"/>
      <c r="E13" s="5"/>
      <c r="F13" s="5"/>
      <c r="G13" s="5"/>
      <c r="H13" s="5"/>
    </row>
    <row r="14" spans="1:8" x14ac:dyDescent="0.25">
      <c r="A14" s="15" t="s">
        <v>540</v>
      </c>
      <c r="B14" s="19"/>
      <c r="C14" s="19"/>
      <c r="D14" s="19"/>
      <c r="E14" s="19"/>
      <c r="F14" s="19"/>
      <c r="G14" s="19"/>
      <c r="H14" s="19"/>
    </row>
    <row r="15" spans="1:8" x14ac:dyDescent="0.25">
      <c r="A15" t="s">
        <v>524</v>
      </c>
      <c r="B15" s="5">
        <f>SUMIFS('Transaction Overview'!$D$2:$D$467,'Transaction Overview'!$I$2:$I$467,$A15,'Transaction Overview'!$H$2:$H$467,B$4)</f>
        <v>0</v>
      </c>
      <c r="C15" s="5">
        <f>SUMIFS('Transaction Overview'!$D$2:$D$467,'Transaction Overview'!$I$2:$I$467,$A15,'Transaction Overview'!$H$2:$H$467,C$4)</f>
        <v>168266</v>
      </c>
      <c r="D15" s="5">
        <f>SUMIFS('Transaction Overview'!$D$2:$D$467,'Transaction Overview'!$I$2:$I$467,$A15,'Transaction Overview'!$H$2:$H$467,D$4)</f>
        <v>0</v>
      </c>
      <c r="E15" s="5">
        <f>SUMIFS('Transaction Overview'!$D$2:$D$467,'Transaction Overview'!$I$2:$I$467,$A15,'Transaction Overview'!$H$2:$H$467,E$4)</f>
        <v>0</v>
      </c>
      <c r="F15" s="5">
        <f>SUMIFS('Transaction Overview'!$D$2:$D$467,'Transaction Overview'!$I$2:$I$467,$A15,'Transaction Overview'!$H$2:$H$467,F$4)</f>
        <v>0</v>
      </c>
      <c r="G15" s="5">
        <f>SUMIFS('Transaction Overview'!$D$2:$D$467,'Transaction Overview'!$I$2:$I$467,$A15,'Transaction Overview'!$H$2:$H$467,G$4)</f>
        <v>0</v>
      </c>
      <c r="H15" s="5">
        <f>SUM(B15:G15)</f>
        <v>168266</v>
      </c>
    </row>
    <row r="16" spans="1:8" x14ac:dyDescent="0.25">
      <c r="A16" t="s">
        <v>519</v>
      </c>
      <c r="B16" s="5">
        <f>SUMIFS('Transaction Overview'!$D$2:$D$467,'Transaction Overview'!$I$2:$I$467,$A16,'Transaction Overview'!$H$2:$H$467,B$4)</f>
        <v>0</v>
      </c>
      <c r="C16" s="5">
        <f>SUMIFS('Transaction Overview'!$D$2:$D$467,'Transaction Overview'!$I$2:$I$467,$A16,'Transaction Overview'!$H$2:$H$467,C$4)</f>
        <v>0</v>
      </c>
      <c r="D16" s="5">
        <f>SUMIFS('Transaction Overview'!$D$2:$D$467,'Transaction Overview'!$I$2:$I$467,$A16,'Transaction Overview'!$H$2:$H$467,D$4)</f>
        <v>0</v>
      </c>
      <c r="E16" s="5">
        <f>SUMIFS('Transaction Overview'!$D$2:$D$467,'Transaction Overview'!$I$2:$I$467,$A16,'Transaction Overview'!$H$2:$H$467,E$4)</f>
        <v>266889.44</v>
      </c>
      <c r="F16" s="5">
        <f>SUMIFS('Transaction Overview'!$D$2:$D$467,'Transaction Overview'!$I$2:$I$467,$A16,'Transaction Overview'!$H$2:$H$467,F$4)</f>
        <v>0</v>
      </c>
      <c r="G16" s="5">
        <f>SUMIFS('Transaction Overview'!$D$2:$D$467,'Transaction Overview'!$I$2:$I$467,$A16,'Transaction Overview'!$H$2:$H$467,G$4)</f>
        <v>0</v>
      </c>
      <c r="H16" s="5">
        <f>SUM(B16:G16)</f>
        <v>266889.44</v>
      </c>
    </row>
    <row r="17" spans="1:8" x14ac:dyDescent="0.25">
      <c r="A17" s="16" t="s">
        <v>561</v>
      </c>
      <c r="B17" s="20">
        <f>SUM(B15:B16)</f>
        <v>0</v>
      </c>
      <c r="C17" s="20">
        <f>SUM(C15:C16)</f>
        <v>168266</v>
      </c>
      <c r="D17" s="20">
        <f>SUM(D15:D16)</f>
        <v>0</v>
      </c>
      <c r="E17" s="20">
        <f>SUM(E15:E16)</f>
        <v>266889.44</v>
      </c>
      <c r="F17" s="20">
        <f>SUM(F15:F16)</f>
        <v>0</v>
      </c>
      <c r="G17" s="20">
        <f>SUM(G15:G16)</f>
        <v>0</v>
      </c>
      <c r="H17" s="20">
        <f>SUM(H15:H16)</f>
        <v>435155.44</v>
      </c>
    </row>
    <row r="18" spans="1:8" x14ac:dyDescent="0.25">
      <c r="B18" s="5"/>
      <c r="C18" s="5"/>
      <c r="D18" s="5"/>
      <c r="E18" s="5"/>
      <c r="F18" s="5"/>
      <c r="G18" s="5"/>
      <c r="H18" s="5"/>
    </row>
    <row r="19" spans="1:8" x14ac:dyDescent="0.25">
      <c r="A19" s="15" t="s">
        <v>542</v>
      </c>
      <c r="B19" s="19"/>
      <c r="C19" s="19"/>
      <c r="D19" s="19"/>
      <c r="E19" s="19"/>
      <c r="F19" s="19"/>
      <c r="G19" s="19"/>
      <c r="H19" s="19"/>
    </row>
    <row r="20" spans="1:8" x14ac:dyDescent="0.25">
      <c r="A20" t="s">
        <v>520</v>
      </c>
      <c r="B20" s="5">
        <f>SUMIFS('Transaction Overview'!$D$2:$D$467,'Transaction Overview'!$I$2:$I$467,$A20,'Transaction Overview'!$H$2:$H$467,B$4)</f>
        <v>0</v>
      </c>
      <c r="C20" s="5">
        <f>SUMIFS('Transaction Overview'!$D$2:$D$467,'Transaction Overview'!$I$2:$I$467,$A20,'Transaction Overview'!$H$2:$H$467,C$4)</f>
        <v>0</v>
      </c>
      <c r="D20" s="5">
        <f>SUMIFS('Transaction Overview'!$D$2:$D$467,'Transaction Overview'!$I$2:$I$467,$A20,'Transaction Overview'!$H$2:$H$467,D$4)</f>
        <v>0</v>
      </c>
      <c r="E20" s="5">
        <f>SUMIFS('Transaction Overview'!$D$2:$D$467,'Transaction Overview'!$I$2:$I$467,$A20,'Transaction Overview'!$H$2:$H$467,E$4)</f>
        <v>-16087.5</v>
      </c>
      <c r="F20" s="5">
        <f>SUMIFS('Transaction Overview'!$D$2:$D$467,'Transaction Overview'!$I$2:$I$467,$A20,'Transaction Overview'!$H$2:$H$467,F$4)</f>
        <v>0</v>
      </c>
      <c r="G20" s="5">
        <f>SUMIFS('Transaction Overview'!$D$2:$D$467,'Transaction Overview'!$I$2:$I$467,$A20,'Transaction Overview'!$H$2:$H$467,G$4)</f>
        <v>0</v>
      </c>
      <c r="H20" s="5">
        <f>SUM(B20:G20)</f>
        <v>-16087.5</v>
      </c>
    </row>
    <row r="21" spans="1:8" x14ac:dyDescent="0.25">
      <c r="A21" t="s">
        <v>508</v>
      </c>
      <c r="B21" s="5">
        <f>SUMIFS('Transaction Overview'!$D$2:$D$467,'Transaction Overview'!$I$2:$I$467,$A21,'Transaction Overview'!$H$2:$H$467,B$4)</f>
        <v>-6000</v>
      </c>
      <c r="C21" s="5">
        <f>SUMIFS('Transaction Overview'!$D$2:$D$467,'Transaction Overview'!$I$2:$I$467,$A21,'Transaction Overview'!$H$2:$H$467,C$4)</f>
        <v>0</v>
      </c>
      <c r="D21" s="5">
        <f>SUMIFS('Transaction Overview'!$D$2:$D$467,'Transaction Overview'!$I$2:$I$467,$A21,'Transaction Overview'!$H$2:$H$467,D$4)</f>
        <v>0</v>
      </c>
      <c r="E21" s="5">
        <f>SUMIFS('Transaction Overview'!$D$2:$D$467,'Transaction Overview'!$I$2:$I$467,$A21,'Transaction Overview'!$H$2:$H$467,E$4)</f>
        <v>0</v>
      </c>
      <c r="F21" s="5">
        <f>SUMIFS('Transaction Overview'!$D$2:$D$467,'Transaction Overview'!$I$2:$I$467,$A21,'Transaction Overview'!$H$2:$H$467,F$4)</f>
        <v>0</v>
      </c>
      <c r="G21" s="5">
        <f>SUMIFS('Transaction Overview'!$D$2:$D$467,'Transaction Overview'!$I$2:$I$467,$A21,'Transaction Overview'!$H$2:$H$467,G$4)</f>
        <v>0</v>
      </c>
      <c r="H21" s="5">
        <f>SUM(B21:G21)</f>
        <v>-6000</v>
      </c>
    </row>
    <row r="22" spans="1:8" x14ac:dyDescent="0.25">
      <c r="A22" t="s">
        <v>484</v>
      </c>
      <c r="B22" s="5">
        <f>SUMIFS('Transaction Overview'!$D$2:$D$467,'Transaction Overview'!$I$2:$I$467,$A22,'Transaction Overview'!$H$2:$H$467,B$4)</f>
        <v>0</v>
      </c>
      <c r="C22" s="5">
        <f>SUMIFS('Transaction Overview'!$D$2:$D$467,'Transaction Overview'!$I$2:$I$467,$A22,'Transaction Overview'!$H$2:$H$467,C$4)</f>
        <v>0</v>
      </c>
      <c r="D22" s="5">
        <f>SUMIFS('Transaction Overview'!$D$2:$D$467,'Transaction Overview'!$I$2:$I$467,$A22,'Transaction Overview'!$H$2:$H$467,D$4)</f>
        <v>0</v>
      </c>
      <c r="E22" s="5">
        <f>SUMIFS('Transaction Overview'!$D$2:$D$467,'Transaction Overview'!$I$2:$I$467,$A22,'Transaction Overview'!$H$2:$H$467,E$4)</f>
        <v>-1500</v>
      </c>
      <c r="F22" s="5">
        <f>SUMIFS('Transaction Overview'!$D$2:$D$467,'Transaction Overview'!$I$2:$I$467,$A22,'Transaction Overview'!$H$2:$H$467,F$4)</f>
        <v>0</v>
      </c>
      <c r="G22" s="5">
        <f>SUMIFS('Transaction Overview'!$D$2:$D$467,'Transaction Overview'!$I$2:$I$467,$A22,'Transaction Overview'!$H$2:$H$467,G$4)</f>
        <v>0</v>
      </c>
      <c r="H22" s="5">
        <f>SUM(B22:G22)</f>
        <v>-1500</v>
      </c>
    </row>
    <row r="23" spans="1:8" x14ac:dyDescent="0.25">
      <c r="A23" s="16" t="s">
        <v>562</v>
      </c>
      <c r="B23" s="20">
        <f>SUM(B20:B22)</f>
        <v>-6000</v>
      </c>
      <c r="C23" s="20">
        <f>SUM(C20:C22)</f>
        <v>0</v>
      </c>
      <c r="D23" s="20">
        <f>SUM(D20:D22)</f>
        <v>0</v>
      </c>
      <c r="E23" s="20">
        <f>SUM(E20:E22)</f>
        <v>-17587.5</v>
      </c>
      <c r="F23" s="20">
        <f>SUM(F20:F22)</f>
        <v>0</v>
      </c>
      <c r="G23" s="20">
        <f>SUM(G20:G22)</f>
        <v>0</v>
      </c>
      <c r="H23" s="20">
        <f>SUM(H20:H22)</f>
        <v>-23587.5</v>
      </c>
    </row>
    <row r="24" spans="1:8" x14ac:dyDescent="0.25">
      <c r="B24" s="5"/>
      <c r="C24" s="5"/>
      <c r="D24" s="5"/>
      <c r="E24" s="5"/>
      <c r="F24" s="5"/>
      <c r="G24" s="5"/>
      <c r="H24" s="5"/>
    </row>
    <row r="25" spans="1:8" x14ac:dyDescent="0.25">
      <c r="A25" s="15" t="s">
        <v>543</v>
      </c>
      <c r="B25" s="19"/>
      <c r="C25" s="19"/>
      <c r="D25" s="19"/>
      <c r="E25" s="19"/>
      <c r="F25" s="19"/>
      <c r="G25" s="19"/>
      <c r="H25" s="19"/>
    </row>
    <row r="26" spans="1:8" x14ac:dyDescent="0.25">
      <c r="A26" t="s">
        <v>528</v>
      </c>
      <c r="B26" s="5">
        <f>SUMIFS('Transaction Overview'!$D$2:$D$467,'Transaction Overview'!$I$2:$I$467,$A26,'Transaction Overview'!$H$2:$H$467,B$4)</f>
        <v>0</v>
      </c>
      <c r="C26" s="5">
        <f>SUMIFS('Transaction Overview'!$D$2:$D$467,'Transaction Overview'!$I$2:$I$467,$A26,'Transaction Overview'!$H$2:$H$467,C$4)</f>
        <v>5000</v>
      </c>
      <c r="D26" s="5">
        <f>SUMIFS('Transaction Overview'!$D$2:$D$467,'Transaction Overview'!$I$2:$I$467,$A26,'Transaction Overview'!$H$2:$H$467,D$4)</f>
        <v>0</v>
      </c>
      <c r="E26" s="5">
        <f>SUMIFS('Transaction Overview'!$D$2:$D$467,'Transaction Overview'!$I$2:$I$467,$A26,'Transaction Overview'!$H$2:$H$467,E$4)</f>
        <v>0</v>
      </c>
      <c r="F26" s="5">
        <f>SUMIFS('Transaction Overview'!$D$2:$D$467,'Transaction Overview'!$I$2:$I$467,$A26,'Transaction Overview'!$H$2:$H$467,F$4)</f>
        <v>0</v>
      </c>
      <c r="G26" s="5">
        <f>SUMIFS('Transaction Overview'!$D$2:$D$467,'Transaction Overview'!$I$2:$I$467,$A26,'Transaction Overview'!$H$2:$H$467,G$4)</f>
        <v>0</v>
      </c>
      <c r="H26" s="5">
        <f>SUM(B26:G26)</f>
        <v>5000</v>
      </c>
    </row>
    <row r="27" spans="1:8" x14ac:dyDescent="0.25">
      <c r="A27" t="s">
        <v>486</v>
      </c>
      <c r="B27" s="5">
        <f>SUMIFS('Transaction Overview'!$D$2:$D$467,'Transaction Overview'!$I$2:$I$467,$A27,'Transaction Overview'!$H$2:$H$467,B$4)</f>
        <v>0</v>
      </c>
      <c r="C27" s="5">
        <f>SUMIFS('Transaction Overview'!$D$2:$D$467,'Transaction Overview'!$I$2:$I$467,$A27,'Transaction Overview'!$H$2:$H$467,C$4)</f>
        <v>-5000</v>
      </c>
      <c r="D27" s="5">
        <f>SUMIFS('Transaction Overview'!$D$2:$D$467,'Transaction Overview'!$I$2:$I$467,$A27,'Transaction Overview'!$H$2:$H$467,D$4)</f>
        <v>0</v>
      </c>
      <c r="E27" s="5">
        <f>SUMIFS('Transaction Overview'!$D$2:$D$467,'Transaction Overview'!$I$2:$I$467,$A27,'Transaction Overview'!$H$2:$H$467,E$4)</f>
        <v>-5000</v>
      </c>
      <c r="F27" s="5">
        <f>SUMIFS('Transaction Overview'!$D$2:$D$467,'Transaction Overview'!$I$2:$I$467,$A27,'Transaction Overview'!$H$2:$H$467,F$4)</f>
        <v>0</v>
      </c>
      <c r="G27" s="5">
        <f>SUMIFS('Transaction Overview'!$D$2:$D$467,'Transaction Overview'!$I$2:$I$467,$A27,'Transaction Overview'!$H$2:$H$467,G$4)</f>
        <v>0</v>
      </c>
      <c r="H27" s="5">
        <f>SUM(B27:G27)</f>
        <v>-10000</v>
      </c>
    </row>
    <row r="28" spans="1:8" x14ac:dyDescent="0.25">
      <c r="A28" t="s">
        <v>518</v>
      </c>
      <c r="B28" s="5">
        <f>SUMIFS('Transaction Overview'!$D$2:$D$467,'Transaction Overview'!$I$2:$I$467,$A28,'Transaction Overview'!$H$2:$H$467,B$4)</f>
        <v>0</v>
      </c>
      <c r="C28" s="5">
        <f>SUMIFS('Transaction Overview'!$D$2:$D$467,'Transaction Overview'!$I$2:$I$467,$A28,'Transaction Overview'!$H$2:$H$467,C$4)</f>
        <v>0</v>
      </c>
      <c r="D28" s="5">
        <f>SUMIFS('Transaction Overview'!$D$2:$D$467,'Transaction Overview'!$I$2:$I$467,$A28,'Transaction Overview'!$H$2:$H$467,D$4)</f>
        <v>0</v>
      </c>
      <c r="E28" s="5">
        <f>SUMIFS('Transaction Overview'!$D$2:$D$467,'Transaction Overview'!$I$2:$I$467,$A28,'Transaction Overview'!$H$2:$H$467,E$4)</f>
        <v>15000</v>
      </c>
      <c r="F28" s="5">
        <f>SUMIFS('Transaction Overview'!$D$2:$D$467,'Transaction Overview'!$I$2:$I$467,$A28,'Transaction Overview'!$H$2:$H$467,F$4)</f>
        <v>0</v>
      </c>
      <c r="G28" s="5">
        <f>SUMIFS('Transaction Overview'!$D$2:$D$467,'Transaction Overview'!$I$2:$I$467,$A28,'Transaction Overview'!$H$2:$H$467,G$4)</f>
        <v>0</v>
      </c>
      <c r="H28" s="5">
        <f>SUM(B28:G28)</f>
        <v>15000</v>
      </c>
    </row>
    <row r="29" spans="1:8" x14ac:dyDescent="0.25">
      <c r="A29" s="16" t="s">
        <v>563</v>
      </c>
      <c r="B29" s="20">
        <f>SUM(B26:B28)</f>
        <v>0</v>
      </c>
      <c r="C29" s="20">
        <f>SUM(C26:C28)</f>
        <v>0</v>
      </c>
      <c r="D29" s="20">
        <f>SUM(D26:D28)</f>
        <v>0</v>
      </c>
      <c r="E29" s="20">
        <f>SUM(E26:E28)</f>
        <v>10000</v>
      </c>
      <c r="F29" s="20">
        <f>SUM(F26:F28)</f>
        <v>0</v>
      </c>
      <c r="G29" s="20">
        <f>SUM(G26:G28)</f>
        <v>0</v>
      </c>
      <c r="H29" s="20">
        <f>SUM(H26:H28)</f>
        <v>10000</v>
      </c>
    </row>
    <row r="30" spans="1:8" x14ac:dyDescent="0.25">
      <c r="B30" s="5"/>
      <c r="C30" s="5"/>
      <c r="D30" s="5"/>
      <c r="E30" s="5"/>
      <c r="F30" s="5"/>
      <c r="G30" s="5"/>
      <c r="H30" s="5"/>
    </row>
    <row r="31" spans="1:8" x14ac:dyDescent="0.25">
      <c r="A31" s="15" t="s">
        <v>541</v>
      </c>
      <c r="B31" s="19"/>
      <c r="C31" s="19"/>
      <c r="D31" s="19"/>
      <c r="E31" s="19"/>
      <c r="F31" s="19"/>
      <c r="G31" s="19"/>
      <c r="H31" s="19"/>
    </row>
    <row r="32" spans="1:8" x14ac:dyDescent="0.25">
      <c r="A32" t="s">
        <v>514</v>
      </c>
      <c r="B32" s="5">
        <f>SUMIFS('Transaction Overview'!$D$2:$D$467,'Transaction Overview'!$I$2:$I$467,$A32,'Transaction Overview'!$H$2:$H$467,B$4)</f>
        <v>0</v>
      </c>
      <c r="C32" s="5">
        <f>SUMIFS('Transaction Overview'!$D$2:$D$467,'Transaction Overview'!$I$2:$I$467,$A32,'Transaction Overview'!$H$2:$H$467,C$4)</f>
        <v>20000</v>
      </c>
      <c r="D32" s="5">
        <f>SUMIFS('Transaction Overview'!$D$2:$D$467,'Transaction Overview'!$I$2:$I$467,$A32,'Transaction Overview'!$H$2:$H$467,D$4)</f>
        <v>0</v>
      </c>
      <c r="E32" s="5">
        <f>SUMIFS('Transaction Overview'!$D$2:$D$467,'Transaction Overview'!$I$2:$I$467,$A32,'Transaction Overview'!$H$2:$H$467,E$4)</f>
        <v>0</v>
      </c>
      <c r="F32" s="5">
        <f>SUMIFS('Transaction Overview'!$D$2:$D$467,'Transaction Overview'!$I$2:$I$467,$A32,'Transaction Overview'!$H$2:$H$467,F$4)</f>
        <v>0</v>
      </c>
      <c r="G32" s="5">
        <f>SUMIFS('Transaction Overview'!$D$2:$D$467,'Transaction Overview'!$I$2:$I$467,$A32,'Transaction Overview'!$H$2:$H$467,G$4)</f>
        <v>0</v>
      </c>
      <c r="H32" s="5">
        <f>SUM(B32:G32)</f>
        <v>20000</v>
      </c>
    </row>
    <row r="33" spans="1:8" x14ac:dyDescent="0.25">
      <c r="A33" t="s">
        <v>530</v>
      </c>
      <c r="B33" s="5">
        <f>SUMIFS('Transaction Overview'!$D$2:$D$467,'Transaction Overview'!$I$2:$I$467,$A33,'Transaction Overview'!$H$2:$H$467,B$4)</f>
        <v>0</v>
      </c>
      <c r="C33" s="5">
        <f>SUMIFS('Transaction Overview'!$D$2:$D$467,'Transaction Overview'!$I$2:$I$467,$A33,'Transaction Overview'!$H$2:$H$467,C$4)</f>
        <v>58370.85</v>
      </c>
      <c r="D33" s="5">
        <f>SUMIFS('Transaction Overview'!$D$2:$D$467,'Transaction Overview'!$I$2:$I$467,$A33,'Transaction Overview'!$H$2:$H$467,D$4)</f>
        <v>0</v>
      </c>
      <c r="E33" s="5">
        <f>SUMIFS('Transaction Overview'!$D$2:$D$467,'Transaction Overview'!$I$2:$I$467,$A33,'Transaction Overview'!$H$2:$H$467,E$4)</f>
        <v>0</v>
      </c>
      <c r="F33" s="5">
        <f>SUMIFS('Transaction Overview'!$D$2:$D$467,'Transaction Overview'!$I$2:$I$467,$A33,'Transaction Overview'!$H$2:$H$467,F$4)</f>
        <v>0</v>
      </c>
      <c r="G33" s="5">
        <f>SUMIFS('Transaction Overview'!$D$2:$D$467,'Transaction Overview'!$I$2:$I$467,$A33,'Transaction Overview'!$H$2:$H$467,G$4)</f>
        <v>0</v>
      </c>
      <c r="H33" s="5">
        <f>SUM(B33:G33)</f>
        <v>58370.85</v>
      </c>
    </row>
    <row r="34" spans="1:8" x14ac:dyDescent="0.25">
      <c r="A34" t="s">
        <v>507</v>
      </c>
      <c r="B34" s="5">
        <f>SUMIFS('Transaction Overview'!$D$2:$D$467,'Transaction Overview'!$I$2:$I$467,$A34,'Transaction Overview'!$H$2:$H$467,B$4)</f>
        <v>16000</v>
      </c>
      <c r="C34" s="5">
        <f>SUMIFS('Transaction Overview'!$D$2:$D$467,'Transaction Overview'!$I$2:$I$467,$A34,'Transaction Overview'!$H$2:$H$467,C$4)</f>
        <v>0</v>
      </c>
      <c r="D34" s="5">
        <f>SUMIFS('Transaction Overview'!$D$2:$D$467,'Transaction Overview'!$I$2:$I$467,$A34,'Transaction Overview'!$H$2:$H$467,D$4)</f>
        <v>0</v>
      </c>
      <c r="E34" s="5">
        <f>SUMIFS('Transaction Overview'!$D$2:$D$467,'Transaction Overview'!$I$2:$I$467,$A34,'Transaction Overview'!$H$2:$H$467,E$4)</f>
        <v>0</v>
      </c>
      <c r="F34" s="5">
        <f>SUMIFS('Transaction Overview'!$D$2:$D$467,'Transaction Overview'!$I$2:$I$467,$A34,'Transaction Overview'!$H$2:$H$467,F$4)</f>
        <v>0</v>
      </c>
      <c r="G34" s="5">
        <f>SUMIFS('Transaction Overview'!$D$2:$D$467,'Transaction Overview'!$I$2:$I$467,$A34,'Transaction Overview'!$H$2:$H$467,G$4)</f>
        <v>0</v>
      </c>
      <c r="H34" s="5">
        <f>SUM(B34:G34)</f>
        <v>16000</v>
      </c>
    </row>
    <row r="35" spans="1:8" x14ac:dyDescent="0.25">
      <c r="A35" s="16" t="s">
        <v>564</v>
      </c>
      <c r="B35" s="20">
        <f>SUM(B32:B34)</f>
        <v>16000</v>
      </c>
      <c r="C35" s="20">
        <f>SUM(C32:C34)</f>
        <v>78370.850000000006</v>
      </c>
      <c r="D35" s="20">
        <f>SUM(D32:D34)</f>
        <v>0</v>
      </c>
      <c r="E35" s="20">
        <f>SUM(E32:E34)</f>
        <v>0</v>
      </c>
      <c r="F35" s="20">
        <f>SUM(F32:F34)</f>
        <v>0</v>
      </c>
      <c r="G35" s="20">
        <f>SUM(G32:G34)</f>
        <v>0</v>
      </c>
      <c r="H35" s="20">
        <f>SUM(H32:H34)</f>
        <v>94370.85</v>
      </c>
    </row>
    <row r="36" spans="1:8" x14ac:dyDescent="0.25">
      <c r="B36" s="5"/>
      <c r="C36" s="5"/>
      <c r="D36" s="5"/>
      <c r="E36" s="5"/>
      <c r="F36" s="5"/>
      <c r="G36" s="5"/>
      <c r="H36" s="5"/>
    </row>
    <row r="37" spans="1:8" x14ac:dyDescent="0.25">
      <c r="A37" s="15" t="s">
        <v>548</v>
      </c>
      <c r="B37" s="19"/>
      <c r="C37" s="19"/>
      <c r="D37" s="19"/>
      <c r="E37" s="19"/>
      <c r="F37" s="19"/>
      <c r="G37" s="19"/>
      <c r="H37" s="19"/>
    </row>
    <row r="38" spans="1:8" x14ac:dyDescent="0.25">
      <c r="A38" t="s">
        <v>529</v>
      </c>
      <c r="B38" s="5">
        <f>SUMIFS('Transaction Overview'!$D$2:$D$467,'Transaction Overview'!$I$2:$I$467,$A38,'Transaction Overview'!$H$2:$H$467,B$4)</f>
        <v>0</v>
      </c>
      <c r="C38" s="5">
        <f>SUMIFS('Transaction Overview'!$D$2:$D$467,'Transaction Overview'!$I$2:$I$467,$A38,'Transaction Overview'!$H$2:$H$467,C$4)</f>
        <v>-56670.85</v>
      </c>
      <c r="D38" s="5">
        <f>SUMIFS('Transaction Overview'!$D$2:$D$467,'Transaction Overview'!$I$2:$I$467,$A38,'Transaction Overview'!$H$2:$H$467,D$4)</f>
        <v>0</v>
      </c>
      <c r="E38" s="5">
        <f>SUMIFS('Transaction Overview'!$D$2:$D$467,'Transaction Overview'!$I$2:$I$467,$A38,'Transaction Overview'!$H$2:$H$467,E$4)</f>
        <v>0</v>
      </c>
      <c r="F38" s="5">
        <f>SUMIFS('Transaction Overview'!$D$2:$D$467,'Transaction Overview'!$I$2:$I$467,$A38,'Transaction Overview'!$H$2:$H$467,F$4)</f>
        <v>0</v>
      </c>
      <c r="G38" s="5">
        <f>SUMIFS('Transaction Overview'!$D$2:$D$467,'Transaction Overview'!$I$2:$I$467,$A38,'Transaction Overview'!$H$2:$H$467,G$4)</f>
        <v>0</v>
      </c>
      <c r="H38" s="5">
        <f>SUM(B38:G38)</f>
        <v>-56670.85</v>
      </c>
    </row>
    <row r="39" spans="1:8" x14ac:dyDescent="0.25">
      <c r="A39" t="s">
        <v>523</v>
      </c>
      <c r="B39" s="5">
        <f>SUMIFS('Transaction Overview'!$D$2:$D$467,'Transaction Overview'!$I$2:$I$467,$A39,'Transaction Overview'!$H$2:$H$467,B$4)</f>
        <v>0</v>
      </c>
      <c r="C39" s="5">
        <f>SUMIFS('Transaction Overview'!$D$2:$D$467,'Transaction Overview'!$I$2:$I$467,$A39,'Transaction Overview'!$H$2:$H$467,C$4)</f>
        <v>-10000</v>
      </c>
      <c r="D39" s="5">
        <f>SUMIFS('Transaction Overview'!$D$2:$D$467,'Transaction Overview'!$I$2:$I$467,$A39,'Transaction Overview'!$H$2:$H$467,D$4)</f>
        <v>0</v>
      </c>
      <c r="E39" s="5">
        <f>SUMIFS('Transaction Overview'!$D$2:$D$467,'Transaction Overview'!$I$2:$I$467,$A39,'Transaction Overview'!$H$2:$H$467,E$4)</f>
        <v>0</v>
      </c>
      <c r="F39" s="5">
        <f>SUMIFS('Transaction Overview'!$D$2:$D$467,'Transaction Overview'!$I$2:$I$467,$A39,'Transaction Overview'!$H$2:$H$467,F$4)</f>
        <v>0</v>
      </c>
      <c r="G39" s="5">
        <f>SUMIFS('Transaction Overview'!$D$2:$D$467,'Transaction Overview'!$I$2:$I$467,$A39,'Transaction Overview'!$H$2:$H$467,G$4)</f>
        <v>0</v>
      </c>
      <c r="H39" s="5">
        <f>SUM(B39:G39)</f>
        <v>-10000</v>
      </c>
    </row>
    <row r="40" spans="1:8" x14ac:dyDescent="0.25">
      <c r="A40" t="s">
        <v>527</v>
      </c>
      <c r="B40" s="5">
        <f>SUMIFS('Transaction Overview'!$D$2:$D$467,'Transaction Overview'!$I$2:$I$467,$A40,'Transaction Overview'!$H$2:$H$467,B$4)</f>
        <v>0</v>
      </c>
      <c r="C40" s="5">
        <f>SUMIFS('Transaction Overview'!$D$2:$D$467,'Transaction Overview'!$I$2:$I$467,$A40,'Transaction Overview'!$H$2:$H$467,C$4)</f>
        <v>-10000</v>
      </c>
      <c r="D40" s="5">
        <f>SUMIFS('Transaction Overview'!$D$2:$D$467,'Transaction Overview'!$I$2:$I$467,$A40,'Transaction Overview'!$H$2:$H$467,D$4)</f>
        <v>0</v>
      </c>
      <c r="E40" s="5">
        <f>SUMIFS('Transaction Overview'!$D$2:$D$467,'Transaction Overview'!$I$2:$I$467,$A40,'Transaction Overview'!$H$2:$H$467,E$4)</f>
        <v>0</v>
      </c>
      <c r="F40" s="5">
        <f>SUMIFS('Transaction Overview'!$D$2:$D$467,'Transaction Overview'!$I$2:$I$467,$A40,'Transaction Overview'!$H$2:$H$467,F$4)</f>
        <v>0</v>
      </c>
      <c r="G40" s="5">
        <f>SUMIFS('Transaction Overview'!$D$2:$D$467,'Transaction Overview'!$I$2:$I$467,$A40,'Transaction Overview'!$H$2:$H$467,G$4)</f>
        <v>0</v>
      </c>
      <c r="H40" s="5">
        <f>SUM(B40:G40)</f>
        <v>-10000</v>
      </c>
    </row>
    <row r="41" spans="1:8" x14ac:dyDescent="0.25">
      <c r="A41" s="16" t="s">
        <v>565</v>
      </c>
      <c r="B41" s="20">
        <f>SUM(B38:B40)</f>
        <v>0</v>
      </c>
      <c r="C41" s="20">
        <f>SUM(C38:C40)</f>
        <v>-76670.850000000006</v>
      </c>
      <c r="D41" s="20">
        <f>SUM(D38:D40)</f>
        <v>0</v>
      </c>
      <c r="E41" s="20">
        <f>SUM(E38:E40)</f>
        <v>0</v>
      </c>
      <c r="F41" s="20">
        <f>SUM(F38:F40)</f>
        <v>0</v>
      </c>
      <c r="G41" s="20">
        <f>SUM(G38:G40)</f>
        <v>0</v>
      </c>
      <c r="H41" s="20">
        <f>SUM(H38:H40)</f>
        <v>-76670.850000000006</v>
      </c>
    </row>
    <row r="42" spans="1:8" x14ac:dyDescent="0.25">
      <c r="B42" s="5"/>
      <c r="C42" s="5"/>
      <c r="D42" s="5"/>
      <c r="E42" s="5"/>
      <c r="F42" s="5"/>
      <c r="G42" s="5"/>
      <c r="H42" s="5"/>
    </row>
    <row r="43" spans="1:8" x14ac:dyDescent="0.25">
      <c r="A43" s="15" t="s">
        <v>546</v>
      </c>
      <c r="B43" s="19"/>
      <c r="C43" s="19"/>
      <c r="D43" s="19"/>
      <c r="E43" s="19"/>
      <c r="F43" s="19"/>
      <c r="G43" s="19"/>
      <c r="H43" s="19"/>
    </row>
    <row r="44" spans="1:8" x14ac:dyDescent="0.25">
      <c r="A44" t="s">
        <v>495</v>
      </c>
      <c r="B44" s="5">
        <f>SUMIFS('Transaction Overview'!$D$2:$D$467,'Transaction Overview'!$I$2:$I$467,$A44,'Transaction Overview'!$H$2:$H$467,B$4)</f>
        <v>0</v>
      </c>
      <c r="C44" s="5">
        <f>SUMIFS('Transaction Overview'!$D$2:$D$467,'Transaction Overview'!$I$2:$I$467,$A44,'Transaction Overview'!$H$2:$H$467,C$4)</f>
        <v>8556.41</v>
      </c>
      <c r="D44" s="5">
        <f>SUMIFS('Transaction Overview'!$D$2:$D$467,'Transaction Overview'!$I$2:$I$467,$A44,'Transaction Overview'!$H$2:$H$467,D$4)</f>
        <v>0</v>
      </c>
      <c r="E44" s="5">
        <f>SUMIFS('Transaction Overview'!$D$2:$D$467,'Transaction Overview'!$I$2:$I$467,$A44,'Transaction Overview'!$H$2:$H$467,E$4)</f>
        <v>0</v>
      </c>
      <c r="F44" s="5">
        <f>SUMIFS('Transaction Overview'!$D$2:$D$467,'Transaction Overview'!$I$2:$I$467,$A44,'Transaction Overview'!$H$2:$H$467,F$4)</f>
        <v>0</v>
      </c>
      <c r="G44" s="5">
        <f>SUMIFS('Transaction Overview'!$D$2:$D$467,'Transaction Overview'!$I$2:$I$467,$A44,'Transaction Overview'!$H$2:$H$467,G$4)</f>
        <v>0</v>
      </c>
      <c r="H44" s="5">
        <f>SUM(B44:G44)</f>
        <v>8556.41</v>
      </c>
    </row>
    <row r="45" spans="1:8" x14ac:dyDescent="0.25">
      <c r="A45" t="s">
        <v>497</v>
      </c>
      <c r="B45" s="5">
        <f>SUMIFS('Transaction Overview'!$D$2:$D$467,'Transaction Overview'!$I$2:$I$467,$A45,'Transaction Overview'!$H$2:$H$467,B$4)</f>
        <v>2000</v>
      </c>
      <c r="C45" s="5">
        <f>SUMIFS('Transaction Overview'!$D$2:$D$467,'Transaction Overview'!$I$2:$I$467,$A45,'Transaction Overview'!$H$2:$H$467,C$4)</f>
        <v>0</v>
      </c>
      <c r="D45" s="5">
        <f>SUMIFS('Transaction Overview'!$D$2:$D$467,'Transaction Overview'!$I$2:$I$467,$A45,'Transaction Overview'!$H$2:$H$467,D$4)</f>
        <v>0</v>
      </c>
      <c r="E45" s="5">
        <f>SUMIFS('Transaction Overview'!$D$2:$D$467,'Transaction Overview'!$I$2:$I$467,$A45,'Transaction Overview'!$H$2:$H$467,E$4)</f>
        <v>0</v>
      </c>
      <c r="F45" s="5">
        <f>SUMIFS('Transaction Overview'!$D$2:$D$467,'Transaction Overview'!$I$2:$I$467,$A45,'Transaction Overview'!$H$2:$H$467,F$4)</f>
        <v>0</v>
      </c>
      <c r="G45" s="5">
        <f>SUMIFS('Transaction Overview'!$D$2:$D$467,'Transaction Overview'!$I$2:$I$467,$A45,'Transaction Overview'!$H$2:$H$467,G$4)</f>
        <v>0</v>
      </c>
      <c r="H45" s="5">
        <f>SUM(B45:G45)</f>
        <v>2000</v>
      </c>
    </row>
    <row r="46" spans="1:8" x14ac:dyDescent="0.25">
      <c r="A46" t="s">
        <v>485</v>
      </c>
      <c r="B46" s="5">
        <f>SUMIFS('Transaction Overview'!$D$2:$D$467,'Transaction Overview'!$I$2:$I$467,$A46,'Transaction Overview'!$H$2:$H$467,B$4)</f>
        <v>0</v>
      </c>
      <c r="C46" s="5">
        <f>SUMIFS('Transaction Overview'!$D$2:$D$467,'Transaction Overview'!$I$2:$I$467,$A46,'Transaction Overview'!$H$2:$H$467,C$4)</f>
        <v>0</v>
      </c>
      <c r="D46" s="5">
        <f>SUMIFS('Transaction Overview'!$D$2:$D$467,'Transaction Overview'!$I$2:$I$467,$A46,'Transaction Overview'!$H$2:$H$467,D$4)</f>
        <v>0</v>
      </c>
      <c r="E46" s="5">
        <f>SUMIFS('Transaction Overview'!$D$2:$D$467,'Transaction Overview'!$I$2:$I$467,$A46,'Transaction Overview'!$H$2:$H$467,E$4)</f>
        <v>11450</v>
      </c>
      <c r="F46" s="5">
        <f>SUMIFS('Transaction Overview'!$D$2:$D$467,'Transaction Overview'!$I$2:$I$467,$A46,'Transaction Overview'!$H$2:$H$467,F$4)</f>
        <v>0</v>
      </c>
      <c r="G46" s="5">
        <f>SUMIFS('Transaction Overview'!$D$2:$D$467,'Transaction Overview'!$I$2:$I$467,$A46,'Transaction Overview'!$H$2:$H$467,G$4)</f>
        <v>0</v>
      </c>
      <c r="H46" s="5">
        <f>SUM(B46:G46)</f>
        <v>11450</v>
      </c>
    </row>
    <row r="47" spans="1:8" x14ac:dyDescent="0.25">
      <c r="A47" t="s">
        <v>489</v>
      </c>
      <c r="B47" s="5">
        <f>SUMIFS('Transaction Overview'!$D$2:$D$467,'Transaction Overview'!$I$2:$I$467,$A47,'Transaction Overview'!$H$2:$H$467,B$4)</f>
        <v>0</v>
      </c>
      <c r="C47" s="5">
        <f>SUMIFS('Transaction Overview'!$D$2:$D$467,'Transaction Overview'!$I$2:$I$467,$A47,'Transaction Overview'!$H$2:$H$467,C$4)</f>
        <v>50000</v>
      </c>
      <c r="D47" s="5">
        <f>SUMIFS('Transaction Overview'!$D$2:$D$467,'Transaction Overview'!$I$2:$I$467,$A47,'Transaction Overview'!$H$2:$H$467,D$4)</f>
        <v>50000</v>
      </c>
      <c r="E47" s="5">
        <f>SUMIFS('Transaction Overview'!$D$2:$D$467,'Transaction Overview'!$I$2:$I$467,$A47,'Transaction Overview'!$H$2:$H$467,E$4)</f>
        <v>0</v>
      </c>
      <c r="F47" s="5">
        <f>SUMIFS('Transaction Overview'!$D$2:$D$467,'Transaction Overview'!$I$2:$I$467,$A47,'Transaction Overview'!$H$2:$H$467,F$4)</f>
        <v>0</v>
      </c>
      <c r="G47" s="5">
        <f>SUMIFS('Transaction Overview'!$D$2:$D$467,'Transaction Overview'!$I$2:$I$467,$A47,'Transaction Overview'!$H$2:$H$467,G$4)</f>
        <v>0</v>
      </c>
      <c r="H47" s="5">
        <f>SUM(B47:G47)</f>
        <v>100000</v>
      </c>
    </row>
    <row r="48" spans="1:8" x14ac:dyDescent="0.25">
      <c r="A48" t="s">
        <v>504</v>
      </c>
      <c r="B48" s="5">
        <f>SUMIFS('Transaction Overview'!$D$2:$D$467,'Transaction Overview'!$I$2:$I$467,$A48,'Transaction Overview'!$H$2:$H$467,B$4)</f>
        <v>0</v>
      </c>
      <c r="C48" s="5">
        <f>SUMIFS('Transaction Overview'!$D$2:$D$467,'Transaction Overview'!$I$2:$I$467,$A48,'Transaction Overview'!$H$2:$H$467,C$4)</f>
        <v>0</v>
      </c>
      <c r="D48" s="5">
        <f>SUMIFS('Transaction Overview'!$D$2:$D$467,'Transaction Overview'!$I$2:$I$467,$A48,'Transaction Overview'!$H$2:$H$467,D$4)</f>
        <v>0</v>
      </c>
      <c r="E48" s="5">
        <f>SUMIFS('Transaction Overview'!$D$2:$D$467,'Transaction Overview'!$I$2:$I$467,$A48,'Transaction Overview'!$H$2:$H$467,E$4)</f>
        <v>0</v>
      </c>
      <c r="F48" s="5">
        <f>SUMIFS('Transaction Overview'!$D$2:$D$467,'Transaction Overview'!$I$2:$I$467,$A48,'Transaction Overview'!$H$2:$H$467,F$4)</f>
        <v>-20000</v>
      </c>
      <c r="G48" s="5">
        <f>SUMIFS('Transaction Overview'!$D$2:$D$467,'Transaction Overview'!$I$2:$I$467,$A48,'Transaction Overview'!$H$2:$H$467,G$4)</f>
        <v>0</v>
      </c>
      <c r="H48" s="5">
        <f>SUM(B48:G48)</f>
        <v>-20000</v>
      </c>
    </row>
    <row r="49" spans="1:8" x14ac:dyDescent="0.25">
      <c r="A49" t="s">
        <v>479</v>
      </c>
      <c r="B49" s="5">
        <f>SUMIFS('Transaction Overview'!$D$2:$D$467,'Transaction Overview'!$I$2:$I$467,$A49,'Transaction Overview'!$H$2:$H$467,B$4)</f>
        <v>-70000</v>
      </c>
      <c r="C49" s="5">
        <f>SUMIFS('Transaction Overview'!$D$2:$D$467,'Transaction Overview'!$I$2:$I$467,$A49,'Transaction Overview'!$H$2:$H$467,C$4)</f>
        <v>-68556.41</v>
      </c>
      <c r="D49" s="5">
        <f>SUMIFS('Transaction Overview'!$D$2:$D$467,'Transaction Overview'!$I$2:$I$467,$A49,'Transaction Overview'!$H$2:$H$467,D$4)</f>
        <v>-55000</v>
      </c>
      <c r="E49" s="5">
        <f>SUMIFS('Transaction Overview'!$D$2:$D$467,'Transaction Overview'!$I$2:$I$467,$A49,'Transaction Overview'!$H$2:$H$467,E$4)</f>
        <v>-75000</v>
      </c>
      <c r="F49" s="5">
        <f>SUMIFS('Transaction Overview'!$D$2:$D$467,'Transaction Overview'!$I$2:$I$467,$A49,'Transaction Overview'!$H$2:$H$467,F$4)</f>
        <v>0</v>
      </c>
      <c r="G49" s="5">
        <f>SUMIFS('Transaction Overview'!$D$2:$D$467,'Transaction Overview'!$I$2:$I$467,$A49,'Transaction Overview'!$H$2:$H$467,G$4)</f>
        <v>-30000</v>
      </c>
      <c r="H49" s="5">
        <f>SUM(B49:G49)</f>
        <v>-298556.41000000003</v>
      </c>
    </row>
    <row r="50" spans="1:8" x14ac:dyDescent="0.25">
      <c r="A50" t="s">
        <v>494</v>
      </c>
      <c r="B50" s="5">
        <f>SUMIFS('Transaction Overview'!$D$2:$D$467,'Transaction Overview'!$I$2:$I$467,$A50,'Transaction Overview'!$H$2:$H$467,B$4)</f>
        <v>0</v>
      </c>
      <c r="C50" s="5">
        <f>SUMIFS('Transaction Overview'!$D$2:$D$467,'Transaction Overview'!$I$2:$I$467,$A50,'Transaction Overview'!$H$2:$H$467,C$4)</f>
        <v>-15000</v>
      </c>
      <c r="D50" s="5">
        <f>SUMIFS('Transaction Overview'!$D$2:$D$467,'Transaction Overview'!$I$2:$I$467,$A50,'Transaction Overview'!$H$2:$H$467,D$4)</f>
        <v>0</v>
      </c>
      <c r="E50" s="5">
        <f>SUMIFS('Transaction Overview'!$D$2:$D$467,'Transaction Overview'!$I$2:$I$467,$A50,'Transaction Overview'!$H$2:$H$467,E$4)</f>
        <v>0</v>
      </c>
      <c r="F50" s="5">
        <f>SUMIFS('Transaction Overview'!$D$2:$D$467,'Transaction Overview'!$I$2:$I$467,$A50,'Transaction Overview'!$H$2:$H$467,F$4)</f>
        <v>0</v>
      </c>
      <c r="G50" s="5">
        <f>SUMIFS('Transaction Overview'!$D$2:$D$467,'Transaction Overview'!$I$2:$I$467,$A50,'Transaction Overview'!$H$2:$H$467,G$4)</f>
        <v>0</v>
      </c>
      <c r="H50" s="5">
        <f>SUM(B50:G50)</f>
        <v>-15000</v>
      </c>
    </row>
    <row r="51" spans="1:8" x14ac:dyDescent="0.25">
      <c r="A51" t="s">
        <v>482</v>
      </c>
      <c r="B51" s="5">
        <f>SUMIFS('Transaction Overview'!$D$2:$D$467,'Transaction Overview'!$I$2:$I$467,$A51,'Transaction Overview'!$H$2:$H$467,B$4)</f>
        <v>-46000</v>
      </c>
      <c r="C51" s="5">
        <f>SUMIFS('Transaction Overview'!$D$2:$D$467,'Transaction Overview'!$I$2:$I$467,$A51,'Transaction Overview'!$H$2:$H$467,C$4)</f>
        <v>0</v>
      </c>
      <c r="D51" s="5">
        <f>SUMIFS('Transaction Overview'!$D$2:$D$467,'Transaction Overview'!$I$2:$I$467,$A51,'Transaction Overview'!$H$2:$H$467,D$4)</f>
        <v>-1000</v>
      </c>
      <c r="E51" s="5">
        <f>SUMIFS('Transaction Overview'!$D$2:$D$467,'Transaction Overview'!$I$2:$I$467,$A51,'Transaction Overview'!$H$2:$H$467,E$4)</f>
        <v>-10000</v>
      </c>
      <c r="F51" s="5">
        <f>SUMIFS('Transaction Overview'!$D$2:$D$467,'Transaction Overview'!$I$2:$I$467,$A51,'Transaction Overview'!$H$2:$H$467,F$4)</f>
        <v>-20000</v>
      </c>
      <c r="G51" s="5">
        <f>SUMIFS('Transaction Overview'!$D$2:$D$467,'Transaction Overview'!$I$2:$I$467,$A51,'Transaction Overview'!$H$2:$H$467,G$4)</f>
        <v>0</v>
      </c>
      <c r="H51" s="5">
        <f>SUM(B51:G51)</f>
        <v>-77000</v>
      </c>
    </row>
    <row r="52" spans="1:8" x14ac:dyDescent="0.25">
      <c r="A52" t="s">
        <v>487</v>
      </c>
      <c r="B52" s="5">
        <f>SUMIFS('Transaction Overview'!$D$2:$D$467,'Transaction Overview'!$I$2:$I$467,$A52,'Transaction Overview'!$H$2:$H$467,B$4)</f>
        <v>-35000</v>
      </c>
      <c r="C52" s="5">
        <f>SUMIFS('Transaction Overview'!$D$2:$D$467,'Transaction Overview'!$I$2:$I$467,$A52,'Transaction Overview'!$H$2:$H$467,C$4)</f>
        <v>0</v>
      </c>
      <c r="D52" s="5">
        <f>SUMIFS('Transaction Overview'!$D$2:$D$467,'Transaction Overview'!$I$2:$I$467,$A52,'Transaction Overview'!$H$2:$H$467,D$4)</f>
        <v>0</v>
      </c>
      <c r="E52" s="5">
        <f>SUMIFS('Transaction Overview'!$D$2:$D$467,'Transaction Overview'!$I$2:$I$467,$A52,'Transaction Overview'!$H$2:$H$467,E$4)</f>
        <v>-200</v>
      </c>
      <c r="F52" s="5">
        <f>SUMIFS('Transaction Overview'!$D$2:$D$467,'Transaction Overview'!$I$2:$I$467,$A52,'Transaction Overview'!$H$2:$H$467,F$4)</f>
        <v>0</v>
      </c>
      <c r="G52" s="5">
        <f>SUMIFS('Transaction Overview'!$D$2:$D$467,'Transaction Overview'!$I$2:$I$467,$A52,'Transaction Overview'!$H$2:$H$467,G$4)</f>
        <v>0</v>
      </c>
      <c r="H52" s="5">
        <f>SUM(B52:G52)</f>
        <v>-35200</v>
      </c>
    </row>
    <row r="53" spans="1:8" x14ac:dyDescent="0.25">
      <c r="A53" t="s">
        <v>522</v>
      </c>
      <c r="B53" s="5">
        <f>SUMIFS('Transaction Overview'!$D$2:$D$467,'Transaction Overview'!$I$2:$I$467,$A53,'Transaction Overview'!$H$2:$H$467,B$4)</f>
        <v>0</v>
      </c>
      <c r="C53" s="5">
        <f>SUMIFS('Transaction Overview'!$D$2:$D$467,'Transaction Overview'!$I$2:$I$467,$A53,'Transaction Overview'!$H$2:$H$467,C$4)</f>
        <v>0</v>
      </c>
      <c r="D53" s="5">
        <f>SUMIFS('Transaction Overview'!$D$2:$D$467,'Transaction Overview'!$I$2:$I$467,$A53,'Transaction Overview'!$H$2:$H$467,D$4)</f>
        <v>-13000</v>
      </c>
      <c r="E53" s="5">
        <f>SUMIFS('Transaction Overview'!$D$2:$D$467,'Transaction Overview'!$I$2:$I$467,$A53,'Transaction Overview'!$H$2:$H$467,E$4)</f>
        <v>0</v>
      </c>
      <c r="F53" s="5">
        <f>SUMIFS('Transaction Overview'!$D$2:$D$467,'Transaction Overview'!$I$2:$I$467,$A53,'Transaction Overview'!$H$2:$H$467,F$4)</f>
        <v>0</v>
      </c>
      <c r="G53" s="5">
        <f>SUMIFS('Transaction Overview'!$D$2:$D$467,'Transaction Overview'!$I$2:$I$467,$A53,'Transaction Overview'!$H$2:$H$467,G$4)</f>
        <v>0</v>
      </c>
      <c r="H53" s="5">
        <f>SUM(B53:G53)</f>
        <v>-13000</v>
      </c>
    </row>
    <row r="54" spans="1:8" x14ac:dyDescent="0.25">
      <c r="A54" t="s">
        <v>492</v>
      </c>
      <c r="B54" s="5">
        <f>SUMIFS('Transaction Overview'!$D$2:$D$467,'Transaction Overview'!$I$2:$I$467,$A54,'Transaction Overview'!$H$2:$H$467,B$4)</f>
        <v>-100</v>
      </c>
      <c r="C54" s="5">
        <f>SUMIFS('Transaction Overview'!$D$2:$D$467,'Transaction Overview'!$I$2:$I$467,$A54,'Transaction Overview'!$H$2:$H$467,C$4)</f>
        <v>-100</v>
      </c>
      <c r="D54" s="5">
        <f>SUMIFS('Transaction Overview'!$D$2:$D$467,'Transaction Overview'!$I$2:$I$467,$A54,'Transaction Overview'!$H$2:$H$467,D$4)</f>
        <v>0</v>
      </c>
      <c r="E54" s="5">
        <f>SUMIFS('Transaction Overview'!$D$2:$D$467,'Transaction Overview'!$I$2:$I$467,$A54,'Transaction Overview'!$H$2:$H$467,E$4)</f>
        <v>0</v>
      </c>
      <c r="F54" s="5">
        <f>SUMIFS('Transaction Overview'!$D$2:$D$467,'Transaction Overview'!$I$2:$I$467,$A54,'Transaction Overview'!$H$2:$H$467,F$4)</f>
        <v>0</v>
      </c>
      <c r="G54" s="5">
        <f>SUMIFS('Transaction Overview'!$D$2:$D$467,'Transaction Overview'!$I$2:$I$467,$A54,'Transaction Overview'!$H$2:$H$467,G$4)</f>
        <v>0</v>
      </c>
      <c r="H54" s="5">
        <f>SUM(B54:G54)</f>
        <v>-200</v>
      </c>
    </row>
    <row r="55" spans="1:8" x14ac:dyDescent="0.25">
      <c r="A55" s="16" t="s">
        <v>566</v>
      </c>
      <c r="B55" s="20">
        <f>SUM(B44:B54)</f>
        <v>-149100</v>
      </c>
      <c r="C55" s="20">
        <f>SUM(C44:C54)</f>
        <v>-25100</v>
      </c>
      <c r="D55" s="20">
        <f>SUM(D44:D54)</f>
        <v>-19000</v>
      </c>
      <c r="E55" s="20">
        <f>SUM(E44:E54)</f>
        <v>-73750</v>
      </c>
      <c r="F55" s="20">
        <f>SUM(F44:F54)</f>
        <v>-40000</v>
      </c>
      <c r="G55" s="20">
        <f>SUM(G44:G54)</f>
        <v>-30000</v>
      </c>
      <c r="H55" s="20">
        <f>SUM(H44:H54)</f>
        <v>-336950</v>
      </c>
    </row>
    <row r="56" spans="1:8" x14ac:dyDescent="0.25">
      <c r="B56" s="5"/>
      <c r="C56" s="5"/>
      <c r="D56" s="5"/>
      <c r="E56" s="5"/>
      <c r="F56" s="5"/>
      <c r="G56" s="5"/>
      <c r="H56" s="5"/>
    </row>
    <row r="57" spans="1:8" x14ac:dyDescent="0.25">
      <c r="A57" s="15" t="s">
        <v>547</v>
      </c>
      <c r="B57" s="19"/>
      <c r="C57" s="19"/>
      <c r="D57" s="19"/>
      <c r="E57" s="19"/>
      <c r="F57" s="19"/>
      <c r="G57" s="19"/>
      <c r="H57" s="19"/>
    </row>
    <row r="58" spans="1:8" x14ac:dyDescent="0.25">
      <c r="A58" t="s">
        <v>478</v>
      </c>
      <c r="B58" s="5">
        <f>SUMIFS('Transaction Overview'!$D$2:$D$467,'Transaction Overview'!$I$2:$I$467,$A58,'Transaction Overview'!$H$2:$H$467,B$4)</f>
        <v>0</v>
      </c>
      <c r="C58" s="5">
        <f>SUMIFS('Transaction Overview'!$D$2:$D$467,'Transaction Overview'!$I$2:$I$467,$A58,'Transaction Overview'!$H$2:$H$467,C$4)</f>
        <v>-30000</v>
      </c>
      <c r="D58" s="5">
        <f>SUMIFS('Transaction Overview'!$D$2:$D$467,'Transaction Overview'!$I$2:$I$467,$A58,'Transaction Overview'!$H$2:$H$467,D$4)</f>
        <v>0</v>
      </c>
      <c r="E58" s="5">
        <f>SUMIFS('Transaction Overview'!$D$2:$D$467,'Transaction Overview'!$I$2:$I$467,$A58,'Transaction Overview'!$H$2:$H$467,E$4)</f>
        <v>0</v>
      </c>
      <c r="F58" s="5">
        <f>SUMIFS('Transaction Overview'!$D$2:$D$467,'Transaction Overview'!$I$2:$I$467,$A58,'Transaction Overview'!$H$2:$H$467,F$4)</f>
        <v>0</v>
      </c>
      <c r="G58" s="5">
        <f>SUMIFS('Transaction Overview'!$D$2:$D$467,'Transaction Overview'!$I$2:$I$467,$A58,'Transaction Overview'!$H$2:$H$467,G$4)</f>
        <v>-1000</v>
      </c>
      <c r="H58" s="5">
        <f>SUM(B58:G58)</f>
        <v>-31000</v>
      </c>
    </row>
    <row r="59" spans="1:8" x14ac:dyDescent="0.25">
      <c r="A59" t="s">
        <v>493</v>
      </c>
      <c r="B59" s="5">
        <f>SUMIFS('Transaction Overview'!$D$2:$D$467,'Transaction Overview'!$I$2:$I$467,$A59,'Transaction Overview'!$H$2:$H$467,B$4)</f>
        <v>0</v>
      </c>
      <c r="C59" s="5">
        <f>SUMIFS('Transaction Overview'!$D$2:$D$467,'Transaction Overview'!$I$2:$I$467,$A59,'Transaction Overview'!$H$2:$H$467,C$4)</f>
        <v>-40000</v>
      </c>
      <c r="D59" s="5">
        <f>SUMIFS('Transaction Overview'!$D$2:$D$467,'Transaction Overview'!$I$2:$I$467,$A59,'Transaction Overview'!$H$2:$H$467,D$4)</f>
        <v>0</v>
      </c>
      <c r="E59" s="5">
        <f>SUMIFS('Transaction Overview'!$D$2:$D$467,'Transaction Overview'!$I$2:$I$467,$A59,'Transaction Overview'!$H$2:$H$467,E$4)</f>
        <v>0</v>
      </c>
      <c r="F59" s="5">
        <f>SUMIFS('Transaction Overview'!$D$2:$D$467,'Transaction Overview'!$I$2:$I$467,$A59,'Transaction Overview'!$H$2:$H$467,F$4)</f>
        <v>0</v>
      </c>
      <c r="G59" s="5">
        <f>SUMIFS('Transaction Overview'!$D$2:$D$467,'Transaction Overview'!$I$2:$I$467,$A59,'Transaction Overview'!$H$2:$H$467,G$4)</f>
        <v>0</v>
      </c>
      <c r="H59" s="5">
        <f>SUM(B59:G59)</f>
        <v>-40000</v>
      </c>
    </row>
    <row r="60" spans="1:8" x14ac:dyDescent="0.25">
      <c r="A60" s="16" t="s">
        <v>567</v>
      </c>
      <c r="B60" s="20">
        <f>SUM(B58:B59)</f>
        <v>0</v>
      </c>
      <c r="C60" s="20">
        <f>SUM(C58:C59)</f>
        <v>-70000</v>
      </c>
      <c r="D60" s="20">
        <f>SUM(D58:D59)</f>
        <v>0</v>
      </c>
      <c r="E60" s="20">
        <f>SUM(E58:E59)</f>
        <v>0</v>
      </c>
      <c r="F60" s="20">
        <f>SUM(F58:F59)</f>
        <v>0</v>
      </c>
      <c r="G60" s="20">
        <f>SUM(G58:G59)</f>
        <v>-1000</v>
      </c>
      <c r="H60" s="20">
        <f>SUM(H58:H59)</f>
        <v>-71000</v>
      </c>
    </row>
    <row r="61" spans="1:8" x14ac:dyDescent="0.25">
      <c r="B61" s="5"/>
      <c r="C61" s="5"/>
      <c r="D61" s="5"/>
      <c r="E61" s="5"/>
      <c r="F61" s="5"/>
      <c r="G61" s="5"/>
      <c r="H61" s="5"/>
    </row>
    <row r="62" spans="1:8" x14ac:dyDescent="0.25">
      <c r="A62" s="15" t="s">
        <v>537</v>
      </c>
      <c r="B62" s="19"/>
      <c r="C62" s="19"/>
      <c r="D62" s="19"/>
      <c r="E62" s="19"/>
      <c r="F62" s="19"/>
      <c r="G62" s="19"/>
      <c r="H62" s="19"/>
    </row>
    <row r="63" spans="1:8" x14ac:dyDescent="0.25">
      <c r="A63" t="s">
        <v>525</v>
      </c>
      <c r="B63" s="5">
        <f>SUMIFS('Transaction Overview'!$D$2:$D$467,'Transaction Overview'!$I$2:$I$467,$A63,'Transaction Overview'!$H$2:$H$467,B$4)</f>
        <v>0</v>
      </c>
      <c r="C63" s="5">
        <f>SUMIFS('Transaction Overview'!$D$2:$D$467,'Transaction Overview'!$I$2:$I$467,$A63,'Transaction Overview'!$H$2:$H$467,C$4)</f>
        <v>-100</v>
      </c>
      <c r="D63" s="5">
        <f>SUMIFS('Transaction Overview'!$D$2:$D$467,'Transaction Overview'!$I$2:$I$467,$A63,'Transaction Overview'!$H$2:$H$467,D$4)</f>
        <v>0</v>
      </c>
      <c r="E63" s="5">
        <f>SUMIFS('Transaction Overview'!$D$2:$D$467,'Transaction Overview'!$I$2:$I$467,$A63,'Transaction Overview'!$H$2:$H$467,E$4)</f>
        <v>0</v>
      </c>
      <c r="F63" s="5">
        <f>SUMIFS('Transaction Overview'!$D$2:$D$467,'Transaction Overview'!$I$2:$I$467,$A63,'Transaction Overview'!$H$2:$H$467,F$4)</f>
        <v>0</v>
      </c>
      <c r="G63" s="5">
        <f>SUMIFS('Transaction Overview'!$D$2:$D$467,'Transaction Overview'!$I$2:$I$467,$A63,'Transaction Overview'!$H$2:$H$467,G$4)</f>
        <v>0</v>
      </c>
      <c r="H63" s="5">
        <f>SUM(B63:G63)</f>
        <v>-100</v>
      </c>
    </row>
    <row r="64" spans="1:8" x14ac:dyDescent="0.25">
      <c r="A64" t="s">
        <v>510</v>
      </c>
      <c r="B64" s="5">
        <f>SUMIFS('Transaction Overview'!$D$2:$D$467,'Transaction Overview'!$I$2:$I$467,$A64,'Transaction Overview'!$H$2:$H$467,B$4)</f>
        <v>-325</v>
      </c>
      <c r="C64" s="5">
        <f>SUMIFS('Transaction Overview'!$D$2:$D$467,'Transaction Overview'!$I$2:$I$467,$A64,'Transaction Overview'!$H$2:$H$467,C$4)</f>
        <v>0</v>
      </c>
      <c r="D64" s="5">
        <f>SUMIFS('Transaction Overview'!$D$2:$D$467,'Transaction Overview'!$I$2:$I$467,$A64,'Transaction Overview'!$H$2:$H$467,D$4)</f>
        <v>0</v>
      </c>
      <c r="E64" s="5">
        <f>SUMIFS('Transaction Overview'!$D$2:$D$467,'Transaction Overview'!$I$2:$I$467,$A64,'Transaction Overview'!$H$2:$H$467,E$4)</f>
        <v>0</v>
      </c>
      <c r="F64" s="5">
        <f>SUMIFS('Transaction Overview'!$D$2:$D$467,'Transaction Overview'!$I$2:$I$467,$A64,'Transaction Overview'!$H$2:$H$467,F$4)</f>
        <v>0</v>
      </c>
      <c r="G64" s="5">
        <f>SUMIFS('Transaction Overview'!$D$2:$D$467,'Transaction Overview'!$I$2:$I$467,$A64,'Transaction Overview'!$H$2:$H$467,G$4)</f>
        <v>0</v>
      </c>
      <c r="H64" s="5">
        <f>SUM(B64:G64)</f>
        <v>-325</v>
      </c>
    </row>
    <row r="65" spans="1:8" x14ac:dyDescent="0.25">
      <c r="A65" t="s">
        <v>480</v>
      </c>
      <c r="B65" s="5">
        <f>SUMIFS('Transaction Overview'!$D$2:$D$467,'Transaction Overview'!$I$2:$I$467,$A65,'Transaction Overview'!$H$2:$H$467,B$4)</f>
        <v>0</v>
      </c>
      <c r="C65" s="5">
        <f>SUMIFS('Transaction Overview'!$D$2:$D$467,'Transaction Overview'!$I$2:$I$467,$A65,'Transaction Overview'!$H$2:$H$467,C$4)</f>
        <v>0</v>
      </c>
      <c r="D65" s="5">
        <f>SUMIFS('Transaction Overview'!$D$2:$D$467,'Transaction Overview'!$I$2:$I$467,$A65,'Transaction Overview'!$H$2:$H$467,D$4)</f>
        <v>0</v>
      </c>
      <c r="E65" s="5">
        <f>SUMIFS('Transaction Overview'!$D$2:$D$467,'Transaction Overview'!$I$2:$I$467,$A65,'Transaction Overview'!$H$2:$H$467,E$4)</f>
        <v>0</v>
      </c>
      <c r="F65" s="5">
        <f>SUMIFS('Transaction Overview'!$D$2:$D$467,'Transaction Overview'!$I$2:$I$467,$A65,'Transaction Overview'!$H$2:$H$467,F$4)</f>
        <v>0</v>
      </c>
      <c r="G65" s="5">
        <f>SUMIFS('Transaction Overview'!$D$2:$D$467,'Transaction Overview'!$I$2:$I$467,$A65,'Transaction Overview'!$H$2:$H$467,G$4)</f>
        <v>-2500</v>
      </c>
      <c r="H65" s="5">
        <f>SUM(B65:G65)</f>
        <v>-2500</v>
      </c>
    </row>
    <row r="66" spans="1:8" x14ac:dyDescent="0.25">
      <c r="A66" t="s">
        <v>511</v>
      </c>
      <c r="B66" s="5">
        <f>SUMIFS('Transaction Overview'!$D$2:$D$467,'Transaction Overview'!$I$2:$I$467,$A66,'Transaction Overview'!$H$2:$H$467,B$4)</f>
        <v>-700</v>
      </c>
      <c r="C66" s="5">
        <f>SUMIFS('Transaction Overview'!$D$2:$D$467,'Transaction Overview'!$I$2:$I$467,$A66,'Transaction Overview'!$H$2:$H$467,C$4)</f>
        <v>0</v>
      </c>
      <c r="D66" s="5">
        <f>SUMIFS('Transaction Overview'!$D$2:$D$467,'Transaction Overview'!$I$2:$I$467,$A66,'Transaction Overview'!$H$2:$H$467,D$4)</f>
        <v>0</v>
      </c>
      <c r="E66" s="5">
        <f>SUMIFS('Transaction Overview'!$D$2:$D$467,'Transaction Overview'!$I$2:$I$467,$A66,'Transaction Overview'!$H$2:$H$467,E$4)</f>
        <v>0</v>
      </c>
      <c r="F66" s="5">
        <f>SUMIFS('Transaction Overview'!$D$2:$D$467,'Transaction Overview'!$I$2:$I$467,$A66,'Transaction Overview'!$H$2:$H$467,F$4)</f>
        <v>0</v>
      </c>
      <c r="G66" s="5">
        <f>SUMIFS('Transaction Overview'!$D$2:$D$467,'Transaction Overview'!$I$2:$I$467,$A66,'Transaction Overview'!$H$2:$H$467,G$4)</f>
        <v>0</v>
      </c>
      <c r="H66" s="5">
        <f>SUM(B66:G66)</f>
        <v>-700</v>
      </c>
    </row>
    <row r="67" spans="1:8" x14ac:dyDescent="0.25">
      <c r="A67" t="s">
        <v>603</v>
      </c>
      <c r="B67" s="5">
        <f>SUMIFS('Transaction Overview'!$D$2:$D$467,'Transaction Overview'!$I$2:$I$467,$A67,'Transaction Overview'!$H$2:$H$467,B$4)</f>
        <v>-370</v>
      </c>
      <c r="C67" s="5">
        <f>SUMIFS('Transaction Overview'!$D$2:$D$467,'Transaction Overview'!$I$2:$I$467,$A67,'Transaction Overview'!$H$2:$H$467,C$4)</f>
        <v>0</v>
      </c>
      <c r="D67" s="5">
        <f>SUMIFS('Transaction Overview'!$D$2:$D$467,'Transaction Overview'!$I$2:$I$467,$A67,'Transaction Overview'!$H$2:$H$467,D$4)</f>
        <v>0</v>
      </c>
      <c r="E67" s="5">
        <f>SUMIFS('Transaction Overview'!$D$2:$D$467,'Transaction Overview'!$I$2:$I$467,$A67,'Transaction Overview'!$H$2:$H$467,E$4)</f>
        <v>0</v>
      </c>
      <c r="F67" s="5">
        <f>SUMIFS('Transaction Overview'!$D$2:$D$467,'Transaction Overview'!$I$2:$I$467,$A67,'Transaction Overview'!$H$2:$H$467,F$4)</f>
        <v>0</v>
      </c>
      <c r="G67" s="5">
        <f>SUMIFS('Transaction Overview'!$D$2:$D$467,'Transaction Overview'!$I$2:$I$467,$A67,'Transaction Overview'!$H$2:$H$467,G$4)</f>
        <v>0</v>
      </c>
      <c r="H67" s="5">
        <f>SUM(B67:G67)</f>
        <v>-370</v>
      </c>
    </row>
    <row r="68" spans="1:8" x14ac:dyDescent="0.25">
      <c r="A68" s="16" t="s">
        <v>568</v>
      </c>
      <c r="B68" s="20">
        <f>SUM(B63:B67)</f>
        <v>-1395</v>
      </c>
      <c r="C68" s="20">
        <f>SUM(C63:C67)</f>
        <v>-100</v>
      </c>
      <c r="D68" s="20">
        <f>SUM(D63:D67)</f>
        <v>0</v>
      </c>
      <c r="E68" s="20">
        <f>SUM(E63:E67)</f>
        <v>0</v>
      </c>
      <c r="F68" s="20">
        <f>SUM(F63:F67)</f>
        <v>0</v>
      </c>
      <c r="G68" s="20">
        <f>SUM(G63:G67)</f>
        <v>-2500</v>
      </c>
      <c r="H68" s="20">
        <f>SUM(H63:H67)</f>
        <v>-3995</v>
      </c>
    </row>
    <row r="69" spans="1:8" x14ac:dyDescent="0.25">
      <c r="B69" s="5"/>
      <c r="C69" s="5"/>
      <c r="D69" s="5"/>
      <c r="E69" s="5"/>
      <c r="F69" s="5"/>
      <c r="G69" s="5"/>
      <c r="H69" s="5"/>
    </row>
    <row r="70" spans="1:8" x14ac:dyDescent="0.25">
      <c r="A70" s="15" t="s">
        <v>539</v>
      </c>
      <c r="B70" s="19"/>
      <c r="C70" s="19"/>
      <c r="D70" s="19"/>
      <c r="E70" s="19"/>
      <c r="F70" s="19"/>
      <c r="G70" s="19"/>
      <c r="H70" s="19"/>
    </row>
    <row r="71" spans="1:8" x14ac:dyDescent="0.25">
      <c r="A71" t="s">
        <v>490</v>
      </c>
      <c r="B71" s="5">
        <f>SUMIFS('Transaction Overview'!$D$2:$D$467,'Transaction Overview'!$I$2:$I$467,$A71,'Transaction Overview'!$H$2:$H$467,B$4)</f>
        <v>0</v>
      </c>
      <c r="C71" s="5">
        <f>SUMIFS('Transaction Overview'!$D$2:$D$467,'Transaction Overview'!$I$2:$I$467,$A71,'Transaction Overview'!$H$2:$H$467,C$4)</f>
        <v>-560.30999999999995</v>
      </c>
      <c r="D71" s="5">
        <f>SUMIFS('Transaction Overview'!$D$2:$D$467,'Transaction Overview'!$I$2:$I$467,$A71,'Transaction Overview'!$H$2:$H$467,D$4)</f>
        <v>-811.14</v>
      </c>
      <c r="E71" s="5">
        <f>SUMIFS('Transaction Overview'!$D$2:$D$467,'Transaction Overview'!$I$2:$I$467,$A71,'Transaction Overview'!$H$2:$H$467,E$4)</f>
        <v>0</v>
      </c>
      <c r="F71" s="5">
        <f>SUMIFS('Transaction Overview'!$D$2:$D$467,'Transaction Overview'!$I$2:$I$467,$A71,'Transaction Overview'!$H$2:$H$467,F$4)</f>
        <v>0</v>
      </c>
      <c r="G71" s="5">
        <f>SUMIFS('Transaction Overview'!$D$2:$D$467,'Transaction Overview'!$I$2:$I$467,$A71,'Transaction Overview'!$H$2:$H$467,G$4)</f>
        <v>0</v>
      </c>
      <c r="H71" s="5">
        <f>SUM(B71:G71)</f>
        <v>-1371.4499999999998</v>
      </c>
    </row>
    <row r="72" spans="1:8" x14ac:dyDescent="0.25">
      <c r="A72" t="s">
        <v>481</v>
      </c>
      <c r="B72" s="5">
        <f>SUMIFS('Transaction Overview'!$D$2:$D$467,'Transaction Overview'!$I$2:$I$467,$A72,'Transaction Overview'!$H$2:$H$467,B$4)</f>
        <v>-1120</v>
      </c>
      <c r="C72" s="5">
        <f>SUMIFS('Transaction Overview'!$D$2:$D$467,'Transaction Overview'!$I$2:$I$467,$A72,'Transaction Overview'!$H$2:$H$467,C$4)</f>
        <v>-95</v>
      </c>
      <c r="D72" s="5">
        <f>SUMIFS('Transaction Overview'!$D$2:$D$467,'Transaction Overview'!$I$2:$I$467,$A72,'Transaction Overview'!$H$2:$H$467,D$4)</f>
        <v>-162</v>
      </c>
      <c r="E72" s="5">
        <f>SUMIFS('Transaction Overview'!$D$2:$D$467,'Transaction Overview'!$I$2:$I$467,$A72,'Transaction Overview'!$H$2:$H$467,E$4)</f>
        <v>-5095</v>
      </c>
      <c r="F72" s="5">
        <f>SUMIFS('Transaction Overview'!$D$2:$D$467,'Transaction Overview'!$I$2:$I$467,$A72,'Transaction Overview'!$H$2:$H$467,F$4)</f>
        <v>-165</v>
      </c>
      <c r="G72" s="5">
        <f>SUMIFS('Transaction Overview'!$D$2:$D$467,'Transaction Overview'!$I$2:$I$467,$A72,'Transaction Overview'!$H$2:$H$467,G$4)</f>
        <v>0</v>
      </c>
      <c r="H72" s="5">
        <f>SUM(B72:G72)</f>
        <v>-6637</v>
      </c>
    </row>
    <row r="73" spans="1:8" x14ac:dyDescent="0.25">
      <c r="A73" s="16" t="s">
        <v>569</v>
      </c>
      <c r="B73" s="20">
        <f>SUM(B71:B72)</f>
        <v>-1120</v>
      </c>
      <c r="C73" s="20">
        <f>SUM(C71:C72)</f>
        <v>-655.30999999999995</v>
      </c>
      <c r="D73" s="20">
        <f>SUM(D71:D72)</f>
        <v>-973.14</v>
      </c>
      <c r="E73" s="20">
        <f>SUM(E71:E72)</f>
        <v>-5095</v>
      </c>
      <c r="F73" s="20">
        <f>SUM(F71:F72)</f>
        <v>-165</v>
      </c>
      <c r="G73" s="20">
        <f>SUM(G71:G72)</f>
        <v>0</v>
      </c>
      <c r="H73" s="20">
        <f>SUM(H71:H72)</f>
        <v>-8008.45</v>
      </c>
    </row>
    <row r="74" spans="1:8" x14ac:dyDescent="0.25">
      <c r="B74" s="5"/>
      <c r="C74" s="5"/>
      <c r="D74" s="5"/>
      <c r="E74" s="5"/>
      <c r="F74" s="5"/>
      <c r="G74" s="5"/>
      <c r="H74" s="5"/>
    </row>
    <row r="75" spans="1:8" x14ac:dyDescent="0.25">
      <c r="A75" s="15" t="s">
        <v>536</v>
      </c>
      <c r="B75" s="19"/>
      <c r="C75" s="19"/>
      <c r="D75" s="19"/>
      <c r="E75" s="19"/>
      <c r="F75" s="19"/>
      <c r="G75" s="19"/>
      <c r="H75" s="19"/>
    </row>
    <row r="76" spans="1:8" x14ac:dyDescent="0.25">
      <c r="A76" t="s">
        <v>475</v>
      </c>
      <c r="B76" s="5">
        <f>SUMIFS('Transaction Overview'!$D$2:$D$467,'Transaction Overview'!$I$2:$I$467,$A76,'Transaction Overview'!$H$2:$H$467,B$4)</f>
        <v>-14306.250000000002</v>
      </c>
      <c r="C76" s="5">
        <f>SUMIFS('Transaction Overview'!$D$2:$D$467,'Transaction Overview'!$I$2:$I$467,$A76,'Transaction Overview'!$H$2:$H$467,C$4)</f>
        <v>-59026.559999999998</v>
      </c>
      <c r="D76" s="5">
        <f>SUMIFS('Transaction Overview'!$D$2:$D$467,'Transaction Overview'!$I$2:$I$467,$A76,'Transaction Overview'!$H$2:$H$467,D$4)</f>
        <v>-17955</v>
      </c>
      <c r="E76" s="5">
        <f>SUMIFS('Transaction Overview'!$D$2:$D$467,'Transaction Overview'!$I$2:$I$467,$A76,'Transaction Overview'!$H$2:$H$467,E$4)</f>
        <v>-17136.430000000004</v>
      </c>
      <c r="F76" s="5">
        <f>SUMIFS('Transaction Overview'!$D$2:$D$467,'Transaction Overview'!$I$2:$I$467,$A76,'Transaction Overview'!$H$2:$H$467,F$4)</f>
        <v>-73395.28</v>
      </c>
      <c r="G76" s="5">
        <f>SUMIFS('Transaction Overview'!$D$2:$D$467,'Transaction Overview'!$I$2:$I$467,$A76,'Transaction Overview'!$H$2:$H$467,G$4)</f>
        <v>-15944.400000000001</v>
      </c>
      <c r="H76" s="5">
        <f>SUM(B76:G76)</f>
        <v>-197763.92</v>
      </c>
    </row>
    <row r="77" spans="1:8" x14ac:dyDescent="0.25">
      <c r="A77" s="16" t="s">
        <v>570</v>
      </c>
      <c r="B77" s="20">
        <f>SUM(B76:B76)</f>
        <v>-14306.250000000002</v>
      </c>
      <c r="C77" s="20">
        <f>SUM(C76:C76)</f>
        <v>-59026.559999999998</v>
      </c>
      <c r="D77" s="20">
        <f>SUM(D76:D76)</f>
        <v>-17955</v>
      </c>
      <c r="E77" s="20">
        <f>SUM(E76:E76)</f>
        <v>-17136.430000000004</v>
      </c>
      <c r="F77" s="20">
        <f>SUM(F76:F76)</f>
        <v>-73395.28</v>
      </c>
      <c r="G77" s="20">
        <f>SUM(G76:G76)</f>
        <v>-15944.400000000001</v>
      </c>
      <c r="H77" s="20">
        <f>SUM(H76:H76)</f>
        <v>-197763.92</v>
      </c>
    </row>
    <row r="78" spans="1:8" x14ac:dyDescent="0.25">
      <c r="B78" s="5"/>
      <c r="C78" s="5"/>
      <c r="D78" s="5"/>
      <c r="E78" s="5"/>
      <c r="F78" s="5"/>
      <c r="G78" s="5"/>
      <c r="H78" s="5"/>
    </row>
    <row r="79" spans="1:8" x14ac:dyDescent="0.25">
      <c r="A79" s="15" t="s">
        <v>535</v>
      </c>
      <c r="B79" s="19"/>
      <c r="C79" s="19"/>
      <c r="D79" s="19"/>
      <c r="E79" s="19"/>
      <c r="F79" s="19"/>
      <c r="G79" s="19"/>
      <c r="H79" s="19"/>
    </row>
    <row r="80" spans="1:8" x14ac:dyDescent="0.25">
      <c r="A80" t="s">
        <v>488</v>
      </c>
      <c r="B80" s="5">
        <f>SUMIFS('Transaction Overview'!$D$2:$D$467,'Transaction Overview'!$I$2:$I$467,$A80,'Transaction Overview'!$H$2:$H$467,B$4)</f>
        <v>-723.98</v>
      </c>
      <c r="C80" s="5">
        <f>SUMIFS('Transaction Overview'!$D$2:$D$467,'Transaction Overview'!$I$2:$I$467,$A80,'Transaction Overview'!$H$2:$H$467,C$4)</f>
        <v>-1000</v>
      </c>
      <c r="D80" s="5">
        <f>SUMIFS('Transaction Overview'!$D$2:$D$467,'Transaction Overview'!$I$2:$I$467,$A80,'Transaction Overview'!$H$2:$H$467,D$4)</f>
        <v>-12000</v>
      </c>
      <c r="E80" s="5">
        <f>SUMIFS('Transaction Overview'!$D$2:$D$467,'Transaction Overview'!$I$2:$I$467,$A80,'Transaction Overview'!$H$2:$H$467,E$4)</f>
        <v>0</v>
      </c>
      <c r="F80" s="5">
        <f>SUMIFS('Transaction Overview'!$D$2:$D$467,'Transaction Overview'!$I$2:$I$467,$A80,'Transaction Overview'!$H$2:$H$467,F$4)</f>
        <v>0</v>
      </c>
      <c r="G80" s="5">
        <f>SUMIFS('Transaction Overview'!$D$2:$D$467,'Transaction Overview'!$I$2:$I$467,$A80,'Transaction Overview'!$H$2:$H$467,G$4)</f>
        <v>0</v>
      </c>
      <c r="H80" s="5">
        <f>SUM(B80:G80)</f>
        <v>-13723.98</v>
      </c>
    </row>
    <row r="81" spans="1:8" x14ac:dyDescent="0.25">
      <c r="A81" t="s">
        <v>498</v>
      </c>
      <c r="B81" s="5">
        <f>SUMIFS('Transaction Overview'!$D$2:$D$467,'Transaction Overview'!$I$2:$I$467,$A81,'Transaction Overview'!$H$2:$H$467,B$4)</f>
        <v>-663.71999999999991</v>
      </c>
      <c r="C81" s="5">
        <f>SUMIFS('Transaction Overview'!$D$2:$D$467,'Transaction Overview'!$I$2:$I$467,$A81,'Transaction Overview'!$H$2:$H$467,C$4)</f>
        <v>-810.03</v>
      </c>
      <c r="D81" s="5">
        <f>SUMIFS('Transaction Overview'!$D$2:$D$467,'Transaction Overview'!$I$2:$I$467,$A81,'Transaction Overview'!$H$2:$H$467,D$4)</f>
        <v>-1094.44</v>
      </c>
      <c r="E81" s="5">
        <f>SUMIFS('Transaction Overview'!$D$2:$D$467,'Transaction Overview'!$I$2:$I$467,$A81,'Transaction Overview'!$H$2:$H$467,E$4)</f>
        <v>-887.53</v>
      </c>
      <c r="F81" s="5">
        <f>SUMIFS('Transaction Overview'!$D$2:$D$467,'Transaction Overview'!$I$2:$I$467,$A81,'Transaction Overview'!$H$2:$H$467,F$4)</f>
        <v>-526.21</v>
      </c>
      <c r="G81" s="5">
        <f>SUMIFS('Transaction Overview'!$D$2:$D$467,'Transaction Overview'!$I$2:$I$467,$A81,'Transaction Overview'!$H$2:$H$467,G$4)</f>
        <v>0</v>
      </c>
      <c r="H81" s="5">
        <f>SUM(B81:G81)</f>
        <v>-3981.9300000000003</v>
      </c>
    </row>
    <row r="82" spans="1:8" x14ac:dyDescent="0.25">
      <c r="A82" t="s">
        <v>544</v>
      </c>
      <c r="B82" s="5">
        <f>SUMIFS('Transaction Overview'!$D$2:$D$467,'Transaction Overview'!$I$2:$I$467,$A82,'Transaction Overview'!$H$2:$H$467,B$4)</f>
        <v>-15.74</v>
      </c>
      <c r="C82" s="5">
        <f>SUMIFS('Transaction Overview'!$D$2:$D$467,'Transaction Overview'!$I$2:$I$467,$A82,'Transaction Overview'!$H$2:$H$467,C$4)</f>
        <v>0</v>
      </c>
      <c r="D82" s="5">
        <f>SUMIFS('Transaction Overview'!$D$2:$D$467,'Transaction Overview'!$I$2:$I$467,$A82,'Transaction Overview'!$H$2:$H$467,D$4)</f>
        <v>-363.47</v>
      </c>
      <c r="E82" s="5">
        <f>SUMIFS('Transaction Overview'!$D$2:$D$467,'Transaction Overview'!$I$2:$I$467,$A82,'Transaction Overview'!$H$2:$H$467,E$4)</f>
        <v>-381.79</v>
      </c>
      <c r="F82" s="5">
        <f>SUMIFS('Transaction Overview'!$D$2:$D$467,'Transaction Overview'!$I$2:$I$467,$A82,'Transaction Overview'!$H$2:$H$467,F$4)</f>
        <v>-429.94</v>
      </c>
      <c r="G82" s="5">
        <f>SUMIFS('Transaction Overview'!$D$2:$D$467,'Transaction Overview'!$I$2:$I$467,$A82,'Transaction Overview'!$H$2:$H$467,G$4)</f>
        <v>-439.96</v>
      </c>
      <c r="H82" s="5">
        <f>SUM(B82:G82)</f>
        <v>-1630.9</v>
      </c>
    </row>
    <row r="83" spans="1:8" x14ac:dyDescent="0.25">
      <c r="A83" t="s">
        <v>500</v>
      </c>
      <c r="B83" s="5">
        <f>SUMIFS('Transaction Overview'!$D$2:$D$467,'Transaction Overview'!$I$2:$I$467,$A83,'Transaction Overview'!$H$2:$H$467,B$4)</f>
        <v>0</v>
      </c>
      <c r="C83" s="5">
        <f>SUMIFS('Transaction Overview'!$D$2:$D$467,'Transaction Overview'!$I$2:$I$467,$A83,'Transaction Overview'!$H$2:$H$467,C$4)</f>
        <v>0</v>
      </c>
      <c r="D83" s="5">
        <f>SUMIFS('Transaction Overview'!$D$2:$D$467,'Transaction Overview'!$I$2:$I$467,$A83,'Transaction Overview'!$H$2:$H$467,D$4)</f>
        <v>0</v>
      </c>
      <c r="E83" s="5">
        <f>SUMIFS('Transaction Overview'!$D$2:$D$467,'Transaction Overview'!$I$2:$I$467,$A83,'Transaction Overview'!$H$2:$H$467,E$4)</f>
        <v>0</v>
      </c>
      <c r="F83" s="5">
        <f>SUMIFS('Transaction Overview'!$D$2:$D$467,'Transaction Overview'!$I$2:$I$467,$A83,'Transaction Overview'!$H$2:$H$467,F$4)</f>
        <v>0</v>
      </c>
      <c r="G83" s="5">
        <f>SUMIFS('Transaction Overview'!$D$2:$D$467,'Transaction Overview'!$I$2:$I$467,$A83,'Transaction Overview'!$H$2:$H$467,G$4)</f>
        <v>-32.31</v>
      </c>
      <c r="H83" s="5">
        <f>SUM(B83:G83)</f>
        <v>-32.31</v>
      </c>
    </row>
    <row r="84" spans="1:8" x14ac:dyDescent="0.25">
      <c r="A84" t="s">
        <v>477</v>
      </c>
      <c r="B84" s="5">
        <f>SUMIFS('Transaction Overview'!$D$2:$D$467,'Transaction Overview'!$I$2:$I$467,$A84,'Transaction Overview'!$H$2:$H$467,B$4)</f>
        <v>-91.22</v>
      </c>
      <c r="C84" s="5">
        <f>SUMIFS('Transaction Overview'!$D$2:$D$467,'Transaction Overview'!$I$2:$I$467,$A84,'Transaction Overview'!$H$2:$H$467,C$4)</f>
        <v>-181.85999999999999</v>
      </c>
      <c r="D84" s="5">
        <f>SUMIFS('Transaction Overview'!$D$2:$D$467,'Transaction Overview'!$I$2:$I$467,$A84,'Transaction Overview'!$H$2:$H$467,D$4)</f>
        <v>0</v>
      </c>
      <c r="E84" s="5">
        <f>SUMIFS('Transaction Overview'!$D$2:$D$467,'Transaction Overview'!$I$2:$I$467,$A84,'Transaction Overview'!$H$2:$H$467,E$4)</f>
        <v>-217.95999999999998</v>
      </c>
      <c r="F84" s="5">
        <f>SUMIFS('Transaction Overview'!$D$2:$D$467,'Transaction Overview'!$I$2:$I$467,$A84,'Transaction Overview'!$H$2:$H$467,F$4)</f>
        <v>-752.88</v>
      </c>
      <c r="G84" s="5">
        <f>SUMIFS('Transaction Overview'!$D$2:$D$467,'Transaction Overview'!$I$2:$I$467,$A84,'Transaction Overview'!$H$2:$H$467,G$4)</f>
        <v>-113.84</v>
      </c>
      <c r="H84" s="5">
        <f>SUM(B84:G84)</f>
        <v>-1357.76</v>
      </c>
    </row>
    <row r="85" spans="1:8" x14ac:dyDescent="0.25">
      <c r="A85" t="s">
        <v>491</v>
      </c>
      <c r="B85" s="5">
        <f>SUMIFS('Transaction Overview'!$D$2:$D$467,'Transaction Overview'!$I$2:$I$467,$A85,'Transaction Overview'!$H$2:$H$467,B$4)</f>
        <v>0</v>
      </c>
      <c r="C85" s="5">
        <f>SUMIFS('Transaction Overview'!$D$2:$D$467,'Transaction Overview'!$I$2:$I$467,$A85,'Transaction Overview'!$H$2:$H$467,C$4)</f>
        <v>0</v>
      </c>
      <c r="D85" s="5">
        <f>SUMIFS('Transaction Overview'!$D$2:$D$467,'Transaction Overview'!$I$2:$I$467,$A85,'Transaction Overview'!$H$2:$H$467,D$4)</f>
        <v>-1050</v>
      </c>
      <c r="E85" s="5">
        <f>SUMIFS('Transaction Overview'!$D$2:$D$467,'Transaction Overview'!$I$2:$I$467,$A85,'Transaction Overview'!$H$2:$H$467,E$4)</f>
        <v>0</v>
      </c>
      <c r="F85" s="5">
        <f>SUMIFS('Transaction Overview'!$D$2:$D$467,'Transaction Overview'!$I$2:$I$467,$A85,'Transaction Overview'!$H$2:$H$467,F$4)</f>
        <v>0</v>
      </c>
      <c r="G85" s="5">
        <f>SUMIFS('Transaction Overview'!$D$2:$D$467,'Transaction Overview'!$I$2:$I$467,$A85,'Transaction Overview'!$H$2:$H$467,G$4)</f>
        <v>0</v>
      </c>
      <c r="H85" s="5">
        <f>SUM(B85:G85)</f>
        <v>-1050</v>
      </c>
    </row>
    <row r="86" spans="1:8" x14ac:dyDescent="0.25">
      <c r="A86" t="s">
        <v>526</v>
      </c>
      <c r="B86" s="5">
        <f>SUMIFS('Transaction Overview'!$D$2:$D$467,'Transaction Overview'!$I$2:$I$467,$A86,'Transaction Overview'!$H$2:$H$467,B$4)</f>
        <v>0</v>
      </c>
      <c r="C86" s="5">
        <f>SUMIFS('Transaction Overview'!$D$2:$D$467,'Transaction Overview'!$I$2:$I$467,$A86,'Transaction Overview'!$H$2:$H$467,C$4)</f>
        <v>-16287.51</v>
      </c>
      <c r="D86" s="5">
        <f>SUMIFS('Transaction Overview'!$D$2:$D$467,'Transaction Overview'!$I$2:$I$467,$A86,'Transaction Overview'!$H$2:$H$467,D$4)</f>
        <v>0</v>
      </c>
      <c r="E86" s="5">
        <f>SUMIFS('Transaction Overview'!$D$2:$D$467,'Transaction Overview'!$I$2:$I$467,$A86,'Transaction Overview'!$H$2:$H$467,E$4)</f>
        <v>0</v>
      </c>
      <c r="F86" s="5">
        <f>SUMIFS('Transaction Overview'!$D$2:$D$467,'Transaction Overview'!$I$2:$I$467,$A86,'Transaction Overview'!$H$2:$H$467,F$4)</f>
        <v>0</v>
      </c>
      <c r="G86" s="5">
        <f>SUMIFS('Transaction Overview'!$D$2:$D$467,'Transaction Overview'!$I$2:$I$467,$A86,'Transaction Overview'!$H$2:$H$467,G$4)</f>
        <v>0</v>
      </c>
      <c r="H86" s="5">
        <f>SUM(B86:G86)</f>
        <v>-16287.51</v>
      </c>
    </row>
    <row r="87" spans="1:8" x14ac:dyDescent="0.25">
      <c r="A87" t="s">
        <v>476</v>
      </c>
      <c r="B87" s="5">
        <f>SUMIFS('Transaction Overview'!$D$2:$D$467,'Transaction Overview'!$I$2:$I$467,$A87,'Transaction Overview'!$H$2:$H$467,B$4)</f>
        <v>-488.64000000000004</v>
      </c>
      <c r="C87" s="5">
        <f>SUMIFS('Transaction Overview'!$D$2:$D$467,'Transaction Overview'!$I$2:$I$467,$A87,'Transaction Overview'!$H$2:$H$467,C$4)</f>
        <v>-339.69</v>
      </c>
      <c r="D87" s="5">
        <f>SUMIFS('Transaction Overview'!$D$2:$D$467,'Transaction Overview'!$I$2:$I$467,$A87,'Transaction Overview'!$H$2:$H$467,D$4)</f>
        <v>-414.57000000000005</v>
      </c>
      <c r="E87" s="5">
        <f>SUMIFS('Transaction Overview'!$D$2:$D$467,'Transaction Overview'!$I$2:$I$467,$A87,'Transaction Overview'!$H$2:$H$467,E$4)</f>
        <v>-330.66999999999996</v>
      </c>
      <c r="F87" s="5">
        <f>SUMIFS('Transaction Overview'!$D$2:$D$467,'Transaction Overview'!$I$2:$I$467,$A87,'Transaction Overview'!$H$2:$H$467,F$4)</f>
        <v>-352.57</v>
      </c>
      <c r="G87" s="5">
        <f>SUMIFS('Transaction Overview'!$D$2:$D$467,'Transaction Overview'!$I$2:$I$467,$A87,'Transaction Overview'!$H$2:$H$467,G$4)</f>
        <v>-250.3</v>
      </c>
      <c r="H87" s="5">
        <f>SUM(B87:G87)</f>
        <v>-2176.44</v>
      </c>
    </row>
    <row r="88" spans="1:8" x14ac:dyDescent="0.25">
      <c r="A88" t="s">
        <v>506</v>
      </c>
      <c r="B88" s="5">
        <f>SUMIFS('Transaction Overview'!$D$2:$D$467,'Transaction Overview'!$I$2:$I$467,$A88,'Transaction Overview'!$H$2:$H$467,B$4)</f>
        <v>-55.7</v>
      </c>
      <c r="C88" s="5">
        <f>SUMIFS('Transaction Overview'!$D$2:$D$467,'Transaction Overview'!$I$2:$I$467,$A88,'Transaction Overview'!$H$2:$H$467,C$4)</f>
        <v>-124</v>
      </c>
      <c r="D88" s="5">
        <f>SUMIFS('Transaction Overview'!$D$2:$D$467,'Transaction Overview'!$I$2:$I$467,$A88,'Transaction Overview'!$H$2:$H$467,D$4)</f>
        <v>0</v>
      </c>
      <c r="E88" s="5">
        <f>SUMIFS('Transaction Overview'!$D$2:$D$467,'Transaction Overview'!$I$2:$I$467,$A88,'Transaction Overview'!$H$2:$H$467,E$4)</f>
        <v>0</v>
      </c>
      <c r="F88" s="5">
        <f>SUMIFS('Transaction Overview'!$D$2:$D$467,'Transaction Overview'!$I$2:$I$467,$A88,'Transaction Overview'!$H$2:$H$467,F$4)</f>
        <v>0</v>
      </c>
      <c r="G88" s="5">
        <f>SUMIFS('Transaction Overview'!$D$2:$D$467,'Transaction Overview'!$I$2:$I$467,$A88,'Transaction Overview'!$H$2:$H$467,G$4)</f>
        <v>0</v>
      </c>
      <c r="H88" s="5">
        <f>SUM(B88:G88)</f>
        <v>-179.7</v>
      </c>
    </row>
    <row r="89" spans="1:8" x14ac:dyDescent="0.25">
      <c r="A89" t="s">
        <v>517</v>
      </c>
      <c r="B89" s="5">
        <f>SUMIFS('Transaction Overview'!$D$2:$D$467,'Transaction Overview'!$I$2:$I$467,$A89,'Transaction Overview'!$H$2:$H$467,B$4)</f>
        <v>0</v>
      </c>
      <c r="C89" s="5">
        <f>SUMIFS('Transaction Overview'!$D$2:$D$467,'Transaction Overview'!$I$2:$I$467,$A89,'Transaction Overview'!$H$2:$H$467,C$4)</f>
        <v>0</v>
      </c>
      <c r="D89" s="5">
        <f>SUMIFS('Transaction Overview'!$D$2:$D$467,'Transaction Overview'!$I$2:$I$467,$A89,'Transaction Overview'!$H$2:$H$467,D$4)</f>
        <v>0</v>
      </c>
      <c r="E89" s="5">
        <f>SUMIFS('Transaction Overview'!$D$2:$D$467,'Transaction Overview'!$I$2:$I$467,$A89,'Transaction Overview'!$H$2:$H$467,E$4)</f>
        <v>-428.27</v>
      </c>
      <c r="F89" s="5">
        <f>SUMIFS('Transaction Overview'!$D$2:$D$467,'Transaction Overview'!$I$2:$I$467,$A89,'Transaction Overview'!$H$2:$H$467,F$4)</f>
        <v>0</v>
      </c>
      <c r="G89" s="5">
        <f>SUMIFS('Transaction Overview'!$D$2:$D$467,'Transaction Overview'!$I$2:$I$467,$A89,'Transaction Overview'!$H$2:$H$467,G$4)</f>
        <v>0</v>
      </c>
      <c r="H89" s="5">
        <f>SUM(B89:G89)</f>
        <v>-428.27</v>
      </c>
    </row>
    <row r="90" spans="1:8" x14ac:dyDescent="0.25">
      <c r="A90" s="16" t="s">
        <v>571</v>
      </c>
      <c r="B90" s="20">
        <f>SUM(B80:B89)</f>
        <v>-2039</v>
      </c>
      <c r="C90" s="20">
        <f>SUM(C80:C89)</f>
        <v>-18743.09</v>
      </c>
      <c r="D90" s="20">
        <f>SUM(D80:D89)</f>
        <v>-14922.48</v>
      </c>
      <c r="E90" s="20">
        <f>SUM(E80:E89)</f>
        <v>-2246.2199999999998</v>
      </c>
      <c r="F90" s="20">
        <f>SUM(F80:F89)</f>
        <v>-2061.6000000000004</v>
      </c>
      <c r="G90" s="20">
        <f>SUM(G80:G89)</f>
        <v>-836.41000000000008</v>
      </c>
      <c r="H90" s="20">
        <f>SUM(H80:H89)</f>
        <v>-40848.799999999996</v>
      </c>
    </row>
    <row r="91" spans="1:8" x14ac:dyDescent="0.25">
      <c r="B91" s="5"/>
      <c r="C91" s="5"/>
      <c r="D91" s="5"/>
      <c r="E91" s="5"/>
      <c r="F91" s="5"/>
      <c r="G91" s="5"/>
      <c r="H91" s="5"/>
    </row>
    <row r="92" spans="1:8" x14ac:dyDescent="0.25">
      <c r="A92" s="15" t="s">
        <v>534</v>
      </c>
      <c r="B92" s="19"/>
      <c r="C92" s="19"/>
      <c r="D92" s="19"/>
      <c r="E92" s="19"/>
      <c r="F92" s="19"/>
      <c r="G92" s="19"/>
      <c r="H92" s="19"/>
    </row>
    <row r="93" spans="1:8" x14ac:dyDescent="0.25">
      <c r="A93" t="s">
        <v>512</v>
      </c>
      <c r="B93" s="5">
        <f>SUMIFS('Transaction Overview'!$D$2:$D$467,'Transaction Overview'!$I$2:$I$467,$A93,'Transaction Overview'!$H$2:$H$467,B$4)</f>
        <v>-501.25</v>
      </c>
      <c r="C93" s="5">
        <f>SUMIFS('Transaction Overview'!$D$2:$D$467,'Transaction Overview'!$I$2:$I$467,$A93,'Transaction Overview'!$H$2:$H$467,C$4)</f>
        <v>0</v>
      </c>
      <c r="D93" s="5">
        <f>SUMIFS('Transaction Overview'!$D$2:$D$467,'Transaction Overview'!$I$2:$I$467,$A93,'Transaction Overview'!$H$2:$H$467,D$4)</f>
        <v>0</v>
      </c>
      <c r="E93" s="5">
        <f>SUMIFS('Transaction Overview'!$D$2:$D$467,'Transaction Overview'!$I$2:$I$467,$A93,'Transaction Overview'!$H$2:$H$467,E$4)</f>
        <v>0</v>
      </c>
      <c r="F93" s="5">
        <f>SUMIFS('Transaction Overview'!$D$2:$D$467,'Transaction Overview'!$I$2:$I$467,$A93,'Transaction Overview'!$H$2:$H$467,F$4)</f>
        <v>0</v>
      </c>
      <c r="G93" s="5">
        <f>SUMIFS('Transaction Overview'!$D$2:$D$467,'Transaction Overview'!$I$2:$I$467,$A93,'Transaction Overview'!$H$2:$H$467,G$4)</f>
        <v>0</v>
      </c>
      <c r="H93" s="5">
        <f>SUM(B93:G93)</f>
        <v>-501.25</v>
      </c>
    </row>
    <row r="94" spans="1:8" x14ac:dyDescent="0.25">
      <c r="A94" t="s">
        <v>496</v>
      </c>
      <c r="B94" s="5">
        <f>SUMIFS('Transaction Overview'!$D$2:$D$467,'Transaction Overview'!$I$2:$I$467,$A94,'Transaction Overview'!$H$2:$H$467,B$4)</f>
        <v>-6</v>
      </c>
      <c r="C94" s="5">
        <f>SUMIFS('Transaction Overview'!$D$2:$D$467,'Transaction Overview'!$I$2:$I$467,$A94,'Transaction Overview'!$H$2:$H$467,C$4)</f>
        <v>0</v>
      </c>
      <c r="D94" s="5">
        <f>SUMIFS('Transaction Overview'!$D$2:$D$467,'Transaction Overview'!$I$2:$I$467,$A94,'Transaction Overview'!$H$2:$H$467,D$4)</f>
        <v>0</v>
      </c>
      <c r="E94" s="5">
        <f>SUMIFS('Transaction Overview'!$D$2:$D$467,'Transaction Overview'!$I$2:$I$467,$A94,'Transaction Overview'!$H$2:$H$467,E$4)</f>
        <v>0</v>
      </c>
      <c r="F94" s="5">
        <f>SUMIFS('Transaction Overview'!$D$2:$D$467,'Transaction Overview'!$I$2:$I$467,$A94,'Transaction Overview'!$H$2:$H$467,F$4)</f>
        <v>0</v>
      </c>
      <c r="G94" s="5">
        <f>SUMIFS('Transaction Overview'!$D$2:$D$467,'Transaction Overview'!$I$2:$I$467,$A94,'Transaction Overview'!$H$2:$H$467,G$4)</f>
        <v>0</v>
      </c>
      <c r="H94" s="5">
        <f>SUM(B94:G94)</f>
        <v>-6</v>
      </c>
    </row>
    <row r="95" spans="1:8" x14ac:dyDescent="0.25">
      <c r="A95" t="s">
        <v>505</v>
      </c>
      <c r="B95" s="5">
        <f>SUMIFS('Transaction Overview'!$D$2:$D$467,'Transaction Overview'!$I$2:$I$467,$A95,'Transaction Overview'!$H$2:$H$467,B$4)</f>
        <v>0</v>
      </c>
      <c r="C95" s="5">
        <f>SUMIFS('Transaction Overview'!$D$2:$D$467,'Transaction Overview'!$I$2:$I$467,$A95,'Transaction Overview'!$H$2:$H$467,C$4)</f>
        <v>0</v>
      </c>
      <c r="D95" s="5">
        <f>SUMIFS('Transaction Overview'!$D$2:$D$467,'Transaction Overview'!$I$2:$I$467,$A95,'Transaction Overview'!$H$2:$H$467,D$4)</f>
        <v>0</v>
      </c>
      <c r="E95" s="5">
        <f>SUMIFS('Transaction Overview'!$D$2:$D$467,'Transaction Overview'!$I$2:$I$467,$A95,'Transaction Overview'!$H$2:$H$467,E$4)</f>
        <v>0</v>
      </c>
      <c r="F95" s="5">
        <f>SUMIFS('Transaction Overview'!$D$2:$D$467,'Transaction Overview'!$I$2:$I$467,$A95,'Transaction Overview'!$H$2:$H$467,F$4)</f>
        <v>-14.690000000000001</v>
      </c>
      <c r="G95" s="5">
        <f>SUMIFS('Transaction Overview'!$D$2:$D$467,'Transaction Overview'!$I$2:$I$467,$A95,'Transaction Overview'!$H$2:$H$467,G$4)</f>
        <v>0</v>
      </c>
      <c r="H95" s="5">
        <f>SUM(B95:G95)</f>
        <v>-14.690000000000001</v>
      </c>
    </row>
    <row r="96" spans="1:8" x14ac:dyDescent="0.25">
      <c r="A96" t="s">
        <v>521</v>
      </c>
      <c r="B96" s="5">
        <f>SUMIFS('Transaction Overview'!$D$2:$D$467,'Transaction Overview'!$I$2:$I$467,$A96,'Transaction Overview'!$H$2:$H$467,B$4)</f>
        <v>0</v>
      </c>
      <c r="C96" s="5">
        <f>SUMIFS('Transaction Overview'!$D$2:$D$467,'Transaction Overview'!$I$2:$I$467,$A96,'Transaction Overview'!$H$2:$H$467,C$4)</f>
        <v>0</v>
      </c>
      <c r="D96" s="5">
        <f>SUMIFS('Transaction Overview'!$D$2:$D$467,'Transaction Overview'!$I$2:$I$467,$A96,'Transaction Overview'!$H$2:$H$467,D$4)</f>
        <v>0</v>
      </c>
      <c r="E96" s="5">
        <f>SUMIFS('Transaction Overview'!$D$2:$D$467,'Transaction Overview'!$I$2:$I$467,$A96,'Transaction Overview'!$H$2:$H$467,E$4)</f>
        <v>0</v>
      </c>
      <c r="F96" s="5">
        <f>SUMIFS('Transaction Overview'!$D$2:$D$467,'Transaction Overview'!$I$2:$I$467,$A96,'Transaction Overview'!$H$2:$H$467,F$4)</f>
        <v>-70</v>
      </c>
      <c r="G96" s="5">
        <f>SUMIFS('Transaction Overview'!$D$2:$D$467,'Transaction Overview'!$I$2:$I$467,$A96,'Transaction Overview'!$H$2:$H$467,G$4)</f>
        <v>0</v>
      </c>
      <c r="H96" s="5">
        <f>SUM(B96:G96)</f>
        <v>-70</v>
      </c>
    </row>
    <row r="97" spans="1:8" x14ac:dyDescent="0.25">
      <c r="A97" t="s">
        <v>483</v>
      </c>
      <c r="B97" s="5">
        <f>SUMIFS('Transaction Overview'!$D$2:$D$467,'Transaction Overview'!$I$2:$I$467,$A97,'Transaction Overview'!$H$2:$H$467,B$4)</f>
        <v>-65</v>
      </c>
      <c r="C97" s="5">
        <f>SUMIFS('Transaction Overview'!$D$2:$D$467,'Transaction Overview'!$I$2:$I$467,$A97,'Transaction Overview'!$H$2:$H$467,C$4)</f>
        <v>-90</v>
      </c>
      <c r="D97" s="5">
        <f>SUMIFS('Transaction Overview'!$D$2:$D$467,'Transaction Overview'!$I$2:$I$467,$A97,'Transaction Overview'!$H$2:$H$467,D$4)</f>
        <v>0</v>
      </c>
      <c r="E97" s="5">
        <f>SUMIFS('Transaction Overview'!$D$2:$D$467,'Transaction Overview'!$I$2:$I$467,$A97,'Transaction Overview'!$H$2:$H$467,E$4)</f>
        <v>-95</v>
      </c>
      <c r="F97" s="5">
        <f>SUMIFS('Transaction Overview'!$D$2:$D$467,'Transaction Overview'!$I$2:$I$467,$A97,'Transaction Overview'!$H$2:$H$467,F$4)</f>
        <v>0</v>
      </c>
      <c r="G97" s="5">
        <f>SUMIFS('Transaction Overview'!$D$2:$D$467,'Transaction Overview'!$I$2:$I$467,$A97,'Transaction Overview'!$H$2:$H$467,G$4)</f>
        <v>0</v>
      </c>
      <c r="H97" s="5">
        <f>SUM(B97:G97)</f>
        <v>-250</v>
      </c>
    </row>
    <row r="98" spans="1:8" x14ac:dyDescent="0.25">
      <c r="A98" s="16" t="s">
        <v>572</v>
      </c>
      <c r="B98" s="20">
        <f>SUM(B93:B97)</f>
        <v>-572.25</v>
      </c>
      <c r="C98" s="20">
        <f>SUM(C93:C97)</f>
        <v>-90</v>
      </c>
      <c r="D98" s="20">
        <f>SUM(D93:D97)</f>
        <v>0</v>
      </c>
      <c r="E98" s="20">
        <f>SUM(E93:E97)</f>
        <v>-95</v>
      </c>
      <c r="F98" s="20">
        <f>SUM(F93:F97)</f>
        <v>-84.69</v>
      </c>
      <c r="G98" s="20">
        <f>SUM(G93:G97)</f>
        <v>0</v>
      </c>
      <c r="H98" s="20">
        <f>SUM(H93:H97)</f>
        <v>-841.94</v>
      </c>
    </row>
    <row r="99" spans="1:8" x14ac:dyDescent="0.25">
      <c r="B99" s="5"/>
      <c r="C99" s="5"/>
      <c r="D99" s="5"/>
      <c r="E99" s="5"/>
      <c r="F99" s="5"/>
      <c r="G99" s="5"/>
      <c r="H99" s="5"/>
    </row>
    <row r="100" spans="1:8" x14ac:dyDescent="0.25">
      <c r="A100" s="15" t="s">
        <v>545</v>
      </c>
      <c r="B100" s="19"/>
      <c r="C100" s="19"/>
      <c r="D100" s="19"/>
      <c r="E100" s="19"/>
      <c r="F100" s="19"/>
      <c r="G100" s="19"/>
      <c r="H100" s="19"/>
    </row>
    <row r="101" spans="1:8" x14ac:dyDescent="0.25">
      <c r="A101" t="s">
        <v>513</v>
      </c>
      <c r="B101" s="5">
        <f>SUMIFS('Transaction Overview'!$D$2:$D$467,'Transaction Overview'!$I$2:$I$467,$A101,'Transaction Overview'!$H$2:$H$467,B$4)</f>
        <v>0</v>
      </c>
      <c r="C101" s="5">
        <f>SUMIFS('Transaction Overview'!$D$2:$D$467,'Transaction Overview'!$I$2:$I$467,$A101,'Transaction Overview'!$H$2:$H$467,C$4)</f>
        <v>0</v>
      </c>
      <c r="D101" s="5">
        <f>SUMIFS('Transaction Overview'!$D$2:$D$467,'Transaction Overview'!$I$2:$I$467,$A101,'Transaction Overview'!$H$2:$H$467,D$4)</f>
        <v>0</v>
      </c>
      <c r="E101" s="5">
        <f>SUMIFS('Transaction Overview'!$D$2:$D$467,'Transaction Overview'!$I$2:$I$467,$A101,'Transaction Overview'!$H$2:$H$467,E$4)</f>
        <v>0</v>
      </c>
      <c r="F101" s="5">
        <f>SUMIFS('Transaction Overview'!$D$2:$D$467,'Transaction Overview'!$I$2:$I$467,$A101,'Transaction Overview'!$H$2:$H$467,F$4)</f>
        <v>0</v>
      </c>
      <c r="G101" s="5">
        <f>SUMIFS('Transaction Overview'!$D$2:$D$467,'Transaction Overview'!$I$2:$I$467,$A101,'Transaction Overview'!$H$2:$H$467,G$4)</f>
        <v>0</v>
      </c>
      <c r="H101" s="5">
        <f>SUM(B101:G101)</f>
        <v>0</v>
      </c>
    </row>
    <row r="102" spans="1:8" x14ac:dyDescent="0.25">
      <c r="A102" s="16" t="s">
        <v>573</v>
      </c>
      <c r="B102" s="20">
        <f>SUM(B101:B101)</f>
        <v>0</v>
      </c>
      <c r="C102" s="20">
        <f>SUM(C101:C101)</f>
        <v>0</v>
      </c>
      <c r="D102" s="20">
        <f>SUM(D101:D101)</f>
        <v>0</v>
      </c>
      <c r="E102" s="20">
        <f>SUM(E101:E101)</f>
        <v>0</v>
      </c>
      <c r="F102" s="20">
        <f>SUM(F101:F101)</f>
        <v>0</v>
      </c>
      <c r="G102" s="20">
        <f>SUM(G101:G101)</f>
        <v>0</v>
      </c>
      <c r="H102" s="20">
        <f>SUM(H101:H101)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38B7-0216-4CBD-9F7B-3D5DAD6C9E46}">
  <dimension ref="A1:I61"/>
  <sheetViews>
    <sheetView topLeftCell="C5" workbookViewId="0">
      <pane xSplit="1" ySplit="1" topLeftCell="D6" activePane="bottomRight" state="frozen"/>
      <selection activeCell="C5" sqref="C5"/>
      <selection pane="topRight" activeCell="D5" sqref="D5"/>
      <selection pane="bottomLeft" activeCell="C6" sqref="C6"/>
      <selection pane="bottomRight" activeCell="K14" sqref="K14"/>
    </sheetView>
  </sheetViews>
  <sheetFormatPr defaultRowHeight="15" x14ac:dyDescent="0.25"/>
  <cols>
    <col min="1" max="1" width="53.28515625" customWidth="1"/>
    <col min="2" max="2" width="45.7109375" customWidth="1"/>
    <col min="3" max="9" width="15.7109375" customWidth="1"/>
  </cols>
  <sheetData>
    <row r="1" spans="1:9" ht="21" x14ac:dyDescent="0.35">
      <c r="A1" s="8" t="s">
        <v>550</v>
      </c>
      <c r="B1" s="8"/>
      <c r="C1" s="8"/>
      <c r="D1" s="8"/>
      <c r="E1" s="8"/>
      <c r="F1" s="8"/>
      <c r="G1" s="8"/>
      <c r="H1" s="8"/>
      <c r="I1" s="8"/>
    </row>
    <row r="2" spans="1:9" x14ac:dyDescent="0.25">
      <c r="A2" s="6" t="s">
        <v>581</v>
      </c>
      <c r="B2" s="6"/>
      <c r="C2" s="6"/>
      <c r="D2" s="6"/>
      <c r="E2" s="6"/>
      <c r="F2" s="6"/>
      <c r="G2" s="6"/>
      <c r="H2" s="6"/>
      <c r="I2" s="6"/>
    </row>
    <row r="4" spans="1:9" x14ac:dyDescent="0.25">
      <c r="A4" s="17" t="s">
        <v>474</v>
      </c>
      <c r="B4" s="17" t="s">
        <v>533</v>
      </c>
      <c r="C4" s="18">
        <f>DATE(2026,1,1)</f>
        <v>46023</v>
      </c>
      <c r="D4" s="18">
        <f>DATE(2026,2,1)</f>
        <v>46054</v>
      </c>
      <c r="E4" s="18">
        <f>DATE(2026,3,1)</f>
        <v>46082</v>
      </c>
      <c r="F4" s="18">
        <f>DATE(2026,4,1)</f>
        <v>46113</v>
      </c>
      <c r="G4" s="18">
        <f>DATE(2026,5,1)</f>
        <v>46143</v>
      </c>
      <c r="H4" s="18">
        <f>DATE(2026,6,1)</f>
        <v>46174</v>
      </c>
      <c r="I4" s="17" t="s">
        <v>580</v>
      </c>
    </row>
    <row r="5" spans="1:9" x14ac:dyDescent="0.25">
      <c r="A5" t="s">
        <v>509</v>
      </c>
      <c r="B5" t="s">
        <v>538</v>
      </c>
      <c r="C5" s="5">
        <f>SUMIFS('Transaction Overview'!$D$2:$D$467,'Transaction Overview'!$G$2:$G$467,$A5,'Transaction Overview'!$H$2:$H$467,C$4)</f>
        <v>-10000</v>
      </c>
      <c r="D5" s="5">
        <f>SUMIFS('Transaction Overview'!$D$2:$D$467,'Transaction Overview'!$G$2:$G$467,$A5,'Transaction Overview'!$H$2:$H$467,D$4)</f>
        <v>0</v>
      </c>
      <c r="E5" s="5">
        <f>SUMIFS('Transaction Overview'!$D$2:$D$467,'Transaction Overview'!$G$2:$G$467,$A5,'Transaction Overview'!$H$2:$H$467,E$4)</f>
        <v>0</v>
      </c>
      <c r="F5" s="5">
        <f>SUMIFS('Transaction Overview'!$D$2:$D$467,'Transaction Overview'!$G$2:$G$467,$A5,'Transaction Overview'!$H$2:$H$467,F$4)</f>
        <v>0</v>
      </c>
      <c r="G5" s="5">
        <f>SUMIFS('Transaction Overview'!$D$2:$D$467,'Transaction Overview'!$G$2:$G$467,$A5,'Transaction Overview'!$H$2:$H$467,G$4)</f>
        <v>0</v>
      </c>
      <c r="H5" s="5">
        <f>SUMIFS('Transaction Overview'!$D$2:$D$467,'Transaction Overview'!$G$2:$G$467,$A5,'Transaction Overview'!$H$2:$H$467,H$4)</f>
        <v>0</v>
      </c>
      <c r="I5" s="5">
        <f>SUM(C5:H5)</f>
        <v>-10000</v>
      </c>
    </row>
    <row r="6" spans="1:9" x14ac:dyDescent="0.25">
      <c r="A6" t="s">
        <v>501</v>
      </c>
      <c r="B6" t="s">
        <v>538</v>
      </c>
      <c r="C6" s="5">
        <f>SUMIFS('Transaction Overview'!$D$2:$D$467,'Transaction Overview'!$G$2:$G$467,$A6,'Transaction Overview'!$H$2:$H$467,C$4)</f>
        <v>350</v>
      </c>
      <c r="D6" s="5">
        <f>SUMIFS('Transaction Overview'!$D$2:$D$467,'Transaction Overview'!$G$2:$G$467,$A6,'Transaction Overview'!$H$2:$H$467,D$4)</f>
        <v>350</v>
      </c>
      <c r="E6" s="5">
        <f>SUMIFS('Transaction Overview'!$D$2:$D$467,'Transaction Overview'!$G$2:$G$467,$A6,'Transaction Overview'!$H$2:$H$467,E$4)</f>
        <v>350</v>
      </c>
      <c r="F6" s="5">
        <f>SUMIFS('Transaction Overview'!$D$2:$D$467,'Transaction Overview'!$G$2:$G$467,$A6,'Transaction Overview'!$H$2:$H$467,F$4)</f>
        <v>350</v>
      </c>
      <c r="G6" s="5">
        <f>SUMIFS('Transaction Overview'!$D$2:$D$467,'Transaction Overview'!$G$2:$G$467,$A6,'Transaction Overview'!$H$2:$H$467,G$4)</f>
        <v>350</v>
      </c>
      <c r="H6" s="5">
        <f>SUMIFS('Transaction Overview'!$D$2:$D$467,'Transaction Overview'!$G$2:$G$467,$A6,'Transaction Overview'!$H$2:$H$467,H$4)</f>
        <v>350</v>
      </c>
      <c r="I6" s="5">
        <f>SUM(C6:H6)</f>
        <v>2100</v>
      </c>
    </row>
    <row r="7" spans="1:9" x14ac:dyDescent="0.25">
      <c r="A7" t="s">
        <v>515</v>
      </c>
      <c r="B7" t="s">
        <v>538</v>
      </c>
      <c r="C7" s="5">
        <f>SUMIFS('Transaction Overview'!$D$2:$D$467,'Transaction Overview'!$G$2:$G$467,$A7,'Transaction Overview'!$H$2:$H$467,C$4)</f>
        <v>241.87</v>
      </c>
      <c r="D7" s="5">
        <f>SUMIFS('Transaction Overview'!$D$2:$D$467,'Transaction Overview'!$G$2:$G$467,$A7,'Transaction Overview'!$H$2:$H$467,D$4)</f>
        <v>241.87</v>
      </c>
      <c r="E7" s="5">
        <f>SUMIFS('Transaction Overview'!$D$2:$D$467,'Transaction Overview'!$G$2:$G$467,$A7,'Transaction Overview'!$H$2:$H$467,E$4)</f>
        <v>241.87</v>
      </c>
      <c r="F7" s="5">
        <f>SUMIFS('Transaction Overview'!$D$2:$D$467,'Transaction Overview'!$G$2:$G$467,$A7,'Transaction Overview'!$H$2:$H$467,F$4)</f>
        <v>0</v>
      </c>
      <c r="G7" s="5">
        <f>SUMIFS('Transaction Overview'!$D$2:$D$467,'Transaction Overview'!$G$2:$G$467,$A7,'Transaction Overview'!$H$2:$H$467,G$4)</f>
        <v>0</v>
      </c>
      <c r="H7" s="5">
        <f>SUMIFS('Transaction Overview'!$D$2:$D$467,'Transaction Overview'!$G$2:$G$467,$A7,'Transaction Overview'!$H$2:$H$467,H$4)</f>
        <v>0</v>
      </c>
      <c r="I7" s="5">
        <f>SUM(C7:H7)</f>
        <v>725.61</v>
      </c>
    </row>
    <row r="8" spans="1:9" x14ac:dyDescent="0.25">
      <c r="A8" t="s">
        <v>502</v>
      </c>
      <c r="B8" t="s">
        <v>538</v>
      </c>
      <c r="C8" s="5">
        <f>SUMIFS('Transaction Overview'!$D$2:$D$467,'Transaction Overview'!$G$2:$G$467,$A8,'Transaction Overview'!$H$2:$H$467,C$4)</f>
        <v>476.41</v>
      </c>
      <c r="D8" s="5">
        <f>SUMIFS('Transaction Overview'!$D$2:$D$467,'Transaction Overview'!$G$2:$G$467,$A8,'Transaction Overview'!$H$2:$H$467,D$4)</f>
        <v>476.41</v>
      </c>
      <c r="E8" s="5">
        <f>SUMIFS('Transaction Overview'!$D$2:$D$467,'Transaction Overview'!$G$2:$G$467,$A8,'Transaction Overview'!$H$2:$H$467,E$4)</f>
        <v>491.29</v>
      </c>
      <c r="F8" s="5">
        <f>SUMIFS('Transaction Overview'!$D$2:$D$467,'Transaction Overview'!$G$2:$G$467,$A8,'Transaction Overview'!$H$2:$H$467,F$4)</f>
        <v>491.29</v>
      </c>
      <c r="G8" s="5">
        <f>SUMIFS('Transaction Overview'!$D$2:$D$467,'Transaction Overview'!$G$2:$G$467,$A8,'Transaction Overview'!$H$2:$H$467,G$4)</f>
        <v>491.29</v>
      </c>
      <c r="H8" s="5">
        <f>SUMIFS('Transaction Overview'!$D$2:$D$467,'Transaction Overview'!$G$2:$G$467,$A8,'Transaction Overview'!$H$2:$H$467,H$4)</f>
        <v>491.29</v>
      </c>
      <c r="I8" s="5">
        <f>SUM(C8:H8)</f>
        <v>2917.98</v>
      </c>
    </row>
    <row r="9" spans="1:9" x14ac:dyDescent="0.25">
      <c r="A9" t="s">
        <v>503</v>
      </c>
      <c r="B9" t="s">
        <v>538</v>
      </c>
      <c r="C9" s="5">
        <f>SUMIFS('Transaction Overview'!$D$2:$D$467,'Transaction Overview'!$G$2:$G$467,$A9,'Transaction Overview'!$H$2:$H$467,C$4)</f>
        <v>233.33</v>
      </c>
      <c r="D9" s="5">
        <f>SUMIFS('Transaction Overview'!$D$2:$D$467,'Transaction Overview'!$G$2:$G$467,$A9,'Transaction Overview'!$H$2:$H$467,D$4)</f>
        <v>233.33</v>
      </c>
      <c r="E9" s="5">
        <f>SUMIFS('Transaction Overview'!$D$2:$D$467,'Transaction Overview'!$G$2:$G$467,$A9,'Transaction Overview'!$H$2:$H$467,E$4)</f>
        <v>233.33</v>
      </c>
      <c r="F9" s="5">
        <f>SUMIFS('Transaction Overview'!$D$2:$D$467,'Transaction Overview'!$G$2:$G$467,$A9,'Transaction Overview'!$H$2:$H$467,F$4)</f>
        <v>233.33</v>
      </c>
      <c r="G9" s="5">
        <f>SUMIFS('Transaction Overview'!$D$2:$D$467,'Transaction Overview'!$G$2:$G$467,$A9,'Transaction Overview'!$H$2:$H$467,G$4)</f>
        <v>233.33</v>
      </c>
      <c r="H9" s="5">
        <f>SUMIFS('Transaction Overview'!$D$2:$D$467,'Transaction Overview'!$G$2:$G$467,$A9,'Transaction Overview'!$H$2:$H$467,H$4)</f>
        <v>233.33</v>
      </c>
      <c r="I9" s="5">
        <f>SUM(C9:H9)</f>
        <v>1399.98</v>
      </c>
    </row>
    <row r="10" spans="1:9" x14ac:dyDescent="0.25">
      <c r="A10" t="s">
        <v>516</v>
      </c>
      <c r="B10" t="s">
        <v>538</v>
      </c>
      <c r="C10" s="5">
        <f>SUMIFS('Transaction Overview'!$D$2:$D$467,'Transaction Overview'!$G$2:$G$467,$A10,'Transaction Overview'!$H$2:$H$467,C$4)</f>
        <v>356.38</v>
      </c>
      <c r="D10" s="5">
        <f>SUMIFS('Transaction Overview'!$D$2:$D$467,'Transaction Overview'!$G$2:$G$467,$A10,'Transaction Overview'!$H$2:$H$467,D$4)</f>
        <v>367.52</v>
      </c>
      <c r="E10" s="5">
        <f>SUMIFS('Transaction Overview'!$D$2:$D$467,'Transaction Overview'!$G$2:$G$467,$A10,'Transaction Overview'!$H$2:$H$467,E$4)</f>
        <v>367.52</v>
      </c>
      <c r="F10" s="5">
        <f>SUMIFS('Transaction Overview'!$D$2:$D$467,'Transaction Overview'!$G$2:$G$467,$A10,'Transaction Overview'!$H$2:$H$467,F$4)</f>
        <v>0</v>
      </c>
      <c r="G10" s="5">
        <f>SUMIFS('Transaction Overview'!$D$2:$D$467,'Transaction Overview'!$G$2:$G$467,$A10,'Transaction Overview'!$H$2:$H$467,G$4)</f>
        <v>0</v>
      </c>
      <c r="H10" s="5">
        <f>SUMIFS('Transaction Overview'!$D$2:$D$467,'Transaction Overview'!$G$2:$G$467,$A10,'Transaction Overview'!$H$2:$H$467,H$4)</f>
        <v>0</v>
      </c>
      <c r="I10" s="5">
        <f>SUM(C10:H10)</f>
        <v>1091.42</v>
      </c>
    </row>
    <row r="11" spans="1:9" x14ac:dyDescent="0.25">
      <c r="A11" t="s">
        <v>524</v>
      </c>
      <c r="B11" t="s">
        <v>540</v>
      </c>
      <c r="C11" s="5">
        <f>SUMIFS('Transaction Overview'!$D$2:$D$467,'Transaction Overview'!$G$2:$G$467,$A11,'Transaction Overview'!$H$2:$H$467,C$4)</f>
        <v>0</v>
      </c>
      <c r="D11" s="5">
        <f>SUMIFS('Transaction Overview'!$D$2:$D$467,'Transaction Overview'!$G$2:$G$467,$A11,'Transaction Overview'!$H$2:$H$467,D$4)</f>
        <v>168266</v>
      </c>
      <c r="E11" s="5">
        <f>SUMIFS('Transaction Overview'!$D$2:$D$467,'Transaction Overview'!$G$2:$G$467,$A11,'Transaction Overview'!$H$2:$H$467,E$4)</f>
        <v>0</v>
      </c>
      <c r="F11" s="5">
        <f>SUMIFS('Transaction Overview'!$D$2:$D$467,'Transaction Overview'!$G$2:$G$467,$A11,'Transaction Overview'!$H$2:$H$467,F$4)</f>
        <v>0</v>
      </c>
      <c r="G11" s="5">
        <f>SUMIFS('Transaction Overview'!$D$2:$D$467,'Transaction Overview'!$G$2:$G$467,$A11,'Transaction Overview'!$H$2:$H$467,G$4)</f>
        <v>0</v>
      </c>
      <c r="H11" s="5">
        <f>SUMIFS('Transaction Overview'!$D$2:$D$467,'Transaction Overview'!$G$2:$G$467,$A11,'Transaction Overview'!$H$2:$H$467,H$4)</f>
        <v>0</v>
      </c>
      <c r="I11" s="5">
        <f>SUM(C11:H11)</f>
        <v>168266</v>
      </c>
    </row>
    <row r="12" spans="1:9" x14ac:dyDescent="0.25">
      <c r="A12" t="s">
        <v>519</v>
      </c>
      <c r="B12" t="s">
        <v>540</v>
      </c>
      <c r="C12" s="5">
        <f>SUMIFS('Transaction Overview'!$D$2:$D$467,'Transaction Overview'!$G$2:$G$467,$A12,'Transaction Overview'!$H$2:$H$467,C$4)</f>
        <v>0</v>
      </c>
      <c r="D12" s="5">
        <f>SUMIFS('Transaction Overview'!$D$2:$D$467,'Transaction Overview'!$G$2:$G$467,$A12,'Transaction Overview'!$H$2:$H$467,D$4)</f>
        <v>0</v>
      </c>
      <c r="E12" s="5">
        <f>SUMIFS('Transaction Overview'!$D$2:$D$467,'Transaction Overview'!$G$2:$G$467,$A12,'Transaction Overview'!$H$2:$H$467,E$4)</f>
        <v>0</v>
      </c>
      <c r="F12" s="5">
        <f>SUMIFS('Transaction Overview'!$D$2:$D$467,'Transaction Overview'!$G$2:$G$467,$A12,'Transaction Overview'!$H$2:$H$467,F$4)</f>
        <v>266889.44</v>
      </c>
      <c r="G12" s="5">
        <f>SUMIFS('Transaction Overview'!$D$2:$D$467,'Transaction Overview'!$G$2:$G$467,$A12,'Transaction Overview'!$H$2:$H$467,G$4)</f>
        <v>0</v>
      </c>
      <c r="H12" s="5">
        <f>SUMIFS('Transaction Overview'!$D$2:$D$467,'Transaction Overview'!$G$2:$G$467,$A12,'Transaction Overview'!$H$2:$H$467,H$4)</f>
        <v>0</v>
      </c>
      <c r="I12" s="5">
        <f>SUM(C12:H12)</f>
        <v>266889.44</v>
      </c>
    </row>
    <row r="13" spans="1:9" x14ac:dyDescent="0.25">
      <c r="A13" t="s">
        <v>520</v>
      </c>
      <c r="B13" t="s">
        <v>542</v>
      </c>
      <c r="C13" s="5">
        <f>SUMIFS('Transaction Overview'!$D$2:$D$467,'Transaction Overview'!$G$2:$G$467,$A13,'Transaction Overview'!$H$2:$H$467,C$4)</f>
        <v>0</v>
      </c>
      <c r="D13" s="5">
        <f>SUMIFS('Transaction Overview'!$D$2:$D$467,'Transaction Overview'!$G$2:$G$467,$A13,'Transaction Overview'!$H$2:$H$467,D$4)</f>
        <v>0</v>
      </c>
      <c r="E13" s="5">
        <f>SUMIFS('Transaction Overview'!$D$2:$D$467,'Transaction Overview'!$G$2:$G$467,$A13,'Transaction Overview'!$H$2:$H$467,E$4)</f>
        <v>0</v>
      </c>
      <c r="F13" s="5">
        <f>SUMIFS('Transaction Overview'!$D$2:$D$467,'Transaction Overview'!$G$2:$G$467,$A13,'Transaction Overview'!$H$2:$H$467,F$4)</f>
        <v>-16087.5</v>
      </c>
      <c r="G13" s="5">
        <f>SUMIFS('Transaction Overview'!$D$2:$D$467,'Transaction Overview'!$G$2:$G$467,$A13,'Transaction Overview'!$H$2:$H$467,G$4)</f>
        <v>0</v>
      </c>
      <c r="H13" s="5">
        <f>SUMIFS('Transaction Overview'!$D$2:$D$467,'Transaction Overview'!$G$2:$G$467,$A13,'Transaction Overview'!$H$2:$H$467,H$4)</f>
        <v>0</v>
      </c>
      <c r="I13" s="5">
        <f>SUM(C13:H13)</f>
        <v>-16087.5</v>
      </c>
    </row>
    <row r="14" spans="1:9" x14ac:dyDescent="0.25">
      <c r="A14" t="s">
        <v>508</v>
      </c>
      <c r="B14" t="s">
        <v>542</v>
      </c>
      <c r="C14" s="5">
        <f>SUMIFS('Transaction Overview'!$D$2:$D$467,'Transaction Overview'!$G$2:$G$467,$A14,'Transaction Overview'!$H$2:$H$467,C$4)</f>
        <v>-6000</v>
      </c>
      <c r="D14" s="5">
        <f>SUMIFS('Transaction Overview'!$D$2:$D$467,'Transaction Overview'!$G$2:$G$467,$A14,'Transaction Overview'!$H$2:$H$467,D$4)</f>
        <v>0</v>
      </c>
      <c r="E14" s="5">
        <f>SUMIFS('Transaction Overview'!$D$2:$D$467,'Transaction Overview'!$G$2:$G$467,$A14,'Transaction Overview'!$H$2:$H$467,E$4)</f>
        <v>0</v>
      </c>
      <c r="F14" s="5">
        <f>SUMIFS('Transaction Overview'!$D$2:$D$467,'Transaction Overview'!$G$2:$G$467,$A14,'Transaction Overview'!$H$2:$H$467,F$4)</f>
        <v>0</v>
      </c>
      <c r="G14" s="5">
        <f>SUMIFS('Transaction Overview'!$D$2:$D$467,'Transaction Overview'!$G$2:$G$467,$A14,'Transaction Overview'!$H$2:$H$467,G$4)</f>
        <v>0</v>
      </c>
      <c r="H14" s="5">
        <f>SUMIFS('Transaction Overview'!$D$2:$D$467,'Transaction Overview'!$G$2:$G$467,$A14,'Transaction Overview'!$H$2:$H$467,H$4)</f>
        <v>0</v>
      </c>
      <c r="I14" s="5">
        <f>SUM(C14:H14)</f>
        <v>-6000</v>
      </c>
    </row>
    <row r="15" spans="1:9" x14ac:dyDescent="0.25">
      <c r="A15" t="s">
        <v>484</v>
      </c>
      <c r="B15" t="s">
        <v>542</v>
      </c>
      <c r="C15" s="5">
        <f>SUMIFS('Transaction Overview'!$D$2:$D$467,'Transaction Overview'!$G$2:$G$467,$A15,'Transaction Overview'!$H$2:$H$467,C$4)</f>
        <v>0</v>
      </c>
      <c r="D15" s="5">
        <f>SUMIFS('Transaction Overview'!$D$2:$D$467,'Transaction Overview'!$G$2:$G$467,$A15,'Transaction Overview'!$H$2:$H$467,D$4)</f>
        <v>0</v>
      </c>
      <c r="E15" s="5">
        <f>SUMIFS('Transaction Overview'!$D$2:$D$467,'Transaction Overview'!$G$2:$G$467,$A15,'Transaction Overview'!$H$2:$H$467,E$4)</f>
        <v>0</v>
      </c>
      <c r="F15" s="5">
        <f>SUMIFS('Transaction Overview'!$D$2:$D$467,'Transaction Overview'!$G$2:$G$467,$A15,'Transaction Overview'!$H$2:$H$467,F$4)</f>
        <v>-1500</v>
      </c>
      <c r="G15" s="5">
        <f>SUMIFS('Transaction Overview'!$D$2:$D$467,'Transaction Overview'!$G$2:$G$467,$A15,'Transaction Overview'!$H$2:$H$467,G$4)</f>
        <v>0</v>
      </c>
      <c r="H15" s="5">
        <f>SUMIFS('Transaction Overview'!$D$2:$D$467,'Transaction Overview'!$G$2:$G$467,$A15,'Transaction Overview'!$H$2:$H$467,H$4)</f>
        <v>0</v>
      </c>
      <c r="I15" s="5">
        <f>SUM(C15:H15)</f>
        <v>-1500</v>
      </c>
    </row>
    <row r="16" spans="1:9" x14ac:dyDescent="0.25">
      <c r="A16" t="s">
        <v>528</v>
      </c>
      <c r="B16" t="s">
        <v>543</v>
      </c>
      <c r="C16" s="5">
        <f>SUMIFS('Transaction Overview'!$D$2:$D$467,'Transaction Overview'!$G$2:$G$467,$A16,'Transaction Overview'!$H$2:$H$467,C$4)</f>
        <v>0</v>
      </c>
      <c r="D16" s="5">
        <f>SUMIFS('Transaction Overview'!$D$2:$D$467,'Transaction Overview'!$G$2:$G$467,$A16,'Transaction Overview'!$H$2:$H$467,D$4)</f>
        <v>5000</v>
      </c>
      <c r="E16" s="5">
        <f>SUMIFS('Transaction Overview'!$D$2:$D$467,'Transaction Overview'!$G$2:$G$467,$A16,'Transaction Overview'!$H$2:$H$467,E$4)</f>
        <v>0</v>
      </c>
      <c r="F16" s="5">
        <f>SUMIFS('Transaction Overview'!$D$2:$D$467,'Transaction Overview'!$G$2:$G$467,$A16,'Transaction Overview'!$H$2:$H$467,F$4)</f>
        <v>0</v>
      </c>
      <c r="G16" s="5">
        <f>SUMIFS('Transaction Overview'!$D$2:$D$467,'Transaction Overview'!$G$2:$G$467,$A16,'Transaction Overview'!$H$2:$H$467,G$4)</f>
        <v>0</v>
      </c>
      <c r="H16" s="5">
        <f>SUMIFS('Transaction Overview'!$D$2:$D$467,'Transaction Overview'!$G$2:$G$467,$A16,'Transaction Overview'!$H$2:$H$467,H$4)</f>
        <v>0</v>
      </c>
      <c r="I16" s="5">
        <f>SUM(C16:H16)</f>
        <v>5000</v>
      </c>
    </row>
    <row r="17" spans="1:9" x14ac:dyDescent="0.25">
      <c r="A17" t="s">
        <v>486</v>
      </c>
      <c r="B17" t="s">
        <v>543</v>
      </c>
      <c r="C17" s="5">
        <f>SUMIFS('Transaction Overview'!$D$2:$D$467,'Transaction Overview'!$G$2:$G$467,$A17,'Transaction Overview'!$H$2:$H$467,C$4)</f>
        <v>0</v>
      </c>
      <c r="D17" s="5">
        <f>SUMIFS('Transaction Overview'!$D$2:$D$467,'Transaction Overview'!$G$2:$G$467,$A17,'Transaction Overview'!$H$2:$H$467,D$4)</f>
        <v>-5000</v>
      </c>
      <c r="E17" s="5">
        <f>SUMIFS('Transaction Overview'!$D$2:$D$467,'Transaction Overview'!$G$2:$G$467,$A17,'Transaction Overview'!$H$2:$H$467,E$4)</f>
        <v>0</v>
      </c>
      <c r="F17" s="5">
        <f>SUMIFS('Transaction Overview'!$D$2:$D$467,'Transaction Overview'!$G$2:$G$467,$A17,'Transaction Overview'!$H$2:$H$467,F$4)</f>
        <v>-5000</v>
      </c>
      <c r="G17" s="5">
        <f>SUMIFS('Transaction Overview'!$D$2:$D$467,'Transaction Overview'!$G$2:$G$467,$A17,'Transaction Overview'!$H$2:$H$467,G$4)</f>
        <v>0</v>
      </c>
      <c r="H17" s="5">
        <f>SUMIFS('Transaction Overview'!$D$2:$D$467,'Transaction Overview'!$G$2:$G$467,$A17,'Transaction Overview'!$H$2:$H$467,H$4)</f>
        <v>0</v>
      </c>
      <c r="I17" s="5">
        <f>SUM(C17:H17)</f>
        <v>-10000</v>
      </c>
    </row>
    <row r="18" spans="1:9" x14ac:dyDescent="0.25">
      <c r="A18" t="s">
        <v>518</v>
      </c>
      <c r="B18" t="s">
        <v>543</v>
      </c>
      <c r="C18" s="5">
        <f>SUMIFS('Transaction Overview'!$D$2:$D$467,'Transaction Overview'!$G$2:$G$467,$A18,'Transaction Overview'!$H$2:$H$467,C$4)</f>
        <v>0</v>
      </c>
      <c r="D18" s="5">
        <f>SUMIFS('Transaction Overview'!$D$2:$D$467,'Transaction Overview'!$G$2:$G$467,$A18,'Transaction Overview'!$H$2:$H$467,D$4)</f>
        <v>0</v>
      </c>
      <c r="E18" s="5">
        <f>SUMIFS('Transaction Overview'!$D$2:$D$467,'Transaction Overview'!$G$2:$G$467,$A18,'Transaction Overview'!$H$2:$H$467,E$4)</f>
        <v>0</v>
      </c>
      <c r="F18" s="5">
        <f>SUMIFS('Transaction Overview'!$D$2:$D$467,'Transaction Overview'!$G$2:$G$467,$A18,'Transaction Overview'!$H$2:$H$467,F$4)</f>
        <v>15000</v>
      </c>
      <c r="G18" s="5">
        <f>SUMIFS('Transaction Overview'!$D$2:$D$467,'Transaction Overview'!$G$2:$G$467,$A18,'Transaction Overview'!$H$2:$H$467,G$4)</f>
        <v>0</v>
      </c>
      <c r="H18" s="5">
        <f>SUMIFS('Transaction Overview'!$D$2:$D$467,'Transaction Overview'!$G$2:$G$467,$A18,'Transaction Overview'!$H$2:$H$467,H$4)</f>
        <v>0</v>
      </c>
      <c r="I18" s="5">
        <f>SUM(C18:H18)</f>
        <v>15000</v>
      </c>
    </row>
    <row r="19" spans="1:9" x14ac:dyDescent="0.25">
      <c r="A19" t="s">
        <v>514</v>
      </c>
      <c r="B19" t="s">
        <v>541</v>
      </c>
      <c r="C19" s="5">
        <f>SUMIFS('Transaction Overview'!$D$2:$D$467,'Transaction Overview'!$G$2:$G$467,$A19,'Transaction Overview'!$H$2:$H$467,C$4)</f>
        <v>0</v>
      </c>
      <c r="D19" s="5">
        <f>SUMIFS('Transaction Overview'!$D$2:$D$467,'Transaction Overview'!$G$2:$G$467,$A19,'Transaction Overview'!$H$2:$H$467,D$4)</f>
        <v>20000</v>
      </c>
      <c r="E19" s="5">
        <f>SUMIFS('Transaction Overview'!$D$2:$D$467,'Transaction Overview'!$G$2:$G$467,$A19,'Transaction Overview'!$H$2:$H$467,E$4)</f>
        <v>0</v>
      </c>
      <c r="F19" s="5">
        <f>SUMIFS('Transaction Overview'!$D$2:$D$467,'Transaction Overview'!$G$2:$G$467,$A19,'Transaction Overview'!$H$2:$H$467,F$4)</f>
        <v>0</v>
      </c>
      <c r="G19" s="5">
        <f>SUMIFS('Transaction Overview'!$D$2:$D$467,'Transaction Overview'!$G$2:$G$467,$A19,'Transaction Overview'!$H$2:$H$467,G$4)</f>
        <v>0</v>
      </c>
      <c r="H19" s="5">
        <f>SUMIFS('Transaction Overview'!$D$2:$D$467,'Transaction Overview'!$G$2:$G$467,$A19,'Transaction Overview'!$H$2:$H$467,H$4)</f>
        <v>0</v>
      </c>
      <c r="I19" s="5">
        <f>SUM(C19:H19)</f>
        <v>20000</v>
      </c>
    </row>
    <row r="20" spans="1:9" x14ac:dyDescent="0.25">
      <c r="A20" t="s">
        <v>530</v>
      </c>
      <c r="B20" t="s">
        <v>541</v>
      </c>
      <c r="C20" s="5">
        <f>SUMIFS('Transaction Overview'!$D$2:$D$467,'Transaction Overview'!$G$2:$G$467,$A20,'Transaction Overview'!$H$2:$H$467,C$4)</f>
        <v>0</v>
      </c>
      <c r="D20" s="5">
        <f>SUMIFS('Transaction Overview'!$D$2:$D$467,'Transaction Overview'!$G$2:$G$467,$A20,'Transaction Overview'!$H$2:$H$467,D$4)</f>
        <v>58370.85</v>
      </c>
      <c r="E20" s="5">
        <f>SUMIFS('Transaction Overview'!$D$2:$D$467,'Transaction Overview'!$G$2:$G$467,$A20,'Transaction Overview'!$H$2:$H$467,E$4)</f>
        <v>0</v>
      </c>
      <c r="F20" s="5">
        <f>SUMIFS('Transaction Overview'!$D$2:$D$467,'Transaction Overview'!$G$2:$G$467,$A20,'Transaction Overview'!$H$2:$H$467,F$4)</f>
        <v>0</v>
      </c>
      <c r="G20" s="5">
        <f>SUMIFS('Transaction Overview'!$D$2:$D$467,'Transaction Overview'!$G$2:$G$467,$A20,'Transaction Overview'!$H$2:$H$467,G$4)</f>
        <v>0</v>
      </c>
      <c r="H20" s="5">
        <f>SUMIFS('Transaction Overview'!$D$2:$D$467,'Transaction Overview'!$G$2:$G$467,$A20,'Transaction Overview'!$H$2:$H$467,H$4)</f>
        <v>0</v>
      </c>
      <c r="I20" s="5">
        <f>SUM(C20:H20)</f>
        <v>58370.85</v>
      </c>
    </row>
    <row r="21" spans="1:9" x14ac:dyDescent="0.25">
      <c r="A21" t="s">
        <v>507</v>
      </c>
      <c r="B21" t="s">
        <v>541</v>
      </c>
      <c r="C21" s="5">
        <f>SUMIFS('Transaction Overview'!$D$2:$D$467,'Transaction Overview'!$G$2:$G$467,$A21,'Transaction Overview'!$H$2:$H$467,C$4)</f>
        <v>16000</v>
      </c>
      <c r="D21" s="5">
        <f>SUMIFS('Transaction Overview'!$D$2:$D$467,'Transaction Overview'!$G$2:$G$467,$A21,'Transaction Overview'!$H$2:$H$467,D$4)</f>
        <v>0</v>
      </c>
      <c r="E21" s="5">
        <f>SUMIFS('Transaction Overview'!$D$2:$D$467,'Transaction Overview'!$G$2:$G$467,$A21,'Transaction Overview'!$H$2:$H$467,E$4)</f>
        <v>0</v>
      </c>
      <c r="F21" s="5">
        <f>SUMIFS('Transaction Overview'!$D$2:$D$467,'Transaction Overview'!$G$2:$G$467,$A21,'Transaction Overview'!$H$2:$H$467,F$4)</f>
        <v>0</v>
      </c>
      <c r="G21" s="5">
        <f>SUMIFS('Transaction Overview'!$D$2:$D$467,'Transaction Overview'!$G$2:$G$467,$A21,'Transaction Overview'!$H$2:$H$467,G$4)</f>
        <v>0</v>
      </c>
      <c r="H21" s="5">
        <f>SUMIFS('Transaction Overview'!$D$2:$D$467,'Transaction Overview'!$G$2:$G$467,$A21,'Transaction Overview'!$H$2:$H$467,H$4)</f>
        <v>0</v>
      </c>
      <c r="I21" s="5">
        <f>SUM(C21:H21)</f>
        <v>16000</v>
      </c>
    </row>
    <row r="22" spans="1:9" x14ac:dyDescent="0.25">
      <c r="A22" t="s">
        <v>529</v>
      </c>
      <c r="B22" t="s">
        <v>548</v>
      </c>
      <c r="C22" s="5">
        <f>SUMIFS('Transaction Overview'!$D$2:$D$467,'Transaction Overview'!$G$2:$G$467,$A22,'Transaction Overview'!$H$2:$H$467,C$4)</f>
        <v>0</v>
      </c>
      <c r="D22" s="5">
        <f>SUMIFS('Transaction Overview'!$D$2:$D$467,'Transaction Overview'!$G$2:$G$467,$A22,'Transaction Overview'!$H$2:$H$467,D$4)</f>
        <v>-56670.85</v>
      </c>
      <c r="E22" s="5">
        <f>SUMIFS('Transaction Overview'!$D$2:$D$467,'Transaction Overview'!$G$2:$G$467,$A22,'Transaction Overview'!$H$2:$H$467,E$4)</f>
        <v>0</v>
      </c>
      <c r="F22" s="5">
        <f>SUMIFS('Transaction Overview'!$D$2:$D$467,'Transaction Overview'!$G$2:$G$467,$A22,'Transaction Overview'!$H$2:$H$467,F$4)</f>
        <v>0</v>
      </c>
      <c r="G22" s="5">
        <f>SUMIFS('Transaction Overview'!$D$2:$D$467,'Transaction Overview'!$G$2:$G$467,$A22,'Transaction Overview'!$H$2:$H$467,G$4)</f>
        <v>0</v>
      </c>
      <c r="H22" s="5">
        <f>SUMIFS('Transaction Overview'!$D$2:$D$467,'Transaction Overview'!$G$2:$G$467,$A22,'Transaction Overview'!$H$2:$H$467,H$4)</f>
        <v>0</v>
      </c>
      <c r="I22" s="5">
        <f>SUM(C22:H22)</f>
        <v>-56670.85</v>
      </c>
    </row>
    <row r="23" spans="1:9" x14ac:dyDescent="0.25">
      <c r="A23" t="s">
        <v>523</v>
      </c>
      <c r="B23" t="s">
        <v>548</v>
      </c>
      <c r="C23" s="5">
        <f>SUMIFS('Transaction Overview'!$D$2:$D$467,'Transaction Overview'!$G$2:$G$467,$A23,'Transaction Overview'!$H$2:$H$467,C$4)</f>
        <v>0</v>
      </c>
      <c r="D23" s="5">
        <f>SUMIFS('Transaction Overview'!$D$2:$D$467,'Transaction Overview'!$G$2:$G$467,$A23,'Transaction Overview'!$H$2:$H$467,D$4)</f>
        <v>-10000</v>
      </c>
      <c r="E23" s="5">
        <f>SUMIFS('Transaction Overview'!$D$2:$D$467,'Transaction Overview'!$G$2:$G$467,$A23,'Transaction Overview'!$H$2:$H$467,E$4)</f>
        <v>0</v>
      </c>
      <c r="F23" s="5">
        <f>SUMIFS('Transaction Overview'!$D$2:$D$467,'Transaction Overview'!$G$2:$G$467,$A23,'Transaction Overview'!$H$2:$H$467,F$4)</f>
        <v>0</v>
      </c>
      <c r="G23" s="5">
        <f>SUMIFS('Transaction Overview'!$D$2:$D$467,'Transaction Overview'!$G$2:$G$467,$A23,'Transaction Overview'!$H$2:$H$467,G$4)</f>
        <v>0</v>
      </c>
      <c r="H23" s="5">
        <f>SUMIFS('Transaction Overview'!$D$2:$D$467,'Transaction Overview'!$G$2:$G$467,$A23,'Transaction Overview'!$H$2:$H$467,H$4)</f>
        <v>0</v>
      </c>
      <c r="I23" s="5">
        <f>SUM(C23:H23)</f>
        <v>-10000</v>
      </c>
    </row>
    <row r="24" spans="1:9" x14ac:dyDescent="0.25">
      <c r="A24" t="s">
        <v>527</v>
      </c>
      <c r="B24" t="s">
        <v>548</v>
      </c>
      <c r="C24" s="5">
        <f>SUMIFS('Transaction Overview'!$D$2:$D$467,'Transaction Overview'!$G$2:$G$467,$A24,'Transaction Overview'!$H$2:$H$467,C$4)</f>
        <v>0</v>
      </c>
      <c r="D24" s="5">
        <f>SUMIFS('Transaction Overview'!$D$2:$D$467,'Transaction Overview'!$G$2:$G$467,$A24,'Transaction Overview'!$H$2:$H$467,D$4)</f>
        <v>-10000</v>
      </c>
      <c r="E24" s="5">
        <f>SUMIFS('Transaction Overview'!$D$2:$D$467,'Transaction Overview'!$G$2:$G$467,$A24,'Transaction Overview'!$H$2:$H$467,E$4)</f>
        <v>0</v>
      </c>
      <c r="F24" s="5">
        <f>SUMIFS('Transaction Overview'!$D$2:$D$467,'Transaction Overview'!$G$2:$G$467,$A24,'Transaction Overview'!$H$2:$H$467,F$4)</f>
        <v>0</v>
      </c>
      <c r="G24" s="5">
        <f>SUMIFS('Transaction Overview'!$D$2:$D$467,'Transaction Overview'!$G$2:$G$467,$A24,'Transaction Overview'!$H$2:$H$467,G$4)</f>
        <v>0</v>
      </c>
      <c r="H24" s="5">
        <f>SUMIFS('Transaction Overview'!$D$2:$D$467,'Transaction Overview'!$G$2:$G$467,$A24,'Transaction Overview'!$H$2:$H$467,H$4)</f>
        <v>0</v>
      </c>
      <c r="I24" s="5">
        <f>SUM(C24:H24)</f>
        <v>-10000</v>
      </c>
    </row>
    <row r="25" spans="1:9" x14ac:dyDescent="0.25">
      <c r="A25" t="s">
        <v>495</v>
      </c>
      <c r="B25" t="s">
        <v>546</v>
      </c>
      <c r="C25" s="5">
        <f>SUMIFS('Transaction Overview'!$D$2:$D$467,'Transaction Overview'!$G$2:$G$467,$A25,'Transaction Overview'!$H$2:$H$467,C$4)</f>
        <v>0</v>
      </c>
      <c r="D25" s="5">
        <f>SUMIFS('Transaction Overview'!$D$2:$D$467,'Transaction Overview'!$G$2:$G$467,$A25,'Transaction Overview'!$H$2:$H$467,D$4)</f>
        <v>8556.41</v>
      </c>
      <c r="E25" s="5">
        <f>SUMIFS('Transaction Overview'!$D$2:$D$467,'Transaction Overview'!$G$2:$G$467,$A25,'Transaction Overview'!$H$2:$H$467,E$4)</f>
        <v>0</v>
      </c>
      <c r="F25" s="5">
        <f>SUMIFS('Transaction Overview'!$D$2:$D$467,'Transaction Overview'!$G$2:$G$467,$A25,'Transaction Overview'!$H$2:$H$467,F$4)</f>
        <v>0</v>
      </c>
      <c r="G25" s="5">
        <f>SUMIFS('Transaction Overview'!$D$2:$D$467,'Transaction Overview'!$G$2:$G$467,$A25,'Transaction Overview'!$H$2:$H$467,G$4)</f>
        <v>0</v>
      </c>
      <c r="H25" s="5">
        <f>SUMIFS('Transaction Overview'!$D$2:$D$467,'Transaction Overview'!$G$2:$G$467,$A25,'Transaction Overview'!$H$2:$H$467,H$4)</f>
        <v>0</v>
      </c>
      <c r="I25" s="5">
        <f>SUM(C25:H25)</f>
        <v>8556.41</v>
      </c>
    </row>
    <row r="26" spans="1:9" x14ac:dyDescent="0.25">
      <c r="A26" t="s">
        <v>497</v>
      </c>
      <c r="B26" t="s">
        <v>546</v>
      </c>
      <c r="C26" s="5">
        <f>SUMIFS('Transaction Overview'!$D$2:$D$467,'Transaction Overview'!$G$2:$G$467,$A26,'Transaction Overview'!$H$2:$H$467,C$4)</f>
        <v>2000</v>
      </c>
      <c r="D26" s="5">
        <f>SUMIFS('Transaction Overview'!$D$2:$D$467,'Transaction Overview'!$G$2:$G$467,$A26,'Transaction Overview'!$H$2:$H$467,D$4)</f>
        <v>0</v>
      </c>
      <c r="E26" s="5">
        <f>SUMIFS('Transaction Overview'!$D$2:$D$467,'Transaction Overview'!$G$2:$G$467,$A26,'Transaction Overview'!$H$2:$H$467,E$4)</f>
        <v>0</v>
      </c>
      <c r="F26" s="5">
        <f>SUMIFS('Transaction Overview'!$D$2:$D$467,'Transaction Overview'!$G$2:$G$467,$A26,'Transaction Overview'!$H$2:$H$467,F$4)</f>
        <v>0</v>
      </c>
      <c r="G26" s="5">
        <f>SUMIFS('Transaction Overview'!$D$2:$D$467,'Transaction Overview'!$G$2:$G$467,$A26,'Transaction Overview'!$H$2:$H$467,G$4)</f>
        <v>0</v>
      </c>
      <c r="H26" s="5">
        <f>SUMIFS('Transaction Overview'!$D$2:$D$467,'Transaction Overview'!$G$2:$G$467,$A26,'Transaction Overview'!$H$2:$H$467,H$4)</f>
        <v>0</v>
      </c>
      <c r="I26" s="5">
        <f>SUM(C26:H26)</f>
        <v>2000</v>
      </c>
    </row>
    <row r="27" spans="1:9" x14ac:dyDescent="0.25">
      <c r="A27" t="s">
        <v>485</v>
      </c>
      <c r="B27" t="s">
        <v>546</v>
      </c>
      <c r="C27" s="5">
        <f>SUMIFS('Transaction Overview'!$D$2:$D$467,'Transaction Overview'!$G$2:$G$467,$A27,'Transaction Overview'!$H$2:$H$467,C$4)</f>
        <v>0</v>
      </c>
      <c r="D27" s="5">
        <f>SUMIFS('Transaction Overview'!$D$2:$D$467,'Transaction Overview'!$G$2:$G$467,$A27,'Transaction Overview'!$H$2:$H$467,D$4)</f>
        <v>0</v>
      </c>
      <c r="E27" s="5">
        <f>SUMIFS('Transaction Overview'!$D$2:$D$467,'Transaction Overview'!$G$2:$G$467,$A27,'Transaction Overview'!$H$2:$H$467,E$4)</f>
        <v>0</v>
      </c>
      <c r="F27" s="5">
        <f>SUMIFS('Transaction Overview'!$D$2:$D$467,'Transaction Overview'!$G$2:$G$467,$A27,'Transaction Overview'!$H$2:$H$467,F$4)</f>
        <v>11450</v>
      </c>
      <c r="G27" s="5">
        <f>SUMIFS('Transaction Overview'!$D$2:$D$467,'Transaction Overview'!$G$2:$G$467,$A27,'Transaction Overview'!$H$2:$H$467,G$4)</f>
        <v>0</v>
      </c>
      <c r="H27" s="5">
        <f>SUMIFS('Transaction Overview'!$D$2:$D$467,'Transaction Overview'!$G$2:$G$467,$A27,'Transaction Overview'!$H$2:$H$467,H$4)</f>
        <v>0</v>
      </c>
      <c r="I27" s="5">
        <f>SUM(C27:H27)</f>
        <v>11450</v>
      </c>
    </row>
    <row r="28" spans="1:9" x14ac:dyDescent="0.25">
      <c r="A28" t="s">
        <v>489</v>
      </c>
      <c r="B28" t="s">
        <v>546</v>
      </c>
      <c r="C28" s="5">
        <f>SUMIFS('Transaction Overview'!$D$2:$D$467,'Transaction Overview'!$G$2:$G$467,$A28,'Transaction Overview'!$H$2:$H$467,C$4)</f>
        <v>0</v>
      </c>
      <c r="D28" s="5">
        <f>SUMIFS('Transaction Overview'!$D$2:$D$467,'Transaction Overview'!$G$2:$G$467,$A28,'Transaction Overview'!$H$2:$H$467,D$4)</f>
        <v>50000</v>
      </c>
      <c r="E28" s="5">
        <f>SUMIFS('Transaction Overview'!$D$2:$D$467,'Transaction Overview'!$G$2:$G$467,$A28,'Transaction Overview'!$H$2:$H$467,E$4)</f>
        <v>50000</v>
      </c>
      <c r="F28" s="5">
        <f>SUMIFS('Transaction Overview'!$D$2:$D$467,'Transaction Overview'!$G$2:$G$467,$A28,'Transaction Overview'!$H$2:$H$467,F$4)</f>
        <v>0</v>
      </c>
      <c r="G28" s="5">
        <f>SUMIFS('Transaction Overview'!$D$2:$D$467,'Transaction Overview'!$G$2:$G$467,$A28,'Transaction Overview'!$H$2:$H$467,G$4)</f>
        <v>0</v>
      </c>
      <c r="H28" s="5">
        <f>SUMIFS('Transaction Overview'!$D$2:$D$467,'Transaction Overview'!$G$2:$G$467,$A28,'Transaction Overview'!$H$2:$H$467,H$4)</f>
        <v>0</v>
      </c>
      <c r="I28" s="5">
        <f>SUM(C28:H28)</f>
        <v>100000</v>
      </c>
    </row>
    <row r="29" spans="1:9" x14ac:dyDescent="0.25">
      <c r="A29" t="s">
        <v>504</v>
      </c>
      <c r="B29" t="s">
        <v>546</v>
      </c>
      <c r="C29" s="5">
        <f>SUMIFS('Transaction Overview'!$D$2:$D$467,'Transaction Overview'!$G$2:$G$467,$A29,'Transaction Overview'!$H$2:$H$467,C$4)</f>
        <v>0</v>
      </c>
      <c r="D29" s="5">
        <f>SUMIFS('Transaction Overview'!$D$2:$D$467,'Transaction Overview'!$G$2:$G$467,$A29,'Transaction Overview'!$H$2:$H$467,D$4)</f>
        <v>0</v>
      </c>
      <c r="E29" s="5">
        <f>SUMIFS('Transaction Overview'!$D$2:$D$467,'Transaction Overview'!$G$2:$G$467,$A29,'Transaction Overview'!$H$2:$H$467,E$4)</f>
        <v>0</v>
      </c>
      <c r="F29" s="5">
        <f>SUMIFS('Transaction Overview'!$D$2:$D$467,'Transaction Overview'!$G$2:$G$467,$A29,'Transaction Overview'!$H$2:$H$467,F$4)</f>
        <v>0</v>
      </c>
      <c r="G29" s="5">
        <f>SUMIFS('Transaction Overview'!$D$2:$D$467,'Transaction Overview'!$G$2:$G$467,$A29,'Transaction Overview'!$H$2:$H$467,G$4)</f>
        <v>-20000</v>
      </c>
      <c r="H29" s="5">
        <f>SUMIFS('Transaction Overview'!$D$2:$D$467,'Transaction Overview'!$G$2:$G$467,$A29,'Transaction Overview'!$H$2:$H$467,H$4)</f>
        <v>0</v>
      </c>
      <c r="I29" s="5">
        <f>SUM(C29:H29)</f>
        <v>-20000</v>
      </c>
    </row>
    <row r="30" spans="1:9" x14ac:dyDescent="0.25">
      <c r="A30" t="s">
        <v>479</v>
      </c>
      <c r="B30" t="s">
        <v>546</v>
      </c>
      <c r="C30" s="5">
        <f>SUMIFS('Transaction Overview'!$D$2:$D$467,'Transaction Overview'!$G$2:$G$467,$A30,'Transaction Overview'!$H$2:$H$467,C$4)</f>
        <v>-70000</v>
      </c>
      <c r="D30" s="5">
        <f>SUMIFS('Transaction Overview'!$D$2:$D$467,'Transaction Overview'!$G$2:$G$467,$A30,'Transaction Overview'!$H$2:$H$467,D$4)</f>
        <v>-68556.41</v>
      </c>
      <c r="E30" s="5">
        <f>SUMIFS('Transaction Overview'!$D$2:$D$467,'Transaction Overview'!$G$2:$G$467,$A30,'Transaction Overview'!$H$2:$H$467,E$4)</f>
        <v>-55000</v>
      </c>
      <c r="F30" s="5">
        <f>SUMIFS('Transaction Overview'!$D$2:$D$467,'Transaction Overview'!$G$2:$G$467,$A30,'Transaction Overview'!$H$2:$H$467,F$4)</f>
        <v>-75000</v>
      </c>
      <c r="G30" s="5">
        <f>SUMIFS('Transaction Overview'!$D$2:$D$467,'Transaction Overview'!$G$2:$G$467,$A30,'Transaction Overview'!$H$2:$H$467,G$4)</f>
        <v>0</v>
      </c>
      <c r="H30" s="5">
        <f>SUMIFS('Transaction Overview'!$D$2:$D$467,'Transaction Overview'!$G$2:$G$467,$A30,'Transaction Overview'!$H$2:$H$467,H$4)</f>
        <v>-30000</v>
      </c>
      <c r="I30" s="5">
        <f>SUM(C30:H30)</f>
        <v>-298556.41000000003</v>
      </c>
    </row>
    <row r="31" spans="1:9" x14ac:dyDescent="0.25">
      <c r="A31" t="s">
        <v>494</v>
      </c>
      <c r="B31" t="s">
        <v>546</v>
      </c>
      <c r="C31" s="5">
        <f>SUMIFS('Transaction Overview'!$D$2:$D$467,'Transaction Overview'!$G$2:$G$467,$A31,'Transaction Overview'!$H$2:$H$467,C$4)</f>
        <v>0</v>
      </c>
      <c r="D31" s="5">
        <f>SUMIFS('Transaction Overview'!$D$2:$D$467,'Transaction Overview'!$G$2:$G$467,$A31,'Transaction Overview'!$H$2:$H$467,D$4)</f>
        <v>-15000</v>
      </c>
      <c r="E31" s="5">
        <f>SUMIFS('Transaction Overview'!$D$2:$D$467,'Transaction Overview'!$G$2:$G$467,$A31,'Transaction Overview'!$H$2:$H$467,E$4)</f>
        <v>0</v>
      </c>
      <c r="F31" s="5">
        <f>SUMIFS('Transaction Overview'!$D$2:$D$467,'Transaction Overview'!$G$2:$G$467,$A31,'Transaction Overview'!$H$2:$H$467,F$4)</f>
        <v>0</v>
      </c>
      <c r="G31" s="5">
        <f>SUMIFS('Transaction Overview'!$D$2:$D$467,'Transaction Overview'!$G$2:$G$467,$A31,'Transaction Overview'!$H$2:$H$467,G$4)</f>
        <v>0</v>
      </c>
      <c r="H31" s="5">
        <f>SUMIFS('Transaction Overview'!$D$2:$D$467,'Transaction Overview'!$G$2:$G$467,$A31,'Transaction Overview'!$H$2:$H$467,H$4)</f>
        <v>0</v>
      </c>
      <c r="I31" s="5">
        <f>SUM(C31:H31)</f>
        <v>-15000</v>
      </c>
    </row>
    <row r="32" spans="1:9" x14ac:dyDescent="0.25">
      <c r="A32" t="s">
        <v>482</v>
      </c>
      <c r="B32" t="s">
        <v>546</v>
      </c>
      <c r="C32" s="5">
        <f>SUMIFS('Transaction Overview'!$D$2:$D$467,'Transaction Overview'!$G$2:$G$467,$A32,'Transaction Overview'!$H$2:$H$467,C$4)</f>
        <v>-46000</v>
      </c>
      <c r="D32" s="5">
        <f>SUMIFS('Transaction Overview'!$D$2:$D$467,'Transaction Overview'!$G$2:$G$467,$A32,'Transaction Overview'!$H$2:$H$467,D$4)</f>
        <v>0</v>
      </c>
      <c r="E32" s="5">
        <f>SUMIFS('Transaction Overview'!$D$2:$D$467,'Transaction Overview'!$G$2:$G$467,$A32,'Transaction Overview'!$H$2:$H$467,E$4)</f>
        <v>-1000</v>
      </c>
      <c r="F32" s="5">
        <f>SUMIFS('Transaction Overview'!$D$2:$D$467,'Transaction Overview'!$G$2:$G$467,$A32,'Transaction Overview'!$H$2:$H$467,F$4)</f>
        <v>-10000</v>
      </c>
      <c r="G32" s="5">
        <f>SUMIFS('Transaction Overview'!$D$2:$D$467,'Transaction Overview'!$G$2:$G$467,$A32,'Transaction Overview'!$H$2:$H$467,G$4)</f>
        <v>-20000</v>
      </c>
      <c r="H32" s="5">
        <f>SUMIFS('Transaction Overview'!$D$2:$D$467,'Transaction Overview'!$G$2:$G$467,$A32,'Transaction Overview'!$H$2:$H$467,H$4)</f>
        <v>0</v>
      </c>
      <c r="I32" s="5">
        <f>SUM(C32:H32)</f>
        <v>-77000</v>
      </c>
    </row>
    <row r="33" spans="1:9" x14ac:dyDescent="0.25">
      <c r="A33" t="s">
        <v>487</v>
      </c>
      <c r="B33" t="s">
        <v>546</v>
      </c>
      <c r="C33" s="5">
        <f>SUMIFS('Transaction Overview'!$D$2:$D$467,'Transaction Overview'!$G$2:$G$467,$A33,'Transaction Overview'!$H$2:$H$467,C$4)</f>
        <v>-35000</v>
      </c>
      <c r="D33" s="5">
        <f>SUMIFS('Transaction Overview'!$D$2:$D$467,'Transaction Overview'!$G$2:$G$467,$A33,'Transaction Overview'!$H$2:$H$467,D$4)</f>
        <v>0</v>
      </c>
      <c r="E33" s="5">
        <f>SUMIFS('Transaction Overview'!$D$2:$D$467,'Transaction Overview'!$G$2:$G$467,$A33,'Transaction Overview'!$H$2:$H$467,E$4)</f>
        <v>0</v>
      </c>
      <c r="F33" s="5">
        <f>SUMIFS('Transaction Overview'!$D$2:$D$467,'Transaction Overview'!$G$2:$G$467,$A33,'Transaction Overview'!$H$2:$H$467,F$4)</f>
        <v>-200</v>
      </c>
      <c r="G33" s="5">
        <f>SUMIFS('Transaction Overview'!$D$2:$D$467,'Transaction Overview'!$G$2:$G$467,$A33,'Transaction Overview'!$H$2:$H$467,G$4)</f>
        <v>0</v>
      </c>
      <c r="H33" s="5">
        <f>SUMIFS('Transaction Overview'!$D$2:$D$467,'Transaction Overview'!$G$2:$G$467,$A33,'Transaction Overview'!$H$2:$H$467,H$4)</f>
        <v>0</v>
      </c>
      <c r="I33" s="5">
        <f>SUM(C33:H33)</f>
        <v>-35200</v>
      </c>
    </row>
    <row r="34" spans="1:9" x14ac:dyDescent="0.25">
      <c r="A34" t="s">
        <v>522</v>
      </c>
      <c r="B34" t="s">
        <v>546</v>
      </c>
      <c r="C34" s="5">
        <f>SUMIFS('Transaction Overview'!$D$2:$D$467,'Transaction Overview'!$G$2:$G$467,$A34,'Transaction Overview'!$H$2:$H$467,C$4)</f>
        <v>0</v>
      </c>
      <c r="D34" s="5">
        <f>SUMIFS('Transaction Overview'!$D$2:$D$467,'Transaction Overview'!$G$2:$G$467,$A34,'Transaction Overview'!$H$2:$H$467,D$4)</f>
        <v>0</v>
      </c>
      <c r="E34" s="5">
        <f>SUMIFS('Transaction Overview'!$D$2:$D$467,'Transaction Overview'!$G$2:$G$467,$A34,'Transaction Overview'!$H$2:$H$467,E$4)</f>
        <v>-13000</v>
      </c>
      <c r="F34" s="5">
        <f>SUMIFS('Transaction Overview'!$D$2:$D$467,'Transaction Overview'!$G$2:$G$467,$A34,'Transaction Overview'!$H$2:$H$467,F$4)</f>
        <v>0</v>
      </c>
      <c r="G34" s="5">
        <f>SUMIFS('Transaction Overview'!$D$2:$D$467,'Transaction Overview'!$G$2:$G$467,$A34,'Transaction Overview'!$H$2:$H$467,G$4)</f>
        <v>0</v>
      </c>
      <c r="H34" s="5">
        <f>SUMIFS('Transaction Overview'!$D$2:$D$467,'Transaction Overview'!$G$2:$G$467,$A34,'Transaction Overview'!$H$2:$H$467,H$4)</f>
        <v>0</v>
      </c>
      <c r="I34" s="5">
        <f>SUM(C34:H34)</f>
        <v>-13000</v>
      </c>
    </row>
    <row r="35" spans="1:9" x14ac:dyDescent="0.25">
      <c r="A35" t="s">
        <v>492</v>
      </c>
      <c r="B35" t="s">
        <v>546</v>
      </c>
      <c r="C35" s="5">
        <f>SUMIFS('Transaction Overview'!$D$2:$D$467,'Transaction Overview'!$G$2:$G$467,$A35,'Transaction Overview'!$H$2:$H$467,C$4)</f>
        <v>-100</v>
      </c>
      <c r="D35" s="5">
        <f>SUMIFS('Transaction Overview'!$D$2:$D$467,'Transaction Overview'!$G$2:$G$467,$A35,'Transaction Overview'!$H$2:$H$467,D$4)</f>
        <v>-100</v>
      </c>
      <c r="E35" s="5">
        <f>SUMIFS('Transaction Overview'!$D$2:$D$467,'Transaction Overview'!$G$2:$G$467,$A35,'Transaction Overview'!$H$2:$H$467,E$4)</f>
        <v>0</v>
      </c>
      <c r="F35" s="5">
        <f>SUMIFS('Transaction Overview'!$D$2:$D$467,'Transaction Overview'!$G$2:$G$467,$A35,'Transaction Overview'!$H$2:$H$467,F$4)</f>
        <v>0</v>
      </c>
      <c r="G35" s="5">
        <f>SUMIFS('Transaction Overview'!$D$2:$D$467,'Transaction Overview'!$G$2:$G$467,$A35,'Transaction Overview'!$H$2:$H$467,G$4)</f>
        <v>0</v>
      </c>
      <c r="H35" s="5">
        <f>SUMIFS('Transaction Overview'!$D$2:$D$467,'Transaction Overview'!$G$2:$G$467,$A35,'Transaction Overview'!$H$2:$H$467,H$4)</f>
        <v>0</v>
      </c>
      <c r="I35" s="5">
        <f>SUM(C35:H35)</f>
        <v>-200</v>
      </c>
    </row>
    <row r="36" spans="1:9" x14ac:dyDescent="0.25">
      <c r="A36" t="s">
        <v>478</v>
      </c>
      <c r="B36" t="s">
        <v>547</v>
      </c>
      <c r="C36" s="5">
        <f>SUMIFS('Transaction Overview'!$D$2:$D$467,'Transaction Overview'!$G$2:$G$467,$A36,'Transaction Overview'!$H$2:$H$467,C$4)</f>
        <v>0</v>
      </c>
      <c r="D36" s="5">
        <f>SUMIFS('Transaction Overview'!$D$2:$D$467,'Transaction Overview'!$G$2:$G$467,$A36,'Transaction Overview'!$H$2:$H$467,D$4)</f>
        <v>-30000</v>
      </c>
      <c r="E36" s="5">
        <f>SUMIFS('Transaction Overview'!$D$2:$D$467,'Transaction Overview'!$G$2:$G$467,$A36,'Transaction Overview'!$H$2:$H$467,E$4)</f>
        <v>0</v>
      </c>
      <c r="F36" s="5">
        <f>SUMIFS('Transaction Overview'!$D$2:$D$467,'Transaction Overview'!$G$2:$G$467,$A36,'Transaction Overview'!$H$2:$H$467,F$4)</f>
        <v>0</v>
      </c>
      <c r="G36" s="5">
        <f>SUMIFS('Transaction Overview'!$D$2:$D$467,'Transaction Overview'!$G$2:$G$467,$A36,'Transaction Overview'!$H$2:$H$467,G$4)</f>
        <v>0</v>
      </c>
      <c r="H36" s="5">
        <f>SUMIFS('Transaction Overview'!$D$2:$D$467,'Transaction Overview'!$G$2:$G$467,$A36,'Transaction Overview'!$H$2:$H$467,H$4)</f>
        <v>-1000</v>
      </c>
      <c r="I36" s="5">
        <f>SUM(C36:H36)</f>
        <v>-31000</v>
      </c>
    </row>
    <row r="37" spans="1:9" x14ac:dyDescent="0.25">
      <c r="A37" t="s">
        <v>493</v>
      </c>
      <c r="B37" t="s">
        <v>547</v>
      </c>
      <c r="C37" s="5">
        <f>SUMIFS('Transaction Overview'!$D$2:$D$467,'Transaction Overview'!$G$2:$G$467,$A37,'Transaction Overview'!$H$2:$H$467,C$4)</f>
        <v>0</v>
      </c>
      <c r="D37" s="5">
        <f>SUMIFS('Transaction Overview'!$D$2:$D$467,'Transaction Overview'!$G$2:$G$467,$A37,'Transaction Overview'!$H$2:$H$467,D$4)</f>
        <v>-40000</v>
      </c>
      <c r="E37" s="5">
        <f>SUMIFS('Transaction Overview'!$D$2:$D$467,'Transaction Overview'!$G$2:$G$467,$A37,'Transaction Overview'!$H$2:$H$467,E$4)</f>
        <v>0</v>
      </c>
      <c r="F37" s="5">
        <f>SUMIFS('Transaction Overview'!$D$2:$D$467,'Transaction Overview'!$G$2:$G$467,$A37,'Transaction Overview'!$H$2:$H$467,F$4)</f>
        <v>0</v>
      </c>
      <c r="G37" s="5">
        <f>SUMIFS('Transaction Overview'!$D$2:$D$467,'Transaction Overview'!$G$2:$G$467,$A37,'Transaction Overview'!$H$2:$H$467,G$4)</f>
        <v>0</v>
      </c>
      <c r="H37" s="5">
        <f>SUMIFS('Transaction Overview'!$D$2:$D$467,'Transaction Overview'!$G$2:$G$467,$A37,'Transaction Overview'!$H$2:$H$467,H$4)</f>
        <v>0</v>
      </c>
      <c r="I37" s="5">
        <f>SUM(C37:H37)</f>
        <v>-40000</v>
      </c>
    </row>
    <row r="38" spans="1:9" x14ac:dyDescent="0.25">
      <c r="A38" t="s">
        <v>525</v>
      </c>
      <c r="B38" t="s">
        <v>537</v>
      </c>
      <c r="C38" s="5">
        <f>SUMIFS('Transaction Overview'!$D$2:$D$467,'Transaction Overview'!$G$2:$G$467,$A38,'Transaction Overview'!$H$2:$H$467,C$4)</f>
        <v>0</v>
      </c>
      <c r="D38" s="5">
        <f>SUMIFS('Transaction Overview'!$D$2:$D$467,'Transaction Overview'!$G$2:$G$467,$A38,'Transaction Overview'!$H$2:$H$467,D$4)</f>
        <v>-100</v>
      </c>
      <c r="E38" s="5">
        <f>SUMIFS('Transaction Overview'!$D$2:$D$467,'Transaction Overview'!$G$2:$G$467,$A38,'Transaction Overview'!$H$2:$H$467,E$4)</f>
        <v>0</v>
      </c>
      <c r="F38" s="5">
        <f>SUMIFS('Transaction Overview'!$D$2:$D$467,'Transaction Overview'!$G$2:$G$467,$A38,'Transaction Overview'!$H$2:$H$467,F$4)</f>
        <v>0</v>
      </c>
      <c r="G38" s="5">
        <f>SUMIFS('Transaction Overview'!$D$2:$D$467,'Transaction Overview'!$G$2:$G$467,$A38,'Transaction Overview'!$H$2:$H$467,G$4)</f>
        <v>0</v>
      </c>
      <c r="H38" s="5">
        <f>SUMIFS('Transaction Overview'!$D$2:$D$467,'Transaction Overview'!$G$2:$G$467,$A38,'Transaction Overview'!$H$2:$H$467,H$4)</f>
        <v>0</v>
      </c>
      <c r="I38" s="5">
        <f>SUM(C38:H38)</f>
        <v>-100</v>
      </c>
    </row>
    <row r="39" spans="1:9" x14ac:dyDescent="0.25">
      <c r="A39" t="s">
        <v>510</v>
      </c>
      <c r="B39" t="s">
        <v>537</v>
      </c>
      <c r="C39" s="5">
        <f>SUMIFS('Transaction Overview'!$D$2:$D$467,'Transaction Overview'!$G$2:$G$467,$A39,'Transaction Overview'!$H$2:$H$467,C$4)</f>
        <v>-325</v>
      </c>
      <c r="D39" s="5">
        <f>SUMIFS('Transaction Overview'!$D$2:$D$467,'Transaction Overview'!$G$2:$G$467,$A39,'Transaction Overview'!$H$2:$H$467,D$4)</f>
        <v>0</v>
      </c>
      <c r="E39" s="5">
        <f>SUMIFS('Transaction Overview'!$D$2:$D$467,'Transaction Overview'!$G$2:$G$467,$A39,'Transaction Overview'!$H$2:$H$467,E$4)</f>
        <v>0</v>
      </c>
      <c r="F39" s="5">
        <f>SUMIFS('Transaction Overview'!$D$2:$D$467,'Transaction Overview'!$G$2:$G$467,$A39,'Transaction Overview'!$H$2:$H$467,F$4)</f>
        <v>0</v>
      </c>
      <c r="G39" s="5">
        <f>SUMIFS('Transaction Overview'!$D$2:$D$467,'Transaction Overview'!$G$2:$G$467,$A39,'Transaction Overview'!$H$2:$H$467,G$4)</f>
        <v>0</v>
      </c>
      <c r="H39" s="5">
        <f>SUMIFS('Transaction Overview'!$D$2:$D$467,'Transaction Overview'!$G$2:$G$467,$A39,'Transaction Overview'!$H$2:$H$467,H$4)</f>
        <v>0</v>
      </c>
      <c r="I39" s="5">
        <f>SUM(C39:H39)</f>
        <v>-325</v>
      </c>
    </row>
    <row r="40" spans="1:9" x14ac:dyDescent="0.25">
      <c r="A40" t="s">
        <v>480</v>
      </c>
      <c r="B40" t="s">
        <v>537</v>
      </c>
      <c r="C40" s="5">
        <f>SUMIFS('Transaction Overview'!$D$2:$D$467,'Transaction Overview'!$G$2:$G$467,$A40,'Transaction Overview'!$H$2:$H$467,C$4)</f>
        <v>0</v>
      </c>
      <c r="D40" s="5">
        <f>SUMIFS('Transaction Overview'!$D$2:$D$467,'Transaction Overview'!$G$2:$G$467,$A40,'Transaction Overview'!$H$2:$H$467,D$4)</f>
        <v>0</v>
      </c>
      <c r="E40" s="5">
        <f>SUMIFS('Transaction Overview'!$D$2:$D$467,'Transaction Overview'!$G$2:$G$467,$A40,'Transaction Overview'!$H$2:$H$467,E$4)</f>
        <v>0</v>
      </c>
      <c r="F40" s="5">
        <f>SUMIFS('Transaction Overview'!$D$2:$D$467,'Transaction Overview'!$G$2:$G$467,$A40,'Transaction Overview'!$H$2:$H$467,F$4)</f>
        <v>0</v>
      </c>
      <c r="G40" s="5">
        <f>SUMIFS('Transaction Overview'!$D$2:$D$467,'Transaction Overview'!$G$2:$G$467,$A40,'Transaction Overview'!$H$2:$H$467,G$4)</f>
        <v>0</v>
      </c>
      <c r="H40" s="5">
        <f>SUMIFS('Transaction Overview'!$D$2:$D$467,'Transaction Overview'!$G$2:$G$467,$A40,'Transaction Overview'!$H$2:$H$467,H$4)</f>
        <v>-2500</v>
      </c>
      <c r="I40" s="5">
        <f>SUM(C40:H40)</f>
        <v>-2500</v>
      </c>
    </row>
    <row r="41" spans="1:9" x14ac:dyDescent="0.25">
      <c r="A41" t="s">
        <v>511</v>
      </c>
      <c r="B41" t="s">
        <v>537</v>
      </c>
      <c r="C41" s="5">
        <f>SUMIFS('Transaction Overview'!$D$2:$D$467,'Transaction Overview'!$G$2:$G$467,$A41,'Transaction Overview'!$H$2:$H$467,C$4)</f>
        <v>-700</v>
      </c>
      <c r="D41" s="5">
        <f>SUMIFS('Transaction Overview'!$D$2:$D$467,'Transaction Overview'!$G$2:$G$467,$A41,'Transaction Overview'!$H$2:$H$467,D$4)</f>
        <v>0</v>
      </c>
      <c r="E41" s="5">
        <f>SUMIFS('Transaction Overview'!$D$2:$D$467,'Transaction Overview'!$G$2:$G$467,$A41,'Transaction Overview'!$H$2:$H$467,E$4)</f>
        <v>0</v>
      </c>
      <c r="F41" s="5">
        <f>SUMIFS('Transaction Overview'!$D$2:$D$467,'Transaction Overview'!$G$2:$G$467,$A41,'Transaction Overview'!$H$2:$H$467,F$4)</f>
        <v>0</v>
      </c>
      <c r="G41" s="5">
        <f>SUMIFS('Transaction Overview'!$D$2:$D$467,'Transaction Overview'!$G$2:$G$467,$A41,'Transaction Overview'!$H$2:$H$467,G$4)</f>
        <v>0</v>
      </c>
      <c r="H41" s="5">
        <f>SUMIFS('Transaction Overview'!$D$2:$D$467,'Transaction Overview'!$G$2:$G$467,$A41,'Transaction Overview'!$H$2:$H$467,H$4)</f>
        <v>0</v>
      </c>
      <c r="I41" s="5">
        <f>SUM(C41:H41)</f>
        <v>-700</v>
      </c>
    </row>
    <row r="42" spans="1:9" x14ac:dyDescent="0.25">
      <c r="A42" t="s">
        <v>603</v>
      </c>
      <c r="B42" t="s">
        <v>537</v>
      </c>
      <c r="C42" s="5">
        <f>SUMIFS('Transaction Overview'!$D$2:$D$467,'Transaction Overview'!$G$2:$G$467,$A42,'Transaction Overview'!$H$2:$H$467,C$4)</f>
        <v>-370</v>
      </c>
      <c r="D42" s="5">
        <f>SUMIFS('Transaction Overview'!$D$2:$D$467,'Transaction Overview'!$G$2:$G$467,$A42,'Transaction Overview'!$H$2:$H$467,D$4)</f>
        <v>0</v>
      </c>
      <c r="E42" s="5">
        <f>SUMIFS('Transaction Overview'!$D$2:$D$467,'Transaction Overview'!$G$2:$G$467,$A42,'Transaction Overview'!$H$2:$H$467,E$4)</f>
        <v>0</v>
      </c>
      <c r="F42" s="5">
        <f>SUMIFS('Transaction Overview'!$D$2:$D$467,'Transaction Overview'!$G$2:$G$467,$A42,'Transaction Overview'!$H$2:$H$467,F$4)</f>
        <v>0</v>
      </c>
      <c r="G42" s="5">
        <f>SUMIFS('Transaction Overview'!$D$2:$D$467,'Transaction Overview'!$G$2:$G$467,$A42,'Transaction Overview'!$H$2:$H$467,G$4)</f>
        <v>0</v>
      </c>
      <c r="H42" s="5">
        <f>SUMIFS('Transaction Overview'!$D$2:$D$467,'Transaction Overview'!$G$2:$G$467,$A42,'Transaction Overview'!$H$2:$H$467,H$4)</f>
        <v>0</v>
      </c>
      <c r="I42" s="5">
        <f>SUM(C42:H42)</f>
        <v>-370</v>
      </c>
    </row>
    <row r="43" spans="1:9" x14ac:dyDescent="0.25">
      <c r="A43" t="s">
        <v>490</v>
      </c>
      <c r="B43" t="s">
        <v>539</v>
      </c>
      <c r="C43" s="5">
        <f>SUMIFS('Transaction Overview'!$D$2:$D$467,'Transaction Overview'!$G$2:$G$467,$A43,'Transaction Overview'!$H$2:$H$467,C$4)</f>
        <v>0</v>
      </c>
      <c r="D43" s="5">
        <f>SUMIFS('Transaction Overview'!$D$2:$D$467,'Transaction Overview'!$G$2:$G$467,$A43,'Transaction Overview'!$H$2:$H$467,D$4)</f>
        <v>-560.30999999999995</v>
      </c>
      <c r="E43" s="5">
        <f>SUMIFS('Transaction Overview'!$D$2:$D$467,'Transaction Overview'!$G$2:$G$467,$A43,'Transaction Overview'!$H$2:$H$467,E$4)</f>
        <v>-811.14</v>
      </c>
      <c r="F43" s="5">
        <f>SUMIFS('Transaction Overview'!$D$2:$D$467,'Transaction Overview'!$G$2:$G$467,$A43,'Transaction Overview'!$H$2:$H$467,F$4)</f>
        <v>0</v>
      </c>
      <c r="G43" s="5">
        <f>SUMIFS('Transaction Overview'!$D$2:$D$467,'Transaction Overview'!$G$2:$G$467,$A43,'Transaction Overview'!$H$2:$H$467,G$4)</f>
        <v>0</v>
      </c>
      <c r="H43" s="5">
        <f>SUMIFS('Transaction Overview'!$D$2:$D$467,'Transaction Overview'!$G$2:$G$467,$A43,'Transaction Overview'!$H$2:$H$467,H$4)</f>
        <v>0</v>
      </c>
      <c r="I43" s="5">
        <f>SUM(C43:H43)</f>
        <v>-1371.4499999999998</v>
      </c>
    </row>
    <row r="44" spans="1:9" x14ac:dyDescent="0.25">
      <c r="A44" t="s">
        <v>481</v>
      </c>
      <c r="B44" t="s">
        <v>539</v>
      </c>
      <c r="C44" s="5">
        <f>SUMIFS('Transaction Overview'!$D$2:$D$467,'Transaction Overview'!$G$2:$G$467,$A44,'Transaction Overview'!$H$2:$H$467,C$4)</f>
        <v>-1120</v>
      </c>
      <c r="D44" s="5">
        <f>SUMIFS('Transaction Overview'!$D$2:$D$467,'Transaction Overview'!$G$2:$G$467,$A44,'Transaction Overview'!$H$2:$H$467,D$4)</f>
        <v>-95</v>
      </c>
      <c r="E44" s="5">
        <f>SUMIFS('Transaction Overview'!$D$2:$D$467,'Transaction Overview'!$G$2:$G$467,$A44,'Transaction Overview'!$H$2:$H$467,E$4)</f>
        <v>-162</v>
      </c>
      <c r="F44" s="5">
        <f>SUMIFS('Transaction Overview'!$D$2:$D$467,'Transaction Overview'!$G$2:$G$467,$A44,'Transaction Overview'!$H$2:$H$467,F$4)</f>
        <v>-5095</v>
      </c>
      <c r="G44" s="5">
        <f>SUMIFS('Transaction Overview'!$D$2:$D$467,'Transaction Overview'!$G$2:$G$467,$A44,'Transaction Overview'!$H$2:$H$467,G$4)</f>
        <v>-165</v>
      </c>
      <c r="H44" s="5">
        <f>SUMIFS('Transaction Overview'!$D$2:$D$467,'Transaction Overview'!$G$2:$G$467,$A44,'Transaction Overview'!$H$2:$H$467,H$4)</f>
        <v>0</v>
      </c>
      <c r="I44" s="5">
        <f>SUM(C44:H44)</f>
        <v>-6637</v>
      </c>
    </row>
    <row r="45" spans="1:9" x14ac:dyDescent="0.25">
      <c r="A45" t="s">
        <v>475</v>
      </c>
      <c r="B45" t="s">
        <v>536</v>
      </c>
      <c r="C45" s="5">
        <f>SUMIFS('Transaction Overview'!$D$2:$D$467,'Transaction Overview'!$G$2:$G$467,$A45,'Transaction Overview'!$H$2:$H$467,C$4)</f>
        <v>-14306.250000000002</v>
      </c>
      <c r="D45" s="5">
        <f>SUMIFS('Transaction Overview'!$D$2:$D$467,'Transaction Overview'!$G$2:$G$467,$A45,'Transaction Overview'!$H$2:$H$467,D$4)</f>
        <v>-59026.559999999998</v>
      </c>
      <c r="E45" s="5">
        <f>SUMIFS('Transaction Overview'!$D$2:$D$467,'Transaction Overview'!$G$2:$G$467,$A45,'Transaction Overview'!$H$2:$H$467,E$4)</f>
        <v>-17955</v>
      </c>
      <c r="F45" s="5">
        <f>SUMIFS('Transaction Overview'!$D$2:$D$467,'Transaction Overview'!$G$2:$G$467,$A45,'Transaction Overview'!$H$2:$H$467,F$4)</f>
        <v>-17136.430000000004</v>
      </c>
      <c r="G45" s="5">
        <f>SUMIFS('Transaction Overview'!$D$2:$D$467,'Transaction Overview'!$G$2:$G$467,$A45,'Transaction Overview'!$H$2:$H$467,G$4)</f>
        <v>-73395.28</v>
      </c>
      <c r="H45" s="5">
        <f>SUMIFS('Transaction Overview'!$D$2:$D$467,'Transaction Overview'!$G$2:$G$467,$A45,'Transaction Overview'!$H$2:$H$467,H$4)</f>
        <v>-15944.400000000001</v>
      </c>
      <c r="I45" s="5">
        <f>SUM(C45:H45)</f>
        <v>-197763.92</v>
      </c>
    </row>
    <row r="46" spans="1:9" x14ac:dyDescent="0.25">
      <c r="A46" t="s">
        <v>488</v>
      </c>
      <c r="B46" t="s">
        <v>535</v>
      </c>
      <c r="C46" s="5">
        <f>SUMIFS('Transaction Overview'!$D$2:$D$467,'Transaction Overview'!$G$2:$G$467,$A46,'Transaction Overview'!$H$2:$H$467,C$4)</f>
        <v>-723.98</v>
      </c>
      <c r="D46" s="5">
        <f>SUMIFS('Transaction Overview'!$D$2:$D$467,'Transaction Overview'!$G$2:$G$467,$A46,'Transaction Overview'!$H$2:$H$467,D$4)</f>
        <v>-1000</v>
      </c>
      <c r="E46" s="5">
        <f>SUMIFS('Transaction Overview'!$D$2:$D$467,'Transaction Overview'!$G$2:$G$467,$A46,'Transaction Overview'!$H$2:$H$467,E$4)</f>
        <v>-12000</v>
      </c>
      <c r="F46" s="5">
        <f>SUMIFS('Transaction Overview'!$D$2:$D$467,'Transaction Overview'!$G$2:$G$467,$A46,'Transaction Overview'!$H$2:$H$467,F$4)</f>
        <v>0</v>
      </c>
      <c r="G46" s="5">
        <f>SUMIFS('Transaction Overview'!$D$2:$D$467,'Transaction Overview'!$G$2:$G$467,$A46,'Transaction Overview'!$H$2:$H$467,G$4)</f>
        <v>0</v>
      </c>
      <c r="H46" s="5">
        <f>SUMIFS('Transaction Overview'!$D$2:$D$467,'Transaction Overview'!$G$2:$G$467,$A46,'Transaction Overview'!$H$2:$H$467,H$4)</f>
        <v>0</v>
      </c>
      <c r="I46" s="5">
        <f>SUM(C46:H46)</f>
        <v>-13723.98</v>
      </c>
    </row>
    <row r="47" spans="1:9" x14ac:dyDescent="0.25">
      <c r="A47" t="s">
        <v>498</v>
      </c>
      <c r="B47" t="s">
        <v>535</v>
      </c>
      <c r="C47" s="5">
        <f>SUMIFS('Transaction Overview'!$D$2:$D$467,'Transaction Overview'!$G$2:$G$467,$A47,'Transaction Overview'!$H$2:$H$467,C$4)</f>
        <v>-663.71999999999991</v>
      </c>
      <c r="D47" s="5">
        <f>SUMIFS('Transaction Overview'!$D$2:$D$467,'Transaction Overview'!$G$2:$G$467,$A47,'Transaction Overview'!$H$2:$H$467,D$4)</f>
        <v>-810.03</v>
      </c>
      <c r="E47" s="5">
        <f>SUMIFS('Transaction Overview'!$D$2:$D$467,'Transaction Overview'!$G$2:$G$467,$A47,'Transaction Overview'!$H$2:$H$467,E$4)</f>
        <v>-1094.44</v>
      </c>
      <c r="F47" s="5">
        <f>SUMIFS('Transaction Overview'!$D$2:$D$467,'Transaction Overview'!$G$2:$G$467,$A47,'Transaction Overview'!$H$2:$H$467,F$4)</f>
        <v>-887.53</v>
      </c>
      <c r="G47" s="5">
        <f>SUMIFS('Transaction Overview'!$D$2:$D$467,'Transaction Overview'!$G$2:$G$467,$A47,'Transaction Overview'!$H$2:$H$467,G$4)</f>
        <v>-526.21</v>
      </c>
      <c r="H47" s="5">
        <f>SUMIFS('Transaction Overview'!$D$2:$D$467,'Transaction Overview'!$G$2:$G$467,$A47,'Transaction Overview'!$H$2:$H$467,H$4)</f>
        <v>0</v>
      </c>
      <c r="I47" s="5">
        <f>SUM(C47:H47)</f>
        <v>-3981.9300000000003</v>
      </c>
    </row>
    <row r="48" spans="1:9" x14ac:dyDescent="0.25">
      <c r="A48" t="s">
        <v>499</v>
      </c>
      <c r="B48" t="s">
        <v>535</v>
      </c>
      <c r="C48" s="5">
        <f>SUMIFS('Transaction Overview'!$D$2:$D$467,'Transaction Overview'!$G$2:$G$467,$A48,'Transaction Overview'!$H$2:$H$467,C$4)</f>
        <v>-15.74</v>
      </c>
      <c r="D48" s="5">
        <f>SUMIFS('Transaction Overview'!$D$2:$D$467,'Transaction Overview'!$G$2:$G$467,$A48,'Transaction Overview'!$H$2:$H$467,D$4)</f>
        <v>0</v>
      </c>
      <c r="E48" s="5">
        <f>SUMIFS('Transaction Overview'!$D$2:$D$467,'Transaction Overview'!$G$2:$G$467,$A48,'Transaction Overview'!$H$2:$H$467,E$4)</f>
        <v>-363.47</v>
      </c>
      <c r="F48" s="5">
        <f>SUMIFS('Transaction Overview'!$D$2:$D$467,'Transaction Overview'!$G$2:$G$467,$A48,'Transaction Overview'!$H$2:$H$467,F$4)</f>
        <v>-381.79</v>
      </c>
      <c r="G48" s="5">
        <f>SUMIFS('Transaction Overview'!$D$2:$D$467,'Transaction Overview'!$G$2:$G$467,$A48,'Transaction Overview'!$H$2:$H$467,G$4)</f>
        <v>-429.94</v>
      </c>
      <c r="H48" s="5">
        <f>SUMIFS('Transaction Overview'!$D$2:$D$467,'Transaction Overview'!$G$2:$G$467,$A48,'Transaction Overview'!$H$2:$H$467,H$4)</f>
        <v>-439.96</v>
      </c>
      <c r="I48" s="5">
        <f>SUM(C48:H48)</f>
        <v>-1630.9</v>
      </c>
    </row>
    <row r="49" spans="1:9" x14ac:dyDescent="0.25">
      <c r="A49" t="s">
        <v>500</v>
      </c>
      <c r="B49" t="s">
        <v>535</v>
      </c>
      <c r="C49" s="5">
        <f>SUMIFS('Transaction Overview'!$D$2:$D$467,'Transaction Overview'!$G$2:$G$467,$A49,'Transaction Overview'!$H$2:$H$467,C$4)</f>
        <v>0</v>
      </c>
      <c r="D49" s="5">
        <f>SUMIFS('Transaction Overview'!$D$2:$D$467,'Transaction Overview'!$G$2:$G$467,$A49,'Transaction Overview'!$H$2:$H$467,D$4)</f>
        <v>0</v>
      </c>
      <c r="E49" s="5">
        <f>SUMIFS('Transaction Overview'!$D$2:$D$467,'Transaction Overview'!$G$2:$G$467,$A49,'Transaction Overview'!$H$2:$H$467,E$4)</f>
        <v>0</v>
      </c>
      <c r="F49" s="5">
        <f>SUMIFS('Transaction Overview'!$D$2:$D$467,'Transaction Overview'!$G$2:$G$467,$A49,'Transaction Overview'!$H$2:$H$467,F$4)</f>
        <v>0</v>
      </c>
      <c r="G49" s="5">
        <f>SUMIFS('Transaction Overview'!$D$2:$D$467,'Transaction Overview'!$G$2:$G$467,$A49,'Transaction Overview'!$H$2:$H$467,G$4)</f>
        <v>0</v>
      </c>
      <c r="H49" s="5">
        <f>SUMIFS('Transaction Overview'!$D$2:$D$467,'Transaction Overview'!$G$2:$G$467,$A49,'Transaction Overview'!$H$2:$H$467,H$4)</f>
        <v>-32.31</v>
      </c>
      <c r="I49" s="5">
        <f>SUM(C49:H49)</f>
        <v>-32.31</v>
      </c>
    </row>
    <row r="50" spans="1:9" x14ac:dyDescent="0.25">
      <c r="A50" t="s">
        <v>477</v>
      </c>
      <c r="B50" t="s">
        <v>535</v>
      </c>
      <c r="C50" s="5">
        <f>SUMIFS('Transaction Overview'!$D$2:$D$467,'Transaction Overview'!$G$2:$G$467,$A50,'Transaction Overview'!$H$2:$H$467,C$4)</f>
        <v>-91.22</v>
      </c>
      <c r="D50" s="5">
        <f>SUMIFS('Transaction Overview'!$D$2:$D$467,'Transaction Overview'!$G$2:$G$467,$A50,'Transaction Overview'!$H$2:$H$467,D$4)</f>
        <v>-181.85999999999999</v>
      </c>
      <c r="E50" s="5">
        <f>SUMIFS('Transaction Overview'!$D$2:$D$467,'Transaction Overview'!$G$2:$G$467,$A50,'Transaction Overview'!$H$2:$H$467,E$4)</f>
        <v>0</v>
      </c>
      <c r="F50" s="5">
        <f>SUMIFS('Transaction Overview'!$D$2:$D$467,'Transaction Overview'!$G$2:$G$467,$A50,'Transaction Overview'!$H$2:$H$467,F$4)</f>
        <v>-217.95999999999998</v>
      </c>
      <c r="G50" s="5">
        <f>SUMIFS('Transaction Overview'!$D$2:$D$467,'Transaction Overview'!$G$2:$G$467,$A50,'Transaction Overview'!$H$2:$H$467,G$4)</f>
        <v>-752.88</v>
      </c>
      <c r="H50" s="5">
        <f>SUMIFS('Transaction Overview'!$D$2:$D$467,'Transaction Overview'!$G$2:$G$467,$A50,'Transaction Overview'!$H$2:$H$467,H$4)</f>
        <v>-113.84</v>
      </c>
      <c r="I50" s="5">
        <f>SUM(C50:H50)</f>
        <v>-1357.76</v>
      </c>
    </row>
    <row r="51" spans="1:9" x14ac:dyDescent="0.25">
      <c r="A51" t="s">
        <v>491</v>
      </c>
      <c r="B51" t="s">
        <v>535</v>
      </c>
      <c r="C51" s="5">
        <f>SUMIFS('Transaction Overview'!$D$2:$D$467,'Transaction Overview'!$G$2:$G$467,$A51,'Transaction Overview'!$H$2:$H$467,C$4)</f>
        <v>0</v>
      </c>
      <c r="D51" s="5">
        <f>SUMIFS('Transaction Overview'!$D$2:$D$467,'Transaction Overview'!$G$2:$G$467,$A51,'Transaction Overview'!$H$2:$H$467,D$4)</f>
        <v>0</v>
      </c>
      <c r="E51" s="5">
        <f>SUMIFS('Transaction Overview'!$D$2:$D$467,'Transaction Overview'!$G$2:$G$467,$A51,'Transaction Overview'!$H$2:$H$467,E$4)</f>
        <v>-1050</v>
      </c>
      <c r="F51" s="5">
        <f>SUMIFS('Transaction Overview'!$D$2:$D$467,'Transaction Overview'!$G$2:$G$467,$A51,'Transaction Overview'!$H$2:$H$467,F$4)</f>
        <v>0</v>
      </c>
      <c r="G51" s="5">
        <f>SUMIFS('Transaction Overview'!$D$2:$D$467,'Transaction Overview'!$G$2:$G$467,$A51,'Transaction Overview'!$H$2:$H$467,G$4)</f>
        <v>0</v>
      </c>
      <c r="H51" s="5">
        <f>SUMIFS('Transaction Overview'!$D$2:$D$467,'Transaction Overview'!$G$2:$G$467,$A51,'Transaction Overview'!$H$2:$H$467,H$4)</f>
        <v>0</v>
      </c>
      <c r="I51" s="5">
        <f>SUM(C51:H51)</f>
        <v>-1050</v>
      </c>
    </row>
    <row r="52" spans="1:9" x14ac:dyDescent="0.25">
      <c r="A52" t="s">
        <v>526</v>
      </c>
      <c r="B52" t="s">
        <v>535</v>
      </c>
      <c r="C52" s="5">
        <f>SUMIFS('Transaction Overview'!$D$2:$D$467,'Transaction Overview'!$G$2:$G$467,$A52,'Transaction Overview'!$H$2:$H$467,C$4)</f>
        <v>0</v>
      </c>
      <c r="D52" s="5">
        <f>SUMIFS('Transaction Overview'!$D$2:$D$467,'Transaction Overview'!$G$2:$G$467,$A52,'Transaction Overview'!$H$2:$H$467,D$4)</f>
        <v>-16287.51</v>
      </c>
      <c r="E52" s="5">
        <f>SUMIFS('Transaction Overview'!$D$2:$D$467,'Transaction Overview'!$G$2:$G$467,$A52,'Transaction Overview'!$H$2:$H$467,E$4)</f>
        <v>0</v>
      </c>
      <c r="F52" s="5">
        <f>SUMIFS('Transaction Overview'!$D$2:$D$467,'Transaction Overview'!$G$2:$G$467,$A52,'Transaction Overview'!$H$2:$H$467,F$4)</f>
        <v>0</v>
      </c>
      <c r="G52" s="5">
        <f>SUMIFS('Transaction Overview'!$D$2:$D$467,'Transaction Overview'!$G$2:$G$467,$A52,'Transaction Overview'!$H$2:$H$467,G$4)</f>
        <v>0</v>
      </c>
      <c r="H52" s="5">
        <f>SUMIFS('Transaction Overview'!$D$2:$D$467,'Transaction Overview'!$G$2:$G$467,$A52,'Transaction Overview'!$H$2:$H$467,H$4)</f>
        <v>0</v>
      </c>
      <c r="I52" s="5">
        <f>SUM(C52:H52)</f>
        <v>-16287.51</v>
      </c>
    </row>
    <row r="53" spans="1:9" x14ac:dyDescent="0.25">
      <c r="A53" t="s">
        <v>476</v>
      </c>
      <c r="B53" t="s">
        <v>535</v>
      </c>
      <c r="C53" s="5">
        <f>SUMIFS('Transaction Overview'!$D$2:$D$467,'Transaction Overview'!$G$2:$G$467,$A53,'Transaction Overview'!$H$2:$H$467,C$4)</f>
        <v>-488.64000000000004</v>
      </c>
      <c r="D53" s="5">
        <f>SUMIFS('Transaction Overview'!$D$2:$D$467,'Transaction Overview'!$G$2:$G$467,$A53,'Transaction Overview'!$H$2:$H$467,D$4)</f>
        <v>-339.69</v>
      </c>
      <c r="E53" s="5">
        <f>SUMIFS('Transaction Overview'!$D$2:$D$467,'Transaction Overview'!$G$2:$G$467,$A53,'Transaction Overview'!$H$2:$H$467,E$4)</f>
        <v>-414.57000000000005</v>
      </c>
      <c r="F53" s="5">
        <f>SUMIFS('Transaction Overview'!$D$2:$D$467,'Transaction Overview'!$G$2:$G$467,$A53,'Transaction Overview'!$H$2:$H$467,F$4)</f>
        <v>-330.66999999999996</v>
      </c>
      <c r="G53" s="5">
        <f>SUMIFS('Transaction Overview'!$D$2:$D$467,'Transaction Overview'!$G$2:$G$467,$A53,'Transaction Overview'!$H$2:$H$467,G$4)</f>
        <v>-352.57</v>
      </c>
      <c r="H53" s="5">
        <f>SUMIFS('Transaction Overview'!$D$2:$D$467,'Transaction Overview'!$G$2:$G$467,$A53,'Transaction Overview'!$H$2:$H$467,H$4)</f>
        <v>-250.3</v>
      </c>
      <c r="I53" s="5">
        <f>SUM(C53:H53)</f>
        <v>-2176.44</v>
      </c>
    </row>
    <row r="54" spans="1:9" x14ac:dyDescent="0.25">
      <c r="A54" t="s">
        <v>506</v>
      </c>
      <c r="B54" t="s">
        <v>535</v>
      </c>
      <c r="C54" s="5">
        <f>SUMIFS('Transaction Overview'!$D$2:$D$467,'Transaction Overview'!$G$2:$G$467,$A54,'Transaction Overview'!$H$2:$H$467,C$4)</f>
        <v>-55.7</v>
      </c>
      <c r="D54" s="5">
        <f>SUMIFS('Transaction Overview'!$D$2:$D$467,'Transaction Overview'!$G$2:$G$467,$A54,'Transaction Overview'!$H$2:$H$467,D$4)</f>
        <v>-124</v>
      </c>
      <c r="E54" s="5">
        <f>SUMIFS('Transaction Overview'!$D$2:$D$467,'Transaction Overview'!$G$2:$G$467,$A54,'Transaction Overview'!$H$2:$H$467,E$4)</f>
        <v>0</v>
      </c>
      <c r="F54" s="5">
        <f>SUMIFS('Transaction Overview'!$D$2:$D$467,'Transaction Overview'!$G$2:$G$467,$A54,'Transaction Overview'!$H$2:$H$467,F$4)</f>
        <v>0</v>
      </c>
      <c r="G54" s="5">
        <f>SUMIFS('Transaction Overview'!$D$2:$D$467,'Transaction Overview'!$G$2:$G$467,$A54,'Transaction Overview'!$H$2:$H$467,G$4)</f>
        <v>0</v>
      </c>
      <c r="H54" s="5">
        <f>SUMIFS('Transaction Overview'!$D$2:$D$467,'Transaction Overview'!$G$2:$G$467,$A54,'Transaction Overview'!$H$2:$H$467,H$4)</f>
        <v>0</v>
      </c>
      <c r="I54" s="5">
        <f>SUM(C54:H54)</f>
        <v>-179.7</v>
      </c>
    </row>
    <row r="55" spans="1:9" x14ac:dyDescent="0.25">
      <c r="A55" t="s">
        <v>517</v>
      </c>
      <c r="B55" t="s">
        <v>535</v>
      </c>
      <c r="C55" s="5">
        <f>SUMIFS('Transaction Overview'!$D$2:$D$467,'Transaction Overview'!$G$2:$G$467,$A55,'Transaction Overview'!$H$2:$H$467,C$4)</f>
        <v>0</v>
      </c>
      <c r="D55" s="5">
        <f>SUMIFS('Transaction Overview'!$D$2:$D$467,'Transaction Overview'!$G$2:$G$467,$A55,'Transaction Overview'!$H$2:$H$467,D$4)</f>
        <v>0</v>
      </c>
      <c r="E55" s="5">
        <f>SUMIFS('Transaction Overview'!$D$2:$D$467,'Transaction Overview'!$G$2:$G$467,$A55,'Transaction Overview'!$H$2:$H$467,E$4)</f>
        <v>0</v>
      </c>
      <c r="F55" s="5">
        <f>SUMIFS('Transaction Overview'!$D$2:$D$467,'Transaction Overview'!$G$2:$G$467,$A55,'Transaction Overview'!$H$2:$H$467,F$4)</f>
        <v>-428.27</v>
      </c>
      <c r="G55" s="5">
        <f>SUMIFS('Transaction Overview'!$D$2:$D$467,'Transaction Overview'!$G$2:$G$467,$A55,'Transaction Overview'!$H$2:$H$467,G$4)</f>
        <v>0</v>
      </c>
      <c r="H55" s="5">
        <f>SUMIFS('Transaction Overview'!$D$2:$D$467,'Transaction Overview'!$G$2:$G$467,$A55,'Transaction Overview'!$H$2:$H$467,H$4)</f>
        <v>0</v>
      </c>
      <c r="I55" s="5">
        <f>SUM(C55:H55)</f>
        <v>-428.27</v>
      </c>
    </row>
    <row r="56" spans="1:9" x14ac:dyDescent="0.25">
      <c r="A56" t="s">
        <v>512</v>
      </c>
      <c r="B56" t="s">
        <v>534</v>
      </c>
      <c r="C56" s="5">
        <f>SUMIFS('Transaction Overview'!$D$2:$D$467,'Transaction Overview'!$G$2:$G$467,$A56,'Transaction Overview'!$H$2:$H$467,C$4)</f>
        <v>-501.25</v>
      </c>
      <c r="D56" s="5">
        <f>SUMIFS('Transaction Overview'!$D$2:$D$467,'Transaction Overview'!$G$2:$G$467,$A56,'Transaction Overview'!$H$2:$H$467,D$4)</f>
        <v>0</v>
      </c>
      <c r="E56" s="5">
        <f>SUMIFS('Transaction Overview'!$D$2:$D$467,'Transaction Overview'!$G$2:$G$467,$A56,'Transaction Overview'!$H$2:$H$467,E$4)</f>
        <v>0</v>
      </c>
      <c r="F56" s="5">
        <f>SUMIFS('Transaction Overview'!$D$2:$D$467,'Transaction Overview'!$G$2:$G$467,$A56,'Transaction Overview'!$H$2:$H$467,F$4)</f>
        <v>0</v>
      </c>
      <c r="G56" s="5">
        <f>SUMIFS('Transaction Overview'!$D$2:$D$467,'Transaction Overview'!$G$2:$G$467,$A56,'Transaction Overview'!$H$2:$H$467,G$4)</f>
        <v>0</v>
      </c>
      <c r="H56" s="5">
        <f>SUMIFS('Transaction Overview'!$D$2:$D$467,'Transaction Overview'!$G$2:$G$467,$A56,'Transaction Overview'!$H$2:$H$467,H$4)</f>
        <v>0</v>
      </c>
      <c r="I56" s="5">
        <f>SUM(C56:H56)</f>
        <v>-501.25</v>
      </c>
    </row>
    <row r="57" spans="1:9" x14ac:dyDescent="0.25">
      <c r="A57" t="s">
        <v>496</v>
      </c>
      <c r="B57" t="s">
        <v>534</v>
      </c>
      <c r="C57" s="5">
        <f>SUMIFS('Transaction Overview'!$D$2:$D$467,'Transaction Overview'!$G$2:$G$467,$A57,'Transaction Overview'!$H$2:$H$467,C$4)</f>
        <v>-6</v>
      </c>
      <c r="D57" s="5">
        <f>SUMIFS('Transaction Overview'!$D$2:$D$467,'Transaction Overview'!$G$2:$G$467,$A57,'Transaction Overview'!$H$2:$H$467,D$4)</f>
        <v>0</v>
      </c>
      <c r="E57" s="5">
        <f>SUMIFS('Transaction Overview'!$D$2:$D$467,'Transaction Overview'!$G$2:$G$467,$A57,'Transaction Overview'!$H$2:$H$467,E$4)</f>
        <v>0</v>
      </c>
      <c r="F57" s="5">
        <f>SUMIFS('Transaction Overview'!$D$2:$D$467,'Transaction Overview'!$G$2:$G$467,$A57,'Transaction Overview'!$H$2:$H$467,F$4)</f>
        <v>0</v>
      </c>
      <c r="G57" s="5">
        <f>SUMIFS('Transaction Overview'!$D$2:$D$467,'Transaction Overview'!$G$2:$G$467,$A57,'Transaction Overview'!$H$2:$H$467,G$4)</f>
        <v>0</v>
      </c>
      <c r="H57" s="5">
        <f>SUMIFS('Transaction Overview'!$D$2:$D$467,'Transaction Overview'!$G$2:$G$467,$A57,'Transaction Overview'!$H$2:$H$467,H$4)</f>
        <v>0</v>
      </c>
      <c r="I57" s="5">
        <f>SUM(C57:H57)</f>
        <v>-6</v>
      </c>
    </row>
    <row r="58" spans="1:9" x14ac:dyDescent="0.25">
      <c r="A58" t="s">
        <v>505</v>
      </c>
      <c r="B58" t="s">
        <v>534</v>
      </c>
      <c r="C58" s="5">
        <f>SUMIFS('Transaction Overview'!$D$2:$D$467,'Transaction Overview'!$G$2:$G$467,$A58,'Transaction Overview'!$H$2:$H$467,C$4)</f>
        <v>0</v>
      </c>
      <c r="D58" s="5">
        <f>SUMIFS('Transaction Overview'!$D$2:$D$467,'Transaction Overview'!$G$2:$G$467,$A58,'Transaction Overview'!$H$2:$H$467,D$4)</f>
        <v>0</v>
      </c>
      <c r="E58" s="5">
        <f>SUMIFS('Transaction Overview'!$D$2:$D$467,'Transaction Overview'!$G$2:$G$467,$A58,'Transaction Overview'!$H$2:$H$467,E$4)</f>
        <v>0</v>
      </c>
      <c r="F58" s="5">
        <f>SUMIFS('Transaction Overview'!$D$2:$D$467,'Transaction Overview'!$G$2:$G$467,$A58,'Transaction Overview'!$H$2:$H$467,F$4)</f>
        <v>0</v>
      </c>
      <c r="G58" s="5">
        <f>SUMIFS('Transaction Overview'!$D$2:$D$467,'Transaction Overview'!$G$2:$G$467,$A58,'Transaction Overview'!$H$2:$H$467,G$4)</f>
        <v>-14.690000000000001</v>
      </c>
      <c r="H58" s="5">
        <f>SUMIFS('Transaction Overview'!$D$2:$D$467,'Transaction Overview'!$G$2:$G$467,$A58,'Transaction Overview'!$H$2:$H$467,H$4)</f>
        <v>0</v>
      </c>
      <c r="I58" s="5">
        <f>SUM(C58:H58)</f>
        <v>-14.690000000000001</v>
      </c>
    </row>
    <row r="59" spans="1:9" x14ac:dyDescent="0.25">
      <c r="A59" t="s">
        <v>521</v>
      </c>
      <c r="B59" t="s">
        <v>534</v>
      </c>
      <c r="C59" s="5">
        <f>SUMIFS('Transaction Overview'!$D$2:$D$467,'Transaction Overview'!$G$2:$G$467,$A59,'Transaction Overview'!$H$2:$H$467,C$4)</f>
        <v>0</v>
      </c>
      <c r="D59" s="5">
        <f>SUMIFS('Transaction Overview'!$D$2:$D$467,'Transaction Overview'!$G$2:$G$467,$A59,'Transaction Overview'!$H$2:$H$467,D$4)</f>
        <v>0</v>
      </c>
      <c r="E59" s="5">
        <f>SUMIFS('Transaction Overview'!$D$2:$D$467,'Transaction Overview'!$G$2:$G$467,$A59,'Transaction Overview'!$H$2:$H$467,E$4)</f>
        <v>0</v>
      </c>
      <c r="F59" s="5">
        <f>SUMIFS('Transaction Overview'!$D$2:$D$467,'Transaction Overview'!$G$2:$G$467,$A59,'Transaction Overview'!$H$2:$H$467,F$4)</f>
        <v>0</v>
      </c>
      <c r="G59" s="5">
        <f>SUMIFS('Transaction Overview'!$D$2:$D$467,'Transaction Overview'!$G$2:$G$467,$A59,'Transaction Overview'!$H$2:$H$467,G$4)</f>
        <v>-70</v>
      </c>
      <c r="H59" s="5">
        <f>SUMIFS('Transaction Overview'!$D$2:$D$467,'Transaction Overview'!$G$2:$G$467,$A59,'Transaction Overview'!$H$2:$H$467,H$4)</f>
        <v>0</v>
      </c>
      <c r="I59" s="5">
        <f>SUM(C59:H59)</f>
        <v>-70</v>
      </c>
    </row>
    <row r="60" spans="1:9" x14ac:dyDescent="0.25">
      <c r="A60" t="s">
        <v>483</v>
      </c>
      <c r="B60" t="s">
        <v>534</v>
      </c>
      <c r="C60" s="5">
        <f>SUMIFS('Transaction Overview'!$D$2:$D$467,'Transaction Overview'!$G$2:$G$467,$A60,'Transaction Overview'!$H$2:$H$467,C$4)</f>
        <v>-65</v>
      </c>
      <c r="D60" s="5">
        <f>SUMIFS('Transaction Overview'!$D$2:$D$467,'Transaction Overview'!$G$2:$G$467,$A60,'Transaction Overview'!$H$2:$H$467,D$4)</f>
        <v>-90</v>
      </c>
      <c r="E60" s="5">
        <f>SUMIFS('Transaction Overview'!$D$2:$D$467,'Transaction Overview'!$G$2:$G$467,$A60,'Transaction Overview'!$H$2:$H$467,E$4)</f>
        <v>0</v>
      </c>
      <c r="F60" s="5">
        <f>SUMIFS('Transaction Overview'!$D$2:$D$467,'Transaction Overview'!$G$2:$G$467,$A60,'Transaction Overview'!$H$2:$H$467,F$4)</f>
        <v>-95</v>
      </c>
      <c r="G60" s="5">
        <f>SUMIFS('Transaction Overview'!$D$2:$D$467,'Transaction Overview'!$G$2:$G$467,$A60,'Transaction Overview'!$H$2:$H$467,G$4)</f>
        <v>0</v>
      </c>
      <c r="H60" s="5">
        <f>SUMIFS('Transaction Overview'!$D$2:$D$467,'Transaction Overview'!$G$2:$G$467,$A60,'Transaction Overview'!$H$2:$H$467,H$4)</f>
        <v>0</v>
      </c>
      <c r="I60" s="5">
        <f>SUM(C60:H60)</f>
        <v>-250</v>
      </c>
    </row>
    <row r="61" spans="1:9" x14ac:dyDescent="0.25">
      <c r="A61" t="s">
        <v>513</v>
      </c>
      <c r="B61" t="s">
        <v>545</v>
      </c>
      <c r="C61" s="5">
        <f>SUMIFS('Transaction Overview'!$D$2:$D$467,'Transaction Overview'!$G$2:$G$467,$A61,'Transaction Overview'!$H$2:$H$467,C$4)</f>
        <v>0</v>
      </c>
      <c r="D61" s="5">
        <f>SUMIFS('Transaction Overview'!$D$2:$D$467,'Transaction Overview'!$G$2:$G$467,$A61,'Transaction Overview'!$H$2:$H$467,D$4)</f>
        <v>0</v>
      </c>
      <c r="E61" s="5">
        <f>SUMIFS('Transaction Overview'!$D$2:$D$467,'Transaction Overview'!$G$2:$G$467,$A61,'Transaction Overview'!$H$2:$H$467,E$4)</f>
        <v>0</v>
      </c>
      <c r="F61" s="5">
        <f>SUMIFS('Transaction Overview'!$D$2:$D$467,'Transaction Overview'!$G$2:$G$467,$A61,'Transaction Overview'!$H$2:$H$467,F$4)</f>
        <v>0</v>
      </c>
      <c r="G61" s="5">
        <f>SUMIFS('Transaction Overview'!$D$2:$D$467,'Transaction Overview'!$G$2:$G$467,$A61,'Transaction Overview'!$H$2:$H$467,G$4)</f>
        <v>0</v>
      </c>
      <c r="H61" s="5">
        <f>SUMIFS('Transaction Overview'!$D$2:$D$467,'Transaction Overview'!$G$2:$G$467,$A61,'Transaction Overview'!$H$2:$H$467,H$4)</f>
        <v>0</v>
      </c>
      <c r="I61" s="5">
        <f>SUM(C61:H61)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4350-14DE-4C3B-92C9-AAC2E7355EC7}">
  <dimension ref="A1:C22"/>
  <sheetViews>
    <sheetView workbookViewId="0"/>
  </sheetViews>
  <sheetFormatPr defaultRowHeight="15" x14ac:dyDescent="0.25"/>
  <cols>
    <col min="1" max="1" width="53.28515625" customWidth="1"/>
    <col min="2" max="2" width="41.85546875" customWidth="1"/>
    <col min="3" max="3" width="26.7109375" customWidth="1"/>
  </cols>
  <sheetData>
    <row r="1" spans="1:3" ht="21" x14ac:dyDescent="0.35">
      <c r="A1" s="8" t="s">
        <v>582</v>
      </c>
      <c r="B1" s="8"/>
      <c r="C1" s="8"/>
    </row>
    <row r="2" spans="1:3" x14ac:dyDescent="0.25">
      <c r="A2" s="6" t="s">
        <v>583</v>
      </c>
      <c r="B2" s="6"/>
      <c r="C2" s="6"/>
    </row>
    <row r="4" spans="1:3" x14ac:dyDescent="0.25">
      <c r="A4" s="7" t="s">
        <v>584</v>
      </c>
      <c r="B4" s="7"/>
      <c r="C4" s="7"/>
    </row>
    <row r="5" spans="1:3" x14ac:dyDescent="0.25">
      <c r="A5" t="s">
        <v>580</v>
      </c>
      <c r="C5" s="5">
        <f>SUMIFS('Transaction Overview'!$D$2:$D$467,'Transaction Overview'!$E$2:$E$467,"ACCT_XFER",'Transaction Overview'!$D$2:$D$467,"&gt;0")+SUMIFS('Transaction Overview'!$D$2:$D$467,'Transaction Overview'!$E$2:$E$467,"CHASE_TO_PARTNERFI",'Transaction Overview'!$D$2:$D$467,"&gt;0")+SUMIFS('Transaction Overview'!$D$2:$D$467,'Transaction Overview'!$E$2:$E$467,"QUICKPAY_DEBIT",'Transaction Overview'!$D$2:$D$467,"&gt;0")</f>
        <v>122006.41</v>
      </c>
    </row>
    <row r="6" spans="1:3" x14ac:dyDescent="0.25">
      <c r="A6" t="s">
        <v>585</v>
      </c>
      <c r="C6">
        <f>COUNTIFS('Transaction Overview'!$E$2:$E$467,"ACCT_XFER",'Transaction Overview'!$D$2:$D$467,"&gt;0")+COUNTIFS('Transaction Overview'!$E$2:$E$467,"CHASE_TO_PARTNERFI",'Transaction Overview'!$D$2:$D$467,"&gt;0")+COUNTIFS('Transaction Overview'!$E$2:$E$467,"QUICKPAY_DEBIT",'Transaction Overview'!$D$2:$D$467,"&gt;0")</f>
        <v>5</v>
      </c>
    </row>
    <row r="8" spans="1:3" x14ac:dyDescent="0.25">
      <c r="A8" s="7" t="s">
        <v>586</v>
      </c>
      <c r="B8" s="7"/>
      <c r="C8" s="7"/>
    </row>
    <row r="9" spans="1:3" x14ac:dyDescent="0.25">
      <c r="A9" s="9" t="s">
        <v>587</v>
      </c>
      <c r="B9" s="9" t="s">
        <v>588</v>
      </c>
      <c r="C9" s="9" t="s">
        <v>3</v>
      </c>
    </row>
    <row r="10" spans="1:3" x14ac:dyDescent="0.25">
      <c r="A10" t="s">
        <v>495</v>
      </c>
      <c r="B10">
        <f>COUNTIFS('Transaction Overview'!$G$2:$G$467,$A10,'Transaction Overview'!$D$2:$D$467,"&gt;0")</f>
        <v>1</v>
      </c>
      <c r="C10" s="5">
        <f>SUMIFS('Transaction Overview'!$D$2:$D$467,'Transaction Overview'!$G$2:$G$467,$A10,'Transaction Overview'!$D$2:$D$467,"&gt;0")</f>
        <v>8556.41</v>
      </c>
    </row>
    <row r="11" spans="1:3" x14ac:dyDescent="0.25">
      <c r="A11" t="s">
        <v>497</v>
      </c>
      <c r="B11">
        <f>COUNTIFS('Transaction Overview'!$G$2:$G$467,$A11,'Transaction Overview'!$D$2:$D$467,"&gt;0")</f>
        <v>1</v>
      </c>
      <c r="C11" s="5">
        <f>SUMIFS('Transaction Overview'!$D$2:$D$467,'Transaction Overview'!$G$2:$G$467,$A11,'Transaction Overview'!$D$2:$D$467,"&gt;0")</f>
        <v>2000</v>
      </c>
    </row>
    <row r="12" spans="1:3" x14ac:dyDescent="0.25">
      <c r="A12" t="s">
        <v>485</v>
      </c>
      <c r="B12">
        <f>COUNTIFS('Transaction Overview'!$G$2:$G$467,$A12,'Transaction Overview'!$D$2:$D$467,"&gt;0")</f>
        <v>1</v>
      </c>
      <c r="C12" s="5">
        <f>SUMIFS('Transaction Overview'!$D$2:$D$467,'Transaction Overview'!$G$2:$G$467,$A12,'Transaction Overview'!$D$2:$D$467,"&gt;0")</f>
        <v>11450</v>
      </c>
    </row>
    <row r="13" spans="1:3" x14ac:dyDescent="0.25">
      <c r="A13" t="s">
        <v>489</v>
      </c>
      <c r="B13">
        <f>COUNTIFS('Transaction Overview'!$G$2:$G$467,$A13,'Transaction Overview'!$D$2:$D$467,"&gt;0")</f>
        <v>2</v>
      </c>
      <c r="C13" s="5">
        <f>SUMIFS('Transaction Overview'!$D$2:$D$467,'Transaction Overview'!$G$2:$G$467,$A13,'Transaction Overview'!$D$2:$D$467,"&gt;0")</f>
        <v>100000</v>
      </c>
    </row>
    <row r="14" spans="1:3" x14ac:dyDescent="0.25">
      <c r="A14" s="12" t="s">
        <v>589</v>
      </c>
      <c r="B14" s="12">
        <f>SUM(B10:B13)</f>
        <v>5</v>
      </c>
      <c r="C14" s="21">
        <f>SUM(C10:C13)</f>
        <v>122006.41</v>
      </c>
    </row>
    <row r="16" spans="1:3" x14ac:dyDescent="0.25">
      <c r="A16" s="7" t="s">
        <v>590</v>
      </c>
      <c r="B16" s="7"/>
      <c r="C16" s="7"/>
    </row>
    <row r="17" spans="1:3" x14ac:dyDescent="0.25">
      <c r="A17" s="9" t="s">
        <v>591</v>
      </c>
      <c r="B17" s="9" t="s">
        <v>587</v>
      </c>
      <c r="C17" s="9" t="s">
        <v>3</v>
      </c>
    </row>
    <row r="18" spans="1:3" x14ac:dyDescent="0.25">
      <c r="A18" s="1" cm="1">
        <f t="array" ref="A18:A22">_xlfn._xlws.FILTER('Transaction Overview'!$B$2:$B$467,((('Transaction Overview'!$E$2:$E$467="ACCT_XFER")+('Transaction Overview'!$E$2:$E$467="CHASE_TO_PARTNERFI")+('Transaction Overview'!$E$2:$E$467="QUICKPAY_DEBIT"))*('Transaction Overview'!$D$2:$D$467&gt;0)))</f>
        <v>46136</v>
      </c>
      <c r="B18" t="str" cm="1">
        <f t="array" ref="B18:B22">_xlfn._xlws.FILTER('Transaction Overview'!$G$2:$G$467,((('Transaction Overview'!$E$2:$E$467="ACCT_XFER")+('Transaction Overview'!$E$2:$E$467="CHASE_TO_PARTNERFI")+('Transaction Overview'!$E$2:$E$467="QUICKPAY_DEBIT"))*('Transaction Overview'!$D$2:$D$467&gt;0)))</f>
        <v>Transfer From SPF</v>
      </c>
      <c r="C18" s="5" cm="1">
        <f t="array" ref="C18:C22">_xlfn._xlws.FILTER('Transaction Overview'!$D$2:$D$467,((('Transaction Overview'!$E$2:$E$467="ACCT_XFER")+('Transaction Overview'!$E$2:$E$467="CHASE_TO_PARTNERFI")+('Transaction Overview'!$E$2:$E$467="QUICKPAY_DEBIT"))*('Transaction Overview'!$D$2:$D$467&gt;0)))</f>
        <v>11450</v>
      </c>
    </row>
    <row r="19" spans="1:3" x14ac:dyDescent="0.25">
      <c r="A19" s="1">
        <v>46111</v>
      </c>
      <c r="B19" t="str">
        <v>Transfer From Stryten</v>
      </c>
      <c r="C19" s="5">
        <v>50000</v>
      </c>
    </row>
    <row r="20" spans="1:3" x14ac:dyDescent="0.25">
      <c r="A20" s="1">
        <v>46056</v>
      </c>
      <c r="B20" t="str">
        <v>Transfer From DWG Capital Group</v>
      </c>
      <c r="C20" s="5">
        <v>8556.41</v>
      </c>
    </row>
    <row r="21" spans="1:3" x14ac:dyDescent="0.25">
      <c r="A21" s="1">
        <v>46055</v>
      </c>
      <c r="B21" t="str">
        <v>Transfer From Stryten</v>
      </c>
      <c r="C21" s="5">
        <v>50000</v>
      </c>
    </row>
    <row r="22" spans="1:3" x14ac:dyDescent="0.25">
      <c r="A22" s="1">
        <v>46035</v>
      </c>
      <c r="B22" t="str">
        <v>Transfer From Poseidon</v>
      </c>
      <c r="C22" s="5">
        <v>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40A47-9FCD-4140-97C5-8FE4DE6DE002}">
  <dimension ref="A1:C78"/>
  <sheetViews>
    <sheetView workbookViewId="0"/>
  </sheetViews>
  <sheetFormatPr defaultRowHeight="15" x14ac:dyDescent="0.25"/>
  <cols>
    <col min="1" max="1" width="53.28515625" customWidth="1"/>
    <col min="2" max="2" width="49.5703125" customWidth="1"/>
    <col min="3" max="3" width="26.7109375" customWidth="1"/>
  </cols>
  <sheetData>
    <row r="1" spans="1:3" ht="21" x14ac:dyDescent="0.35">
      <c r="A1" s="8" t="s">
        <v>592</v>
      </c>
      <c r="B1" s="8"/>
      <c r="C1" s="8"/>
    </row>
    <row r="2" spans="1:3" x14ac:dyDescent="0.25">
      <c r="A2" s="6" t="s">
        <v>583</v>
      </c>
      <c r="B2" s="6"/>
      <c r="C2" s="6"/>
    </row>
    <row r="4" spans="1:3" x14ac:dyDescent="0.25">
      <c r="A4" s="7" t="s">
        <v>584</v>
      </c>
      <c r="B4" s="7"/>
      <c r="C4" s="7"/>
    </row>
    <row r="5" spans="1:3" x14ac:dyDescent="0.25">
      <c r="A5" t="s">
        <v>580</v>
      </c>
      <c r="C5" s="5">
        <f>SUMIFS('Transaction Overview'!$D$2:$D$467,'Transaction Overview'!$E$2:$E$467,"ACCT_XFER",'Transaction Overview'!$D$2:$D$467,"&lt;0")+SUMIFS('Transaction Overview'!$D$2:$D$467,'Transaction Overview'!$E$2:$E$467,"CHASE_TO_PARTNERFI",'Transaction Overview'!$D$2:$D$467,"&lt;0")+SUMIFS('Transaction Overview'!$D$2:$D$467,'Transaction Overview'!$E$2:$E$467,"QUICKPAY_DEBIT",'Transaction Overview'!$D$2:$D$467,"&lt;0")</f>
        <v>-541618.40999999992</v>
      </c>
    </row>
    <row r="6" spans="1:3" x14ac:dyDescent="0.25">
      <c r="A6" t="s">
        <v>585</v>
      </c>
      <c r="C6">
        <f>COUNTIFS('Transaction Overview'!$E$2:$E$467,"ACCT_XFER",'Transaction Overview'!$D$2:$D$467,"&lt;0")+COUNTIFS('Transaction Overview'!$E$2:$E$467,"CHASE_TO_PARTNERFI",'Transaction Overview'!$D$2:$D$467,"&lt;0")+COUNTIFS('Transaction Overview'!$E$2:$E$467,"QUICKPAY_DEBIT",'Transaction Overview'!$D$2:$D$467,"&lt;0")</f>
        <v>51</v>
      </c>
    </row>
    <row r="8" spans="1:3" x14ac:dyDescent="0.25">
      <c r="A8" s="7" t="s">
        <v>586</v>
      </c>
      <c r="B8" s="7"/>
      <c r="C8" s="7"/>
    </row>
    <row r="9" spans="1:3" x14ac:dyDescent="0.25">
      <c r="A9" s="9" t="s">
        <v>587</v>
      </c>
      <c r="B9" s="9" t="s">
        <v>588</v>
      </c>
      <c r="C9" s="9" t="s">
        <v>3</v>
      </c>
    </row>
    <row r="10" spans="1:3" x14ac:dyDescent="0.25">
      <c r="A10" t="s">
        <v>478</v>
      </c>
      <c r="B10">
        <f>COUNTIFS('Transaction Overview'!$G$2:$G$467,$A10,'Transaction Overview'!$D$2:$D$467,"&lt;0")</f>
        <v>3</v>
      </c>
      <c r="C10" s="5">
        <f>SUMIFS('Transaction Overview'!$D$2:$D$467,'Transaction Overview'!$G$2:$G$467,$A10,'Transaction Overview'!$D$2:$D$467,"&lt;0")</f>
        <v>-31000</v>
      </c>
    </row>
    <row r="11" spans="1:3" x14ac:dyDescent="0.25">
      <c r="A11" t="s">
        <v>504</v>
      </c>
      <c r="B11">
        <f>COUNTIFS('Transaction Overview'!$G$2:$G$467,$A11,'Transaction Overview'!$D$2:$D$467,"&lt;0")</f>
        <v>1</v>
      </c>
      <c r="C11" s="5">
        <f>SUMIFS('Transaction Overview'!$D$2:$D$467,'Transaction Overview'!$G$2:$G$467,$A11,'Transaction Overview'!$D$2:$D$467,"&lt;0")</f>
        <v>-20000</v>
      </c>
    </row>
    <row r="12" spans="1:3" x14ac:dyDescent="0.25">
      <c r="A12" t="s">
        <v>479</v>
      </c>
      <c r="B12">
        <f>COUNTIFS('Transaction Overview'!$G$2:$G$467,$A12,'Transaction Overview'!$D$2:$D$467,"&lt;0")</f>
        <v>17</v>
      </c>
      <c r="C12" s="5">
        <f>SUMIFS('Transaction Overview'!$D$2:$D$467,'Transaction Overview'!$G$2:$G$467,$A12,'Transaction Overview'!$D$2:$D$467,"&lt;0")</f>
        <v>-298556.41000000003</v>
      </c>
    </row>
    <row r="13" spans="1:3" x14ac:dyDescent="0.25">
      <c r="A13" t="s">
        <v>494</v>
      </c>
      <c r="B13">
        <f>COUNTIFS('Transaction Overview'!$G$2:$G$467,$A13,'Transaction Overview'!$D$2:$D$467,"&lt;0")</f>
        <v>1</v>
      </c>
      <c r="C13" s="5">
        <f>SUMIFS('Transaction Overview'!$D$2:$D$467,'Transaction Overview'!$G$2:$G$467,$A13,'Transaction Overview'!$D$2:$D$467,"&lt;0")</f>
        <v>-15000</v>
      </c>
    </row>
    <row r="14" spans="1:3" x14ac:dyDescent="0.25">
      <c r="A14" t="s">
        <v>482</v>
      </c>
      <c r="B14">
        <f>COUNTIFS('Transaction Overview'!$G$2:$G$467,$A14,'Transaction Overview'!$D$2:$D$467,"&lt;0")</f>
        <v>5</v>
      </c>
      <c r="C14" s="5">
        <f>SUMIFS('Transaction Overview'!$D$2:$D$467,'Transaction Overview'!$G$2:$G$467,$A14,'Transaction Overview'!$D$2:$D$467,"&lt;0")</f>
        <v>-77000</v>
      </c>
    </row>
    <row r="15" spans="1:3" x14ac:dyDescent="0.25">
      <c r="A15" t="s">
        <v>487</v>
      </c>
      <c r="B15">
        <f>COUNTIFS('Transaction Overview'!$G$2:$G$467,$A15,'Transaction Overview'!$D$2:$D$467,"&lt;0")</f>
        <v>2</v>
      </c>
      <c r="C15" s="5">
        <f>SUMIFS('Transaction Overview'!$D$2:$D$467,'Transaction Overview'!$G$2:$G$467,$A15,'Transaction Overview'!$D$2:$D$467,"&lt;0")</f>
        <v>-35200</v>
      </c>
    </row>
    <row r="16" spans="1:3" x14ac:dyDescent="0.25">
      <c r="A16" t="s">
        <v>522</v>
      </c>
      <c r="B16">
        <f>COUNTIFS('Transaction Overview'!$G$2:$G$467,$A16,'Transaction Overview'!$D$2:$D$467,"&lt;0")</f>
        <v>1</v>
      </c>
      <c r="C16" s="5">
        <f>SUMIFS('Transaction Overview'!$D$2:$D$467,'Transaction Overview'!$G$2:$G$467,$A16,'Transaction Overview'!$D$2:$D$467,"&lt;0")</f>
        <v>-13000</v>
      </c>
    </row>
    <row r="17" spans="1:3" x14ac:dyDescent="0.25">
      <c r="A17" t="s">
        <v>492</v>
      </c>
      <c r="B17">
        <f>COUNTIFS('Transaction Overview'!$G$2:$G$467,$A17,'Transaction Overview'!$D$2:$D$467,"&lt;0")</f>
        <v>2</v>
      </c>
      <c r="C17" s="5">
        <f>SUMIFS('Transaction Overview'!$D$2:$D$467,'Transaction Overview'!$G$2:$G$467,$A17,'Transaction Overview'!$D$2:$D$467,"&lt;0")</f>
        <v>-200</v>
      </c>
    </row>
    <row r="18" spans="1:3" x14ac:dyDescent="0.25">
      <c r="A18" t="s">
        <v>493</v>
      </c>
      <c r="B18">
        <f>COUNTIFS('Transaction Overview'!$G$2:$G$467,$A18,'Transaction Overview'!$D$2:$D$467,"&lt;0")</f>
        <v>2</v>
      </c>
      <c r="C18" s="5">
        <f>SUMIFS('Transaction Overview'!$D$2:$D$467,'Transaction Overview'!$G$2:$G$467,$A18,'Transaction Overview'!$D$2:$D$467,"&lt;0")</f>
        <v>-40000</v>
      </c>
    </row>
    <row r="19" spans="1:3" x14ac:dyDescent="0.25">
      <c r="A19" t="s">
        <v>484</v>
      </c>
      <c r="B19">
        <f>COUNTIFS('Transaction Overview'!$G$2:$G$467,$A19,'Transaction Overview'!$D$2:$D$467,"&lt;0")</f>
        <v>1</v>
      </c>
      <c r="C19" s="5">
        <f>SUMIFS('Transaction Overview'!$D$2:$D$467,'Transaction Overview'!$G$2:$G$467,$A19,'Transaction Overview'!$D$2:$D$467,"&lt;0")</f>
        <v>-1500</v>
      </c>
    </row>
    <row r="20" spans="1:3" x14ac:dyDescent="0.25">
      <c r="A20" t="s">
        <v>481</v>
      </c>
      <c r="B20">
        <f>COUNTIFS('Transaction Overview'!$G$2:$G$467,$A20,'Transaction Overview'!$D$2:$D$467,"&lt;0")</f>
        <v>13</v>
      </c>
      <c r="C20" s="5">
        <f>SUMIFS('Transaction Overview'!$D$2:$D$467,'Transaction Overview'!$G$2:$G$467,$A20,'Transaction Overview'!$D$2:$D$467,"&lt;0")</f>
        <v>-6637</v>
      </c>
    </row>
    <row r="21" spans="1:3" x14ac:dyDescent="0.25">
      <c r="A21" t="s">
        <v>510</v>
      </c>
      <c r="B21">
        <f>COUNTIFS('Transaction Overview'!$G$2:$G$467,$A21,'Transaction Overview'!$D$2:$D$467,"&lt;0")</f>
        <v>1</v>
      </c>
      <c r="C21" s="5">
        <f>SUMIFS('Transaction Overview'!$D$2:$D$467,'Transaction Overview'!$G$2:$G$467,$A21,'Transaction Overview'!$D$2:$D$467,"&lt;0")</f>
        <v>-325</v>
      </c>
    </row>
    <row r="22" spans="1:3" x14ac:dyDescent="0.25">
      <c r="A22" t="s">
        <v>480</v>
      </c>
      <c r="B22">
        <f>COUNTIFS('Transaction Overview'!$G$2:$G$467,$A22,'Transaction Overview'!$D$2:$D$467,"&lt;0")</f>
        <v>1</v>
      </c>
      <c r="C22" s="5">
        <f>SUMIFS('Transaction Overview'!$D$2:$D$467,'Transaction Overview'!$G$2:$G$467,$A22,'Transaction Overview'!$D$2:$D$467,"&lt;0")</f>
        <v>-2500</v>
      </c>
    </row>
    <row r="23" spans="1:3" x14ac:dyDescent="0.25">
      <c r="A23" t="s">
        <v>511</v>
      </c>
      <c r="B23">
        <f>COUNTIFS('Transaction Overview'!$G$2:$G$467,$A23,'Transaction Overview'!$D$2:$D$467,"&lt;0")</f>
        <v>1</v>
      </c>
      <c r="C23" s="5">
        <f>SUMIFS('Transaction Overview'!$D$2:$D$467,'Transaction Overview'!$G$2:$G$467,$A23,'Transaction Overview'!$D$2:$D$467,"&lt;0")</f>
        <v>-700</v>
      </c>
    </row>
    <row r="24" spans="1:3" x14ac:dyDescent="0.25">
      <c r="A24" s="12" t="s">
        <v>589</v>
      </c>
      <c r="B24" s="12">
        <f>SUM(B10:B23)</f>
        <v>51</v>
      </c>
      <c r="C24" s="21">
        <f>SUM(C10:C23)</f>
        <v>-541618.41</v>
      </c>
    </row>
    <row r="26" spans="1:3" x14ac:dyDescent="0.25">
      <c r="A26" s="7" t="s">
        <v>590</v>
      </c>
      <c r="B26" s="7"/>
      <c r="C26" s="7"/>
    </row>
    <row r="27" spans="1:3" x14ac:dyDescent="0.25">
      <c r="A27" s="9" t="s">
        <v>591</v>
      </c>
      <c r="B27" s="9" t="s">
        <v>587</v>
      </c>
      <c r="C27" s="9" t="s">
        <v>3</v>
      </c>
    </row>
    <row r="28" spans="1:3" x14ac:dyDescent="0.25">
      <c r="A28" s="1" cm="1">
        <f t="array" ref="A28:A78">_xlfn._xlws.FILTER('Transaction Overview'!$B$2:$B$467,((('Transaction Overview'!$E$2:$E$467="ACCT_XFER")+('Transaction Overview'!$E$2:$E$467="CHASE_TO_PARTNERFI")+('Transaction Overview'!$E$2:$E$467="QUICKPAY_DEBIT"))*('Transaction Overview'!$D$2:$D$467&lt;0)))</f>
        <v>46177</v>
      </c>
      <c r="B28" t="str" cm="1">
        <f t="array" ref="B28:B78">_xlfn._xlws.FILTER('Transaction Overview'!$G$2:$G$467,((('Transaction Overview'!$E$2:$E$467="ACCT_XFER")+('Transaction Overview'!$E$2:$E$467="CHASE_TO_PARTNERFI")+('Transaction Overview'!$E$2:$E$467="QUICKPAY_DEBIT"))*('Transaction Overview'!$D$2:$D$467&lt;0)))</f>
        <v>Transfer to Angela Dunning</v>
      </c>
      <c r="C28" s="5" cm="1">
        <f t="array" ref="C28:C78">_xlfn._xlws.FILTER('Transaction Overview'!$D$2:$D$467,((('Transaction Overview'!$E$2:$E$467="ACCT_XFER")+('Transaction Overview'!$E$2:$E$467="CHASE_TO_PARTNERFI")+('Transaction Overview'!$E$2:$E$467="QUICKPAY_DEBIT"))*('Transaction Overview'!$D$2:$D$467&lt;0)))</f>
        <v>-1000</v>
      </c>
    </row>
    <row r="29" spans="1:3" x14ac:dyDescent="0.25">
      <c r="A29" s="1">
        <v>46175</v>
      </c>
      <c r="B29" t="str">
        <v>Transfer to DWG Capital Group</v>
      </c>
      <c r="C29" s="5">
        <v>-30000</v>
      </c>
    </row>
    <row r="30" spans="1:3" x14ac:dyDescent="0.25">
      <c r="A30" s="1">
        <v>46175</v>
      </c>
      <c r="B30" t="str">
        <v>Zelle - Francisco Bautista</v>
      </c>
      <c r="C30" s="5">
        <v>-2500</v>
      </c>
    </row>
    <row r="31" spans="1:3" x14ac:dyDescent="0.25">
      <c r="A31" s="1">
        <v>46160</v>
      </c>
      <c r="B31" t="str">
        <v>Office/Miscellaneous Reimbursement - Mike P.</v>
      </c>
      <c r="C31" s="5">
        <v>-25</v>
      </c>
    </row>
    <row r="32" spans="1:3" x14ac:dyDescent="0.25">
      <c r="A32" s="1">
        <v>46157</v>
      </c>
      <c r="B32" t="str">
        <v>Transfer to DWG Capital Partners</v>
      </c>
      <c r="C32" s="5">
        <v>-20000</v>
      </c>
    </row>
    <row r="33" spans="1:3" x14ac:dyDescent="0.25">
      <c r="A33" s="1">
        <v>46157</v>
      </c>
      <c r="B33" t="str">
        <v>Transfer to Buckeye</v>
      </c>
      <c r="C33" s="5">
        <v>-20000</v>
      </c>
    </row>
    <row r="34" spans="1:3" x14ac:dyDescent="0.25">
      <c r="A34" s="1">
        <v>46153</v>
      </c>
      <c r="B34" t="str">
        <v>Office/Miscellaneous Reimbursement - Mike P.</v>
      </c>
      <c r="C34" s="5">
        <v>-140</v>
      </c>
    </row>
    <row r="35" spans="1:3" x14ac:dyDescent="0.25">
      <c r="A35" s="1">
        <v>46142</v>
      </c>
      <c r="B35" t="str">
        <v>Transfer to DWG Capital Partners</v>
      </c>
      <c r="C35" s="5">
        <v>-10000</v>
      </c>
    </row>
    <row r="36" spans="1:3" x14ac:dyDescent="0.25">
      <c r="A36" s="1">
        <v>46141</v>
      </c>
      <c r="B36" t="str">
        <v>Transfer to DWG Capital Group</v>
      </c>
      <c r="C36" s="5">
        <v>-10000</v>
      </c>
    </row>
    <row r="37" spans="1:3" x14ac:dyDescent="0.25">
      <c r="A37" s="1">
        <v>46141</v>
      </c>
      <c r="B37" t="str">
        <v>Transfer to DWG Capital Group</v>
      </c>
      <c r="C37" s="5">
        <v>-30000</v>
      </c>
    </row>
    <row r="38" spans="1:3" x14ac:dyDescent="0.25">
      <c r="A38" s="1">
        <v>46140</v>
      </c>
      <c r="B38" t="str">
        <v>Office/Miscellaneous Reimbursement - Mike P.</v>
      </c>
      <c r="C38" s="5">
        <v>-5000</v>
      </c>
    </row>
    <row r="39" spans="1:3" x14ac:dyDescent="0.25">
      <c r="A39" s="1">
        <v>46139</v>
      </c>
      <c r="B39" t="str">
        <v>Meg Maran - MDC Commission</v>
      </c>
      <c r="C39" s="5">
        <v>-1500</v>
      </c>
    </row>
    <row r="40" spans="1:3" x14ac:dyDescent="0.25">
      <c r="A40" s="1">
        <v>46135</v>
      </c>
      <c r="B40" t="str">
        <v>Transfer to DWG Capital Group</v>
      </c>
      <c r="C40" s="5">
        <v>-15000</v>
      </c>
    </row>
    <row r="41" spans="1:3" x14ac:dyDescent="0.25">
      <c r="A41" s="1">
        <v>46128</v>
      </c>
      <c r="B41" t="str">
        <v>Office/Miscellaneous Reimbursement - Mike P.</v>
      </c>
      <c r="C41" s="5">
        <v>-95</v>
      </c>
    </row>
    <row r="42" spans="1:3" x14ac:dyDescent="0.25">
      <c r="A42" s="1">
        <v>46120</v>
      </c>
      <c r="B42" t="str">
        <v>Transfer to DWG Capital Group</v>
      </c>
      <c r="C42" s="5">
        <v>-20000</v>
      </c>
    </row>
    <row r="43" spans="1:3" x14ac:dyDescent="0.25">
      <c r="A43" s="1">
        <v>46115</v>
      </c>
      <c r="B43" t="str">
        <v>Transfer to Edgebuilders</v>
      </c>
      <c r="C43" s="5">
        <v>-200</v>
      </c>
    </row>
    <row r="44" spans="1:3" x14ac:dyDescent="0.25">
      <c r="A44" s="1">
        <v>46111</v>
      </c>
      <c r="B44" t="str">
        <v>Transfer to DWG Capital Group</v>
      </c>
      <c r="C44" s="5">
        <v>-5000</v>
      </c>
    </row>
    <row r="45" spans="1:3" x14ac:dyDescent="0.25">
      <c r="A45" s="1">
        <v>46111</v>
      </c>
      <c r="B45" t="str">
        <v>Transfer to DWG Capital Group</v>
      </c>
      <c r="C45" s="5">
        <v>-5000</v>
      </c>
    </row>
    <row r="46" spans="1:3" x14ac:dyDescent="0.25">
      <c r="A46" s="1">
        <v>46111</v>
      </c>
      <c r="B46" t="str">
        <v>Transfer to DWG Capital Group</v>
      </c>
      <c r="C46" s="5">
        <v>-5000</v>
      </c>
    </row>
    <row r="47" spans="1:3" x14ac:dyDescent="0.25">
      <c r="A47" s="1">
        <v>46107</v>
      </c>
      <c r="B47" t="str">
        <v>Transfer to DWG Capital Partners</v>
      </c>
      <c r="C47" s="5">
        <v>-1000</v>
      </c>
    </row>
    <row r="48" spans="1:3" x14ac:dyDescent="0.25">
      <c r="A48" s="1">
        <v>46104</v>
      </c>
      <c r="B48" t="str">
        <v>Transfer to DWG Capital Group</v>
      </c>
      <c r="C48" s="5">
        <v>-20000</v>
      </c>
    </row>
    <row r="49" spans="1:3" x14ac:dyDescent="0.25">
      <c r="A49" s="1">
        <v>46101</v>
      </c>
      <c r="B49" t="str">
        <v>Office/Miscellaneous Reimbursement - Mike P.</v>
      </c>
      <c r="C49" s="5">
        <v>-62</v>
      </c>
    </row>
    <row r="50" spans="1:3" x14ac:dyDescent="0.25">
      <c r="A50" s="1">
        <v>46097</v>
      </c>
      <c r="B50" t="str">
        <v>Office/Miscellaneous Reimbursement - Mike P.</v>
      </c>
      <c r="C50" s="5">
        <v>-55</v>
      </c>
    </row>
    <row r="51" spans="1:3" x14ac:dyDescent="0.25">
      <c r="A51" s="1">
        <v>46094</v>
      </c>
      <c r="B51" t="str">
        <v>Office/Miscellaneous Reimbursement - Mike P.</v>
      </c>
      <c r="C51" s="5">
        <v>-45</v>
      </c>
    </row>
    <row r="52" spans="1:3" x14ac:dyDescent="0.25">
      <c r="A52" s="1">
        <v>46084</v>
      </c>
      <c r="B52" t="str">
        <v>Transfer to DWG Capital Group</v>
      </c>
      <c r="C52" s="5">
        <v>-20000</v>
      </c>
    </row>
    <row r="53" spans="1:3" x14ac:dyDescent="0.25">
      <c r="A53" s="1">
        <v>46083</v>
      </c>
      <c r="B53" t="str">
        <v>Transfer to JAL Southbend</v>
      </c>
      <c r="C53" s="5">
        <v>-13000</v>
      </c>
    </row>
    <row r="54" spans="1:3" x14ac:dyDescent="0.25">
      <c r="A54" s="1">
        <v>46080</v>
      </c>
      <c r="B54" t="str">
        <v>Transfer to Judd Sol Prop</v>
      </c>
      <c r="C54" s="5">
        <v>-100</v>
      </c>
    </row>
    <row r="55" spans="1:3" x14ac:dyDescent="0.25">
      <c r="A55" s="1">
        <v>46078</v>
      </c>
      <c r="B55" t="str">
        <v>Transfer to TX Personal Joint</v>
      </c>
      <c r="C55" s="5">
        <v>-20000</v>
      </c>
    </row>
    <row r="56" spans="1:3" x14ac:dyDescent="0.25">
      <c r="A56" s="1">
        <v>46078</v>
      </c>
      <c r="B56" t="str">
        <v>Transfer to DWG Capital Group</v>
      </c>
      <c r="C56" s="5">
        <v>-30000</v>
      </c>
    </row>
    <row r="57" spans="1:3" x14ac:dyDescent="0.25">
      <c r="A57" s="1">
        <v>46078</v>
      </c>
      <c r="B57" t="str">
        <v>Transfer to Angela Dunning</v>
      </c>
      <c r="C57" s="5">
        <v>-10000</v>
      </c>
    </row>
    <row r="58" spans="1:3" x14ac:dyDescent="0.25">
      <c r="A58" s="1">
        <v>46073</v>
      </c>
      <c r="B58" t="str">
        <v>Transfer to Angela Dunning</v>
      </c>
      <c r="C58" s="5">
        <v>-20000</v>
      </c>
    </row>
    <row r="59" spans="1:3" x14ac:dyDescent="0.25">
      <c r="A59" s="1">
        <v>46072</v>
      </c>
      <c r="B59" t="str">
        <v>Transfer to DWG Capital Group</v>
      </c>
      <c r="C59" s="5">
        <v>-10000</v>
      </c>
    </row>
    <row r="60" spans="1:3" x14ac:dyDescent="0.25">
      <c r="A60" s="1">
        <v>46072</v>
      </c>
      <c r="B60" t="str">
        <v>Transfer to TX Personal Joint</v>
      </c>
      <c r="C60" s="5">
        <v>-20000</v>
      </c>
    </row>
    <row r="61" spans="1:3" x14ac:dyDescent="0.25">
      <c r="A61" s="1">
        <v>46072</v>
      </c>
      <c r="B61" t="str">
        <v>Office/Miscellaneous Reimbursement - Mike P.</v>
      </c>
      <c r="C61" s="5">
        <v>-25</v>
      </c>
    </row>
    <row r="62" spans="1:3" x14ac:dyDescent="0.25">
      <c r="A62" s="1">
        <v>46072</v>
      </c>
      <c r="B62" t="str">
        <v>Transfer to DWG Capital Group_Costar</v>
      </c>
      <c r="C62" s="5">
        <v>-15000</v>
      </c>
    </row>
    <row r="63" spans="1:3" x14ac:dyDescent="0.25">
      <c r="A63" s="1">
        <v>46059</v>
      </c>
      <c r="B63" t="str">
        <v>Transfer to DWG Capital Group</v>
      </c>
      <c r="C63" s="5">
        <v>-20000</v>
      </c>
    </row>
    <row r="64" spans="1:3" x14ac:dyDescent="0.25">
      <c r="A64" s="1">
        <v>46059</v>
      </c>
      <c r="B64" t="str">
        <v>Office/Miscellaneous Reimbursement - Mike P.</v>
      </c>
      <c r="C64" s="5">
        <v>-35</v>
      </c>
    </row>
    <row r="65" spans="1:3" x14ac:dyDescent="0.25">
      <c r="A65" s="1">
        <v>46058</v>
      </c>
      <c r="B65" t="str">
        <v>Office/Miscellaneous Reimbursement - Mike P.</v>
      </c>
      <c r="C65" s="5">
        <v>-35</v>
      </c>
    </row>
    <row r="66" spans="1:3" x14ac:dyDescent="0.25">
      <c r="A66" s="1">
        <v>46055</v>
      </c>
      <c r="B66" t="str">
        <v>Transfer to DWG Capital Group</v>
      </c>
      <c r="C66" s="5">
        <v>-8556.41</v>
      </c>
    </row>
    <row r="67" spans="1:3" x14ac:dyDescent="0.25">
      <c r="A67" s="1">
        <v>46051</v>
      </c>
      <c r="B67" t="str">
        <v>Transfer to DWG Capital Partners</v>
      </c>
      <c r="C67" s="5">
        <v>-41000</v>
      </c>
    </row>
    <row r="68" spans="1:3" x14ac:dyDescent="0.25">
      <c r="A68" s="1">
        <v>46051</v>
      </c>
      <c r="B68" t="str">
        <v>Transfer to DWG Capital Partners</v>
      </c>
      <c r="C68" s="5">
        <v>-5000</v>
      </c>
    </row>
    <row r="69" spans="1:3" x14ac:dyDescent="0.25">
      <c r="A69" s="1">
        <v>46049</v>
      </c>
      <c r="B69" t="str">
        <v>Transfer to DWG Capital Group</v>
      </c>
      <c r="C69" s="5">
        <v>-30000</v>
      </c>
    </row>
    <row r="70" spans="1:3" x14ac:dyDescent="0.25">
      <c r="A70" s="1">
        <v>46044</v>
      </c>
      <c r="B70" t="str">
        <v>Zelle - Chase Hall</v>
      </c>
      <c r="C70" s="5">
        <v>-325</v>
      </c>
    </row>
    <row r="71" spans="1:3" x14ac:dyDescent="0.25">
      <c r="A71" s="1">
        <v>46043</v>
      </c>
      <c r="B71" t="str">
        <v>Office/Miscellaneous Reimbursement - Mike P.</v>
      </c>
      <c r="C71" s="5">
        <v>-20</v>
      </c>
    </row>
    <row r="72" spans="1:3" x14ac:dyDescent="0.25">
      <c r="A72" s="1">
        <v>46043</v>
      </c>
      <c r="B72" t="str">
        <v>Transfer to DWG Capital Group</v>
      </c>
      <c r="C72" s="5">
        <v>-20000</v>
      </c>
    </row>
    <row r="73" spans="1:3" x14ac:dyDescent="0.25">
      <c r="A73" s="1">
        <v>46042</v>
      </c>
      <c r="B73" t="str">
        <v>Transfer to Judd Sol Prop</v>
      </c>
      <c r="C73" s="5">
        <v>-100</v>
      </c>
    </row>
    <row r="74" spans="1:3" x14ac:dyDescent="0.25">
      <c r="A74" s="1">
        <v>46042</v>
      </c>
      <c r="B74" t="str">
        <v>Office/Miscellaneous Reimbursement - Mike P.</v>
      </c>
      <c r="C74" s="5">
        <v>-100</v>
      </c>
    </row>
    <row r="75" spans="1:3" x14ac:dyDescent="0.25">
      <c r="A75" s="1">
        <v>46035</v>
      </c>
      <c r="B75" t="str">
        <v>Transfer to DWG Capital Group</v>
      </c>
      <c r="C75" s="5">
        <v>-20000</v>
      </c>
    </row>
    <row r="76" spans="1:3" x14ac:dyDescent="0.25">
      <c r="A76" s="1">
        <v>46034</v>
      </c>
      <c r="B76" t="str">
        <v>Office/Miscellaneous Reimbursement - Mike P.</v>
      </c>
      <c r="C76" s="5">
        <v>-1000</v>
      </c>
    </row>
    <row r="77" spans="1:3" x14ac:dyDescent="0.25">
      <c r="A77" s="1">
        <v>46030</v>
      </c>
      <c r="B77" t="str">
        <v>Zelle - Scott Brech</v>
      </c>
      <c r="C77" s="5">
        <v>-700</v>
      </c>
    </row>
    <row r="78" spans="1:3" x14ac:dyDescent="0.25">
      <c r="A78" s="1">
        <v>46030</v>
      </c>
      <c r="B78" t="str">
        <v>Transfer to Edgebuilders</v>
      </c>
      <c r="C78" s="5">
        <v>-35000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5825-3CF0-447F-B3C2-A2F22A7DA3D1}">
  <dimension ref="A1:C20"/>
  <sheetViews>
    <sheetView workbookViewId="0"/>
  </sheetViews>
  <sheetFormatPr defaultRowHeight="15" x14ac:dyDescent="0.25"/>
  <cols>
    <col min="1" max="1" width="53.28515625" customWidth="1"/>
    <col min="2" max="2" width="19" customWidth="1"/>
    <col min="3" max="3" width="26.7109375" customWidth="1"/>
  </cols>
  <sheetData>
    <row r="1" spans="1:3" ht="21" x14ac:dyDescent="0.35">
      <c r="A1" s="8" t="s">
        <v>550</v>
      </c>
      <c r="B1" s="8"/>
      <c r="C1" s="8"/>
    </row>
    <row r="2" spans="1:3" x14ac:dyDescent="0.25">
      <c r="A2" s="6" t="s">
        <v>593</v>
      </c>
      <c r="B2" s="6"/>
      <c r="C2" s="6"/>
    </row>
    <row r="4" spans="1:3" x14ac:dyDescent="0.25">
      <c r="A4" s="7" t="s">
        <v>584</v>
      </c>
      <c r="B4" s="7"/>
      <c r="C4" s="7"/>
    </row>
    <row r="5" spans="1:3" x14ac:dyDescent="0.25">
      <c r="A5" t="s">
        <v>594</v>
      </c>
      <c r="C5" s="5">
        <f>SUMIFS('Transaction Overview'!$D$2:$D$467,'Transaction Overview'!$J$2:$J$467,"Commissions — Incoming")</f>
        <v>435155.44</v>
      </c>
    </row>
    <row r="6" spans="1:3" x14ac:dyDescent="0.25">
      <c r="A6" t="s">
        <v>595</v>
      </c>
      <c r="C6" s="5">
        <f>SUMIFS('Transaction Overview'!$D$2:$D$467,'Transaction Overview'!$J$2:$J$467,"Commissions — Outgoing")</f>
        <v>-23587.5</v>
      </c>
    </row>
    <row r="7" spans="1:3" x14ac:dyDescent="0.25">
      <c r="A7" t="s">
        <v>596</v>
      </c>
      <c r="C7" s="5">
        <f>C5+C6</f>
        <v>411567.94</v>
      </c>
    </row>
    <row r="9" spans="1:3" x14ac:dyDescent="0.25">
      <c r="A9" s="7" t="s">
        <v>597</v>
      </c>
      <c r="B9" s="7"/>
      <c r="C9" s="7"/>
    </row>
    <row r="10" spans="1:3" x14ac:dyDescent="0.25">
      <c r="A10" s="9" t="s">
        <v>474</v>
      </c>
      <c r="B10" s="9" t="s">
        <v>588</v>
      </c>
      <c r="C10" s="9" t="s">
        <v>3</v>
      </c>
    </row>
    <row r="11" spans="1:3" x14ac:dyDescent="0.25">
      <c r="A11" t="s">
        <v>524</v>
      </c>
      <c r="B11">
        <f>COUNTIFS('Transaction Overview'!$G$2:$G$467,$A11)</f>
        <v>1</v>
      </c>
      <c r="C11" s="5">
        <f>SUMIFS('Transaction Overview'!$D$2:$D$467,'Transaction Overview'!$G$2:$G$467,$A11)</f>
        <v>168266</v>
      </c>
    </row>
    <row r="12" spans="1:3" x14ac:dyDescent="0.25">
      <c r="A12" t="s">
        <v>519</v>
      </c>
      <c r="B12">
        <f>COUNTIFS('Transaction Overview'!$G$2:$G$467,$A12)</f>
        <v>3</v>
      </c>
      <c r="C12" s="5">
        <f>SUMIFS('Transaction Overview'!$D$2:$D$467,'Transaction Overview'!$G$2:$G$467,$A12)</f>
        <v>266889.44</v>
      </c>
    </row>
    <row r="13" spans="1:3" x14ac:dyDescent="0.25">
      <c r="A13" s="12" t="s">
        <v>598</v>
      </c>
      <c r="B13" s="12">
        <f>SUM(B11:B12)</f>
        <v>4</v>
      </c>
      <c r="C13" s="21">
        <f>SUM(C11:C12)</f>
        <v>435155.44</v>
      </c>
    </row>
    <row r="15" spans="1:3" x14ac:dyDescent="0.25">
      <c r="A15" s="7" t="s">
        <v>599</v>
      </c>
      <c r="B15" s="7"/>
      <c r="C15" s="7"/>
    </row>
    <row r="16" spans="1:3" x14ac:dyDescent="0.25">
      <c r="A16" s="9" t="s">
        <v>474</v>
      </c>
      <c r="B16" s="9" t="s">
        <v>588</v>
      </c>
      <c r="C16" s="9" t="s">
        <v>3</v>
      </c>
    </row>
    <row r="17" spans="1:3" x14ac:dyDescent="0.25">
      <c r="A17" t="s">
        <v>520</v>
      </c>
      <c r="B17">
        <f>COUNTIFS('Transaction Overview'!$G$2:$G$467,$A17)</f>
        <v>1</v>
      </c>
      <c r="C17" s="5">
        <f>SUMIFS('Transaction Overview'!$D$2:$D$467,'Transaction Overview'!$G$2:$G$467,$A17)</f>
        <v>-16087.5</v>
      </c>
    </row>
    <row r="18" spans="1:3" x14ac:dyDescent="0.25">
      <c r="A18" t="s">
        <v>508</v>
      </c>
      <c r="B18">
        <f>COUNTIFS('Transaction Overview'!$G$2:$G$467,$A18)</f>
        <v>1</v>
      </c>
      <c r="C18" s="5">
        <f>SUMIFS('Transaction Overview'!$D$2:$D$467,'Transaction Overview'!$G$2:$G$467,$A18)</f>
        <v>-6000</v>
      </c>
    </row>
    <row r="19" spans="1:3" x14ac:dyDescent="0.25">
      <c r="A19" t="s">
        <v>484</v>
      </c>
      <c r="B19">
        <f>COUNTIFS('Transaction Overview'!$G$2:$G$467,$A19)</f>
        <v>1</v>
      </c>
      <c r="C19" s="5">
        <f>SUMIFS('Transaction Overview'!$D$2:$D$467,'Transaction Overview'!$G$2:$G$467,$A19)</f>
        <v>-1500</v>
      </c>
    </row>
    <row r="20" spans="1:3" x14ac:dyDescent="0.25">
      <c r="A20" s="12" t="s">
        <v>600</v>
      </c>
      <c r="B20" s="12">
        <f>SUM(B17:B19)</f>
        <v>3</v>
      </c>
      <c r="C20" s="21">
        <f>SUM(C17:C19)</f>
        <v>-23587.5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E19A-FCAD-4703-B868-DE727345C954}">
  <dimension ref="A1:C25"/>
  <sheetViews>
    <sheetView workbookViewId="0"/>
  </sheetViews>
  <sheetFormatPr defaultRowHeight="15" x14ac:dyDescent="0.25"/>
  <cols>
    <col min="1" max="1" width="53.28515625" customWidth="1"/>
    <col min="2" max="2" width="49.5703125" customWidth="1"/>
    <col min="3" max="3" width="26.7109375" customWidth="1"/>
  </cols>
  <sheetData>
    <row r="1" spans="1:3" ht="21" x14ac:dyDescent="0.35">
      <c r="A1" s="8" t="s">
        <v>601</v>
      </c>
      <c r="B1" s="8"/>
      <c r="C1" s="8"/>
    </row>
    <row r="2" spans="1:3" x14ac:dyDescent="0.25">
      <c r="A2" s="6" t="s">
        <v>583</v>
      </c>
      <c r="B2" s="6"/>
      <c r="C2" s="6"/>
    </row>
    <row r="4" spans="1:3" x14ac:dyDescent="0.25">
      <c r="A4" s="7" t="s">
        <v>584</v>
      </c>
      <c r="B4" s="7"/>
      <c r="C4" s="7"/>
    </row>
    <row r="5" spans="1:3" x14ac:dyDescent="0.25">
      <c r="A5" t="s">
        <v>580</v>
      </c>
      <c r="C5" s="5">
        <f>SUMIFS('Transaction Overview'!$D$2:$D$467,'Transaction Overview'!$E$2:$E$467,"WIRE_INCOMING")</f>
        <v>529526.29</v>
      </c>
    </row>
    <row r="6" spans="1:3" x14ac:dyDescent="0.25">
      <c r="A6" t="s">
        <v>585</v>
      </c>
      <c r="C6">
        <f>COUNTIFS('Transaction Overview'!$E$2:$E$467,"WIRE_INCOMING")</f>
        <v>7</v>
      </c>
    </row>
    <row r="8" spans="1:3" x14ac:dyDescent="0.25">
      <c r="A8" s="7" t="s">
        <v>586</v>
      </c>
      <c r="B8" s="7"/>
      <c r="C8" s="7"/>
    </row>
    <row r="9" spans="1:3" x14ac:dyDescent="0.25">
      <c r="A9" s="9" t="s">
        <v>587</v>
      </c>
      <c r="B9" s="9" t="s">
        <v>588</v>
      </c>
      <c r="C9" s="9" t="s">
        <v>3</v>
      </c>
    </row>
    <row r="10" spans="1:3" x14ac:dyDescent="0.25">
      <c r="A10" t="s">
        <v>524</v>
      </c>
      <c r="B10">
        <f>COUNTIFS('Transaction Overview'!$G$2:$G$467,$A10,'Transaction Overview'!$E$2:$E$467,"WIRE_INCOMING")</f>
        <v>1</v>
      </c>
      <c r="C10" s="5">
        <f>SUMIFS('Transaction Overview'!$D$2:$D$467,'Transaction Overview'!$G$2:$G$467,$A10,'Transaction Overview'!$E$2:$E$467,"WIRE_INCOMING")</f>
        <v>168266</v>
      </c>
    </row>
    <row r="11" spans="1:3" x14ac:dyDescent="0.25">
      <c r="A11" t="s">
        <v>519</v>
      </c>
      <c r="B11">
        <f>COUNTIFS('Transaction Overview'!$G$2:$G$467,$A11,'Transaction Overview'!$E$2:$E$467,"WIRE_INCOMING")</f>
        <v>3</v>
      </c>
      <c r="C11" s="5">
        <f>SUMIFS('Transaction Overview'!$D$2:$D$467,'Transaction Overview'!$G$2:$G$467,$A11,'Transaction Overview'!$E$2:$E$467,"WIRE_INCOMING")</f>
        <v>266889.44</v>
      </c>
    </row>
    <row r="12" spans="1:3" x14ac:dyDescent="0.25">
      <c r="A12" t="s">
        <v>514</v>
      </c>
      <c r="B12">
        <f>COUNTIFS('Transaction Overview'!$G$2:$G$467,$A12,'Transaction Overview'!$E$2:$E$467,"WIRE_INCOMING")</f>
        <v>1</v>
      </c>
      <c r="C12" s="5">
        <f>SUMIFS('Transaction Overview'!$D$2:$D$467,'Transaction Overview'!$G$2:$G$467,$A12,'Transaction Overview'!$E$2:$E$467,"WIRE_INCOMING")</f>
        <v>20000</v>
      </c>
    </row>
    <row r="13" spans="1:3" x14ac:dyDescent="0.25">
      <c r="A13" t="s">
        <v>530</v>
      </c>
      <c r="B13">
        <f>COUNTIFS('Transaction Overview'!$G$2:$G$467,$A13,'Transaction Overview'!$E$2:$E$467,"WIRE_INCOMING")</f>
        <v>1</v>
      </c>
      <c r="C13" s="5">
        <f>SUMIFS('Transaction Overview'!$D$2:$D$467,'Transaction Overview'!$G$2:$G$467,$A13,'Transaction Overview'!$E$2:$E$467,"WIRE_INCOMING")</f>
        <v>58370.85</v>
      </c>
    </row>
    <row r="14" spans="1:3" x14ac:dyDescent="0.25">
      <c r="A14" t="s">
        <v>507</v>
      </c>
      <c r="B14">
        <f>COUNTIFS('Transaction Overview'!$G$2:$G$467,$A14,'Transaction Overview'!$E$2:$E$467,"WIRE_INCOMING")</f>
        <v>1</v>
      </c>
      <c r="C14" s="5">
        <f>SUMIFS('Transaction Overview'!$D$2:$D$467,'Transaction Overview'!$G$2:$G$467,$A14,'Transaction Overview'!$E$2:$E$467,"WIRE_INCOMING")</f>
        <v>16000</v>
      </c>
    </row>
    <row r="15" spans="1:3" x14ac:dyDescent="0.25">
      <c r="A15" s="12" t="s">
        <v>589</v>
      </c>
      <c r="B15" s="12">
        <f>SUM(B10:B14)</f>
        <v>7</v>
      </c>
      <c r="C15" s="21">
        <f>SUM(C10:C14)</f>
        <v>529526.29</v>
      </c>
    </row>
    <row r="17" spans="1:3" x14ac:dyDescent="0.25">
      <c r="A17" s="7" t="s">
        <v>590</v>
      </c>
      <c r="B17" s="7"/>
      <c r="C17" s="7"/>
    </row>
    <row r="18" spans="1:3" x14ac:dyDescent="0.25">
      <c r="A18" s="9" t="s">
        <v>591</v>
      </c>
      <c r="B18" s="9" t="s">
        <v>587</v>
      </c>
      <c r="C18" s="9" t="s">
        <v>3</v>
      </c>
    </row>
    <row r="19" spans="1:3" x14ac:dyDescent="0.25">
      <c r="A19" s="1" cm="1">
        <f t="array" ref="A19:A25">_xlfn._xlws.FILTER('Transaction Overview'!$B$2:$B$467,('Transaction Overview'!$E$2:$E$467="WIRE_INCOMING"))</f>
        <v>46135</v>
      </c>
      <c r="B19" t="str" cm="1">
        <f t="array" ref="B19:B25">_xlfn._xlws.FILTER('Transaction Overview'!$G$2:$G$467,('Transaction Overview'!$E$2:$E$467="WIRE_INCOMING"))</f>
        <v>Incoming Commission: SPF</v>
      </c>
      <c r="C19" s="5" cm="1">
        <f t="array" ref="C19:C25">_xlfn._xlws.FILTER('Transaction Overview'!$D$2:$D$467,('Transaction Overview'!$E$2:$E$467="WIRE_INCOMING"))</f>
        <v>23139.439999999999</v>
      </c>
    </row>
    <row r="20" spans="1:3" x14ac:dyDescent="0.25">
      <c r="A20" s="1">
        <v>46135</v>
      </c>
      <c r="B20" t="str">
        <v>Incoming Commission: SPF</v>
      </c>
      <c r="C20" s="5">
        <v>48750</v>
      </c>
    </row>
    <row r="21" spans="1:3" x14ac:dyDescent="0.25">
      <c r="A21" s="1">
        <v>46135</v>
      </c>
      <c r="B21" t="str">
        <v>Incoming Commission: SPF</v>
      </c>
      <c r="C21" s="5">
        <v>195000</v>
      </c>
    </row>
    <row r="22" spans="1:3" x14ac:dyDescent="0.25">
      <c r="A22" s="1">
        <v>46072</v>
      </c>
      <c r="B22" t="str">
        <v>Incoming Commission: Rembrandt</v>
      </c>
      <c r="C22" s="5">
        <v>168266</v>
      </c>
    </row>
    <row r="23" spans="1:3" x14ac:dyDescent="0.25">
      <c r="A23" s="1">
        <v>46056</v>
      </c>
      <c r="B23" t="str">
        <v>Incoming wire from Moab (Leftover Funds)</v>
      </c>
      <c r="C23" s="5">
        <v>58370.85</v>
      </c>
    </row>
    <row r="24" spans="1:3" x14ac:dyDescent="0.25">
      <c r="A24" s="1">
        <v>46055</v>
      </c>
      <c r="B24" t="str">
        <v>Incoming wire from JC Whitner</v>
      </c>
      <c r="C24" s="5">
        <v>20000</v>
      </c>
    </row>
    <row r="25" spans="1:3" x14ac:dyDescent="0.25">
      <c r="A25" s="1">
        <v>46029</v>
      </c>
      <c r="B25" t="str">
        <v>Incoming wire from Steve Klar</v>
      </c>
      <c r="C25" s="5">
        <v>16000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67D71-E1B6-4F8C-B445-ED8713C28C80}">
  <dimension ref="A1:C26"/>
  <sheetViews>
    <sheetView workbookViewId="0"/>
  </sheetViews>
  <sheetFormatPr defaultRowHeight="15" x14ac:dyDescent="0.25"/>
  <cols>
    <col min="1" max="1" width="53.28515625" customWidth="1"/>
    <col min="2" max="2" width="49.5703125" customWidth="1"/>
    <col min="3" max="3" width="26.7109375" customWidth="1"/>
  </cols>
  <sheetData>
    <row r="1" spans="1:3" ht="21" x14ac:dyDescent="0.35">
      <c r="A1" s="8" t="s">
        <v>602</v>
      </c>
      <c r="B1" s="8"/>
      <c r="C1" s="8"/>
    </row>
    <row r="2" spans="1:3" x14ac:dyDescent="0.25">
      <c r="A2" s="6" t="s">
        <v>583</v>
      </c>
      <c r="B2" s="6"/>
      <c r="C2" s="6"/>
    </row>
    <row r="4" spans="1:3" x14ac:dyDescent="0.25">
      <c r="A4" s="7" t="s">
        <v>584</v>
      </c>
      <c r="B4" s="7"/>
      <c r="C4" s="7"/>
    </row>
    <row r="5" spans="1:3" x14ac:dyDescent="0.25">
      <c r="A5" t="s">
        <v>580</v>
      </c>
      <c r="C5" s="5">
        <f>SUMIFS('Transaction Overview'!$D$2:$D$467,'Transaction Overview'!$E$2:$E$467,"WIRE_OUTGOING")</f>
        <v>-108758.35</v>
      </c>
    </row>
    <row r="6" spans="1:3" x14ac:dyDescent="0.25">
      <c r="A6" t="s">
        <v>585</v>
      </c>
      <c r="C6">
        <f>COUNTIFS('Transaction Overview'!$E$2:$E$467,"WIRE_OUTGOING")</f>
        <v>7</v>
      </c>
    </row>
    <row r="8" spans="1:3" x14ac:dyDescent="0.25">
      <c r="A8" s="7" t="s">
        <v>586</v>
      </c>
      <c r="B8" s="7"/>
      <c r="C8" s="7"/>
    </row>
    <row r="9" spans="1:3" x14ac:dyDescent="0.25">
      <c r="A9" s="9" t="s">
        <v>587</v>
      </c>
      <c r="B9" s="9" t="s">
        <v>588</v>
      </c>
      <c r="C9" s="9" t="s">
        <v>3</v>
      </c>
    </row>
    <row r="10" spans="1:3" x14ac:dyDescent="0.25">
      <c r="A10" t="s">
        <v>509</v>
      </c>
      <c r="B10">
        <f>COUNTIFS('Transaction Overview'!$G$2:$G$467,$A10,'Transaction Overview'!$E$2:$E$467,"WIRE_OUTGOING")</f>
        <v>1</v>
      </c>
      <c r="C10" s="5">
        <f>SUMIFS('Transaction Overview'!$D$2:$D$467,'Transaction Overview'!$G$2:$G$467,$A10,'Transaction Overview'!$E$2:$E$467,"WIRE_OUTGOING")</f>
        <v>-10000</v>
      </c>
    </row>
    <row r="11" spans="1:3" x14ac:dyDescent="0.25">
      <c r="A11" t="s">
        <v>520</v>
      </c>
      <c r="B11">
        <f>COUNTIFS('Transaction Overview'!$G$2:$G$467,$A11,'Transaction Overview'!$E$2:$E$467,"WIRE_OUTGOING")</f>
        <v>1</v>
      </c>
      <c r="C11" s="5">
        <f>SUMIFS('Transaction Overview'!$D$2:$D$467,'Transaction Overview'!$G$2:$G$467,$A11,'Transaction Overview'!$E$2:$E$467,"WIRE_OUTGOING")</f>
        <v>-16087.5</v>
      </c>
    </row>
    <row r="12" spans="1:3" x14ac:dyDescent="0.25">
      <c r="A12" t="s">
        <v>508</v>
      </c>
      <c r="B12">
        <f>COUNTIFS('Transaction Overview'!$G$2:$G$467,$A12,'Transaction Overview'!$E$2:$E$467,"WIRE_OUTGOING")</f>
        <v>1</v>
      </c>
      <c r="C12" s="5">
        <f>SUMIFS('Transaction Overview'!$D$2:$D$467,'Transaction Overview'!$G$2:$G$467,$A12,'Transaction Overview'!$E$2:$E$467,"WIRE_OUTGOING")</f>
        <v>-6000</v>
      </c>
    </row>
    <row r="13" spans="1:3" x14ac:dyDescent="0.25">
      <c r="A13" t="s">
        <v>486</v>
      </c>
      <c r="B13">
        <f>COUNTIFS('Transaction Overview'!$G$2:$G$467,$A13,'Transaction Overview'!$E$2:$E$467,"WIRE_OUTGOING")</f>
        <v>2</v>
      </c>
      <c r="C13" s="5">
        <f>SUMIFS('Transaction Overview'!$D$2:$D$467,'Transaction Overview'!$G$2:$G$467,$A13,'Transaction Overview'!$E$2:$E$467,"WIRE_OUTGOING")</f>
        <v>-10000</v>
      </c>
    </row>
    <row r="14" spans="1:3" x14ac:dyDescent="0.25">
      <c r="A14" t="s">
        <v>529</v>
      </c>
      <c r="B14">
        <f>COUNTIFS('Transaction Overview'!$G$2:$G$467,$A14,'Transaction Overview'!$E$2:$E$467,"WIRE_OUTGOING")</f>
        <v>1</v>
      </c>
      <c r="C14" s="5">
        <f>SUMIFS('Transaction Overview'!$D$2:$D$467,'Transaction Overview'!$G$2:$G$467,$A14,'Transaction Overview'!$E$2:$E$467,"WIRE_OUTGOING")</f>
        <v>-56670.85</v>
      </c>
    </row>
    <row r="15" spans="1:3" x14ac:dyDescent="0.25">
      <c r="A15" t="s">
        <v>527</v>
      </c>
      <c r="B15">
        <f>COUNTIFS('Transaction Overview'!$G$2:$G$467,$A15,'Transaction Overview'!$E$2:$E$467,"WIRE_OUTGOING")</f>
        <v>1</v>
      </c>
      <c r="C15" s="5">
        <f>SUMIFS('Transaction Overview'!$D$2:$D$467,'Transaction Overview'!$G$2:$G$467,$A15,'Transaction Overview'!$E$2:$E$467,"WIRE_OUTGOING")</f>
        <v>-10000</v>
      </c>
    </row>
    <row r="16" spans="1:3" x14ac:dyDescent="0.25">
      <c r="A16" s="12" t="s">
        <v>589</v>
      </c>
      <c r="B16" s="12">
        <f>SUM(B10:B15)</f>
        <v>7</v>
      </c>
      <c r="C16" s="21">
        <f>SUM(C10:C15)</f>
        <v>-108758.35</v>
      </c>
    </row>
    <row r="18" spans="1:3" x14ac:dyDescent="0.25">
      <c r="A18" s="7" t="s">
        <v>590</v>
      </c>
      <c r="B18" s="7"/>
      <c r="C18" s="7"/>
    </row>
    <row r="19" spans="1:3" x14ac:dyDescent="0.25">
      <c r="A19" s="9" t="s">
        <v>591</v>
      </c>
      <c r="B19" s="9" t="s">
        <v>587</v>
      </c>
      <c r="C19" s="9" t="s">
        <v>3</v>
      </c>
    </row>
    <row r="20" spans="1:3" x14ac:dyDescent="0.25">
      <c r="A20" s="1" cm="1">
        <f t="array" ref="A20:A26">_xlfn._xlws.FILTER('Transaction Overview'!$B$2:$B$467,('Transaction Overview'!$E$2:$E$467="WIRE_OUTGOING"))</f>
        <v>46139</v>
      </c>
      <c r="B20" t="str" cm="1">
        <f t="array" ref="B20:B26">_xlfn._xlws.FILTER('Transaction Overview'!$G$2:$G$467,('Transaction Overview'!$E$2:$E$467="WIRE_OUTGOING"))</f>
        <v>Kevin Wong Commission (SPF)</v>
      </c>
      <c r="C20" s="5" cm="1">
        <f t="array" ref="C20:C26">_xlfn._xlws.FILTER('Transaction Overview'!$D$2:$D$467,('Transaction Overview'!$E$2:$E$467="WIRE_OUTGOING"))</f>
        <v>-16087.5</v>
      </c>
    </row>
    <row r="21" spans="1:3" x14ac:dyDescent="0.25">
      <c r="A21" s="1">
        <v>46132</v>
      </c>
      <c r="B21" t="str">
        <v>MAG - Admeer Advisory Transfer</v>
      </c>
      <c r="C21" s="5">
        <v>-5000</v>
      </c>
    </row>
    <row r="22" spans="1:3" x14ac:dyDescent="0.25">
      <c r="A22" s="1">
        <v>46057</v>
      </c>
      <c r="B22" t="str">
        <v>Wire to Ryan Bodmer</v>
      </c>
      <c r="C22" s="5">
        <v>-10000</v>
      </c>
    </row>
    <row r="23" spans="1:3" x14ac:dyDescent="0.25">
      <c r="A23" s="1">
        <v>46056</v>
      </c>
      <c r="B23" t="str">
        <v>Wire to Gi Capital Group (+ Moab Funds)</v>
      </c>
      <c r="C23" s="5">
        <v>-56670.85</v>
      </c>
    </row>
    <row r="24" spans="1:3" x14ac:dyDescent="0.25">
      <c r="A24" s="1">
        <v>46056</v>
      </c>
      <c r="B24" t="str">
        <v>MAG - Admeer Advisory Transfer</v>
      </c>
      <c r="C24" s="5">
        <v>-5000</v>
      </c>
    </row>
    <row r="25" spans="1:3" x14ac:dyDescent="0.25">
      <c r="A25" s="1">
        <v>46029</v>
      </c>
      <c r="B25" t="str">
        <v>Bridge Coverage (JC Whitner)</v>
      </c>
      <c r="C25" s="5">
        <v>-10000</v>
      </c>
    </row>
    <row r="26" spans="1:3" x14ac:dyDescent="0.25">
      <c r="A26" s="1">
        <v>46029</v>
      </c>
      <c r="B26" t="str">
        <v>Kevin Wong Commission (Steve Klar)</v>
      </c>
      <c r="C26" s="5">
        <v>-6000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7154-47A7-40D3-AFC6-EE9E01D6B61F}">
  <dimension ref="A1:J467"/>
  <sheetViews>
    <sheetView topLeftCell="A49" workbookViewId="0">
      <selection activeCell="I1" sqref="I1"/>
    </sheetView>
  </sheetViews>
  <sheetFormatPr defaultRowHeight="15" x14ac:dyDescent="0.25"/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474</v>
      </c>
      <c r="H1" s="3" t="s">
        <v>549</v>
      </c>
      <c r="I1" s="3" t="s">
        <v>532</v>
      </c>
      <c r="J1" s="3" t="s">
        <v>533</v>
      </c>
    </row>
    <row r="2" spans="1:10" x14ac:dyDescent="0.25">
      <c r="A2" t="str">
        <f>'2026_Chase9335_Activity_2026062'!A2</f>
        <v>DEBIT</v>
      </c>
      <c r="B2" s="1">
        <f>'2026_Chase9335_Activity_2026062'!B2</f>
        <v>46195</v>
      </c>
      <c r="C2" t="str">
        <f>'2026_Chase9335_Activity_2026062'!C2</f>
        <v>ORIG CO NAME:AMERICAN EXPRESS       ORIG ID:2005032111 DESC DATE:260622 CO ENTRY DESCR:ACH PMT   SEC:CCD    TRACE#:021000023462426 EED:260622   IND ID:W7800                        IND NAME:JOHN DUNNING                                                                                                 ER AM TRN: 1733462426TC</v>
      </c>
      <c r="D2" s="5">
        <f>'2026_Chase9335_Activity_2026062'!D2</f>
        <v>-35.04</v>
      </c>
      <c r="E2" t="str">
        <f>'2026_Chase9335_Activity_2026062'!E2</f>
        <v>ACH_DEBIT</v>
      </c>
      <c r="F2" s="5">
        <f>'2026_Chase9335_Activity_2026062'!F2</f>
        <v>41709.269999999997</v>
      </c>
      <c r="G2" t="str">
        <f>'2026_Chase9335_Activity_2026062'!G2</f>
        <v>American Express Credit Card PMT</v>
      </c>
      <c r="H2" s="4">
        <f>IF($B2="","",DATE(YEAR($B2),MONTH($B2),1))</f>
        <v>46174</v>
      </c>
      <c r="I2" t="str">
        <f>IF($G2="","Uncategorized — Review",IFERROR(_xlfn.XLOOKUP($G2,Mapping!$A:$A,Mapping!$B:$B),"Uncategorized — Review"))</f>
        <v>American Express Credit Card PMT</v>
      </c>
      <c r="J2" t="str">
        <f>IF($G2="","Uncategorized — Review",IFERROR(_xlfn.XLOOKUP($G2,Mapping!$A:$A,Mapping!$C:$C),"Uncategorized — Review"))</f>
        <v>Credit Card &amp; Loan Payments</v>
      </c>
    </row>
    <row r="3" spans="1:10" x14ac:dyDescent="0.25">
      <c r="A3" t="str">
        <f>'2026_Chase9335_Activity_2026062'!A3</f>
        <v>DEBIT</v>
      </c>
      <c r="B3" s="1">
        <f>'2026_Chase9335_Activity_2026062'!B3</f>
        <v>46195</v>
      </c>
      <c r="C3" t="str">
        <f>'2026_Chase9335_Activity_2026062'!C3</f>
        <v>UBER   * EATS PENDIN SAN FRANCISCO CA137460  06/22</v>
      </c>
      <c r="D3" s="5">
        <f>'2026_Chase9335_Activity_2026062'!D3</f>
        <v>-50.83</v>
      </c>
      <c r="E3" t="str">
        <f>'2026_Chase9335_Activity_2026062'!E3</f>
        <v>DEBIT_CARD</v>
      </c>
      <c r="F3" s="5">
        <f>'2026_Chase9335_Activity_2026062'!F3</f>
        <v>41744.31</v>
      </c>
      <c r="G3" t="str">
        <f>'2026_Chase9335_Activity_2026062'!G3</f>
        <v>Personal - Car</v>
      </c>
      <c r="H3" s="4">
        <f t="shared" ref="H3:H66" si="0">IF($B3="","",DATE(YEAR($B3),MONTH($B3),1))</f>
        <v>46174</v>
      </c>
      <c r="I3" t="str">
        <f>IF($G3="","Uncategorized — Review",IFERROR(_xlfn.XLOOKUP($G3,Mapping!$A:$A,Mapping!$B:$B),"Uncategorized — Review"))</f>
        <v>Personal - Car &amp; Auto</v>
      </c>
      <c r="J3" t="str">
        <f>IF($G3="","Uncategorized — Review",IFERROR(_xlfn.XLOOKUP($G3,Mapping!$A:$A,Mapping!$C:$C),"Uncategorized — Review"))</f>
        <v>Personal — Owner</v>
      </c>
    </row>
    <row r="4" spans="1:10" x14ac:dyDescent="0.25">
      <c r="A4" t="str">
        <f>'2026_Chase9335_Activity_2026062'!A4</f>
        <v>DEBIT</v>
      </c>
      <c r="B4" s="1">
        <f>'2026_Chase9335_Activity_2026062'!B4</f>
        <v>46195</v>
      </c>
      <c r="C4" t="str">
        <f>'2026_Chase9335_Activity_2026062'!C4</f>
        <v>UBER   * EATS PENDIN SAN FRANCISCO CA016992  06/21</v>
      </c>
      <c r="D4" s="5">
        <f>'2026_Chase9335_Activity_2026062'!D4</f>
        <v>-124.58</v>
      </c>
      <c r="E4" t="str">
        <f>'2026_Chase9335_Activity_2026062'!E4</f>
        <v>DEBIT_CARD</v>
      </c>
      <c r="F4" s="5">
        <f>'2026_Chase9335_Activity_2026062'!F4</f>
        <v>41795.14</v>
      </c>
      <c r="G4" t="str">
        <f>'2026_Chase9335_Activity_2026062'!G4</f>
        <v>Personal - Car</v>
      </c>
      <c r="H4" s="4">
        <f t="shared" si="0"/>
        <v>46174</v>
      </c>
      <c r="I4" t="str">
        <f>IF($G4="","Uncategorized — Review",IFERROR(_xlfn.XLOOKUP($G4,Mapping!$A:$A,Mapping!$B:$B),"Uncategorized — Review"))</f>
        <v>Personal - Car &amp; Auto</v>
      </c>
      <c r="J4" t="str">
        <f>IF($G4="","Uncategorized — Review",IFERROR(_xlfn.XLOOKUP($G4,Mapping!$A:$A,Mapping!$C:$C),"Uncategorized — Review"))</f>
        <v>Personal — Owner</v>
      </c>
    </row>
    <row r="5" spans="1:10" x14ac:dyDescent="0.25">
      <c r="A5" t="str">
        <f>'2026_Chase9335_Activity_2026062'!A5</f>
        <v>DEBIT</v>
      </c>
      <c r="B5" s="1">
        <f>'2026_Chase9335_Activity_2026062'!B5</f>
        <v>46195</v>
      </c>
      <c r="C5" t="str">
        <f>'2026_Chase9335_Activity_2026062'!C5</f>
        <v>Netflix 1 8445052993 CA                      06/21</v>
      </c>
      <c r="D5" s="5">
        <f>'2026_Chase9335_Activity_2026062'!D5</f>
        <v>-26.99</v>
      </c>
      <c r="E5" t="str">
        <f>'2026_Chase9335_Activity_2026062'!E5</f>
        <v>DEBIT_CARD</v>
      </c>
      <c r="F5" s="5">
        <f>'2026_Chase9335_Activity_2026062'!F5</f>
        <v>41919.72</v>
      </c>
      <c r="G5" t="str">
        <f>'2026_Chase9335_Activity_2026062'!G5</f>
        <v>Personal - Subscriptions</v>
      </c>
      <c r="H5" s="4">
        <f t="shared" si="0"/>
        <v>46174</v>
      </c>
      <c r="I5" t="str">
        <f>IF($G5="","Uncategorized — Review",IFERROR(_xlfn.XLOOKUP($G5,Mapping!$A:$A,Mapping!$B:$B),"Uncategorized — Review"))</f>
        <v>Personal - Subscriptions</v>
      </c>
      <c r="J5" t="str">
        <f>IF($G5="","Uncategorized — Review",IFERROR(_xlfn.XLOOKUP($G5,Mapping!$A:$A,Mapping!$C:$C),"Uncategorized — Review"))</f>
        <v>Personal — Owner</v>
      </c>
    </row>
    <row r="6" spans="1:10" x14ac:dyDescent="0.25">
      <c r="A6" t="str">
        <f>'2026_Chase9335_Activity_2026062'!A6</f>
        <v>DEBIT</v>
      </c>
      <c r="B6" s="1">
        <f>'2026_Chase9335_Activity_2026062'!B6</f>
        <v>46195</v>
      </c>
      <c r="C6" t="str">
        <f>'2026_Chase9335_Activity_2026062'!C6</f>
        <v>APPLE.COM/BILL 866-712-7753 CA               06/21</v>
      </c>
      <c r="D6" s="5">
        <f>'2026_Chase9335_Activity_2026062'!D6</f>
        <v>-30.89</v>
      </c>
      <c r="E6" t="str">
        <f>'2026_Chase9335_Activity_2026062'!E6</f>
        <v>DEBIT_CARD</v>
      </c>
      <c r="F6" s="5">
        <f>'2026_Chase9335_Activity_2026062'!F6</f>
        <v>41946.71</v>
      </c>
      <c r="G6" t="str">
        <f>'2026_Chase9335_Activity_2026062'!G6</f>
        <v>Personal - Subscriptions</v>
      </c>
      <c r="H6" s="4">
        <f t="shared" si="0"/>
        <v>46174</v>
      </c>
      <c r="I6" t="str">
        <f>IF($G6="","Uncategorized — Review",IFERROR(_xlfn.XLOOKUP($G6,Mapping!$A:$A,Mapping!$B:$B),"Uncategorized — Review"))</f>
        <v>Personal - Subscriptions</v>
      </c>
      <c r="J6" t="str">
        <f>IF($G6="","Uncategorized — Review",IFERROR(_xlfn.XLOOKUP($G6,Mapping!$A:$A,Mapping!$C:$C),"Uncategorized — Review"))</f>
        <v>Personal — Owner</v>
      </c>
    </row>
    <row r="7" spans="1:10" x14ac:dyDescent="0.25">
      <c r="A7" t="str">
        <f>'2026_Chase9335_Activity_2026062'!A7</f>
        <v>DEBIT</v>
      </c>
      <c r="B7" s="1">
        <f>'2026_Chase9335_Activity_2026062'!B7</f>
        <v>46191</v>
      </c>
      <c r="C7" t="str">
        <f>'2026_Chase9335_Activity_2026062'!C7</f>
        <v>ORIG CO NAME:AMERICAN EXPRESS       ORIG ID:2005032111 DESC DATE:260618 CO ENTRY DESCR:ACH PMT   SEC:CCD    TRACE#:021000025422371 EED:260618   IND ID:W3988                        IND NAME:JOHN DUNNING                                                                                                 ER AM TRN: 1695422371TC</v>
      </c>
      <c r="D7" s="5">
        <f>'2026_Chase9335_Activity_2026062'!D7</f>
        <v>-5000</v>
      </c>
      <c r="E7" t="str">
        <f>'2026_Chase9335_Activity_2026062'!E7</f>
        <v>ACH_DEBIT</v>
      </c>
      <c r="F7" s="5">
        <f>'2026_Chase9335_Activity_2026062'!F7</f>
        <v>41977.599999999999</v>
      </c>
      <c r="G7" t="str">
        <f>'2026_Chase9335_Activity_2026062'!G7</f>
        <v>American Express Credit Card PMT</v>
      </c>
      <c r="H7" s="4">
        <f t="shared" si="0"/>
        <v>46174</v>
      </c>
      <c r="I7" t="str">
        <f>IF($G7="","Uncategorized — Review",IFERROR(_xlfn.XLOOKUP($G7,Mapping!$A:$A,Mapping!$B:$B),"Uncategorized — Review"))</f>
        <v>American Express Credit Card PMT</v>
      </c>
      <c r="J7" t="str">
        <f>IF($G7="","Uncategorized — Review",IFERROR(_xlfn.XLOOKUP($G7,Mapping!$A:$A,Mapping!$C:$C),"Uncategorized — Review"))</f>
        <v>Credit Card &amp; Loan Payments</v>
      </c>
    </row>
    <row r="8" spans="1:10" x14ac:dyDescent="0.25">
      <c r="A8" t="str">
        <f>'2026_Chase9335_Activity_2026062'!A8</f>
        <v>DEBIT</v>
      </c>
      <c r="B8" s="1">
        <f>'2026_Chase9335_Activity_2026062'!B8</f>
        <v>46188</v>
      </c>
      <c r="C8" t="str">
        <f>'2026_Chase9335_Activity_2026062'!C8</f>
        <v>APPLE.COM/BILL 866-712-7753 CA               06/14</v>
      </c>
      <c r="D8" s="5">
        <f>'2026_Chase9335_Activity_2026062'!D8</f>
        <v>-30.89</v>
      </c>
      <c r="E8" t="str">
        <f>'2026_Chase9335_Activity_2026062'!E8</f>
        <v>DEBIT_CARD</v>
      </c>
      <c r="F8" s="5">
        <f>'2026_Chase9335_Activity_2026062'!F8</f>
        <v>46977.599999999999</v>
      </c>
      <c r="G8" t="str">
        <f>'2026_Chase9335_Activity_2026062'!G8</f>
        <v>Personal - Subscriptions</v>
      </c>
      <c r="H8" s="4">
        <f t="shared" si="0"/>
        <v>46174</v>
      </c>
      <c r="I8" t="str">
        <f>IF($G8="","Uncategorized — Review",IFERROR(_xlfn.XLOOKUP($G8,Mapping!$A:$A,Mapping!$B:$B),"Uncategorized — Review"))</f>
        <v>Personal - Subscriptions</v>
      </c>
      <c r="J8" t="str">
        <f>IF($G8="","Uncategorized — Review",IFERROR(_xlfn.XLOOKUP($G8,Mapping!$A:$A,Mapping!$C:$C),"Uncategorized — Review"))</f>
        <v>Personal — Owner</v>
      </c>
    </row>
    <row r="9" spans="1:10" x14ac:dyDescent="0.25">
      <c r="A9" t="str">
        <f>'2026_Chase9335_Activity_2026062'!A9</f>
        <v>DEBIT</v>
      </c>
      <c r="B9" s="1">
        <f>'2026_Chase9335_Activity_2026062'!B9</f>
        <v>46188</v>
      </c>
      <c r="C9" t="str">
        <f>'2026_Chase9335_Activity_2026062'!C9</f>
        <v>VIOLET VAPOR - 2 WEATHERFORD TX      999940  06/13</v>
      </c>
      <c r="D9" s="5">
        <f>'2026_Chase9335_Activity_2026062'!D9</f>
        <v>-32.31</v>
      </c>
      <c r="E9" t="str">
        <f>'2026_Chase9335_Activity_2026062'!E9</f>
        <v>DEBIT_CARD</v>
      </c>
      <c r="F9" s="5">
        <f>'2026_Chase9335_Activity_2026062'!F9</f>
        <v>47008.49</v>
      </c>
      <c r="G9" t="str">
        <f>'2026_Chase9335_Activity_2026062'!G9</f>
        <v>Personal - Entertainment</v>
      </c>
      <c r="H9" s="4">
        <f t="shared" si="0"/>
        <v>46174</v>
      </c>
      <c r="I9" t="str">
        <f>IF($G9="","Uncategorized — Review",IFERROR(_xlfn.XLOOKUP($G9,Mapping!$A:$A,Mapping!$B:$B),"Uncategorized — Review"))</f>
        <v>Personal - Entertainment</v>
      </c>
      <c r="J9" t="str">
        <f>IF($G9="","Uncategorized — Review",IFERROR(_xlfn.XLOOKUP($G9,Mapping!$A:$A,Mapping!$C:$C),"Uncategorized — Review"))</f>
        <v>Personal — Owner</v>
      </c>
    </row>
    <row r="10" spans="1:10" x14ac:dyDescent="0.25">
      <c r="A10" t="str">
        <f>'2026_Chase9335_Activity_2026062'!A10</f>
        <v>DEBIT</v>
      </c>
      <c r="B10" s="1">
        <f>'2026_Chase9335_Activity_2026062'!B10</f>
        <v>46185</v>
      </c>
      <c r="C10" t="str">
        <f>'2026_Chase9335_Activity_2026062'!C10</f>
        <v>BLOOMBERG* 37033964 BLOOMBERG.COM NY         06/12</v>
      </c>
      <c r="D10" s="5">
        <f>'2026_Chase9335_Activity_2026062'!D10</f>
        <v>-39.99</v>
      </c>
      <c r="E10" t="str">
        <f>'2026_Chase9335_Activity_2026062'!E10</f>
        <v>DEBIT_CARD</v>
      </c>
      <c r="F10" s="5">
        <f>'2026_Chase9335_Activity_2026062'!F10</f>
        <v>47040.800000000003</v>
      </c>
      <c r="G10" t="str">
        <f>'2026_Chase9335_Activity_2026062'!G10</f>
        <v>Personal - Subscriptions</v>
      </c>
      <c r="H10" s="4">
        <f t="shared" si="0"/>
        <v>46174</v>
      </c>
      <c r="I10" t="str">
        <f>IF($G10="","Uncategorized — Review",IFERROR(_xlfn.XLOOKUP($G10,Mapping!$A:$A,Mapping!$B:$B),"Uncategorized — Review"))</f>
        <v>Personal - Subscriptions</v>
      </c>
      <c r="J10" t="str">
        <f>IF($G10="","Uncategorized — Review",IFERROR(_xlfn.XLOOKUP($G10,Mapping!$A:$A,Mapping!$C:$C),"Uncategorized — Review"))</f>
        <v>Personal — Owner</v>
      </c>
    </row>
    <row r="11" spans="1:10" x14ac:dyDescent="0.25">
      <c r="A11" t="str">
        <f>'2026_Chase9335_Activity_2026062'!A11</f>
        <v>DEBIT</v>
      </c>
      <c r="B11" s="1">
        <f>'2026_Chase9335_Activity_2026062'!B11</f>
        <v>46183</v>
      </c>
      <c r="C11" t="str">
        <f>'2026_Chase9335_Activity_2026062'!C11</f>
        <v>ORIG CO NAME:AMERICAN EXPRESS       ORIG ID:2005032111 DESC DATE:260610 CO ENTRY DESCR:ACH PMT   SEC:CCD    TRACE#:021000028992821 EED:260610   IND ID:W5660                        IND NAME:JOHN DUNNING                                                                                                 ER AM TRN: 1618992821TC</v>
      </c>
      <c r="D11" s="5">
        <f>'2026_Chase9335_Activity_2026062'!D11</f>
        <v>-4103.05</v>
      </c>
      <c r="E11" t="str">
        <f>'2026_Chase9335_Activity_2026062'!E11</f>
        <v>ACH_DEBIT</v>
      </c>
      <c r="F11" s="5">
        <f>'2026_Chase9335_Activity_2026062'!F11</f>
        <v>47080.79</v>
      </c>
      <c r="G11" t="str">
        <f>'2026_Chase9335_Activity_2026062'!G11</f>
        <v>American Express Credit Card PMT</v>
      </c>
      <c r="H11" s="4">
        <f t="shared" si="0"/>
        <v>46174</v>
      </c>
      <c r="I11" t="str">
        <f>IF($G11="","Uncategorized — Review",IFERROR(_xlfn.XLOOKUP($G11,Mapping!$A:$A,Mapping!$B:$B),"Uncategorized — Review"))</f>
        <v>American Express Credit Card PMT</v>
      </c>
      <c r="J11" t="str">
        <f>IF($G11="","Uncategorized — Review",IFERROR(_xlfn.XLOOKUP($G11,Mapping!$A:$A,Mapping!$C:$C),"Uncategorized — Review"))</f>
        <v>Credit Card &amp; Loan Payments</v>
      </c>
    </row>
    <row r="12" spans="1:10" x14ac:dyDescent="0.25">
      <c r="A12" t="str">
        <f>'2026_Chase9335_Activity_2026062'!A12</f>
        <v>DEBIT</v>
      </c>
      <c r="B12" s="1">
        <f>'2026_Chase9335_Activity_2026062'!B12</f>
        <v>46183</v>
      </c>
      <c r="C12" t="str">
        <f>'2026_Chase9335_Activity_2026062'!C12</f>
        <v>ORIG CO NAME:AMERICAN EXPRESS       ORIG ID:2005032111 DESC DATE:260610 CO ENTRY DESCR:ACH PMT   SEC:CCD    TRACE#:021000028992161 EED:260610   IND ID:W3546                        IND NAME:JOHN DUNNING                                                                                                 ER AM TRN: 1618992161TC</v>
      </c>
      <c r="D12" s="5">
        <f>'2026_Chase9335_Activity_2026062'!D12</f>
        <v>-6806.31</v>
      </c>
      <c r="E12" t="str">
        <f>'2026_Chase9335_Activity_2026062'!E12</f>
        <v>ACH_DEBIT</v>
      </c>
      <c r="F12" s="5">
        <f>'2026_Chase9335_Activity_2026062'!F12</f>
        <v>51183.839999999997</v>
      </c>
      <c r="G12" t="str">
        <f>'2026_Chase9335_Activity_2026062'!G12</f>
        <v>American Express Credit Card PMT</v>
      </c>
      <c r="H12" s="4">
        <f t="shared" si="0"/>
        <v>46174</v>
      </c>
      <c r="I12" t="str">
        <f>IF($G12="","Uncategorized — Review",IFERROR(_xlfn.XLOOKUP($G12,Mapping!$A:$A,Mapping!$B:$B),"Uncategorized — Review"))</f>
        <v>American Express Credit Card PMT</v>
      </c>
      <c r="J12" t="str">
        <f>IF($G12="","Uncategorized — Review",IFERROR(_xlfn.XLOOKUP($G12,Mapping!$A:$A,Mapping!$C:$C),"Uncategorized — Review"))</f>
        <v>Credit Card &amp; Loan Payments</v>
      </c>
    </row>
    <row r="13" spans="1:10" x14ac:dyDescent="0.25">
      <c r="A13" t="str">
        <f>'2026_Chase9335_Activity_2026062'!A13</f>
        <v>CREDIT</v>
      </c>
      <c r="B13" s="1">
        <f>'2026_Chase9335_Activity_2026062'!B13</f>
        <v>46183</v>
      </c>
      <c r="C13" t="str">
        <f>'2026_Chase9335_Activity_2026062'!C13</f>
        <v>ORIG CO NAME:Austin Iron Hold       ORIG ID:945440567  DESC DATE:       CO ENTRY DESCR:PAYMENT   SEC:PPD    TRACE#:273976360594060 EED:260610   IND ID:                             IND NAME:John Dunning TRN: 1610594060TC</v>
      </c>
      <c r="D13" s="5">
        <f>'2026_Chase9335_Activity_2026062'!D13</f>
        <v>350</v>
      </c>
      <c r="E13" t="str">
        <f>'2026_Chase9335_Activity_2026062'!E13</f>
        <v>ACH_CREDIT</v>
      </c>
      <c r="F13" s="5">
        <f>'2026_Chase9335_Activity_2026062'!F13</f>
        <v>57990.15</v>
      </c>
      <c r="G13" t="str">
        <f>'2026_Chase9335_Activity_2026062'!G13</f>
        <v>Deal Specific: Austin Iron</v>
      </c>
      <c r="H13" s="4">
        <f t="shared" si="0"/>
        <v>46174</v>
      </c>
      <c r="I13" t="str">
        <f>IF($G13="","Uncategorized — Review",IFERROR(_xlfn.XLOOKUP($G13,Mapping!$A:$A,Mapping!$B:$B),"Uncategorized — Review"))</f>
        <v>Deal Specific: Austin Iron</v>
      </c>
      <c r="J13" t="str">
        <f>IF($G13="","Uncategorized — Review",IFERROR(_xlfn.XLOOKUP($G13,Mapping!$A:$A,Mapping!$C:$C),"Uncategorized — Review"))</f>
        <v>Deal-Specific</v>
      </c>
    </row>
    <row r="14" spans="1:10" x14ac:dyDescent="0.25">
      <c r="A14" t="str">
        <f>'2026_Chase9335_Activity_2026062'!A14</f>
        <v>CREDIT</v>
      </c>
      <c r="B14" s="1">
        <f>'2026_Chase9335_Activity_2026062'!B14</f>
        <v>46183</v>
      </c>
      <c r="C14" t="str">
        <f>'2026_Chase9335_Activity_2026062'!C14</f>
        <v>ORIG CO NAME:Merit-Lancaster        ORIG ID:945440567  DESC DATE:       CO ENTRY DESCR:PAYMENT   SEC:PPD    TRACE#:273976360593004 EED:260610   IND ID:                             IND NAME:John Dunning TRN: 1610593004TC</v>
      </c>
      <c r="D14" s="5">
        <f>'2026_Chase9335_Activity_2026062'!D14</f>
        <v>491.29</v>
      </c>
      <c r="E14" t="str">
        <f>'2026_Chase9335_Activity_2026062'!E14</f>
        <v>ACH_CREDIT</v>
      </c>
      <c r="F14" s="5">
        <f>'2026_Chase9335_Activity_2026062'!F14</f>
        <v>57640.15</v>
      </c>
      <c r="G14" t="str">
        <f>'2026_Chase9335_Activity_2026062'!G14</f>
        <v>Deal Specific: Merit-Lancaster</v>
      </c>
      <c r="H14" s="4">
        <f t="shared" si="0"/>
        <v>46174</v>
      </c>
      <c r="I14" t="str">
        <f>IF($G14="","Uncategorized — Review",IFERROR(_xlfn.XLOOKUP($G14,Mapping!$A:$A,Mapping!$B:$B),"Uncategorized — Review"))</f>
        <v>Deal Specific: Merit-Lancaster</v>
      </c>
      <c r="J14" t="str">
        <f>IF($G14="","Uncategorized — Review",IFERROR(_xlfn.XLOOKUP($G14,Mapping!$A:$A,Mapping!$C:$C),"Uncategorized — Review"))</f>
        <v>Deal-Specific</v>
      </c>
    </row>
    <row r="15" spans="1:10" x14ac:dyDescent="0.25">
      <c r="A15" t="str">
        <f>'2026_Chase9335_Activity_2026062'!A15</f>
        <v>CREDIT</v>
      </c>
      <c r="B15" s="1">
        <f>'2026_Chase9335_Activity_2026062'!B15</f>
        <v>46182</v>
      </c>
      <c r="C15" t="str">
        <f>'2026_Chase9335_Activity_2026062'!C15</f>
        <v>ORIG CO NAME:Rabourn Road Ind       ORIG ID:945440567  DESC DATE:       CO ENTRY DESCR:PAYMENT   SEC:PPD    TRACE#:273976362896575 EED:260609   IND ID:                             IND NAME:John Dunning TRN: 1602896575TC</v>
      </c>
      <c r="D15" s="5">
        <f>'2026_Chase9335_Activity_2026062'!D15</f>
        <v>233.33</v>
      </c>
      <c r="E15" t="str">
        <f>'2026_Chase9335_Activity_2026062'!E15</f>
        <v>ACH_CREDIT</v>
      </c>
      <c r="F15" s="5">
        <f>'2026_Chase9335_Activity_2026062'!F15</f>
        <v>57148.86</v>
      </c>
      <c r="G15" t="str">
        <f>'2026_Chase9335_Activity_2026062'!G15</f>
        <v>Deal Specific: Rabourn Road</v>
      </c>
      <c r="H15" s="4">
        <f t="shared" si="0"/>
        <v>46174</v>
      </c>
      <c r="I15" t="str">
        <f>IF($G15="","Uncategorized — Review",IFERROR(_xlfn.XLOOKUP($G15,Mapping!$A:$A,Mapping!$B:$B),"Uncategorized — Review"))</f>
        <v>Deal Specific: Rabourn Road</v>
      </c>
      <c r="J15" t="str">
        <f>IF($G15="","Uncategorized — Review",IFERROR(_xlfn.XLOOKUP($G15,Mapping!$A:$A,Mapping!$C:$C),"Uncategorized — Review"))</f>
        <v>Deal-Specific</v>
      </c>
    </row>
    <row r="16" spans="1:10" x14ac:dyDescent="0.25">
      <c r="A16" t="str">
        <f>'2026_Chase9335_Activity_2026062'!A16</f>
        <v>DEBIT</v>
      </c>
      <c r="B16" s="1">
        <f>'2026_Chase9335_Activity_2026062'!B16</f>
        <v>46181</v>
      </c>
      <c r="C16" t="str">
        <f>'2026_Chase9335_Activity_2026062'!C16</f>
        <v>UBER   * EATS PENDIN SAN FRANCISCO CA014189  06/08</v>
      </c>
      <c r="D16" s="5">
        <f>'2026_Chase9335_Activity_2026062'!D16</f>
        <v>-130.66999999999999</v>
      </c>
      <c r="E16" t="str">
        <f>'2026_Chase9335_Activity_2026062'!E16</f>
        <v>DEBIT_CARD</v>
      </c>
      <c r="F16" s="5">
        <f>'2026_Chase9335_Activity_2026062'!F16</f>
        <v>56915.53</v>
      </c>
      <c r="G16" t="str">
        <f>'2026_Chase9335_Activity_2026062'!G16</f>
        <v>Personal - Car</v>
      </c>
      <c r="H16" s="4">
        <f t="shared" si="0"/>
        <v>46174</v>
      </c>
      <c r="I16" t="str">
        <f>IF($G16="","Uncategorized — Review",IFERROR(_xlfn.XLOOKUP($G16,Mapping!$A:$A,Mapping!$B:$B),"Uncategorized — Review"))</f>
        <v>Personal - Car &amp; Auto</v>
      </c>
      <c r="J16" t="str">
        <f>IF($G16="","Uncategorized — Review",IFERROR(_xlfn.XLOOKUP($G16,Mapping!$A:$A,Mapping!$C:$C),"Uncategorized — Review"))</f>
        <v>Personal — Owner</v>
      </c>
    </row>
    <row r="17" spans="1:10" x14ac:dyDescent="0.25">
      <c r="A17" t="str">
        <f>'2026_Chase9335_Activity_2026062'!A17</f>
        <v>DEBIT</v>
      </c>
      <c r="B17" s="1">
        <f>'2026_Chase9335_Activity_2026062'!B17</f>
        <v>46181</v>
      </c>
      <c r="C17" t="str">
        <f>'2026_Chase9335_Activity_2026062'!C17</f>
        <v>UBER * EATS PENDING SAN FRANCISCO CA 410898  06/07</v>
      </c>
      <c r="D17" s="5">
        <f>'2026_Chase9335_Activity_2026062'!D17</f>
        <v>-65.650000000000006</v>
      </c>
      <c r="E17" t="str">
        <f>'2026_Chase9335_Activity_2026062'!E17</f>
        <v>DEBIT_CARD</v>
      </c>
      <c r="F17" s="5">
        <f>'2026_Chase9335_Activity_2026062'!F17</f>
        <v>57046.2</v>
      </c>
      <c r="G17" t="str">
        <f>'2026_Chase9335_Activity_2026062'!G17</f>
        <v>Personal - Food &amp; Dining</v>
      </c>
      <c r="H17" s="4">
        <f t="shared" si="0"/>
        <v>46174</v>
      </c>
      <c r="I17" t="str">
        <f>IF($G17="","Uncategorized — Review",IFERROR(_xlfn.XLOOKUP($G17,Mapping!$A:$A,Mapping!$B:$B),"Uncategorized — Review"))</f>
        <v>Personal - Food &amp; Dining</v>
      </c>
      <c r="J17" t="str">
        <f>IF($G17="","Uncategorized — Review",IFERROR(_xlfn.XLOOKUP($G17,Mapping!$A:$A,Mapping!$C:$C),"Uncategorized — Review"))</f>
        <v>Personal — Owner</v>
      </c>
    </row>
    <row r="18" spans="1:10" x14ac:dyDescent="0.25">
      <c r="A18" t="str">
        <f>'2026_Chase9335_Activity_2026062'!A18</f>
        <v>DEBIT</v>
      </c>
      <c r="B18" s="1">
        <f>'2026_Chase9335_Activity_2026062'!B18</f>
        <v>46181</v>
      </c>
      <c r="C18" t="str">
        <f>'2026_Chase9335_Activity_2026062'!C18</f>
        <v>APPLE.COM/BILL 866-712-7753 CA               06/07</v>
      </c>
      <c r="D18" s="5">
        <f>'2026_Chase9335_Activity_2026062'!D18</f>
        <v>-30.89</v>
      </c>
      <c r="E18" t="str">
        <f>'2026_Chase9335_Activity_2026062'!E18</f>
        <v>DEBIT_CARD</v>
      </c>
      <c r="F18" s="5">
        <f>'2026_Chase9335_Activity_2026062'!F18</f>
        <v>57111.85</v>
      </c>
      <c r="G18" t="str">
        <f>'2026_Chase9335_Activity_2026062'!G18</f>
        <v>Personal - Subscriptions</v>
      </c>
      <c r="H18" s="4">
        <f t="shared" si="0"/>
        <v>46174</v>
      </c>
      <c r="I18" t="str">
        <f>IF($G18="","Uncategorized — Review",IFERROR(_xlfn.XLOOKUP($G18,Mapping!$A:$A,Mapping!$B:$B),"Uncategorized — Review"))</f>
        <v>Personal - Subscriptions</v>
      </c>
      <c r="J18" t="str">
        <f>IF($G18="","Uncategorized — Review",IFERROR(_xlfn.XLOOKUP($G18,Mapping!$A:$A,Mapping!$C:$C),"Uncategorized — Review"))</f>
        <v>Personal — Owner</v>
      </c>
    </row>
    <row r="19" spans="1:10" x14ac:dyDescent="0.25">
      <c r="A19" t="str">
        <f>'2026_Chase9335_Activity_2026062'!A19</f>
        <v>DEBIT</v>
      </c>
      <c r="B19" s="1">
        <f>'2026_Chase9335_Activity_2026062'!B19</f>
        <v>46181</v>
      </c>
      <c r="C19" t="str">
        <f>'2026_Chase9335_Activity_2026062'!C19</f>
        <v>APPLE.COM/BILL 866-712-7753 CA               06/06</v>
      </c>
      <c r="D19" s="5">
        <f>'2026_Chase9335_Activity_2026062'!D19</f>
        <v>-9.99</v>
      </c>
      <c r="E19" t="str">
        <f>'2026_Chase9335_Activity_2026062'!E19</f>
        <v>DEBIT_CARD</v>
      </c>
      <c r="F19" s="5">
        <f>'2026_Chase9335_Activity_2026062'!F19</f>
        <v>57142.74</v>
      </c>
      <c r="G19" t="str">
        <f>'2026_Chase9335_Activity_2026062'!G19</f>
        <v>Personal - Subscriptions</v>
      </c>
      <c r="H19" s="4">
        <f t="shared" si="0"/>
        <v>46174</v>
      </c>
      <c r="I19" t="str">
        <f>IF($G19="","Uncategorized — Review",IFERROR(_xlfn.XLOOKUP($G19,Mapping!$A:$A,Mapping!$B:$B),"Uncategorized — Review"))</f>
        <v>Personal - Subscriptions</v>
      </c>
      <c r="J19" t="str">
        <f>IF($G19="","Uncategorized — Review",IFERROR(_xlfn.XLOOKUP($G19,Mapping!$A:$A,Mapping!$C:$C),"Uncategorized — Review"))</f>
        <v>Personal — Owner</v>
      </c>
    </row>
    <row r="20" spans="1:10" x14ac:dyDescent="0.25">
      <c r="A20" t="str">
        <f>'2026_Chase9335_Activity_2026062'!A20</f>
        <v>DEBIT</v>
      </c>
      <c r="B20" s="1">
        <f>'2026_Chase9335_Activity_2026062'!B20</f>
        <v>46177</v>
      </c>
      <c r="C20" t="str">
        <f>'2026_Chase9335_Activity_2026062'!C20</f>
        <v>Online Transfer to CHK ...1117 transaction#: 29493391769 06/04</v>
      </c>
      <c r="D20" s="5">
        <f>'2026_Chase9335_Activity_2026062'!D20</f>
        <v>-1000</v>
      </c>
      <c r="E20" t="str">
        <f>'2026_Chase9335_Activity_2026062'!E20</f>
        <v>ACCT_XFER</v>
      </c>
      <c r="F20" s="5">
        <f>'2026_Chase9335_Activity_2026062'!F20</f>
        <v>57152.73</v>
      </c>
      <c r="G20" t="str">
        <f>'2026_Chase9335_Activity_2026062'!G20</f>
        <v>Transfer to Angela Dunning</v>
      </c>
      <c r="H20" s="4">
        <f t="shared" si="0"/>
        <v>46174</v>
      </c>
      <c r="I20" t="str">
        <f>IF($G20="","Uncategorized — Review",IFERROR(_xlfn.XLOOKUP($G20,Mapping!$A:$A,Mapping!$B:$B),"Uncategorized — Review"))</f>
        <v>Transfer to Angela Dunning</v>
      </c>
      <c r="J20" t="str">
        <f>IF($G20="","Uncategorized — Review",IFERROR(_xlfn.XLOOKUP($G20,Mapping!$A:$A,Mapping!$C:$C),"Uncategorized — Review"))</f>
        <v>Owner / Family Distributions</v>
      </c>
    </row>
    <row r="21" spans="1:10" x14ac:dyDescent="0.25">
      <c r="A21" t="str">
        <f>'2026_Chase9335_Activity_2026062'!A21</f>
        <v>DEBIT</v>
      </c>
      <c r="B21" s="1">
        <f>'2026_Chase9335_Activity_2026062'!B21</f>
        <v>46176</v>
      </c>
      <c r="C21" t="str">
        <f>'2026_Chase9335_Activity_2026062'!C21</f>
        <v>UBER   * EATS PENDIN SAN FRANCISCO CA139701  06/03</v>
      </c>
      <c r="D21" s="5">
        <f>'2026_Chase9335_Activity_2026062'!D21</f>
        <v>-48.13</v>
      </c>
      <c r="E21" t="str">
        <f>'2026_Chase9335_Activity_2026062'!E21</f>
        <v>DEBIT_CARD</v>
      </c>
      <c r="F21" s="5">
        <f>'2026_Chase9335_Activity_2026062'!F21</f>
        <v>58152.73</v>
      </c>
      <c r="G21" t="str">
        <f>'2026_Chase9335_Activity_2026062'!G21</f>
        <v>Personal - Car</v>
      </c>
      <c r="H21" s="4">
        <f t="shared" si="0"/>
        <v>46174</v>
      </c>
      <c r="I21" t="str">
        <f>IF($G21="","Uncategorized — Review",IFERROR(_xlfn.XLOOKUP($G21,Mapping!$A:$A,Mapping!$B:$B),"Uncategorized — Review"))</f>
        <v>Personal - Car &amp; Auto</v>
      </c>
      <c r="J21" t="str">
        <f>IF($G21="","Uncategorized — Review",IFERROR(_xlfn.XLOOKUP($G21,Mapping!$A:$A,Mapping!$C:$C),"Uncategorized — Review"))</f>
        <v>Personal — Owner</v>
      </c>
    </row>
    <row r="22" spans="1:10" x14ac:dyDescent="0.25">
      <c r="A22" t="str">
        <f>'2026_Chase9335_Activity_2026062'!A22</f>
        <v>DEBIT</v>
      </c>
      <c r="B22" s="1">
        <f>'2026_Chase9335_Activity_2026062'!B22</f>
        <v>46175</v>
      </c>
      <c r="C22" t="str">
        <f>'2026_Chase9335_Activity_2026062'!C22</f>
        <v>Online Transfer to CHK ...1168 transaction#: 29465359966 06/02</v>
      </c>
      <c r="D22" s="5">
        <f>'2026_Chase9335_Activity_2026062'!D22</f>
        <v>-30000</v>
      </c>
      <c r="E22" t="str">
        <f>'2026_Chase9335_Activity_2026062'!E22</f>
        <v>ACCT_XFER</v>
      </c>
      <c r="F22" s="5">
        <f>'2026_Chase9335_Activity_2026062'!F22</f>
        <v>58200.86</v>
      </c>
      <c r="G22" t="str">
        <f>'2026_Chase9335_Activity_2026062'!G22</f>
        <v>Transfer to DWG Capital Group</v>
      </c>
      <c r="H22" s="4">
        <f t="shared" si="0"/>
        <v>46174</v>
      </c>
      <c r="I22" t="str">
        <f>IF($G22="","Uncategorized — Review",IFERROR(_xlfn.XLOOKUP($G22,Mapping!$A:$A,Mapping!$B:$B),"Uncategorized — Review"))</f>
        <v>Transfer to DWG Capital Group</v>
      </c>
      <c r="J22" t="str">
        <f>IF($G22="","Uncategorized — Review",IFERROR(_xlfn.XLOOKUP($G22,Mapping!$A:$A,Mapping!$C:$C),"Uncategorized — Review"))</f>
        <v>Intercompany &amp; Savings Transfers</v>
      </c>
    </row>
    <row r="23" spans="1:10" x14ac:dyDescent="0.25">
      <c r="A23" t="str">
        <f>'2026_Chase9335_Activity_2026062'!A23</f>
        <v>DEBIT</v>
      </c>
      <c r="B23" s="1">
        <f>'2026_Chase9335_Activity_2026062'!B23</f>
        <v>46175</v>
      </c>
      <c r="C23" t="str">
        <f>'2026_Chase9335_Activity_2026062'!C23</f>
        <v>Zelle payment to Francisco Bautista  29461050112</v>
      </c>
      <c r="D23" s="5">
        <f>'2026_Chase9335_Activity_2026062'!D23</f>
        <v>-2500</v>
      </c>
      <c r="E23" t="str">
        <f>'2026_Chase9335_Activity_2026062'!E23</f>
        <v>QUICKPAY_DEBIT</v>
      </c>
      <c r="F23" s="5">
        <f>'2026_Chase9335_Activity_2026062'!F23</f>
        <v>88200.86</v>
      </c>
      <c r="G23" t="str">
        <f>'2026_Chase9335_Activity_2026062'!G23</f>
        <v>Zelle - Francisco Bautista</v>
      </c>
      <c r="H23" s="4">
        <f t="shared" si="0"/>
        <v>46174</v>
      </c>
      <c r="I23" t="str">
        <f>IF($G23="","Uncategorized — Review",IFERROR(_xlfn.XLOOKUP($G23,Mapping!$A:$A,Mapping!$B:$B),"Uncategorized — Review"))</f>
        <v>Zelle - Francisco Bautista</v>
      </c>
      <c r="J23" t="str">
        <f>IF($G23="","Uncategorized — Review",IFERROR(_xlfn.XLOOKUP($G23,Mapping!$A:$A,Mapping!$C:$C),"Uncategorized — Review"))</f>
        <v>P2P Payments (Zelle/Venmo/PayPal)</v>
      </c>
    </row>
    <row r="24" spans="1:10" x14ac:dyDescent="0.25">
      <c r="A24" t="str">
        <f>'2026_Chase9335_Activity_2026062'!A24</f>
        <v>DEBIT</v>
      </c>
      <c r="B24" s="1">
        <f>'2026_Chase9335_Activity_2026062'!B24</f>
        <v>46174</v>
      </c>
      <c r="C24" t="str">
        <f>'2026_Chase9335_Activity_2026062'!C24</f>
        <v>UBER *ELFENIXIRVI SAN FRANCISCO CA   251014  06/01</v>
      </c>
      <c r="D24" s="5">
        <f>'2026_Chase9335_Activity_2026062'!D24</f>
        <v>-48.19</v>
      </c>
      <c r="E24" t="str">
        <f>'2026_Chase9335_Activity_2026062'!E24</f>
        <v>DEBIT_CARD</v>
      </c>
      <c r="F24" s="5">
        <f>'2026_Chase9335_Activity_2026062'!F24</f>
        <v>90700.86</v>
      </c>
      <c r="G24" t="str">
        <f>'2026_Chase9335_Activity_2026062'!G24</f>
        <v>Personal - Food &amp; Dining</v>
      </c>
      <c r="H24" s="4">
        <f t="shared" si="0"/>
        <v>46174</v>
      </c>
      <c r="I24" t="str">
        <f>IF($G24="","Uncategorized — Review",IFERROR(_xlfn.XLOOKUP($G24,Mapping!$A:$A,Mapping!$B:$B),"Uncategorized — Review"))</f>
        <v>Personal - Food &amp; Dining</v>
      </c>
      <c r="J24" t="str">
        <f>IF($G24="","Uncategorized — Review",IFERROR(_xlfn.XLOOKUP($G24,Mapping!$A:$A,Mapping!$C:$C),"Uncategorized — Review"))</f>
        <v>Personal — Owner</v>
      </c>
    </row>
    <row r="25" spans="1:10" x14ac:dyDescent="0.25">
      <c r="A25" t="str">
        <f>'2026_Chase9335_Activity_2026062'!A25</f>
        <v>DEBIT</v>
      </c>
      <c r="B25" s="1">
        <f>'2026_Chase9335_Activity_2026062'!B25</f>
        <v>46174</v>
      </c>
      <c r="C25" t="str">
        <f>'2026_Chase9335_Activity_2026062'!C25</f>
        <v>Experian* Credit Repor 479-3436237 CA        06/01</v>
      </c>
      <c r="D25" s="5">
        <f>'2026_Chase9335_Activity_2026062'!D25</f>
        <v>-27.05</v>
      </c>
      <c r="E25" t="str">
        <f>'2026_Chase9335_Activity_2026062'!E25</f>
        <v>DEBIT_CARD</v>
      </c>
      <c r="F25" s="5">
        <f>'2026_Chase9335_Activity_2026062'!F25</f>
        <v>90749.05</v>
      </c>
      <c r="G25" t="str">
        <f>'2026_Chase9335_Activity_2026062'!G25</f>
        <v>Personal - Subscriptions</v>
      </c>
      <c r="H25" s="4">
        <f t="shared" si="0"/>
        <v>46174</v>
      </c>
      <c r="I25" t="str">
        <f>IF($G25="","Uncategorized — Review",IFERROR(_xlfn.XLOOKUP($G25,Mapping!$A:$A,Mapping!$B:$B),"Uncategorized — Review"))</f>
        <v>Personal - Subscriptions</v>
      </c>
      <c r="J25" t="str">
        <f>IF($G25="","Uncategorized — Review",IFERROR(_xlfn.XLOOKUP($G25,Mapping!$A:$A,Mapping!$C:$C),"Uncategorized — Review"))</f>
        <v>Personal — Owner</v>
      </c>
    </row>
    <row r="26" spans="1:10" x14ac:dyDescent="0.25">
      <c r="A26" t="str">
        <f>'2026_Chase9335_Activity_2026062'!A26</f>
        <v>DEBIT</v>
      </c>
      <c r="B26" s="1">
        <f>'2026_Chase9335_Activity_2026062'!B26</f>
        <v>46174</v>
      </c>
      <c r="C26" t="str">
        <f>'2026_Chase9335_Activity_2026062'!C26</f>
        <v>UBER   * EATS PENDIN SAN FRANCISCO CA089909  05/31</v>
      </c>
      <c r="D26" s="5">
        <f>'2026_Chase9335_Activity_2026062'!D26</f>
        <v>-85.75</v>
      </c>
      <c r="E26" t="str">
        <f>'2026_Chase9335_Activity_2026062'!E26</f>
        <v>DEBIT_CARD</v>
      </c>
      <c r="F26" s="5">
        <f>'2026_Chase9335_Activity_2026062'!F26</f>
        <v>90776.1</v>
      </c>
      <c r="G26" t="str">
        <f>'2026_Chase9335_Activity_2026062'!G26</f>
        <v>Personal - Car</v>
      </c>
      <c r="H26" s="4">
        <f t="shared" si="0"/>
        <v>46174</v>
      </c>
      <c r="I26" t="str">
        <f>IF($G26="","Uncategorized — Review",IFERROR(_xlfn.XLOOKUP($G26,Mapping!$A:$A,Mapping!$B:$B),"Uncategorized — Review"))</f>
        <v>Personal - Car &amp; Auto</v>
      </c>
      <c r="J26" t="str">
        <f>IF($G26="","Uncategorized — Review",IFERROR(_xlfn.XLOOKUP($G26,Mapping!$A:$A,Mapping!$C:$C),"Uncategorized — Review"))</f>
        <v>Personal — Owner</v>
      </c>
    </row>
    <row r="27" spans="1:10" x14ac:dyDescent="0.25">
      <c r="A27" t="str">
        <f>'2026_Chase9335_Activity_2026062'!A27</f>
        <v>DEBIT</v>
      </c>
      <c r="B27" s="1">
        <f>'2026_Chase9335_Activity_2026062'!B27</f>
        <v>46174</v>
      </c>
      <c r="C27" t="str">
        <f>'2026_Chase9335_Activity_2026062'!C27</f>
        <v>APPLE.COM/BILL 866-712-7753 CA               05/31</v>
      </c>
      <c r="D27" s="5">
        <f>'2026_Chase9335_Activity_2026062'!D27</f>
        <v>-53.61</v>
      </c>
      <c r="E27" t="str">
        <f>'2026_Chase9335_Activity_2026062'!E27</f>
        <v>DEBIT_CARD</v>
      </c>
      <c r="F27" s="5">
        <f>'2026_Chase9335_Activity_2026062'!F27</f>
        <v>90861.85</v>
      </c>
      <c r="G27" t="str">
        <f>'2026_Chase9335_Activity_2026062'!G27</f>
        <v>Personal - Subscriptions</v>
      </c>
      <c r="H27" s="4">
        <f t="shared" si="0"/>
        <v>46174</v>
      </c>
      <c r="I27" t="str">
        <f>IF($G27="","Uncategorized — Review",IFERROR(_xlfn.XLOOKUP($G27,Mapping!$A:$A,Mapping!$B:$B),"Uncategorized — Review"))</f>
        <v>Personal - Subscriptions</v>
      </c>
      <c r="J27" t="str">
        <f>IF($G27="","Uncategorized — Review",IFERROR(_xlfn.XLOOKUP($G27,Mapping!$A:$A,Mapping!$C:$C),"Uncategorized — Review"))</f>
        <v>Personal — Owner</v>
      </c>
    </row>
    <row r="28" spans="1:10" x14ac:dyDescent="0.25">
      <c r="A28" t="str">
        <f>'2026_Chase9335_Activity_2026062'!A28</f>
        <v>DEBIT</v>
      </c>
      <c r="B28" s="1">
        <f>'2026_Chase9335_Activity_2026062'!B28</f>
        <v>46170</v>
      </c>
      <c r="C28" t="str">
        <f>'2026_Chase9335_Activity_2026062'!C28</f>
        <v>ORIG CO NAME:AMERICAN EXPRESS       ORIG ID:2005032111 DESC DATE:260528 CO ENTRY DESCR:ACH PMT   SEC:CCD    TRACE#:021000022939137 EED:260528   IND ID:W9302                        IND NAME:JOHN DUNNING                                                                                                 ER AM TRN: 1482939137TC</v>
      </c>
      <c r="D28" s="5">
        <f>'2026_Chase9335_Activity_2026062'!D28</f>
        <v>-2500</v>
      </c>
      <c r="E28" t="str">
        <f>'2026_Chase9335_Activity_2026062'!E28</f>
        <v>ACH_DEBIT</v>
      </c>
      <c r="F28" s="5">
        <f>'2026_Chase9335_Activity_2026062'!F28</f>
        <v>90915.46</v>
      </c>
      <c r="G28" t="str">
        <f>'2026_Chase9335_Activity_2026062'!G28</f>
        <v>American Express Credit Card PMT</v>
      </c>
      <c r="H28" s="4">
        <f t="shared" si="0"/>
        <v>46143</v>
      </c>
      <c r="I28" t="str">
        <f>IF($G28="","Uncategorized — Review",IFERROR(_xlfn.XLOOKUP($G28,Mapping!$A:$A,Mapping!$B:$B),"Uncategorized — Review"))</f>
        <v>American Express Credit Card PMT</v>
      </c>
      <c r="J28" t="str">
        <f>IF($G28="","Uncategorized — Review",IFERROR(_xlfn.XLOOKUP($G28,Mapping!$A:$A,Mapping!$C:$C),"Uncategorized — Review"))</f>
        <v>Credit Card &amp; Loan Payments</v>
      </c>
    </row>
    <row r="29" spans="1:10" x14ac:dyDescent="0.25">
      <c r="A29" t="str">
        <f>'2026_Chase9335_Activity_2026062'!A29</f>
        <v>DEBIT</v>
      </c>
      <c r="B29" s="1">
        <f>'2026_Chase9335_Activity_2026062'!B29</f>
        <v>46169</v>
      </c>
      <c r="C29" t="str">
        <f>'2026_Chase9335_Activity_2026062'!C29</f>
        <v>ORIG CO NAME:AMERICAN EXPRESS       ORIG ID:2005032111 DESC DATE:260527 CO ENTRY DESCR:ACH PMT   SEC:CCD    TRACE#:021000021573134 EED:260527   IND ID:W3010                        IND NAME:JOHN DUNNING                                                                                                 ER AM TRN: 1471573134TC</v>
      </c>
      <c r="D29" s="5">
        <f>'2026_Chase9335_Activity_2026062'!D29</f>
        <v>-40.96</v>
      </c>
      <c r="E29" t="str">
        <f>'2026_Chase9335_Activity_2026062'!E29</f>
        <v>ACH_DEBIT</v>
      </c>
      <c r="F29" s="5">
        <f>'2026_Chase9335_Activity_2026062'!F29</f>
        <v>93415.46</v>
      </c>
      <c r="G29" t="str">
        <f>'2026_Chase9335_Activity_2026062'!G29</f>
        <v>American Express Credit Card PMT</v>
      </c>
      <c r="H29" s="4">
        <f t="shared" si="0"/>
        <v>46143</v>
      </c>
      <c r="I29" t="str">
        <f>IF($G29="","Uncategorized — Review",IFERROR(_xlfn.XLOOKUP($G29,Mapping!$A:$A,Mapping!$B:$B),"Uncategorized — Review"))</f>
        <v>American Express Credit Card PMT</v>
      </c>
      <c r="J29" t="str">
        <f>IF($G29="","Uncategorized — Review",IFERROR(_xlfn.XLOOKUP($G29,Mapping!$A:$A,Mapping!$C:$C),"Uncategorized — Review"))</f>
        <v>Credit Card &amp; Loan Payments</v>
      </c>
    </row>
    <row r="30" spans="1:10" x14ac:dyDescent="0.25">
      <c r="A30" t="str">
        <f>'2026_Chase9335_Activity_2026062'!A30</f>
        <v>DEBIT</v>
      </c>
      <c r="B30" s="1">
        <f>'2026_Chase9335_Activity_2026062'!B30</f>
        <v>46169</v>
      </c>
      <c r="C30" t="str">
        <f>'2026_Chase9335_Activity_2026062'!C30</f>
        <v>ORIG CO NAME:AMERICAN EXPRESS       ORIG ID:2005032111 DESC DATE:260527 CO ENTRY DESCR:ACH PMT   SEC:CCD    TRACE#:021000021565745 EED:260527   IND ID:W6130                        IND NAME:JOHN DUNNING                                                                                                 ER AM TRN: 1471565745TC</v>
      </c>
      <c r="D30" s="5">
        <f>'2026_Chase9335_Activity_2026062'!D30</f>
        <v>-2961.02</v>
      </c>
      <c r="E30" t="str">
        <f>'2026_Chase9335_Activity_2026062'!E30</f>
        <v>ACH_DEBIT</v>
      </c>
      <c r="F30" s="5">
        <f>'2026_Chase9335_Activity_2026062'!F30</f>
        <v>93456.42</v>
      </c>
      <c r="G30" t="str">
        <f>'2026_Chase9335_Activity_2026062'!G30</f>
        <v>American Express Credit Card PMT</v>
      </c>
      <c r="H30" s="4">
        <f t="shared" si="0"/>
        <v>46143</v>
      </c>
      <c r="I30" t="str">
        <f>IF($G30="","Uncategorized — Review",IFERROR(_xlfn.XLOOKUP($G30,Mapping!$A:$A,Mapping!$B:$B),"Uncategorized — Review"))</f>
        <v>American Express Credit Card PMT</v>
      </c>
      <c r="J30" t="str">
        <f>IF($G30="","Uncategorized — Review",IFERROR(_xlfn.XLOOKUP($G30,Mapping!$A:$A,Mapping!$C:$C),"Uncategorized — Review"))</f>
        <v>Credit Card &amp; Loan Payments</v>
      </c>
    </row>
    <row r="31" spans="1:10" x14ac:dyDescent="0.25">
      <c r="A31" t="str">
        <f>'2026_Chase9335_Activity_2026062'!A31</f>
        <v>DEBIT</v>
      </c>
      <c r="B31" s="1">
        <f>'2026_Chase9335_Activity_2026062'!B31</f>
        <v>46169</v>
      </c>
      <c r="C31" t="str">
        <f>'2026_Chase9335_Activity_2026062'!C31</f>
        <v>ORIG CO NAME:AMERICAN EXPRESS       ORIG ID:2005032111 DESC DATE:260527 CO ENTRY DESCR:ACH PMT   SEC:CCD    TRACE#:021000021573655 EED:260527   IND ID:W0336                        IND NAME:JOHN DUNNING                                                                                                 ER AM TRN: 1471573655TC</v>
      </c>
      <c r="D31" s="5">
        <f>'2026_Chase9335_Activity_2026062'!D31</f>
        <v>-10125</v>
      </c>
      <c r="E31" t="str">
        <f>'2026_Chase9335_Activity_2026062'!E31</f>
        <v>ACH_DEBIT</v>
      </c>
      <c r="F31" s="5">
        <f>'2026_Chase9335_Activity_2026062'!F31</f>
        <v>96417.44</v>
      </c>
      <c r="G31" t="str">
        <f>'2026_Chase9335_Activity_2026062'!G31</f>
        <v>American Express Credit Card PMT</v>
      </c>
      <c r="H31" s="4">
        <f t="shared" si="0"/>
        <v>46143</v>
      </c>
      <c r="I31" t="str">
        <f>IF($G31="","Uncategorized — Review",IFERROR(_xlfn.XLOOKUP($G31,Mapping!$A:$A,Mapping!$B:$B),"Uncategorized — Review"))</f>
        <v>American Express Credit Card PMT</v>
      </c>
      <c r="J31" t="str">
        <f>IF($G31="","Uncategorized — Review",IFERROR(_xlfn.XLOOKUP($G31,Mapping!$A:$A,Mapping!$C:$C),"Uncategorized — Review"))</f>
        <v>Credit Card &amp; Loan Payments</v>
      </c>
    </row>
    <row r="32" spans="1:10" x14ac:dyDescent="0.25">
      <c r="A32" t="str">
        <f>'2026_Chase9335_Activity_2026062'!A32</f>
        <v>DEBIT</v>
      </c>
      <c r="B32" s="1">
        <f>'2026_Chase9335_Activity_2026062'!B32</f>
        <v>46169</v>
      </c>
      <c r="C32" t="str">
        <f>'2026_Chase9335_Activity_2026062'!C32</f>
        <v>ORIG CO NAME:AMERICAN EXPRESS       ORIG ID:2005032111 DESC DATE:260527 CO ENTRY DESCR:ACH PMT   SEC:CCD    TRACE#:021000021573381 EED:260527   IND ID:W8738                        IND NAME:JOHN DUNNING                                                                                                 ER AM TRN: 1471573381TC</v>
      </c>
      <c r="D32" s="5">
        <f>'2026_Chase9335_Activity_2026062'!D32</f>
        <v>-27231.89</v>
      </c>
      <c r="E32" t="str">
        <f>'2026_Chase9335_Activity_2026062'!E32</f>
        <v>ACH_DEBIT</v>
      </c>
      <c r="F32" s="5">
        <f>'2026_Chase9335_Activity_2026062'!F32</f>
        <v>106542.44</v>
      </c>
      <c r="G32" t="str">
        <f>'2026_Chase9335_Activity_2026062'!G32</f>
        <v>American Express Credit Card PMT</v>
      </c>
      <c r="H32" s="4">
        <f t="shared" si="0"/>
        <v>46143</v>
      </c>
      <c r="I32" t="str">
        <f>IF($G32="","Uncategorized — Review",IFERROR(_xlfn.XLOOKUP($G32,Mapping!$A:$A,Mapping!$B:$B),"Uncategorized — Review"))</f>
        <v>American Express Credit Card PMT</v>
      </c>
      <c r="J32" t="str">
        <f>IF($G32="","Uncategorized — Review",IFERROR(_xlfn.XLOOKUP($G32,Mapping!$A:$A,Mapping!$C:$C),"Uncategorized — Review"))</f>
        <v>Credit Card &amp; Loan Payments</v>
      </c>
    </row>
    <row r="33" spans="1:10" x14ac:dyDescent="0.25">
      <c r="A33" t="str">
        <f>'2026_Chase9335_Activity_2026062'!A33</f>
        <v>DEBIT</v>
      </c>
      <c r="B33" s="1">
        <f>'2026_Chase9335_Activity_2026062'!B33</f>
        <v>46169</v>
      </c>
      <c r="C33" t="str">
        <f>'2026_Chase9335_Activity_2026062'!C33</f>
        <v>UBER *ONE MEMBERSHIP SAN FRANCISCO CA230292  05/27</v>
      </c>
      <c r="D33" s="5">
        <f>'2026_Chase9335_Activity_2026062'!D33</f>
        <v>-38.4</v>
      </c>
      <c r="E33" t="str">
        <f>'2026_Chase9335_Activity_2026062'!E33</f>
        <v>DEBIT_CARD</v>
      </c>
      <c r="F33" s="5">
        <f>'2026_Chase9335_Activity_2026062'!F33</f>
        <v>133774.32999999999</v>
      </c>
      <c r="G33" t="str">
        <f>'2026_Chase9335_Activity_2026062'!G33</f>
        <v>Personal - Subscriptions</v>
      </c>
      <c r="H33" s="4">
        <f t="shared" si="0"/>
        <v>46143</v>
      </c>
      <c r="I33" t="str">
        <f>IF($G33="","Uncategorized — Review",IFERROR(_xlfn.XLOOKUP($G33,Mapping!$A:$A,Mapping!$B:$B),"Uncategorized — Review"))</f>
        <v>Personal - Subscriptions</v>
      </c>
      <c r="J33" t="str">
        <f>IF($G33="","Uncategorized — Review",IFERROR(_xlfn.XLOOKUP($G33,Mapping!$A:$A,Mapping!$C:$C),"Uncategorized — Review"))</f>
        <v>Personal — Owner</v>
      </c>
    </row>
    <row r="34" spans="1:10" x14ac:dyDescent="0.25">
      <c r="A34" t="str">
        <f>'2026_Chase9335_Activity_2026062'!A34</f>
        <v>DEBIT</v>
      </c>
      <c r="B34" s="1">
        <f>'2026_Chase9335_Activity_2026062'!B34</f>
        <v>46169</v>
      </c>
      <c r="C34" t="str">
        <f>'2026_Chase9335_Activity_2026062'!C34</f>
        <v>Prime Video *6E9NV6EX 888-802-3080 WA        05/26</v>
      </c>
      <c r="D34" s="5">
        <f>'2026_Chase9335_Activity_2026062'!D34</f>
        <v>-5.33</v>
      </c>
      <c r="E34" t="str">
        <f>'2026_Chase9335_Activity_2026062'!E34</f>
        <v>DEBIT_CARD</v>
      </c>
      <c r="F34" s="5">
        <f>'2026_Chase9335_Activity_2026062'!F34</f>
        <v>133812.73000000001</v>
      </c>
      <c r="G34" t="str">
        <f>'2026_Chase9335_Activity_2026062'!G34</f>
        <v>Personal - Subscriptions</v>
      </c>
      <c r="H34" s="4">
        <f t="shared" si="0"/>
        <v>46143</v>
      </c>
      <c r="I34" t="str">
        <f>IF($G34="","Uncategorized — Review",IFERROR(_xlfn.XLOOKUP($G34,Mapping!$A:$A,Mapping!$B:$B),"Uncategorized — Review"))</f>
        <v>Personal - Subscriptions</v>
      </c>
      <c r="J34" t="str">
        <f>IF($G34="","Uncategorized — Review",IFERROR(_xlfn.XLOOKUP($G34,Mapping!$A:$A,Mapping!$C:$C),"Uncategorized — Review"))</f>
        <v>Personal — Owner</v>
      </c>
    </row>
    <row r="35" spans="1:10" x14ac:dyDescent="0.25">
      <c r="A35" t="str">
        <f>'2026_Chase9335_Activity_2026062'!A35</f>
        <v>DEBIT</v>
      </c>
      <c r="B35" s="1">
        <f>'2026_Chase9335_Activity_2026062'!B35</f>
        <v>46169</v>
      </c>
      <c r="C35" t="str">
        <f>'2026_Chase9335_Activity_2026062'!C35</f>
        <v>UBER *ONE MEMBERSHIP SAN FRANCISCO CA688353  05/27</v>
      </c>
      <c r="D35" s="5">
        <f>'2026_Chase9335_Activity_2026062'!D35</f>
        <v>4.51</v>
      </c>
      <c r="E35" t="str">
        <f>'2026_Chase9335_Activity_2026062'!E35</f>
        <v>DEBIT_CARD</v>
      </c>
      <c r="F35" s="5">
        <f>'2026_Chase9335_Activity_2026062'!F35</f>
        <v>133818.06</v>
      </c>
      <c r="G35" t="str">
        <f>'2026_Chase9335_Activity_2026062'!G35</f>
        <v>Personal - Subscriptions</v>
      </c>
      <c r="H35" s="4">
        <f t="shared" si="0"/>
        <v>46143</v>
      </c>
      <c r="I35" t="str">
        <f>IF($G35="","Uncategorized — Review",IFERROR(_xlfn.XLOOKUP($G35,Mapping!$A:$A,Mapping!$B:$B),"Uncategorized — Review"))</f>
        <v>Personal - Subscriptions</v>
      </c>
      <c r="J35" t="str">
        <f>IF($G35="","Uncategorized — Review",IFERROR(_xlfn.XLOOKUP($G35,Mapping!$A:$A,Mapping!$C:$C),"Uncategorized — Review"))</f>
        <v>Personal — Owner</v>
      </c>
    </row>
    <row r="36" spans="1:10" x14ac:dyDescent="0.25">
      <c r="A36" t="str">
        <f>'2026_Chase9335_Activity_2026062'!A36</f>
        <v>DEBIT</v>
      </c>
      <c r="B36" s="1">
        <f>'2026_Chase9335_Activity_2026062'!B36</f>
        <v>46168</v>
      </c>
      <c r="C36" t="str">
        <f>'2026_Chase9335_Activity_2026062'!C36</f>
        <v>UBER   * EATS PENDIN SAN FRANCISCO CA085369  05/25</v>
      </c>
      <c r="D36" s="5">
        <f>'2026_Chase9335_Activity_2026062'!D36</f>
        <v>-105.78</v>
      </c>
      <c r="E36" t="str">
        <f>'2026_Chase9335_Activity_2026062'!E36</f>
        <v>DEBIT_CARD</v>
      </c>
      <c r="F36" s="5">
        <f>'2026_Chase9335_Activity_2026062'!F36</f>
        <v>133813.54999999999</v>
      </c>
      <c r="G36" t="str">
        <f>'2026_Chase9335_Activity_2026062'!G36</f>
        <v>Personal - Car</v>
      </c>
      <c r="H36" s="4">
        <f t="shared" si="0"/>
        <v>46143</v>
      </c>
      <c r="I36" t="str">
        <f>IF($G36="","Uncategorized — Review",IFERROR(_xlfn.XLOOKUP($G36,Mapping!$A:$A,Mapping!$B:$B),"Uncategorized — Review"))</f>
        <v>Personal - Car &amp; Auto</v>
      </c>
      <c r="J36" t="str">
        <f>IF($G36="","Uncategorized — Review",IFERROR(_xlfn.XLOOKUP($G36,Mapping!$A:$A,Mapping!$C:$C),"Uncategorized — Review"))</f>
        <v>Personal — Owner</v>
      </c>
    </row>
    <row r="37" spans="1:10" x14ac:dyDescent="0.25">
      <c r="A37" t="str">
        <f>'2026_Chase9335_Activity_2026062'!A37</f>
        <v>DEBIT</v>
      </c>
      <c r="B37" s="1">
        <f>'2026_Chase9335_Activity_2026062'!B37</f>
        <v>46168</v>
      </c>
      <c r="C37" t="str">
        <f>'2026_Chase9335_Activity_2026062'!C37</f>
        <v>APPLE.COM/BILL 866-712-7753 CA               05/24</v>
      </c>
      <c r="D37" s="5">
        <f>'2026_Chase9335_Activity_2026062'!D37</f>
        <v>-30.89</v>
      </c>
      <c r="E37" t="str">
        <f>'2026_Chase9335_Activity_2026062'!E37</f>
        <v>DEBIT_CARD</v>
      </c>
      <c r="F37" s="5">
        <f>'2026_Chase9335_Activity_2026062'!F37</f>
        <v>133919.32999999999</v>
      </c>
      <c r="G37" t="str">
        <f>'2026_Chase9335_Activity_2026062'!G37</f>
        <v>Personal - Subscriptions</v>
      </c>
      <c r="H37" s="4">
        <f t="shared" si="0"/>
        <v>46143</v>
      </c>
      <c r="I37" t="str">
        <f>IF($G37="","Uncategorized — Review",IFERROR(_xlfn.XLOOKUP($G37,Mapping!$A:$A,Mapping!$B:$B),"Uncategorized — Review"))</f>
        <v>Personal - Subscriptions</v>
      </c>
      <c r="J37" t="str">
        <f>IF($G37="","Uncategorized — Review",IFERROR(_xlfn.XLOOKUP($G37,Mapping!$A:$A,Mapping!$C:$C),"Uncategorized — Review"))</f>
        <v>Personal — Owner</v>
      </c>
    </row>
    <row r="38" spans="1:10" x14ac:dyDescent="0.25">
      <c r="A38" t="str">
        <f>'2026_Chase9335_Activity_2026062'!A38</f>
        <v>DEBIT</v>
      </c>
      <c r="B38" s="1">
        <f>'2026_Chase9335_Activity_2026062'!B38</f>
        <v>46168</v>
      </c>
      <c r="C38" t="str">
        <f>'2026_Chase9335_Activity_2026062'!C38</f>
        <v>DFW AIRPORT PARKING DFW AIRPORT TX           05/23</v>
      </c>
      <c r="D38" s="5">
        <f>'2026_Chase9335_Activity_2026062'!D38</f>
        <v>-2</v>
      </c>
      <c r="E38" t="str">
        <f>'2026_Chase9335_Activity_2026062'!E38</f>
        <v>DEBIT_CARD</v>
      </c>
      <c r="F38" s="5">
        <f>'2026_Chase9335_Activity_2026062'!F38</f>
        <v>133950.22</v>
      </c>
      <c r="G38" t="str">
        <f>'2026_Chase9335_Activity_2026062'!G38</f>
        <v>Personal - Car</v>
      </c>
      <c r="H38" s="4">
        <f t="shared" si="0"/>
        <v>46143</v>
      </c>
      <c r="I38" t="str">
        <f>IF($G38="","Uncategorized — Review",IFERROR(_xlfn.XLOOKUP($G38,Mapping!$A:$A,Mapping!$B:$B),"Uncategorized — Review"))</f>
        <v>Personal - Car &amp; Auto</v>
      </c>
      <c r="J38" t="str">
        <f>IF($G38="","Uncategorized — Review",IFERROR(_xlfn.XLOOKUP($G38,Mapping!$A:$A,Mapping!$C:$C),"Uncategorized — Review"))</f>
        <v>Personal — Owner</v>
      </c>
    </row>
    <row r="39" spans="1:10" x14ac:dyDescent="0.25">
      <c r="A39" t="str">
        <f>'2026_Chase9335_Activity_2026062'!A39</f>
        <v>DEBIT</v>
      </c>
      <c r="B39" s="1">
        <f>'2026_Chase9335_Activity_2026062'!B39</f>
        <v>46164</v>
      </c>
      <c r="C39" t="str">
        <f>'2026_Chase9335_Activity_2026062'!C39</f>
        <v>UBER   * EATS PENDIN SAN FRANCISCO CA087650  05/22</v>
      </c>
      <c r="D39" s="5">
        <f>'2026_Chase9335_Activity_2026062'!D39</f>
        <v>-75.540000000000006</v>
      </c>
      <c r="E39" t="str">
        <f>'2026_Chase9335_Activity_2026062'!E39</f>
        <v>DEBIT_CARD</v>
      </c>
      <c r="F39" s="5">
        <f>'2026_Chase9335_Activity_2026062'!F39</f>
        <v>133952.22</v>
      </c>
      <c r="G39" t="str">
        <f>'2026_Chase9335_Activity_2026062'!G39</f>
        <v>Personal - Car</v>
      </c>
      <c r="H39" s="4">
        <f t="shared" si="0"/>
        <v>46143</v>
      </c>
      <c r="I39" t="str">
        <f>IF($G39="","Uncategorized — Review",IFERROR(_xlfn.XLOOKUP($G39,Mapping!$A:$A,Mapping!$B:$B),"Uncategorized — Review"))</f>
        <v>Personal - Car &amp; Auto</v>
      </c>
      <c r="J39" t="str">
        <f>IF($G39="","Uncategorized — Review",IFERROR(_xlfn.XLOOKUP($G39,Mapping!$A:$A,Mapping!$C:$C),"Uncategorized — Review"))</f>
        <v>Personal — Owner</v>
      </c>
    </row>
    <row r="40" spans="1:10" x14ac:dyDescent="0.25">
      <c r="A40" t="str">
        <f>'2026_Chase9335_Activity_2026062'!A40</f>
        <v>DEBIT</v>
      </c>
      <c r="B40" s="1">
        <f>'2026_Chase9335_Activity_2026062'!B40</f>
        <v>46164</v>
      </c>
      <c r="C40" t="str">
        <f>'2026_Chase9335_Activity_2026062'!C40</f>
        <v>Prime Video *QZ8ON0EI 888-802-3080 WA        05/22</v>
      </c>
      <c r="D40" s="5">
        <f>'2026_Chase9335_Activity_2026062'!D40</f>
        <v>-21.34</v>
      </c>
      <c r="E40" t="str">
        <f>'2026_Chase9335_Activity_2026062'!E40</f>
        <v>DEBIT_CARD</v>
      </c>
      <c r="F40" s="5">
        <f>'2026_Chase9335_Activity_2026062'!F40</f>
        <v>134027.76</v>
      </c>
      <c r="G40" t="str">
        <f>'2026_Chase9335_Activity_2026062'!G40</f>
        <v>Personal - Subscriptions</v>
      </c>
      <c r="H40" s="4">
        <f t="shared" si="0"/>
        <v>46143</v>
      </c>
      <c r="I40" t="str">
        <f>IF($G40="","Uncategorized — Review",IFERROR(_xlfn.XLOOKUP($G40,Mapping!$A:$A,Mapping!$B:$B),"Uncategorized — Review"))</f>
        <v>Personal - Subscriptions</v>
      </c>
      <c r="J40" t="str">
        <f>IF($G40="","Uncategorized — Review",IFERROR(_xlfn.XLOOKUP($G40,Mapping!$A:$A,Mapping!$C:$C),"Uncategorized — Review"))</f>
        <v>Personal — Owner</v>
      </c>
    </row>
    <row r="41" spans="1:10" x14ac:dyDescent="0.25">
      <c r="A41" t="str">
        <f>'2026_Chase9335_Activity_2026062'!A41</f>
        <v>DEBIT</v>
      </c>
      <c r="B41" s="1">
        <f>'2026_Chase9335_Activity_2026062'!B41</f>
        <v>46164</v>
      </c>
      <c r="C41" t="str">
        <f>'2026_Chase9335_Activity_2026062'!C41</f>
        <v>Prime Video *E03J242Q 888-802-3080 WA        05/21</v>
      </c>
      <c r="D41" s="5">
        <f>'2026_Chase9335_Activity_2026062'!D41</f>
        <v>-10.66</v>
      </c>
      <c r="E41" t="str">
        <f>'2026_Chase9335_Activity_2026062'!E41</f>
        <v>DEBIT_CARD</v>
      </c>
      <c r="F41" s="5">
        <f>'2026_Chase9335_Activity_2026062'!F41</f>
        <v>134049.1</v>
      </c>
      <c r="G41" t="str">
        <f>'2026_Chase9335_Activity_2026062'!G41</f>
        <v>Personal - Subscriptions</v>
      </c>
      <c r="H41" s="4">
        <f t="shared" si="0"/>
        <v>46143</v>
      </c>
      <c r="I41" t="str">
        <f>IF($G41="","Uncategorized — Review",IFERROR(_xlfn.XLOOKUP($G41,Mapping!$A:$A,Mapping!$B:$B),"Uncategorized — Review"))</f>
        <v>Personal - Subscriptions</v>
      </c>
      <c r="J41" t="str">
        <f>IF($G41="","Uncategorized — Review",IFERROR(_xlfn.XLOOKUP($G41,Mapping!$A:$A,Mapping!$C:$C),"Uncategorized — Review"))</f>
        <v>Personal — Owner</v>
      </c>
    </row>
    <row r="42" spans="1:10" x14ac:dyDescent="0.25">
      <c r="A42" t="str">
        <f>'2026_Chase9335_Activity_2026062'!A42</f>
        <v>DEBIT</v>
      </c>
      <c r="B42" s="1">
        <f>'2026_Chase9335_Activity_2026062'!B42</f>
        <v>46163</v>
      </c>
      <c r="C42" t="str">
        <f>'2026_Chase9335_Activity_2026062'!C42</f>
        <v>NETFLIX.COM NETFLIX.COM CA                   05/21</v>
      </c>
      <c r="D42" s="5">
        <f>'2026_Chase9335_Activity_2026062'!D42</f>
        <v>-26.99</v>
      </c>
      <c r="E42" t="str">
        <f>'2026_Chase9335_Activity_2026062'!E42</f>
        <v>DEBIT_CARD</v>
      </c>
      <c r="F42" s="5">
        <f>'2026_Chase9335_Activity_2026062'!F42</f>
        <v>134059.76</v>
      </c>
      <c r="G42" t="str">
        <f>'2026_Chase9335_Activity_2026062'!G42</f>
        <v>Personal - Subscriptions</v>
      </c>
      <c r="H42" s="4">
        <f t="shared" si="0"/>
        <v>46143</v>
      </c>
      <c r="I42" t="str">
        <f>IF($G42="","Uncategorized — Review",IFERROR(_xlfn.XLOOKUP($G42,Mapping!$A:$A,Mapping!$B:$B),"Uncategorized — Review"))</f>
        <v>Personal - Subscriptions</v>
      </c>
      <c r="J42" t="str">
        <f>IF($G42="","Uncategorized — Review",IFERROR(_xlfn.XLOOKUP($G42,Mapping!$A:$A,Mapping!$C:$C),"Uncategorized — Review"))</f>
        <v>Personal — Owner</v>
      </c>
    </row>
    <row r="43" spans="1:10" x14ac:dyDescent="0.25">
      <c r="A43" t="str">
        <f>'2026_Chase9335_Activity_2026062'!A43</f>
        <v>DEBIT</v>
      </c>
      <c r="B43" s="1">
        <f>'2026_Chase9335_Activity_2026062'!B43</f>
        <v>46163</v>
      </c>
      <c r="C43" t="str">
        <f>'2026_Chase9335_Activity_2026062'!C43</f>
        <v>UBER   * EATS PENDIN SAN FRANCISCO CA028828  05/21</v>
      </c>
      <c r="D43" s="5">
        <f>'2026_Chase9335_Activity_2026062'!D43</f>
        <v>-43.12</v>
      </c>
      <c r="E43" t="str">
        <f>'2026_Chase9335_Activity_2026062'!E43</f>
        <v>DEBIT_CARD</v>
      </c>
      <c r="F43" s="5">
        <f>'2026_Chase9335_Activity_2026062'!F43</f>
        <v>134086.75</v>
      </c>
      <c r="G43" t="str">
        <f>'2026_Chase9335_Activity_2026062'!G43</f>
        <v>Personal - Car</v>
      </c>
      <c r="H43" s="4">
        <f t="shared" si="0"/>
        <v>46143</v>
      </c>
      <c r="I43" t="str">
        <f>IF($G43="","Uncategorized — Review",IFERROR(_xlfn.XLOOKUP($G43,Mapping!$A:$A,Mapping!$B:$B),"Uncategorized — Review"))</f>
        <v>Personal - Car &amp; Auto</v>
      </c>
      <c r="J43" t="str">
        <f>IF($G43="","Uncategorized — Review",IFERROR(_xlfn.XLOOKUP($G43,Mapping!$A:$A,Mapping!$C:$C),"Uncategorized — Review"))</f>
        <v>Personal — Owner</v>
      </c>
    </row>
    <row r="44" spans="1:10" x14ac:dyDescent="0.25">
      <c r="A44" t="str">
        <f>'2026_Chase9335_Activity_2026062'!A44</f>
        <v>DEBIT</v>
      </c>
      <c r="B44" s="1">
        <f>'2026_Chase9335_Activity_2026062'!B44</f>
        <v>46163</v>
      </c>
      <c r="C44" t="str">
        <f>'2026_Chase9335_Activity_2026062'!C44</f>
        <v>UBER   * EATS PENDIN SAN FRANCISCO CA147710  05/20</v>
      </c>
      <c r="D44" s="5">
        <f>'2026_Chase9335_Activity_2026062'!D44</f>
        <v>-23.75</v>
      </c>
      <c r="E44" t="str">
        <f>'2026_Chase9335_Activity_2026062'!E44</f>
        <v>DEBIT_CARD</v>
      </c>
      <c r="F44" s="5">
        <f>'2026_Chase9335_Activity_2026062'!F44</f>
        <v>134129.87</v>
      </c>
      <c r="G44" t="str">
        <f>'2026_Chase9335_Activity_2026062'!G44</f>
        <v>Personal - Car</v>
      </c>
      <c r="H44" s="4">
        <f t="shared" si="0"/>
        <v>46143</v>
      </c>
      <c r="I44" t="str">
        <f>IF($G44="","Uncategorized — Review",IFERROR(_xlfn.XLOOKUP($G44,Mapping!$A:$A,Mapping!$B:$B),"Uncategorized — Review"))</f>
        <v>Personal - Car &amp; Auto</v>
      </c>
      <c r="J44" t="str">
        <f>IF($G44="","Uncategorized — Review",IFERROR(_xlfn.XLOOKUP($G44,Mapping!$A:$A,Mapping!$C:$C),"Uncategorized — Review"))</f>
        <v>Personal — Owner</v>
      </c>
    </row>
    <row r="45" spans="1:10" x14ac:dyDescent="0.25">
      <c r="A45" t="str">
        <f>'2026_Chase9335_Activity_2026062'!A45</f>
        <v>DEBIT</v>
      </c>
      <c r="B45" s="1">
        <f>'2026_Chase9335_Activity_2026062'!B45</f>
        <v>46163</v>
      </c>
      <c r="C45" t="str">
        <f>'2026_Chase9335_Activity_2026062'!C45</f>
        <v>UBER   * EATS PENDIN SAN FRANCISCO CA149637  05/20</v>
      </c>
      <c r="D45" s="5">
        <f>'2026_Chase9335_Activity_2026062'!D45</f>
        <v>-50.78</v>
      </c>
      <c r="E45" t="str">
        <f>'2026_Chase9335_Activity_2026062'!E45</f>
        <v>DEBIT_CARD</v>
      </c>
      <c r="F45" s="5">
        <f>'2026_Chase9335_Activity_2026062'!F45</f>
        <v>134153.62</v>
      </c>
      <c r="G45" t="str">
        <f>'2026_Chase9335_Activity_2026062'!G45</f>
        <v>Personal - Car</v>
      </c>
      <c r="H45" s="4">
        <f t="shared" si="0"/>
        <v>46143</v>
      </c>
      <c r="I45" t="str">
        <f>IF($G45="","Uncategorized — Review",IFERROR(_xlfn.XLOOKUP($G45,Mapping!$A:$A,Mapping!$B:$B),"Uncategorized — Review"))</f>
        <v>Personal - Car &amp; Auto</v>
      </c>
      <c r="J45" t="str">
        <f>IF($G45="","Uncategorized — Review",IFERROR(_xlfn.XLOOKUP($G45,Mapping!$A:$A,Mapping!$C:$C),"Uncategorized — Review"))</f>
        <v>Personal — Owner</v>
      </c>
    </row>
    <row r="46" spans="1:10" x14ac:dyDescent="0.25">
      <c r="A46" t="str">
        <f>'2026_Chase9335_Activity_2026062'!A46</f>
        <v>DEBIT</v>
      </c>
      <c r="B46" s="1">
        <f>'2026_Chase9335_Activity_2026062'!B46</f>
        <v>46163</v>
      </c>
      <c r="C46" t="str">
        <f>'2026_Chase9335_Activity_2026062'!C46</f>
        <v>Prime Video *9P1AF6ME 888-802-3080 WA        05/21</v>
      </c>
      <c r="D46" s="5">
        <f>'2026_Chase9335_Activity_2026062'!D46</f>
        <v>-21.34</v>
      </c>
      <c r="E46" t="str">
        <f>'2026_Chase9335_Activity_2026062'!E46</f>
        <v>DEBIT_CARD</v>
      </c>
      <c r="F46" s="5">
        <f>'2026_Chase9335_Activity_2026062'!F46</f>
        <v>134204.4</v>
      </c>
      <c r="G46" t="str">
        <f>'2026_Chase9335_Activity_2026062'!G46</f>
        <v>Personal - Subscriptions</v>
      </c>
      <c r="H46" s="4">
        <f t="shared" si="0"/>
        <v>46143</v>
      </c>
      <c r="I46" t="str">
        <f>IF($G46="","Uncategorized — Review",IFERROR(_xlfn.XLOOKUP($G46,Mapping!$A:$A,Mapping!$B:$B),"Uncategorized — Review"))</f>
        <v>Personal - Subscriptions</v>
      </c>
      <c r="J46" t="str">
        <f>IF($G46="","Uncategorized — Review",IFERROR(_xlfn.XLOOKUP($G46,Mapping!$A:$A,Mapping!$C:$C),"Uncategorized — Review"))</f>
        <v>Personal — Owner</v>
      </c>
    </row>
    <row r="47" spans="1:10" x14ac:dyDescent="0.25">
      <c r="A47" t="str">
        <f>'2026_Chase9335_Activity_2026062'!A47</f>
        <v>DEBIT</v>
      </c>
      <c r="B47" s="1">
        <f>'2026_Chase9335_Activity_2026062'!B47</f>
        <v>46162</v>
      </c>
      <c r="C47" t="str">
        <f>'2026_Chase9335_Activity_2026062'!C47</f>
        <v>Amazon.com*Y84XH0FC3 Amzn.com/bill WA        05/20</v>
      </c>
      <c r="D47" s="5">
        <f>'2026_Chase9335_Activity_2026062'!D47</f>
        <v>-38.31</v>
      </c>
      <c r="E47" t="str">
        <f>'2026_Chase9335_Activity_2026062'!E47</f>
        <v>DEBIT_CARD</v>
      </c>
      <c r="F47" s="5">
        <f>'2026_Chase9335_Activity_2026062'!F47</f>
        <v>134225.74</v>
      </c>
      <c r="G47" t="str">
        <f>'2026_Chase9335_Activity_2026062'!G47</f>
        <v>Amazon</v>
      </c>
      <c r="H47" s="4">
        <f t="shared" si="0"/>
        <v>46143</v>
      </c>
      <c r="I47" t="str">
        <f>IF($G47="","Uncategorized — Review",IFERROR(_xlfn.XLOOKUP($G47,Mapping!$A:$A,Mapping!$B:$B),"Uncategorized — Review"))</f>
        <v>Amazon</v>
      </c>
      <c r="J47" t="str">
        <f>IF($G47="","Uncategorized — Review",IFERROR(_xlfn.XLOOKUP($G47,Mapping!$A:$A,Mapping!$C:$C),"Uncategorized — Review"))</f>
        <v>Personal — Owner</v>
      </c>
    </row>
    <row r="48" spans="1:10" x14ac:dyDescent="0.25">
      <c r="A48" t="str">
        <f>'2026_Chase9335_Activity_2026062'!A48</f>
        <v>DEBIT</v>
      </c>
      <c r="B48" s="1">
        <f>'2026_Chase9335_Activity_2026062'!B48</f>
        <v>46161</v>
      </c>
      <c r="C48" t="str">
        <f>'2026_Chase9335_Activity_2026062'!C48</f>
        <v>UBER   * EATS PENDIN SAN FRANCISCO CA019931  05/19</v>
      </c>
      <c r="D48" s="5">
        <f>'2026_Chase9335_Activity_2026062'!D48</f>
        <v>-23.77</v>
      </c>
      <c r="E48" t="str">
        <f>'2026_Chase9335_Activity_2026062'!E48</f>
        <v>DEBIT_CARD</v>
      </c>
      <c r="F48" s="5">
        <f>'2026_Chase9335_Activity_2026062'!F48</f>
        <v>134264.04999999999</v>
      </c>
      <c r="G48" t="str">
        <f>'2026_Chase9335_Activity_2026062'!G48</f>
        <v>Personal - Car</v>
      </c>
      <c r="H48" s="4">
        <f t="shared" si="0"/>
        <v>46143</v>
      </c>
      <c r="I48" t="str">
        <f>IF($G48="","Uncategorized — Review",IFERROR(_xlfn.XLOOKUP($G48,Mapping!$A:$A,Mapping!$B:$B),"Uncategorized — Review"))</f>
        <v>Personal - Car &amp; Auto</v>
      </c>
      <c r="J48" t="str">
        <f>IF($G48="","Uncategorized — Review",IFERROR(_xlfn.XLOOKUP($G48,Mapping!$A:$A,Mapping!$C:$C),"Uncategorized — Review"))</f>
        <v>Personal — Owner</v>
      </c>
    </row>
    <row r="49" spans="1:10" x14ac:dyDescent="0.25">
      <c r="A49" t="str">
        <f>'2026_Chase9335_Activity_2026062'!A49</f>
        <v>DEBIT</v>
      </c>
      <c r="B49" s="1">
        <f>'2026_Chase9335_Activity_2026062'!B49</f>
        <v>46161</v>
      </c>
      <c r="C49" t="str">
        <f>'2026_Chase9335_Activity_2026062'!C49</f>
        <v>Amazon.com*N29952483 Amzn.com/bill WA        05/18</v>
      </c>
      <c r="D49" s="5">
        <f>'2026_Chase9335_Activity_2026062'!D49</f>
        <v>-30.79</v>
      </c>
      <c r="E49" t="str">
        <f>'2026_Chase9335_Activity_2026062'!E49</f>
        <v>DEBIT_CARD</v>
      </c>
      <c r="F49" s="5">
        <f>'2026_Chase9335_Activity_2026062'!F49</f>
        <v>134287.82</v>
      </c>
      <c r="G49" t="str">
        <f>'2026_Chase9335_Activity_2026062'!G49</f>
        <v>Amazon</v>
      </c>
      <c r="H49" s="4">
        <f t="shared" si="0"/>
        <v>46143</v>
      </c>
      <c r="I49" t="str">
        <f>IF($G49="","Uncategorized — Review",IFERROR(_xlfn.XLOOKUP($G49,Mapping!$A:$A,Mapping!$B:$B),"Uncategorized — Review"))</f>
        <v>Amazon</v>
      </c>
      <c r="J49" t="str">
        <f>IF($G49="","Uncategorized — Review",IFERROR(_xlfn.XLOOKUP($G49,Mapping!$A:$A,Mapping!$C:$C),"Uncategorized — Review"))</f>
        <v>Personal — Owner</v>
      </c>
    </row>
    <row r="50" spans="1:10" x14ac:dyDescent="0.25">
      <c r="A50" t="str">
        <f>'2026_Chase9335_Activity_2026062'!A50</f>
        <v>DEBIT</v>
      </c>
      <c r="B50" s="1">
        <f>'2026_Chase9335_Activity_2026062'!B50</f>
        <v>46160</v>
      </c>
      <c r="C50" t="str">
        <f>'2026_Chase9335_Activity_2026062'!C50</f>
        <v>Amazon.com*BF3HY7V10 Amzn.com/bill WA        05/18</v>
      </c>
      <c r="D50" s="5">
        <f>'2026_Chase9335_Activity_2026062'!D50</f>
        <v>-19.84</v>
      </c>
      <c r="E50" t="str">
        <f>'2026_Chase9335_Activity_2026062'!E50</f>
        <v>DEBIT_CARD</v>
      </c>
      <c r="F50" s="5">
        <f>'2026_Chase9335_Activity_2026062'!F50</f>
        <v>134318.60999999999</v>
      </c>
      <c r="G50" t="str">
        <f>'2026_Chase9335_Activity_2026062'!G50</f>
        <v>Amazon</v>
      </c>
      <c r="H50" s="4">
        <f t="shared" si="0"/>
        <v>46143</v>
      </c>
      <c r="I50" t="str">
        <f>IF($G50="","Uncategorized — Review",IFERROR(_xlfn.XLOOKUP($G50,Mapping!$A:$A,Mapping!$B:$B),"Uncategorized — Review"))</f>
        <v>Amazon</v>
      </c>
      <c r="J50" t="str">
        <f>IF($G50="","Uncategorized — Review",IFERROR(_xlfn.XLOOKUP($G50,Mapping!$A:$A,Mapping!$C:$C),"Uncategorized — Review"))</f>
        <v>Personal — Owner</v>
      </c>
    </row>
    <row r="51" spans="1:10" x14ac:dyDescent="0.25">
      <c r="A51" t="str">
        <f>'2026_Chase9335_Activity_2026062'!A51</f>
        <v>DEBIT</v>
      </c>
      <c r="B51" s="1">
        <f>'2026_Chase9335_Activity_2026062'!B51</f>
        <v>46160</v>
      </c>
      <c r="C51" t="str">
        <f>'2026_Chase9335_Activity_2026062'!C51</f>
        <v>Zelle payment to Michael Paytonjian JPM99chc3rx1</v>
      </c>
      <c r="D51" s="5">
        <f>'2026_Chase9335_Activity_2026062'!D51</f>
        <v>-25</v>
      </c>
      <c r="E51" t="str">
        <f>'2026_Chase9335_Activity_2026062'!E51</f>
        <v>CHASE_TO_PARTNERFI</v>
      </c>
      <c r="F51" s="5">
        <f>'2026_Chase9335_Activity_2026062'!F51</f>
        <v>134338.45000000001</v>
      </c>
      <c r="G51" t="str">
        <f>'2026_Chase9335_Activity_2026062'!G51</f>
        <v>Office/Miscellaneous Reimbursement - Mike P.</v>
      </c>
      <c r="H51" s="4">
        <f t="shared" si="0"/>
        <v>46143</v>
      </c>
      <c r="I51" t="str">
        <f>IF($G51="","Uncategorized — Review",IFERROR(_xlfn.XLOOKUP($G51,Mapping!$A:$A,Mapping!$B:$B),"Uncategorized — Review"))</f>
        <v>Office/Miscellaneous Reimbursement - Mike P.</v>
      </c>
      <c r="J51" t="str">
        <f>IF($G51="","Uncategorized — Review",IFERROR(_xlfn.XLOOKUP($G51,Mapping!$A:$A,Mapping!$C:$C),"Uncategorized — Review"))</f>
        <v>Payroll &amp; Contractors</v>
      </c>
    </row>
    <row r="52" spans="1:10" x14ac:dyDescent="0.25">
      <c r="A52" t="str">
        <f>'2026_Chase9335_Activity_2026062'!A52</f>
        <v>DEBIT</v>
      </c>
      <c r="B52" s="1">
        <f>'2026_Chase9335_Activity_2026062'!B52</f>
        <v>46160</v>
      </c>
      <c r="C52" t="str">
        <f>'2026_Chase9335_Activity_2026062'!C52</f>
        <v>Amazon.com*XV7SL5KU3 Amzn.com/bill WA        05/17</v>
      </c>
      <c r="D52" s="5">
        <f>'2026_Chase9335_Activity_2026062'!D52</f>
        <v>-42</v>
      </c>
      <c r="E52" t="str">
        <f>'2026_Chase9335_Activity_2026062'!E52</f>
        <v>DEBIT_CARD</v>
      </c>
      <c r="F52" s="5">
        <f>'2026_Chase9335_Activity_2026062'!F52</f>
        <v>134363.45000000001</v>
      </c>
      <c r="G52" t="str">
        <f>'2026_Chase9335_Activity_2026062'!G52</f>
        <v>Amazon</v>
      </c>
      <c r="H52" s="4">
        <f t="shared" si="0"/>
        <v>46143</v>
      </c>
      <c r="I52" t="str">
        <f>IF($G52="","Uncategorized — Review",IFERROR(_xlfn.XLOOKUP($G52,Mapping!$A:$A,Mapping!$B:$B),"Uncategorized — Review"))</f>
        <v>Amazon</v>
      </c>
      <c r="J52" t="str">
        <f>IF($G52="","Uncategorized — Review",IFERROR(_xlfn.XLOOKUP($G52,Mapping!$A:$A,Mapping!$C:$C),"Uncategorized — Review"))</f>
        <v>Personal — Owner</v>
      </c>
    </row>
    <row r="53" spans="1:10" x14ac:dyDescent="0.25">
      <c r="A53" t="str">
        <f>'2026_Chase9335_Activity_2026062'!A53</f>
        <v>DEBIT</v>
      </c>
      <c r="B53" s="1">
        <f>'2026_Chase9335_Activity_2026062'!B53</f>
        <v>46160</v>
      </c>
      <c r="C53" t="str">
        <f>'2026_Chase9335_Activity_2026062'!C53</f>
        <v>Prime Video *1M7I73KH 888-802-3080 WA        05/16</v>
      </c>
      <c r="D53" s="5">
        <f>'2026_Chase9335_Activity_2026062'!D53</f>
        <v>-21.34</v>
      </c>
      <c r="E53" t="str">
        <f>'2026_Chase9335_Activity_2026062'!E53</f>
        <v>DEBIT_CARD</v>
      </c>
      <c r="F53" s="5">
        <f>'2026_Chase9335_Activity_2026062'!F53</f>
        <v>134405.45000000001</v>
      </c>
      <c r="G53" t="str">
        <f>'2026_Chase9335_Activity_2026062'!G53</f>
        <v>Personal - Subscriptions</v>
      </c>
      <c r="H53" s="4">
        <f t="shared" si="0"/>
        <v>46143</v>
      </c>
      <c r="I53" t="str">
        <f>IF($G53="","Uncategorized — Review",IFERROR(_xlfn.XLOOKUP($G53,Mapping!$A:$A,Mapping!$B:$B),"Uncategorized — Review"))</f>
        <v>Personal - Subscriptions</v>
      </c>
      <c r="J53" t="str">
        <f>IF($G53="","Uncategorized — Review",IFERROR(_xlfn.XLOOKUP($G53,Mapping!$A:$A,Mapping!$C:$C),"Uncategorized — Review"))</f>
        <v>Personal — Owner</v>
      </c>
    </row>
    <row r="54" spans="1:10" x14ac:dyDescent="0.25">
      <c r="A54" t="str">
        <f>'2026_Chase9335_Activity_2026062'!A54</f>
        <v>DEBIT</v>
      </c>
      <c r="B54" s="1">
        <f>'2026_Chase9335_Activity_2026062'!B54</f>
        <v>46160</v>
      </c>
      <c r="C54" t="str">
        <f>'2026_Chase9335_Activity_2026062'!C54</f>
        <v>APPLE.COM/BILL 866-712-7753 CA               05/17</v>
      </c>
      <c r="D54" s="5">
        <f>'2026_Chase9335_Activity_2026062'!D54</f>
        <v>-30.89</v>
      </c>
      <c r="E54" t="str">
        <f>'2026_Chase9335_Activity_2026062'!E54</f>
        <v>DEBIT_CARD</v>
      </c>
      <c r="F54" s="5">
        <f>'2026_Chase9335_Activity_2026062'!F54</f>
        <v>134426.79</v>
      </c>
      <c r="G54" t="str">
        <f>'2026_Chase9335_Activity_2026062'!G54</f>
        <v>Personal - Subscriptions</v>
      </c>
      <c r="H54" s="4">
        <f t="shared" si="0"/>
        <v>46143</v>
      </c>
      <c r="I54" t="str">
        <f>IF($G54="","Uncategorized — Review",IFERROR(_xlfn.XLOOKUP($G54,Mapping!$A:$A,Mapping!$B:$B),"Uncategorized — Review"))</f>
        <v>Personal - Subscriptions</v>
      </c>
      <c r="J54" t="str">
        <f>IF($G54="","Uncategorized — Review",IFERROR(_xlfn.XLOOKUP($G54,Mapping!$A:$A,Mapping!$C:$C),"Uncategorized — Review"))</f>
        <v>Personal — Owner</v>
      </c>
    </row>
    <row r="55" spans="1:10" x14ac:dyDescent="0.25">
      <c r="A55" t="str">
        <f>'2026_Chase9335_Activity_2026062'!A55</f>
        <v>DEBIT</v>
      </c>
      <c r="B55" s="1">
        <f>'2026_Chase9335_Activity_2026062'!B55</f>
        <v>46157</v>
      </c>
      <c r="C55" t="str">
        <f>'2026_Chase9335_Activity_2026062'!C55</f>
        <v>Online Transfer to CHK ...3922 transaction#: 29232475282 05/15</v>
      </c>
      <c r="D55" s="5">
        <f>'2026_Chase9335_Activity_2026062'!D55</f>
        <v>-20000</v>
      </c>
      <c r="E55" t="str">
        <f>'2026_Chase9335_Activity_2026062'!E55</f>
        <v>ACCT_XFER</v>
      </c>
      <c r="F55" s="5">
        <f>'2026_Chase9335_Activity_2026062'!F55</f>
        <v>134457.68</v>
      </c>
      <c r="G55" t="str">
        <f>'2026_Chase9335_Activity_2026062'!G55</f>
        <v>Transfer to DWG Capital Partners</v>
      </c>
      <c r="H55" s="4">
        <f t="shared" si="0"/>
        <v>46143</v>
      </c>
      <c r="I55" t="str">
        <f>IF($G55="","Uncategorized — Review",IFERROR(_xlfn.XLOOKUP($G55,Mapping!$A:$A,Mapping!$B:$B),"Uncategorized — Review"))</f>
        <v>Transfer to DWG Capital Partners</v>
      </c>
      <c r="J55" t="str">
        <f>IF($G55="","Uncategorized — Review",IFERROR(_xlfn.XLOOKUP($G55,Mapping!$A:$A,Mapping!$C:$C),"Uncategorized — Review"))</f>
        <v>Intercompany &amp; Savings Transfers</v>
      </c>
    </row>
    <row r="56" spans="1:10" x14ac:dyDescent="0.25">
      <c r="A56" t="str">
        <f>'2026_Chase9335_Activity_2026062'!A56</f>
        <v>DEBIT</v>
      </c>
      <c r="B56" s="1">
        <f>'2026_Chase9335_Activity_2026062'!B56</f>
        <v>46157</v>
      </c>
      <c r="C56" t="str">
        <f>'2026_Chase9335_Activity_2026062'!C56</f>
        <v>Online Transfer to CHK ...3365 transaction#: 29230345411 05/15</v>
      </c>
      <c r="D56" s="5">
        <f>'2026_Chase9335_Activity_2026062'!D56</f>
        <v>-20000</v>
      </c>
      <c r="E56" t="str">
        <f>'2026_Chase9335_Activity_2026062'!E56</f>
        <v>ACCT_XFER</v>
      </c>
      <c r="F56" s="5">
        <f>'2026_Chase9335_Activity_2026062'!F56</f>
        <v>154457.68</v>
      </c>
      <c r="G56" t="str">
        <f>'2026_Chase9335_Activity_2026062'!G56</f>
        <v>Transfer to Buckeye</v>
      </c>
      <c r="H56" s="4">
        <f t="shared" si="0"/>
        <v>46143</v>
      </c>
      <c r="I56" t="str">
        <f>IF($G56="","Uncategorized — Review",IFERROR(_xlfn.XLOOKUP($G56,Mapping!$A:$A,Mapping!$B:$B),"Uncategorized — Review"))</f>
        <v>Transfer to Buckeye</v>
      </c>
      <c r="J56" t="str">
        <f>IF($G56="","Uncategorized — Review",IFERROR(_xlfn.XLOOKUP($G56,Mapping!$A:$A,Mapping!$C:$C),"Uncategorized — Review"))</f>
        <v>Intercompany &amp; Savings Transfers</v>
      </c>
    </row>
    <row r="57" spans="1:10" x14ac:dyDescent="0.25">
      <c r="A57" t="str">
        <f>'2026_Chase9335_Activity_2026062'!A57</f>
        <v>DEBIT</v>
      </c>
      <c r="B57" s="1">
        <f>'2026_Chase9335_Activity_2026062'!B57</f>
        <v>46157</v>
      </c>
      <c r="C57" t="str">
        <f>'2026_Chase9335_Activity_2026062'!C57</f>
        <v>AMAZON MKTPL*A65NE9Y Amzn.com/bill WA        05/14</v>
      </c>
      <c r="D57" s="5">
        <f>'2026_Chase9335_Activity_2026062'!D57</f>
        <v>-184.38</v>
      </c>
      <c r="E57" t="str">
        <f>'2026_Chase9335_Activity_2026062'!E57</f>
        <v>DEBIT_CARD</v>
      </c>
      <c r="F57" s="5">
        <f>'2026_Chase9335_Activity_2026062'!F57</f>
        <v>174457.68</v>
      </c>
      <c r="G57" t="str">
        <f>'2026_Chase9335_Activity_2026062'!G57</f>
        <v>Amazon</v>
      </c>
      <c r="H57" s="4">
        <f t="shared" si="0"/>
        <v>46143</v>
      </c>
      <c r="I57" t="str">
        <f>IF($G57="","Uncategorized — Review",IFERROR(_xlfn.XLOOKUP($G57,Mapping!$A:$A,Mapping!$B:$B),"Uncategorized — Review"))</f>
        <v>Amazon</v>
      </c>
      <c r="J57" t="str">
        <f>IF($G57="","Uncategorized — Review",IFERROR(_xlfn.XLOOKUP($G57,Mapping!$A:$A,Mapping!$C:$C),"Uncategorized — Review"))</f>
        <v>Personal — Owner</v>
      </c>
    </row>
    <row r="58" spans="1:10" x14ac:dyDescent="0.25">
      <c r="A58" t="str">
        <f>'2026_Chase9335_Activity_2026062'!A58</f>
        <v>DEBIT</v>
      </c>
      <c r="B58" s="1">
        <f>'2026_Chase9335_Activity_2026062'!B58</f>
        <v>46156</v>
      </c>
      <c r="C58" t="str">
        <f>'2026_Chase9335_Activity_2026062'!C58</f>
        <v>Amazon.com*L62140P43 Amzn.com/bill WA        05/14</v>
      </c>
      <c r="D58" s="5">
        <f>'2026_Chase9335_Activity_2026062'!D58</f>
        <v>-26.99</v>
      </c>
      <c r="E58" t="str">
        <f>'2026_Chase9335_Activity_2026062'!E58</f>
        <v>DEBIT_CARD</v>
      </c>
      <c r="F58" s="5">
        <f>'2026_Chase9335_Activity_2026062'!F58</f>
        <v>174642.06</v>
      </c>
      <c r="G58" t="str">
        <f>'2026_Chase9335_Activity_2026062'!G58</f>
        <v>Amazon</v>
      </c>
      <c r="H58" s="4">
        <f t="shared" si="0"/>
        <v>46143</v>
      </c>
      <c r="I58" t="str">
        <f>IF($G58="","Uncategorized — Review",IFERROR(_xlfn.XLOOKUP($G58,Mapping!$A:$A,Mapping!$B:$B),"Uncategorized — Review"))</f>
        <v>Amazon</v>
      </c>
      <c r="J58" t="str">
        <f>IF($G58="","Uncategorized — Review",IFERROR(_xlfn.XLOOKUP($G58,Mapping!$A:$A,Mapping!$C:$C),"Uncategorized — Review"))</f>
        <v>Personal — Owner</v>
      </c>
    </row>
    <row r="59" spans="1:10" x14ac:dyDescent="0.25">
      <c r="A59" t="str">
        <f>'2026_Chase9335_Activity_2026062'!A59</f>
        <v>DEBIT</v>
      </c>
      <c r="B59" s="1">
        <f>'2026_Chase9335_Activity_2026062'!B59</f>
        <v>46156</v>
      </c>
      <c r="C59" t="str">
        <f>'2026_Chase9335_Activity_2026062'!C59</f>
        <v>Amazon.com*4T27F6GL3 Amzn.com/bill WA        05/14</v>
      </c>
      <c r="D59" s="5">
        <f>'2026_Chase9335_Activity_2026062'!D59</f>
        <v>-27.5</v>
      </c>
      <c r="E59" t="str">
        <f>'2026_Chase9335_Activity_2026062'!E59</f>
        <v>DEBIT_CARD</v>
      </c>
      <c r="F59" s="5">
        <f>'2026_Chase9335_Activity_2026062'!F59</f>
        <v>174669.05</v>
      </c>
      <c r="G59" t="str">
        <f>'2026_Chase9335_Activity_2026062'!G59</f>
        <v>Amazon</v>
      </c>
      <c r="H59" s="4">
        <f t="shared" si="0"/>
        <v>46143</v>
      </c>
      <c r="I59" t="str">
        <f>IF($G59="","Uncategorized — Review",IFERROR(_xlfn.XLOOKUP($G59,Mapping!$A:$A,Mapping!$B:$B),"Uncategorized — Review"))</f>
        <v>Amazon</v>
      </c>
      <c r="J59" t="str">
        <f>IF($G59="","Uncategorized — Review",IFERROR(_xlfn.XLOOKUP($G59,Mapping!$A:$A,Mapping!$C:$C),"Uncategorized — Review"))</f>
        <v>Personal — Owner</v>
      </c>
    </row>
    <row r="60" spans="1:10" x14ac:dyDescent="0.25">
      <c r="A60" t="str">
        <f>'2026_Chase9335_Activity_2026062'!A60</f>
        <v>DEBIT</v>
      </c>
      <c r="B60" s="1">
        <f>'2026_Chase9335_Activity_2026062'!B60</f>
        <v>46156</v>
      </c>
      <c r="C60" t="str">
        <f>'2026_Chase9335_Activity_2026062'!C60</f>
        <v>AMAZON MKTPLACE PMTS Amzn.com/bill WA        05/13</v>
      </c>
      <c r="D60" s="5">
        <f>'2026_Chase9335_Activity_2026062'!D60</f>
        <v>184.38</v>
      </c>
      <c r="E60" t="str">
        <f>'2026_Chase9335_Activity_2026062'!E60</f>
        <v>DEBIT_CARD</v>
      </c>
      <c r="F60" s="5">
        <f>'2026_Chase9335_Activity_2026062'!F60</f>
        <v>174696.55</v>
      </c>
      <c r="G60" t="str">
        <f>'2026_Chase9335_Activity_2026062'!G60</f>
        <v>Amazon</v>
      </c>
      <c r="H60" s="4">
        <f t="shared" si="0"/>
        <v>46143</v>
      </c>
      <c r="I60" t="str">
        <f>IF($G60="","Uncategorized — Review",IFERROR(_xlfn.XLOOKUP($G60,Mapping!$A:$A,Mapping!$B:$B),"Uncategorized — Review"))</f>
        <v>Amazon</v>
      </c>
      <c r="J60" t="str">
        <f>IF($G60="","Uncategorized — Review",IFERROR(_xlfn.XLOOKUP($G60,Mapping!$A:$A,Mapping!$C:$C),"Uncategorized — Review"))</f>
        <v>Personal — Owner</v>
      </c>
    </row>
    <row r="61" spans="1:10" x14ac:dyDescent="0.25">
      <c r="A61" t="str">
        <f>'2026_Chase9335_Activity_2026062'!A61</f>
        <v>DEBIT</v>
      </c>
      <c r="B61" s="1">
        <f>'2026_Chase9335_Activity_2026062'!B61</f>
        <v>46155</v>
      </c>
      <c r="C61" t="str">
        <f>'2026_Chase9335_Activity_2026062'!C61</f>
        <v>ORIG CO NAME:AMERICAN EXPRESS       ORIG ID:2005032111 DESC DATE:260513 CO ENTRY DESCR:ACH PMT   SEC:CCD    TRACE#:021000026335659 EED:260513   IND ID:W7906                        IND NAME:JOHN DUNNING                                                                                                 ER AM TRN: 1336335659TC</v>
      </c>
      <c r="D61" s="5">
        <f>'2026_Chase9335_Activity_2026062'!D61</f>
        <v>-116.51</v>
      </c>
      <c r="E61" t="str">
        <f>'2026_Chase9335_Activity_2026062'!E61</f>
        <v>ACH_DEBIT</v>
      </c>
      <c r="F61" s="5">
        <f>'2026_Chase9335_Activity_2026062'!F61</f>
        <v>174512.17</v>
      </c>
      <c r="G61" t="str">
        <f>'2026_Chase9335_Activity_2026062'!G61</f>
        <v>American Express Credit Card PMT</v>
      </c>
      <c r="H61" s="4">
        <f t="shared" si="0"/>
        <v>46143</v>
      </c>
      <c r="I61" t="str">
        <f>IF($G61="","Uncategorized — Review",IFERROR(_xlfn.XLOOKUP($G61,Mapping!$A:$A,Mapping!$B:$B),"Uncategorized — Review"))</f>
        <v>American Express Credit Card PMT</v>
      </c>
      <c r="J61" t="str">
        <f>IF($G61="","Uncategorized — Review",IFERROR(_xlfn.XLOOKUP($G61,Mapping!$A:$A,Mapping!$C:$C),"Uncategorized — Review"))</f>
        <v>Credit Card &amp; Loan Payments</v>
      </c>
    </row>
    <row r="62" spans="1:10" x14ac:dyDescent="0.25">
      <c r="A62" t="str">
        <f>'2026_Chase9335_Activity_2026062'!A62</f>
        <v>DEBIT</v>
      </c>
      <c r="B62" s="1">
        <f>'2026_Chase9335_Activity_2026062'!B62</f>
        <v>46155</v>
      </c>
      <c r="C62" t="str">
        <f>'2026_Chase9335_Activity_2026062'!C62</f>
        <v>ORIG CO NAME:AMERICAN EXPRESS       ORIG ID:2005032111 DESC DATE:260513 CO ENTRY DESCR:ACH PMT   SEC:CCD    TRACE#:021000026336489 EED:260513   IND ID:W0762                        IND NAME:JOHN DUNNING                                                                                                 ER AM TRN: 1336336489TC</v>
      </c>
      <c r="D62" s="5">
        <f>'2026_Chase9335_Activity_2026062'!D62</f>
        <v>-14494.94</v>
      </c>
      <c r="E62" t="str">
        <f>'2026_Chase9335_Activity_2026062'!E62</f>
        <v>ACH_DEBIT</v>
      </c>
      <c r="F62" s="5">
        <f>'2026_Chase9335_Activity_2026062'!F62</f>
        <v>174628.68</v>
      </c>
      <c r="G62" t="str">
        <f>'2026_Chase9335_Activity_2026062'!G62</f>
        <v>American Express Credit Card PMT</v>
      </c>
      <c r="H62" s="4">
        <f t="shared" si="0"/>
        <v>46143</v>
      </c>
      <c r="I62" t="str">
        <f>IF($G62="","Uncategorized — Review",IFERROR(_xlfn.XLOOKUP($G62,Mapping!$A:$A,Mapping!$B:$B),"Uncategorized — Review"))</f>
        <v>American Express Credit Card PMT</v>
      </c>
      <c r="J62" t="str">
        <f>IF($G62="","Uncategorized — Review",IFERROR(_xlfn.XLOOKUP($G62,Mapping!$A:$A,Mapping!$C:$C),"Uncategorized — Review"))</f>
        <v>Credit Card &amp; Loan Payments</v>
      </c>
    </row>
    <row r="63" spans="1:10" x14ac:dyDescent="0.25">
      <c r="A63" t="str">
        <f>'2026_Chase9335_Activity_2026062'!A63</f>
        <v>DEBIT</v>
      </c>
      <c r="B63" s="1">
        <f>'2026_Chase9335_Activity_2026062'!B63</f>
        <v>46155</v>
      </c>
      <c r="C63" t="str">
        <f>'2026_Chase9335_Activity_2026062'!C63</f>
        <v>ORIG CO NAME:AMERICAN EXPRESS       ORIG ID:2005032111 DESC DATE:260513 CO ENTRY DESCR:ACH PMT   SEC:CCD    TRACE#:021000026336175 EED:260513   IND ID:W3034                        IND NAME:JOHN DUNNING                                                                                                 ER AM TRN: 1336336175TC</v>
      </c>
      <c r="D63" s="5">
        <f>'2026_Chase9335_Activity_2026062'!D63</f>
        <v>-15821.6</v>
      </c>
      <c r="E63" t="str">
        <f>'2026_Chase9335_Activity_2026062'!E63</f>
        <v>ACH_DEBIT</v>
      </c>
      <c r="F63" s="5">
        <f>'2026_Chase9335_Activity_2026062'!F63</f>
        <v>189123.62</v>
      </c>
      <c r="G63" t="str">
        <f>'2026_Chase9335_Activity_2026062'!G63</f>
        <v>American Express Credit Card PMT</v>
      </c>
      <c r="H63" s="4">
        <f t="shared" si="0"/>
        <v>46143</v>
      </c>
      <c r="I63" t="str">
        <f>IF($G63="","Uncategorized — Review",IFERROR(_xlfn.XLOOKUP($G63,Mapping!$A:$A,Mapping!$B:$B),"Uncategorized — Review"))</f>
        <v>American Express Credit Card PMT</v>
      </c>
      <c r="J63" t="str">
        <f>IF($G63="","Uncategorized — Review",IFERROR(_xlfn.XLOOKUP($G63,Mapping!$A:$A,Mapping!$C:$C),"Uncategorized — Review"))</f>
        <v>Credit Card &amp; Loan Payments</v>
      </c>
    </row>
    <row r="64" spans="1:10" x14ac:dyDescent="0.25">
      <c r="A64" t="str">
        <f>'2026_Chase9335_Activity_2026062'!A64</f>
        <v>DEBIT</v>
      </c>
      <c r="B64" s="1">
        <f>'2026_Chase9335_Activity_2026062'!B64</f>
        <v>46155</v>
      </c>
      <c r="C64" t="str">
        <f>'2026_Chase9335_Activity_2026062'!C64</f>
        <v>Amazon.com*BV4M02620 Amzn.com/bill WA        05/13</v>
      </c>
      <c r="D64" s="5">
        <f>'2026_Chase9335_Activity_2026062'!D64</f>
        <v>-15.96</v>
      </c>
      <c r="E64" t="str">
        <f>'2026_Chase9335_Activity_2026062'!E64</f>
        <v>DEBIT_CARD</v>
      </c>
      <c r="F64" s="5">
        <f>'2026_Chase9335_Activity_2026062'!F64</f>
        <v>204945.22</v>
      </c>
      <c r="G64" t="str">
        <f>'2026_Chase9335_Activity_2026062'!G64</f>
        <v>Amazon</v>
      </c>
      <c r="H64" s="4">
        <f t="shared" si="0"/>
        <v>46143</v>
      </c>
      <c r="I64" t="str">
        <f>IF($G64="","Uncategorized — Review",IFERROR(_xlfn.XLOOKUP($G64,Mapping!$A:$A,Mapping!$B:$B),"Uncategorized — Review"))</f>
        <v>Amazon</v>
      </c>
      <c r="J64" t="str">
        <f>IF($G64="","Uncategorized — Review",IFERROR(_xlfn.XLOOKUP($G64,Mapping!$A:$A,Mapping!$C:$C),"Uncategorized — Review"))</f>
        <v>Personal — Owner</v>
      </c>
    </row>
    <row r="65" spans="1:10" x14ac:dyDescent="0.25">
      <c r="A65" t="str">
        <f>'2026_Chase9335_Activity_2026062'!A65</f>
        <v>DEBIT</v>
      </c>
      <c r="B65" s="1">
        <f>'2026_Chase9335_Activity_2026062'!B65</f>
        <v>46155</v>
      </c>
      <c r="C65" t="str">
        <f>'2026_Chase9335_Activity_2026062'!C65</f>
        <v>Amazon.com*BV7IV9690 Amzn.com/bill WA        05/13</v>
      </c>
      <c r="D65" s="5">
        <f>'2026_Chase9335_Activity_2026062'!D65</f>
        <v>-9.3699999999999992</v>
      </c>
      <c r="E65" t="str">
        <f>'2026_Chase9335_Activity_2026062'!E65</f>
        <v>DEBIT_CARD</v>
      </c>
      <c r="F65" s="5">
        <f>'2026_Chase9335_Activity_2026062'!F65</f>
        <v>204961.18</v>
      </c>
      <c r="G65" t="str">
        <f>'2026_Chase9335_Activity_2026062'!G65</f>
        <v>Amazon</v>
      </c>
      <c r="H65" s="4">
        <f t="shared" si="0"/>
        <v>46143</v>
      </c>
      <c r="I65" t="str">
        <f>IF($G65="","Uncategorized — Review",IFERROR(_xlfn.XLOOKUP($G65,Mapping!$A:$A,Mapping!$B:$B),"Uncategorized — Review"))</f>
        <v>Amazon</v>
      </c>
      <c r="J65" t="str">
        <f>IF($G65="","Uncategorized — Review",IFERROR(_xlfn.XLOOKUP($G65,Mapping!$A:$A,Mapping!$C:$C),"Uncategorized — Review"))</f>
        <v>Personal — Owner</v>
      </c>
    </row>
    <row r="66" spans="1:10" x14ac:dyDescent="0.25">
      <c r="A66" t="str">
        <f>'2026_Chase9335_Activity_2026062'!A66</f>
        <v>DEBIT</v>
      </c>
      <c r="B66" s="1">
        <f>'2026_Chase9335_Activity_2026062'!B66</f>
        <v>46154</v>
      </c>
      <c r="C66" t="str">
        <f>'2026_Chase9335_Activity_2026062'!C66</f>
        <v>BLOOMBERG* 37033964 BLOOMBERG.COM NY         05/12</v>
      </c>
      <c r="D66" s="5">
        <f>'2026_Chase9335_Activity_2026062'!D66</f>
        <v>-39.99</v>
      </c>
      <c r="E66" t="str">
        <f>'2026_Chase9335_Activity_2026062'!E66</f>
        <v>DEBIT_CARD</v>
      </c>
      <c r="F66" s="5">
        <f>'2026_Chase9335_Activity_2026062'!F66</f>
        <v>204970.55</v>
      </c>
      <c r="G66" t="str">
        <f>'2026_Chase9335_Activity_2026062'!G66</f>
        <v>Personal - Subscriptions</v>
      </c>
      <c r="H66" s="4">
        <f t="shared" si="0"/>
        <v>46143</v>
      </c>
      <c r="I66" t="str">
        <f>IF($G66="","Uncategorized — Review",IFERROR(_xlfn.XLOOKUP($G66,Mapping!$A:$A,Mapping!$B:$B),"Uncategorized — Review"))</f>
        <v>Personal - Subscriptions</v>
      </c>
      <c r="J66" t="str">
        <f>IF($G66="","Uncategorized — Review",IFERROR(_xlfn.XLOOKUP($G66,Mapping!$A:$A,Mapping!$C:$C),"Uncategorized — Review"))</f>
        <v>Personal — Owner</v>
      </c>
    </row>
    <row r="67" spans="1:10" x14ac:dyDescent="0.25">
      <c r="A67" t="str">
        <f>'2026_Chase9335_Activity_2026062'!A67</f>
        <v>DEBIT</v>
      </c>
      <c r="B67" s="1">
        <f>'2026_Chase9335_Activity_2026062'!B67</f>
        <v>46154</v>
      </c>
      <c r="C67" t="str">
        <f>'2026_Chase9335_Activity_2026062'!C67</f>
        <v>Amazon.com*BV87W9XY0 Amzn.com/bill WA        05/11</v>
      </c>
      <c r="D67" s="5">
        <f>'2026_Chase9335_Activity_2026062'!D67</f>
        <v>-37.47</v>
      </c>
      <c r="E67" t="str">
        <f>'2026_Chase9335_Activity_2026062'!E67</f>
        <v>DEBIT_CARD</v>
      </c>
      <c r="F67" s="5">
        <f>'2026_Chase9335_Activity_2026062'!F67</f>
        <v>205010.54</v>
      </c>
      <c r="G67" t="str">
        <f>'2026_Chase9335_Activity_2026062'!G67</f>
        <v>Amazon</v>
      </c>
      <c r="H67" s="4">
        <f t="shared" ref="H67:H130" si="1">IF($B67="","",DATE(YEAR($B67),MONTH($B67),1))</f>
        <v>46143</v>
      </c>
      <c r="I67" t="str">
        <f>IF($G67="","Uncategorized — Review",IFERROR(_xlfn.XLOOKUP($G67,Mapping!$A:$A,Mapping!$B:$B),"Uncategorized — Review"))</f>
        <v>Amazon</v>
      </c>
      <c r="J67" t="str">
        <f>IF($G67="","Uncategorized — Review",IFERROR(_xlfn.XLOOKUP($G67,Mapping!$A:$A,Mapping!$C:$C),"Uncategorized — Review"))</f>
        <v>Personal — Owner</v>
      </c>
    </row>
    <row r="68" spans="1:10" x14ac:dyDescent="0.25">
      <c r="A68" t="str">
        <f>'2026_Chase9335_Activity_2026062'!A68</f>
        <v>DEBIT</v>
      </c>
      <c r="B68" s="1">
        <f>'2026_Chase9335_Activity_2026062'!B68</f>
        <v>46153</v>
      </c>
      <c r="C68" t="str">
        <f>'2026_Chase9335_Activity_2026062'!C68</f>
        <v>ORIG CO NAME:AMERICAN EXPRESS       ORIG ID:2005032111 DESC DATE:260511 CO ENTRY DESCR:ACH PMT   SEC:CCD    TRACE#:021000027833845 EED:260511   IND ID:W5148                        IND NAME:JOHN DUNNING                                                                                                 ER AM TRN: 1317833845TC</v>
      </c>
      <c r="D68" s="5">
        <f>'2026_Chase9335_Activity_2026062'!D68</f>
        <v>-103.36</v>
      </c>
      <c r="E68" t="str">
        <f>'2026_Chase9335_Activity_2026062'!E68</f>
        <v>ACH_DEBIT</v>
      </c>
      <c r="F68" s="5">
        <f>'2026_Chase9335_Activity_2026062'!F68</f>
        <v>205048.01</v>
      </c>
      <c r="G68" t="str">
        <f>'2026_Chase9335_Activity_2026062'!G68</f>
        <v>American Express Credit Card PMT</v>
      </c>
      <c r="H68" s="4">
        <f t="shared" si="1"/>
        <v>46143</v>
      </c>
      <c r="I68" t="str">
        <f>IF($G68="","Uncategorized — Review",IFERROR(_xlfn.XLOOKUP($G68,Mapping!$A:$A,Mapping!$B:$B),"Uncategorized — Review"))</f>
        <v>American Express Credit Card PMT</v>
      </c>
      <c r="J68" t="str">
        <f>IF($G68="","Uncategorized — Review",IFERROR(_xlfn.XLOOKUP($G68,Mapping!$A:$A,Mapping!$C:$C),"Uncategorized — Review"))</f>
        <v>Credit Card &amp; Loan Payments</v>
      </c>
    </row>
    <row r="69" spans="1:10" x14ac:dyDescent="0.25">
      <c r="A69" t="str">
        <f>'2026_Chase9335_Activity_2026062'!A69</f>
        <v>DEBIT</v>
      </c>
      <c r="B69" s="1">
        <f>'2026_Chase9335_Activity_2026062'!B69</f>
        <v>46153</v>
      </c>
      <c r="C69" t="str">
        <f>'2026_Chase9335_Activity_2026062'!C69</f>
        <v>Zelle payment to Michael Paytonjian JPM99cgk4tob</v>
      </c>
      <c r="D69" s="5">
        <f>'2026_Chase9335_Activity_2026062'!D69</f>
        <v>-140</v>
      </c>
      <c r="E69" t="str">
        <f>'2026_Chase9335_Activity_2026062'!E69</f>
        <v>CHASE_TO_PARTNERFI</v>
      </c>
      <c r="F69" s="5">
        <f>'2026_Chase9335_Activity_2026062'!F69</f>
        <v>205151.37</v>
      </c>
      <c r="G69" t="str">
        <f>'2026_Chase9335_Activity_2026062'!G69</f>
        <v>Office/Miscellaneous Reimbursement - Mike P.</v>
      </c>
      <c r="H69" s="4">
        <f t="shared" si="1"/>
        <v>46143</v>
      </c>
      <c r="I69" t="str">
        <f>IF($G69="","Uncategorized — Review",IFERROR(_xlfn.XLOOKUP($G69,Mapping!$A:$A,Mapping!$B:$B),"Uncategorized — Review"))</f>
        <v>Office/Miscellaneous Reimbursement - Mike P.</v>
      </c>
      <c r="J69" t="str">
        <f>IF($G69="","Uncategorized — Review",IFERROR(_xlfn.XLOOKUP($G69,Mapping!$A:$A,Mapping!$C:$C),"Uncategorized — Review"))</f>
        <v>Payroll &amp; Contractors</v>
      </c>
    </row>
    <row r="70" spans="1:10" x14ac:dyDescent="0.25">
      <c r="A70" t="str">
        <f>'2026_Chase9335_Activity_2026062'!A70</f>
        <v>DEBIT</v>
      </c>
      <c r="B70" s="1">
        <f>'2026_Chase9335_Activity_2026062'!B70</f>
        <v>46153</v>
      </c>
      <c r="C70" t="str">
        <f>'2026_Chase9335_Activity_2026062'!C70</f>
        <v>Amazon.com*ZS0U78MH3 Amzn.com/bill WA        05/11</v>
      </c>
      <c r="D70" s="5">
        <f>'2026_Chase9335_Activity_2026062'!D70</f>
        <v>-19.84</v>
      </c>
      <c r="E70" t="str">
        <f>'2026_Chase9335_Activity_2026062'!E70</f>
        <v>DEBIT_CARD</v>
      </c>
      <c r="F70" s="5">
        <f>'2026_Chase9335_Activity_2026062'!F70</f>
        <v>205291.37</v>
      </c>
      <c r="G70" t="str">
        <f>'2026_Chase9335_Activity_2026062'!G70</f>
        <v>Amazon</v>
      </c>
      <c r="H70" s="4">
        <f t="shared" si="1"/>
        <v>46143</v>
      </c>
      <c r="I70" t="str">
        <f>IF($G70="","Uncategorized — Review",IFERROR(_xlfn.XLOOKUP($G70,Mapping!$A:$A,Mapping!$B:$B),"Uncategorized — Review"))</f>
        <v>Amazon</v>
      </c>
      <c r="J70" t="str">
        <f>IF($G70="","Uncategorized — Review",IFERROR(_xlfn.XLOOKUP($G70,Mapping!$A:$A,Mapping!$C:$C),"Uncategorized — Review"))</f>
        <v>Personal — Owner</v>
      </c>
    </row>
    <row r="71" spans="1:10" x14ac:dyDescent="0.25">
      <c r="A71" t="str">
        <f>'2026_Chase9335_Activity_2026062'!A71</f>
        <v>DEBIT</v>
      </c>
      <c r="B71" s="1">
        <f>'2026_Chase9335_Activity_2026062'!B71</f>
        <v>46153</v>
      </c>
      <c r="C71" t="str">
        <f>'2026_Chase9335_Activity_2026062'!C71</f>
        <v>Amazon.com*BF56V8FY1 Amzn.com/bill WA        05/10</v>
      </c>
      <c r="D71" s="5">
        <f>'2026_Chase9335_Activity_2026062'!D71</f>
        <v>-79.19</v>
      </c>
      <c r="E71" t="str">
        <f>'2026_Chase9335_Activity_2026062'!E71</f>
        <v>DEBIT_CARD</v>
      </c>
      <c r="F71" s="5">
        <f>'2026_Chase9335_Activity_2026062'!F71</f>
        <v>205311.21</v>
      </c>
      <c r="G71" t="str">
        <f>'2026_Chase9335_Activity_2026062'!G71</f>
        <v>Amazon</v>
      </c>
      <c r="H71" s="4">
        <f t="shared" si="1"/>
        <v>46143</v>
      </c>
      <c r="I71" t="str">
        <f>IF($G71="","Uncategorized — Review",IFERROR(_xlfn.XLOOKUP($G71,Mapping!$A:$A,Mapping!$B:$B),"Uncategorized — Review"))</f>
        <v>Amazon</v>
      </c>
      <c r="J71" t="str">
        <f>IF($G71="","Uncategorized — Review",IFERROR(_xlfn.XLOOKUP($G71,Mapping!$A:$A,Mapping!$C:$C),"Uncategorized — Review"))</f>
        <v>Personal — Owner</v>
      </c>
    </row>
    <row r="72" spans="1:10" x14ac:dyDescent="0.25">
      <c r="A72" t="str">
        <f>'2026_Chase9335_Activity_2026062'!A72</f>
        <v>DEBIT</v>
      </c>
      <c r="B72" s="1">
        <f>'2026_Chase9335_Activity_2026062'!B72</f>
        <v>46153</v>
      </c>
      <c r="C72" t="str">
        <f>'2026_Chase9335_Activity_2026062'!C72</f>
        <v>APPLE.COM/BILL 866-712-7753 CA               05/10</v>
      </c>
      <c r="D72" s="5">
        <f>'2026_Chase9335_Activity_2026062'!D72</f>
        <v>-30.89</v>
      </c>
      <c r="E72" t="str">
        <f>'2026_Chase9335_Activity_2026062'!E72</f>
        <v>DEBIT_CARD</v>
      </c>
      <c r="F72" s="5">
        <f>'2026_Chase9335_Activity_2026062'!F72</f>
        <v>205390.4</v>
      </c>
      <c r="G72" t="str">
        <f>'2026_Chase9335_Activity_2026062'!G72</f>
        <v>Personal - Subscriptions</v>
      </c>
      <c r="H72" s="4">
        <f t="shared" si="1"/>
        <v>46143</v>
      </c>
      <c r="I72" t="str">
        <f>IF($G72="","Uncategorized — Review",IFERROR(_xlfn.XLOOKUP($G72,Mapping!$A:$A,Mapping!$B:$B),"Uncategorized — Review"))</f>
        <v>Personal - Subscriptions</v>
      </c>
      <c r="J72" t="str">
        <f>IF($G72="","Uncategorized — Review",IFERROR(_xlfn.XLOOKUP($G72,Mapping!$A:$A,Mapping!$C:$C),"Uncategorized — Review"))</f>
        <v>Personal — Owner</v>
      </c>
    </row>
    <row r="73" spans="1:10" x14ac:dyDescent="0.25">
      <c r="A73" t="str">
        <f>'2026_Chase9335_Activity_2026062'!A73</f>
        <v>DEBIT</v>
      </c>
      <c r="B73" s="1">
        <f>'2026_Chase9335_Activity_2026062'!B73</f>
        <v>46153</v>
      </c>
      <c r="C73" t="str">
        <f>'2026_Chase9335_Activity_2026062'!C73</f>
        <v>LA CABANA - VENICE VENICE CA                 05/08</v>
      </c>
      <c r="D73" s="5">
        <f>'2026_Chase9335_Activity_2026062'!D73</f>
        <v>-179.76</v>
      </c>
      <c r="E73" t="str">
        <f>'2026_Chase9335_Activity_2026062'!E73</f>
        <v>DEBIT_CARD</v>
      </c>
      <c r="F73" s="5">
        <f>'2026_Chase9335_Activity_2026062'!F73</f>
        <v>205421.29</v>
      </c>
      <c r="G73" t="str">
        <f>'2026_Chase9335_Activity_2026062'!G73</f>
        <v>Personal - Food &amp; Dining</v>
      </c>
      <c r="H73" s="4">
        <f t="shared" si="1"/>
        <v>46143</v>
      </c>
      <c r="I73" t="str">
        <f>IF($G73="","Uncategorized — Review",IFERROR(_xlfn.XLOOKUP($G73,Mapping!$A:$A,Mapping!$B:$B),"Uncategorized — Review"))</f>
        <v>Personal - Food &amp; Dining</v>
      </c>
      <c r="J73" t="str">
        <f>IF($G73="","Uncategorized — Review",IFERROR(_xlfn.XLOOKUP($G73,Mapping!$A:$A,Mapping!$C:$C),"Uncategorized — Review"))</f>
        <v>Personal — Owner</v>
      </c>
    </row>
    <row r="74" spans="1:10" x14ac:dyDescent="0.25">
      <c r="A74" t="str">
        <f>'2026_Chase9335_Activity_2026062'!A74</f>
        <v>DEBIT</v>
      </c>
      <c r="B74" s="1">
        <f>'2026_Chase9335_Activity_2026062'!B74</f>
        <v>46153</v>
      </c>
      <c r="C74" t="str">
        <f>'2026_Chase9335_Activity_2026062'!C74</f>
        <v>SMOKE HOUSE RESTAURANT BURBANK CA            05/08</v>
      </c>
      <c r="D74" s="5">
        <f>'2026_Chase9335_Activity_2026062'!D74</f>
        <v>-374.93</v>
      </c>
      <c r="E74" t="str">
        <f>'2026_Chase9335_Activity_2026062'!E74</f>
        <v>DEBIT_CARD</v>
      </c>
      <c r="F74" s="5">
        <f>'2026_Chase9335_Activity_2026062'!F74</f>
        <v>205601.05</v>
      </c>
      <c r="G74" t="str">
        <f>'2026_Chase9335_Activity_2026062'!G74</f>
        <v>Personal - Food &amp; Dining</v>
      </c>
      <c r="H74" s="4">
        <f t="shared" si="1"/>
        <v>46143</v>
      </c>
      <c r="I74" t="str">
        <f>IF($G74="","Uncategorized — Review",IFERROR(_xlfn.XLOOKUP($G74,Mapping!$A:$A,Mapping!$B:$B),"Uncategorized — Review"))</f>
        <v>Personal - Food &amp; Dining</v>
      </c>
      <c r="J74" t="str">
        <f>IF($G74="","Uncategorized — Review",IFERROR(_xlfn.XLOOKUP($G74,Mapping!$A:$A,Mapping!$C:$C),"Uncategorized — Review"))</f>
        <v>Personal — Owner</v>
      </c>
    </row>
    <row r="75" spans="1:10" x14ac:dyDescent="0.25">
      <c r="A75" t="str">
        <f>'2026_Chase9335_Activity_2026062'!A75</f>
        <v>CREDIT</v>
      </c>
      <c r="B75" s="1">
        <f>'2026_Chase9335_Activity_2026062'!B75</f>
        <v>46153</v>
      </c>
      <c r="C75" t="str">
        <f>'2026_Chase9335_Activity_2026062'!C75</f>
        <v>ORIG CO NAME:Rabourn Road Ind       ORIG ID:945440567  DESC DATE:       CO ENTRY DESCR:PAYMENT   SEC:PPD    TRACE#:273976369667029 EED:260511   IND ID:                             IND NAME:John Dunning TRN: 1319667029TC</v>
      </c>
      <c r="D75" s="5">
        <f>'2026_Chase9335_Activity_2026062'!D75</f>
        <v>233.33</v>
      </c>
      <c r="E75" t="str">
        <f>'2026_Chase9335_Activity_2026062'!E75</f>
        <v>ACH_CREDIT</v>
      </c>
      <c r="F75" s="5">
        <f>'2026_Chase9335_Activity_2026062'!F75</f>
        <v>205975.98</v>
      </c>
      <c r="G75" t="str">
        <f>'2026_Chase9335_Activity_2026062'!G75</f>
        <v>Deal Specific: Rabourn Road</v>
      </c>
      <c r="H75" s="4">
        <f t="shared" si="1"/>
        <v>46143</v>
      </c>
      <c r="I75" t="str">
        <f>IF($G75="","Uncategorized — Review",IFERROR(_xlfn.XLOOKUP($G75,Mapping!$A:$A,Mapping!$B:$B),"Uncategorized — Review"))</f>
        <v>Deal Specific: Rabourn Road</v>
      </c>
      <c r="J75" t="str">
        <f>IF($G75="","Uncategorized — Review",IFERROR(_xlfn.XLOOKUP($G75,Mapping!$A:$A,Mapping!$C:$C),"Uncategorized — Review"))</f>
        <v>Deal-Specific</v>
      </c>
    </row>
    <row r="76" spans="1:10" x14ac:dyDescent="0.25">
      <c r="A76" t="str">
        <f>'2026_Chase9335_Activity_2026062'!A76</f>
        <v>CREDIT</v>
      </c>
      <c r="B76" s="1">
        <f>'2026_Chase9335_Activity_2026062'!B76</f>
        <v>46153</v>
      </c>
      <c r="C76" t="str">
        <f>'2026_Chase9335_Activity_2026062'!C76</f>
        <v>ORIG CO NAME:Austin Iron Hold       ORIG ID:945440567  DESC DATE:       CO ENTRY DESCR:PAYMENT   SEC:PPD    TRACE#:273976369667343 EED:260511   IND ID:                             IND NAME:John Dunning TRN: 1319667343TC</v>
      </c>
      <c r="D76" s="5">
        <f>'2026_Chase9335_Activity_2026062'!D76</f>
        <v>350</v>
      </c>
      <c r="E76" t="str">
        <f>'2026_Chase9335_Activity_2026062'!E76</f>
        <v>ACH_CREDIT</v>
      </c>
      <c r="F76" s="5">
        <f>'2026_Chase9335_Activity_2026062'!F76</f>
        <v>205742.65</v>
      </c>
      <c r="G76" t="str">
        <f>'2026_Chase9335_Activity_2026062'!G76</f>
        <v>Deal Specific: Austin Iron</v>
      </c>
      <c r="H76" s="4">
        <f t="shared" si="1"/>
        <v>46143</v>
      </c>
      <c r="I76" t="str">
        <f>IF($G76="","Uncategorized — Review",IFERROR(_xlfn.XLOOKUP($G76,Mapping!$A:$A,Mapping!$B:$B),"Uncategorized — Review"))</f>
        <v>Deal Specific: Austin Iron</v>
      </c>
      <c r="J76" t="str">
        <f>IF($G76="","Uncategorized — Review",IFERROR(_xlfn.XLOOKUP($G76,Mapping!$A:$A,Mapping!$C:$C),"Uncategorized — Review"))</f>
        <v>Deal-Specific</v>
      </c>
    </row>
    <row r="77" spans="1:10" x14ac:dyDescent="0.25">
      <c r="A77" t="str">
        <f>'2026_Chase9335_Activity_2026062'!A77</f>
        <v>CREDIT</v>
      </c>
      <c r="B77" s="1">
        <f>'2026_Chase9335_Activity_2026062'!B77</f>
        <v>46153</v>
      </c>
      <c r="C77" t="str">
        <f>'2026_Chase9335_Activity_2026062'!C77</f>
        <v>ORIG CO NAME:Merit-Lancaster        ORIG ID:945440567  DESC DATE:       CO ENTRY DESCR:PAYMENT   SEC:PPD    TRACE#:273976369667013 EED:260511   IND ID:                             IND NAME:John Dunning TRN: 1319667013TC</v>
      </c>
      <c r="D77" s="5">
        <f>'2026_Chase9335_Activity_2026062'!D77</f>
        <v>491.29</v>
      </c>
      <c r="E77" t="str">
        <f>'2026_Chase9335_Activity_2026062'!E77</f>
        <v>ACH_CREDIT</v>
      </c>
      <c r="F77" s="5">
        <f>'2026_Chase9335_Activity_2026062'!F77</f>
        <v>205392.65</v>
      </c>
      <c r="G77" t="str">
        <f>'2026_Chase9335_Activity_2026062'!G77</f>
        <v>Deal Specific: Merit-Lancaster</v>
      </c>
      <c r="H77" s="4">
        <f t="shared" si="1"/>
        <v>46143</v>
      </c>
      <c r="I77" t="str">
        <f>IF($G77="","Uncategorized — Review",IFERROR(_xlfn.XLOOKUP($G77,Mapping!$A:$A,Mapping!$B:$B),"Uncategorized — Review"))</f>
        <v>Deal Specific: Merit-Lancaster</v>
      </c>
      <c r="J77" t="str">
        <f>IF($G77="","Uncategorized — Review",IFERROR(_xlfn.XLOOKUP($G77,Mapping!$A:$A,Mapping!$C:$C),"Uncategorized — Review"))</f>
        <v>Deal-Specific</v>
      </c>
    </row>
    <row r="78" spans="1:10" x14ac:dyDescent="0.25">
      <c r="A78" t="str">
        <f>'2026_Chase9335_Activity_2026062'!A78</f>
        <v>DEBIT</v>
      </c>
      <c r="B78" s="1">
        <f>'2026_Chase9335_Activity_2026062'!B78</f>
        <v>46150</v>
      </c>
      <c r="C78" t="str">
        <f>'2026_Chase9335_Activity_2026062'!C78</f>
        <v>UBER   *EATS HELP.UB SAN FRANCISCO CA019533  05/08</v>
      </c>
      <c r="D78" s="5">
        <f>'2026_Chase9335_Activity_2026062'!D78</f>
        <v>-9.74</v>
      </c>
      <c r="E78" t="str">
        <f>'2026_Chase9335_Activity_2026062'!E78</f>
        <v>DEBIT_CARD</v>
      </c>
      <c r="F78" s="5">
        <f>'2026_Chase9335_Activity_2026062'!F78</f>
        <v>204901.36</v>
      </c>
      <c r="G78" t="str">
        <f>'2026_Chase9335_Activity_2026062'!G78</f>
        <v>Personal - Car</v>
      </c>
      <c r="H78" s="4">
        <f t="shared" si="1"/>
        <v>46143</v>
      </c>
      <c r="I78" t="str">
        <f>IF($G78="","Uncategorized — Review",IFERROR(_xlfn.XLOOKUP($G78,Mapping!$A:$A,Mapping!$B:$B),"Uncategorized — Review"))</f>
        <v>Personal - Car &amp; Auto</v>
      </c>
      <c r="J78" t="str">
        <f>IF($G78="","Uncategorized — Review",IFERROR(_xlfn.XLOOKUP($G78,Mapping!$A:$A,Mapping!$C:$C),"Uncategorized — Review"))</f>
        <v>Personal — Owner</v>
      </c>
    </row>
    <row r="79" spans="1:10" x14ac:dyDescent="0.25">
      <c r="A79" t="str">
        <f>'2026_Chase9335_Activity_2026062'!A79</f>
        <v>DEBIT</v>
      </c>
      <c r="B79" s="1">
        <f>'2026_Chase9335_Activity_2026062'!B79</f>
        <v>46150</v>
      </c>
      <c r="C79" t="str">
        <f>'2026_Chase9335_Activity_2026062'!C79</f>
        <v>UBER * EATS PENDING SAN FRANCISCO CA 927006  05/08</v>
      </c>
      <c r="D79" s="5">
        <f>'2026_Chase9335_Activity_2026062'!D79</f>
        <v>-54.28</v>
      </c>
      <c r="E79" t="str">
        <f>'2026_Chase9335_Activity_2026062'!E79</f>
        <v>DEBIT_CARD</v>
      </c>
      <c r="F79" s="5">
        <f>'2026_Chase9335_Activity_2026062'!F79</f>
        <v>204911.1</v>
      </c>
      <c r="G79" t="str">
        <f>'2026_Chase9335_Activity_2026062'!G79</f>
        <v>Personal - Food &amp; Dining</v>
      </c>
      <c r="H79" s="4">
        <f t="shared" si="1"/>
        <v>46143</v>
      </c>
      <c r="I79" t="str">
        <f>IF($G79="","Uncategorized — Review",IFERROR(_xlfn.XLOOKUP($G79,Mapping!$A:$A,Mapping!$B:$B),"Uncategorized — Review"))</f>
        <v>Personal - Food &amp; Dining</v>
      </c>
      <c r="J79" t="str">
        <f>IF($G79="","Uncategorized — Review",IFERROR(_xlfn.XLOOKUP($G79,Mapping!$A:$A,Mapping!$C:$C),"Uncategorized — Review"))</f>
        <v>Personal — Owner</v>
      </c>
    </row>
    <row r="80" spans="1:10" x14ac:dyDescent="0.25">
      <c r="A80" t="str">
        <f>'2026_Chase9335_Activity_2026062'!A80</f>
        <v>DEBIT</v>
      </c>
      <c r="B80" s="1">
        <f>'2026_Chase9335_Activity_2026062'!B80</f>
        <v>46150</v>
      </c>
      <c r="C80" t="str">
        <f>'2026_Chase9335_Activity_2026062'!C80</f>
        <v>UBER *ONE MEMBERSHIP SAN FRANCISCO CA251420  05/08</v>
      </c>
      <c r="D80" s="5">
        <f>'2026_Chase9335_Activity_2026062'!D80</f>
        <v>-9.99</v>
      </c>
      <c r="E80" t="str">
        <f>'2026_Chase9335_Activity_2026062'!E80</f>
        <v>DEBIT_CARD</v>
      </c>
      <c r="F80" s="5">
        <f>'2026_Chase9335_Activity_2026062'!F80</f>
        <v>204965.38</v>
      </c>
      <c r="G80" t="str">
        <f>'2026_Chase9335_Activity_2026062'!G80</f>
        <v>Personal - Subscriptions</v>
      </c>
      <c r="H80" s="4">
        <f t="shared" si="1"/>
        <v>46143</v>
      </c>
      <c r="I80" t="str">
        <f>IF($G80="","Uncategorized — Review",IFERROR(_xlfn.XLOOKUP($G80,Mapping!$A:$A,Mapping!$B:$B),"Uncategorized — Review"))</f>
        <v>Personal - Subscriptions</v>
      </c>
      <c r="J80" t="str">
        <f>IF($G80="","Uncategorized — Review",IFERROR(_xlfn.XLOOKUP($G80,Mapping!$A:$A,Mapping!$C:$C),"Uncategorized — Review"))</f>
        <v>Personal — Owner</v>
      </c>
    </row>
    <row r="81" spans="1:10" x14ac:dyDescent="0.25">
      <c r="A81" t="str">
        <f>'2026_Chase9335_Activity_2026062'!A81</f>
        <v>DEBIT</v>
      </c>
      <c r="B81" s="1">
        <f>'2026_Chase9335_Activity_2026062'!B81</f>
        <v>46149</v>
      </c>
      <c r="C81" t="str">
        <f>'2026_Chase9335_Activity_2026062'!C81</f>
        <v>APPLE.COM/BILL 866-712-7753 CA               05/06</v>
      </c>
      <c r="D81" s="5">
        <f>'2026_Chase9335_Activity_2026062'!D81</f>
        <v>-9.99</v>
      </c>
      <c r="E81" t="str">
        <f>'2026_Chase9335_Activity_2026062'!E81</f>
        <v>DEBIT_CARD</v>
      </c>
      <c r="F81" s="5">
        <f>'2026_Chase9335_Activity_2026062'!F81</f>
        <v>204975.37</v>
      </c>
      <c r="G81" t="str">
        <f>'2026_Chase9335_Activity_2026062'!G81</f>
        <v>Personal - Subscriptions</v>
      </c>
      <c r="H81" s="4">
        <f t="shared" si="1"/>
        <v>46143</v>
      </c>
      <c r="I81" t="str">
        <f>IF($G81="","Uncategorized — Review",IFERROR(_xlfn.XLOOKUP($G81,Mapping!$A:$A,Mapping!$B:$B),"Uncategorized — Review"))</f>
        <v>Personal - Subscriptions</v>
      </c>
      <c r="J81" t="str">
        <f>IF($G81="","Uncategorized — Review",IFERROR(_xlfn.XLOOKUP($G81,Mapping!$A:$A,Mapping!$C:$C),"Uncategorized — Review"))</f>
        <v>Personal — Owner</v>
      </c>
    </row>
    <row r="82" spans="1:10" x14ac:dyDescent="0.25">
      <c r="A82" t="str">
        <f>'2026_Chase9335_Activity_2026062'!A82</f>
        <v>DEBIT</v>
      </c>
      <c r="B82" s="1">
        <f>'2026_Chase9335_Activity_2026062'!B82</f>
        <v>46148</v>
      </c>
      <c r="C82" t="str">
        <f>'2026_Chase9335_Activity_2026062'!C82</f>
        <v>UBER   * EATS PENDIN SAN FRANCISCO CA148711  05/06</v>
      </c>
      <c r="D82" s="5">
        <f>'2026_Chase9335_Activity_2026062'!D82</f>
        <v>-30.33</v>
      </c>
      <c r="E82" t="str">
        <f>'2026_Chase9335_Activity_2026062'!E82</f>
        <v>DEBIT_CARD</v>
      </c>
      <c r="F82" s="5">
        <f>'2026_Chase9335_Activity_2026062'!F82</f>
        <v>204985.36</v>
      </c>
      <c r="G82" t="str">
        <f>'2026_Chase9335_Activity_2026062'!G82</f>
        <v>Personal - Car</v>
      </c>
      <c r="H82" s="4">
        <f t="shared" si="1"/>
        <v>46143</v>
      </c>
      <c r="I82" t="str">
        <f>IF($G82="","Uncategorized — Review",IFERROR(_xlfn.XLOOKUP($G82,Mapping!$A:$A,Mapping!$B:$B),"Uncategorized — Review"))</f>
        <v>Personal - Car &amp; Auto</v>
      </c>
      <c r="J82" t="str">
        <f>IF($G82="","Uncategorized — Review",IFERROR(_xlfn.XLOOKUP($G82,Mapping!$A:$A,Mapping!$C:$C),"Uncategorized — Review"))</f>
        <v>Personal — Owner</v>
      </c>
    </row>
    <row r="83" spans="1:10" x14ac:dyDescent="0.25">
      <c r="A83" t="str">
        <f>'2026_Chase9335_Activity_2026062'!A83</f>
        <v>DEBIT</v>
      </c>
      <c r="B83" s="1">
        <f>'2026_Chase9335_Activity_2026062'!B83</f>
        <v>46148</v>
      </c>
      <c r="C83" t="str">
        <f>'2026_Chase9335_Activity_2026062'!C83</f>
        <v>FACEBK *ZXG8XNRZP2 650-543-7818 CA           05/06</v>
      </c>
      <c r="D83" s="5">
        <f>'2026_Chase9335_Activity_2026062'!D83</f>
        <v>-6.38</v>
      </c>
      <c r="E83" t="str">
        <f>'2026_Chase9335_Activity_2026062'!E83</f>
        <v>DEBIT_CARD</v>
      </c>
      <c r="F83" s="5">
        <f>'2026_Chase9335_Activity_2026062'!F83</f>
        <v>205015.69</v>
      </c>
      <c r="G83" t="str">
        <f>'2026_Chase9335_Activity_2026062'!G83</f>
        <v>Facebook</v>
      </c>
      <c r="H83" s="4">
        <f t="shared" si="1"/>
        <v>46143</v>
      </c>
      <c r="I83" t="str">
        <f>IF($G83="","Uncategorized — Review",IFERROR(_xlfn.XLOOKUP($G83,Mapping!$A:$A,Mapping!$B:$B),"Uncategorized — Review"))</f>
        <v>Facebook</v>
      </c>
      <c r="J83" t="str">
        <f>IF($G83="","Uncategorized — Review",IFERROR(_xlfn.XLOOKUP($G83,Mapping!$A:$A,Mapping!$C:$C),"Uncategorized — Review"))</f>
        <v>DWG Operating</v>
      </c>
    </row>
    <row r="84" spans="1:10" x14ac:dyDescent="0.25">
      <c r="A84" t="str">
        <f>'2026_Chase9335_Activity_2026062'!A84</f>
        <v>DEBIT</v>
      </c>
      <c r="B84" s="1">
        <f>'2026_Chase9335_Activity_2026062'!B84</f>
        <v>46148</v>
      </c>
      <c r="C84" t="str">
        <f>'2026_Chase9335_Activity_2026062'!C84</f>
        <v>SQ *ALANA'S COFFEE ROA Los Angeles CA        05/05</v>
      </c>
      <c r="D84" s="5">
        <f>'2026_Chase9335_Activity_2026062'!D84</f>
        <v>-9.75</v>
      </c>
      <c r="E84" t="str">
        <f>'2026_Chase9335_Activity_2026062'!E84</f>
        <v>DEBIT_CARD</v>
      </c>
      <c r="F84" s="5">
        <f>'2026_Chase9335_Activity_2026062'!F84</f>
        <v>205022.07</v>
      </c>
      <c r="G84" t="str">
        <f>'2026_Chase9335_Activity_2026062'!G84</f>
        <v>Personal - Food &amp; Dining</v>
      </c>
      <c r="H84" s="4">
        <f t="shared" si="1"/>
        <v>46143</v>
      </c>
      <c r="I84" t="str">
        <f>IF($G84="","Uncategorized — Review",IFERROR(_xlfn.XLOOKUP($G84,Mapping!$A:$A,Mapping!$B:$B),"Uncategorized — Review"))</f>
        <v>Personal - Food &amp; Dining</v>
      </c>
      <c r="J84" t="str">
        <f>IF($G84="","Uncategorized — Review",IFERROR(_xlfn.XLOOKUP($G84,Mapping!$A:$A,Mapping!$C:$C),"Uncategorized — Review"))</f>
        <v>Personal — Owner</v>
      </c>
    </row>
    <row r="85" spans="1:10" x14ac:dyDescent="0.25">
      <c r="A85" t="str">
        <f>'2026_Chase9335_Activity_2026062'!A85</f>
        <v>DEBIT</v>
      </c>
      <c r="B85" s="1">
        <f>'2026_Chase9335_Activity_2026062'!B85</f>
        <v>46148</v>
      </c>
      <c r="C85" t="str">
        <f>'2026_Chase9335_Activity_2026062'!C85</f>
        <v>SQ *THE COW'S END CA Marina del Re CA        05/05</v>
      </c>
      <c r="D85" s="5">
        <f>'2026_Chase9335_Activity_2026062'!D85</f>
        <v>-7</v>
      </c>
      <c r="E85" t="str">
        <f>'2026_Chase9335_Activity_2026062'!E85</f>
        <v>DEBIT_CARD</v>
      </c>
      <c r="F85" s="5">
        <f>'2026_Chase9335_Activity_2026062'!F85</f>
        <v>205031.82</v>
      </c>
      <c r="G85" t="str">
        <f>'2026_Chase9335_Activity_2026062'!G85</f>
        <v>Personal - Food &amp; Dining</v>
      </c>
      <c r="H85" s="4">
        <f t="shared" si="1"/>
        <v>46143</v>
      </c>
      <c r="I85" t="str">
        <f>IF($G85="","Uncategorized — Review",IFERROR(_xlfn.XLOOKUP($G85,Mapping!$A:$A,Mapping!$B:$B),"Uncategorized — Review"))</f>
        <v>Personal - Food &amp; Dining</v>
      </c>
      <c r="J85" t="str">
        <f>IF($G85="","Uncategorized — Review",IFERROR(_xlfn.XLOOKUP($G85,Mapping!$A:$A,Mapping!$C:$C),"Uncategorized — Review"))</f>
        <v>Personal — Owner</v>
      </c>
    </row>
    <row r="86" spans="1:10" x14ac:dyDescent="0.25">
      <c r="A86" t="str">
        <f>'2026_Chase9335_Activity_2026062'!A86</f>
        <v>DEBIT</v>
      </c>
      <c r="B86" s="1">
        <f>'2026_Chase9335_Activity_2026062'!B86</f>
        <v>46148</v>
      </c>
      <c r="C86" t="str">
        <f>'2026_Chase9335_Activity_2026062'!C86</f>
        <v>DEPT. BEACHES &amp; HARB MARINA DEL RE CA        05/05</v>
      </c>
      <c r="D86" s="5">
        <f>'2026_Chase9335_Activity_2026062'!D86</f>
        <v>-6</v>
      </c>
      <c r="E86" t="str">
        <f>'2026_Chase9335_Activity_2026062'!E86</f>
        <v>DEBIT_CARD</v>
      </c>
      <c r="F86" s="5">
        <f>'2026_Chase9335_Activity_2026062'!F86</f>
        <v>205038.82</v>
      </c>
      <c r="G86" t="str">
        <f>'2026_Chase9335_Activity_2026062'!G86</f>
        <v>Personal - Car</v>
      </c>
      <c r="H86" s="4">
        <f t="shared" si="1"/>
        <v>46143</v>
      </c>
      <c r="I86" t="str">
        <f>IF($G86="","Uncategorized — Review",IFERROR(_xlfn.XLOOKUP($G86,Mapping!$A:$A,Mapping!$B:$B),"Uncategorized — Review"))</f>
        <v>Personal - Car &amp; Auto</v>
      </c>
      <c r="J86" t="str">
        <f>IF($G86="","Uncategorized — Review",IFERROR(_xlfn.XLOOKUP($G86,Mapping!$A:$A,Mapping!$C:$C),"Uncategorized — Review"))</f>
        <v>Personal — Owner</v>
      </c>
    </row>
    <row r="87" spans="1:10" x14ac:dyDescent="0.25">
      <c r="A87" t="str">
        <f>'2026_Chase9335_Activity_2026062'!A87</f>
        <v>DEBIT</v>
      </c>
      <c r="B87" s="1">
        <f>'2026_Chase9335_Activity_2026062'!B87</f>
        <v>46147</v>
      </c>
      <c r="C87" t="str">
        <f>'2026_Chase9335_Activity_2026062'!C87</f>
        <v>FACEBK *AD6KXQ9ZP2 650-5434800 DE            05/05</v>
      </c>
      <c r="D87" s="5">
        <f>'2026_Chase9335_Activity_2026062'!D87</f>
        <v>-8.31</v>
      </c>
      <c r="E87" t="str">
        <f>'2026_Chase9335_Activity_2026062'!E87</f>
        <v>DEBIT_CARD</v>
      </c>
      <c r="F87" s="5">
        <f>'2026_Chase9335_Activity_2026062'!F87</f>
        <v>205044.82</v>
      </c>
      <c r="G87" t="str">
        <f>'2026_Chase9335_Activity_2026062'!G87</f>
        <v>Facebook</v>
      </c>
      <c r="H87" s="4">
        <f t="shared" si="1"/>
        <v>46143</v>
      </c>
      <c r="I87" t="str">
        <f>IF($G87="","Uncategorized — Review",IFERROR(_xlfn.XLOOKUP($G87,Mapping!$A:$A,Mapping!$B:$B),"Uncategorized — Review"))</f>
        <v>Facebook</v>
      </c>
      <c r="J87" t="str">
        <f>IF($G87="","Uncategorized — Review",IFERROR(_xlfn.XLOOKUP($G87,Mapping!$A:$A,Mapping!$C:$C),"Uncategorized — Review"))</f>
        <v>DWG Operating</v>
      </c>
    </row>
    <row r="88" spans="1:10" x14ac:dyDescent="0.25">
      <c r="A88" t="str">
        <f>'2026_Chase9335_Activity_2026062'!A88</f>
        <v>DEBIT</v>
      </c>
      <c r="B88" s="1">
        <f>'2026_Chase9335_Activity_2026062'!B88</f>
        <v>46147</v>
      </c>
      <c r="C88" t="str">
        <f>'2026_Chase9335_Activity_2026062'!C88</f>
        <v>Prime Video *BV13L2ON 888-802-3080 WA        05/05</v>
      </c>
      <c r="D88" s="5">
        <f>'2026_Chase9335_Activity_2026062'!D88</f>
        <v>-6.39</v>
      </c>
      <c r="E88" t="str">
        <f>'2026_Chase9335_Activity_2026062'!E88</f>
        <v>DEBIT_CARD</v>
      </c>
      <c r="F88" s="5">
        <f>'2026_Chase9335_Activity_2026062'!F88</f>
        <v>205053.13</v>
      </c>
      <c r="G88" t="str">
        <f>'2026_Chase9335_Activity_2026062'!G88</f>
        <v>Personal - Subscriptions</v>
      </c>
      <c r="H88" s="4">
        <f t="shared" si="1"/>
        <v>46143</v>
      </c>
      <c r="I88" t="str">
        <f>IF($G88="","Uncategorized — Review",IFERROR(_xlfn.XLOOKUP($G88,Mapping!$A:$A,Mapping!$B:$B),"Uncategorized — Review"))</f>
        <v>Personal - Subscriptions</v>
      </c>
      <c r="J88" t="str">
        <f>IF($G88="","Uncategorized — Review",IFERROR(_xlfn.XLOOKUP($G88,Mapping!$A:$A,Mapping!$C:$C),"Uncategorized — Review"))</f>
        <v>Personal — Owner</v>
      </c>
    </row>
    <row r="89" spans="1:10" x14ac:dyDescent="0.25">
      <c r="A89" t="str">
        <f>'2026_Chase9335_Activity_2026062'!A89</f>
        <v>DEBIT</v>
      </c>
      <c r="B89" s="1">
        <f>'2026_Chase9335_Activity_2026062'!B89</f>
        <v>46147</v>
      </c>
      <c r="C89" t="str">
        <f>'2026_Chase9335_Activity_2026062'!C89</f>
        <v>Amazon.com*BV6BI54F1 Amzn.com/bill WA        05/05</v>
      </c>
      <c r="D89" s="5">
        <f>'2026_Chase9335_Activity_2026062'!D89</f>
        <v>-9.24</v>
      </c>
      <c r="E89" t="str">
        <f>'2026_Chase9335_Activity_2026062'!E89</f>
        <v>DEBIT_CARD</v>
      </c>
      <c r="F89" s="5">
        <f>'2026_Chase9335_Activity_2026062'!F89</f>
        <v>205059.52</v>
      </c>
      <c r="G89" t="str">
        <f>'2026_Chase9335_Activity_2026062'!G89</f>
        <v>Amazon</v>
      </c>
      <c r="H89" s="4">
        <f t="shared" si="1"/>
        <v>46143</v>
      </c>
      <c r="I89" t="str">
        <f>IF($G89="","Uncategorized — Review",IFERROR(_xlfn.XLOOKUP($G89,Mapping!$A:$A,Mapping!$B:$B),"Uncategorized — Review"))</f>
        <v>Amazon</v>
      </c>
      <c r="J89" t="str">
        <f>IF($G89="","Uncategorized — Review",IFERROR(_xlfn.XLOOKUP($G89,Mapping!$A:$A,Mapping!$C:$C),"Uncategorized — Review"))</f>
        <v>Personal — Owner</v>
      </c>
    </row>
    <row r="90" spans="1:10" x14ac:dyDescent="0.25">
      <c r="A90" t="str">
        <f>'2026_Chase9335_Activity_2026062'!A90</f>
        <v>DEBIT</v>
      </c>
      <c r="B90" s="1">
        <f>'2026_Chase9335_Activity_2026062'!B90</f>
        <v>46147</v>
      </c>
      <c r="C90" t="str">
        <f>'2026_Chase9335_Activity_2026062'!C90</f>
        <v>Amazon.com*BJ1XI7WI1 Amzn.com/bill WA        05/04</v>
      </c>
      <c r="D90" s="5">
        <f>'2026_Chase9335_Activity_2026062'!D90</f>
        <v>-37.35</v>
      </c>
      <c r="E90" t="str">
        <f>'2026_Chase9335_Activity_2026062'!E90</f>
        <v>DEBIT_CARD</v>
      </c>
      <c r="F90" s="5">
        <f>'2026_Chase9335_Activity_2026062'!F90</f>
        <v>205068.76</v>
      </c>
      <c r="G90" t="str">
        <f>'2026_Chase9335_Activity_2026062'!G90</f>
        <v>Amazon</v>
      </c>
      <c r="H90" s="4">
        <f t="shared" si="1"/>
        <v>46143</v>
      </c>
      <c r="I90" t="str">
        <f>IF($G90="","Uncategorized — Review",IFERROR(_xlfn.XLOOKUP($G90,Mapping!$A:$A,Mapping!$B:$B),"Uncategorized — Review"))</f>
        <v>Amazon</v>
      </c>
      <c r="J90" t="str">
        <f>IF($G90="","Uncategorized — Review",IFERROR(_xlfn.XLOOKUP($G90,Mapping!$A:$A,Mapping!$C:$C),"Uncategorized — Review"))</f>
        <v>Personal — Owner</v>
      </c>
    </row>
    <row r="91" spans="1:10" x14ac:dyDescent="0.25">
      <c r="A91" t="str">
        <f>'2026_Chase9335_Activity_2026062'!A91</f>
        <v>DEBIT</v>
      </c>
      <c r="B91" s="1">
        <f>'2026_Chase9335_Activity_2026062'!B91</f>
        <v>46146</v>
      </c>
      <c r="C91" t="str">
        <f>'2026_Chase9335_Activity_2026062'!C91</f>
        <v>ORIG CO NAME:CORP FILINGS LLC       ORIG ID:0000617262 DESC DATE:260504 CO ENTRY DESCR:REG AGENT SEC:CCD    TRACE#:021000027174484 EED:260504   IND ID:3043617                      IND NAME:POSEIDON ASSET *GROUP                                                                                        855-344-2677 TRN: 1247174484TC</v>
      </c>
      <c r="D91" s="5">
        <f>'2026_Chase9335_Activity_2026062'!D91</f>
        <v>-35</v>
      </c>
      <c r="E91" t="str">
        <f>'2026_Chase9335_Activity_2026062'!E91</f>
        <v>ACH_DEBIT</v>
      </c>
      <c r="F91" s="5">
        <f>'2026_Chase9335_Activity_2026062'!F91</f>
        <v>205106.11</v>
      </c>
      <c r="G91" t="str">
        <f>'2026_Chase9335_Activity_2026062'!G91</f>
        <v>LLC Filing</v>
      </c>
      <c r="H91" s="4">
        <f t="shared" si="1"/>
        <v>46143</v>
      </c>
      <c r="I91" t="str">
        <f>IF($G91="","Uncategorized — Review",IFERROR(_xlfn.XLOOKUP($G91,Mapping!$A:$A,Mapping!$B:$B),"Uncategorized — Review"))</f>
        <v>LLC Filing</v>
      </c>
      <c r="J91" t="str">
        <f>IF($G91="","Uncategorized — Review",IFERROR(_xlfn.XLOOKUP($G91,Mapping!$A:$A,Mapping!$C:$C),"Uncategorized — Review"))</f>
        <v>DWG Operating</v>
      </c>
    </row>
    <row r="92" spans="1:10" x14ac:dyDescent="0.25">
      <c r="A92" t="str">
        <f>'2026_Chase9335_Activity_2026062'!A92</f>
        <v>DEBIT</v>
      </c>
      <c r="B92" s="1">
        <f>'2026_Chase9335_Activity_2026062'!B92</f>
        <v>46146</v>
      </c>
      <c r="C92" t="str">
        <f>'2026_Chase9335_Activity_2026062'!C92</f>
        <v>ORIG CO NAME:CORP FILINGS LLC       ORIG ID:0000617262 DESC DATE:260504 CO ENTRY DESCR:REG AGENT SEC:CCD    TRACE#:021000027174474 EED:260504   IND ID:3043388                      IND NAME:POSEIDON ASSET *GROUP                                                                                        855-344-2677 TRN: 1247174474TC</v>
      </c>
      <c r="D92" s="5">
        <f>'2026_Chase9335_Activity_2026062'!D92</f>
        <v>-35</v>
      </c>
      <c r="E92" t="str">
        <f>'2026_Chase9335_Activity_2026062'!E92</f>
        <v>ACH_DEBIT</v>
      </c>
      <c r="F92" s="5">
        <f>'2026_Chase9335_Activity_2026062'!F92</f>
        <v>205141.11</v>
      </c>
      <c r="G92" t="str">
        <f>'2026_Chase9335_Activity_2026062'!G92</f>
        <v>LLC Filing</v>
      </c>
      <c r="H92" s="4">
        <f t="shared" si="1"/>
        <v>46143</v>
      </c>
      <c r="I92" t="str">
        <f>IF($G92="","Uncategorized — Review",IFERROR(_xlfn.XLOOKUP($G92,Mapping!$A:$A,Mapping!$B:$B),"Uncategorized — Review"))</f>
        <v>LLC Filing</v>
      </c>
      <c r="J92" t="str">
        <f>IF($G92="","Uncategorized — Review",IFERROR(_xlfn.XLOOKUP($G92,Mapping!$A:$A,Mapping!$C:$C),"Uncategorized — Review"))</f>
        <v>DWG Operating</v>
      </c>
    </row>
    <row r="93" spans="1:10" x14ac:dyDescent="0.25">
      <c r="A93" t="str">
        <f>'2026_Chase9335_Activity_2026062'!A93</f>
        <v>DEBIT</v>
      </c>
      <c r="B93" s="1">
        <f>'2026_Chase9335_Activity_2026062'!B93</f>
        <v>46146</v>
      </c>
      <c r="C93" t="str">
        <f>'2026_Chase9335_Activity_2026062'!C93</f>
        <v>TST*BLUEYS KITCHEN MAR Los Angeles CA        05/02</v>
      </c>
      <c r="D93" s="5">
        <f>'2026_Chase9335_Activity_2026062'!D93</f>
        <v>-127.16</v>
      </c>
      <c r="E93" t="str">
        <f>'2026_Chase9335_Activity_2026062'!E93</f>
        <v>DEBIT_CARD</v>
      </c>
      <c r="F93" s="5">
        <f>'2026_Chase9335_Activity_2026062'!F93</f>
        <v>205176.11</v>
      </c>
      <c r="G93" t="str">
        <f>'2026_Chase9335_Activity_2026062'!G93</f>
        <v>Personal - Food &amp; Dining</v>
      </c>
      <c r="H93" s="4">
        <f t="shared" si="1"/>
        <v>46143</v>
      </c>
      <c r="I93" t="str">
        <f>IF($G93="","Uncategorized — Review",IFERROR(_xlfn.XLOOKUP($G93,Mapping!$A:$A,Mapping!$B:$B),"Uncategorized — Review"))</f>
        <v>Personal - Food &amp; Dining</v>
      </c>
      <c r="J93" t="str">
        <f>IF($G93="","Uncategorized — Review",IFERROR(_xlfn.XLOOKUP($G93,Mapping!$A:$A,Mapping!$C:$C),"Uncategorized — Review"))</f>
        <v>Personal — Owner</v>
      </c>
    </row>
    <row r="94" spans="1:10" x14ac:dyDescent="0.25">
      <c r="A94" t="str">
        <f>'2026_Chase9335_Activity_2026062'!A94</f>
        <v>DEBIT</v>
      </c>
      <c r="B94" s="1">
        <f>'2026_Chase9335_Activity_2026062'!B94</f>
        <v>46146</v>
      </c>
      <c r="C94" t="str">
        <f>'2026_Chase9335_Activity_2026062'!C94</f>
        <v>Amazon.com*BJ8ZF8Z90 Amzn.com/bill WA        05/03</v>
      </c>
      <c r="D94" s="5">
        <f>'2026_Chase9335_Activity_2026062'!D94</f>
        <v>-132.36000000000001</v>
      </c>
      <c r="E94" t="str">
        <f>'2026_Chase9335_Activity_2026062'!E94</f>
        <v>DEBIT_CARD</v>
      </c>
      <c r="F94" s="5">
        <f>'2026_Chase9335_Activity_2026062'!F94</f>
        <v>205303.27</v>
      </c>
      <c r="G94" t="str">
        <f>'2026_Chase9335_Activity_2026062'!G94</f>
        <v>Amazon</v>
      </c>
      <c r="H94" s="4">
        <f t="shared" si="1"/>
        <v>46143</v>
      </c>
      <c r="I94" t="str">
        <f>IF($G94="","Uncategorized — Review",IFERROR(_xlfn.XLOOKUP($G94,Mapping!$A:$A,Mapping!$B:$B),"Uncategorized — Review"))</f>
        <v>Amazon</v>
      </c>
      <c r="J94" t="str">
        <f>IF($G94="","Uncategorized — Review",IFERROR(_xlfn.XLOOKUP($G94,Mapping!$A:$A,Mapping!$C:$C),"Uncategorized — Review"))</f>
        <v>Personal — Owner</v>
      </c>
    </row>
    <row r="95" spans="1:10" x14ac:dyDescent="0.25">
      <c r="A95" t="str">
        <f>'2026_Chase9335_Activity_2026062'!A95</f>
        <v>DEBIT</v>
      </c>
      <c r="B95" s="1">
        <f>'2026_Chase9335_Activity_2026062'!B95</f>
        <v>46146</v>
      </c>
      <c r="C95" t="str">
        <f>'2026_Chase9335_Activity_2026062'!C95</f>
        <v>CITY OF SANTA MONICA SANTA MONICA CA         05/02</v>
      </c>
      <c r="D95" s="5">
        <f>'2026_Chase9335_Activity_2026062'!D95</f>
        <v>-3.25</v>
      </c>
      <c r="E95" t="str">
        <f>'2026_Chase9335_Activity_2026062'!E95</f>
        <v>DEBIT_CARD</v>
      </c>
      <c r="F95" s="5">
        <f>'2026_Chase9335_Activity_2026062'!F95</f>
        <v>205435.63</v>
      </c>
      <c r="G95" t="str">
        <f>'2026_Chase9335_Activity_2026062'!G95</f>
        <v>Personal - Car</v>
      </c>
      <c r="H95" s="4">
        <f t="shared" si="1"/>
        <v>46143</v>
      </c>
      <c r="I95" t="str">
        <f>IF($G95="","Uncategorized — Review",IFERROR(_xlfn.XLOOKUP($G95,Mapping!$A:$A,Mapping!$B:$B),"Uncategorized — Review"))</f>
        <v>Personal - Car &amp; Auto</v>
      </c>
      <c r="J95" t="str">
        <f>IF($G95="","Uncategorized — Review",IFERROR(_xlfn.XLOOKUP($G95,Mapping!$A:$A,Mapping!$C:$C),"Uncategorized — Review"))</f>
        <v>Personal — Owner</v>
      </c>
    </row>
    <row r="96" spans="1:10" x14ac:dyDescent="0.25">
      <c r="A96" t="str">
        <f>'2026_Chase9335_Activity_2026062'!A96</f>
        <v>DEBIT</v>
      </c>
      <c r="B96" s="1">
        <f>'2026_Chase9335_Activity_2026062'!B96</f>
        <v>46143</v>
      </c>
      <c r="C96" t="str">
        <f>'2026_Chase9335_Activity_2026062'!C96</f>
        <v>UBER   * EATS PENDIN SAN FRANCISCO CA024566  05/01</v>
      </c>
      <c r="D96" s="5">
        <f>'2026_Chase9335_Activity_2026062'!D96</f>
        <v>-55.88</v>
      </c>
      <c r="E96" t="str">
        <f>'2026_Chase9335_Activity_2026062'!E96</f>
        <v>DEBIT_CARD</v>
      </c>
      <c r="F96" s="5">
        <f>'2026_Chase9335_Activity_2026062'!F96</f>
        <v>205438.88</v>
      </c>
      <c r="G96" t="str">
        <f>'2026_Chase9335_Activity_2026062'!G96</f>
        <v>Personal - Car</v>
      </c>
      <c r="H96" s="4">
        <f t="shared" si="1"/>
        <v>46143</v>
      </c>
      <c r="I96" t="str">
        <f>IF($G96="","Uncategorized — Review",IFERROR(_xlfn.XLOOKUP($G96,Mapping!$A:$A,Mapping!$B:$B),"Uncategorized — Review"))</f>
        <v>Personal - Car &amp; Auto</v>
      </c>
      <c r="J96" t="str">
        <f>IF($G96="","Uncategorized — Review",IFERROR(_xlfn.XLOOKUP($G96,Mapping!$A:$A,Mapping!$C:$C),"Uncategorized — Review"))</f>
        <v>Personal — Owner</v>
      </c>
    </row>
    <row r="97" spans="1:10" x14ac:dyDescent="0.25">
      <c r="A97" t="str">
        <f>'2026_Chase9335_Activity_2026062'!A97</f>
        <v>DEBIT</v>
      </c>
      <c r="B97" s="1">
        <f>'2026_Chase9335_Activity_2026062'!B97</f>
        <v>46143</v>
      </c>
      <c r="C97" t="str">
        <f>'2026_Chase9335_Activity_2026062'!C97</f>
        <v>Experian* Credit Repor 479-3436237 CA        05/01</v>
      </c>
      <c r="D97" s="5">
        <f>'2026_Chase9335_Activity_2026062'!D97</f>
        <v>-27.05</v>
      </c>
      <c r="E97" t="str">
        <f>'2026_Chase9335_Activity_2026062'!E97</f>
        <v>DEBIT_CARD</v>
      </c>
      <c r="F97" s="5">
        <f>'2026_Chase9335_Activity_2026062'!F97</f>
        <v>205494.76</v>
      </c>
      <c r="G97" t="str">
        <f>'2026_Chase9335_Activity_2026062'!G97</f>
        <v>Personal - Subscriptions</v>
      </c>
      <c r="H97" s="4">
        <f t="shared" si="1"/>
        <v>46143</v>
      </c>
      <c r="I97" t="str">
        <f>IF($G97="","Uncategorized — Review",IFERROR(_xlfn.XLOOKUP($G97,Mapping!$A:$A,Mapping!$B:$B),"Uncategorized — Review"))</f>
        <v>Personal - Subscriptions</v>
      </c>
      <c r="J97" t="str">
        <f>IF($G97="","Uncategorized — Review",IFERROR(_xlfn.XLOOKUP($G97,Mapping!$A:$A,Mapping!$C:$C),"Uncategorized — Review"))</f>
        <v>Personal — Owner</v>
      </c>
    </row>
    <row r="98" spans="1:10" x14ac:dyDescent="0.25">
      <c r="A98" t="str">
        <f>'2026_Chase9335_Activity_2026062'!A98</f>
        <v>DEBIT</v>
      </c>
      <c r="B98" s="1">
        <f>'2026_Chase9335_Activity_2026062'!B98</f>
        <v>46143</v>
      </c>
      <c r="C98" t="str">
        <f>'2026_Chase9335_Activity_2026062'!C98</f>
        <v>Prime Video *BS8FA39Q 888-802-3080 WA        05/01</v>
      </c>
      <c r="D98" s="5">
        <f>'2026_Chase9335_Activity_2026062'!D98</f>
        <v>-21.34</v>
      </c>
      <c r="E98" t="str">
        <f>'2026_Chase9335_Activity_2026062'!E98</f>
        <v>DEBIT_CARD</v>
      </c>
      <c r="F98" s="5">
        <f>'2026_Chase9335_Activity_2026062'!F98</f>
        <v>205521.81</v>
      </c>
      <c r="G98" t="str">
        <f>'2026_Chase9335_Activity_2026062'!G98</f>
        <v>Personal - Subscriptions</v>
      </c>
      <c r="H98" s="4">
        <f t="shared" si="1"/>
        <v>46143</v>
      </c>
      <c r="I98" t="str">
        <f>IF($G98="","Uncategorized — Review",IFERROR(_xlfn.XLOOKUP($G98,Mapping!$A:$A,Mapping!$B:$B),"Uncategorized — Review"))</f>
        <v>Personal - Subscriptions</v>
      </c>
      <c r="J98" t="str">
        <f>IF($G98="","Uncategorized — Review",IFERROR(_xlfn.XLOOKUP($G98,Mapping!$A:$A,Mapping!$C:$C),"Uncategorized — Review"))</f>
        <v>Personal — Owner</v>
      </c>
    </row>
    <row r="99" spans="1:10" x14ac:dyDescent="0.25">
      <c r="A99" t="str">
        <f>'2026_Chase9335_Activity_2026062'!A99</f>
        <v>DEBIT</v>
      </c>
      <c r="B99" s="1">
        <f>'2026_Chase9335_Activity_2026062'!B99</f>
        <v>46143</v>
      </c>
      <c r="C99" t="str">
        <f>'2026_Chase9335_Activity_2026062'!C99</f>
        <v>Prime Video *BS7TE779 888-802-3080 WA        05/01</v>
      </c>
      <c r="D99" s="5">
        <f>'2026_Chase9335_Activity_2026062'!D99</f>
        <v>-4.26</v>
      </c>
      <c r="E99" t="str">
        <f>'2026_Chase9335_Activity_2026062'!E99</f>
        <v>DEBIT_CARD</v>
      </c>
      <c r="F99" s="5">
        <f>'2026_Chase9335_Activity_2026062'!F99</f>
        <v>205543.15</v>
      </c>
      <c r="G99" t="str">
        <f>'2026_Chase9335_Activity_2026062'!G99</f>
        <v>Personal - Subscriptions</v>
      </c>
      <c r="H99" s="4">
        <f t="shared" si="1"/>
        <v>46143</v>
      </c>
      <c r="I99" t="str">
        <f>IF($G99="","Uncategorized — Review",IFERROR(_xlfn.XLOOKUP($G99,Mapping!$A:$A,Mapping!$B:$B),"Uncategorized — Review"))</f>
        <v>Personal - Subscriptions</v>
      </c>
      <c r="J99" t="str">
        <f>IF($G99="","Uncategorized — Review",IFERROR(_xlfn.XLOOKUP($G99,Mapping!$A:$A,Mapping!$C:$C),"Uncategorized — Review"))</f>
        <v>Personal — Owner</v>
      </c>
    </row>
    <row r="100" spans="1:10" x14ac:dyDescent="0.25">
      <c r="A100" t="str">
        <f>'2026_Chase9335_Activity_2026062'!A100</f>
        <v>DEBIT</v>
      </c>
      <c r="B100" s="1">
        <f>'2026_Chase9335_Activity_2026062'!B100</f>
        <v>46142</v>
      </c>
      <c r="C100" t="str">
        <f>'2026_Chase9335_Activity_2026062'!C100</f>
        <v>Online Transfer to CHK ...3922 transaction#: 29021813625 04/30</v>
      </c>
      <c r="D100" s="5">
        <f>'2026_Chase9335_Activity_2026062'!D100</f>
        <v>-10000</v>
      </c>
      <c r="E100" t="str">
        <f>'2026_Chase9335_Activity_2026062'!E100</f>
        <v>ACCT_XFER</v>
      </c>
      <c r="F100" s="5">
        <f>'2026_Chase9335_Activity_2026062'!F100</f>
        <v>205547.41</v>
      </c>
      <c r="G100" t="str">
        <f>'2026_Chase9335_Activity_2026062'!G100</f>
        <v>Transfer to DWG Capital Partners</v>
      </c>
      <c r="H100" s="4">
        <f t="shared" si="1"/>
        <v>46113</v>
      </c>
      <c r="I100" t="str">
        <f>IF($G100="","Uncategorized — Review",IFERROR(_xlfn.XLOOKUP($G100,Mapping!$A:$A,Mapping!$B:$B),"Uncategorized — Review"))</f>
        <v>Transfer to DWG Capital Partners</v>
      </c>
      <c r="J100" t="str">
        <f>IF($G100="","Uncategorized — Review",IFERROR(_xlfn.XLOOKUP($G100,Mapping!$A:$A,Mapping!$C:$C),"Uncategorized — Review"))</f>
        <v>Intercompany &amp; Savings Transfers</v>
      </c>
    </row>
    <row r="101" spans="1:10" x14ac:dyDescent="0.25">
      <c r="A101" t="str">
        <f>'2026_Chase9335_Activity_2026062'!A101</f>
        <v>DEBIT</v>
      </c>
      <c r="B101" s="1">
        <f>'2026_Chase9335_Activity_2026062'!B101</f>
        <v>46142</v>
      </c>
      <c r="C101" t="str">
        <f>'2026_Chase9335_Activity_2026062'!C101</f>
        <v>AMAZON MKTPL*BV3RX5E Amzn.com/bill WA        04/30</v>
      </c>
      <c r="D101" s="5">
        <f>'2026_Chase9335_Activity_2026062'!D101</f>
        <v>-184.38</v>
      </c>
      <c r="E101" t="str">
        <f>'2026_Chase9335_Activity_2026062'!E101</f>
        <v>DEBIT_CARD</v>
      </c>
      <c r="F101" s="5">
        <f>'2026_Chase9335_Activity_2026062'!F101</f>
        <v>215547.41</v>
      </c>
      <c r="G101" t="str">
        <f>'2026_Chase9335_Activity_2026062'!G101</f>
        <v>Amazon</v>
      </c>
      <c r="H101" s="4">
        <f t="shared" si="1"/>
        <v>46113</v>
      </c>
      <c r="I101" t="str">
        <f>IF($G101="","Uncategorized — Review",IFERROR(_xlfn.XLOOKUP($G101,Mapping!$A:$A,Mapping!$B:$B),"Uncategorized — Review"))</f>
        <v>Amazon</v>
      </c>
      <c r="J101" t="str">
        <f>IF($G101="","Uncategorized — Review",IFERROR(_xlfn.XLOOKUP($G101,Mapping!$A:$A,Mapping!$C:$C),"Uncategorized — Review"))</f>
        <v>Personal — Owner</v>
      </c>
    </row>
    <row r="102" spans="1:10" x14ac:dyDescent="0.25">
      <c r="A102" t="str">
        <f>'2026_Chase9335_Activity_2026062'!A102</f>
        <v>DEBIT</v>
      </c>
      <c r="B102" s="1">
        <f>'2026_Chase9335_Activity_2026062'!B102</f>
        <v>46142</v>
      </c>
      <c r="C102" t="str">
        <f>'2026_Chase9335_Activity_2026062'!C102</f>
        <v>AMAZON MKTPL*BJ1DA1L Amzn.com/bill WA        04/29</v>
      </c>
      <c r="D102" s="5">
        <f>'2026_Chase9335_Activity_2026062'!D102</f>
        <v>-241.44</v>
      </c>
      <c r="E102" t="str">
        <f>'2026_Chase9335_Activity_2026062'!E102</f>
        <v>DEBIT_CARD</v>
      </c>
      <c r="F102" s="5">
        <f>'2026_Chase9335_Activity_2026062'!F102</f>
        <v>215731.79</v>
      </c>
      <c r="G102" t="str">
        <f>'2026_Chase9335_Activity_2026062'!G102</f>
        <v>Amazon</v>
      </c>
      <c r="H102" s="4">
        <f t="shared" si="1"/>
        <v>46113</v>
      </c>
      <c r="I102" t="str">
        <f>IF($G102="","Uncategorized — Review",IFERROR(_xlfn.XLOOKUP($G102,Mapping!$A:$A,Mapping!$B:$B),"Uncategorized — Review"))</f>
        <v>Amazon</v>
      </c>
      <c r="J102" t="str">
        <f>IF($G102="","Uncategorized — Review",IFERROR(_xlfn.XLOOKUP($G102,Mapping!$A:$A,Mapping!$C:$C),"Uncategorized — Review"))</f>
        <v>Personal — Owner</v>
      </c>
    </row>
    <row r="103" spans="1:10" x14ac:dyDescent="0.25">
      <c r="A103" t="str">
        <f>'2026_Chase9335_Activity_2026062'!A103</f>
        <v>DEBIT</v>
      </c>
      <c r="B103" s="1">
        <f>'2026_Chase9335_Activity_2026062'!B103</f>
        <v>46141</v>
      </c>
      <c r="C103" t="str">
        <f>'2026_Chase9335_Activity_2026062'!C103</f>
        <v>Online Transfer to CHK ...1168 transaction#: 29013835948 04/29</v>
      </c>
      <c r="D103" s="5">
        <f>'2026_Chase9335_Activity_2026062'!D103</f>
        <v>-10000</v>
      </c>
      <c r="E103" t="str">
        <f>'2026_Chase9335_Activity_2026062'!E103</f>
        <v>ACCT_XFER</v>
      </c>
      <c r="F103" s="5">
        <f>'2026_Chase9335_Activity_2026062'!F103</f>
        <v>215973.23</v>
      </c>
      <c r="G103" t="str">
        <f>'2026_Chase9335_Activity_2026062'!G103</f>
        <v>Transfer to DWG Capital Group</v>
      </c>
      <c r="H103" s="4">
        <f t="shared" si="1"/>
        <v>46113</v>
      </c>
      <c r="I103" t="str">
        <f>IF($G103="","Uncategorized — Review",IFERROR(_xlfn.XLOOKUP($G103,Mapping!$A:$A,Mapping!$B:$B),"Uncategorized — Review"))</f>
        <v>Transfer to DWG Capital Group</v>
      </c>
      <c r="J103" t="str">
        <f>IF($G103="","Uncategorized — Review",IFERROR(_xlfn.XLOOKUP($G103,Mapping!$A:$A,Mapping!$C:$C),"Uncategorized — Review"))</f>
        <v>Intercompany &amp; Savings Transfers</v>
      </c>
    </row>
    <row r="104" spans="1:10" x14ac:dyDescent="0.25">
      <c r="A104" t="str">
        <f>'2026_Chase9335_Activity_2026062'!A104</f>
        <v>DEBIT</v>
      </c>
      <c r="B104" s="1">
        <f>'2026_Chase9335_Activity_2026062'!B104</f>
        <v>46141</v>
      </c>
      <c r="C104" t="str">
        <f>'2026_Chase9335_Activity_2026062'!C104</f>
        <v>Online Transfer to CHK ...1168 transaction#: 29012615752 04/29</v>
      </c>
      <c r="D104" s="5">
        <f>'2026_Chase9335_Activity_2026062'!D104</f>
        <v>-30000</v>
      </c>
      <c r="E104" t="str">
        <f>'2026_Chase9335_Activity_2026062'!E104</f>
        <v>ACCT_XFER</v>
      </c>
      <c r="F104" s="5">
        <f>'2026_Chase9335_Activity_2026062'!F104</f>
        <v>225973.23</v>
      </c>
      <c r="G104" t="str">
        <f>'2026_Chase9335_Activity_2026062'!G104</f>
        <v>Transfer to DWG Capital Group</v>
      </c>
      <c r="H104" s="4">
        <f t="shared" si="1"/>
        <v>46113</v>
      </c>
      <c r="I104" t="str">
        <f>IF($G104="","Uncategorized — Review",IFERROR(_xlfn.XLOOKUP($G104,Mapping!$A:$A,Mapping!$B:$B),"Uncategorized — Review"))</f>
        <v>Transfer to DWG Capital Group</v>
      </c>
      <c r="J104" t="str">
        <f>IF($G104="","Uncategorized — Review",IFERROR(_xlfn.XLOOKUP($G104,Mapping!$A:$A,Mapping!$C:$C),"Uncategorized — Review"))</f>
        <v>Intercompany &amp; Savings Transfers</v>
      </c>
    </row>
    <row r="105" spans="1:10" x14ac:dyDescent="0.25">
      <c r="A105" t="str">
        <f>'2026_Chase9335_Activity_2026062'!A105</f>
        <v>DEBIT</v>
      </c>
      <c r="B105" s="1">
        <f>'2026_Chase9335_Activity_2026062'!B105</f>
        <v>46141</v>
      </c>
      <c r="C105" t="str">
        <f>'2026_Chase9335_Activity_2026062'!C105</f>
        <v>APPLE.COM/BILL 866-712-7753 CA               04/29</v>
      </c>
      <c r="D105" s="5">
        <f>'2026_Chase9335_Activity_2026062'!D105</f>
        <v>-51.45</v>
      </c>
      <c r="E105" t="str">
        <f>'2026_Chase9335_Activity_2026062'!E105</f>
        <v>DEBIT_CARD</v>
      </c>
      <c r="F105" s="5">
        <f>'2026_Chase9335_Activity_2026062'!F105</f>
        <v>255973.23</v>
      </c>
      <c r="G105" t="str">
        <f>'2026_Chase9335_Activity_2026062'!G105</f>
        <v>Personal - Subscriptions</v>
      </c>
      <c r="H105" s="4">
        <f t="shared" si="1"/>
        <v>46113</v>
      </c>
      <c r="I105" t="str">
        <f>IF($G105="","Uncategorized — Review",IFERROR(_xlfn.XLOOKUP($G105,Mapping!$A:$A,Mapping!$B:$B),"Uncategorized — Review"))</f>
        <v>Personal - Subscriptions</v>
      </c>
      <c r="J105" t="str">
        <f>IF($G105="","Uncategorized — Review",IFERROR(_xlfn.XLOOKUP($G105,Mapping!$A:$A,Mapping!$C:$C),"Uncategorized — Review"))</f>
        <v>Personal — Owner</v>
      </c>
    </row>
    <row r="106" spans="1:10" x14ac:dyDescent="0.25">
      <c r="A106" t="str">
        <f>'2026_Chase9335_Activity_2026062'!A106</f>
        <v>DEBIT</v>
      </c>
      <c r="B106" s="1">
        <f>'2026_Chase9335_Activity_2026062'!B106</f>
        <v>46140</v>
      </c>
      <c r="C106" t="str">
        <f>'2026_Chase9335_Activity_2026062'!C106</f>
        <v>Zelle payment to Michael Paytonjian JPM99cetsy23</v>
      </c>
      <c r="D106" s="5">
        <f>'2026_Chase9335_Activity_2026062'!D106</f>
        <v>-5000</v>
      </c>
      <c r="E106" t="str">
        <f>'2026_Chase9335_Activity_2026062'!E106</f>
        <v>CHASE_TO_PARTNERFI</v>
      </c>
      <c r="F106" s="5">
        <f>'2026_Chase9335_Activity_2026062'!F106</f>
        <v>256024.68</v>
      </c>
      <c r="G106" t="str">
        <f>'2026_Chase9335_Activity_2026062'!G106</f>
        <v>Office/Miscellaneous Reimbursement - Mike P.</v>
      </c>
      <c r="H106" s="4">
        <f t="shared" si="1"/>
        <v>46113</v>
      </c>
      <c r="I106" t="str">
        <f>IF($G106="","Uncategorized — Review",IFERROR(_xlfn.XLOOKUP($G106,Mapping!$A:$A,Mapping!$B:$B),"Uncategorized — Review"))</f>
        <v>Office/Miscellaneous Reimbursement - Mike P.</v>
      </c>
      <c r="J106" t="str">
        <f>IF($G106="","Uncategorized — Review",IFERROR(_xlfn.XLOOKUP($G106,Mapping!$A:$A,Mapping!$C:$C),"Uncategorized — Review"))</f>
        <v>Payroll &amp; Contractors</v>
      </c>
    </row>
    <row r="107" spans="1:10" x14ac:dyDescent="0.25">
      <c r="A107" t="str">
        <f>'2026_Chase9335_Activity_2026062'!A107</f>
        <v>DEBIT</v>
      </c>
      <c r="B107" s="1">
        <f>'2026_Chase9335_Activity_2026062'!B107</f>
        <v>46140</v>
      </c>
      <c r="C107" t="str">
        <f>'2026_Chase9335_Activity_2026062'!C107</f>
        <v>Amazon.com*BS08X3TK0 Amzn.com/bill WA        04/28</v>
      </c>
      <c r="D107" s="5">
        <f>'2026_Chase9335_Activity_2026062'!D107</f>
        <v>-42</v>
      </c>
      <c r="E107" t="str">
        <f>'2026_Chase9335_Activity_2026062'!E107</f>
        <v>DEBIT_CARD</v>
      </c>
      <c r="F107" s="5">
        <f>'2026_Chase9335_Activity_2026062'!F107</f>
        <v>261024.68</v>
      </c>
      <c r="G107" t="str">
        <f>'2026_Chase9335_Activity_2026062'!G107</f>
        <v>Amazon</v>
      </c>
      <c r="H107" s="4">
        <f t="shared" si="1"/>
        <v>46113</v>
      </c>
      <c r="I107" t="str">
        <f>IF($G107="","Uncategorized — Review",IFERROR(_xlfn.XLOOKUP($G107,Mapping!$A:$A,Mapping!$B:$B),"Uncategorized — Review"))</f>
        <v>Amazon</v>
      </c>
      <c r="J107" t="str">
        <f>IF($G107="","Uncategorized — Review",IFERROR(_xlfn.XLOOKUP($G107,Mapping!$A:$A,Mapping!$C:$C),"Uncategorized — Review"))</f>
        <v>Personal — Owner</v>
      </c>
    </row>
    <row r="108" spans="1:10" x14ac:dyDescent="0.25">
      <c r="A108" t="str">
        <f>'2026_Chase9335_Activity_2026062'!A108</f>
        <v>DEBIT</v>
      </c>
      <c r="B108" s="1">
        <f>'2026_Chase9335_Activity_2026062'!B108</f>
        <v>46140</v>
      </c>
      <c r="C108" t="str">
        <f>'2026_Chase9335_Activity_2026062'!C108</f>
        <v>Amazon.com*BS8ZM8A30 Amzn.com/bill WA        04/28</v>
      </c>
      <c r="D108" s="5">
        <f>'2026_Chase9335_Activity_2026062'!D108</f>
        <v>-9.24</v>
      </c>
      <c r="E108" t="str">
        <f>'2026_Chase9335_Activity_2026062'!E108</f>
        <v>DEBIT_CARD</v>
      </c>
      <c r="F108" s="5">
        <f>'2026_Chase9335_Activity_2026062'!F108</f>
        <v>261066.68</v>
      </c>
      <c r="G108" t="str">
        <f>'2026_Chase9335_Activity_2026062'!G108</f>
        <v>Amazon</v>
      </c>
      <c r="H108" s="4">
        <f t="shared" si="1"/>
        <v>46113</v>
      </c>
      <c r="I108" t="str">
        <f>IF($G108="","Uncategorized — Review",IFERROR(_xlfn.XLOOKUP($G108,Mapping!$A:$A,Mapping!$B:$B),"Uncategorized — Review"))</f>
        <v>Amazon</v>
      </c>
      <c r="J108" t="str">
        <f>IF($G108="","Uncategorized — Review",IFERROR(_xlfn.XLOOKUP($G108,Mapping!$A:$A,Mapping!$C:$C),"Uncategorized — Review"))</f>
        <v>Personal — Owner</v>
      </c>
    </row>
    <row r="109" spans="1:10" x14ac:dyDescent="0.25">
      <c r="A109" t="str">
        <f>'2026_Chase9335_Activity_2026062'!A109</f>
        <v>DEBIT</v>
      </c>
      <c r="B109" s="1">
        <f>'2026_Chase9335_Activity_2026062'!B109</f>
        <v>46140</v>
      </c>
      <c r="C109" t="str">
        <f>'2026_Chase9335_Activity_2026062'!C109</f>
        <v>Amazon.com*BJ2ZZ3YC2 Amzn.com/bill WA        04/28</v>
      </c>
      <c r="D109" s="5">
        <f>'2026_Chase9335_Activity_2026062'!D109</f>
        <v>-31.88</v>
      </c>
      <c r="E109" t="str">
        <f>'2026_Chase9335_Activity_2026062'!E109</f>
        <v>DEBIT_CARD</v>
      </c>
      <c r="F109" s="5">
        <f>'2026_Chase9335_Activity_2026062'!F109</f>
        <v>261075.92</v>
      </c>
      <c r="G109" t="str">
        <f>'2026_Chase9335_Activity_2026062'!G109</f>
        <v>Amazon</v>
      </c>
      <c r="H109" s="4">
        <f t="shared" si="1"/>
        <v>46113</v>
      </c>
      <c r="I109" t="str">
        <f>IF($G109="","Uncategorized — Review",IFERROR(_xlfn.XLOOKUP($G109,Mapping!$A:$A,Mapping!$B:$B),"Uncategorized — Review"))</f>
        <v>Amazon</v>
      </c>
      <c r="J109" t="str">
        <f>IF($G109="","Uncategorized — Review",IFERROR(_xlfn.XLOOKUP($G109,Mapping!$A:$A,Mapping!$C:$C),"Uncategorized — Review"))</f>
        <v>Personal — Owner</v>
      </c>
    </row>
    <row r="110" spans="1:10" x14ac:dyDescent="0.25">
      <c r="A110" t="str">
        <f>'2026_Chase9335_Activity_2026062'!A110</f>
        <v>DEBIT</v>
      </c>
      <c r="B110" s="1">
        <f>'2026_Chase9335_Activity_2026062'!B110</f>
        <v>46139</v>
      </c>
      <c r="C110" t="str">
        <f>'2026_Chase9335_Activity_2026062'!C110</f>
        <v>ONLINE DOMESTIC WIRE FEE</v>
      </c>
      <c r="D110" s="5">
        <f>'2026_Chase9335_Activity_2026062'!D110</f>
        <v>-25</v>
      </c>
      <c r="E110" t="str">
        <f>'2026_Chase9335_Activity_2026062'!E110</f>
        <v>FEE_TRANSACTION</v>
      </c>
      <c r="F110" s="5">
        <f>'2026_Chase9335_Activity_2026062'!F110</f>
        <v>261107.8</v>
      </c>
      <c r="G110" t="str">
        <f>'2026_Chase9335_Activity_2026062'!G110</f>
        <v>Wire Fee</v>
      </c>
      <c r="H110" s="4">
        <f t="shared" si="1"/>
        <v>46113</v>
      </c>
      <c r="I110" t="str">
        <f>IF($G110="","Uncategorized — Review",IFERROR(_xlfn.XLOOKUP($G110,Mapping!$A:$A,Mapping!$B:$B),"Uncategorized — Review"))</f>
        <v>Wire Fee</v>
      </c>
      <c r="J110" t="str">
        <f>IF($G110="","Uncategorized — Review",IFERROR(_xlfn.XLOOKUP($G110,Mapping!$A:$A,Mapping!$C:$C),"Uncategorized — Review"))</f>
        <v>DWG Operating</v>
      </c>
    </row>
    <row r="111" spans="1:10" x14ac:dyDescent="0.25">
      <c r="A111" t="str">
        <f>'2026_Chase9335_Activity_2026062'!A111</f>
        <v>DEBIT</v>
      </c>
      <c r="B111" s="1">
        <f>'2026_Chase9335_Activity_2026062'!B111</f>
        <v>46139</v>
      </c>
      <c r="C111" t="str">
        <f>'2026_Chase9335_Activity_2026062'!C111</f>
        <v>ORIG CO NAME:AMERICAN EXPRESS       ORIG ID:2005032111 DESC DATE:260427 CO ENTRY DESCR:ACH PMT   SEC:CCD    TRACE#:021000022351479 EED:260427   IND ID:W0388                        IND NAME:JOHN DUNNING                                                                                                 ER AM TRN: 1172351479TC</v>
      </c>
      <c r="D111" s="5">
        <f>'2026_Chase9335_Activity_2026062'!D111</f>
        <v>-429.22</v>
      </c>
      <c r="E111" t="str">
        <f>'2026_Chase9335_Activity_2026062'!E111</f>
        <v>ACH_DEBIT</v>
      </c>
      <c r="F111" s="5">
        <f>'2026_Chase9335_Activity_2026062'!F111</f>
        <v>261132.79999999999</v>
      </c>
      <c r="G111" t="str">
        <f>'2026_Chase9335_Activity_2026062'!G111</f>
        <v>American Express Credit Card PMT</v>
      </c>
      <c r="H111" s="4">
        <f t="shared" si="1"/>
        <v>46113</v>
      </c>
      <c r="I111" t="str">
        <f>IF($G111="","Uncategorized — Review",IFERROR(_xlfn.XLOOKUP($G111,Mapping!$A:$A,Mapping!$B:$B),"Uncategorized — Review"))</f>
        <v>American Express Credit Card PMT</v>
      </c>
      <c r="J111" t="str">
        <f>IF($G111="","Uncategorized — Review",IFERROR(_xlfn.XLOOKUP($G111,Mapping!$A:$A,Mapping!$C:$C),"Uncategorized — Review"))</f>
        <v>Credit Card &amp; Loan Payments</v>
      </c>
    </row>
    <row r="112" spans="1:10" x14ac:dyDescent="0.25">
      <c r="A112" t="str">
        <f>'2026_Chase9335_Activity_2026062'!A112</f>
        <v>DEBIT</v>
      </c>
      <c r="B112" s="1">
        <f>'2026_Chase9335_Activity_2026062'!B112</f>
        <v>46139</v>
      </c>
      <c r="C112" t="str">
        <f>'2026_Chase9335_Activity_2026062'!C112</f>
        <v>ORIG CO NAME:AMERICAN EXPRESS       ORIG ID:2005032111 DESC DATE:260427 CO ENTRY DESCR:ACH PMT   SEC:CCD    TRACE#:021000022351611 EED:260427   IND ID:W9466                        IND NAME:JOHN DUNNING                                                                                                 ER AM TRN: 1172351611TC</v>
      </c>
      <c r="D112" s="5">
        <f>'2026_Chase9335_Activity_2026062'!D112</f>
        <v>-2586.23</v>
      </c>
      <c r="E112" t="str">
        <f>'2026_Chase9335_Activity_2026062'!E112</f>
        <v>ACH_DEBIT</v>
      </c>
      <c r="F112" s="5">
        <f>'2026_Chase9335_Activity_2026062'!F112</f>
        <v>261562.02</v>
      </c>
      <c r="G112" t="str">
        <f>'2026_Chase9335_Activity_2026062'!G112</f>
        <v>American Express Credit Card PMT</v>
      </c>
      <c r="H112" s="4">
        <f t="shared" si="1"/>
        <v>46113</v>
      </c>
      <c r="I112" t="str">
        <f>IF($G112="","Uncategorized — Review",IFERROR(_xlfn.XLOOKUP($G112,Mapping!$A:$A,Mapping!$B:$B),"Uncategorized — Review"))</f>
        <v>American Express Credit Card PMT</v>
      </c>
      <c r="J112" t="str">
        <f>IF($G112="","Uncategorized — Review",IFERROR(_xlfn.XLOOKUP($G112,Mapping!$A:$A,Mapping!$C:$C),"Uncategorized — Review"))</f>
        <v>Credit Card &amp; Loan Payments</v>
      </c>
    </row>
    <row r="113" spans="1:10" x14ac:dyDescent="0.25">
      <c r="A113" t="str">
        <f>'2026_Chase9335_Activity_2026062'!A113</f>
        <v>DEBIT</v>
      </c>
      <c r="B113" s="1">
        <f>'2026_Chase9335_Activity_2026062'!B113</f>
        <v>46139</v>
      </c>
      <c r="C113" t="str">
        <f>'2026_Chase9335_Activity_2026062'!C113</f>
        <v>ORIG CO NAME:AMERICAN EXPRESS       ORIG ID:2005032111 DESC DATE:260427 CO ENTRY DESCR:ACH PMT   SEC:CCD    TRACE#:021000022351689 EED:260427   IND ID:W2230                        IND NAME:JOHN DUNNING                                                                                                 ER AM TRN: 1172351689TC</v>
      </c>
      <c r="D113" s="5">
        <f>'2026_Chase9335_Activity_2026062'!D113</f>
        <v>-11412.36</v>
      </c>
      <c r="E113" t="str">
        <f>'2026_Chase9335_Activity_2026062'!E113</f>
        <v>ACH_DEBIT</v>
      </c>
      <c r="F113" s="5">
        <f>'2026_Chase9335_Activity_2026062'!F113</f>
        <v>264148.25</v>
      </c>
      <c r="G113" t="str">
        <f>'2026_Chase9335_Activity_2026062'!G113</f>
        <v>American Express Credit Card PMT</v>
      </c>
      <c r="H113" s="4">
        <f t="shared" si="1"/>
        <v>46113</v>
      </c>
      <c r="I113" t="str">
        <f>IF($G113="","Uncategorized — Review",IFERROR(_xlfn.XLOOKUP($G113,Mapping!$A:$A,Mapping!$B:$B),"Uncategorized — Review"))</f>
        <v>American Express Credit Card PMT</v>
      </c>
      <c r="J113" t="str">
        <f>IF($G113="","Uncategorized — Review",IFERROR(_xlfn.XLOOKUP($G113,Mapping!$A:$A,Mapping!$C:$C),"Uncategorized — Review"))</f>
        <v>Credit Card &amp; Loan Payments</v>
      </c>
    </row>
    <row r="114" spans="1:10" x14ac:dyDescent="0.25">
      <c r="A114" t="str">
        <f>'2026_Chase9335_Activity_2026062'!A114</f>
        <v>DEBIT</v>
      </c>
      <c r="B114" s="1">
        <f>'2026_Chase9335_Activity_2026062'!B114</f>
        <v>46139</v>
      </c>
      <c r="C114" t="str">
        <f>'2026_Chase9335_Activity_2026062'!C114</f>
        <v>Zelle payment to Meg Maran JPM99cet7m9w</v>
      </c>
      <c r="D114" s="5">
        <f>'2026_Chase9335_Activity_2026062'!D114</f>
        <v>-1500</v>
      </c>
      <c r="E114" t="str">
        <f>'2026_Chase9335_Activity_2026062'!E114</f>
        <v>CHASE_TO_PARTNERFI</v>
      </c>
      <c r="F114" s="5">
        <f>'2026_Chase9335_Activity_2026062'!F114</f>
        <v>275560.61</v>
      </c>
      <c r="G114" t="str">
        <f>'2026_Chase9335_Activity_2026062'!G114</f>
        <v>Meg Maran - MDC Commission</v>
      </c>
      <c r="H114" s="4">
        <f t="shared" si="1"/>
        <v>46113</v>
      </c>
      <c r="I114" t="str">
        <f>IF($G114="","Uncategorized — Review",IFERROR(_xlfn.XLOOKUP($G114,Mapping!$A:$A,Mapping!$B:$B),"Uncategorized — Review"))</f>
        <v>Meg Maran - MDC Commission</v>
      </c>
      <c r="J114" t="str">
        <f>IF($G114="","Uncategorized — Review",IFERROR(_xlfn.XLOOKUP($G114,Mapping!$A:$A,Mapping!$C:$C),"Uncategorized — Review"))</f>
        <v>Commissions — Outgoing</v>
      </c>
    </row>
    <row r="115" spans="1:10" x14ac:dyDescent="0.25">
      <c r="A115" t="str">
        <f>'2026_Chase9335_Activity_2026062'!A115</f>
        <v>DEBIT</v>
      </c>
      <c r="B115" s="1">
        <f>'2026_Chase9335_Activity_2026062'!B115</f>
        <v>46139</v>
      </c>
      <c r="C115" t="str">
        <f>'2026_Chase9335_Activity_2026062'!C115</f>
        <v>ONLINE DOMESTIC WIRE TRANSFER VIA: WELLS FARGO NA/121000248 A/C: KEVIN WONG HAWTHORNE CA 90250 US REF: .33/SPF/TIME/21:49 IMAD: 0427MMQFMP2N036899 TRN: 3918486117ES 04/27</v>
      </c>
      <c r="D115" s="5">
        <f>'2026_Chase9335_Activity_2026062'!D115</f>
        <v>-16087.5</v>
      </c>
      <c r="E115" t="str">
        <f>'2026_Chase9335_Activity_2026062'!E115</f>
        <v>WIRE_OUTGOING</v>
      </c>
      <c r="F115" s="5">
        <f>'2026_Chase9335_Activity_2026062'!F115</f>
        <v>277060.61</v>
      </c>
      <c r="G115" t="str">
        <f>'2026_Chase9335_Activity_2026062'!G115</f>
        <v>Kevin Wong Commission (SPF)</v>
      </c>
      <c r="H115" s="4">
        <f t="shared" si="1"/>
        <v>46113</v>
      </c>
      <c r="I115" t="str">
        <f>IF($G115="","Uncategorized — Review",IFERROR(_xlfn.XLOOKUP($G115,Mapping!$A:$A,Mapping!$B:$B),"Uncategorized — Review"))</f>
        <v>Kevin Wong Commission (SPF)</v>
      </c>
      <c r="J115" t="str">
        <f>IF($G115="","Uncategorized — Review",IFERROR(_xlfn.XLOOKUP($G115,Mapping!$A:$A,Mapping!$C:$C),"Uncategorized — Review"))</f>
        <v>Commissions — Outgoing</v>
      </c>
    </row>
    <row r="116" spans="1:10" x14ac:dyDescent="0.25">
      <c r="A116" t="str">
        <f>'2026_Chase9335_Activity_2026062'!A116</f>
        <v>DEBIT</v>
      </c>
      <c r="B116" s="1">
        <f>'2026_Chase9335_Activity_2026062'!B116</f>
        <v>46139</v>
      </c>
      <c r="C116" t="str">
        <f>'2026_Chase9335_Activity_2026062'!C116</f>
        <v>UBER * EATS PENDING SAN FRANCISCO CA 383232  04/27</v>
      </c>
      <c r="D116" s="5">
        <f>'2026_Chase9335_Activity_2026062'!D116</f>
        <v>-21.28</v>
      </c>
      <c r="E116" t="str">
        <f>'2026_Chase9335_Activity_2026062'!E116</f>
        <v>DEBIT_CARD</v>
      </c>
      <c r="F116" s="5">
        <f>'2026_Chase9335_Activity_2026062'!F116</f>
        <v>293148.11</v>
      </c>
      <c r="G116" t="str">
        <f>'2026_Chase9335_Activity_2026062'!G116</f>
        <v>Personal - Food &amp; Dining</v>
      </c>
      <c r="H116" s="4">
        <f t="shared" si="1"/>
        <v>46113</v>
      </c>
      <c r="I116" t="str">
        <f>IF($G116="","Uncategorized — Review",IFERROR(_xlfn.XLOOKUP($G116,Mapping!$A:$A,Mapping!$B:$B),"Uncategorized — Review"))</f>
        <v>Personal - Food &amp; Dining</v>
      </c>
      <c r="J116" t="str">
        <f>IF($G116="","Uncategorized — Review",IFERROR(_xlfn.XLOOKUP($G116,Mapping!$A:$A,Mapping!$C:$C),"Uncategorized — Review"))</f>
        <v>Personal — Owner</v>
      </c>
    </row>
    <row r="117" spans="1:10" x14ac:dyDescent="0.25">
      <c r="A117" t="str">
        <f>'2026_Chase9335_Activity_2026062'!A117</f>
        <v>DEBIT</v>
      </c>
      <c r="B117" s="1">
        <f>'2026_Chase9335_Activity_2026062'!B117</f>
        <v>46139</v>
      </c>
      <c r="C117" t="str">
        <f>'2026_Chase9335_Activity_2026062'!C117</f>
        <v>UBER * EATS PENDING SAN FRANCISCO CA 558712  04/27</v>
      </c>
      <c r="D117" s="5">
        <f>'2026_Chase9335_Activity_2026062'!D117</f>
        <v>-24.74</v>
      </c>
      <c r="E117" t="str">
        <f>'2026_Chase9335_Activity_2026062'!E117</f>
        <v>DEBIT_CARD</v>
      </c>
      <c r="F117" s="5">
        <f>'2026_Chase9335_Activity_2026062'!F117</f>
        <v>293169.39</v>
      </c>
      <c r="G117" t="str">
        <f>'2026_Chase9335_Activity_2026062'!G117</f>
        <v>Personal - Food &amp; Dining</v>
      </c>
      <c r="H117" s="4">
        <f t="shared" si="1"/>
        <v>46113</v>
      </c>
      <c r="I117" t="str">
        <f>IF($G117="","Uncategorized — Review",IFERROR(_xlfn.XLOOKUP($G117,Mapping!$A:$A,Mapping!$B:$B),"Uncategorized — Review"))</f>
        <v>Personal - Food &amp; Dining</v>
      </c>
      <c r="J117" t="str">
        <f>IF($G117="","Uncategorized — Review",IFERROR(_xlfn.XLOOKUP($G117,Mapping!$A:$A,Mapping!$C:$C),"Uncategorized — Review"))</f>
        <v>Personal — Owner</v>
      </c>
    </row>
    <row r="118" spans="1:10" x14ac:dyDescent="0.25">
      <c r="A118" t="str">
        <f>'2026_Chase9335_Activity_2026062'!A118</f>
        <v>DEBIT</v>
      </c>
      <c r="B118" s="1">
        <f>'2026_Chase9335_Activity_2026062'!B118</f>
        <v>46139</v>
      </c>
      <c r="C118" t="str">
        <f>'2026_Chase9335_Activity_2026062'!C118</f>
        <v>APPLE.COM/BILL 866-712-7753 CA               04/26</v>
      </c>
      <c r="D118" s="5">
        <f>'2026_Chase9335_Activity_2026062'!D118</f>
        <v>-30.89</v>
      </c>
      <c r="E118" t="str">
        <f>'2026_Chase9335_Activity_2026062'!E118</f>
        <v>DEBIT_CARD</v>
      </c>
      <c r="F118" s="5">
        <f>'2026_Chase9335_Activity_2026062'!F118</f>
        <v>293194.13</v>
      </c>
      <c r="G118" t="str">
        <f>'2026_Chase9335_Activity_2026062'!G118</f>
        <v>Personal - Subscriptions</v>
      </c>
      <c r="H118" s="4">
        <f t="shared" si="1"/>
        <v>46113</v>
      </c>
      <c r="I118" t="str">
        <f>IF($G118="","Uncategorized — Review",IFERROR(_xlfn.XLOOKUP($G118,Mapping!$A:$A,Mapping!$B:$B),"Uncategorized — Review"))</f>
        <v>Personal - Subscriptions</v>
      </c>
      <c r="J118" t="str">
        <f>IF($G118="","Uncategorized — Review",IFERROR(_xlfn.XLOOKUP($G118,Mapping!$A:$A,Mapping!$C:$C),"Uncategorized — Review"))</f>
        <v>Personal — Owner</v>
      </c>
    </row>
    <row r="119" spans="1:10" x14ac:dyDescent="0.25">
      <c r="A119" t="str">
        <f>'2026_Chase9335_Activity_2026062'!A119</f>
        <v>DEBIT</v>
      </c>
      <c r="B119" s="1">
        <f>'2026_Chase9335_Activity_2026062'!B119</f>
        <v>46136</v>
      </c>
      <c r="C119" t="str">
        <f>'2026_Chase9335_Activity_2026062'!C119</f>
        <v>Amazon.com*BJ19C5EA2 Amzn.com/bill WA        04/23</v>
      </c>
      <c r="D119" s="5">
        <f>'2026_Chase9335_Activity_2026062'!D119</f>
        <v>-29.05</v>
      </c>
      <c r="E119" t="str">
        <f>'2026_Chase9335_Activity_2026062'!E119</f>
        <v>DEBIT_CARD</v>
      </c>
      <c r="F119" s="5">
        <f>'2026_Chase9335_Activity_2026062'!F119</f>
        <v>293225.02</v>
      </c>
      <c r="G119" t="str">
        <f>'2026_Chase9335_Activity_2026062'!G119</f>
        <v>Amazon</v>
      </c>
      <c r="H119" s="4">
        <f t="shared" si="1"/>
        <v>46113</v>
      </c>
      <c r="I119" t="str">
        <f>IF($G119="","Uncategorized — Review",IFERROR(_xlfn.XLOOKUP($G119,Mapping!$A:$A,Mapping!$B:$B),"Uncategorized — Review"))</f>
        <v>Amazon</v>
      </c>
      <c r="J119" t="str">
        <f>IF($G119="","Uncategorized — Review",IFERROR(_xlfn.XLOOKUP($G119,Mapping!$A:$A,Mapping!$C:$C),"Uncategorized — Review"))</f>
        <v>Personal — Owner</v>
      </c>
    </row>
    <row r="120" spans="1:10" x14ac:dyDescent="0.25">
      <c r="A120" t="str">
        <f>'2026_Chase9335_Activity_2026062'!A120</f>
        <v>DEBIT</v>
      </c>
      <c r="B120" s="1">
        <f>'2026_Chase9335_Activity_2026062'!B120</f>
        <v>46136</v>
      </c>
      <c r="C120" t="str">
        <f>'2026_Chase9335_Activity_2026062'!C120</f>
        <v>Amazon.com*BY2KP8HF0 Amzn.com/bill WA        04/23</v>
      </c>
      <c r="D120" s="5">
        <f>'2026_Chase9335_Activity_2026062'!D120</f>
        <v>-16.28</v>
      </c>
      <c r="E120" t="str">
        <f>'2026_Chase9335_Activity_2026062'!E120</f>
        <v>DEBIT_CARD</v>
      </c>
      <c r="F120" s="5">
        <f>'2026_Chase9335_Activity_2026062'!F120</f>
        <v>293254.07</v>
      </c>
      <c r="G120" t="str">
        <f>'2026_Chase9335_Activity_2026062'!G120</f>
        <v>Amazon</v>
      </c>
      <c r="H120" s="4">
        <f t="shared" si="1"/>
        <v>46113</v>
      </c>
      <c r="I120" t="str">
        <f>IF($G120="","Uncategorized — Review",IFERROR(_xlfn.XLOOKUP($G120,Mapping!$A:$A,Mapping!$B:$B),"Uncategorized — Review"))</f>
        <v>Amazon</v>
      </c>
      <c r="J120" t="str">
        <f>IF($G120="","Uncategorized — Review",IFERROR(_xlfn.XLOOKUP($G120,Mapping!$A:$A,Mapping!$C:$C),"Uncategorized — Review"))</f>
        <v>Personal — Owner</v>
      </c>
    </row>
    <row r="121" spans="1:10" x14ac:dyDescent="0.25">
      <c r="A121" t="str">
        <f>'2026_Chase9335_Activity_2026062'!A121</f>
        <v>CREDIT</v>
      </c>
      <c r="B121" s="1">
        <f>'2026_Chase9335_Activity_2026062'!B121</f>
        <v>46136</v>
      </c>
      <c r="C121" t="str">
        <f>'2026_Chase9335_Activity_2026062'!C121</f>
        <v>Online Transfer from CHK ...9816 transaction#: 28953813748</v>
      </c>
      <c r="D121" s="5">
        <f>'2026_Chase9335_Activity_2026062'!D121</f>
        <v>11450</v>
      </c>
      <c r="E121" t="str">
        <f>'2026_Chase9335_Activity_2026062'!E121</f>
        <v>ACCT_XFER</v>
      </c>
      <c r="F121" s="5">
        <f>'2026_Chase9335_Activity_2026062'!F121</f>
        <v>293270.34999999998</v>
      </c>
      <c r="G121" t="str">
        <f>'2026_Chase9335_Activity_2026062'!G121</f>
        <v>Transfer From SPF</v>
      </c>
      <c r="H121" s="4">
        <f t="shared" si="1"/>
        <v>46113</v>
      </c>
      <c r="I121" t="str">
        <f>IF($G121="","Uncategorized — Review",IFERROR(_xlfn.XLOOKUP($G121,Mapping!$A:$A,Mapping!$B:$B),"Uncategorized — Review"))</f>
        <v>Transfer From SPF</v>
      </c>
      <c r="J121" t="str">
        <f>IF($G121="","Uncategorized — Review",IFERROR(_xlfn.XLOOKUP($G121,Mapping!$A:$A,Mapping!$C:$C),"Uncategorized — Review"))</f>
        <v>Intercompany &amp; Savings Transfers</v>
      </c>
    </row>
    <row r="122" spans="1:10" x14ac:dyDescent="0.25">
      <c r="A122" t="str">
        <f>'2026_Chase9335_Activity_2026062'!A122</f>
        <v>DEBIT</v>
      </c>
      <c r="B122" s="1">
        <f>'2026_Chase9335_Activity_2026062'!B122</f>
        <v>46135</v>
      </c>
      <c r="C122" t="str">
        <f>'2026_Chase9335_Activity_2026062'!C122</f>
        <v>DOMESTIC INCOMING WIRE FEE</v>
      </c>
      <c r="D122" s="5">
        <f>'2026_Chase9335_Activity_2026062'!D122</f>
        <v>-15</v>
      </c>
      <c r="E122" t="str">
        <f>'2026_Chase9335_Activity_2026062'!E122</f>
        <v>FEE_TRANSACTION</v>
      </c>
      <c r="F122" s="5">
        <f>'2026_Chase9335_Activity_2026062'!F122</f>
        <v>281820.34999999998</v>
      </c>
      <c r="G122" t="str">
        <f>'2026_Chase9335_Activity_2026062'!G122</f>
        <v>Wire Fee</v>
      </c>
      <c r="H122" s="4">
        <f t="shared" si="1"/>
        <v>46113</v>
      </c>
      <c r="I122" t="str">
        <f>IF($G122="","Uncategorized — Review",IFERROR(_xlfn.XLOOKUP($G122,Mapping!$A:$A,Mapping!$B:$B),"Uncategorized — Review"))</f>
        <v>Wire Fee</v>
      </c>
      <c r="J122" t="str">
        <f>IF($G122="","Uncategorized — Review",IFERROR(_xlfn.XLOOKUP($G122,Mapping!$A:$A,Mapping!$C:$C),"Uncategorized — Review"))</f>
        <v>DWG Operating</v>
      </c>
    </row>
    <row r="123" spans="1:10" x14ac:dyDescent="0.25">
      <c r="A123" t="str">
        <f>'2026_Chase9335_Activity_2026062'!A123</f>
        <v>DEBIT</v>
      </c>
      <c r="B123" s="1">
        <f>'2026_Chase9335_Activity_2026062'!B123</f>
        <v>46135</v>
      </c>
      <c r="C123" t="str">
        <f>'2026_Chase9335_Activity_2026062'!C123</f>
        <v>DOMESTIC INCOMING WIRE FEE</v>
      </c>
      <c r="D123" s="5">
        <f>'2026_Chase9335_Activity_2026062'!D123</f>
        <v>-15</v>
      </c>
      <c r="E123" t="str">
        <f>'2026_Chase9335_Activity_2026062'!E123</f>
        <v>FEE_TRANSACTION</v>
      </c>
      <c r="F123" s="5">
        <f>'2026_Chase9335_Activity_2026062'!F123</f>
        <v>281835.34999999998</v>
      </c>
      <c r="G123" t="str">
        <f>'2026_Chase9335_Activity_2026062'!G123</f>
        <v>Wire Fee</v>
      </c>
      <c r="H123" s="4">
        <f t="shared" si="1"/>
        <v>46113</v>
      </c>
      <c r="I123" t="str">
        <f>IF($G123="","Uncategorized — Review",IFERROR(_xlfn.XLOOKUP($G123,Mapping!$A:$A,Mapping!$B:$B),"Uncategorized — Review"))</f>
        <v>Wire Fee</v>
      </c>
      <c r="J123" t="str">
        <f>IF($G123="","Uncategorized — Review",IFERROR(_xlfn.XLOOKUP($G123,Mapping!$A:$A,Mapping!$C:$C),"Uncategorized — Review"))</f>
        <v>DWG Operating</v>
      </c>
    </row>
    <row r="124" spans="1:10" x14ac:dyDescent="0.25">
      <c r="A124" t="str">
        <f>'2026_Chase9335_Activity_2026062'!A124</f>
        <v>DEBIT</v>
      </c>
      <c r="B124" s="1">
        <f>'2026_Chase9335_Activity_2026062'!B124</f>
        <v>46135</v>
      </c>
      <c r="C124" t="str">
        <f>'2026_Chase9335_Activity_2026062'!C124</f>
        <v>DOMESTIC INCOMING WIRE FEE</v>
      </c>
      <c r="D124" s="5">
        <f>'2026_Chase9335_Activity_2026062'!D124</f>
        <v>-15</v>
      </c>
      <c r="E124" t="str">
        <f>'2026_Chase9335_Activity_2026062'!E124</f>
        <v>FEE_TRANSACTION</v>
      </c>
      <c r="F124" s="5">
        <f>'2026_Chase9335_Activity_2026062'!F124</f>
        <v>281850.34999999998</v>
      </c>
      <c r="G124" t="str">
        <f>'2026_Chase9335_Activity_2026062'!G124</f>
        <v>Wire Fee</v>
      </c>
      <c r="H124" s="4">
        <f t="shared" si="1"/>
        <v>46113</v>
      </c>
      <c r="I124" t="str">
        <f>IF($G124="","Uncategorized — Review",IFERROR(_xlfn.XLOOKUP($G124,Mapping!$A:$A,Mapping!$B:$B),"Uncategorized — Review"))</f>
        <v>Wire Fee</v>
      </c>
      <c r="J124" t="str">
        <f>IF($G124="","Uncategorized — Review",IFERROR(_xlfn.XLOOKUP($G124,Mapping!$A:$A,Mapping!$C:$C),"Uncategorized — Review"))</f>
        <v>DWG Operating</v>
      </c>
    </row>
    <row r="125" spans="1:10" x14ac:dyDescent="0.25">
      <c r="A125" t="str">
        <f>'2026_Chase9335_Activity_2026062'!A125</f>
        <v>DEBIT</v>
      </c>
      <c r="B125" s="1">
        <f>'2026_Chase9335_Activity_2026062'!B125</f>
        <v>46135</v>
      </c>
      <c r="C125" t="str">
        <f>'2026_Chase9335_Activity_2026062'!C125</f>
        <v>Online Transfer to CHK ...1168 transaction#: 28931902991 04/23</v>
      </c>
      <c r="D125" s="5">
        <f>'2026_Chase9335_Activity_2026062'!D125</f>
        <v>-15000</v>
      </c>
      <c r="E125" t="str">
        <f>'2026_Chase9335_Activity_2026062'!E125</f>
        <v>ACCT_XFER</v>
      </c>
      <c r="F125" s="5">
        <f>'2026_Chase9335_Activity_2026062'!F125</f>
        <v>281865.34999999998</v>
      </c>
      <c r="G125" t="str">
        <f>'2026_Chase9335_Activity_2026062'!G125</f>
        <v>Transfer to DWG Capital Group</v>
      </c>
      <c r="H125" s="4">
        <f t="shared" si="1"/>
        <v>46113</v>
      </c>
      <c r="I125" t="str">
        <f>IF($G125="","Uncategorized — Review",IFERROR(_xlfn.XLOOKUP($G125,Mapping!$A:$A,Mapping!$B:$B),"Uncategorized — Review"))</f>
        <v>Transfer to DWG Capital Group</v>
      </c>
      <c r="J125" t="str">
        <f>IF($G125="","Uncategorized — Review",IFERROR(_xlfn.XLOOKUP($G125,Mapping!$A:$A,Mapping!$C:$C),"Uncategorized — Review"))</f>
        <v>Intercompany &amp; Savings Transfers</v>
      </c>
    </row>
    <row r="126" spans="1:10" x14ac:dyDescent="0.25">
      <c r="A126" t="str">
        <f>'2026_Chase9335_Activity_2026062'!A126</f>
        <v>DEBIT</v>
      </c>
      <c r="B126" s="1">
        <f>'2026_Chase9335_Activity_2026062'!B126</f>
        <v>46135</v>
      </c>
      <c r="C126" t="str">
        <f>'2026_Chase9335_Activity_2026062'!C126</f>
        <v>UBER   * EATS PENDIN SAN FRANCISCO CA078563  04/22</v>
      </c>
      <c r="D126" s="5">
        <f>'2026_Chase9335_Activity_2026062'!D126</f>
        <v>-87.42</v>
      </c>
      <c r="E126" t="str">
        <f>'2026_Chase9335_Activity_2026062'!E126</f>
        <v>DEBIT_CARD</v>
      </c>
      <c r="F126" s="5">
        <f>'2026_Chase9335_Activity_2026062'!F126</f>
        <v>296865.34999999998</v>
      </c>
      <c r="G126" t="str">
        <f>'2026_Chase9335_Activity_2026062'!G126</f>
        <v>Personal - Car</v>
      </c>
      <c r="H126" s="4">
        <f t="shared" si="1"/>
        <v>46113</v>
      </c>
      <c r="I126" t="str">
        <f>IF($G126="","Uncategorized — Review",IFERROR(_xlfn.XLOOKUP($G126,Mapping!$A:$A,Mapping!$B:$B),"Uncategorized — Review"))</f>
        <v>Personal - Car &amp; Auto</v>
      </c>
      <c r="J126" t="str">
        <f>IF($G126="","Uncategorized — Review",IFERROR(_xlfn.XLOOKUP($G126,Mapping!$A:$A,Mapping!$C:$C),"Uncategorized — Review"))</f>
        <v>Personal — Owner</v>
      </c>
    </row>
    <row r="127" spans="1:10" x14ac:dyDescent="0.25">
      <c r="A127" t="str">
        <f>'2026_Chase9335_Activity_2026062'!A127</f>
        <v>CREDIT</v>
      </c>
      <c r="B127" s="1">
        <f>'2026_Chase9335_Activity_2026062'!B127</f>
        <v>46135</v>
      </c>
      <c r="C127" t="str">
        <f>'2026_Chase9335_Activity_2026062'!C127</f>
        <v>FEDWIRE CREDIT VIA: BANK OF AMERICA, N.A./026009593 B/O: CT SOCAL COMM FBSC/CT BS FXBC RIVERSIDE CA 92505 REF: CHASE NYC/CTR/BNF=POSEIDON ASSET GROUP, LLC LOS ANGELES CA 90066-3638 US/AC-000000007200 RFB=NOTPROVIDED OBI=/URI/FN-FBSC2602503 LOAN GUARAN TEE F/EE- SPF INDUSTRIAL PARTNERS, LLC/PROPA DDR-232 H IMAD: 0423B6B7HU2R014386 TRN: 0780111113FF</v>
      </c>
      <c r="D127" s="5">
        <f>'2026_Chase9335_Activity_2026062'!D127</f>
        <v>23139.439999999999</v>
      </c>
      <c r="E127" t="str">
        <f>'2026_Chase9335_Activity_2026062'!E127</f>
        <v>WIRE_INCOMING</v>
      </c>
      <c r="F127" s="5">
        <f>'2026_Chase9335_Activity_2026062'!F127</f>
        <v>296952.77</v>
      </c>
      <c r="G127" t="str">
        <f>'2026_Chase9335_Activity_2026062'!G127</f>
        <v>Incoming Commission: SPF</v>
      </c>
      <c r="H127" s="4">
        <f t="shared" si="1"/>
        <v>46113</v>
      </c>
      <c r="I127" t="str">
        <f>IF($G127="","Uncategorized — Review",IFERROR(_xlfn.XLOOKUP($G127,Mapping!$A:$A,Mapping!$B:$B),"Uncategorized — Review"))</f>
        <v>Incoming Commission: SPF</v>
      </c>
      <c r="J127" t="str">
        <f>IF($G127="","Uncategorized — Review",IFERROR(_xlfn.XLOOKUP($G127,Mapping!$A:$A,Mapping!$C:$C),"Uncategorized — Review"))</f>
        <v>Commissions — Incoming</v>
      </c>
    </row>
    <row r="128" spans="1:10" x14ac:dyDescent="0.25">
      <c r="A128" t="str">
        <f>'2026_Chase9335_Activity_2026062'!A128</f>
        <v>CREDIT</v>
      </c>
      <c r="B128" s="1">
        <f>'2026_Chase9335_Activity_2026062'!B128</f>
        <v>46135</v>
      </c>
      <c r="C128" t="str">
        <f>'2026_Chase9335_Activity_2026062'!C128</f>
        <v>FEDWIRE CREDIT VIA: BANK OF AMERICA, N.A./026009593 B/O: CT SOCAL COMM FBSC/CT BS FXBC RIVERSIDE CA 92505 REF: CHASE NYC/CTR/BNF=POSEIDON ASSET GROUP, LLC LOS ANGELES CA 90066-3638 US/AC-000000007200 RFB=NOTPROVIDED OBI=/URI/FN-FBSC2602503 LOAN BROKER FEE/SPFINDUSTRIAL PARTNERS, LLC PR OPA/DDR-2 32 HIGHWA IMAD: 0423B6B7HU4R014100 TRN: 0772521113FF</v>
      </c>
      <c r="D128" s="5">
        <f>'2026_Chase9335_Activity_2026062'!D128</f>
        <v>48750</v>
      </c>
      <c r="E128" t="str">
        <f>'2026_Chase9335_Activity_2026062'!E128</f>
        <v>WIRE_INCOMING</v>
      </c>
      <c r="F128" s="5">
        <f>'2026_Chase9335_Activity_2026062'!F128</f>
        <v>273813.33</v>
      </c>
      <c r="G128" t="str">
        <f>'2026_Chase9335_Activity_2026062'!G128</f>
        <v>Incoming Commission: SPF</v>
      </c>
      <c r="H128" s="4">
        <f t="shared" si="1"/>
        <v>46113</v>
      </c>
      <c r="I128" t="str">
        <f>IF($G128="","Uncategorized — Review",IFERROR(_xlfn.XLOOKUP($G128,Mapping!$A:$A,Mapping!$B:$B),"Uncategorized — Review"))</f>
        <v>Incoming Commission: SPF</v>
      </c>
      <c r="J128" t="str">
        <f>IF($G128="","Uncategorized — Review",IFERROR(_xlfn.XLOOKUP($G128,Mapping!$A:$A,Mapping!$C:$C),"Uncategorized — Review"))</f>
        <v>Commissions — Incoming</v>
      </c>
    </row>
    <row r="129" spans="1:10" x14ac:dyDescent="0.25">
      <c r="A129" t="str">
        <f>'2026_Chase9335_Activity_2026062'!A129</f>
        <v>CREDIT</v>
      </c>
      <c r="B129" s="1">
        <f>'2026_Chase9335_Activity_2026062'!B129</f>
        <v>46135</v>
      </c>
      <c r="C129" t="str">
        <f>'2026_Chase9335_Activity_2026062'!C129</f>
        <v>FEDWIRE CREDIT VIA: BANK OF AMERICA, N.A./026009593 B/O: CT SOCAL COMM FBSC/CT BS FXBC RIVERSIDE CA 92505 REF: CHASE NYC/CTR/BNF=POSEIDON ASSET GROUP, LLC LOS ANGELES CA 90066-3638 US/AC-000000007200 RFB=NOTPROVIDED OBI=/URI/FN-FBSC2602503 COMMISSION DUE P/ROPA DDR-232 HIGHWAY 49, BYRO N, G A/31008 IMAD: 0423B6B7HU4R014101 TRN: 0772701113FF</v>
      </c>
      <c r="D129" s="5">
        <f>'2026_Chase9335_Activity_2026062'!D129</f>
        <v>195000</v>
      </c>
      <c r="E129" t="str">
        <f>'2026_Chase9335_Activity_2026062'!E129</f>
        <v>WIRE_INCOMING</v>
      </c>
      <c r="F129" s="5">
        <f>'2026_Chase9335_Activity_2026062'!F129</f>
        <v>225063.33</v>
      </c>
      <c r="G129" t="str">
        <f>'2026_Chase9335_Activity_2026062'!G129</f>
        <v>Incoming Commission: SPF</v>
      </c>
      <c r="H129" s="4">
        <f t="shared" si="1"/>
        <v>46113</v>
      </c>
      <c r="I129" t="str">
        <f>IF($G129="","Uncategorized — Review",IFERROR(_xlfn.XLOOKUP($G129,Mapping!$A:$A,Mapping!$B:$B),"Uncategorized — Review"))</f>
        <v>Incoming Commission: SPF</v>
      </c>
      <c r="J129" t="str">
        <f>IF($G129="","Uncategorized — Review",IFERROR(_xlfn.XLOOKUP($G129,Mapping!$A:$A,Mapping!$C:$C),"Uncategorized — Review"))</f>
        <v>Commissions — Incoming</v>
      </c>
    </row>
    <row r="130" spans="1:10" x14ac:dyDescent="0.25">
      <c r="A130" t="str">
        <f>'2026_Chase9335_Activity_2026062'!A130</f>
        <v>DEBIT</v>
      </c>
      <c r="B130" s="1">
        <f>'2026_Chase9335_Activity_2026062'!B130</f>
        <v>46134</v>
      </c>
      <c r="C130" t="str">
        <f>'2026_Chase9335_Activity_2026062'!C130</f>
        <v>SQ *MVGG RESTAURANT Los Angeles CA           04/21</v>
      </c>
      <c r="D130" s="5">
        <f>'2026_Chase9335_Activity_2026062'!D130</f>
        <v>-46.7</v>
      </c>
      <c r="E130" t="str">
        <f>'2026_Chase9335_Activity_2026062'!E130</f>
        <v>DEBIT_CARD</v>
      </c>
      <c r="F130" s="5">
        <f>'2026_Chase9335_Activity_2026062'!F130</f>
        <v>30063.33</v>
      </c>
      <c r="G130" t="str">
        <f>'2026_Chase9335_Activity_2026062'!G130</f>
        <v>Personal - Food &amp; Dining</v>
      </c>
      <c r="H130" s="4">
        <f t="shared" si="1"/>
        <v>46113</v>
      </c>
      <c r="I130" t="str">
        <f>IF($G130="","Uncategorized — Review",IFERROR(_xlfn.XLOOKUP($G130,Mapping!$A:$A,Mapping!$B:$B),"Uncategorized — Review"))</f>
        <v>Personal - Food &amp; Dining</v>
      </c>
      <c r="J130" t="str">
        <f>IF($G130="","Uncategorized — Review",IFERROR(_xlfn.XLOOKUP($G130,Mapping!$A:$A,Mapping!$C:$C),"Uncategorized — Review"))</f>
        <v>Personal — Owner</v>
      </c>
    </row>
    <row r="131" spans="1:10" x14ac:dyDescent="0.25">
      <c r="A131" t="str">
        <f>'2026_Chase9335_Activity_2026062'!A131</f>
        <v>DEBIT</v>
      </c>
      <c r="B131" s="1">
        <f>'2026_Chase9335_Activity_2026062'!B131</f>
        <v>46134</v>
      </c>
      <c r="C131" t="str">
        <f>'2026_Chase9335_Activity_2026062'!C131</f>
        <v>SQ *ALANA'S COFFEE ROA Los Angeles CA        04/21</v>
      </c>
      <c r="D131" s="5">
        <f>'2026_Chase9335_Activity_2026062'!D131</f>
        <v>-32</v>
      </c>
      <c r="E131" t="str">
        <f>'2026_Chase9335_Activity_2026062'!E131</f>
        <v>DEBIT_CARD</v>
      </c>
      <c r="F131" s="5">
        <f>'2026_Chase9335_Activity_2026062'!F131</f>
        <v>30110.03</v>
      </c>
      <c r="G131" t="str">
        <f>'2026_Chase9335_Activity_2026062'!G131</f>
        <v>Personal - Food &amp; Dining</v>
      </c>
      <c r="H131" s="4">
        <f t="shared" ref="H131:H194" si="2">IF($B131="","",DATE(YEAR($B131),MONTH($B131),1))</f>
        <v>46113</v>
      </c>
      <c r="I131" t="str">
        <f>IF($G131="","Uncategorized — Review",IFERROR(_xlfn.XLOOKUP($G131,Mapping!$A:$A,Mapping!$B:$B),"Uncategorized — Review"))</f>
        <v>Personal - Food &amp; Dining</v>
      </c>
      <c r="J131" t="str">
        <f>IF($G131="","Uncategorized — Review",IFERROR(_xlfn.XLOOKUP($G131,Mapping!$A:$A,Mapping!$C:$C),"Uncategorized — Review"))</f>
        <v>Personal — Owner</v>
      </c>
    </row>
    <row r="132" spans="1:10" x14ac:dyDescent="0.25">
      <c r="A132" t="str">
        <f>'2026_Chase9335_Activity_2026062'!A132</f>
        <v>DEBIT</v>
      </c>
      <c r="B132" s="1">
        <f>'2026_Chase9335_Activity_2026062'!B132</f>
        <v>46134</v>
      </c>
      <c r="C132" t="str">
        <f>'2026_Chase9335_Activity_2026062'!C132</f>
        <v>Amazon.com*BY24P47Q1 Amzn.com/bill WA        04/21</v>
      </c>
      <c r="D132" s="5">
        <f>'2026_Chase9335_Activity_2026062'!D132</f>
        <v>-42</v>
      </c>
      <c r="E132" t="str">
        <f>'2026_Chase9335_Activity_2026062'!E132</f>
        <v>DEBIT_CARD</v>
      </c>
      <c r="F132" s="5">
        <f>'2026_Chase9335_Activity_2026062'!F132</f>
        <v>30142.03</v>
      </c>
      <c r="G132" t="str">
        <f>'2026_Chase9335_Activity_2026062'!G132</f>
        <v>Amazon</v>
      </c>
      <c r="H132" s="4">
        <f t="shared" si="2"/>
        <v>46113</v>
      </c>
      <c r="I132" t="str">
        <f>IF($G132="","Uncategorized — Review",IFERROR(_xlfn.XLOOKUP($G132,Mapping!$A:$A,Mapping!$B:$B),"Uncategorized — Review"))</f>
        <v>Amazon</v>
      </c>
      <c r="J132" t="str">
        <f>IF($G132="","Uncategorized — Review",IFERROR(_xlfn.XLOOKUP($G132,Mapping!$A:$A,Mapping!$C:$C),"Uncategorized — Review"))</f>
        <v>Personal — Owner</v>
      </c>
    </row>
    <row r="133" spans="1:10" x14ac:dyDescent="0.25">
      <c r="A133" t="str">
        <f>'2026_Chase9335_Activity_2026062'!A133</f>
        <v>DEBIT</v>
      </c>
      <c r="B133" s="1">
        <f>'2026_Chase9335_Activity_2026062'!B133</f>
        <v>46133</v>
      </c>
      <c r="C133" t="str">
        <f>'2026_Chase9335_Activity_2026062'!C133</f>
        <v>NETFLIX.COM LOS GATOS CA             025913  04/21</v>
      </c>
      <c r="D133" s="5">
        <f>'2026_Chase9335_Activity_2026062'!D133</f>
        <v>-24.99</v>
      </c>
      <c r="E133" t="str">
        <f>'2026_Chase9335_Activity_2026062'!E133</f>
        <v>DEBIT_CARD</v>
      </c>
      <c r="F133" s="5">
        <f>'2026_Chase9335_Activity_2026062'!F133</f>
        <v>30184.03</v>
      </c>
      <c r="G133" t="str">
        <f>'2026_Chase9335_Activity_2026062'!G133</f>
        <v>Personal - Subscriptions</v>
      </c>
      <c r="H133" s="4">
        <f t="shared" si="2"/>
        <v>46113</v>
      </c>
      <c r="I133" t="str">
        <f>IF($G133="","Uncategorized — Review",IFERROR(_xlfn.XLOOKUP($G133,Mapping!$A:$A,Mapping!$B:$B),"Uncategorized — Review"))</f>
        <v>Personal - Subscriptions</v>
      </c>
      <c r="J133" t="str">
        <f>IF($G133="","Uncategorized — Review",IFERROR(_xlfn.XLOOKUP($G133,Mapping!$A:$A,Mapping!$C:$C),"Uncategorized — Review"))</f>
        <v>Personal — Owner</v>
      </c>
    </row>
    <row r="134" spans="1:10" x14ac:dyDescent="0.25">
      <c r="A134" t="str">
        <f>'2026_Chase9335_Activity_2026062'!A134</f>
        <v>DEBIT</v>
      </c>
      <c r="B134" s="1">
        <f>'2026_Chase9335_Activity_2026062'!B134</f>
        <v>46133</v>
      </c>
      <c r="C134" t="str">
        <f>'2026_Chase9335_Activity_2026062'!C134</f>
        <v>AMAZON MKTPL*BS9XW7U Amzn.com/bill WA        04/20</v>
      </c>
      <c r="D134" s="5">
        <f>'2026_Chase9335_Activity_2026062'!D134</f>
        <v>-65.849999999999994</v>
      </c>
      <c r="E134" t="str">
        <f>'2026_Chase9335_Activity_2026062'!E134</f>
        <v>DEBIT_CARD</v>
      </c>
      <c r="F134" s="5">
        <f>'2026_Chase9335_Activity_2026062'!F134</f>
        <v>30209.02</v>
      </c>
      <c r="G134" t="str">
        <f>'2026_Chase9335_Activity_2026062'!G134</f>
        <v>Amazon</v>
      </c>
      <c r="H134" s="4">
        <f t="shared" si="2"/>
        <v>46113</v>
      </c>
      <c r="I134" t="str">
        <f>IF($G134="","Uncategorized — Review",IFERROR(_xlfn.XLOOKUP($G134,Mapping!$A:$A,Mapping!$B:$B),"Uncategorized — Review"))</f>
        <v>Amazon</v>
      </c>
      <c r="J134" t="str">
        <f>IF($G134="","Uncategorized — Review",IFERROR(_xlfn.XLOOKUP($G134,Mapping!$A:$A,Mapping!$C:$C),"Uncategorized — Review"))</f>
        <v>Personal — Owner</v>
      </c>
    </row>
    <row r="135" spans="1:10" x14ac:dyDescent="0.25">
      <c r="A135" t="str">
        <f>'2026_Chase9335_Activity_2026062'!A135</f>
        <v>DEBIT</v>
      </c>
      <c r="B135" s="1">
        <f>'2026_Chase9335_Activity_2026062'!B135</f>
        <v>46132</v>
      </c>
      <c r="C135" t="str">
        <f>'2026_Chase9335_Activity_2026062'!C135</f>
        <v>ONLINE DOMESTIC WIRE FEE</v>
      </c>
      <c r="D135" s="5">
        <f>'2026_Chase9335_Activity_2026062'!D135</f>
        <v>-25</v>
      </c>
      <c r="E135" t="str">
        <f>'2026_Chase9335_Activity_2026062'!E135</f>
        <v>FEE_TRANSACTION</v>
      </c>
      <c r="F135" s="5">
        <f>'2026_Chase9335_Activity_2026062'!F135</f>
        <v>30274.87</v>
      </c>
      <c r="G135" t="str">
        <f>'2026_Chase9335_Activity_2026062'!G135</f>
        <v>Wire Fee</v>
      </c>
      <c r="H135" s="4">
        <f t="shared" si="2"/>
        <v>46113</v>
      </c>
      <c r="I135" t="str">
        <f>IF($G135="","Uncategorized — Review",IFERROR(_xlfn.XLOOKUP($G135,Mapping!$A:$A,Mapping!$B:$B),"Uncategorized — Review"))</f>
        <v>Wire Fee</v>
      </c>
      <c r="J135" t="str">
        <f>IF($G135="","Uncategorized — Review",IFERROR(_xlfn.XLOOKUP($G135,Mapping!$A:$A,Mapping!$C:$C),"Uncategorized — Review"))</f>
        <v>DWG Operating</v>
      </c>
    </row>
    <row r="136" spans="1:10" x14ac:dyDescent="0.25">
      <c r="A136" t="str">
        <f>'2026_Chase9335_Activity_2026062'!A136</f>
        <v>DEBIT</v>
      </c>
      <c r="B136" s="1">
        <f>'2026_Chase9335_Activity_2026062'!B136</f>
        <v>46132</v>
      </c>
      <c r="C136" t="str">
        <f>'2026_Chase9335_Activity_2026062'!C136</f>
        <v>ONLINE DOMESTIC WIRE TRANSFER A/C: ADMEER ADVISORY, LLC DANA POINT CA 92629-3313 US REF: CANDY BARS TRN: 3786616110ES 04/20</v>
      </c>
      <c r="D136" s="5">
        <f>'2026_Chase9335_Activity_2026062'!D136</f>
        <v>-5000</v>
      </c>
      <c r="E136" t="str">
        <f>'2026_Chase9335_Activity_2026062'!E136</f>
        <v>WIRE_OUTGOING</v>
      </c>
      <c r="F136" s="5">
        <f>'2026_Chase9335_Activity_2026062'!F136</f>
        <v>30299.87</v>
      </c>
      <c r="G136" t="str">
        <f>'2026_Chase9335_Activity_2026062'!G136</f>
        <v>MAG - Admeer Advisory Transfer</v>
      </c>
      <c r="H136" s="4">
        <f t="shared" si="2"/>
        <v>46113</v>
      </c>
      <c r="I136" t="str">
        <f>IF($G136="","Uncategorized — Review",IFERROR(_xlfn.XLOOKUP($G136,Mapping!$A:$A,Mapping!$B:$B),"Uncategorized — Review"))</f>
        <v>MAG - Admeer Advisory Transfer</v>
      </c>
      <c r="J136" t="str">
        <f>IF($G136="","Uncategorized — Review",IFERROR(_xlfn.XLOOKUP($G136,Mapping!$A:$A,Mapping!$C:$C),"Uncategorized — Review"))</f>
        <v>MAG Pass-Through</v>
      </c>
    </row>
    <row r="137" spans="1:10" x14ac:dyDescent="0.25">
      <c r="A137" t="str">
        <f>'2026_Chase9335_Activity_2026062'!A137</f>
        <v>DEBIT</v>
      </c>
      <c r="B137" s="1">
        <f>'2026_Chase9335_Activity_2026062'!B137</f>
        <v>46132</v>
      </c>
      <c r="C137" t="str">
        <f>'2026_Chase9335_Activity_2026062'!C137</f>
        <v>APPLE.COM/BILL 866-712-7753 CA               04/19</v>
      </c>
      <c r="D137" s="5">
        <f>'2026_Chase9335_Activity_2026062'!D137</f>
        <v>-30.89</v>
      </c>
      <c r="E137" t="str">
        <f>'2026_Chase9335_Activity_2026062'!E137</f>
        <v>DEBIT_CARD</v>
      </c>
      <c r="F137" s="5">
        <f>'2026_Chase9335_Activity_2026062'!F137</f>
        <v>35299.870000000003</v>
      </c>
      <c r="G137" t="str">
        <f>'2026_Chase9335_Activity_2026062'!G137</f>
        <v>Personal - Subscriptions</v>
      </c>
      <c r="H137" s="4">
        <f t="shared" si="2"/>
        <v>46113</v>
      </c>
      <c r="I137" t="str">
        <f>IF($G137="","Uncategorized — Review",IFERROR(_xlfn.XLOOKUP($G137,Mapping!$A:$A,Mapping!$B:$B),"Uncategorized — Review"))</f>
        <v>Personal - Subscriptions</v>
      </c>
      <c r="J137" t="str">
        <f>IF($G137="","Uncategorized — Review",IFERROR(_xlfn.XLOOKUP($G137,Mapping!$A:$A,Mapping!$C:$C),"Uncategorized — Review"))</f>
        <v>Personal — Owner</v>
      </c>
    </row>
    <row r="138" spans="1:10" x14ac:dyDescent="0.25">
      <c r="A138" t="str">
        <f>'2026_Chase9335_Activity_2026062'!A138</f>
        <v>DEBIT</v>
      </c>
      <c r="B138" s="1">
        <f>'2026_Chase9335_Activity_2026062'!B138</f>
        <v>46132</v>
      </c>
      <c r="C138" t="str">
        <f>'2026_Chase9335_Activity_2026062'!C138</f>
        <v>UBER   *EATS HELP.UB SAN FRANCISCO CA089708  04/18</v>
      </c>
      <c r="D138" s="5">
        <f>'2026_Chase9335_Activity_2026062'!D138</f>
        <v>-13.13</v>
      </c>
      <c r="E138" t="str">
        <f>'2026_Chase9335_Activity_2026062'!E138</f>
        <v>DEBIT_CARD</v>
      </c>
      <c r="F138" s="5">
        <f>'2026_Chase9335_Activity_2026062'!F138</f>
        <v>35330.76</v>
      </c>
      <c r="G138" t="str">
        <f>'2026_Chase9335_Activity_2026062'!G138</f>
        <v>Personal - Car</v>
      </c>
      <c r="H138" s="4">
        <f t="shared" si="2"/>
        <v>46113</v>
      </c>
      <c r="I138" t="str">
        <f>IF($G138="","Uncategorized — Review",IFERROR(_xlfn.XLOOKUP($G138,Mapping!$A:$A,Mapping!$B:$B),"Uncategorized — Review"))</f>
        <v>Personal - Car &amp; Auto</v>
      </c>
      <c r="J138" t="str">
        <f>IF($G138="","Uncategorized — Review",IFERROR(_xlfn.XLOOKUP($G138,Mapping!$A:$A,Mapping!$C:$C),"Uncategorized — Review"))</f>
        <v>Personal — Owner</v>
      </c>
    </row>
    <row r="139" spans="1:10" x14ac:dyDescent="0.25">
      <c r="A139" t="str">
        <f>'2026_Chase9335_Activity_2026062'!A139</f>
        <v>DEBIT</v>
      </c>
      <c r="B139" s="1">
        <f>'2026_Chase9335_Activity_2026062'!B139</f>
        <v>46132</v>
      </c>
      <c r="C139" t="str">
        <f>'2026_Chase9335_Activity_2026062'!C139</f>
        <v>Kindle Svcs*BS7TA3MK2 888-802-3080 WA        04/18</v>
      </c>
      <c r="D139" s="5">
        <f>'2026_Chase9335_Activity_2026062'!D139</f>
        <v>-10.66</v>
      </c>
      <c r="E139" t="str">
        <f>'2026_Chase9335_Activity_2026062'!E139</f>
        <v>DEBIT_CARD</v>
      </c>
      <c r="F139" s="5">
        <f>'2026_Chase9335_Activity_2026062'!F139</f>
        <v>35343.89</v>
      </c>
      <c r="G139" t="str">
        <f>'2026_Chase9335_Activity_2026062'!G139</f>
        <v>Personal - Subscriptions</v>
      </c>
      <c r="H139" s="4">
        <f t="shared" si="2"/>
        <v>46113</v>
      </c>
      <c r="I139" t="str">
        <f>IF($G139="","Uncategorized — Review",IFERROR(_xlfn.XLOOKUP($G139,Mapping!$A:$A,Mapping!$B:$B),"Uncategorized — Review"))</f>
        <v>Personal - Subscriptions</v>
      </c>
      <c r="J139" t="str">
        <f>IF($G139="","Uncategorized — Review",IFERROR(_xlfn.XLOOKUP($G139,Mapping!$A:$A,Mapping!$C:$C),"Uncategorized — Review"))</f>
        <v>Personal — Owner</v>
      </c>
    </row>
    <row r="140" spans="1:10" x14ac:dyDescent="0.25">
      <c r="A140" t="str">
        <f>'2026_Chase9335_Activity_2026062'!A140</f>
        <v>DEBIT</v>
      </c>
      <c r="B140" s="1">
        <f>'2026_Chase9335_Activity_2026062'!B140</f>
        <v>46132</v>
      </c>
      <c r="C140" t="str">
        <f>'2026_Chase9335_Activity_2026062'!C140</f>
        <v>Amazon.com*BS3C93552 Amzn.com/bill WA        04/18</v>
      </c>
      <c r="D140" s="5">
        <f>'2026_Chase9335_Activity_2026062'!D140</f>
        <v>-26.74</v>
      </c>
      <c r="E140" t="str">
        <f>'2026_Chase9335_Activity_2026062'!E140</f>
        <v>DEBIT_CARD</v>
      </c>
      <c r="F140" s="5">
        <f>'2026_Chase9335_Activity_2026062'!F140</f>
        <v>35354.550000000003</v>
      </c>
      <c r="G140" t="str">
        <f>'2026_Chase9335_Activity_2026062'!G140</f>
        <v>Amazon</v>
      </c>
      <c r="H140" s="4">
        <f t="shared" si="2"/>
        <v>46113</v>
      </c>
      <c r="I140" t="str">
        <f>IF($G140="","Uncategorized — Review",IFERROR(_xlfn.XLOOKUP($G140,Mapping!$A:$A,Mapping!$B:$B),"Uncategorized — Review"))</f>
        <v>Amazon</v>
      </c>
      <c r="J140" t="str">
        <f>IF($G140="","Uncategorized — Review",IFERROR(_xlfn.XLOOKUP($G140,Mapping!$A:$A,Mapping!$C:$C),"Uncategorized — Review"))</f>
        <v>Personal — Owner</v>
      </c>
    </row>
    <row r="141" spans="1:10" x14ac:dyDescent="0.25">
      <c r="A141" t="str">
        <f>'2026_Chase9335_Activity_2026062'!A141</f>
        <v>DEBIT</v>
      </c>
      <c r="B141" s="1">
        <f>'2026_Chase9335_Activity_2026062'!B141</f>
        <v>46132</v>
      </c>
      <c r="C141" t="str">
        <f>'2026_Chase9335_Activity_2026062'!C141</f>
        <v>Amazon.com*BS87K6562 Amzn.com/bill WA        04/18</v>
      </c>
      <c r="D141" s="5">
        <f>'2026_Chase9335_Activity_2026062'!D141</f>
        <v>-24.63</v>
      </c>
      <c r="E141" t="str">
        <f>'2026_Chase9335_Activity_2026062'!E141</f>
        <v>DEBIT_CARD</v>
      </c>
      <c r="F141" s="5">
        <f>'2026_Chase9335_Activity_2026062'!F141</f>
        <v>35381.29</v>
      </c>
      <c r="G141" t="str">
        <f>'2026_Chase9335_Activity_2026062'!G141</f>
        <v>Amazon</v>
      </c>
      <c r="H141" s="4">
        <f t="shared" si="2"/>
        <v>46113</v>
      </c>
      <c r="I141" t="str">
        <f>IF($G141="","Uncategorized — Review",IFERROR(_xlfn.XLOOKUP($G141,Mapping!$A:$A,Mapping!$B:$B),"Uncategorized — Review"))</f>
        <v>Amazon</v>
      </c>
      <c r="J141" t="str">
        <f>IF($G141="","Uncategorized — Review",IFERROR(_xlfn.XLOOKUP($G141,Mapping!$A:$A,Mapping!$C:$C),"Uncategorized — Review"))</f>
        <v>Personal — Owner</v>
      </c>
    </row>
    <row r="142" spans="1:10" x14ac:dyDescent="0.25">
      <c r="A142" t="str">
        <f>'2026_Chase9335_Activity_2026062'!A142</f>
        <v>DEBIT</v>
      </c>
      <c r="B142" s="1">
        <f>'2026_Chase9335_Activity_2026062'!B142</f>
        <v>46129</v>
      </c>
      <c r="C142" t="str">
        <f>'2026_Chase9335_Activity_2026062'!C142</f>
        <v>UBER *EATS SAN FRANCISCO CA          256253  04/17</v>
      </c>
      <c r="D142" s="5">
        <f>'2026_Chase9335_Activity_2026062'!D142</f>
        <v>-13.13</v>
      </c>
      <c r="E142" t="str">
        <f>'2026_Chase9335_Activity_2026062'!E142</f>
        <v>DEBIT_CARD</v>
      </c>
      <c r="F142" s="5">
        <f>'2026_Chase9335_Activity_2026062'!F142</f>
        <v>35405.919999999998</v>
      </c>
      <c r="G142" t="str">
        <f>'2026_Chase9335_Activity_2026062'!G142</f>
        <v>Personal - Food &amp; Dining</v>
      </c>
      <c r="H142" s="4">
        <f t="shared" si="2"/>
        <v>46113</v>
      </c>
      <c r="I142" t="str">
        <f>IF($G142="","Uncategorized — Review",IFERROR(_xlfn.XLOOKUP($G142,Mapping!$A:$A,Mapping!$B:$B),"Uncategorized — Review"))</f>
        <v>Personal - Food &amp; Dining</v>
      </c>
      <c r="J142" t="str">
        <f>IF($G142="","Uncategorized — Review",IFERROR(_xlfn.XLOOKUP($G142,Mapping!$A:$A,Mapping!$C:$C),"Uncategorized — Review"))</f>
        <v>Personal — Owner</v>
      </c>
    </row>
    <row r="143" spans="1:10" x14ac:dyDescent="0.25">
      <c r="A143" t="str">
        <f>'2026_Chase9335_Activity_2026062'!A143</f>
        <v>DEBIT</v>
      </c>
      <c r="B143" s="1">
        <f>'2026_Chase9335_Activity_2026062'!B143</f>
        <v>46129</v>
      </c>
      <c r="C143" t="str">
        <f>'2026_Chase9335_Activity_2026062'!C143</f>
        <v>UBER   * EATS PENDIN SAN FRANCISCO CA146591  04/17</v>
      </c>
      <c r="D143" s="5">
        <f>'2026_Chase9335_Activity_2026062'!D143</f>
        <v>-98.71</v>
      </c>
      <c r="E143" t="str">
        <f>'2026_Chase9335_Activity_2026062'!E143</f>
        <v>DEBIT_CARD</v>
      </c>
      <c r="F143" s="5">
        <f>'2026_Chase9335_Activity_2026062'!F143</f>
        <v>35419.050000000003</v>
      </c>
      <c r="G143" t="str">
        <f>'2026_Chase9335_Activity_2026062'!G143</f>
        <v>Personal - Car</v>
      </c>
      <c r="H143" s="4">
        <f t="shared" si="2"/>
        <v>46113</v>
      </c>
      <c r="I143" t="str">
        <f>IF($G143="","Uncategorized — Review",IFERROR(_xlfn.XLOOKUP($G143,Mapping!$A:$A,Mapping!$B:$B),"Uncategorized — Review"))</f>
        <v>Personal - Car &amp; Auto</v>
      </c>
      <c r="J143" t="str">
        <f>IF($G143="","Uncategorized — Review",IFERROR(_xlfn.XLOOKUP($G143,Mapping!$A:$A,Mapping!$C:$C),"Uncategorized — Review"))</f>
        <v>Personal — Owner</v>
      </c>
    </row>
    <row r="144" spans="1:10" x14ac:dyDescent="0.25">
      <c r="A144" t="str">
        <f>'2026_Chase9335_Activity_2026062'!A144</f>
        <v>DEBIT</v>
      </c>
      <c r="B144" s="1">
        <f>'2026_Chase9335_Activity_2026062'!B144</f>
        <v>46129</v>
      </c>
      <c r="C144" t="str">
        <f>'2026_Chase9335_Activity_2026062'!C144</f>
        <v>Prime Video *BY5AP2OS 888-802-3080 WA        04/17</v>
      </c>
      <c r="D144" s="5">
        <f>'2026_Chase9335_Activity_2026062'!D144</f>
        <v>-8.57</v>
      </c>
      <c r="E144" t="str">
        <f>'2026_Chase9335_Activity_2026062'!E144</f>
        <v>DEBIT_CARD</v>
      </c>
      <c r="F144" s="5">
        <f>'2026_Chase9335_Activity_2026062'!F144</f>
        <v>35517.760000000002</v>
      </c>
      <c r="G144" t="str">
        <f>'2026_Chase9335_Activity_2026062'!G144</f>
        <v>Personal - Subscriptions</v>
      </c>
      <c r="H144" s="4">
        <f t="shared" si="2"/>
        <v>46113</v>
      </c>
      <c r="I144" t="str">
        <f>IF($G144="","Uncategorized — Review",IFERROR(_xlfn.XLOOKUP($G144,Mapping!$A:$A,Mapping!$B:$B),"Uncategorized — Review"))</f>
        <v>Personal - Subscriptions</v>
      </c>
      <c r="J144" t="str">
        <f>IF($G144="","Uncategorized — Review",IFERROR(_xlfn.XLOOKUP($G144,Mapping!$A:$A,Mapping!$C:$C),"Uncategorized — Review"))</f>
        <v>Personal — Owner</v>
      </c>
    </row>
    <row r="145" spans="1:10" x14ac:dyDescent="0.25">
      <c r="A145" t="str">
        <f>'2026_Chase9335_Activity_2026062'!A145</f>
        <v>DEBIT</v>
      </c>
      <c r="B145" s="1">
        <f>'2026_Chase9335_Activity_2026062'!B145</f>
        <v>46129</v>
      </c>
      <c r="C145" t="str">
        <f>'2026_Chase9335_Activity_2026062'!C145</f>
        <v>Prime Video *BS0Z641L 888-802-3080 WA        04/17</v>
      </c>
      <c r="D145" s="5">
        <f>'2026_Chase9335_Activity_2026062'!D145</f>
        <v>-3.19</v>
      </c>
      <c r="E145" t="str">
        <f>'2026_Chase9335_Activity_2026062'!E145</f>
        <v>DEBIT_CARD</v>
      </c>
      <c r="F145" s="5">
        <f>'2026_Chase9335_Activity_2026062'!F145</f>
        <v>35526.33</v>
      </c>
      <c r="G145" t="str">
        <f>'2026_Chase9335_Activity_2026062'!G145</f>
        <v>Personal - Subscriptions</v>
      </c>
      <c r="H145" s="4">
        <f t="shared" si="2"/>
        <v>46113</v>
      </c>
      <c r="I145" t="str">
        <f>IF($G145="","Uncategorized — Review",IFERROR(_xlfn.XLOOKUP($G145,Mapping!$A:$A,Mapping!$B:$B),"Uncategorized — Review"))</f>
        <v>Personal - Subscriptions</v>
      </c>
      <c r="J145" t="str">
        <f>IF($G145="","Uncategorized — Review",IFERROR(_xlfn.XLOOKUP($G145,Mapping!$A:$A,Mapping!$C:$C),"Uncategorized — Review"))</f>
        <v>Personal — Owner</v>
      </c>
    </row>
    <row r="146" spans="1:10" x14ac:dyDescent="0.25">
      <c r="A146" t="str">
        <f>'2026_Chase9335_Activity_2026062'!A146</f>
        <v>DEBIT</v>
      </c>
      <c r="B146" s="1">
        <f>'2026_Chase9335_Activity_2026062'!B146</f>
        <v>46128</v>
      </c>
      <c r="C146" t="str">
        <f>'2026_Chase9335_Activity_2026062'!C146</f>
        <v>Zelle payment to Michael Paytonjian JPM99cdf3mea</v>
      </c>
      <c r="D146" s="5">
        <f>'2026_Chase9335_Activity_2026062'!D146</f>
        <v>-95</v>
      </c>
      <c r="E146" t="str">
        <f>'2026_Chase9335_Activity_2026062'!E146</f>
        <v>CHASE_TO_PARTNERFI</v>
      </c>
      <c r="F146" s="5">
        <f>'2026_Chase9335_Activity_2026062'!F146</f>
        <v>35529.519999999997</v>
      </c>
      <c r="G146" t="str">
        <f>'2026_Chase9335_Activity_2026062'!G146</f>
        <v>Office/Miscellaneous Reimbursement - Mike P.</v>
      </c>
      <c r="H146" s="4">
        <f t="shared" si="2"/>
        <v>46113</v>
      </c>
      <c r="I146" t="str">
        <f>IF($G146="","Uncategorized — Review",IFERROR(_xlfn.XLOOKUP($G146,Mapping!$A:$A,Mapping!$B:$B),"Uncategorized — Review"))</f>
        <v>Office/Miscellaneous Reimbursement - Mike P.</v>
      </c>
      <c r="J146" t="str">
        <f>IF($G146="","Uncategorized — Review",IFERROR(_xlfn.XLOOKUP($G146,Mapping!$A:$A,Mapping!$C:$C),"Uncategorized — Review"))</f>
        <v>Payroll &amp; Contractors</v>
      </c>
    </row>
    <row r="147" spans="1:10" x14ac:dyDescent="0.25">
      <c r="A147" t="str">
        <f>'2026_Chase9335_Activity_2026062'!A147</f>
        <v>DEBIT</v>
      </c>
      <c r="B147" s="1">
        <f>'2026_Chase9335_Activity_2026062'!B147</f>
        <v>46128</v>
      </c>
      <c r="C147" t="str">
        <f>'2026_Chase9335_Activity_2026062'!C147</f>
        <v>AMAZON MKTPL*BS9N33N Amzn.com/bill WA        04/15</v>
      </c>
      <c r="D147" s="5">
        <f>'2026_Chase9335_Activity_2026062'!D147</f>
        <v>-44.99</v>
      </c>
      <c r="E147" t="str">
        <f>'2026_Chase9335_Activity_2026062'!E147</f>
        <v>DEBIT_CARD</v>
      </c>
      <c r="F147" s="5">
        <f>'2026_Chase9335_Activity_2026062'!F147</f>
        <v>35624.519999999997</v>
      </c>
      <c r="G147" t="str">
        <f>'2026_Chase9335_Activity_2026062'!G147</f>
        <v>Amazon</v>
      </c>
      <c r="H147" s="4">
        <f t="shared" si="2"/>
        <v>46113</v>
      </c>
      <c r="I147" t="str">
        <f>IF($G147="","Uncategorized — Review",IFERROR(_xlfn.XLOOKUP($G147,Mapping!$A:$A,Mapping!$B:$B),"Uncategorized — Review"))</f>
        <v>Amazon</v>
      </c>
      <c r="J147" t="str">
        <f>IF($G147="","Uncategorized — Review",IFERROR(_xlfn.XLOOKUP($G147,Mapping!$A:$A,Mapping!$C:$C),"Uncategorized — Review"))</f>
        <v>Personal — Owner</v>
      </c>
    </row>
    <row r="148" spans="1:10" x14ac:dyDescent="0.25">
      <c r="A148" t="str">
        <f>'2026_Chase9335_Activity_2026062'!A148</f>
        <v>DEBIT</v>
      </c>
      <c r="B148" s="1">
        <f>'2026_Chase9335_Activity_2026062'!B148</f>
        <v>46127</v>
      </c>
      <c r="C148" t="str">
        <f>'2026_Chase9335_Activity_2026062'!C148</f>
        <v>Prime Video *BS08T9OI 888-802-3080 WA        04/15</v>
      </c>
      <c r="D148" s="5">
        <f>'2026_Chase9335_Activity_2026062'!D148</f>
        <v>-3.19</v>
      </c>
      <c r="E148" t="str">
        <f>'2026_Chase9335_Activity_2026062'!E148</f>
        <v>DEBIT_CARD</v>
      </c>
      <c r="F148" s="5">
        <f>'2026_Chase9335_Activity_2026062'!F148</f>
        <v>35669.51</v>
      </c>
      <c r="G148" t="str">
        <f>'2026_Chase9335_Activity_2026062'!G148</f>
        <v>Personal - Subscriptions</v>
      </c>
      <c r="H148" s="4">
        <f t="shared" si="2"/>
        <v>46113</v>
      </c>
      <c r="I148" t="str">
        <f>IF($G148="","Uncategorized — Review",IFERROR(_xlfn.XLOOKUP($G148,Mapping!$A:$A,Mapping!$B:$B),"Uncategorized — Review"))</f>
        <v>Personal - Subscriptions</v>
      </c>
      <c r="J148" t="str">
        <f>IF($G148="","Uncategorized — Review",IFERROR(_xlfn.XLOOKUP($G148,Mapping!$A:$A,Mapping!$C:$C),"Uncategorized — Review"))</f>
        <v>Personal — Owner</v>
      </c>
    </row>
    <row r="149" spans="1:10" x14ac:dyDescent="0.25">
      <c r="A149" t="str">
        <f>'2026_Chase9335_Activity_2026062'!A149</f>
        <v>DEBIT</v>
      </c>
      <c r="B149" s="1">
        <f>'2026_Chase9335_Activity_2026062'!B149</f>
        <v>46127</v>
      </c>
      <c r="C149" t="str">
        <f>'2026_Chase9335_Activity_2026062'!C149</f>
        <v>Prime Video *B73RR9A9 888-802-3080 WA        04/15</v>
      </c>
      <c r="D149" s="5">
        <f>'2026_Chase9335_Activity_2026062'!D149</f>
        <v>-3.19</v>
      </c>
      <c r="E149" t="str">
        <f>'2026_Chase9335_Activity_2026062'!E149</f>
        <v>DEBIT_CARD</v>
      </c>
      <c r="F149" s="5">
        <f>'2026_Chase9335_Activity_2026062'!F149</f>
        <v>35672.699999999997</v>
      </c>
      <c r="G149" t="str">
        <f>'2026_Chase9335_Activity_2026062'!G149</f>
        <v>Personal - Subscriptions</v>
      </c>
      <c r="H149" s="4">
        <f t="shared" si="2"/>
        <v>46113</v>
      </c>
      <c r="I149" t="str">
        <f>IF($G149="","Uncategorized — Review",IFERROR(_xlfn.XLOOKUP($G149,Mapping!$A:$A,Mapping!$B:$B),"Uncategorized — Review"))</f>
        <v>Personal - Subscriptions</v>
      </c>
      <c r="J149" t="str">
        <f>IF($G149="","Uncategorized — Review",IFERROR(_xlfn.XLOOKUP($G149,Mapping!$A:$A,Mapping!$C:$C),"Uncategorized — Review"))</f>
        <v>Personal — Owner</v>
      </c>
    </row>
    <row r="150" spans="1:10" x14ac:dyDescent="0.25">
      <c r="A150" t="str">
        <f>'2026_Chase9335_Activity_2026062'!A150</f>
        <v>DEBIT</v>
      </c>
      <c r="B150" s="1">
        <f>'2026_Chase9335_Activity_2026062'!B150</f>
        <v>46127</v>
      </c>
      <c r="C150" t="str">
        <f>'2026_Chase9335_Activity_2026062'!C150</f>
        <v>AMAZON MKTPL*BS0D22O Amzn.com/bill WA        04/15</v>
      </c>
      <c r="D150" s="5">
        <f>'2026_Chase9335_Activity_2026062'!D150</f>
        <v>-24.12</v>
      </c>
      <c r="E150" t="str">
        <f>'2026_Chase9335_Activity_2026062'!E150</f>
        <v>DEBIT_CARD</v>
      </c>
      <c r="F150" s="5">
        <f>'2026_Chase9335_Activity_2026062'!F150</f>
        <v>35675.89</v>
      </c>
      <c r="G150" t="str">
        <f>'2026_Chase9335_Activity_2026062'!G150</f>
        <v>Amazon</v>
      </c>
      <c r="H150" s="4">
        <f t="shared" si="2"/>
        <v>46113</v>
      </c>
      <c r="I150" t="str">
        <f>IF($G150="","Uncategorized — Review",IFERROR(_xlfn.XLOOKUP($G150,Mapping!$A:$A,Mapping!$B:$B),"Uncategorized — Review"))</f>
        <v>Amazon</v>
      </c>
      <c r="J150" t="str">
        <f>IF($G150="","Uncategorized — Review",IFERROR(_xlfn.XLOOKUP($G150,Mapping!$A:$A,Mapping!$C:$C),"Uncategorized — Review"))</f>
        <v>Personal — Owner</v>
      </c>
    </row>
    <row r="151" spans="1:10" x14ac:dyDescent="0.25">
      <c r="A151" t="str">
        <f>'2026_Chase9335_Activity_2026062'!A151</f>
        <v>DEBIT</v>
      </c>
      <c r="B151" s="1">
        <f>'2026_Chase9335_Activity_2026062'!B151</f>
        <v>46127</v>
      </c>
      <c r="C151" t="str">
        <f>'2026_Chase9335_Activity_2026062'!C151</f>
        <v>Amazon.com*BS1GF8O02 Amzn.com/bill WA        04/15</v>
      </c>
      <c r="D151" s="5">
        <f>'2026_Chase9335_Activity_2026062'!D151</f>
        <v>-14.03</v>
      </c>
      <c r="E151" t="str">
        <f>'2026_Chase9335_Activity_2026062'!E151</f>
        <v>DEBIT_CARD</v>
      </c>
      <c r="F151" s="5">
        <f>'2026_Chase9335_Activity_2026062'!F151</f>
        <v>35700.01</v>
      </c>
      <c r="G151" t="str">
        <f>'2026_Chase9335_Activity_2026062'!G151</f>
        <v>Amazon</v>
      </c>
      <c r="H151" s="4">
        <f t="shared" si="2"/>
        <v>46113</v>
      </c>
      <c r="I151" t="str">
        <f>IF($G151="","Uncategorized — Review",IFERROR(_xlfn.XLOOKUP($G151,Mapping!$A:$A,Mapping!$B:$B),"Uncategorized — Review"))</f>
        <v>Amazon</v>
      </c>
      <c r="J151" t="str">
        <f>IF($G151="","Uncategorized — Review",IFERROR(_xlfn.XLOOKUP($G151,Mapping!$A:$A,Mapping!$C:$C),"Uncategorized — Review"))</f>
        <v>Personal — Owner</v>
      </c>
    </row>
    <row r="152" spans="1:10" x14ac:dyDescent="0.25">
      <c r="A152" t="str">
        <f>'2026_Chase9335_Activity_2026062'!A152</f>
        <v>DEBIT</v>
      </c>
      <c r="B152" s="1">
        <f>'2026_Chase9335_Activity_2026062'!B152</f>
        <v>46126</v>
      </c>
      <c r="C152" t="str">
        <f>'2026_Chase9335_Activity_2026062'!C152</f>
        <v>Amazon.com*B79Q085A1 Amzn.com/bill WA        04/14</v>
      </c>
      <c r="D152" s="5">
        <f>'2026_Chase9335_Activity_2026062'!D152</f>
        <v>-31.92</v>
      </c>
      <c r="E152" t="str">
        <f>'2026_Chase9335_Activity_2026062'!E152</f>
        <v>DEBIT_CARD</v>
      </c>
      <c r="F152" s="5">
        <f>'2026_Chase9335_Activity_2026062'!F152</f>
        <v>35714.04</v>
      </c>
      <c r="G152" t="str">
        <f>'2026_Chase9335_Activity_2026062'!G152</f>
        <v>Amazon</v>
      </c>
      <c r="H152" s="4">
        <f t="shared" si="2"/>
        <v>46113</v>
      </c>
      <c r="I152" t="str">
        <f>IF($G152="","Uncategorized — Review",IFERROR(_xlfn.XLOOKUP($G152,Mapping!$A:$A,Mapping!$B:$B),"Uncategorized — Review"))</f>
        <v>Amazon</v>
      </c>
      <c r="J152" t="str">
        <f>IF($G152="","Uncategorized — Review",IFERROR(_xlfn.XLOOKUP($G152,Mapping!$A:$A,Mapping!$C:$C),"Uncategorized — Review"))</f>
        <v>Personal — Owner</v>
      </c>
    </row>
    <row r="153" spans="1:10" x14ac:dyDescent="0.25">
      <c r="A153" t="str">
        <f>'2026_Chase9335_Activity_2026062'!A153</f>
        <v>DEBIT</v>
      </c>
      <c r="B153" s="1">
        <f>'2026_Chase9335_Activity_2026062'!B153</f>
        <v>46126</v>
      </c>
      <c r="C153" t="str">
        <f>'2026_Chase9335_Activity_2026062'!C153</f>
        <v>Amazon.com*BY3LR0U62 Amzn.com/bill WA        04/14</v>
      </c>
      <c r="D153" s="5">
        <f>'2026_Chase9335_Activity_2026062'!D153</f>
        <v>-31.88</v>
      </c>
      <c r="E153" t="str">
        <f>'2026_Chase9335_Activity_2026062'!E153</f>
        <v>DEBIT_CARD</v>
      </c>
      <c r="F153" s="5">
        <f>'2026_Chase9335_Activity_2026062'!F153</f>
        <v>35745.96</v>
      </c>
      <c r="G153" t="str">
        <f>'2026_Chase9335_Activity_2026062'!G153</f>
        <v>Amazon</v>
      </c>
      <c r="H153" s="4">
        <f t="shared" si="2"/>
        <v>46113</v>
      </c>
      <c r="I153" t="str">
        <f>IF($G153="","Uncategorized — Review",IFERROR(_xlfn.XLOOKUP($G153,Mapping!$A:$A,Mapping!$B:$B),"Uncategorized — Review"))</f>
        <v>Amazon</v>
      </c>
      <c r="J153" t="str">
        <f>IF($G153="","Uncategorized — Review",IFERROR(_xlfn.XLOOKUP($G153,Mapping!$A:$A,Mapping!$C:$C),"Uncategorized — Review"))</f>
        <v>Personal — Owner</v>
      </c>
    </row>
    <row r="154" spans="1:10" x14ac:dyDescent="0.25">
      <c r="A154" t="str">
        <f>'2026_Chase9335_Activity_2026062'!A154</f>
        <v>DEBIT</v>
      </c>
      <c r="B154" s="1">
        <f>'2026_Chase9335_Activity_2026062'!B154</f>
        <v>46126</v>
      </c>
      <c r="C154" t="str">
        <f>'2026_Chase9335_Activity_2026062'!C154</f>
        <v>Amazon.com*BY4UX9U12 Amzn.com/bill WA        04/14</v>
      </c>
      <c r="D154" s="5">
        <f>'2026_Chase9335_Activity_2026062'!D154</f>
        <v>-18.48</v>
      </c>
      <c r="E154" t="str">
        <f>'2026_Chase9335_Activity_2026062'!E154</f>
        <v>DEBIT_CARD</v>
      </c>
      <c r="F154" s="5">
        <f>'2026_Chase9335_Activity_2026062'!F154</f>
        <v>35777.839999999997</v>
      </c>
      <c r="G154" t="str">
        <f>'2026_Chase9335_Activity_2026062'!G154</f>
        <v>Amazon</v>
      </c>
      <c r="H154" s="4">
        <f t="shared" si="2"/>
        <v>46113</v>
      </c>
      <c r="I154" t="str">
        <f>IF($G154="","Uncategorized — Review",IFERROR(_xlfn.XLOOKUP($G154,Mapping!$A:$A,Mapping!$B:$B),"Uncategorized — Review"))</f>
        <v>Amazon</v>
      </c>
      <c r="J154" t="str">
        <f>IF($G154="","Uncategorized — Review",IFERROR(_xlfn.XLOOKUP($G154,Mapping!$A:$A,Mapping!$C:$C),"Uncategorized — Review"))</f>
        <v>Personal — Owner</v>
      </c>
    </row>
    <row r="155" spans="1:10" x14ac:dyDescent="0.25">
      <c r="A155" t="str">
        <f>'2026_Chase9335_Activity_2026062'!A155</f>
        <v>DEBIT</v>
      </c>
      <c r="B155" s="1">
        <f>'2026_Chase9335_Activity_2026062'!B155</f>
        <v>46125</v>
      </c>
      <c r="C155" t="str">
        <f>'2026_Chase9335_Activity_2026062'!C155</f>
        <v>FOREIGN EXCHANGE RATE ADJUSTMENT FEE         04/10NYX*Serun</v>
      </c>
      <c r="D155" s="5">
        <f>'2026_Chase9335_Activity_2026062'!D155</f>
        <v>-7.0000000000000007E-2</v>
      </c>
      <c r="E155" t="str">
        <f>'2026_Chase9335_Activity_2026062'!E155</f>
        <v>FEE_TRANSACTION</v>
      </c>
      <c r="F155" s="5">
        <f>'2026_Chase9335_Activity_2026062'!F155</f>
        <v>35796.32</v>
      </c>
      <c r="G155" t="str">
        <f>'2026_Chase9335_Activity_2026062'!G155</f>
        <v>Personal - Travel (Portugal)</v>
      </c>
      <c r="H155" s="4">
        <f t="shared" si="2"/>
        <v>46113</v>
      </c>
      <c r="I155" t="str">
        <f>IF($G155="","Uncategorized — Review",IFERROR(_xlfn.XLOOKUP($G155,Mapping!$A:$A,Mapping!$B:$B),"Uncategorized — Review"))</f>
        <v>Personal - Travel (Portugal)</v>
      </c>
      <c r="J155" t="str">
        <f>IF($G155="","Uncategorized — Review",IFERROR(_xlfn.XLOOKUP($G155,Mapping!$A:$A,Mapping!$C:$C),"Uncategorized — Review"))</f>
        <v>Personal — Owner</v>
      </c>
    </row>
    <row r="156" spans="1:10" x14ac:dyDescent="0.25">
      <c r="A156" t="str">
        <f>'2026_Chase9335_Activity_2026062'!A156</f>
        <v>DEBIT</v>
      </c>
      <c r="B156" s="1">
        <f>'2026_Chase9335_Activity_2026062'!B156</f>
        <v>46125</v>
      </c>
      <c r="C156" t="str">
        <f>'2026_Chase9335_Activity_2026062'!C156</f>
        <v>FOREIGN EXCHANGE RATE ADJUSTMENT FEE         04/11FIERROIL</v>
      </c>
      <c r="D156" s="5">
        <f>'2026_Chase9335_Activity_2026062'!D156</f>
        <v>-0.15</v>
      </c>
      <c r="E156" t="str">
        <f>'2026_Chase9335_Activity_2026062'!E156</f>
        <v>FEE_TRANSACTION</v>
      </c>
      <c r="F156" s="5">
        <f>'2026_Chase9335_Activity_2026062'!F156</f>
        <v>35796.39</v>
      </c>
      <c r="G156" t="str">
        <f>'2026_Chase9335_Activity_2026062'!G156</f>
        <v>Personal - Travel (Portugal)</v>
      </c>
      <c r="H156" s="4">
        <f t="shared" si="2"/>
        <v>46113</v>
      </c>
      <c r="I156" t="str">
        <f>IF($G156="","Uncategorized — Review",IFERROR(_xlfn.XLOOKUP($G156,Mapping!$A:$A,Mapping!$B:$B),"Uncategorized — Review"))</f>
        <v>Personal - Travel (Portugal)</v>
      </c>
      <c r="J156" t="str">
        <f>IF($G156="","Uncategorized — Review",IFERROR(_xlfn.XLOOKUP($G156,Mapping!$A:$A,Mapping!$C:$C),"Uncategorized — Review"))</f>
        <v>Personal — Owner</v>
      </c>
    </row>
    <row r="157" spans="1:10" x14ac:dyDescent="0.25">
      <c r="A157" t="str">
        <f>'2026_Chase9335_Activity_2026062'!A157</f>
        <v>DEBIT</v>
      </c>
      <c r="B157" s="1">
        <f>'2026_Chase9335_Activity_2026062'!B157</f>
        <v>46125</v>
      </c>
      <c r="C157" t="str">
        <f>'2026_Chase9335_Activity_2026062'!C157</f>
        <v>FOREIGN EXCHANGE RATE ADJUSTMENT FEE         04/12FIRST CLA</v>
      </c>
      <c r="D157" s="5">
        <f>'2026_Chase9335_Activity_2026062'!D157</f>
        <v>-0.17</v>
      </c>
      <c r="E157" t="str">
        <f>'2026_Chase9335_Activity_2026062'!E157</f>
        <v>FEE_TRANSACTION</v>
      </c>
      <c r="F157" s="5">
        <f>'2026_Chase9335_Activity_2026062'!F157</f>
        <v>35796.54</v>
      </c>
      <c r="G157" t="str">
        <f>'2026_Chase9335_Activity_2026062'!G157</f>
        <v>Personal - Travel (Portugal)</v>
      </c>
      <c r="H157" s="4">
        <f t="shared" si="2"/>
        <v>46113</v>
      </c>
      <c r="I157" t="str">
        <f>IF($G157="","Uncategorized — Review",IFERROR(_xlfn.XLOOKUP($G157,Mapping!$A:$A,Mapping!$B:$B),"Uncategorized — Review"))</f>
        <v>Personal - Travel (Portugal)</v>
      </c>
      <c r="J157" t="str">
        <f>IF($G157="","Uncategorized — Review",IFERROR(_xlfn.XLOOKUP($G157,Mapping!$A:$A,Mapping!$C:$C),"Uncategorized — Review"))</f>
        <v>Personal — Owner</v>
      </c>
    </row>
    <row r="158" spans="1:10" x14ac:dyDescent="0.25">
      <c r="A158" t="str">
        <f>'2026_Chase9335_Activity_2026062'!A158</f>
        <v>DEBIT</v>
      </c>
      <c r="B158" s="1">
        <f>'2026_Chase9335_Activity_2026062'!B158</f>
        <v>46125</v>
      </c>
      <c r="C158" t="str">
        <f>'2026_Chase9335_Activity_2026062'!C158</f>
        <v>FOREIGN EXCHANGE RATE ADJUSTMENT FEE         04/11ITP*DOCTO</v>
      </c>
      <c r="D158" s="5">
        <f>'2026_Chase9335_Activity_2026062'!D158</f>
        <v>-1.75</v>
      </c>
      <c r="E158" t="str">
        <f>'2026_Chase9335_Activity_2026062'!E158</f>
        <v>FEE_TRANSACTION</v>
      </c>
      <c r="F158" s="5">
        <f>'2026_Chase9335_Activity_2026062'!F158</f>
        <v>35796.71</v>
      </c>
      <c r="G158" t="str">
        <f>'2026_Chase9335_Activity_2026062'!G158</f>
        <v>Personal - Travel (Portugal)</v>
      </c>
      <c r="H158" s="4">
        <f t="shared" si="2"/>
        <v>46113</v>
      </c>
      <c r="I158" t="str">
        <f>IF($G158="","Uncategorized — Review",IFERROR(_xlfn.XLOOKUP($G158,Mapping!$A:$A,Mapping!$B:$B),"Uncategorized — Review"))</f>
        <v>Personal - Travel (Portugal)</v>
      </c>
      <c r="J158" t="str">
        <f>IF($G158="","Uncategorized — Review",IFERROR(_xlfn.XLOOKUP($G158,Mapping!$A:$A,Mapping!$C:$C),"Uncategorized — Review"))</f>
        <v>Personal — Owner</v>
      </c>
    </row>
    <row r="159" spans="1:10" x14ac:dyDescent="0.25">
      <c r="A159" t="str">
        <f>'2026_Chase9335_Activity_2026062'!A159</f>
        <v>DEBIT</v>
      </c>
      <c r="B159" s="1">
        <f>'2026_Chase9335_Activity_2026062'!B159</f>
        <v>46125</v>
      </c>
      <c r="C159" t="str">
        <f>'2026_Chase9335_Activity_2026062'!C159</f>
        <v>ORIG CO NAME:AMERICAN EXPRESS       ORIG ID:2005032111 DESC DATE:260413 CO ENTRY DESCR:ACH PMT   SEC:CCD    TRACE#:021000020190099 EED:260413   IND ID:W4888                        IND NAME:JOHN DUNNING                                                                                                 ER AM TRN: 1030190099TC</v>
      </c>
      <c r="D159" s="5">
        <f>'2026_Chase9335_Activity_2026062'!D159</f>
        <v>-1241.53</v>
      </c>
      <c r="E159" t="str">
        <f>'2026_Chase9335_Activity_2026062'!E159</f>
        <v>ACH_DEBIT</v>
      </c>
      <c r="F159" s="5">
        <f>'2026_Chase9335_Activity_2026062'!F159</f>
        <v>35798.46</v>
      </c>
      <c r="G159" t="str">
        <f>'2026_Chase9335_Activity_2026062'!G159</f>
        <v>American Express Credit Card PMT</v>
      </c>
      <c r="H159" s="4">
        <f t="shared" si="2"/>
        <v>46113</v>
      </c>
      <c r="I159" t="str">
        <f>IF($G159="","Uncategorized — Review",IFERROR(_xlfn.XLOOKUP($G159,Mapping!$A:$A,Mapping!$B:$B),"Uncategorized — Review"))</f>
        <v>American Express Credit Card PMT</v>
      </c>
      <c r="J159" t="str">
        <f>IF($G159="","Uncategorized — Review",IFERROR(_xlfn.XLOOKUP($G159,Mapping!$A:$A,Mapping!$C:$C),"Uncategorized — Review"))</f>
        <v>Credit Card &amp; Loan Payments</v>
      </c>
    </row>
    <row r="160" spans="1:10" x14ac:dyDescent="0.25">
      <c r="A160" t="str">
        <f>'2026_Chase9335_Activity_2026062'!A160</f>
        <v>DEBIT</v>
      </c>
      <c r="B160" s="1">
        <f>'2026_Chase9335_Activity_2026062'!B160</f>
        <v>46125</v>
      </c>
      <c r="C160" t="str">
        <f>'2026_Chase9335_Activity_2026062'!C160</f>
        <v>ORIG CO NAME:AMERICAN EXPRESS       ORIG ID:2005032111 DESC DATE:260413 CO ENTRY DESCR:ACH PMT   SEC:CCD    TRACE#:021000020190577 EED:260413   IND ID:W7038                        IND NAME:JOHN DUNNING                                                                                                 ER AM TRN: 1030190577TC</v>
      </c>
      <c r="D160" s="5">
        <f>'2026_Chase9335_Activity_2026062'!D160</f>
        <v>-1295</v>
      </c>
      <c r="E160" t="str">
        <f>'2026_Chase9335_Activity_2026062'!E160</f>
        <v>ACH_DEBIT</v>
      </c>
      <c r="F160" s="5">
        <f>'2026_Chase9335_Activity_2026062'!F160</f>
        <v>37039.99</v>
      </c>
      <c r="G160" t="str">
        <f>'2026_Chase9335_Activity_2026062'!G160</f>
        <v>American Express Credit Card PMT</v>
      </c>
      <c r="H160" s="4">
        <f t="shared" si="2"/>
        <v>46113</v>
      </c>
      <c r="I160" t="str">
        <f>IF($G160="","Uncategorized — Review",IFERROR(_xlfn.XLOOKUP($G160,Mapping!$A:$A,Mapping!$B:$B),"Uncategorized — Review"))</f>
        <v>American Express Credit Card PMT</v>
      </c>
      <c r="J160" t="str">
        <f>IF($G160="","Uncategorized — Review",IFERROR(_xlfn.XLOOKUP($G160,Mapping!$A:$A,Mapping!$C:$C),"Uncategorized — Review"))</f>
        <v>Credit Card &amp; Loan Payments</v>
      </c>
    </row>
    <row r="161" spans="1:10" x14ac:dyDescent="0.25">
      <c r="A161" t="str">
        <f>'2026_Chase9335_Activity_2026062'!A161</f>
        <v>DEBIT</v>
      </c>
      <c r="B161" s="1">
        <f>'2026_Chase9335_Activity_2026062'!B161</f>
        <v>46125</v>
      </c>
      <c r="C161" t="str">
        <f>'2026_Chase9335_Activity_2026062'!C161</f>
        <v>UBER * EATS PENDING SAN FRANCISCO CA 062498  04/12</v>
      </c>
      <c r="D161" s="5">
        <f>'2026_Chase9335_Activity_2026062'!D161</f>
        <v>-80.11</v>
      </c>
      <c r="E161" t="str">
        <f>'2026_Chase9335_Activity_2026062'!E161</f>
        <v>DEBIT_CARD</v>
      </c>
      <c r="F161" s="5">
        <f>'2026_Chase9335_Activity_2026062'!F161</f>
        <v>38334.99</v>
      </c>
      <c r="G161" t="str">
        <f>'2026_Chase9335_Activity_2026062'!G161</f>
        <v>Personal - Food &amp; Dining</v>
      </c>
      <c r="H161" s="4">
        <f t="shared" si="2"/>
        <v>46113</v>
      </c>
      <c r="I161" t="str">
        <f>IF($G161="","Uncategorized — Review",IFERROR(_xlfn.XLOOKUP($G161,Mapping!$A:$A,Mapping!$B:$B),"Uncategorized — Review"))</f>
        <v>Personal - Food &amp; Dining</v>
      </c>
      <c r="J161" t="str">
        <f>IF($G161="","Uncategorized — Review",IFERROR(_xlfn.XLOOKUP($G161,Mapping!$A:$A,Mapping!$C:$C),"Uncategorized — Review"))</f>
        <v>Personal — Owner</v>
      </c>
    </row>
    <row r="162" spans="1:10" x14ac:dyDescent="0.25">
      <c r="A162" t="str">
        <f>'2026_Chase9335_Activity_2026062'!A162</f>
        <v>DEBIT</v>
      </c>
      <c r="B162" s="1">
        <f>'2026_Chase9335_Activity_2026062'!B162</f>
        <v>46125</v>
      </c>
      <c r="C162" t="str">
        <f>'2026_Chase9335_Activity_2026062'!C162</f>
        <v>FIRST CLASS CAFE LISBOA                      04/12 Euro       4.95 X 1.173737 (EXCHG RTE)</v>
      </c>
      <c r="D162" s="5">
        <f>'2026_Chase9335_Activity_2026062'!D162</f>
        <v>-5.81</v>
      </c>
      <c r="E162" t="str">
        <f>'2026_Chase9335_Activity_2026062'!E162</f>
        <v>DEBIT_CARD</v>
      </c>
      <c r="F162" s="5">
        <f>'2026_Chase9335_Activity_2026062'!F162</f>
        <v>38415.1</v>
      </c>
      <c r="G162" t="str">
        <f>'2026_Chase9335_Activity_2026062'!G162</f>
        <v>Personal - Travel (Portugal)</v>
      </c>
      <c r="H162" s="4">
        <f t="shared" si="2"/>
        <v>46113</v>
      </c>
      <c r="I162" t="str">
        <f>IF($G162="","Uncategorized — Review",IFERROR(_xlfn.XLOOKUP($G162,Mapping!$A:$A,Mapping!$B:$B),"Uncategorized — Review"))</f>
        <v>Personal - Travel (Portugal)</v>
      </c>
      <c r="J162" t="str">
        <f>IF($G162="","Uncategorized — Review",IFERROR(_xlfn.XLOOKUP($G162,Mapping!$A:$A,Mapping!$C:$C),"Uncategorized — Review"))</f>
        <v>Personal — Owner</v>
      </c>
    </row>
    <row r="163" spans="1:10" x14ac:dyDescent="0.25">
      <c r="A163" t="str">
        <f>'2026_Chase9335_Activity_2026062'!A163</f>
        <v>DEBIT</v>
      </c>
      <c r="B163" s="1">
        <f>'2026_Chase9335_Activity_2026062'!B163</f>
        <v>46125</v>
      </c>
      <c r="C163" t="str">
        <f>'2026_Chase9335_Activity_2026062'!C163</f>
        <v>Prime Video *BY9X285Y 888-802-3080 WA        04/12</v>
      </c>
      <c r="D163" s="5">
        <f>'2026_Chase9335_Activity_2026062'!D163</f>
        <v>-3.19</v>
      </c>
      <c r="E163" t="str">
        <f>'2026_Chase9335_Activity_2026062'!E163</f>
        <v>DEBIT_CARD</v>
      </c>
      <c r="F163" s="5">
        <f>'2026_Chase9335_Activity_2026062'!F163</f>
        <v>38420.910000000003</v>
      </c>
      <c r="G163" t="str">
        <f>'2026_Chase9335_Activity_2026062'!G163</f>
        <v>Personal - Subscriptions</v>
      </c>
      <c r="H163" s="4">
        <f t="shared" si="2"/>
        <v>46113</v>
      </c>
      <c r="I163" t="str">
        <f>IF($G163="","Uncategorized — Review",IFERROR(_xlfn.XLOOKUP($G163,Mapping!$A:$A,Mapping!$B:$B),"Uncategorized — Review"))</f>
        <v>Personal - Subscriptions</v>
      </c>
      <c r="J163" t="str">
        <f>IF($G163="","Uncategorized — Review",IFERROR(_xlfn.XLOOKUP($G163,Mapping!$A:$A,Mapping!$C:$C),"Uncategorized — Review"))</f>
        <v>Personal — Owner</v>
      </c>
    </row>
    <row r="164" spans="1:10" x14ac:dyDescent="0.25">
      <c r="A164" t="str">
        <f>'2026_Chase9335_Activity_2026062'!A164</f>
        <v>DEBIT</v>
      </c>
      <c r="B164" s="1">
        <f>'2026_Chase9335_Activity_2026062'!B164</f>
        <v>46125</v>
      </c>
      <c r="C164" t="str">
        <f>'2026_Chase9335_Activity_2026062'!C164</f>
        <v>BLOOMBERG* 37033964 BLOOMBERG.COM NY         04/12</v>
      </c>
      <c r="D164" s="5">
        <f>'2026_Chase9335_Activity_2026062'!D164</f>
        <v>-39.99</v>
      </c>
      <c r="E164" t="str">
        <f>'2026_Chase9335_Activity_2026062'!E164</f>
        <v>DEBIT_CARD</v>
      </c>
      <c r="F164" s="5">
        <f>'2026_Chase9335_Activity_2026062'!F164</f>
        <v>38424.1</v>
      </c>
      <c r="G164" t="str">
        <f>'2026_Chase9335_Activity_2026062'!G164</f>
        <v>Personal - Subscriptions</v>
      </c>
      <c r="H164" s="4">
        <f t="shared" si="2"/>
        <v>46113</v>
      </c>
      <c r="I164" t="str">
        <f>IF($G164="","Uncategorized — Review",IFERROR(_xlfn.XLOOKUP($G164,Mapping!$A:$A,Mapping!$B:$B),"Uncategorized — Review"))</f>
        <v>Personal - Subscriptions</v>
      </c>
      <c r="J164" t="str">
        <f>IF($G164="","Uncategorized — Review",IFERROR(_xlfn.XLOOKUP($G164,Mapping!$A:$A,Mapping!$C:$C),"Uncategorized — Review"))</f>
        <v>Personal — Owner</v>
      </c>
    </row>
    <row r="165" spans="1:10" x14ac:dyDescent="0.25">
      <c r="A165" t="str">
        <f>'2026_Chase9335_Activity_2026062'!A165</f>
        <v>DEBIT</v>
      </c>
      <c r="B165" s="1">
        <f>'2026_Chase9335_Activity_2026062'!B165</f>
        <v>46125</v>
      </c>
      <c r="C165" t="str">
        <f>'2026_Chase9335_Activity_2026062'!C165</f>
        <v>FARMACIA SAO MAMEDE 82 B - LISBOA            04/11</v>
      </c>
      <c r="D165" s="5">
        <f>'2026_Chase9335_Activity_2026062'!D165</f>
        <v>-131.72999999999999</v>
      </c>
      <c r="E165" t="str">
        <f>'2026_Chase9335_Activity_2026062'!E165</f>
        <v>DEBIT_CARD</v>
      </c>
      <c r="F165" s="5">
        <f>'2026_Chase9335_Activity_2026062'!F165</f>
        <v>38464.089999999997</v>
      </c>
      <c r="G165" t="str">
        <f>'2026_Chase9335_Activity_2026062'!G165</f>
        <v>Personal - Travel (Portugal)</v>
      </c>
      <c r="H165" s="4">
        <f t="shared" si="2"/>
        <v>46113</v>
      </c>
      <c r="I165" t="str">
        <f>IF($G165="","Uncategorized — Review",IFERROR(_xlfn.XLOOKUP($G165,Mapping!$A:$A,Mapping!$B:$B),"Uncategorized — Review"))</f>
        <v>Personal - Travel (Portugal)</v>
      </c>
      <c r="J165" t="str">
        <f>IF($G165="","Uncategorized — Review",IFERROR(_xlfn.XLOOKUP($G165,Mapping!$A:$A,Mapping!$C:$C),"Uncategorized — Review"))</f>
        <v>Personal — Owner</v>
      </c>
    </row>
    <row r="166" spans="1:10" x14ac:dyDescent="0.25">
      <c r="A166" t="str">
        <f>'2026_Chase9335_Activity_2026062'!A166</f>
        <v>DEBIT</v>
      </c>
      <c r="B166" s="1">
        <f>'2026_Chase9335_Activity_2026062'!B166</f>
        <v>46125</v>
      </c>
      <c r="C166" t="str">
        <f>'2026_Chase9335_Activity_2026062'!C166</f>
        <v>FIERROIL ALMENDRALEJO                        04/11 Euro       4.50 X 1.173333 (EXCHG RTE)</v>
      </c>
      <c r="D166" s="5">
        <f>'2026_Chase9335_Activity_2026062'!D166</f>
        <v>-5.28</v>
      </c>
      <c r="E166" t="str">
        <f>'2026_Chase9335_Activity_2026062'!E166</f>
        <v>DEBIT_CARD</v>
      </c>
      <c r="F166" s="5">
        <f>'2026_Chase9335_Activity_2026062'!F166</f>
        <v>38595.82</v>
      </c>
      <c r="G166" t="str">
        <f>'2026_Chase9335_Activity_2026062'!G166</f>
        <v>Personal - Travel (Portugal)</v>
      </c>
      <c r="H166" s="4">
        <f t="shared" si="2"/>
        <v>46113</v>
      </c>
      <c r="I166" t="str">
        <f>IF($G166="","Uncategorized — Review",IFERROR(_xlfn.XLOOKUP($G166,Mapping!$A:$A,Mapping!$B:$B),"Uncategorized — Review"))</f>
        <v>Personal - Travel (Portugal)</v>
      </c>
      <c r="J166" t="str">
        <f>IF($G166="","Uncategorized — Review",IFERROR(_xlfn.XLOOKUP($G166,Mapping!$A:$A,Mapping!$C:$C),"Uncategorized — Review"))</f>
        <v>Personal — Owner</v>
      </c>
    </row>
    <row r="167" spans="1:10" x14ac:dyDescent="0.25">
      <c r="A167" t="str">
        <f>'2026_Chase9335_Activity_2026062'!A167</f>
        <v>DEBIT</v>
      </c>
      <c r="B167" s="1">
        <f>'2026_Chase9335_Activity_2026062'!B167</f>
        <v>46125</v>
      </c>
      <c r="C167" t="str">
        <f>'2026_Chase9335_Activity_2026062'!C167</f>
        <v>ITP*DOCTORONCALLLD RECEITAMEDICA             04/11 Euro       49.90 X 1.173948 (EXCHG RTE)</v>
      </c>
      <c r="D167" s="5">
        <f>'2026_Chase9335_Activity_2026062'!D167</f>
        <v>-58.58</v>
      </c>
      <c r="E167" t="str">
        <f>'2026_Chase9335_Activity_2026062'!E167</f>
        <v>DEBIT_CARD</v>
      </c>
      <c r="F167" s="5">
        <f>'2026_Chase9335_Activity_2026062'!F167</f>
        <v>38601.1</v>
      </c>
      <c r="G167" t="str">
        <f>'2026_Chase9335_Activity_2026062'!G167</f>
        <v>Personal - Travel (Portugal)</v>
      </c>
      <c r="H167" s="4">
        <f t="shared" si="2"/>
        <v>46113</v>
      </c>
      <c r="I167" t="str">
        <f>IF($G167="","Uncategorized — Review",IFERROR(_xlfn.XLOOKUP($G167,Mapping!$A:$A,Mapping!$B:$B),"Uncategorized — Review"))</f>
        <v>Personal - Travel (Portugal)</v>
      </c>
      <c r="J167" t="str">
        <f>IF($G167="","Uncategorized — Review",IFERROR(_xlfn.XLOOKUP($G167,Mapping!$A:$A,Mapping!$C:$C),"Uncategorized — Review"))</f>
        <v>Personal — Owner</v>
      </c>
    </row>
    <row r="168" spans="1:10" x14ac:dyDescent="0.25">
      <c r="A168" t="str">
        <f>'2026_Chase9335_Activity_2026062'!A168</f>
        <v>DEBIT</v>
      </c>
      <c r="B168" s="1">
        <f>'2026_Chase9335_Activity_2026062'!B168</f>
        <v>46125</v>
      </c>
      <c r="C168" t="str">
        <f>'2026_Chase9335_Activity_2026062'!C168</f>
        <v>Prime Video *B72UU245 888-802-3080 WA        04/11</v>
      </c>
      <c r="D168" s="5">
        <f>'2026_Chase9335_Activity_2026062'!D168</f>
        <v>-4.26</v>
      </c>
      <c r="E168" t="str">
        <f>'2026_Chase9335_Activity_2026062'!E168</f>
        <v>DEBIT_CARD</v>
      </c>
      <c r="F168" s="5">
        <f>'2026_Chase9335_Activity_2026062'!F168</f>
        <v>38659.68</v>
      </c>
      <c r="G168" t="str">
        <f>'2026_Chase9335_Activity_2026062'!G168</f>
        <v>Personal - Subscriptions</v>
      </c>
      <c r="H168" s="4">
        <f t="shared" si="2"/>
        <v>46113</v>
      </c>
      <c r="I168" t="str">
        <f>IF($G168="","Uncategorized — Review",IFERROR(_xlfn.XLOOKUP($G168,Mapping!$A:$A,Mapping!$B:$B),"Uncategorized — Review"))</f>
        <v>Personal - Subscriptions</v>
      </c>
      <c r="J168" t="str">
        <f>IF($G168="","Uncategorized — Review",IFERROR(_xlfn.XLOOKUP($G168,Mapping!$A:$A,Mapping!$C:$C),"Uncategorized — Review"))</f>
        <v>Personal — Owner</v>
      </c>
    </row>
    <row r="169" spans="1:10" x14ac:dyDescent="0.25">
      <c r="A169" t="str">
        <f>'2026_Chase9335_Activity_2026062'!A169</f>
        <v>DEBIT</v>
      </c>
      <c r="B169" s="1">
        <f>'2026_Chase9335_Activity_2026062'!B169</f>
        <v>46125</v>
      </c>
      <c r="C169" t="str">
        <f>'2026_Chase9335_Activity_2026062'!C169</f>
        <v>NYX*SerunionVending Granada                  04/10 Euro       2.00 X 1.170000 (EXCHG RTE)</v>
      </c>
      <c r="D169" s="5">
        <f>'2026_Chase9335_Activity_2026062'!D169</f>
        <v>-2.34</v>
      </c>
      <c r="E169" t="str">
        <f>'2026_Chase9335_Activity_2026062'!E169</f>
        <v>DEBIT_CARD</v>
      </c>
      <c r="F169" s="5">
        <f>'2026_Chase9335_Activity_2026062'!F169</f>
        <v>38663.94</v>
      </c>
      <c r="G169" t="str">
        <f>'2026_Chase9335_Activity_2026062'!G169</f>
        <v>Personal - Travel (Portugal)</v>
      </c>
      <c r="H169" s="4">
        <f t="shared" si="2"/>
        <v>46113</v>
      </c>
      <c r="I169" t="str">
        <f>IF($G169="","Uncategorized — Review",IFERROR(_xlfn.XLOOKUP($G169,Mapping!$A:$A,Mapping!$B:$B),"Uncategorized — Review"))</f>
        <v>Personal - Travel (Portugal)</v>
      </c>
      <c r="J169" t="str">
        <f>IF($G169="","Uncategorized — Review",IFERROR(_xlfn.XLOOKUP($G169,Mapping!$A:$A,Mapping!$C:$C),"Uncategorized — Review"))</f>
        <v>Personal — Owner</v>
      </c>
    </row>
    <row r="170" spans="1:10" x14ac:dyDescent="0.25">
      <c r="A170" t="str">
        <f>'2026_Chase9335_Activity_2026062'!A170</f>
        <v>DEBIT</v>
      </c>
      <c r="B170" s="1">
        <f>'2026_Chase9335_Activity_2026062'!B170</f>
        <v>46122</v>
      </c>
      <c r="C170" t="str">
        <f>'2026_Chase9335_Activity_2026062'!C170</f>
        <v>FOREIGN EXCHANGE RATE ADJUSTMENT FEE         04/09TAXI GR 5</v>
      </c>
      <c r="D170" s="5">
        <f>'2026_Chase9335_Activity_2026062'!D170</f>
        <v>-0.35</v>
      </c>
      <c r="E170" t="str">
        <f>'2026_Chase9335_Activity_2026062'!E170</f>
        <v>FEE_TRANSACTION</v>
      </c>
      <c r="F170" s="5">
        <f>'2026_Chase9335_Activity_2026062'!F170</f>
        <v>38666.28</v>
      </c>
      <c r="G170" t="str">
        <f>'2026_Chase9335_Activity_2026062'!G170</f>
        <v>Personal - Travel (Portugal)</v>
      </c>
      <c r="H170" s="4">
        <f t="shared" si="2"/>
        <v>46113</v>
      </c>
      <c r="I170" t="str">
        <f>IF($G170="","Uncategorized — Review",IFERROR(_xlfn.XLOOKUP($G170,Mapping!$A:$A,Mapping!$B:$B),"Uncategorized — Review"))</f>
        <v>Personal - Travel (Portugal)</v>
      </c>
      <c r="J170" t="str">
        <f>IF($G170="","Uncategorized — Review",IFERROR(_xlfn.XLOOKUP($G170,Mapping!$A:$A,Mapping!$C:$C),"Uncategorized — Review"))</f>
        <v>Personal — Owner</v>
      </c>
    </row>
    <row r="171" spans="1:10" x14ac:dyDescent="0.25">
      <c r="A171" t="str">
        <f>'2026_Chase9335_Activity_2026062'!A171</f>
        <v>DEBIT</v>
      </c>
      <c r="B171" s="1">
        <f>'2026_Chase9335_Activity_2026062'!B171</f>
        <v>46122</v>
      </c>
      <c r="C171" t="str">
        <f>'2026_Chase9335_Activity_2026062'!C171</f>
        <v>FOREIGN EXCHANGE RATE ADJUSTMENT FEE         04/09MEZZE GRA</v>
      </c>
      <c r="D171" s="5">
        <f>'2026_Chase9335_Activity_2026062'!D171</f>
        <v>-2.84</v>
      </c>
      <c r="E171" t="str">
        <f>'2026_Chase9335_Activity_2026062'!E171</f>
        <v>FEE_TRANSACTION</v>
      </c>
      <c r="F171" s="5">
        <f>'2026_Chase9335_Activity_2026062'!F171</f>
        <v>38666.629999999997</v>
      </c>
      <c r="G171" t="str">
        <f>'2026_Chase9335_Activity_2026062'!G171</f>
        <v>Personal - Travel (Portugal)</v>
      </c>
      <c r="H171" s="4">
        <f t="shared" si="2"/>
        <v>46113</v>
      </c>
      <c r="I171" t="str">
        <f>IF($G171="","Uncategorized — Review",IFERROR(_xlfn.XLOOKUP($G171,Mapping!$A:$A,Mapping!$B:$B),"Uncategorized — Review"))</f>
        <v>Personal - Travel (Portugal)</v>
      </c>
      <c r="J171" t="str">
        <f>IF($G171="","Uncategorized — Review",IFERROR(_xlfn.XLOOKUP($G171,Mapping!$A:$A,Mapping!$C:$C),"Uncategorized — Review"))</f>
        <v>Personal — Owner</v>
      </c>
    </row>
    <row r="172" spans="1:10" x14ac:dyDescent="0.25">
      <c r="A172" t="str">
        <f>'2026_Chase9335_Activity_2026062'!A172</f>
        <v>DEBIT</v>
      </c>
      <c r="B172" s="1">
        <f>'2026_Chase9335_Activity_2026062'!B172</f>
        <v>46122</v>
      </c>
      <c r="C172" t="str">
        <f>'2026_Chase9335_Activity_2026062'!C172</f>
        <v>Kindle Svcs*BC8X24BN0 888-802-3080 WA        04/10</v>
      </c>
      <c r="D172" s="5">
        <f>'2026_Chase9335_Activity_2026062'!D172</f>
        <v>-19.2</v>
      </c>
      <c r="E172" t="str">
        <f>'2026_Chase9335_Activity_2026062'!E172</f>
        <v>DEBIT_CARD</v>
      </c>
      <c r="F172" s="5">
        <f>'2026_Chase9335_Activity_2026062'!F172</f>
        <v>38669.47</v>
      </c>
      <c r="G172" t="str">
        <f>'2026_Chase9335_Activity_2026062'!G172</f>
        <v>Personal - Subscriptions</v>
      </c>
      <c r="H172" s="4">
        <f t="shared" si="2"/>
        <v>46113</v>
      </c>
      <c r="I172" t="str">
        <f>IF($G172="","Uncategorized — Review",IFERROR(_xlfn.XLOOKUP($G172,Mapping!$A:$A,Mapping!$B:$B),"Uncategorized — Review"))</f>
        <v>Personal - Subscriptions</v>
      </c>
      <c r="J172" t="str">
        <f>IF($G172="","Uncategorized — Review",IFERROR(_xlfn.XLOOKUP($G172,Mapping!$A:$A,Mapping!$C:$C),"Uncategorized — Review"))</f>
        <v>Personal — Owner</v>
      </c>
    </row>
    <row r="173" spans="1:10" x14ac:dyDescent="0.25">
      <c r="A173" t="str">
        <f>'2026_Chase9335_Activity_2026062'!A173</f>
        <v>DEBIT</v>
      </c>
      <c r="B173" s="1">
        <f>'2026_Chase9335_Activity_2026062'!B173</f>
        <v>46122</v>
      </c>
      <c r="C173" t="str">
        <f>'2026_Chase9335_Activity_2026062'!C173</f>
        <v>Prime Video *BY96Y4JQ 888-802-3080 WA        04/09</v>
      </c>
      <c r="D173" s="5">
        <f>'2026_Chase9335_Activity_2026062'!D173</f>
        <v>-4.26</v>
      </c>
      <c r="E173" t="str">
        <f>'2026_Chase9335_Activity_2026062'!E173</f>
        <v>DEBIT_CARD</v>
      </c>
      <c r="F173" s="5">
        <f>'2026_Chase9335_Activity_2026062'!F173</f>
        <v>38688.67</v>
      </c>
      <c r="G173" t="str">
        <f>'2026_Chase9335_Activity_2026062'!G173</f>
        <v>Personal - Subscriptions</v>
      </c>
      <c r="H173" s="4">
        <f t="shared" si="2"/>
        <v>46113</v>
      </c>
      <c r="I173" t="str">
        <f>IF($G173="","Uncategorized — Review",IFERROR(_xlfn.XLOOKUP($G173,Mapping!$A:$A,Mapping!$B:$B),"Uncategorized — Review"))</f>
        <v>Personal - Subscriptions</v>
      </c>
      <c r="J173" t="str">
        <f>IF($G173="","Uncategorized — Review",IFERROR(_xlfn.XLOOKUP($G173,Mapping!$A:$A,Mapping!$C:$C),"Uncategorized — Review"))</f>
        <v>Personal — Owner</v>
      </c>
    </row>
    <row r="174" spans="1:10" x14ac:dyDescent="0.25">
      <c r="A174" t="str">
        <f>'2026_Chase9335_Activity_2026062'!A174</f>
        <v>DEBIT</v>
      </c>
      <c r="B174" s="1">
        <f>'2026_Chase9335_Activity_2026062'!B174</f>
        <v>46122</v>
      </c>
      <c r="C174" t="str">
        <f>'2026_Chase9335_Activity_2026062'!C174</f>
        <v>MEZZE GRANADA                                04/09 Euro       81.00 X 1.172346 (EXCHG RTE)</v>
      </c>
      <c r="D174" s="5">
        <f>'2026_Chase9335_Activity_2026062'!D174</f>
        <v>-94.96</v>
      </c>
      <c r="E174" t="str">
        <f>'2026_Chase9335_Activity_2026062'!E174</f>
        <v>DEBIT_CARD</v>
      </c>
      <c r="F174" s="5">
        <f>'2026_Chase9335_Activity_2026062'!F174</f>
        <v>38692.93</v>
      </c>
      <c r="G174" t="str">
        <f>'2026_Chase9335_Activity_2026062'!G174</f>
        <v>Personal - Travel (Portugal)</v>
      </c>
      <c r="H174" s="4">
        <f t="shared" si="2"/>
        <v>46113</v>
      </c>
      <c r="I174" t="str">
        <f>IF($G174="","Uncategorized — Review",IFERROR(_xlfn.XLOOKUP($G174,Mapping!$A:$A,Mapping!$B:$B),"Uncategorized — Review"))</f>
        <v>Personal - Travel (Portugal)</v>
      </c>
      <c r="J174" t="str">
        <f>IF($G174="","Uncategorized — Review",IFERROR(_xlfn.XLOOKUP($G174,Mapping!$A:$A,Mapping!$C:$C),"Uncategorized — Review"))</f>
        <v>Personal — Owner</v>
      </c>
    </row>
    <row r="175" spans="1:10" x14ac:dyDescent="0.25">
      <c r="A175" t="str">
        <f>'2026_Chase9335_Activity_2026062'!A175</f>
        <v>DEBIT</v>
      </c>
      <c r="B175" s="1">
        <f>'2026_Chase9335_Activity_2026062'!B175</f>
        <v>46122</v>
      </c>
      <c r="C175" t="str">
        <f>'2026_Chase9335_Activity_2026062'!C175</f>
        <v>TAXI GR 559 GRANADA                          04/09 Euro       10.00 X 1.172000 (EXCHG RTE)</v>
      </c>
      <c r="D175" s="5">
        <f>'2026_Chase9335_Activity_2026062'!D175</f>
        <v>-11.72</v>
      </c>
      <c r="E175" t="str">
        <f>'2026_Chase9335_Activity_2026062'!E175</f>
        <v>DEBIT_CARD</v>
      </c>
      <c r="F175" s="5">
        <f>'2026_Chase9335_Activity_2026062'!F175</f>
        <v>38787.89</v>
      </c>
      <c r="G175" t="str">
        <f>'2026_Chase9335_Activity_2026062'!G175</f>
        <v>Personal - Travel (Portugal)</v>
      </c>
      <c r="H175" s="4">
        <f t="shared" si="2"/>
        <v>46113</v>
      </c>
      <c r="I175" t="str">
        <f>IF($G175="","Uncategorized — Review",IFERROR(_xlfn.XLOOKUP($G175,Mapping!$A:$A,Mapping!$B:$B),"Uncategorized — Review"))</f>
        <v>Personal - Travel (Portugal)</v>
      </c>
      <c r="J175" t="str">
        <f>IF($G175="","Uncategorized — Review",IFERROR(_xlfn.XLOOKUP($G175,Mapping!$A:$A,Mapping!$C:$C),"Uncategorized — Review"))</f>
        <v>Personal — Owner</v>
      </c>
    </row>
    <row r="176" spans="1:10" x14ac:dyDescent="0.25">
      <c r="A176" t="str">
        <f>'2026_Chase9335_Activity_2026062'!A176</f>
        <v>DEBIT</v>
      </c>
      <c r="B176" s="1">
        <f>'2026_Chase9335_Activity_2026062'!B176</f>
        <v>46121</v>
      </c>
      <c r="C176" t="str">
        <f>'2026_Chase9335_Activity_2026062'!C176</f>
        <v>UBER   * EATS PENDIN SAN FRANCISCO CA147971  04/09</v>
      </c>
      <c r="D176" s="5">
        <f>'2026_Chase9335_Activity_2026062'!D176</f>
        <v>-86.75</v>
      </c>
      <c r="E176" t="str">
        <f>'2026_Chase9335_Activity_2026062'!E176</f>
        <v>DEBIT_CARD</v>
      </c>
      <c r="F176" s="5">
        <f>'2026_Chase9335_Activity_2026062'!F176</f>
        <v>38799.61</v>
      </c>
      <c r="G176" t="str">
        <f>'2026_Chase9335_Activity_2026062'!G176</f>
        <v>Personal - Car</v>
      </c>
      <c r="H176" s="4">
        <f t="shared" si="2"/>
        <v>46113</v>
      </c>
      <c r="I176" t="str">
        <f>IF($G176="","Uncategorized — Review",IFERROR(_xlfn.XLOOKUP($G176,Mapping!$A:$A,Mapping!$B:$B),"Uncategorized — Review"))</f>
        <v>Personal - Car &amp; Auto</v>
      </c>
      <c r="J176" t="str">
        <f>IF($G176="","Uncategorized — Review",IFERROR(_xlfn.XLOOKUP($G176,Mapping!$A:$A,Mapping!$C:$C),"Uncategorized — Review"))</f>
        <v>Personal — Owner</v>
      </c>
    </row>
    <row r="177" spans="1:10" x14ac:dyDescent="0.25">
      <c r="A177" t="str">
        <f>'2026_Chase9335_Activity_2026062'!A177</f>
        <v>DEBIT</v>
      </c>
      <c r="B177" s="1">
        <f>'2026_Chase9335_Activity_2026062'!B177</f>
        <v>46121</v>
      </c>
      <c r="C177" t="str">
        <f>'2026_Chase9335_Activity_2026062'!C177</f>
        <v>UBER   * EATS PENDIN SAN FRANCISCO CA075848  04/08</v>
      </c>
      <c r="D177" s="5">
        <f>'2026_Chase9335_Activity_2026062'!D177</f>
        <v>-41.29</v>
      </c>
      <c r="E177" t="str">
        <f>'2026_Chase9335_Activity_2026062'!E177</f>
        <v>DEBIT_CARD</v>
      </c>
      <c r="F177" s="5">
        <f>'2026_Chase9335_Activity_2026062'!F177</f>
        <v>38886.36</v>
      </c>
      <c r="G177" t="str">
        <f>'2026_Chase9335_Activity_2026062'!G177</f>
        <v>Personal - Car</v>
      </c>
      <c r="H177" s="4">
        <f t="shared" si="2"/>
        <v>46113</v>
      </c>
      <c r="I177" t="str">
        <f>IF($G177="","Uncategorized — Review",IFERROR(_xlfn.XLOOKUP($G177,Mapping!$A:$A,Mapping!$B:$B),"Uncategorized — Review"))</f>
        <v>Personal - Car &amp; Auto</v>
      </c>
      <c r="J177" t="str">
        <f>IF($G177="","Uncategorized — Review",IFERROR(_xlfn.XLOOKUP($G177,Mapping!$A:$A,Mapping!$C:$C),"Uncategorized — Review"))</f>
        <v>Personal — Owner</v>
      </c>
    </row>
    <row r="178" spans="1:10" x14ac:dyDescent="0.25">
      <c r="A178" t="str">
        <f>'2026_Chase9335_Activity_2026062'!A178</f>
        <v>CREDIT</v>
      </c>
      <c r="B178" s="1">
        <f>'2026_Chase9335_Activity_2026062'!B178</f>
        <v>46121</v>
      </c>
      <c r="C178" t="str">
        <f>'2026_Chase9335_Activity_2026062'!C178</f>
        <v>ORIG CO NAME:Rabourn Road Ind       ORIG ID:945440567  DESC DATE:       CO ENTRY DESCR:PAYMENT   SEC:PPD    TRACE#:273976364711827 EED:260409   IND ID:                             IND NAME:John Dunning TRN: 0994711827TC</v>
      </c>
      <c r="D178" s="5">
        <f>'2026_Chase9335_Activity_2026062'!D178</f>
        <v>233.33</v>
      </c>
      <c r="E178" t="str">
        <f>'2026_Chase9335_Activity_2026062'!E178</f>
        <v>ACH_CREDIT</v>
      </c>
      <c r="F178" s="5">
        <f>'2026_Chase9335_Activity_2026062'!F178</f>
        <v>38927.65</v>
      </c>
      <c r="G178" t="str">
        <f>'2026_Chase9335_Activity_2026062'!G178</f>
        <v>Deal Specific: Rabourn Road</v>
      </c>
      <c r="H178" s="4">
        <f t="shared" si="2"/>
        <v>46113</v>
      </c>
      <c r="I178" t="str">
        <f>IF($G178="","Uncategorized — Review",IFERROR(_xlfn.XLOOKUP($G178,Mapping!$A:$A,Mapping!$B:$B),"Uncategorized — Review"))</f>
        <v>Deal Specific: Rabourn Road</v>
      </c>
      <c r="J178" t="str">
        <f>IF($G178="","Uncategorized — Review",IFERROR(_xlfn.XLOOKUP($G178,Mapping!$A:$A,Mapping!$C:$C),"Uncategorized — Review"))</f>
        <v>Deal-Specific</v>
      </c>
    </row>
    <row r="179" spans="1:10" x14ac:dyDescent="0.25">
      <c r="A179" t="str">
        <f>'2026_Chase9335_Activity_2026062'!A179</f>
        <v>CREDIT</v>
      </c>
      <c r="B179" s="1">
        <f>'2026_Chase9335_Activity_2026062'!B179</f>
        <v>46121</v>
      </c>
      <c r="C179" t="str">
        <f>'2026_Chase9335_Activity_2026062'!C179</f>
        <v>ORIG CO NAME:Austin Iron Hold       ORIG ID:945440567  DESC DATE:       CO ENTRY DESCR:PAYMENT   SEC:PPD    TRACE#:273976364712561 EED:260409   IND ID:                             IND NAME:John Dunning TRN: 0994712561TC</v>
      </c>
      <c r="D179" s="5">
        <f>'2026_Chase9335_Activity_2026062'!D179</f>
        <v>350</v>
      </c>
      <c r="E179" t="str">
        <f>'2026_Chase9335_Activity_2026062'!E179</f>
        <v>ACH_CREDIT</v>
      </c>
      <c r="F179" s="5">
        <f>'2026_Chase9335_Activity_2026062'!F179</f>
        <v>38694.32</v>
      </c>
      <c r="G179" t="str">
        <f>'2026_Chase9335_Activity_2026062'!G179</f>
        <v>Deal Specific: Austin Iron</v>
      </c>
      <c r="H179" s="4">
        <f t="shared" si="2"/>
        <v>46113</v>
      </c>
      <c r="I179" t="str">
        <f>IF($G179="","Uncategorized — Review",IFERROR(_xlfn.XLOOKUP($G179,Mapping!$A:$A,Mapping!$B:$B),"Uncategorized — Review"))</f>
        <v>Deal Specific: Austin Iron</v>
      </c>
      <c r="J179" t="str">
        <f>IF($G179="","Uncategorized — Review",IFERROR(_xlfn.XLOOKUP($G179,Mapping!$A:$A,Mapping!$C:$C),"Uncategorized — Review"))</f>
        <v>Deal-Specific</v>
      </c>
    </row>
    <row r="180" spans="1:10" x14ac:dyDescent="0.25">
      <c r="A180" t="str">
        <f>'2026_Chase9335_Activity_2026062'!A180</f>
        <v>CREDIT</v>
      </c>
      <c r="B180" s="1">
        <f>'2026_Chase9335_Activity_2026062'!B180</f>
        <v>46121</v>
      </c>
      <c r="C180" t="str">
        <f>'2026_Chase9335_Activity_2026062'!C180</f>
        <v>ORIG CO NAME:Merit-Lancaster        ORIG ID:945440567  DESC DATE:       CO ENTRY DESCR:PAYMENT   SEC:PPD    TRACE#:273976364712232 EED:260409   IND ID:                             IND NAME:John Dunning TRN: 0994712232TC</v>
      </c>
      <c r="D180" s="5">
        <f>'2026_Chase9335_Activity_2026062'!D180</f>
        <v>491.29</v>
      </c>
      <c r="E180" t="str">
        <f>'2026_Chase9335_Activity_2026062'!E180</f>
        <v>ACH_CREDIT</v>
      </c>
      <c r="F180" s="5">
        <f>'2026_Chase9335_Activity_2026062'!F180</f>
        <v>38344.32</v>
      </c>
      <c r="G180" t="str">
        <f>'2026_Chase9335_Activity_2026062'!G180</f>
        <v>Deal Specific: Merit-Lancaster</v>
      </c>
      <c r="H180" s="4">
        <f t="shared" si="2"/>
        <v>46113</v>
      </c>
      <c r="I180" t="str">
        <f>IF($G180="","Uncategorized — Review",IFERROR(_xlfn.XLOOKUP($G180,Mapping!$A:$A,Mapping!$B:$B),"Uncategorized — Review"))</f>
        <v>Deal Specific: Merit-Lancaster</v>
      </c>
      <c r="J180" t="str">
        <f>IF($G180="","Uncategorized — Review",IFERROR(_xlfn.XLOOKUP($G180,Mapping!$A:$A,Mapping!$C:$C),"Uncategorized — Review"))</f>
        <v>Deal-Specific</v>
      </c>
    </row>
    <row r="181" spans="1:10" x14ac:dyDescent="0.25">
      <c r="A181" t="str">
        <f>'2026_Chase9335_Activity_2026062'!A181</f>
        <v>DEBIT</v>
      </c>
      <c r="B181" s="1">
        <f>'2026_Chase9335_Activity_2026062'!B181</f>
        <v>46120</v>
      </c>
      <c r="C181" t="str">
        <f>'2026_Chase9335_Activity_2026062'!C181</f>
        <v>FOREIGN EXCHANGE RATE ADJUSTMENT FEE         04/07NATURALME</v>
      </c>
      <c r="D181" s="5">
        <f>'2026_Chase9335_Activity_2026062'!D181</f>
        <v>-1.89</v>
      </c>
      <c r="E181" t="str">
        <f>'2026_Chase9335_Activity_2026062'!E181</f>
        <v>FEE_TRANSACTION</v>
      </c>
      <c r="F181" s="5">
        <f>'2026_Chase9335_Activity_2026062'!F181</f>
        <v>37853.03</v>
      </c>
      <c r="G181" t="str">
        <f>'2026_Chase9335_Activity_2026062'!G181</f>
        <v>Personal - Travel (Portugal)</v>
      </c>
      <c r="H181" s="4">
        <f t="shared" si="2"/>
        <v>46113</v>
      </c>
      <c r="I181" t="str">
        <f>IF($G181="","Uncategorized — Review",IFERROR(_xlfn.XLOOKUP($G181,Mapping!$A:$A,Mapping!$B:$B),"Uncategorized — Review"))</f>
        <v>Personal - Travel (Portugal)</v>
      </c>
      <c r="J181" t="str">
        <f>IF($G181="","Uncategorized — Review",IFERROR(_xlfn.XLOOKUP($G181,Mapping!$A:$A,Mapping!$C:$C),"Uncategorized — Review"))</f>
        <v>Personal — Owner</v>
      </c>
    </row>
    <row r="182" spans="1:10" x14ac:dyDescent="0.25">
      <c r="A182" t="str">
        <f>'2026_Chase9335_Activity_2026062'!A182</f>
        <v>DEBIT</v>
      </c>
      <c r="B182" s="1">
        <f>'2026_Chase9335_Activity_2026062'!B182</f>
        <v>46120</v>
      </c>
      <c r="C182" t="str">
        <f>'2026_Chase9335_Activity_2026062'!C182</f>
        <v>ORIG CO NAME:AMERICAN EXPRESS       ORIG ID:2005032111 DESC DATE:260408 CO ENTRY DESCR:ACH PMT   SEC:CCD    TRACE#:021000026112870 EED:260408   IND ID:W1946                        IND NAME:JOHN DUNNING                                                                                                 ER AM TRN: 0986112870TC</v>
      </c>
      <c r="D182" s="5">
        <f>'2026_Chase9335_Activity_2026062'!D182</f>
        <v>-172.09</v>
      </c>
      <c r="E182" t="str">
        <f>'2026_Chase9335_Activity_2026062'!E182</f>
        <v>ACH_DEBIT</v>
      </c>
      <c r="F182" s="5">
        <f>'2026_Chase9335_Activity_2026062'!F182</f>
        <v>37854.92</v>
      </c>
      <c r="G182" t="str">
        <f>'2026_Chase9335_Activity_2026062'!G182</f>
        <v>American Express Credit Card PMT</v>
      </c>
      <c r="H182" s="4">
        <f t="shared" si="2"/>
        <v>46113</v>
      </c>
      <c r="I182" t="str">
        <f>IF($G182="","Uncategorized — Review",IFERROR(_xlfn.XLOOKUP($G182,Mapping!$A:$A,Mapping!$B:$B),"Uncategorized — Review"))</f>
        <v>American Express Credit Card PMT</v>
      </c>
      <c r="J182" t="str">
        <f>IF($G182="","Uncategorized — Review",IFERROR(_xlfn.XLOOKUP($G182,Mapping!$A:$A,Mapping!$C:$C),"Uncategorized — Review"))</f>
        <v>Credit Card &amp; Loan Payments</v>
      </c>
    </row>
    <row r="183" spans="1:10" x14ac:dyDescent="0.25">
      <c r="A183" t="str">
        <f>'2026_Chase9335_Activity_2026062'!A183</f>
        <v>DEBIT</v>
      </c>
      <c r="B183" s="1">
        <f>'2026_Chase9335_Activity_2026062'!B183</f>
        <v>46120</v>
      </c>
      <c r="C183" t="str">
        <f>'2026_Chase9335_Activity_2026062'!C183</f>
        <v>UBER   *ONE MEMBERSH SAN FRANCISCO CA135266  04/08</v>
      </c>
      <c r="D183" s="5">
        <f>'2026_Chase9335_Activity_2026062'!D183</f>
        <v>-9.99</v>
      </c>
      <c r="E183" t="str">
        <f>'2026_Chase9335_Activity_2026062'!E183</f>
        <v>DEBIT_CARD</v>
      </c>
      <c r="F183" s="5">
        <f>'2026_Chase9335_Activity_2026062'!F183</f>
        <v>38027.01</v>
      </c>
      <c r="G183" t="str">
        <f>'2026_Chase9335_Activity_2026062'!G183</f>
        <v>Personal - Car</v>
      </c>
      <c r="H183" s="4">
        <f t="shared" si="2"/>
        <v>46113</v>
      </c>
      <c r="I183" t="str">
        <f>IF($G183="","Uncategorized — Review",IFERROR(_xlfn.XLOOKUP($G183,Mapping!$A:$A,Mapping!$B:$B),"Uncategorized — Review"))</f>
        <v>Personal - Car &amp; Auto</v>
      </c>
      <c r="J183" t="str">
        <f>IF($G183="","Uncategorized — Review",IFERROR(_xlfn.XLOOKUP($G183,Mapping!$A:$A,Mapping!$C:$C),"Uncategorized — Review"))</f>
        <v>Personal — Owner</v>
      </c>
    </row>
    <row r="184" spans="1:10" x14ac:dyDescent="0.25">
      <c r="A184" t="str">
        <f>'2026_Chase9335_Activity_2026062'!A184</f>
        <v>DEBIT</v>
      </c>
      <c r="B184" s="1">
        <f>'2026_Chase9335_Activity_2026062'!B184</f>
        <v>46120</v>
      </c>
      <c r="C184" t="str">
        <f>'2026_Chase9335_Activity_2026062'!C184</f>
        <v>Online Transfer to CHK ...1168 transaction#: 28750412871 04/08</v>
      </c>
      <c r="D184" s="5">
        <f>'2026_Chase9335_Activity_2026062'!D184</f>
        <v>-20000</v>
      </c>
      <c r="E184" t="str">
        <f>'2026_Chase9335_Activity_2026062'!E184</f>
        <v>ACCT_XFER</v>
      </c>
      <c r="F184" s="5">
        <f>'2026_Chase9335_Activity_2026062'!F184</f>
        <v>38037</v>
      </c>
      <c r="G184" t="str">
        <f>'2026_Chase9335_Activity_2026062'!G184</f>
        <v>Transfer to DWG Capital Group</v>
      </c>
      <c r="H184" s="4">
        <f t="shared" si="2"/>
        <v>46113</v>
      </c>
      <c r="I184" t="str">
        <f>IF($G184="","Uncategorized — Review",IFERROR(_xlfn.XLOOKUP($G184,Mapping!$A:$A,Mapping!$B:$B),"Uncategorized — Review"))</f>
        <v>Transfer to DWG Capital Group</v>
      </c>
      <c r="J184" t="str">
        <f>IF($G184="","Uncategorized — Review",IFERROR(_xlfn.XLOOKUP($G184,Mapping!$A:$A,Mapping!$C:$C),"Uncategorized — Review"))</f>
        <v>Intercompany &amp; Savings Transfers</v>
      </c>
    </row>
    <row r="185" spans="1:10" x14ac:dyDescent="0.25">
      <c r="A185" t="str">
        <f>'2026_Chase9335_Activity_2026062'!A185</f>
        <v>DEBIT</v>
      </c>
      <c r="B185" s="1">
        <f>'2026_Chase9335_Activity_2026062'!B185</f>
        <v>46120</v>
      </c>
      <c r="C185" t="str">
        <f>'2026_Chase9335_Activity_2026062'!C185</f>
        <v>NATURALMENTE SEVILLA                         04/07 Euro       54.48 X 1.157305 (EXCHG RTE)</v>
      </c>
      <c r="D185" s="5">
        <f>'2026_Chase9335_Activity_2026062'!D185</f>
        <v>-63.05</v>
      </c>
      <c r="E185" t="str">
        <f>'2026_Chase9335_Activity_2026062'!E185</f>
        <v>DEBIT_CARD</v>
      </c>
      <c r="F185" s="5">
        <f>'2026_Chase9335_Activity_2026062'!F185</f>
        <v>58037</v>
      </c>
      <c r="G185" t="str">
        <f>'2026_Chase9335_Activity_2026062'!G185</f>
        <v>Personal - Travel (Portugal)</v>
      </c>
      <c r="H185" s="4">
        <f t="shared" si="2"/>
        <v>46113</v>
      </c>
      <c r="I185" t="str">
        <f>IF($G185="","Uncategorized — Review",IFERROR(_xlfn.XLOOKUP($G185,Mapping!$A:$A,Mapping!$B:$B),"Uncategorized — Review"))</f>
        <v>Personal - Travel (Portugal)</v>
      </c>
      <c r="J185" t="str">
        <f>IF($G185="","Uncategorized — Review",IFERROR(_xlfn.XLOOKUP($G185,Mapping!$A:$A,Mapping!$C:$C),"Uncategorized — Review"))</f>
        <v>Personal — Owner</v>
      </c>
    </row>
    <row r="186" spans="1:10" x14ac:dyDescent="0.25">
      <c r="A186" t="str">
        <f>'2026_Chase9335_Activity_2026062'!A186</f>
        <v>DEBIT</v>
      </c>
      <c r="B186" s="1">
        <f>'2026_Chase9335_Activity_2026062'!B186</f>
        <v>46119</v>
      </c>
      <c r="C186" t="str">
        <f>'2026_Chase9335_Activity_2026062'!C186</f>
        <v>FOREIGN EXCHANGE RATE ADJUSTMENT FEE         04/06CENTRO CU</v>
      </c>
      <c r="D186" s="5">
        <f>'2026_Chase9335_Activity_2026062'!D186</f>
        <v>-1.38</v>
      </c>
      <c r="E186" t="str">
        <f>'2026_Chase9335_Activity_2026062'!E186</f>
        <v>FEE_TRANSACTION</v>
      </c>
      <c r="F186" s="5">
        <f>'2026_Chase9335_Activity_2026062'!F186</f>
        <v>58100.05</v>
      </c>
      <c r="G186" t="str">
        <f>'2026_Chase9335_Activity_2026062'!G186</f>
        <v>Personal - Travel (Portugal)</v>
      </c>
      <c r="H186" s="4">
        <f t="shared" si="2"/>
        <v>46113</v>
      </c>
      <c r="I186" t="str">
        <f>IF($G186="","Uncategorized — Review",IFERROR(_xlfn.XLOOKUP($G186,Mapping!$A:$A,Mapping!$B:$B),"Uncategorized — Review"))</f>
        <v>Personal - Travel (Portugal)</v>
      </c>
      <c r="J186" t="str">
        <f>IF($G186="","Uncategorized — Review",IFERROR(_xlfn.XLOOKUP($G186,Mapping!$A:$A,Mapping!$C:$C),"Uncategorized — Review"))</f>
        <v>Personal — Owner</v>
      </c>
    </row>
    <row r="187" spans="1:10" x14ac:dyDescent="0.25">
      <c r="A187" t="str">
        <f>'2026_Chase9335_Activity_2026062'!A187</f>
        <v>DEBIT</v>
      </c>
      <c r="B187" s="1">
        <f>'2026_Chase9335_Activity_2026062'!B187</f>
        <v>46119</v>
      </c>
      <c r="C187" t="str">
        <f>'2026_Chase9335_Activity_2026062'!C187</f>
        <v>CENTRO CULTURAL FLAMENC SEVILLA              04/06 Euro       40.00 X 1.155000 (EXCHG RTE)</v>
      </c>
      <c r="D187" s="5">
        <f>'2026_Chase9335_Activity_2026062'!D187</f>
        <v>-46.2</v>
      </c>
      <c r="E187" t="str">
        <f>'2026_Chase9335_Activity_2026062'!E187</f>
        <v>DEBIT_CARD</v>
      </c>
      <c r="F187" s="5">
        <f>'2026_Chase9335_Activity_2026062'!F187</f>
        <v>58101.43</v>
      </c>
      <c r="G187" t="str">
        <f>'2026_Chase9335_Activity_2026062'!G187</f>
        <v>Personal - Travel (Portugal)</v>
      </c>
      <c r="H187" s="4">
        <f t="shared" si="2"/>
        <v>46113</v>
      </c>
      <c r="I187" t="str">
        <f>IF($G187="","Uncategorized — Review",IFERROR(_xlfn.XLOOKUP($G187,Mapping!$A:$A,Mapping!$B:$B),"Uncategorized — Review"))</f>
        <v>Personal - Travel (Portugal)</v>
      </c>
      <c r="J187" t="str">
        <f>IF($G187="","Uncategorized — Review",IFERROR(_xlfn.XLOOKUP($G187,Mapping!$A:$A,Mapping!$C:$C),"Uncategorized — Review"))</f>
        <v>Personal — Owner</v>
      </c>
    </row>
    <row r="188" spans="1:10" x14ac:dyDescent="0.25">
      <c r="A188" t="str">
        <f>'2026_Chase9335_Activity_2026062'!A188</f>
        <v>DEBIT</v>
      </c>
      <c r="B188" s="1">
        <f>'2026_Chase9335_Activity_2026062'!B188</f>
        <v>46119</v>
      </c>
      <c r="C188" t="str">
        <f>'2026_Chase9335_Activity_2026062'!C188</f>
        <v>APPLE.COM/BILL 866-712-7753 CA               04/06</v>
      </c>
      <c r="D188" s="5">
        <f>'2026_Chase9335_Activity_2026062'!D188</f>
        <v>-9.99</v>
      </c>
      <c r="E188" t="str">
        <f>'2026_Chase9335_Activity_2026062'!E188</f>
        <v>DEBIT_CARD</v>
      </c>
      <c r="F188" s="5">
        <f>'2026_Chase9335_Activity_2026062'!F188</f>
        <v>58147.63</v>
      </c>
      <c r="G188" t="str">
        <f>'2026_Chase9335_Activity_2026062'!G188</f>
        <v>Personal - Subscriptions</v>
      </c>
      <c r="H188" s="4">
        <f t="shared" si="2"/>
        <v>46113</v>
      </c>
      <c r="I188" t="str">
        <f>IF($G188="","Uncategorized — Review",IFERROR(_xlfn.XLOOKUP($G188,Mapping!$A:$A,Mapping!$B:$B),"Uncategorized — Review"))</f>
        <v>Personal - Subscriptions</v>
      </c>
      <c r="J188" t="str">
        <f>IF($G188="","Uncategorized — Review",IFERROR(_xlfn.XLOOKUP($G188,Mapping!$A:$A,Mapping!$C:$C),"Uncategorized — Review"))</f>
        <v>Personal — Owner</v>
      </c>
    </row>
    <row r="189" spans="1:10" x14ac:dyDescent="0.25">
      <c r="A189" t="str">
        <f>'2026_Chase9335_Activity_2026062'!A189</f>
        <v>DEBIT</v>
      </c>
      <c r="B189" s="1">
        <f>'2026_Chase9335_Activity_2026062'!B189</f>
        <v>46118</v>
      </c>
      <c r="C189" t="str">
        <f>'2026_Chase9335_Activity_2026062'!C189</f>
        <v>UBER   * EATS PENDIN SAN FRANCISCO CA089334  04/06</v>
      </c>
      <c r="D189" s="5">
        <f>'2026_Chase9335_Activity_2026062'!D189</f>
        <v>-44.5</v>
      </c>
      <c r="E189" t="str">
        <f>'2026_Chase9335_Activity_2026062'!E189</f>
        <v>DEBIT_CARD</v>
      </c>
      <c r="F189" s="5">
        <f>'2026_Chase9335_Activity_2026062'!F189</f>
        <v>58157.62</v>
      </c>
      <c r="G189" t="str">
        <f>'2026_Chase9335_Activity_2026062'!G189</f>
        <v>Personal - Car</v>
      </c>
      <c r="H189" s="4">
        <f t="shared" si="2"/>
        <v>46113</v>
      </c>
      <c r="I189" t="str">
        <f>IF($G189="","Uncategorized — Review",IFERROR(_xlfn.XLOOKUP($G189,Mapping!$A:$A,Mapping!$B:$B),"Uncategorized — Review"))</f>
        <v>Personal - Car &amp; Auto</v>
      </c>
      <c r="J189" t="str">
        <f>IF($G189="","Uncategorized — Review",IFERROR(_xlfn.XLOOKUP($G189,Mapping!$A:$A,Mapping!$C:$C),"Uncategorized — Review"))</f>
        <v>Personal — Owner</v>
      </c>
    </row>
    <row r="190" spans="1:10" x14ac:dyDescent="0.25">
      <c r="A190" t="str">
        <f>'2026_Chase9335_Activity_2026062'!A190</f>
        <v>DEBIT</v>
      </c>
      <c r="B190" s="1">
        <f>'2026_Chase9335_Activity_2026062'!B190</f>
        <v>46118</v>
      </c>
      <c r="C190" t="str">
        <f>'2026_Chase9335_Activity_2026062'!C190</f>
        <v>Prime Video *B78QL0VC 888-802-3080 WA        04/05</v>
      </c>
      <c r="D190" s="5">
        <f>'2026_Chase9335_Activity_2026062'!D190</f>
        <v>-4.26</v>
      </c>
      <c r="E190" t="str">
        <f>'2026_Chase9335_Activity_2026062'!E190</f>
        <v>DEBIT_CARD</v>
      </c>
      <c r="F190" s="5">
        <f>'2026_Chase9335_Activity_2026062'!F190</f>
        <v>58202.12</v>
      </c>
      <c r="G190" t="str">
        <f>'2026_Chase9335_Activity_2026062'!G190</f>
        <v>Personal - Subscriptions</v>
      </c>
      <c r="H190" s="4">
        <f t="shared" si="2"/>
        <v>46113</v>
      </c>
      <c r="I190" t="str">
        <f>IF($G190="","Uncategorized — Review",IFERROR(_xlfn.XLOOKUP($G190,Mapping!$A:$A,Mapping!$B:$B),"Uncategorized — Review"))</f>
        <v>Personal - Subscriptions</v>
      </c>
      <c r="J190" t="str">
        <f>IF($G190="","Uncategorized — Review",IFERROR(_xlfn.XLOOKUP($G190,Mapping!$A:$A,Mapping!$C:$C),"Uncategorized — Review"))</f>
        <v>Personal — Owner</v>
      </c>
    </row>
    <row r="191" spans="1:10" x14ac:dyDescent="0.25">
      <c r="A191" t="str">
        <f>'2026_Chase9335_Activity_2026062'!A191</f>
        <v>DEBIT</v>
      </c>
      <c r="B191" s="1">
        <f>'2026_Chase9335_Activity_2026062'!B191</f>
        <v>46115</v>
      </c>
      <c r="C191" t="str">
        <f>'2026_Chase9335_Activity_2026062'!C191</f>
        <v>Online Transfer to CHK ...9905 transaction#: 28682192926 04/03</v>
      </c>
      <c r="D191" s="5">
        <f>'2026_Chase9335_Activity_2026062'!D191</f>
        <v>-200</v>
      </c>
      <c r="E191" t="str">
        <f>'2026_Chase9335_Activity_2026062'!E191</f>
        <v>ACCT_XFER</v>
      </c>
      <c r="F191" s="5">
        <f>'2026_Chase9335_Activity_2026062'!F191</f>
        <v>58206.38</v>
      </c>
      <c r="G191" t="str">
        <f>'2026_Chase9335_Activity_2026062'!G191</f>
        <v>Transfer to Edgebuilders</v>
      </c>
      <c r="H191" s="4">
        <f t="shared" si="2"/>
        <v>46113</v>
      </c>
      <c r="I191" t="str">
        <f>IF($G191="","Uncategorized — Review",IFERROR(_xlfn.XLOOKUP($G191,Mapping!$A:$A,Mapping!$B:$B),"Uncategorized — Review"))</f>
        <v>Transfer to Edgebuilders</v>
      </c>
      <c r="J191" t="str">
        <f>IF($G191="","Uncategorized — Review",IFERROR(_xlfn.XLOOKUP($G191,Mapping!$A:$A,Mapping!$C:$C),"Uncategorized — Review"))</f>
        <v>Intercompany &amp; Savings Transfers</v>
      </c>
    </row>
    <row r="192" spans="1:10" x14ac:dyDescent="0.25">
      <c r="A192" t="str">
        <f>'2026_Chase9335_Activity_2026062'!A192</f>
        <v>DEBIT</v>
      </c>
      <c r="B192" s="1">
        <f>'2026_Chase9335_Activity_2026062'!B192</f>
        <v>46113</v>
      </c>
      <c r="C192" t="str">
        <f>'2026_Chase9335_Activity_2026062'!C192</f>
        <v>Experian* Credit Repor 479-3436237 CA        04/01</v>
      </c>
      <c r="D192" s="5">
        <f>'2026_Chase9335_Activity_2026062'!D192</f>
        <v>-27.05</v>
      </c>
      <c r="E192" t="str">
        <f>'2026_Chase9335_Activity_2026062'!E192</f>
        <v>DEBIT_CARD</v>
      </c>
      <c r="F192" s="5">
        <f>'2026_Chase9335_Activity_2026062'!F192</f>
        <v>58406.38</v>
      </c>
      <c r="G192" t="str">
        <f>'2026_Chase9335_Activity_2026062'!G192</f>
        <v>Personal - Subscriptions</v>
      </c>
      <c r="H192" s="4">
        <f t="shared" si="2"/>
        <v>46113</v>
      </c>
      <c r="I192" t="str">
        <f>IF($G192="","Uncategorized — Review",IFERROR(_xlfn.XLOOKUP($G192,Mapping!$A:$A,Mapping!$B:$B),"Uncategorized — Review"))</f>
        <v>Personal - Subscriptions</v>
      </c>
      <c r="J192" t="str">
        <f>IF($G192="","Uncategorized — Review",IFERROR(_xlfn.XLOOKUP($G192,Mapping!$A:$A,Mapping!$C:$C),"Uncategorized — Review"))</f>
        <v>Personal — Owner</v>
      </c>
    </row>
    <row r="193" spans="1:10" x14ac:dyDescent="0.25">
      <c r="A193" t="str">
        <f>'2026_Chase9335_Activity_2026062'!A193</f>
        <v>DEBIT</v>
      </c>
      <c r="B193" s="1">
        <f>'2026_Chase9335_Activity_2026062'!B193</f>
        <v>46113</v>
      </c>
      <c r="C193" t="str">
        <f>'2026_Chase9335_Activity_2026062'!C193</f>
        <v>APPLE.COM/BILL 866-712-7753 CA               04/01</v>
      </c>
      <c r="D193" s="5">
        <f>'2026_Chase9335_Activity_2026062'!D193</f>
        <v>-51.45</v>
      </c>
      <c r="E193" t="str">
        <f>'2026_Chase9335_Activity_2026062'!E193</f>
        <v>DEBIT_CARD</v>
      </c>
      <c r="F193" s="5">
        <f>'2026_Chase9335_Activity_2026062'!F193</f>
        <v>58433.43</v>
      </c>
      <c r="G193" t="str">
        <f>'2026_Chase9335_Activity_2026062'!G193</f>
        <v>Personal - Subscriptions</v>
      </c>
      <c r="H193" s="4">
        <f t="shared" si="2"/>
        <v>46113</v>
      </c>
      <c r="I193" t="str">
        <f>IF($G193="","Uncategorized — Review",IFERROR(_xlfn.XLOOKUP($G193,Mapping!$A:$A,Mapping!$B:$B),"Uncategorized — Review"))</f>
        <v>Personal - Subscriptions</v>
      </c>
      <c r="J193" t="str">
        <f>IF($G193="","Uncategorized — Review",IFERROR(_xlfn.XLOOKUP($G193,Mapping!$A:$A,Mapping!$C:$C),"Uncategorized — Review"))</f>
        <v>Personal — Owner</v>
      </c>
    </row>
    <row r="194" spans="1:10" x14ac:dyDescent="0.25">
      <c r="A194" t="str">
        <f>'2026_Chase9335_Activity_2026062'!A194</f>
        <v>DEBIT</v>
      </c>
      <c r="B194" s="1">
        <f>'2026_Chase9335_Activity_2026062'!B194</f>
        <v>46113</v>
      </c>
      <c r="C194" t="str">
        <f>'2026_Chase9335_Activity_2026062'!C194</f>
        <v>Amazon.com*BG9PV9ZG0 Amzn.com/bill WA        03/31</v>
      </c>
      <c r="D194" s="5">
        <f>'2026_Chase9335_Activity_2026062'!D194</f>
        <v>-8.6199999999999992</v>
      </c>
      <c r="E194" t="str">
        <f>'2026_Chase9335_Activity_2026062'!E194</f>
        <v>DEBIT_CARD</v>
      </c>
      <c r="F194" s="5">
        <f>'2026_Chase9335_Activity_2026062'!F194</f>
        <v>58484.88</v>
      </c>
      <c r="G194" t="str">
        <f>'2026_Chase9335_Activity_2026062'!G194</f>
        <v>Amazon</v>
      </c>
      <c r="H194" s="4">
        <f t="shared" si="2"/>
        <v>46113</v>
      </c>
      <c r="I194" t="str">
        <f>IF($G194="","Uncategorized — Review",IFERROR(_xlfn.XLOOKUP($G194,Mapping!$A:$A,Mapping!$B:$B),"Uncategorized — Review"))</f>
        <v>Amazon</v>
      </c>
      <c r="J194" t="str">
        <f>IF($G194="","Uncategorized — Review",IFERROR(_xlfn.XLOOKUP($G194,Mapping!$A:$A,Mapping!$C:$C),"Uncategorized — Review"))</f>
        <v>Personal — Owner</v>
      </c>
    </row>
    <row r="195" spans="1:10" x14ac:dyDescent="0.25">
      <c r="A195" t="str">
        <f>'2026_Chase9335_Activity_2026062'!A195</f>
        <v>CREDIT</v>
      </c>
      <c r="B195" s="1">
        <f>'2026_Chase9335_Activity_2026062'!B195</f>
        <v>46113</v>
      </c>
      <c r="C195" t="str">
        <f>'2026_Chase9335_Activity_2026062'!C195</f>
        <v>ORIG CO NAME:MITCHELL ASSET G       ORIG ID:9024218048 DESC DATE:260401 CO ENTRY DESCR:ACH Pmt   SEC:CCD    TRACE#:021000026858635 EED:260401   IND ID:11213391309                  IND NAME:                           Marketing Reimbursement TRN: 0916858635TC</v>
      </c>
      <c r="D195" s="5">
        <f>'2026_Chase9335_Activity_2026062'!D195</f>
        <v>15000</v>
      </c>
      <c r="E195" t="str">
        <f>'2026_Chase9335_Activity_2026062'!E195</f>
        <v>ACH_CREDIT</v>
      </c>
      <c r="F195" s="5">
        <f>'2026_Chase9335_Activity_2026062'!F195</f>
        <v>58493.5</v>
      </c>
      <c r="G195" t="str">
        <f>'2026_Chase9335_Activity_2026062'!G195</f>
        <v>MAG Marketing Reimbursement</v>
      </c>
      <c r="H195" s="4">
        <f t="shared" ref="H195:H258" si="3">IF($B195="","",DATE(YEAR($B195),MONTH($B195),1))</f>
        <v>46113</v>
      </c>
      <c r="I195" t="str">
        <f>IF($G195="","Uncategorized — Review",IFERROR(_xlfn.XLOOKUP($G195,Mapping!$A:$A,Mapping!$B:$B),"Uncategorized — Review"))</f>
        <v>MAG Marketing Reimbursement</v>
      </c>
      <c r="J195" t="str">
        <f>IF($G195="","Uncategorized — Review",IFERROR(_xlfn.XLOOKUP($G195,Mapping!$A:$A,Mapping!$C:$C),"Uncategorized — Review"))</f>
        <v>MAG Pass-Through</v>
      </c>
    </row>
    <row r="196" spans="1:10" x14ac:dyDescent="0.25">
      <c r="A196" t="str">
        <f>'2026_Chase9335_Activity_2026062'!A196</f>
        <v>DEBIT</v>
      </c>
      <c r="B196" s="1">
        <f>'2026_Chase9335_Activity_2026062'!B196</f>
        <v>46112</v>
      </c>
      <c r="C196" t="str">
        <f>'2026_Chase9335_Activity_2026062'!C196</f>
        <v>UBER   * EATS PENDIN SAN FRANCISCO CA076010  03/31</v>
      </c>
      <c r="D196" s="5">
        <f>'2026_Chase9335_Activity_2026062'!D196</f>
        <v>-44.65</v>
      </c>
      <c r="E196" t="str">
        <f>'2026_Chase9335_Activity_2026062'!E196</f>
        <v>DEBIT_CARD</v>
      </c>
      <c r="F196" s="5">
        <f>'2026_Chase9335_Activity_2026062'!F196</f>
        <v>43493.5</v>
      </c>
      <c r="G196" t="str">
        <f>'2026_Chase9335_Activity_2026062'!G196</f>
        <v>Personal - Car</v>
      </c>
      <c r="H196" s="4">
        <f t="shared" si="3"/>
        <v>46082</v>
      </c>
      <c r="I196" t="str">
        <f>IF($G196="","Uncategorized — Review",IFERROR(_xlfn.XLOOKUP($G196,Mapping!$A:$A,Mapping!$B:$B),"Uncategorized — Review"))</f>
        <v>Personal - Car &amp; Auto</v>
      </c>
      <c r="J196" t="str">
        <f>IF($G196="","Uncategorized — Review",IFERROR(_xlfn.XLOOKUP($G196,Mapping!$A:$A,Mapping!$C:$C),"Uncategorized — Review"))</f>
        <v>Personal — Owner</v>
      </c>
    </row>
    <row r="197" spans="1:10" x14ac:dyDescent="0.25">
      <c r="A197" t="str">
        <f>'2026_Chase9335_Activity_2026062'!A197</f>
        <v>DEBIT</v>
      </c>
      <c r="B197" s="1">
        <f>'2026_Chase9335_Activity_2026062'!B197</f>
        <v>46111</v>
      </c>
      <c r="C197" t="str">
        <f>'2026_Chase9335_Activity_2026062'!C197</f>
        <v>ORIG CO NAME:AMERICAN EXPRESS       ORIG ID:2005032111 DESC DATE:260330 CO ENTRY DESCR:ACH PMT   SEC:CCD    TRACE#:021000024697852 EED:260330   IND ID:W6148                        IND NAME:JOHN DUNNING                                                                                                 ER AM TRN: 0894697852TC</v>
      </c>
      <c r="D197" s="5">
        <f>'2026_Chase9335_Activity_2026062'!D197</f>
        <v>-1237.3699999999999</v>
      </c>
      <c r="E197" t="str">
        <f>'2026_Chase9335_Activity_2026062'!E197</f>
        <v>ACH_DEBIT</v>
      </c>
      <c r="F197" s="5">
        <f>'2026_Chase9335_Activity_2026062'!F197</f>
        <v>43538.15</v>
      </c>
      <c r="G197" t="str">
        <f>'2026_Chase9335_Activity_2026062'!G197</f>
        <v>American Express Credit Card PMT</v>
      </c>
      <c r="H197" s="4">
        <f t="shared" si="3"/>
        <v>46082</v>
      </c>
      <c r="I197" t="str">
        <f>IF($G197="","Uncategorized — Review",IFERROR(_xlfn.XLOOKUP($G197,Mapping!$A:$A,Mapping!$B:$B),"Uncategorized — Review"))</f>
        <v>American Express Credit Card PMT</v>
      </c>
      <c r="J197" t="str">
        <f>IF($G197="","Uncategorized — Review",IFERROR(_xlfn.XLOOKUP($G197,Mapping!$A:$A,Mapping!$C:$C),"Uncategorized — Review"))</f>
        <v>Credit Card &amp; Loan Payments</v>
      </c>
    </row>
    <row r="198" spans="1:10" x14ac:dyDescent="0.25">
      <c r="A198" t="str">
        <f>'2026_Chase9335_Activity_2026062'!A198</f>
        <v>DEBIT</v>
      </c>
      <c r="B198" s="1">
        <f>'2026_Chase9335_Activity_2026062'!B198</f>
        <v>46111</v>
      </c>
      <c r="C198" t="str">
        <f>'2026_Chase9335_Activity_2026062'!C198</f>
        <v>ORIG CO NAME:AMERICAN EXPRESS       ORIG ID:2005032111 DESC DATE:260330 CO ENTRY DESCR:ACH PMT   SEC:CCD    TRACE#:021000024697649 EED:260330   IND ID:W8168                        IND NAME:JOHN DUNNING                                                                                                 ER AM TRN: 0894697649TC</v>
      </c>
      <c r="D198" s="5">
        <f>'2026_Chase9335_Activity_2026062'!D198</f>
        <v>-1775.69</v>
      </c>
      <c r="E198" t="str">
        <f>'2026_Chase9335_Activity_2026062'!E198</f>
        <v>ACH_DEBIT</v>
      </c>
      <c r="F198" s="5">
        <f>'2026_Chase9335_Activity_2026062'!F198</f>
        <v>44775.519999999997</v>
      </c>
      <c r="G198" t="str">
        <f>'2026_Chase9335_Activity_2026062'!G198</f>
        <v>American Express Credit Card PMT</v>
      </c>
      <c r="H198" s="4">
        <f t="shared" si="3"/>
        <v>46082</v>
      </c>
      <c r="I198" t="str">
        <f>IF($G198="","Uncategorized — Review",IFERROR(_xlfn.XLOOKUP($G198,Mapping!$A:$A,Mapping!$B:$B),"Uncategorized — Review"))</f>
        <v>American Express Credit Card PMT</v>
      </c>
      <c r="J198" t="str">
        <f>IF($G198="","Uncategorized — Review",IFERROR(_xlfn.XLOOKUP($G198,Mapping!$A:$A,Mapping!$C:$C),"Uncategorized — Review"))</f>
        <v>Credit Card &amp; Loan Payments</v>
      </c>
    </row>
    <row r="199" spans="1:10" x14ac:dyDescent="0.25">
      <c r="A199" t="str">
        <f>'2026_Chase9335_Activity_2026062'!A199</f>
        <v>DEBIT</v>
      </c>
      <c r="B199" s="1">
        <f>'2026_Chase9335_Activity_2026062'!B199</f>
        <v>46111</v>
      </c>
      <c r="C199" t="str">
        <f>'2026_Chase9335_Activity_2026062'!C199</f>
        <v>ORIG CO NAME:AMERICAN EXPRESS       ORIG ID:2005032111 DESC DATE:260330 CO ENTRY DESCR:ACH PMT   SEC:CCD    TRACE#:021000024697670 EED:260330   IND ID:W6964                        IND NAME:JOHN DUNNING                                                                                                 ER AM TRN: 0894697670TC</v>
      </c>
      <c r="D199" s="5">
        <f>'2026_Chase9335_Activity_2026062'!D199</f>
        <v>-14941.94</v>
      </c>
      <c r="E199" t="str">
        <f>'2026_Chase9335_Activity_2026062'!E199</f>
        <v>ACH_DEBIT</v>
      </c>
      <c r="F199" s="5">
        <f>'2026_Chase9335_Activity_2026062'!F199</f>
        <v>46551.21</v>
      </c>
      <c r="G199" t="str">
        <f>'2026_Chase9335_Activity_2026062'!G199</f>
        <v>American Express Credit Card PMT</v>
      </c>
      <c r="H199" s="4">
        <f t="shared" si="3"/>
        <v>46082</v>
      </c>
      <c r="I199" t="str">
        <f>IF($G199="","Uncategorized — Review",IFERROR(_xlfn.XLOOKUP($G199,Mapping!$A:$A,Mapping!$B:$B),"Uncategorized — Review"))</f>
        <v>American Express Credit Card PMT</v>
      </c>
      <c r="J199" t="str">
        <f>IF($G199="","Uncategorized — Review",IFERROR(_xlfn.XLOOKUP($G199,Mapping!$A:$A,Mapping!$C:$C),"Uncategorized — Review"))</f>
        <v>Credit Card &amp; Loan Payments</v>
      </c>
    </row>
    <row r="200" spans="1:10" x14ac:dyDescent="0.25">
      <c r="A200" t="str">
        <f>'2026_Chase9335_Activity_2026062'!A200</f>
        <v>DEBIT</v>
      </c>
      <c r="B200" s="1">
        <f>'2026_Chase9335_Activity_2026062'!B200</f>
        <v>46111</v>
      </c>
      <c r="C200" t="str">
        <f>'2026_Chase9335_Activity_2026062'!C200</f>
        <v>UBER   * PENDING SAN FRANCISCO CA    135222  03/29</v>
      </c>
      <c r="D200" s="5">
        <f>'2026_Chase9335_Activity_2026062'!D200</f>
        <v>-19.53</v>
      </c>
      <c r="E200" t="str">
        <f>'2026_Chase9335_Activity_2026062'!E200</f>
        <v>DEBIT_CARD</v>
      </c>
      <c r="F200" s="5">
        <f>'2026_Chase9335_Activity_2026062'!F200</f>
        <v>61493.15</v>
      </c>
      <c r="G200" t="str">
        <f>'2026_Chase9335_Activity_2026062'!G200</f>
        <v>Personal - Car</v>
      </c>
      <c r="H200" s="4">
        <f t="shared" si="3"/>
        <v>46082</v>
      </c>
      <c r="I200" t="str">
        <f>IF($G200="","Uncategorized — Review",IFERROR(_xlfn.XLOOKUP($G200,Mapping!$A:$A,Mapping!$B:$B),"Uncategorized — Review"))</f>
        <v>Personal - Car &amp; Auto</v>
      </c>
      <c r="J200" t="str">
        <f>IF($G200="","Uncategorized — Review",IFERROR(_xlfn.XLOOKUP($G200,Mapping!$A:$A,Mapping!$C:$C),"Uncategorized — Review"))</f>
        <v>Personal — Owner</v>
      </c>
    </row>
    <row r="201" spans="1:10" x14ac:dyDescent="0.25">
      <c r="A201" t="str">
        <f>'2026_Chase9335_Activity_2026062'!A201</f>
        <v>DEBIT</v>
      </c>
      <c r="B201" s="1">
        <f>'2026_Chase9335_Activity_2026062'!B201</f>
        <v>46111</v>
      </c>
      <c r="C201" t="str">
        <f>'2026_Chase9335_Activity_2026062'!C201</f>
        <v>APPLE.COM/BILL 866-712-7753 CA               03/29</v>
      </c>
      <c r="D201" s="5">
        <f>'2026_Chase9335_Activity_2026062'!D201</f>
        <v>-30.89</v>
      </c>
      <c r="E201" t="str">
        <f>'2026_Chase9335_Activity_2026062'!E201</f>
        <v>DEBIT_CARD</v>
      </c>
      <c r="F201" s="5">
        <f>'2026_Chase9335_Activity_2026062'!F201</f>
        <v>61512.68</v>
      </c>
      <c r="G201" t="str">
        <f>'2026_Chase9335_Activity_2026062'!G201</f>
        <v>Personal - Subscriptions</v>
      </c>
      <c r="H201" s="4">
        <f t="shared" si="3"/>
        <v>46082</v>
      </c>
      <c r="I201" t="str">
        <f>IF($G201="","Uncategorized — Review",IFERROR(_xlfn.XLOOKUP($G201,Mapping!$A:$A,Mapping!$B:$B),"Uncategorized — Review"))</f>
        <v>Personal - Subscriptions</v>
      </c>
      <c r="J201" t="str">
        <f>IF($G201="","Uncategorized — Review",IFERROR(_xlfn.XLOOKUP($G201,Mapping!$A:$A,Mapping!$C:$C),"Uncategorized — Review"))</f>
        <v>Personal — Owner</v>
      </c>
    </row>
    <row r="202" spans="1:10" x14ac:dyDescent="0.25">
      <c r="A202" t="str">
        <f>'2026_Chase9335_Activity_2026062'!A202</f>
        <v>DEBIT</v>
      </c>
      <c r="B202" s="1">
        <f>'2026_Chase9335_Activity_2026062'!B202</f>
        <v>46111</v>
      </c>
      <c r="C202" t="str">
        <f>'2026_Chase9335_Activity_2026062'!C202</f>
        <v>WITHDRAWAL 03/30</v>
      </c>
      <c r="D202" s="5">
        <f>'2026_Chase9335_Activity_2026062'!D202</f>
        <v>-12000</v>
      </c>
      <c r="E202" t="str">
        <f>'2026_Chase9335_Activity_2026062'!E202</f>
        <v>MISC_DEBIT</v>
      </c>
      <c r="F202" s="5">
        <f>'2026_Chase9335_Activity_2026062'!F202</f>
        <v>61543.57</v>
      </c>
      <c r="G202" t="str">
        <f>'2026_Chase9335_Activity_2026062'!G202</f>
        <v>ATM/Cash</v>
      </c>
      <c r="H202" s="4">
        <f t="shared" si="3"/>
        <v>46082</v>
      </c>
      <c r="I202" t="str">
        <f>IF($G202="","Uncategorized — Review",IFERROR(_xlfn.XLOOKUP($G202,Mapping!$A:$A,Mapping!$B:$B),"Uncategorized — Review"))</f>
        <v>ATM/Cash</v>
      </c>
      <c r="J202" t="str">
        <f>IF($G202="","Uncategorized — Review",IFERROR(_xlfn.XLOOKUP($G202,Mapping!$A:$A,Mapping!$C:$C),"Uncategorized — Review"))</f>
        <v>Personal — Owner</v>
      </c>
    </row>
    <row r="203" spans="1:10" x14ac:dyDescent="0.25">
      <c r="A203" t="str">
        <f>'2026_Chase9335_Activity_2026062'!A203</f>
        <v>DEBIT</v>
      </c>
      <c r="B203" s="1">
        <f>'2026_Chase9335_Activity_2026062'!B203</f>
        <v>46111</v>
      </c>
      <c r="C203" t="str">
        <f>'2026_Chase9335_Activity_2026062'!C203</f>
        <v>Online Transfer to CHK ...1168 transaction#: 28600213789 03/30</v>
      </c>
      <c r="D203" s="5">
        <f>'2026_Chase9335_Activity_2026062'!D203</f>
        <v>-5000</v>
      </c>
      <c r="E203" t="str">
        <f>'2026_Chase9335_Activity_2026062'!E203</f>
        <v>ACCT_XFER</v>
      </c>
      <c r="F203" s="5">
        <f>'2026_Chase9335_Activity_2026062'!F203</f>
        <v>73543.570000000007</v>
      </c>
      <c r="G203" t="str">
        <f>'2026_Chase9335_Activity_2026062'!G203</f>
        <v>Transfer to DWG Capital Group</v>
      </c>
      <c r="H203" s="4">
        <f t="shared" si="3"/>
        <v>46082</v>
      </c>
      <c r="I203" t="str">
        <f>IF($G203="","Uncategorized — Review",IFERROR(_xlfn.XLOOKUP($G203,Mapping!$A:$A,Mapping!$B:$B),"Uncategorized — Review"))</f>
        <v>Transfer to DWG Capital Group</v>
      </c>
      <c r="J203" t="str">
        <f>IF($G203="","Uncategorized — Review",IFERROR(_xlfn.XLOOKUP($G203,Mapping!$A:$A,Mapping!$C:$C),"Uncategorized — Review"))</f>
        <v>Intercompany &amp; Savings Transfers</v>
      </c>
    </row>
    <row r="204" spans="1:10" x14ac:dyDescent="0.25">
      <c r="A204" t="str">
        <f>'2026_Chase9335_Activity_2026062'!A204</f>
        <v>DEBIT</v>
      </c>
      <c r="B204" s="1">
        <f>'2026_Chase9335_Activity_2026062'!B204</f>
        <v>46111</v>
      </c>
      <c r="C204" t="str">
        <f>'2026_Chase9335_Activity_2026062'!C204</f>
        <v>Online Transfer to CHK ...1168 transaction#: 28600211780 03/30</v>
      </c>
      <c r="D204" s="5">
        <f>'2026_Chase9335_Activity_2026062'!D204</f>
        <v>-5000</v>
      </c>
      <c r="E204" t="str">
        <f>'2026_Chase9335_Activity_2026062'!E204</f>
        <v>ACCT_XFER</v>
      </c>
      <c r="F204" s="5">
        <f>'2026_Chase9335_Activity_2026062'!F204</f>
        <v>78543.570000000007</v>
      </c>
      <c r="G204" t="str">
        <f>'2026_Chase9335_Activity_2026062'!G204</f>
        <v>Transfer to DWG Capital Group</v>
      </c>
      <c r="H204" s="4">
        <f t="shared" si="3"/>
        <v>46082</v>
      </c>
      <c r="I204" t="str">
        <f>IF($G204="","Uncategorized — Review",IFERROR(_xlfn.XLOOKUP($G204,Mapping!$A:$A,Mapping!$B:$B),"Uncategorized — Review"))</f>
        <v>Transfer to DWG Capital Group</v>
      </c>
      <c r="J204" t="str">
        <f>IF($G204="","Uncategorized — Review",IFERROR(_xlfn.XLOOKUP($G204,Mapping!$A:$A,Mapping!$C:$C),"Uncategorized — Review"))</f>
        <v>Intercompany &amp; Savings Transfers</v>
      </c>
    </row>
    <row r="205" spans="1:10" x14ac:dyDescent="0.25">
      <c r="A205" t="str">
        <f>'2026_Chase9335_Activity_2026062'!A205</f>
        <v>DEBIT</v>
      </c>
      <c r="B205" s="1">
        <f>'2026_Chase9335_Activity_2026062'!B205</f>
        <v>46111</v>
      </c>
      <c r="C205" t="str">
        <f>'2026_Chase9335_Activity_2026062'!C205</f>
        <v>Online Transfer to CHK ...1168 transaction#: 28600210630 03/30</v>
      </c>
      <c r="D205" s="5">
        <f>'2026_Chase9335_Activity_2026062'!D205</f>
        <v>-5000</v>
      </c>
      <c r="E205" t="str">
        <f>'2026_Chase9335_Activity_2026062'!E205</f>
        <v>ACCT_XFER</v>
      </c>
      <c r="F205" s="5">
        <f>'2026_Chase9335_Activity_2026062'!F205</f>
        <v>83543.570000000007</v>
      </c>
      <c r="G205" t="str">
        <f>'2026_Chase9335_Activity_2026062'!G205</f>
        <v>Transfer to DWG Capital Group</v>
      </c>
      <c r="H205" s="4">
        <f t="shared" si="3"/>
        <v>46082</v>
      </c>
      <c r="I205" t="str">
        <f>IF($G205="","Uncategorized — Review",IFERROR(_xlfn.XLOOKUP($G205,Mapping!$A:$A,Mapping!$B:$B),"Uncategorized — Review"))</f>
        <v>Transfer to DWG Capital Group</v>
      </c>
      <c r="J205" t="str">
        <f>IF($G205="","Uncategorized — Review",IFERROR(_xlfn.XLOOKUP($G205,Mapping!$A:$A,Mapping!$C:$C),"Uncategorized — Review"))</f>
        <v>Intercompany &amp; Savings Transfers</v>
      </c>
    </row>
    <row r="206" spans="1:10" x14ac:dyDescent="0.25">
      <c r="A206" t="str">
        <f>'2026_Chase9335_Activity_2026062'!A206</f>
        <v>CREDIT</v>
      </c>
      <c r="B206" s="1">
        <f>'2026_Chase9335_Activity_2026062'!B206</f>
        <v>46111</v>
      </c>
      <c r="C206" t="str">
        <f>'2026_Chase9335_Activity_2026062'!C206</f>
        <v>Online Transfer from CHK ...5153 transaction#: 28604857175</v>
      </c>
      <c r="D206" s="5">
        <f>'2026_Chase9335_Activity_2026062'!D206</f>
        <v>50000</v>
      </c>
      <c r="E206" t="str">
        <f>'2026_Chase9335_Activity_2026062'!E206</f>
        <v>ACCT_XFER</v>
      </c>
      <c r="F206" s="5">
        <f>'2026_Chase9335_Activity_2026062'!F206</f>
        <v>88543.57</v>
      </c>
      <c r="G206" t="str">
        <f>'2026_Chase9335_Activity_2026062'!G206</f>
        <v>Transfer From Stryten</v>
      </c>
      <c r="H206" s="4">
        <f t="shared" si="3"/>
        <v>46082</v>
      </c>
      <c r="I206" t="str">
        <f>IF($G206="","Uncategorized — Review",IFERROR(_xlfn.XLOOKUP($G206,Mapping!$A:$A,Mapping!$B:$B),"Uncategorized — Review"))</f>
        <v>Transfer From Stryten</v>
      </c>
      <c r="J206" t="str">
        <f>IF($G206="","Uncategorized — Review",IFERROR(_xlfn.XLOOKUP($G206,Mapping!$A:$A,Mapping!$C:$C),"Uncategorized — Review"))</f>
        <v>Intercompany &amp; Savings Transfers</v>
      </c>
    </row>
    <row r="207" spans="1:10" x14ac:dyDescent="0.25">
      <c r="A207" t="str">
        <f>'2026_Chase9335_Activity_2026062'!A207</f>
        <v>DEBIT</v>
      </c>
      <c r="B207" s="1">
        <f>'2026_Chase9335_Activity_2026062'!B207</f>
        <v>46108</v>
      </c>
      <c r="C207" t="str">
        <f>'2026_Chase9335_Activity_2026062'!C207</f>
        <v>Prime Video *B58DN629 888-802-3080 WA        03/27</v>
      </c>
      <c r="D207" s="5">
        <f>'2026_Chase9335_Activity_2026062'!D207</f>
        <v>-10.66</v>
      </c>
      <c r="E207" t="str">
        <f>'2026_Chase9335_Activity_2026062'!E207</f>
        <v>DEBIT_CARD</v>
      </c>
      <c r="F207" s="5">
        <f>'2026_Chase9335_Activity_2026062'!F207</f>
        <v>38543.57</v>
      </c>
      <c r="G207" t="str">
        <f>'2026_Chase9335_Activity_2026062'!G207</f>
        <v>Personal - Subscriptions</v>
      </c>
      <c r="H207" s="4">
        <f t="shared" si="3"/>
        <v>46082</v>
      </c>
      <c r="I207" t="str">
        <f>IF($G207="","Uncategorized — Review",IFERROR(_xlfn.XLOOKUP($G207,Mapping!$A:$A,Mapping!$B:$B),"Uncategorized — Review"))</f>
        <v>Personal - Subscriptions</v>
      </c>
      <c r="J207" t="str">
        <f>IF($G207="","Uncategorized — Review",IFERROR(_xlfn.XLOOKUP($G207,Mapping!$A:$A,Mapping!$C:$C),"Uncategorized — Review"))</f>
        <v>Personal — Owner</v>
      </c>
    </row>
    <row r="208" spans="1:10" x14ac:dyDescent="0.25">
      <c r="A208" t="str">
        <f>'2026_Chase9335_Activity_2026062'!A208</f>
        <v>DEBIT</v>
      </c>
      <c r="B208" s="1">
        <f>'2026_Chase9335_Activity_2026062'!B208</f>
        <v>46108</v>
      </c>
      <c r="C208" t="str">
        <f>'2026_Chase9335_Activity_2026062'!C208</f>
        <v>Amazon.com*B52Z38PK0 Amzn.com/bill WA        03/27</v>
      </c>
      <c r="D208" s="5">
        <f>'2026_Chase9335_Activity_2026062'!D208</f>
        <v>-54.76</v>
      </c>
      <c r="E208" t="str">
        <f>'2026_Chase9335_Activity_2026062'!E208</f>
        <v>DEBIT_CARD</v>
      </c>
      <c r="F208" s="5">
        <f>'2026_Chase9335_Activity_2026062'!F208</f>
        <v>38554.230000000003</v>
      </c>
      <c r="G208" t="str">
        <f>'2026_Chase9335_Activity_2026062'!G208</f>
        <v>Amazon</v>
      </c>
      <c r="H208" s="4">
        <f t="shared" si="3"/>
        <v>46082</v>
      </c>
      <c r="I208" t="str">
        <f>IF($G208="","Uncategorized — Review",IFERROR(_xlfn.XLOOKUP($G208,Mapping!$A:$A,Mapping!$B:$B),"Uncategorized — Review"))</f>
        <v>Amazon</v>
      </c>
      <c r="J208" t="str">
        <f>IF($G208="","Uncategorized — Review",IFERROR(_xlfn.XLOOKUP($G208,Mapping!$A:$A,Mapping!$C:$C),"Uncategorized — Review"))</f>
        <v>Personal — Owner</v>
      </c>
    </row>
    <row r="209" spans="1:10" x14ac:dyDescent="0.25">
      <c r="A209" t="str">
        <f>'2026_Chase9335_Activity_2026062'!A209</f>
        <v>DEBIT</v>
      </c>
      <c r="B209" s="1">
        <f>'2026_Chase9335_Activity_2026062'!B209</f>
        <v>46108</v>
      </c>
      <c r="C209" t="str">
        <f>'2026_Chase9335_Activity_2026062'!C209</f>
        <v>Amazon.com*BG7E83YD2 Amzn.com/bill WA        03/27</v>
      </c>
      <c r="D209" s="5">
        <f>'2026_Chase9335_Activity_2026062'!D209</f>
        <v>-111.83</v>
      </c>
      <c r="E209" t="str">
        <f>'2026_Chase9335_Activity_2026062'!E209</f>
        <v>DEBIT_CARD</v>
      </c>
      <c r="F209" s="5">
        <f>'2026_Chase9335_Activity_2026062'!F209</f>
        <v>38608.99</v>
      </c>
      <c r="G209" t="str">
        <f>'2026_Chase9335_Activity_2026062'!G209</f>
        <v>Amazon</v>
      </c>
      <c r="H209" s="4">
        <f t="shared" si="3"/>
        <v>46082</v>
      </c>
      <c r="I209" t="str">
        <f>IF($G209="","Uncategorized — Review",IFERROR(_xlfn.XLOOKUP($G209,Mapping!$A:$A,Mapping!$B:$B),"Uncategorized — Review"))</f>
        <v>Amazon</v>
      </c>
      <c r="J209" t="str">
        <f>IF($G209="","Uncategorized — Review",IFERROR(_xlfn.XLOOKUP($G209,Mapping!$A:$A,Mapping!$C:$C),"Uncategorized — Review"))</f>
        <v>Personal — Owner</v>
      </c>
    </row>
    <row r="210" spans="1:10" x14ac:dyDescent="0.25">
      <c r="A210" t="str">
        <f>'2026_Chase9335_Activity_2026062'!A210</f>
        <v>DEBIT</v>
      </c>
      <c r="B210" s="1">
        <f>'2026_Chase9335_Activity_2026062'!B210</f>
        <v>46108</v>
      </c>
      <c r="C210" t="str">
        <f>'2026_Chase9335_Activity_2026062'!C210</f>
        <v>Amazon.com*B58TJ31K0 Amzn.com/bill WA        03/27</v>
      </c>
      <c r="D210" s="5">
        <f>'2026_Chase9335_Activity_2026062'!D210</f>
        <v>-15.43</v>
      </c>
      <c r="E210" t="str">
        <f>'2026_Chase9335_Activity_2026062'!E210</f>
        <v>DEBIT_CARD</v>
      </c>
      <c r="F210" s="5">
        <f>'2026_Chase9335_Activity_2026062'!F210</f>
        <v>38720.82</v>
      </c>
      <c r="G210" t="str">
        <f>'2026_Chase9335_Activity_2026062'!G210</f>
        <v>Amazon</v>
      </c>
      <c r="H210" s="4">
        <f t="shared" si="3"/>
        <v>46082</v>
      </c>
      <c r="I210" t="str">
        <f>IF($G210="","Uncategorized — Review",IFERROR(_xlfn.XLOOKUP($G210,Mapping!$A:$A,Mapping!$B:$B),"Uncategorized — Review"))</f>
        <v>Amazon</v>
      </c>
      <c r="J210" t="str">
        <f>IF($G210="","Uncategorized — Review",IFERROR(_xlfn.XLOOKUP($G210,Mapping!$A:$A,Mapping!$C:$C),"Uncategorized — Review"))</f>
        <v>Personal — Owner</v>
      </c>
    </row>
    <row r="211" spans="1:10" x14ac:dyDescent="0.25">
      <c r="A211" t="str">
        <f>'2026_Chase9335_Activity_2026062'!A211</f>
        <v>DEBIT</v>
      </c>
      <c r="B211" s="1">
        <f>'2026_Chase9335_Activity_2026062'!B211</f>
        <v>46107</v>
      </c>
      <c r="C211" t="str">
        <f>'2026_Chase9335_Activity_2026062'!C211</f>
        <v>Online Transfer to CHK ...3922 transaction#: 28577249101 03/26</v>
      </c>
      <c r="D211" s="5">
        <f>'2026_Chase9335_Activity_2026062'!D211</f>
        <v>-1000</v>
      </c>
      <c r="E211" t="str">
        <f>'2026_Chase9335_Activity_2026062'!E211</f>
        <v>ACCT_XFER</v>
      </c>
      <c r="F211" s="5">
        <f>'2026_Chase9335_Activity_2026062'!F211</f>
        <v>38736.25</v>
      </c>
      <c r="G211" t="str">
        <f>'2026_Chase9335_Activity_2026062'!G211</f>
        <v>Transfer to DWG Capital Partners</v>
      </c>
      <c r="H211" s="4">
        <f t="shared" si="3"/>
        <v>46082</v>
      </c>
      <c r="I211" t="str">
        <f>IF($G211="","Uncategorized — Review",IFERROR(_xlfn.XLOOKUP($G211,Mapping!$A:$A,Mapping!$B:$B),"Uncategorized — Review"))</f>
        <v>Transfer to DWG Capital Partners</v>
      </c>
      <c r="J211" t="str">
        <f>IF($G211="","Uncategorized — Review",IFERROR(_xlfn.XLOOKUP($G211,Mapping!$A:$A,Mapping!$C:$C),"Uncategorized — Review"))</f>
        <v>Intercompany &amp; Savings Transfers</v>
      </c>
    </row>
    <row r="212" spans="1:10" x14ac:dyDescent="0.25">
      <c r="A212" t="str">
        <f>'2026_Chase9335_Activity_2026062'!A212</f>
        <v>DEBIT</v>
      </c>
      <c r="B212" s="1">
        <f>'2026_Chase9335_Activity_2026062'!B212</f>
        <v>46106</v>
      </c>
      <c r="C212" t="str">
        <f>'2026_Chase9335_Activity_2026062'!C212</f>
        <v>AMAZON MKTPL*B50Q07G Amzn.com/bill WA        03/25</v>
      </c>
      <c r="D212" s="5">
        <f>'2026_Chase9335_Activity_2026062'!D212</f>
        <v>-39.5</v>
      </c>
      <c r="E212" t="str">
        <f>'2026_Chase9335_Activity_2026062'!E212</f>
        <v>DEBIT_CARD</v>
      </c>
      <c r="F212" s="5">
        <f>'2026_Chase9335_Activity_2026062'!F212</f>
        <v>39736.25</v>
      </c>
      <c r="G212" t="str">
        <f>'2026_Chase9335_Activity_2026062'!G212</f>
        <v>Amazon</v>
      </c>
      <c r="H212" s="4">
        <f t="shared" si="3"/>
        <v>46082</v>
      </c>
      <c r="I212" t="str">
        <f>IF($G212="","Uncategorized — Review",IFERROR(_xlfn.XLOOKUP($G212,Mapping!$A:$A,Mapping!$B:$B),"Uncategorized — Review"))</f>
        <v>Amazon</v>
      </c>
      <c r="J212" t="str">
        <f>IF($G212="","Uncategorized — Review",IFERROR(_xlfn.XLOOKUP($G212,Mapping!$A:$A,Mapping!$C:$C),"Uncategorized — Review"))</f>
        <v>Personal — Owner</v>
      </c>
    </row>
    <row r="213" spans="1:10" x14ac:dyDescent="0.25">
      <c r="A213" t="str">
        <f>'2026_Chase9335_Activity_2026062'!A213</f>
        <v>DEBIT</v>
      </c>
      <c r="B213" s="1">
        <f>'2026_Chase9335_Activity_2026062'!B213</f>
        <v>46105</v>
      </c>
      <c r="C213" t="str">
        <f>'2026_Chase9335_Activity_2026062'!C213</f>
        <v>Amazon.com*BG0MW9V42 Amzn.com/bill WA        03/23</v>
      </c>
      <c r="D213" s="5">
        <f>'2026_Chase9335_Activity_2026062'!D213</f>
        <v>-13.14</v>
      </c>
      <c r="E213" t="str">
        <f>'2026_Chase9335_Activity_2026062'!E213</f>
        <v>DEBIT_CARD</v>
      </c>
      <c r="F213" s="5">
        <f>'2026_Chase9335_Activity_2026062'!F213</f>
        <v>39775.75</v>
      </c>
      <c r="G213" t="str">
        <f>'2026_Chase9335_Activity_2026062'!G213</f>
        <v>Amazon</v>
      </c>
      <c r="H213" s="4">
        <f t="shared" si="3"/>
        <v>46082</v>
      </c>
      <c r="I213" t="str">
        <f>IF($G213="","Uncategorized — Review",IFERROR(_xlfn.XLOOKUP($G213,Mapping!$A:$A,Mapping!$B:$B),"Uncategorized — Review"))</f>
        <v>Amazon</v>
      </c>
      <c r="J213" t="str">
        <f>IF($G213="","Uncategorized — Review",IFERROR(_xlfn.XLOOKUP($G213,Mapping!$A:$A,Mapping!$C:$C),"Uncategorized — Review"))</f>
        <v>Personal — Owner</v>
      </c>
    </row>
    <row r="214" spans="1:10" x14ac:dyDescent="0.25">
      <c r="A214" t="str">
        <f>'2026_Chase9335_Activity_2026062'!A214</f>
        <v>DEBIT</v>
      </c>
      <c r="B214" s="1">
        <f>'2026_Chase9335_Activity_2026062'!B214</f>
        <v>46104</v>
      </c>
      <c r="C214" t="str">
        <f>'2026_Chase9335_Activity_2026062'!C214</f>
        <v>UBER   * EATS PENDIN SAN FRANCISCO CA144875  03/23</v>
      </c>
      <c r="D214" s="5">
        <f>'2026_Chase9335_Activity_2026062'!D214</f>
        <v>-54.99</v>
      </c>
      <c r="E214" t="str">
        <f>'2026_Chase9335_Activity_2026062'!E214</f>
        <v>DEBIT_CARD</v>
      </c>
      <c r="F214" s="5">
        <f>'2026_Chase9335_Activity_2026062'!F214</f>
        <v>39788.89</v>
      </c>
      <c r="G214" t="str">
        <f>'2026_Chase9335_Activity_2026062'!G214</f>
        <v>Personal - Car</v>
      </c>
      <c r="H214" s="4">
        <f t="shared" si="3"/>
        <v>46082</v>
      </c>
      <c r="I214" t="str">
        <f>IF($G214="","Uncategorized — Review",IFERROR(_xlfn.XLOOKUP($G214,Mapping!$A:$A,Mapping!$B:$B),"Uncategorized — Review"))</f>
        <v>Personal - Car &amp; Auto</v>
      </c>
      <c r="J214" t="str">
        <f>IF($G214="","Uncategorized — Review",IFERROR(_xlfn.XLOOKUP($G214,Mapping!$A:$A,Mapping!$C:$C),"Uncategorized — Review"))</f>
        <v>Personal — Owner</v>
      </c>
    </row>
    <row r="215" spans="1:10" x14ac:dyDescent="0.25">
      <c r="A215" t="str">
        <f>'2026_Chase9335_Activity_2026062'!A215</f>
        <v>DEBIT</v>
      </c>
      <c r="B215" s="1">
        <f>'2026_Chase9335_Activity_2026062'!B215</f>
        <v>46104</v>
      </c>
      <c r="C215" t="str">
        <f>'2026_Chase9335_Activity_2026062'!C215</f>
        <v>Prime Video *B55YJ5Z6 888-802-3080 WA        03/23</v>
      </c>
      <c r="D215" s="5">
        <f>'2026_Chase9335_Activity_2026062'!D215</f>
        <v>-4.26</v>
      </c>
      <c r="E215" t="str">
        <f>'2026_Chase9335_Activity_2026062'!E215</f>
        <v>DEBIT_CARD</v>
      </c>
      <c r="F215" s="5">
        <f>'2026_Chase9335_Activity_2026062'!F215</f>
        <v>39843.879999999997</v>
      </c>
      <c r="G215" t="str">
        <f>'2026_Chase9335_Activity_2026062'!G215</f>
        <v>Personal - Subscriptions</v>
      </c>
      <c r="H215" s="4">
        <f t="shared" si="3"/>
        <v>46082</v>
      </c>
      <c r="I215" t="str">
        <f>IF($G215="","Uncategorized — Review",IFERROR(_xlfn.XLOOKUP($G215,Mapping!$A:$A,Mapping!$B:$B),"Uncategorized — Review"))</f>
        <v>Personal - Subscriptions</v>
      </c>
      <c r="J215" t="str">
        <f>IF($G215="","Uncategorized — Review",IFERROR(_xlfn.XLOOKUP($G215,Mapping!$A:$A,Mapping!$C:$C),"Uncategorized — Review"))</f>
        <v>Personal — Owner</v>
      </c>
    </row>
    <row r="216" spans="1:10" x14ac:dyDescent="0.25">
      <c r="A216" t="str">
        <f>'2026_Chase9335_Activity_2026062'!A216</f>
        <v>DEBIT</v>
      </c>
      <c r="B216" s="1">
        <f>'2026_Chase9335_Activity_2026062'!B216</f>
        <v>46104</v>
      </c>
      <c r="C216" t="str">
        <f>'2026_Chase9335_Activity_2026062'!C216</f>
        <v>Online Transfer to CHK ...1168 transaction#: 28532232790 03/23</v>
      </c>
      <c r="D216" s="5">
        <f>'2026_Chase9335_Activity_2026062'!D216</f>
        <v>-20000</v>
      </c>
      <c r="E216" t="str">
        <f>'2026_Chase9335_Activity_2026062'!E216</f>
        <v>ACCT_XFER</v>
      </c>
      <c r="F216" s="5">
        <f>'2026_Chase9335_Activity_2026062'!F216</f>
        <v>39848.14</v>
      </c>
      <c r="G216" t="str">
        <f>'2026_Chase9335_Activity_2026062'!G216</f>
        <v>Transfer to DWG Capital Group</v>
      </c>
      <c r="H216" s="4">
        <f t="shared" si="3"/>
        <v>46082</v>
      </c>
      <c r="I216" t="str">
        <f>IF($G216="","Uncategorized — Review",IFERROR(_xlfn.XLOOKUP($G216,Mapping!$A:$A,Mapping!$B:$B),"Uncategorized — Review"))</f>
        <v>Transfer to DWG Capital Group</v>
      </c>
      <c r="J216" t="str">
        <f>IF($G216="","Uncategorized — Review",IFERROR(_xlfn.XLOOKUP($G216,Mapping!$A:$A,Mapping!$C:$C),"Uncategorized — Review"))</f>
        <v>Intercompany &amp; Savings Transfers</v>
      </c>
    </row>
    <row r="217" spans="1:10" x14ac:dyDescent="0.25">
      <c r="A217" t="str">
        <f>'2026_Chase9335_Activity_2026062'!A217</f>
        <v>DEBIT</v>
      </c>
      <c r="B217" s="1">
        <f>'2026_Chase9335_Activity_2026062'!B217</f>
        <v>46104</v>
      </c>
      <c r="C217" t="str">
        <f>'2026_Chase9335_Activity_2026062'!C217</f>
        <v>APPLE.COM/BILL 866-712-7753 CA               03/22</v>
      </c>
      <c r="D217" s="5">
        <f>'2026_Chase9335_Activity_2026062'!D217</f>
        <v>-30.89</v>
      </c>
      <c r="E217" t="str">
        <f>'2026_Chase9335_Activity_2026062'!E217</f>
        <v>DEBIT_CARD</v>
      </c>
      <c r="F217" s="5">
        <f>'2026_Chase9335_Activity_2026062'!F217</f>
        <v>59848.14</v>
      </c>
      <c r="G217" t="str">
        <f>'2026_Chase9335_Activity_2026062'!G217</f>
        <v>Personal - Subscriptions</v>
      </c>
      <c r="H217" s="4">
        <f t="shared" si="3"/>
        <v>46082</v>
      </c>
      <c r="I217" t="str">
        <f>IF($G217="","Uncategorized — Review",IFERROR(_xlfn.XLOOKUP($G217,Mapping!$A:$A,Mapping!$B:$B),"Uncategorized — Review"))</f>
        <v>Personal - Subscriptions</v>
      </c>
      <c r="J217" t="str">
        <f>IF($G217="","Uncategorized — Review",IFERROR(_xlfn.XLOOKUP($G217,Mapping!$A:$A,Mapping!$C:$C),"Uncategorized — Review"))</f>
        <v>Personal — Owner</v>
      </c>
    </row>
    <row r="218" spans="1:10" x14ac:dyDescent="0.25">
      <c r="A218" t="str">
        <f>'2026_Chase9335_Activity_2026062'!A218</f>
        <v>DEBIT</v>
      </c>
      <c r="B218" s="1">
        <f>'2026_Chase9335_Activity_2026062'!B218</f>
        <v>46104</v>
      </c>
      <c r="C218" t="str">
        <f>'2026_Chase9335_Activity_2026062'!C218</f>
        <v>Amazon.com*BD7503WA1 Amzn.com/bill WA        03/21</v>
      </c>
      <c r="D218" s="5">
        <f>'2026_Chase9335_Activity_2026062'!D218</f>
        <v>-14.19</v>
      </c>
      <c r="E218" t="str">
        <f>'2026_Chase9335_Activity_2026062'!E218</f>
        <v>DEBIT_CARD</v>
      </c>
      <c r="F218" s="5">
        <f>'2026_Chase9335_Activity_2026062'!F218</f>
        <v>59879.03</v>
      </c>
      <c r="G218" t="str">
        <f>'2026_Chase9335_Activity_2026062'!G218</f>
        <v>Amazon</v>
      </c>
      <c r="H218" s="4">
        <f t="shared" si="3"/>
        <v>46082</v>
      </c>
      <c r="I218" t="str">
        <f>IF($G218="","Uncategorized — Review",IFERROR(_xlfn.XLOOKUP($G218,Mapping!$A:$A,Mapping!$B:$B),"Uncategorized — Review"))</f>
        <v>Amazon</v>
      </c>
      <c r="J218" t="str">
        <f>IF($G218="","Uncategorized — Review",IFERROR(_xlfn.XLOOKUP($G218,Mapping!$A:$A,Mapping!$C:$C),"Uncategorized — Review"))</f>
        <v>Personal — Owner</v>
      </c>
    </row>
    <row r="219" spans="1:10" x14ac:dyDescent="0.25">
      <c r="A219" t="str">
        <f>'2026_Chase9335_Activity_2026062'!A219</f>
        <v>DEBIT</v>
      </c>
      <c r="B219" s="1">
        <f>'2026_Chase9335_Activity_2026062'!B219</f>
        <v>46104</v>
      </c>
      <c r="C219" t="str">
        <f>'2026_Chase9335_Activity_2026062'!C219</f>
        <v>Netflix.com netflix.com CA                   03/21</v>
      </c>
      <c r="D219" s="5">
        <f>'2026_Chase9335_Activity_2026062'!D219</f>
        <v>-24.99</v>
      </c>
      <c r="E219" t="str">
        <f>'2026_Chase9335_Activity_2026062'!E219</f>
        <v>DEBIT_CARD</v>
      </c>
      <c r="F219" s="5">
        <f>'2026_Chase9335_Activity_2026062'!F219</f>
        <v>59893.22</v>
      </c>
      <c r="G219" t="str">
        <f>'2026_Chase9335_Activity_2026062'!G219</f>
        <v>Personal - Subscriptions</v>
      </c>
      <c r="H219" s="4">
        <f t="shared" si="3"/>
        <v>46082</v>
      </c>
      <c r="I219" t="str">
        <f>IF($G219="","Uncategorized — Review",IFERROR(_xlfn.XLOOKUP($G219,Mapping!$A:$A,Mapping!$B:$B),"Uncategorized — Review"))</f>
        <v>Personal - Subscriptions</v>
      </c>
      <c r="J219" t="str">
        <f>IF($G219="","Uncategorized — Review",IFERROR(_xlfn.XLOOKUP($G219,Mapping!$A:$A,Mapping!$C:$C),"Uncategorized — Review"))</f>
        <v>Personal — Owner</v>
      </c>
    </row>
    <row r="220" spans="1:10" x14ac:dyDescent="0.25">
      <c r="A220" t="str">
        <f>'2026_Chase9335_Activity_2026062'!A220</f>
        <v>DEBIT</v>
      </c>
      <c r="B220" s="1">
        <f>'2026_Chase9335_Activity_2026062'!B220</f>
        <v>46101</v>
      </c>
      <c r="C220" t="str">
        <f>'2026_Chase9335_Activity_2026062'!C220</f>
        <v>UBER   * EATS PENDIN SAN FRANCISCO CA086641  03/20</v>
      </c>
      <c r="D220" s="5">
        <f>'2026_Chase9335_Activity_2026062'!D220</f>
        <v>-78.569999999999993</v>
      </c>
      <c r="E220" t="str">
        <f>'2026_Chase9335_Activity_2026062'!E220</f>
        <v>DEBIT_CARD</v>
      </c>
      <c r="F220" s="5">
        <f>'2026_Chase9335_Activity_2026062'!F220</f>
        <v>59918.21</v>
      </c>
      <c r="G220" t="str">
        <f>'2026_Chase9335_Activity_2026062'!G220</f>
        <v>Personal - Car</v>
      </c>
      <c r="H220" s="4">
        <f t="shared" si="3"/>
        <v>46082</v>
      </c>
      <c r="I220" t="str">
        <f>IF($G220="","Uncategorized — Review",IFERROR(_xlfn.XLOOKUP($G220,Mapping!$A:$A,Mapping!$B:$B),"Uncategorized — Review"))</f>
        <v>Personal - Car &amp; Auto</v>
      </c>
      <c r="J220" t="str">
        <f>IF($G220="","Uncategorized — Review",IFERROR(_xlfn.XLOOKUP($G220,Mapping!$A:$A,Mapping!$C:$C),"Uncategorized — Review"))</f>
        <v>Personal — Owner</v>
      </c>
    </row>
    <row r="221" spans="1:10" x14ac:dyDescent="0.25">
      <c r="A221" t="str">
        <f>'2026_Chase9335_Activity_2026062'!A221</f>
        <v>DEBIT</v>
      </c>
      <c r="B221" s="1">
        <f>'2026_Chase9335_Activity_2026062'!B221</f>
        <v>46101</v>
      </c>
      <c r="C221" t="str">
        <f>'2026_Chase9335_Activity_2026062'!C221</f>
        <v>Zelle payment to Michael Paytonjian JPM99c9x8n88</v>
      </c>
      <c r="D221" s="5">
        <f>'2026_Chase9335_Activity_2026062'!D221</f>
        <v>-62</v>
      </c>
      <c r="E221" t="str">
        <f>'2026_Chase9335_Activity_2026062'!E221</f>
        <v>CHASE_TO_PARTNERFI</v>
      </c>
      <c r="F221" s="5">
        <f>'2026_Chase9335_Activity_2026062'!F221</f>
        <v>59996.78</v>
      </c>
      <c r="G221" t="str">
        <f>'2026_Chase9335_Activity_2026062'!G221</f>
        <v>Office/Miscellaneous Reimbursement - Mike P.</v>
      </c>
      <c r="H221" s="4">
        <f t="shared" si="3"/>
        <v>46082</v>
      </c>
      <c r="I221" t="str">
        <f>IF($G221="","Uncategorized — Review",IFERROR(_xlfn.XLOOKUP($G221,Mapping!$A:$A,Mapping!$B:$B),"Uncategorized — Review"))</f>
        <v>Office/Miscellaneous Reimbursement - Mike P.</v>
      </c>
      <c r="J221" t="str">
        <f>IF($G221="","Uncategorized — Review",IFERROR(_xlfn.XLOOKUP($G221,Mapping!$A:$A,Mapping!$C:$C),"Uncategorized — Review"))</f>
        <v>Payroll &amp; Contractors</v>
      </c>
    </row>
    <row r="222" spans="1:10" x14ac:dyDescent="0.25">
      <c r="A222" t="str">
        <f>'2026_Chase9335_Activity_2026062'!A222</f>
        <v>DEBIT</v>
      </c>
      <c r="B222" s="1">
        <f>'2026_Chase9335_Activity_2026062'!B222</f>
        <v>46101</v>
      </c>
      <c r="C222" t="str">
        <f>'2026_Chase9335_Activity_2026062'!C222</f>
        <v>Amazon.com*BD16C20B0 Amzn.com/bill WA        03/20</v>
      </c>
      <c r="D222" s="5">
        <f>'2026_Chase9335_Activity_2026062'!D222</f>
        <v>-50.36</v>
      </c>
      <c r="E222" t="str">
        <f>'2026_Chase9335_Activity_2026062'!E222</f>
        <v>DEBIT_CARD</v>
      </c>
      <c r="F222" s="5">
        <f>'2026_Chase9335_Activity_2026062'!F222</f>
        <v>60058.78</v>
      </c>
      <c r="G222" t="str">
        <f>'2026_Chase9335_Activity_2026062'!G222</f>
        <v>Amazon</v>
      </c>
      <c r="H222" s="4">
        <f t="shared" si="3"/>
        <v>46082</v>
      </c>
      <c r="I222" t="str">
        <f>IF($G222="","Uncategorized — Review",IFERROR(_xlfn.XLOOKUP($G222,Mapping!$A:$A,Mapping!$B:$B),"Uncategorized — Review"))</f>
        <v>Amazon</v>
      </c>
      <c r="J222" t="str">
        <f>IF($G222="","Uncategorized — Review",IFERROR(_xlfn.XLOOKUP($G222,Mapping!$A:$A,Mapping!$C:$C),"Uncategorized — Review"))</f>
        <v>Personal — Owner</v>
      </c>
    </row>
    <row r="223" spans="1:10" x14ac:dyDescent="0.25">
      <c r="A223" t="str">
        <f>'2026_Chase9335_Activity_2026062'!A223</f>
        <v>DEBIT</v>
      </c>
      <c r="B223" s="1">
        <f>'2026_Chase9335_Activity_2026062'!B223</f>
        <v>46100</v>
      </c>
      <c r="C223" t="str">
        <f>'2026_Chase9335_Activity_2026062'!C223</f>
        <v>ANGEL WWW.ANGEL.COM UT                       03/19</v>
      </c>
      <c r="D223" s="5">
        <f>'2026_Chase9335_Activity_2026062'!D223</f>
        <v>-20</v>
      </c>
      <c r="E223" t="str">
        <f>'2026_Chase9335_Activity_2026062'!E223</f>
        <v>DEBIT_CARD</v>
      </c>
      <c r="F223" s="5">
        <f>'2026_Chase9335_Activity_2026062'!F223</f>
        <v>60109.14</v>
      </c>
      <c r="G223" t="str">
        <f>'2026_Chase9335_Activity_2026062'!G223</f>
        <v>Personal - Subscriptions</v>
      </c>
      <c r="H223" s="4">
        <f t="shared" si="3"/>
        <v>46082</v>
      </c>
      <c r="I223" t="str">
        <f>IF($G223="","Uncategorized — Review",IFERROR(_xlfn.XLOOKUP($G223,Mapping!$A:$A,Mapping!$B:$B),"Uncategorized — Review"))</f>
        <v>Personal - Subscriptions</v>
      </c>
      <c r="J223" t="str">
        <f>IF($G223="","Uncategorized — Review",IFERROR(_xlfn.XLOOKUP($G223,Mapping!$A:$A,Mapping!$C:$C),"Uncategorized — Review"))</f>
        <v>Personal — Owner</v>
      </c>
    </row>
    <row r="224" spans="1:10" x14ac:dyDescent="0.25">
      <c r="A224" t="str">
        <f>'2026_Chase9335_Activity_2026062'!A224</f>
        <v>DEBIT</v>
      </c>
      <c r="B224" s="1">
        <f>'2026_Chase9335_Activity_2026062'!B224</f>
        <v>46100</v>
      </c>
      <c r="C224" t="str">
        <f>'2026_Chase9335_Activity_2026062'!C224</f>
        <v>Amazon.com*BD3V23BE1 Amzn.com/bill WA        03/19</v>
      </c>
      <c r="D224" s="5">
        <f>'2026_Chase9335_Activity_2026062'!D224</f>
        <v>-28.86</v>
      </c>
      <c r="E224" t="str">
        <f>'2026_Chase9335_Activity_2026062'!E224</f>
        <v>DEBIT_CARD</v>
      </c>
      <c r="F224" s="5">
        <f>'2026_Chase9335_Activity_2026062'!F224</f>
        <v>60129.14</v>
      </c>
      <c r="G224" t="str">
        <f>'2026_Chase9335_Activity_2026062'!G224</f>
        <v>Amazon</v>
      </c>
      <c r="H224" s="4">
        <f t="shared" si="3"/>
        <v>46082</v>
      </c>
      <c r="I224" t="str">
        <f>IF($G224="","Uncategorized — Review",IFERROR(_xlfn.XLOOKUP($G224,Mapping!$A:$A,Mapping!$B:$B),"Uncategorized — Review"))</f>
        <v>Amazon</v>
      </c>
      <c r="J224" t="str">
        <f>IF($G224="","Uncategorized — Review",IFERROR(_xlfn.XLOOKUP($G224,Mapping!$A:$A,Mapping!$C:$C),"Uncategorized — Review"))</f>
        <v>Personal — Owner</v>
      </c>
    </row>
    <row r="225" spans="1:10" x14ac:dyDescent="0.25">
      <c r="A225" t="str">
        <f>'2026_Chase9335_Activity_2026062'!A225</f>
        <v>DEBIT</v>
      </c>
      <c r="B225" s="1">
        <f>'2026_Chase9335_Activity_2026062'!B225</f>
        <v>46099</v>
      </c>
      <c r="C225" t="str">
        <f>'2026_Chase9335_Activity_2026062'!C225</f>
        <v>Prime Video *BD1DI8CM 888-802-3080 WA        03/18</v>
      </c>
      <c r="D225" s="5">
        <f>'2026_Chase9335_Activity_2026062'!D225</f>
        <v>-10.66</v>
      </c>
      <c r="E225" t="str">
        <f>'2026_Chase9335_Activity_2026062'!E225</f>
        <v>DEBIT_CARD</v>
      </c>
      <c r="F225" s="5">
        <f>'2026_Chase9335_Activity_2026062'!F225</f>
        <v>60158</v>
      </c>
      <c r="G225" t="str">
        <f>'2026_Chase9335_Activity_2026062'!G225</f>
        <v>Personal - Subscriptions</v>
      </c>
      <c r="H225" s="4">
        <f t="shared" si="3"/>
        <v>46082</v>
      </c>
      <c r="I225" t="str">
        <f>IF($G225="","Uncategorized — Review",IFERROR(_xlfn.XLOOKUP($G225,Mapping!$A:$A,Mapping!$B:$B),"Uncategorized — Review"))</f>
        <v>Personal - Subscriptions</v>
      </c>
      <c r="J225" t="str">
        <f>IF($G225="","Uncategorized — Review",IFERROR(_xlfn.XLOOKUP($G225,Mapping!$A:$A,Mapping!$C:$C),"Uncategorized — Review"))</f>
        <v>Personal — Owner</v>
      </c>
    </row>
    <row r="226" spans="1:10" x14ac:dyDescent="0.25">
      <c r="A226" t="str">
        <f>'2026_Chase9335_Activity_2026062'!A226</f>
        <v>DEBIT</v>
      </c>
      <c r="B226" s="1">
        <f>'2026_Chase9335_Activity_2026062'!B226</f>
        <v>46099</v>
      </c>
      <c r="C226" t="str">
        <f>'2026_Chase9335_Activity_2026062'!C226</f>
        <v>AMAZON MKTPL*B54825M Amzn.com/bill WA        03/18</v>
      </c>
      <c r="D226" s="5">
        <f>'2026_Chase9335_Activity_2026062'!D226</f>
        <v>-21.94</v>
      </c>
      <c r="E226" t="str">
        <f>'2026_Chase9335_Activity_2026062'!E226</f>
        <v>DEBIT_CARD</v>
      </c>
      <c r="F226" s="5">
        <f>'2026_Chase9335_Activity_2026062'!F226</f>
        <v>60168.66</v>
      </c>
      <c r="G226" t="str">
        <f>'2026_Chase9335_Activity_2026062'!G226</f>
        <v>Amazon</v>
      </c>
      <c r="H226" s="4">
        <f t="shared" si="3"/>
        <v>46082</v>
      </c>
      <c r="I226" t="str">
        <f>IF($G226="","Uncategorized — Review",IFERROR(_xlfn.XLOOKUP($G226,Mapping!$A:$A,Mapping!$B:$B),"Uncategorized — Review"))</f>
        <v>Amazon</v>
      </c>
      <c r="J226" t="str">
        <f>IF($G226="","Uncategorized — Review",IFERROR(_xlfn.XLOOKUP($G226,Mapping!$A:$A,Mapping!$C:$C),"Uncategorized — Review"))</f>
        <v>Personal — Owner</v>
      </c>
    </row>
    <row r="227" spans="1:10" x14ac:dyDescent="0.25">
      <c r="A227" t="str">
        <f>'2026_Chase9335_Activity_2026062'!A227</f>
        <v>DEBIT</v>
      </c>
      <c r="B227" s="1">
        <f>'2026_Chase9335_Activity_2026062'!B227</f>
        <v>46099</v>
      </c>
      <c r="C227" t="str">
        <f>'2026_Chase9335_Activity_2026062'!C227</f>
        <v>AMAZON MKTPL*BP58M4Y Amzn.com/bill WA        03/18</v>
      </c>
      <c r="D227" s="5">
        <f>'2026_Chase9335_Activity_2026062'!D227</f>
        <v>-70.22</v>
      </c>
      <c r="E227" t="str">
        <f>'2026_Chase9335_Activity_2026062'!E227</f>
        <v>DEBIT_CARD</v>
      </c>
      <c r="F227" s="5">
        <f>'2026_Chase9335_Activity_2026062'!F227</f>
        <v>60190.6</v>
      </c>
      <c r="G227" t="str">
        <f>'2026_Chase9335_Activity_2026062'!G227</f>
        <v>Amazon</v>
      </c>
      <c r="H227" s="4">
        <f t="shared" si="3"/>
        <v>46082</v>
      </c>
      <c r="I227" t="str">
        <f>IF($G227="","Uncategorized — Review",IFERROR(_xlfn.XLOOKUP($G227,Mapping!$A:$A,Mapping!$B:$B),"Uncategorized — Review"))</f>
        <v>Amazon</v>
      </c>
      <c r="J227" t="str">
        <f>IF($G227="","Uncategorized — Review",IFERROR(_xlfn.XLOOKUP($G227,Mapping!$A:$A,Mapping!$C:$C),"Uncategorized — Review"))</f>
        <v>Personal — Owner</v>
      </c>
    </row>
    <row r="228" spans="1:10" x14ac:dyDescent="0.25">
      <c r="A228" t="str">
        <f>'2026_Chase9335_Activity_2026062'!A228</f>
        <v>DEBIT</v>
      </c>
      <c r="B228" s="1">
        <f>'2026_Chase9335_Activity_2026062'!B228</f>
        <v>46099</v>
      </c>
      <c r="C228" t="str">
        <f>'2026_Chase9335_Activity_2026062'!C228</f>
        <v>Amazon.com*B50NF2XW2 Amzn.com/bill WA        03/17</v>
      </c>
      <c r="D228" s="5">
        <f>'2026_Chase9335_Activity_2026062'!D228</f>
        <v>-98.96</v>
      </c>
      <c r="E228" t="str">
        <f>'2026_Chase9335_Activity_2026062'!E228</f>
        <v>DEBIT_CARD</v>
      </c>
      <c r="F228" s="5">
        <f>'2026_Chase9335_Activity_2026062'!F228</f>
        <v>60260.82</v>
      </c>
      <c r="G228" t="str">
        <f>'2026_Chase9335_Activity_2026062'!G228</f>
        <v>Amazon</v>
      </c>
      <c r="H228" s="4">
        <f t="shared" si="3"/>
        <v>46082</v>
      </c>
      <c r="I228" t="str">
        <f>IF($G228="","Uncategorized — Review",IFERROR(_xlfn.XLOOKUP($G228,Mapping!$A:$A,Mapping!$B:$B),"Uncategorized — Review"))</f>
        <v>Amazon</v>
      </c>
      <c r="J228" t="str">
        <f>IF($G228="","Uncategorized — Review",IFERROR(_xlfn.XLOOKUP($G228,Mapping!$A:$A,Mapping!$C:$C),"Uncategorized — Review"))</f>
        <v>Personal — Owner</v>
      </c>
    </row>
    <row r="229" spans="1:10" x14ac:dyDescent="0.25">
      <c r="A229" t="str">
        <f>'2026_Chase9335_Activity_2026062'!A229</f>
        <v>DEBIT</v>
      </c>
      <c r="B229" s="1">
        <f>'2026_Chase9335_Activity_2026062'!B229</f>
        <v>46098</v>
      </c>
      <c r="C229" t="str">
        <f>'2026_Chase9335_Activity_2026062'!C229</f>
        <v>UBER   *EATS HELP.UB SAN FRANCISCO CA076377  03/17</v>
      </c>
      <c r="D229" s="5">
        <f>'2026_Chase9335_Activity_2026062'!D229</f>
        <v>-3.63</v>
      </c>
      <c r="E229" t="str">
        <f>'2026_Chase9335_Activity_2026062'!E229</f>
        <v>DEBIT_CARD</v>
      </c>
      <c r="F229" s="5">
        <f>'2026_Chase9335_Activity_2026062'!F229</f>
        <v>60359.78</v>
      </c>
      <c r="G229" t="str">
        <f>'2026_Chase9335_Activity_2026062'!G229</f>
        <v>Personal - Car</v>
      </c>
      <c r="H229" s="4">
        <f t="shared" si="3"/>
        <v>46082</v>
      </c>
      <c r="I229" t="str">
        <f>IF($G229="","Uncategorized — Review",IFERROR(_xlfn.XLOOKUP($G229,Mapping!$A:$A,Mapping!$B:$B),"Uncategorized — Review"))</f>
        <v>Personal - Car &amp; Auto</v>
      </c>
      <c r="J229" t="str">
        <f>IF($G229="","Uncategorized — Review",IFERROR(_xlfn.XLOOKUP($G229,Mapping!$A:$A,Mapping!$C:$C),"Uncategorized — Review"))</f>
        <v>Personal — Owner</v>
      </c>
    </row>
    <row r="230" spans="1:10" x14ac:dyDescent="0.25">
      <c r="A230" t="str">
        <f>'2026_Chase9335_Activity_2026062'!A230</f>
        <v>DEBIT</v>
      </c>
      <c r="B230" s="1">
        <f>'2026_Chase9335_Activity_2026062'!B230</f>
        <v>46098</v>
      </c>
      <c r="C230" t="str">
        <f>'2026_Chase9335_Activity_2026062'!C230</f>
        <v>UBER   * EATS PENDIN SAN FRANCISCO CA142143  03/17</v>
      </c>
      <c r="D230" s="5">
        <f>'2026_Chase9335_Activity_2026062'!D230</f>
        <v>-61.54</v>
      </c>
      <c r="E230" t="str">
        <f>'2026_Chase9335_Activity_2026062'!E230</f>
        <v>DEBIT_CARD</v>
      </c>
      <c r="F230" s="5">
        <f>'2026_Chase9335_Activity_2026062'!F230</f>
        <v>60363.41</v>
      </c>
      <c r="G230" t="str">
        <f>'2026_Chase9335_Activity_2026062'!G230</f>
        <v>Personal - Car</v>
      </c>
      <c r="H230" s="4">
        <f t="shared" si="3"/>
        <v>46082</v>
      </c>
      <c r="I230" t="str">
        <f>IF($G230="","Uncategorized — Review",IFERROR(_xlfn.XLOOKUP($G230,Mapping!$A:$A,Mapping!$B:$B),"Uncategorized — Review"))</f>
        <v>Personal - Car &amp; Auto</v>
      </c>
      <c r="J230" t="str">
        <f>IF($G230="","Uncategorized — Review",IFERROR(_xlfn.XLOOKUP($G230,Mapping!$A:$A,Mapping!$C:$C),"Uncategorized — Review"))</f>
        <v>Personal — Owner</v>
      </c>
    </row>
    <row r="231" spans="1:10" x14ac:dyDescent="0.25">
      <c r="A231" t="str">
        <f>'2026_Chase9335_Activity_2026062'!A231</f>
        <v>DEBIT</v>
      </c>
      <c r="B231" s="1">
        <f>'2026_Chase9335_Activity_2026062'!B231</f>
        <v>46098</v>
      </c>
      <c r="C231" t="str">
        <f>'2026_Chase9335_Activity_2026062'!C231</f>
        <v>ROBBINS RESEARCH INT WWW.TONYROBBI CA        03/16</v>
      </c>
      <c r="D231" s="5">
        <f>'2026_Chase9335_Activity_2026062'!D231</f>
        <v>-39</v>
      </c>
      <c r="E231" t="str">
        <f>'2026_Chase9335_Activity_2026062'!E231</f>
        <v>DEBIT_CARD</v>
      </c>
      <c r="F231" s="5">
        <f>'2026_Chase9335_Activity_2026062'!F231</f>
        <v>60424.95</v>
      </c>
      <c r="G231" t="str">
        <f>'2026_Chase9335_Activity_2026062'!G231</f>
        <v>Personal - Subscriptions</v>
      </c>
      <c r="H231" s="4">
        <f t="shared" si="3"/>
        <v>46082</v>
      </c>
      <c r="I231" t="str">
        <f>IF($G231="","Uncategorized — Review",IFERROR(_xlfn.XLOOKUP($G231,Mapping!$A:$A,Mapping!$B:$B),"Uncategorized — Review"))</f>
        <v>Personal - Subscriptions</v>
      </c>
      <c r="J231" t="str">
        <f>IF($G231="","Uncategorized — Review",IFERROR(_xlfn.XLOOKUP($G231,Mapping!$A:$A,Mapping!$C:$C),"Uncategorized — Review"))</f>
        <v>Personal — Owner</v>
      </c>
    </row>
    <row r="232" spans="1:10" x14ac:dyDescent="0.25">
      <c r="A232" t="str">
        <f>'2026_Chase9335_Activity_2026062'!A232</f>
        <v>DEBIT</v>
      </c>
      <c r="B232" s="1">
        <f>'2026_Chase9335_Activity_2026062'!B232</f>
        <v>46098</v>
      </c>
      <c r="C232" t="str">
        <f>'2026_Chase9335_Activity_2026062'!C232</f>
        <v>Amazon.com*BD4S15AN1 Amzn.com/bill WA        03/17</v>
      </c>
      <c r="D232" s="5">
        <f>'2026_Chase9335_Activity_2026062'!D232</f>
        <v>-15.43</v>
      </c>
      <c r="E232" t="str">
        <f>'2026_Chase9335_Activity_2026062'!E232</f>
        <v>DEBIT_CARD</v>
      </c>
      <c r="F232" s="5">
        <f>'2026_Chase9335_Activity_2026062'!F232</f>
        <v>60463.95</v>
      </c>
      <c r="G232" t="str">
        <f>'2026_Chase9335_Activity_2026062'!G232</f>
        <v>Amazon</v>
      </c>
      <c r="H232" s="4">
        <f t="shared" si="3"/>
        <v>46082</v>
      </c>
      <c r="I232" t="str">
        <f>IF($G232="","Uncategorized — Review",IFERROR(_xlfn.XLOOKUP($G232,Mapping!$A:$A,Mapping!$B:$B),"Uncategorized — Review"))</f>
        <v>Amazon</v>
      </c>
      <c r="J232" t="str">
        <f>IF($G232="","Uncategorized — Review",IFERROR(_xlfn.XLOOKUP($G232,Mapping!$A:$A,Mapping!$C:$C),"Uncategorized — Review"))</f>
        <v>Personal — Owner</v>
      </c>
    </row>
    <row r="233" spans="1:10" x14ac:dyDescent="0.25">
      <c r="A233" t="str">
        <f>'2026_Chase9335_Activity_2026062'!A233</f>
        <v>DEBIT</v>
      </c>
      <c r="B233" s="1">
        <f>'2026_Chase9335_Activity_2026062'!B233</f>
        <v>46097</v>
      </c>
      <c r="C233" t="str">
        <f>'2026_Chase9335_Activity_2026062'!C233</f>
        <v>Zelle payment to Michael Paytonjian JPM99c9dyp8w</v>
      </c>
      <c r="D233" s="5">
        <f>'2026_Chase9335_Activity_2026062'!D233</f>
        <v>-55</v>
      </c>
      <c r="E233" t="str">
        <f>'2026_Chase9335_Activity_2026062'!E233</f>
        <v>CHASE_TO_PARTNERFI</v>
      </c>
      <c r="F233" s="5">
        <f>'2026_Chase9335_Activity_2026062'!F233</f>
        <v>60479.38</v>
      </c>
      <c r="G233" t="str">
        <f>'2026_Chase9335_Activity_2026062'!G233</f>
        <v>Office/Miscellaneous Reimbursement - Mike P.</v>
      </c>
      <c r="H233" s="4">
        <f t="shared" si="3"/>
        <v>46082</v>
      </c>
      <c r="I233" t="str">
        <f>IF($G233="","Uncategorized — Review",IFERROR(_xlfn.XLOOKUP($G233,Mapping!$A:$A,Mapping!$B:$B),"Uncategorized — Review"))</f>
        <v>Office/Miscellaneous Reimbursement - Mike P.</v>
      </c>
      <c r="J233" t="str">
        <f>IF($G233="","Uncategorized — Review",IFERROR(_xlfn.XLOOKUP($G233,Mapping!$A:$A,Mapping!$C:$C),"Uncategorized — Review"))</f>
        <v>Payroll &amp; Contractors</v>
      </c>
    </row>
    <row r="234" spans="1:10" x14ac:dyDescent="0.25">
      <c r="A234" t="str">
        <f>'2026_Chase9335_Activity_2026062'!A234</f>
        <v>DEBIT</v>
      </c>
      <c r="B234" s="1">
        <f>'2026_Chase9335_Activity_2026062'!B234</f>
        <v>46097</v>
      </c>
      <c r="C234" t="str">
        <f>'2026_Chase9335_Activity_2026062'!C234</f>
        <v>Amazon.com*BD2RO43P1 Amzn.com/bill WA        03/16</v>
      </c>
      <c r="D234" s="5">
        <f>'2026_Chase9335_Activity_2026062'!D234</f>
        <v>-61.93</v>
      </c>
      <c r="E234" t="str">
        <f>'2026_Chase9335_Activity_2026062'!E234</f>
        <v>DEBIT_CARD</v>
      </c>
      <c r="F234" s="5">
        <f>'2026_Chase9335_Activity_2026062'!F234</f>
        <v>60534.38</v>
      </c>
      <c r="G234" t="str">
        <f>'2026_Chase9335_Activity_2026062'!G234</f>
        <v>Amazon</v>
      </c>
      <c r="H234" s="4">
        <f t="shared" si="3"/>
        <v>46082</v>
      </c>
      <c r="I234" t="str">
        <f>IF($G234="","Uncategorized — Review",IFERROR(_xlfn.XLOOKUP($G234,Mapping!$A:$A,Mapping!$B:$B),"Uncategorized — Review"))</f>
        <v>Amazon</v>
      </c>
      <c r="J234" t="str">
        <f>IF($G234="","Uncategorized — Review",IFERROR(_xlfn.XLOOKUP($G234,Mapping!$A:$A,Mapping!$C:$C),"Uncategorized — Review"))</f>
        <v>Personal — Owner</v>
      </c>
    </row>
    <row r="235" spans="1:10" x14ac:dyDescent="0.25">
      <c r="A235" t="str">
        <f>'2026_Chase9335_Activity_2026062'!A235</f>
        <v>DEBIT</v>
      </c>
      <c r="B235" s="1">
        <f>'2026_Chase9335_Activity_2026062'!B235</f>
        <v>46097</v>
      </c>
      <c r="C235" t="str">
        <f>'2026_Chase9335_Activity_2026062'!C235</f>
        <v>Prime Video *B59AY1CB 888-802-3080 WA        03/15</v>
      </c>
      <c r="D235" s="5">
        <f>'2026_Chase9335_Activity_2026062'!D235</f>
        <v>-4.26</v>
      </c>
      <c r="E235" t="str">
        <f>'2026_Chase9335_Activity_2026062'!E235</f>
        <v>DEBIT_CARD</v>
      </c>
      <c r="F235" s="5">
        <f>'2026_Chase9335_Activity_2026062'!F235</f>
        <v>60596.31</v>
      </c>
      <c r="G235" t="str">
        <f>'2026_Chase9335_Activity_2026062'!G235</f>
        <v>Personal - Subscriptions</v>
      </c>
      <c r="H235" s="4">
        <f t="shared" si="3"/>
        <v>46082</v>
      </c>
      <c r="I235" t="str">
        <f>IF($G235="","Uncategorized — Review",IFERROR(_xlfn.XLOOKUP($G235,Mapping!$A:$A,Mapping!$B:$B),"Uncategorized — Review"))</f>
        <v>Personal - Subscriptions</v>
      </c>
      <c r="J235" t="str">
        <f>IF($G235="","Uncategorized — Review",IFERROR(_xlfn.XLOOKUP($G235,Mapping!$A:$A,Mapping!$C:$C),"Uncategorized — Review"))</f>
        <v>Personal — Owner</v>
      </c>
    </row>
    <row r="236" spans="1:10" x14ac:dyDescent="0.25">
      <c r="A236" t="str">
        <f>'2026_Chase9335_Activity_2026062'!A236</f>
        <v>DEBIT</v>
      </c>
      <c r="B236" s="1">
        <f>'2026_Chase9335_Activity_2026062'!B236</f>
        <v>46097</v>
      </c>
      <c r="C236" t="str">
        <f>'2026_Chase9335_Activity_2026062'!C236</f>
        <v>APPLE.COM/BILL 866-712-7753 CA               03/15</v>
      </c>
      <c r="D236" s="5">
        <f>'2026_Chase9335_Activity_2026062'!D236</f>
        <v>-30.89</v>
      </c>
      <c r="E236" t="str">
        <f>'2026_Chase9335_Activity_2026062'!E236</f>
        <v>DEBIT_CARD</v>
      </c>
      <c r="F236" s="5">
        <f>'2026_Chase9335_Activity_2026062'!F236</f>
        <v>60600.57</v>
      </c>
      <c r="G236" t="str">
        <f>'2026_Chase9335_Activity_2026062'!G236</f>
        <v>Personal - Subscriptions</v>
      </c>
      <c r="H236" s="4">
        <f t="shared" si="3"/>
        <v>46082</v>
      </c>
      <c r="I236" t="str">
        <f>IF($G236="","Uncategorized — Review",IFERROR(_xlfn.XLOOKUP($G236,Mapping!$A:$A,Mapping!$B:$B),"Uncategorized — Review"))</f>
        <v>Personal - Subscriptions</v>
      </c>
      <c r="J236" t="str">
        <f>IF($G236="","Uncategorized — Review",IFERROR(_xlfn.XLOOKUP($G236,Mapping!$A:$A,Mapping!$C:$C),"Uncategorized — Review"))</f>
        <v>Personal — Owner</v>
      </c>
    </row>
    <row r="237" spans="1:10" x14ac:dyDescent="0.25">
      <c r="A237" t="str">
        <f>'2026_Chase9335_Activity_2026062'!A237</f>
        <v>DEBIT</v>
      </c>
      <c r="B237" s="1">
        <f>'2026_Chase9335_Activity_2026062'!B237</f>
        <v>46094</v>
      </c>
      <c r="C237" t="str">
        <f>'2026_Chase9335_Activity_2026062'!C237</f>
        <v>UBER   * EATS PENDIN SAN FRANCISCO CA145223  03/13</v>
      </c>
      <c r="D237" s="5">
        <f>'2026_Chase9335_Activity_2026062'!D237</f>
        <v>-14.89</v>
      </c>
      <c r="E237" t="str">
        <f>'2026_Chase9335_Activity_2026062'!E237</f>
        <v>DEBIT_CARD</v>
      </c>
      <c r="F237" s="5">
        <f>'2026_Chase9335_Activity_2026062'!F237</f>
        <v>60631.46</v>
      </c>
      <c r="G237" t="str">
        <f>'2026_Chase9335_Activity_2026062'!G237</f>
        <v>Personal - Car</v>
      </c>
      <c r="H237" s="4">
        <f t="shared" si="3"/>
        <v>46082</v>
      </c>
      <c r="I237" t="str">
        <f>IF($G237="","Uncategorized — Review",IFERROR(_xlfn.XLOOKUP($G237,Mapping!$A:$A,Mapping!$B:$B),"Uncategorized — Review"))</f>
        <v>Personal - Car &amp; Auto</v>
      </c>
      <c r="J237" t="str">
        <f>IF($G237="","Uncategorized — Review",IFERROR(_xlfn.XLOOKUP($G237,Mapping!$A:$A,Mapping!$C:$C),"Uncategorized — Review"))</f>
        <v>Personal — Owner</v>
      </c>
    </row>
    <row r="238" spans="1:10" x14ac:dyDescent="0.25">
      <c r="A238" t="str">
        <f>'2026_Chase9335_Activity_2026062'!A238</f>
        <v>DEBIT</v>
      </c>
      <c r="B238" s="1">
        <f>'2026_Chase9335_Activity_2026062'!B238</f>
        <v>46094</v>
      </c>
      <c r="C238" t="str">
        <f>'2026_Chase9335_Activity_2026062'!C238</f>
        <v>UBER   * EATS PENDIN SAN FRANCISCO CA077423  03/13</v>
      </c>
      <c r="D238" s="5">
        <f>'2026_Chase9335_Activity_2026062'!D238</f>
        <v>-84.92</v>
      </c>
      <c r="E238" t="str">
        <f>'2026_Chase9335_Activity_2026062'!E238</f>
        <v>DEBIT_CARD</v>
      </c>
      <c r="F238" s="5">
        <f>'2026_Chase9335_Activity_2026062'!F238</f>
        <v>60646.35</v>
      </c>
      <c r="G238" t="str">
        <f>'2026_Chase9335_Activity_2026062'!G238</f>
        <v>Personal - Car</v>
      </c>
      <c r="H238" s="4">
        <f t="shared" si="3"/>
        <v>46082</v>
      </c>
      <c r="I238" t="str">
        <f>IF($G238="","Uncategorized — Review",IFERROR(_xlfn.XLOOKUP($G238,Mapping!$A:$A,Mapping!$B:$B),"Uncategorized — Review"))</f>
        <v>Personal - Car &amp; Auto</v>
      </c>
      <c r="J238" t="str">
        <f>IF($G238="","Uncategorized — Review",IFERROR(_xlfn.XLOOKUP($G238,Mapping!$A:$A,Mapping!$C:$C),"Uncategorized — Review"))</f>
        <v>Personal — Owner</v>
      </c>
    </row>
    <row r="239" spans="1:10" x14ac:dyDescent="0.25">
      <c r="A239" t="str">
        <f>'2026_Chase9335_Activity_2026062'!A239</f>
        <v>DEBIT</v>
      </c>
      <c r="B239" s="1">
        <f>'2026_Chase9335_Activity_2026062'!B239</f>
        <v>46094</v>
      </c>
      <c r="C239" t="str">
        <f>'2026_Chase9335_Activity_2026062'!C239</f>
        <v>Zelle payment to Michael Paytonjian JPM99c90w0wp</v>
      </c>
      <c r="D239" s="5">
        <f>'2026_Chase9335_Activity_2026062'!D239</f>
        <v>-45</v>
      </c>
      <c r="E239" t="str">
        <f>'2026_Chase9335_Activity_2026062'!E239</f>
        <v>CHASE_TO_PARTNERFI</v>
      </c>
      <c r="F239" s="5">
        <f>'2026_Chase9335_Activity_2026062'!F239</f>
        <v>60731.27</v>
      </c>
      <c r="G239" t="str">
        <f>'2026_Chase9335_Activity_2026062'!G239</f>
        <v>Office/Miscellaneous Reimbursement - Mike P.</v>
      </c>
      <c r="H239" s="4">
        <f t="shared" si="3"/>
        <v>46082</v>
      </c>
      <c r="I239" t="str">
        <f>IF($G239="","Uncategorized — Review",IFERROR(_xlfn.XLOOKUP($G239,Mapping!$A:$A,Mapping!$B:$B),"Uncategorized — Review"))</f>
        <v>Office/Miscellaneous Reimbursement - Mike P.</v>
      </c>
      <c r="J239" t="str">
        <f>IF($G239="","Uncategorized — Review",IFERROR(_xlfn.XLOOKUP($G239,Mapping!$A:$A,Mapping!$C:$C),"Uncategorized — Review"))</f>
        <v>Payroll &amp; Contractors</v>
      </c>
    </row>
    <row r="240" spans="1:10" x14ac:dyDescent="0.25">
      <c r="A240" t="str">
        <f>'2026_Chase9335_Activity_2026062'!A240</f>
        <v>DEBIT</v>
      </c>
      <c r="B240" s="1">
        <f>'2026_Chase9335_Activity_2026062'!B240</f>
        <v>46093</v>
      </c>
      <c r="C240" t="str">
        <f>'2026_Chase9335_Activity_2026062'!C240</f>
        <v>BLOOMBERG* 37033964 BLOOMBERG.COM NY         03/12</v>
      </c>
      <c r="D240" s="5">
        <f>'2026_Chase9335_Activity_2026062'!D240</f>
        <v>-34.99</v>
      </c>
      <c r="E240" t="str">
        <f>'2026_Chase9335_Activity_2026062'!E240</f>
        <v>DEBIT_CARD</v>
      </c>
      <c r="F240" s="5">
        <f>'2026_Chase9335_Activity_2026062'!F240</f>
        <v>60776.27</v>
      </c>
      <c r="G240" t="str">
        <f>'2026_Chase9335_Activity_2026062'!G240</f>
        <v>Personal - Subscriptions</v>
      </c>
      <c r="H240" s="4">
        <f t="shared" si="3"/>
        <v>46082</v>
      </c>
      <c r="I240" t="str">
        <f>IF($G240="","Uncategorized — Review",IFERROR(_xlfn.XLOOKUP($G240,Mapping!$A:$A,Mapping!$B:$B),"Uncategorized — Review"))</f>
        <v>Personal - Subscriptions</v>
      </c>
      <c r="J240" t="str">
        <f>IF($G240="","Uncategorized — Review",IFERROR(_xlfn.XLOOKUP($G240,Mapping!$A:$A,Mapping!$C:$C),"Uncategorized — Review"))</f>
        <v>Personal — Owner</v>
      </c>
    </row>
    <row r="241" spans="1:10" x14ac:dyDescent="0.25">
      <c r="A241" t="str">
        <f>'2026_Chase9335_Activity_2026062'!A241</f>
        <v>DEBIT</v>
      </c>
      <c r="B241" s="1">
        <f>'2026_Chase9335_Activity_2026062'!B241</f>
        <v>46092</v>
      </c>
      <c r="C241" t="str">
        <f>'2026_Chase9335_Activity_2026062'!C241</f>
        <v>AMAZON MKTPL*BD9SD30 Amzn.com/bill WA        03/11</v>
      </c>
      <c r="D241" s="5">
        <f>'2026_Chase9335_Activity_2026062'!D241</f>
        <v>-118.68</v>
      </c>
      <c r="E241" t="str">
        <f>'2026_Chase9335_Activity_2026062'!E241</f>
        <v>DEBIT_CARD</v>
      </c>
      <c r="F241" s="5">
        <f>'2026_Chase9335_Activity_2026062'!F241</f>
        <v>60811.26</v>
      </c>
      <c r="G241" t="str">
        <f>'2026_Chase9335_Activity_2026062'!G241</f>
        <v>Amazon</v>
      </c>
      <c r="H241" s="4">
        <f t="shared" si="3"/>
        <v>46082</v>
      </c>
      <c r="I241" t="str">
        <f>IF($G241="","Uncategorized — Review",IFERROR(_xlfn.XLOOKUP($G241,Mapping!$A:$A,Mapping!$B:$B),"Uncategorized — Review"))</f>
        <v>Amazon</v>
      </c>
      <c r="J241" t="str">
        <f>IF($G241="","Uncategorized — Review",IFERROR(_xlfn.XLOOKUP($G241,Mapping!$A:$A,Mapping!$C:$C),"Uncategorized — Review"))</f>
        <v>Personal — Owner</v>
      </c>
    </row>
    <row r="242" spans="1:10" x14ac:dyDescent="0.25">
      <c r="A242" t="str">
        <f>'2026_Chase9335_Activity_2026062'!A242</f>
        <v>CREDIT</v>
      </c>
      <c r="B242" s="1">
        <f>'2026_Chase9335_Activity_2026062'!B242</f>
        <v>46092</v>
      </c>
      <c r="C242" t="str">
        <f>'2026_Chase9335_Activity_2026062'!C242</f>
        <v>ORIG CO NAME:MRM Industrial P       ORIG ID:945440567  DESC DATE:       CO ENTRY DESCR:PAYMENT   SEC:PPD    TRACE#:273976369122380 EED:260311   IND ID:                             IND NAME:John Dunning TRN: 0709122380TC</v>
      </c>
      <c r="D242" s="5">
        <f>'2026_Chase9335_Activity_2026062'!D242</f>
        <v>241.87</v>
      </c>
      <c r="E242" t="str">
        <f>'2026_Chase9335_Activity_2026062'!E242</f>
        <v>ACH_CREDIT</v>
      </c>
      <c r="F242" s="5">
        <f>'2026_Chase9335_Activity_2026062'!F242</f>
        <v>60929.94</v>
      </c>
      <c r="G242" t="str">
        <f>'2026_Chase9335_Activity_2026062'!G242</f>
        <v>Deal Specific: MRM</v>
      </c>
      <c r="H242" s="4">
        <f t="shared" si="3"/>
        <v>46082</v>
      </c>
      <c r="I242" t="str">
        <f>IF($G242="","Uncategorized — Review",IFERROR(_xlfn.XLOOKUP($G242,Mapping!$A:$A,Mapping!$B:$B),"Uncategorized — Review"))</f>
        <v>Deal Specific: MRM</v>
      </c>
      <c r="J242" t="str">
        <f>IF($G242="","Uncategorized — Review",IFERROR(_xlfn.XLOOKUP($G242,Mapping!$A:$A,Mapping!$C:$C),"Uncategorized — Review"))</f>
        <v>Deal-Specific</v>
      </c>
    </row>
    <row r="243" spans="1:10" x14ac:dyDescent="0.25">
      <c r="A243" t="str">
        <f>'2026_Chase9335_Activity_2026062'!A243</f>
        <v>CREDIT</v>
      </c>
      <c r="B243" s="1">
        <f>'2026_Chase9335_Activity_2026062'!B243</f>
        <v>46092</v>
      </c>
      <c r="C243" t="str">
        <f>'2026_Chase9335_Activity_2026062'!C243</f>
        <v>ORIG CO NAME:Austin Iron Hold       ORIG ID:945440567  DESC DATE:       CO ENTRY DESCR:PAYMENT   SEC:PPD    TRACE#:273976369121115 EED:260311   IND ID:                             IND NAME:John Dunning TRN: 0709121115TC</v>
      </c>
      <c r="D243" s="5">
        <f>'2026_Chase9335_Activity_2026062'!D243</f>
        <v>350</v>
      </c>
      <c r="E243" t="str">
        <f>'2026_Chase9335_Activity_2026062'!E243</f>
        <v>ACH_CREDIT</v>
      </c>
      <c r="F243" s="5">
        <f>'2026_Chase9335_Activity_2026062'!F243</f>
        <v>60688.07</v>
      </c>
      <c r="G243" t="str">
        <f>'2026_Chase9335_Activity_2026062'!G243</f>
        <v>Deal Specific: Austin Iron</v>
      </c>
      <c r="H243" s="4">
        <f t="shared" si="3"/>
        <v>46082</v>
      </c>
      <c r="I243" t="str">
        <f>IF($G243="","Uncategorized — Review",IFERROR(_xlfn.XLOOKUP($G243,Mapping!$A:$A,Mapping!$B:$B),"Uncategorized — Review"))</f>
        <v>Deal Specific: Austin Iron</v>
      </c>
      <c r="J243" t="str">
        <f>IF($G243="","Uncategorized — Review",IFERROR(_xlfn.XLOOKUP($G243,Mapping!$A:$A,Mapping!$C:$C),"Uncategorized — Review"))</f>
        <v>Deal-Specific</v>
      </c>
    </row>
    <row r="244" spans="1:10" x14ac:dyDescent="0.25">
      <c r="A244" t="str">
        <f>'2026_Chase9335_Activity_2026062'!A244</f>
        <v>CREDIT</v>
      </c>
      <c r="B244" s="1">
        <f>'2026_Chase9335_Activity_2026062'!B244</f>
        <v>46092</v>
      </c>
      <c r="C244" t="str">
        <f>'2026_Chase9335_Activity_2026062'!C244</f>
        <v>ORIG CO NAME:T and T Machine        ORIG ID:945440567  DESC DATE:       CO ENTRY DESCR:PAYMENT   SEC:PPD    TRACE#:273976369120963 EED:260311   IND ID:                             IND NAME:John Dunning TRN: 0709120963TC</v>
      </c>
      <c r="D244" s="5">
        <f>'2026_Chase9335_Activity_2026062'!D244</f>
        <v>367.52</v>
      </c>
      <c r="E244" t="str">
        <f>'2026_Chase9335_Activity_2026062'!E244</f>
        <v>ACH_CREDIT</v>
      </c>
      <c r="F244" s="5">
        <f>'2026_Chase9335_Activity_2026062'!F244</f>
        <v>60338.07</v>
      </c>
      <c r="G244" t="str">
        <f>'2026_Chase9335_Activity_2026062'!G244</f>
        <v>Deal Specific: T&amp;T Machine</v>
      </c>
      <c r="H244" s="4">
        <f t="shared" si="3"/>
        <v>46082</v>
      </c>
      <c r="I244" t="str">
        <f>IF($G244="","Uncategorized — Review",IFERROR(_xlfn.XLOOKUP($G244,Mapping!$A:$A,Mapping!$B:$B),"Uncategorized — Review"))</f>
        <v>Deal Specific: T&amp;T Machine</v>
      </c>
      <c r="J244" t="str">
        <f>IF($G244="","Uncategorized — Review",IFERROR(_xlfn.XLOOKUP($G244,Mapping!$A:$A,Mapping!$C:$C),"Uncategorized — Review"))</f>
        <v>Deal-Specific</v>
      </c>
    </row>
    <row r="245" spans="1:10" x14ac:dyDescent="0.25">
      <c r="A245" t="str">
        <f>'2026_Chase9335_Activity_2026062'!A245</f>
        <v>CREDIT</v>
      </c>
      <c r="B245" s="1">
        <f>'2026_Chase9335_Activity_2026062'!B245</f>
        <v>46092</v>
      </c>
      <c r="C245" t="str">
        <f>'2026_Chase9335_Activity_2026062'!C245</f>
        <v>ORIG CO NAME:Merit-Lancaster        ORIG ID:945440567  DESC DATE:       CO ENTRY DESCR:PAYMENT   SEC:PPD    TRACE#:273976369123438 EED:260311   IND ID:                             IND NAME:John Dunning TRN: 0709123438TC</v>
      </c>
      <c r="D245" s="5">
        <f>'2026_Chase9335_Activity_2026062'!D245</f>
        <v>491.29</v>
      </c>
      <c r="E245" t="str">
        <f>'2026_Chase9335_Activity_2026062'!E245</f>
        <v>ACH_CREDIT</v>
      </c>
      <c r="F245" s="5">
        <f>'2026_Chase9335_Activity_2026062'!F245</f>
        <v>59970.55</v>
      </c>
      <c r="G245" t="str">
        <f>'2026_Chase9335_Activity_2026062'!G245</f>
        <v>Deal Specific: Merit-Lancaster</v>
      </c>
      <c r="H245" s="4">
        <f t="shared" si="3"/>
        <v>46082</v>
      </c>
      <c r="I245" t="str">
        <f>IF($G245="","Uncategorized — Review",IFERROR(_xlfn.XLOOKUP($G245,Mapping!$A:$A,Mapping!$B:$B),"Uncategorized — Review"))</f>
        <v>Deal Specific: Merit-Lancaster</v>
      </c>
      <c r="J245" t="str">
        <f>IF($G245="","Uncategorized — Review",IFERROR(_xlfn.XLOOKUP($G245,Mapping!$A:$A,Mapping!$C:$C),"Uncategorized — Review"))</f>
        <v>Deal-Specific</v>
      </c>
    </row>
    <row r="246" spans="1:10" x14ac:dyDescent="0.25">
      <c r="A246" t="str">
        <f>'2026_Chase9335_Activity_2026062'!A246</f>
        <v>DEBIT</v>
      </c>
      <c r="B246" s="1">
        <f>'2026_Chase9335_Activity_2026062'!B246</f>
        <v>46091</v>
      </c>
      <c r="C246" t="str">
        <f>'2026_Chase9335_Activity_2026062'!C246</f>
        <v>Amazon.com*BE1TA9ID0 Amzn.com/bill WA        03/10</v>
      </c>
      <c r="D246" s="5">
        <f>'2026_Chase9335_Activity_2026062'!D246</f>
        <v>-15.98</v>
      </c>
      <c r="E246" t="str">
        <f>'2026_Chase9335_Activity_2026062'!E246</f>
        <v>DEBIT_CARD</v>
      </c>
      <c r="F246" s="5">
        <f>'2026_Chase9335_Activity_2026062'!F246</f>
        <v>59479.26</v>
      </c>
      <c r="G246" t="str">
        <f>'2026_Chase9335_Activity_2026062'!G246</f>
        <v>Amazon</v>
      </c>
      <c r="H246" s="4">
        <f t="shared" si="3"/>
        <v>46082</v>
      </c>
      <c r="I246" t="str">
        <f>IF($G246="","Uncategorized — Review",IFERROR(_xlfn.XLOOKUP($G246,Mapping!$A:$A,Mapping!$B:$B),"Uncategorized — Review"))</f>
        <v>Amazon</v>
      </c>
      <c r="J246" t="str">
        <f>IF($G246="","Uncategorized — Review",IFERROR(_xlfn.XLOOKUP($G246,Mapping!$A:$A,Mapping!$C:$C),"Uncategorized — Review"))</f>
        <v>Personal — Owner</v>
      </c>
    </row>
    <row r="247" spans="1:10" x14ac:dyDescent="0.25">
      <c r="A247" t="str">
        <f>'2026_Chase9335_Activity_2026062'!A247</f>
        <v>DEBIT</v>
      </c>
      <c r="B247" s="1">
        <f>'2026_Chase9335_Activity_2026062'!B247</f>
        <v>46091</v>
      </c>
      <c r="C247" t="str">
        <f>'2026_Chase9335_Activity_2026062'!C247</f>
        <v>Amazon.com*BD3ZO1N72 Amzn.com/bill WA        03/10</v>
      </c>
      <c r="D247" s="5">
        <f>'2026_Chase9335_Activity_2026062'!D247</f>
        <v>-15.43</v>
      </c>
      <c r="E247" t="str">
        <f>'2026_Chase9335_Activity_2026062'!E247</f>
        <v>DEBIT_CARD</v>
      </c>
      <c r="F247" s="5">
        <f>'2026_Chase9335_Activity_2026062'!F247</f>
        <v>59495.24</v>
      </c>
      <c r="G247" t="str">
        <f>'2026_Chase9335_Activity_2026062'!G247</f>
        <v>Amazon</v>
      </c>
      <c r="H247" s="4">
        <f t="shared" si="3"/>
        <v>46082</v>
      </c>
      <c r="I247" t="str">
        <f>IF($G247="","Uncategorized — Review",IFERROR(_xlfn.XLOOKUP($G247,Mapping!$A:$A,Mapping!$B:$B),"Uncategorized — Review"))</f>
        <v>Amazon</v>
      </c>
      <c r="J247" t="str">
        <f>IF($G247="","Uncategorized — Review",IFERROR(_xlfn.XLOOKUP($G247,Mapping!$A:$A,Mapping!$C:$C),"Uncategorized — Review"))</f>
        <v>Personal — Owner</v>
      </c>
    </row>
    <row r="248" spans="1:10" x14ac:dyDescent="0.25">
      <c r="A248" t="str">
        <f>'2026_Chase9335_Activity_2026062'!A248</f>
        <v>DEBIT</v>
      </c>
      <c r="B248" s="1">
        <f>'2026_Chase9335_Activity_2026062'!B248</f>
        <v>46090</v>
      </c>
      <c r="C248" t="str">
        <f>'2026_Chase9335_Activity_2026062'!C248</f>
        <v>Amazon.com*BE6PC72A0 Amzn.com/bill WA        03/09</v>
      </c>
      <c r="D248" s="5">
        <f>'2026_Chase9335_Activity_2026062'!D248</f>
        <v>-37.35</v>
      </c>
      <c r="E248" t="str">
        <f>'2026_Chase9335_Activity_2026062'!E248</f>
        <v>DEBIT_CARD</v>
      </c>
      <c r="F248" s="5">
        <f>'2026_Chase9335_Activity_2026062'!F248</f>
        <v>59510.67</v>
      </c>
      <c r="G248" t="str">
        <f>'2026_Chase9335_Activity_2026062'!G248</f>
        <v>Amazon</v>
      </c>
      <c r="H248" s="4">
        <f t="shared" si="3"/>
        <v>46082</v>
      </c>
      <c r="I248" t="str">
        <f>IF($G248="","Uncategorized — Review",IFERROR(_xlfn.XLOOKUP($G248,Mapping!$A:$A,Mapping!$B:$B),"Uncategorized — Review"))</f>
        <v>Amazon</v>
      </c>
      <c r="J248" t="str">
        <f>IF($G248="","Uncategorized — Review",IFERROR(_xlfn.XLOOKUP($G248,Mapping!$A:$A,Mapping!$C:$C),"Uncategorized — Review"))</f>
        <v>Personal — Owner</v>
      </c>
    </row>
    <row r="249" spans="1:10" x14ac:dyDescent="0.25">
      <c r="A249" t="str">
        <f>'2026_Chase9335_Activity_2026062'!A249</f>
        <v>DEBIT</v>
      </c>
      <c r="B249" s="1">
        <f>'2026_Chase9335_Activity_2026062'!B249</f>
        <v>46090</v>
      </c>
      <c r="C249" t="str">
        <f>'2026_Chase9335_Activity_2026062'!C249</f>
        <v>LinkedIn JOB P84168939 855-6535653 CA        03/09</v>
      </c>
      <c r="D249" s="5">
        <f>'2026_Chase9335_Activity_2026062'!D249</f>
        <v>-126.77</v>
      </c>
      <c r="E249" t="str">
        <f>'2026_Chase9335_Activity_2026062'!E249</f>
        <v>DEBIT_CARD</v>
      </c>
      <c r="F249" s="5">
        <f>'2026_Chase9335_Activity_2026062'!F249</f>
        <v>59548.02</v>
      </c>
      <c r="G249" t="str">
        <f>'2026_Chase9335_Activity_2026062'!G249</f>
        <v>DWG HR</v>
      </c>
      <c r="H249" s="4">
        <f t="shared" si="3"/>
        <v>46082</v>
      </c>
      <c r="I249" t="str">
        <f>IF($G249="","Uncategorized — Review",IFERROR(_xlfn.XLOOKUP($G249,Mapping!$A:$A,Mapping!$B:$B),"Uncategorized — Review"))</f>
        <v>DWG HR</v>
      </c>
      <c r="J249" t="str">
        <f>IF($G249="","Uncategorized — Review",IFERROR(_xlfn.XLOOKUP($G249,Mapping!$A:$A,Mapping!$C:$C),"Uncategorized — Review"))</f>
        <v>Payroll &amp; Contractors</v>
      </c>
    </row>
    <row r="250" spans="1:10" x14ac:dyDescent="0.25">
      <c r="A250" t="str">
        <f>'2026_Chase9335_Activity_2026062'!A250</f>
        <v>DEBIT</v>
      </c>
      <c r="B250" s="1">
        <f>'2026_Chase9335_Activity_2026062'!B250</f>
        <v>46090</v>
      </c>
      <c r="C250" t="str">
        <f>'2026_Chase9335_Activity_2026062'!C250</f>
        <v>Peacock D9347 Premium 212-6640138 NY         03/09</v>
      </c>
      <c r="D250" s="5">
        <f>'2026_Chase9335_Activity_2026062'!D250</f>
        <v>-11.73</v>
      </c>
      <c r="E250" t="str">
        <f>'2026_Chase9335_Activity_2026062'!E250</f>
        <v>DEBIT_CARD</v>
      </c>
      <c r="F250" s="5">
        <f>'2026_Chase9335_Activity_2026062'!F250</f>
        <v>59674.79</v>
      </c>
      <c r="G250" t="str">
        <f>'2026_Chase9335_Activity_2026062'!G250</f>
        <v>Personal - Subscriptions</v>
      </c>
      <c r="H250" s="4">
        <f t="shared" si="3"/>
        <v>46082</v>
      </c>
      <c r="I250" t="str">
        <f>IF($G250="","Uncategorized — Review",IFERROR(_xlfn.XLOOKUP($G250,Mapping!$A:$A,Mapping!$B:$B),"Uncategorized — Review"))</f>
        <v>Personal - Subscriptions</v>
      </c>
      <c r="J250" t="str">
        <f>IF($G250="","Uncategorized — Review",IFERROR(_xlfn.XLOOKUP($G250,Mapping!$A:$A,Mapping!$C:$C),"Uncategorized — Review"))</f>
        <v>Personal — Owner</v>
      </c>
    </row>
    <row r="251" spans="1:10" x14ac:dyDescent="0.25">
      <c r="A251" t="str">
        <f>'2026_Chase9335_Activity_2026062'!A251</f>
        <v>DEBIT</v>
      </c>
      <c r="B251" s="1">
        <f>'2026_Chase9335_Activity_2026062'!B251</f>
        <v>46090</v>
      </c>
      <c r="C251" t="str">
        <f>'2026_Chase9335_Activity_2026062'!C251</f>
        <v>Prime Video *BE2QK7QE 888-802-3080 WA        03/08</v>
      </c>
      <c r="D251" s="5">
        <f>'2026_Chase9335_Activity_2026062'!D251</f>
        <v>-8.5399999999999991</v>
      </c>
      <c r="E251" t="str">
        <f>'2026_Chase9335_Activity_2026062'!E251</f>
        <v>DEBIT_CARD</v>
      </c>
      <c r="F251" s="5">
        <f>'2026_Chase9335_Activity_2026062'!F251</f>
        <v>59686.52</v>
      </c>
      <c r="G251" t="str">
        <f>'2026_Chase9335_Activity_2026062'!G251</f>
        <v>Personal - Subscriptions</v>
      </c>
      <c r="H251" s="4">
        <f t="shared" si="3"/>
        <v>46082</v>
      </c>
      <c r="I251" t="str">
        <f>IF($G251="","Uncategorized — Review",IFERROR(_xlfn.XLOOKUP($G251,Mapping!$A:$A,Mapping!$B:$B),"Uncategorized — Review"))</f>
        <v>Personal - Subscriptions</v>
      </c>
      <c r="J251" t="str">
        <f>IF($G251="","Uncategorized — Review",IFERROR(_xlfn.XLOOKUP($G251,Mapping!$A:$A,Mapping!$C:$C),"Uncategorized — Review"))</f>
        <v>Personal — Owner</v>
      </c>
    </row>
    <row r="252" spans="1:10" x14ac:dyDescent="0.25">
      <c r="A252" t="str">
        <f>'2026_Chase9335_Activity_2026062'!A252</f>
        <v>DEBIT</v>
      </c>
      <c r="B252" s="1">
        <f>'2026_Chase9335_Activity_2026062'!B252</f>
        <v>46090</v>
      </c>
      <c r="C252" t="str">
        <f>'2026_Chase9335_Activity_2026062'!C252</f>
        <v>Prime Video *BE1PL0Q3 888-802-3080 WA        03/08</v>
      </c>
      <c r="D252" s="5">
        <f>'2026_Chase9335_Activity_2026062'!D252</f>
        <v>-2.12</v>
      </c>
      <c r="E252" t="str">
        <f>'2026_Chase9335_Activity_2026062'!E252</f>
        <v>DEBIT_CARD</v>
      </c>
      <c r="F252" s="5">
        <f>'2026_Chase9335_Activity_2026062'!F252</f>
        <v>59695.06</v>
      </c>
      <c r="G252" t="str">
        <f>'2026_Chase9335_Activity_2026062'!G252</f>
        <v>Personal - Subscriptions</v>
      </c>
      <c r="H252" s="4">
        <f t="shared" si="3"/>
        <v>46082</v>
      </c>
      <c r="I252" t="str">
        <f>IF($G252="","Uncategorized — Review",IFERROR(_xlfn.XLOOKUP($G252,Mapping!$A:$A,Mapping!$B:$B),"Uncategorized — Review"))</f>
        <v>Personal - Subscriptions</v>
      </c>
      <c r="J252" t="str">
        <f>IF($G252="","Uncategorized — Review",IFERROR(_xlfn.XLOOKUP($G252,Mapping!$A:$A,Mapping!$C:$C),"Uncategorized — Review"))</f>
        <v>Personal — Owner</v>
      </c>
    </row>
    <row r="253" spans="1:10" x14ac:dyDescent="0.25">
      <c r="A253" t="str">
        <f>'2026_Chase9335_Activity_2026062'!A253</f>
        <v>DEBIT</v>
      </c>
      <c r="B253" s="1">
        <f>'2026_Chase9335_Activity_2026062'!B253</f>
        <v>46090</v>
      </c>
      <c r="C253" t="str">
        <f>'2026_Chase9335_Activity_2026062'!C253</f>
        <v>UBER *ONE MEMBERSHIP SAN FRANCISCO CA993926  03/08</v>
      </c>
      <c r="D253" s="5">
        <f>'2026_Chase9335_Activity_2026062'!D253</f>
        <v>-9.99</v>
      </c>
      <c r="E253" t="str">
        <f>'2026_Chase9335_Activity_2026062'!E253</f>
        <v>DEBIT_CARD</v>
      </c>
      <c r="F253" s="5">
        <f>'2026_Chase9335_Activity_2026062'!F253</f>
        <v>59697.18</v>
      </c>
      <c r="G253" t="str">
        <f>'2026_Chase9335_Activity_2026062'!G253</f>
        <v>Personal - Subscriptions</v>
      </c>
      <c r="H253" s="4">
        <f t="shared" si="3"/>
        <v>46082</v>
      </c>
      <c r="I253" t="str">
        <f>IF($G253="","Uncategorized — Review",IFERROR(_xlfn.XLOOKUP($G253,Mapping!$A:$A,Mapping!$B:$B),"Uncategorized — Review"))</f>
        <v>Personal - Subscriptions</v>
      </c>
      <c r="J253" t="str">
        <f>IF($G253="","Uncategorized — Review",IFERROR(_xlfn.XLOOKUP($G253,Mapping!$A:$A,Mapping!$C:$C),"Uncategorized — Review"))</f>
        <v>Personal — Owner</v>
      </c>
    </row>
    <row r="254" spans="1:10" x14ac:dyDescent="0.25">
      <c r="A254" t="str">
        <f>'2026_Chase9335_Activity_2026062'!A254</f>
        <v>DEBIT</v>
      </c>
      <c r="B254" s="1">
        <f>'2026_Chase9335_Activity_2026062'!B254</f>
        <v>46090</v>
      </c>
      <c r="C254" t="str">
        <f>'2026_Chase9335_Activity_2026062'!C254</f>
        <v>APPLE.COM/BILL 866-712-7753 CA               03/08</v>
      </c>
      <c r="D254" s="5">
        <f>'2026_Chase9335_Activity_2026062'!D254</f>
        <v>-30.89</v>
      </c>
      <c r="E254" t="str">
        <f>'2026_Chase9335_Activity_2026062'!E254</f>
        <v>DEBIT_CARD</v>
      </c>
      <c r="F254" s="5">
        <f>'2026_Chase9335_Activity_2026062'!F254</f>
        <v>59707.17</v>
      </c>
      <c r="G254" t="str">
        <f>'2026_Chase9335_Activity_2026062'!G254</f>
        <v>Personal - Subscriptions</v>
      </c>
      <c r="H254" s="4">
        <f t="shared" si="3"/>
        <v>46082</v>
      </c>
      <c r="I254" t="str">
        <f>IF($G254="","Uncategorized — Review",IFERROR(_xlfn.XLOOKUP($G254,Mapping!$A:$A,Mapping!$B:$B),"Uncategorized — Review"))</f>
        <v>Personal - Subscriptions</v>
      </c>
      <c r="J254" t="str">
        <f>IF($G254="","Uncategorized — Review",IFERROR(_xlfn.XLOOKUP($G254,Mapping!$A:$A,Mapping!$C:$C),"Uncategorized — Review"))</f>
        <v>Personal — Owner</v>
      </c>
    </row>
    <row r="255" spans="1:10" x14ac:dyDescent="0.25">
      <c r="A255" t="str">
        <f>'2026_Chase9335_Activity_2026062'!A255</f>
        <v>DEBIT</v>
      </c>
      <c r="B255" s="1">
        <f>'2026_Chase9335_Activity_2026062'!B255</f>
        <v>46090</v>
      </c>
      <c r="C255" t="str">
        <f>'2026_Chase9335_Activity_2026062'!C255</f>
        <v>APPLE.COM/BILL 866-712-7753 CA               03/06</v>
      </c>
      <c r="D255" s="5">
        <f>'2026_Chase9335_Activity_2026062'!D255</f>
        <v>-9.99</v>
      </c>
      <c r="E255" t="str">
        <f>'2026_Chase9335_Activity_2026062'!E255</f>
        <v>DEBIT_CARD</v>
      </c>
      <c r="F255" s="5">
        <f>'2026_Chase9335_Activity_2026062'!F255</f>
        <v>59738.06</v>
      </c>
      <c r="G255" t="str">
        <f>'2026_Chase9335_Activity_2026062'!G255</f>
        <v>Personal - Subscriptions</v>
      </c>
      <c r="H255" s="4">
        <f t="shared" si="3"/>
        <v>46082</v>
      </c>
      <c r="I255" t="str">
        <f>IF($G255="","Uncategorized — Review",IFERROR(_xlfn.XLOOKUP($G255,Mapping!$A:$A,Mapping!$B:$B),"Uncategorized — Review"))</f>
        <v>Personal - Subscriptions</v>
      </c>
      <c r="J255" t="str">
        <f>IF($G255="","Uncategorized — Review",IFERROR(_xlfn.XLOOKUP($G255,Mapping!$A:$A,Mapping!$C:$C),"Uncategorized — Review"))</f>
        <v>Personal — Owner</v>
      </c>
    </row>
    <row r="256" spans="1:10" x14ac:dyDescent="0.25">
      <c r="A256" t="str">
        <f>'2026_Chase9335_Activity_2026062'!A256</f>
        <v>CREDIT</v>
      </c>
      <c r="B256" s="1">
        <f>'2026_Chase9335_Activity_2026062'!B256</f>
        <v>46090</v>
      </c>
      <c r="C256" t="str">
        <f>'2026_Chase9335_Activity_2026062'!C256</f>
        <v>ORIG CO NAME:Rabourn Road Ind       ORIG ID:945440567  DESC DATE:       CO ENTRY DESCR:PAYMENT   SEC:PPD    TRACE#:273976363038965 EED:260309   IND ID:                             IND NAME:John Dunning TRN: 0683038965TC</v>
      </c>
      <c r="D256" s="5">
        <f>'2026_Chase9335_Activity_2026062'!D256</f>
        <v>233.33</v>
      </c>
      <c r="E256" t="str">
        <f>'2026_Chase9335_Activity_2026062'!E256</f>
        <v>ACH_CREDIT</v>
      </c>
      <c r="F256" s="5">
        <f>'2026_Chase9335_Activity_2026062'!F256</f>
        <v>59748.05</v>
      </c>
      <c r="G256" t="str">
        <f>'2026_Chase9335_Activity_2026062'!G256</f>
        <v>Deal Specific: Rabourn Road</v>
      </c>
      <c r="H256" s="4">
        <f t="shared" si="3"/>
        <v>46082</v>
      </c>
      <c r="I256" t="str">
        <f>IF($G256="","Uncategorized — Review",IFERROR(_xlfn.XLOOKUP($G256,Mapping!$A:$A,Mapping!$B:$B),"Uncategorized — Review"))</f>
        <v>Deal Specific: Rabourn Road</v>
      </c>
      <c r="J256" t="str">
        <f>IF($G256="","Uncategorized — Review",IFERROR(_xlfn.XLOOKUP($G256,Mapping!$A:$A,Mapping!$C:$C),"Uncategorized — Review"))</f>
        <v>Deal-Specific</v>
      </c>
    </row>
    <row r="257" spans="1:10" x14ac:dyDescent="0.25">
      <c r="A257" t="str">
        <f>'2026_Chase9335_Activity_2026062'!A257</f>
        <v>DEBIT</v>
      </c>
      <c r="B257" s="1">
        <f>'2026_Chase9335_Activity_2026062'!B257</f>
        <v>46086</v>
      </c>
      <c r="C257" t="str">
        <f>'2026_Chase9335_Activity_2026062'!C257</f>
        <v>POWERHOUSE PILATES WWW.POWERHOUS CA          03/05</v>
      </c>
      <c r="D257" s="5">
        <f>'2026_Chase9335_Activity_2026062'!D257</f>
        <v>-1050</v>
      </c>
      <c r="E257" t="str">
        <f>'2026_Chase9335_Activity_2026062'!E257</f>
        <v>DEBIT_CARD</v>
      </c>
      <c r="F257" s="5">
        <f>'2026_Chase9335_Activity_2026062'!F257</f>
        <v>59514.720000000001</v>
      </c>
      <c r="G257" t="str">
        <f>'2026_Chase9335_Activity_2026062'!G257</f>
        <v>Personal - Health (incl. Ins.)</v>
      </c>
      <c r="H257" s="4">
        <f t="shared" si="3"/>
        <v>46082</v>
      </c>
      <c r="I257" t="str">
        <f>IF($G257="","Uncategorized — Review",IFERROR(_xlfn.XLOOKUP($G257,Mapping!$A:$A,Mapping!$B:$B),"Uncategorized — Review"))</f>
        <v>Personal - Health (incl. Ins.)</v>
      </c>
      <c r="J257" t="str">
        <f>IF($G257="","Uncategorized — Review",IFERROR(_xlfn.XLOOKUP($G257,Mapping!$A:$A,Mapping!$C:$C),"Uncategorized — Review"))</f>
        <v>Personal — Owner</v>
      </c>
    </row>
    <row r="258" spans="1:10" x14ac:dyDescent="0.25">
      <c r="A258" t="str">
        <f>'2026_Chase9335_Activity_2026062'!A258</f>
        <v>DEBIT</v>
      </c>
      <c r="B258" s="1">
        <f>'2026_Chase9335_Activity_2026062'!B258</f>
        <v>46086</v>
      </c>
      <c r="C258" t="str">
        <f>'2026_Chase9335_Activity_2026062'!C258</f>
        <v>Prime Video *BE9I9252 888-802-3080 WA        03/05</v>
      </c>
      <c r="D258" s="5">
        <f>'2026_Chase9335_Activity_2026062'!D258</f>
        <v>-10.66</v>
      </c>
      <c r="E258" t="str">
        <f>'2026_Chase9335_Activity_2026062'!E258</f>
        <v>DEBIT_CARD</v>
      </c>
      <c r="F258" s="5">
        <f>'2026_Chase9335_Activity_2026062'!F258</f>
        <v>60564.72</v>
      </c>
      <c r="G258" t="str">
        <f>'2026_Chase9335_Activity_2026062'!G258</f>
        <v>Personal - Subscriptions</v>
      </c>
      <c r="H258" s="4">
        <f t="shared" si="3"/>
        <v>46082</v>
      </c>
      <c r="I258" t="str">
        <f>IF($G258="","Uncategorized — Review",IFERROR(_xlfn.XLOOKUP($G258,Mapping!$A:$A,Mapping!$B:$B),"Uncategorized — Review"))</f>
        <v>Personal - Subscriptions</v>
      </c>
      <c r="J258" t="str">
        <f>IF($G258="","Uncategorized — Review",IFERROR(_xlfn.XLOOKUP($G258,Mapping!$A:$A,Mapping!$C:$C),"Uncategorized — Review"))</f>
        <v>Personal — Owner</v>
      </c>
    </row>
    <row r="259" spans="1:10" x14ac:dyDescent="0.25">
      <c r="A259" t="str">
        <f>'2026_Chase9335_Activity_2026062'!A259</f>
        <v>DEBIT</v>
      </c>
      <c r="B259" s="1">
        <f>'2026_Chase9335_Activity_2026062'!B259</f>
        <v>46086</v>
      </c>
      <c r="C259" t="str">
        <f>'2026_Chase9335_Activity_2026062'!C259</f>
        <v>Amazon.com*BP3A47PG2 Amzn.com/bill WA        03/05</v>
      </c>
      <c r="D259" s="5">
        <f>'2026_Chase9335_Activity_2026062'!D259</f>
        <v>-15.43</v>
      </c>
      <c r="E259" t="str">
        <f>'2026_Chase9335_Activity_2026062'!E259</f>
        <v>DEBIT_CARD</v>
      </c>
      <c r="F259" s="5">
        <f>'2026_Chase9335_Activity_2026062'!F259</f>
        <v>60575.38</v>
      </c>
      <c r="G259" t="str">
        <f>'2026_Chase9335_Activity_2026062'!G259</f>
        <v>Amazon</v>
      </c>
      <c r="H259" s="4">
        <f t="shared" ref="H259:H322" si="4">IF($B259="","",DATE(YEAR($B259),MONTH($B259),1))</f>
        <v>46082</v>
      </c>
      <c r="I259" t="str">
        <f>IF($G259="","Uncategorized — Review",IFERROR(_xlfn.XLOOKUP($G259,Mapping!$A:$A,Mapping!$B:$B),"Uncategorized — Review"))</f>
        <v>Amazon</v>
      </c>
      <c r="J259" t="str">
        <f>IF($G259="","Uncategorized — Review",IFERROR(_xlfn.XLOOKUP($G259,Mapping!$A:$A,Mapping!$C:$C),"Uncategorized — Review"))</f>
        <v>Personal — Owner</v>
      </c>
    </row>
    <row r="260" spans="1:10" x14ac:dyDescent="0.25">
      <c r="A260" t="str">
        <f>'2026_Chase9335_Activity_2026062'!A260</f>
        <v>DEBIT</v>
      </c>
      <c r="B260" s="1">
        <f>'2026_Chase9335_Activity_2026062'!B260</f>
        <v>46086</v>
      </c>
      <c r="C260" t="str">
        <f>'2026_Chase9335_Activity_2026062'!C260</f>
        <v>Amazon.com*BE88C1F70 Amzn.com/bill WA        03/04</v>
      </c>
      <c r="D260" s="5">
        <f>'2026_Chase9335_Activity_2026062'!D260</f>
        <v>-42</v>
      </c>
      <c r="E260" t="str">
        <f>'2026_Chase9335_Activity_2026062'!E260</f>
        <v>DEBIT_CARD</v>
      </c>
      <c r="F260" s="5">
        <f>'2026_Chase9335_Activity_2026062'!F260</f>
        <v>60590.81</v>
      </c>
      <c r="G260" t="str">
        <f>'2026_Chase9335_Activity_2026062'!G260</f>
        <v>Amazon</v>
      </c>
      <c r="H260" s="4">
        <f t="shared" si="4"/>
        <v>46082</v>
      </c>
      <c r="I260" t="str">
        <f>IF($G260="","Uncategorized — Review",IFERROR(_xlfn.XLOOKUP($G260,Mapping!$A:$A,Mapping!$B:$B),"Uncategorized — Review"))</f>
        <v>Amazon</v>
      </c>
      <c r="J260" t="str">
        <f>IF($G260="","Uncategorized — Review",IFERROR(_xlfn.XLOOKUP($G260,Mapping!$A:$A,Mapping!$C:$C),"Uncategorized — Review"))</f>
        <v>Personal — Owner</v>
      </c>
    </row>
    <row r="261" spans="1:10" x14ac:dyDescent="0.25">
      <c r="A261" t="str">
        <f>'2026_Chase9335_Activity_2026062'!A261</f>
        <v>DEBIT</v>
      </c>
      <c r="B261" s="1">
        <f>'2026_Chase9335_Activity_2026062'!B261</f>
        <v>46086</v>
      </c>
      <c r="C261" t="str">
        <f>'2026_Chase9335_Activity_2026062'!C261</f>
        <v>AMAZON MKTPL*BP0YQ4E Amzn.com/bill WA        03/04</v>
      </c>
      <c r="D261" s="5">
        <f>'2026_Chase9335_Activity_2026062'!D261</f>
        <v>-16.440000000000001</v>
      </c>
      <c r="E261" t="str">
        <f>'2026_Chase9335_Activity_2026062'!E261</f>
        <v>DEBIT_CARD</v>
      </c>
      <c r="F261" s="5">
        <f>'2026_Chase9335_Activity_2026062'!F261</f>
        <v>60632.81</v>
      </c>
      <c r="G261" t="str">
        <f>'2026_Chase9335_Activity_2026062'!G261</f>
        <v>Amazon</v>
      </c>
      <c r="H261" s="4">
        <f t="shared" si="4"/>
        <v>46082</v>
      </c>
      <c r="I261" t="str">
        <f>IF($G261="","Uncategorized — Review",IFERROR(_xlfn.XLOOKUP($G261,Mapping!$A:$A,Mapping!$B:$B),"Uncategorized — Review"))</f>
        <v>Amazon</v>
      </c>
      <c r="J261" t="str">
        <f>IF($G261="","Uncategorized — Review",IFERROR(_xlfn.XLOOKUP($G261,Mapping!$A:$A,Mapping!$C:$C),"Uncategorized — Review"))</f>
        <v>Personal — Owner</v>
      </c>
    </row>
    <row r="262" spans="1:10" x14ac:dyDescent="0.25">
      <c r="A262" t="str">
        <f>'2026_Chase9335_Activity_2026062'!A262</f>
        <v>DEBIT</v>
      </c>
      <c r="B262" s="1">
        <f>'2026_Chase9335_Activity_2026062'!B262</f>
        <v>46085</v>
      </c>
      <c r="C262" t="str">
        <f>'2026_Chase9335_Activity_2026062'!C262</f>
        <v>LinkedIn 650-6873555 CA                      03/04</v>
      </c>
      <c r="D262" s="5">
        <f>'2026_Chase9335_Activity_2026062'!D262</f>
        <v>-684.37</v>
      </c>
      <c r="E262" t="str">
        <f>'2026_Chase9335_Activity_2026062'!E262</f>
        <v>DEBIT_CARD</v>
      </c>
      <c r="F262" s="5">
        <f>'2026_Chase9335_Activity_2026062'!F262</f>
        <v>60649.25</v>
      </c>
      <c r="G262" t="str">
        <f>'2026_Chase9335_Activity_2026062'!G262</f>
        <v>DWG HR</v>
      </c>
      <c r="H262" s="4">
        <f t="shared" si="4"/>
        <v>46082</v>
      </c>
      <c r="I262" t="str">
        <f>IF($G262="","Uncategorized — Review",IFERROR(_xlfn.XLOOKUP($G262,Mapping!$A:$A,Mapping!$B:$B),"Uncategorized — Review"))</f>
        <v>DWG HR</v>
      </c>
      <c r="J262" t="str">
        <f>IF($G262="","Uncategorized — Review",IFERROR(_xlfn.XLOOKUP($G262,Mapping!$A:$A,Mapping!$C:$C),"Uncategorized — Review"))</f>
        <v>Payroll &amp; Contractors</v>
      </c>
    </row>
    <row r="263" spans="1:10" x14ac:dyDescent="0.25">
      <c r="A263" t="str">
        <f>'2026_Chase9335_Activity_2026062'!A263</f>
        <v>DEBIT</v>
      </c>
      <c r="B263" s="1">
        <f>'2026_Chase9335_Activity_2026062'!B263</f>
        <v>46085</v>
      </c>
      <c r="C263" t="str">
        <f>'2026_Chase9335_Activity_2026062'!C263</f>
        <v>Prime Video *BP5WV4TQ 888-802-3080 WA        03/04</v>
      </c>
      <c r="D263" s="5">
        <f>'2026_Chase9335_Activity_2026062'!D263</f>
        <v>-10.66</v>
      </c>
      <c r="E263" t="str">
        <f>'2026_Chase9335_Activity_2026062'!E263</f>
        <v>DEBIT_CARD</v>
      </c>
      <c r="F263" s="5">
        <f>'2026_Chase9335_Activity_2026062'!F263</f>
        <v>61333.62</v>
      </c>
      <c r="G263" t="str">
        <f>'2026_Chase9335_Activity_2026062'!G263</f>
        <v>Personal - Subscriptions</v>
      </c>
      <c r="H263" s="4">
        <f t="shared" si="4"/>
        <v>46082</v>
      </c>
      <c r="I263" t="str">
        <f>IF($G263="","Uncategorized — Review",IFERROR(_xlfn.XLOOKUP($G263,Mapping!$A:$A,Mapping!$B:$B),"Uncategorized — Review"))</f>
        <v>Personal - Subscriptions</v>
      </c>
      <c r="J263" t="str">
        <f>IF($G263="","Uncategorized — Review",IFERROR(_xlfn.XLOOKUP($G263,Mapping!$A:$A,Mapping!$C:$C),"Uncategorized — Review"))</f>
        <v>Personal — Owner</v>
      </c>
    </row>
    <row r="264" spans="1:10" x14ac:dyDescent="0.25">
      <c r="A264" t="str">
        <f>'2026_Chase9335_Activity_2026062'!A264</f>
        <v>DEBIT</v>
      </c>
      <c r="B264" s="1">
        <f>'2026_Chase9335_Activity_2026062'!B264</f>
        <v>46085</v>
      </c>
      <c r="C264" t="str">
        <f>'2026_Chase9335_Activity_2026062'!C264</f>
        <v>Amazon.com*B94L70YC0 Amzn.com/bill WA        03/04</v>
      </c>
      <c r="D264" s="5">
        <f>'2026_Chase9335_Activity_2026062'!D264</f>
        <v>-5.45</v>
      </c>
      <c r="E264" t="str">
        <f>'2026_Chase9335_Activity_2026062'!E264</f>
        <v>DEBIT_CARD</v>
      </c>
      <c r="F264" s="5">
        <f>'2026_Chase9335_Activity_2026062'!F264</f>
        <v>61344.28</v>
      </c>
      <c r="G264" t="str">
        <f>'2026_Chase9335_Activity_2026062'!G264</f>
        <v>Amazon</v>
      </c>
      <c r="H264" s="4">
        <f t="shared" si="4"/>
        <v>46082</v>
      </c>
      <c r="I264" t="str">
        <f>IF($G264="","Uncategorized — Review",IFERROR(_xlfn.XLOOKUP($G264,Mapping!$A:$A,Mapping!$B:$B),"Uncategorized — Review"))</f>
        <v>Amazon</v>
      </c>
      <c r="J264" t="str">
        <f>IF($G264="","Uncategorized — Review",IFERROR(_xlfn.XLOOKUP($G264,Mapping!$A:$A,Mapping!$C:$C),"Uncategorized — Review"))</f>
        <v>Personal — Owner</v>
      </c>
    </row>
    <row r="265" spans="1:10" x14ac:dyDescent="0.25">
      <c r="A265" t="str">
        <f>'2026_Chase9335_Activity_2026062'!A265</f>
        <v>DEBIT</v>
      </c>
      <c r="B265" s="1">
        <f>'2026_Chase9335_Activity_2026062'!B265</f>
        <v>46085</v>
      </c>
      <c r="C265" t="str">
        <f>'2026_Chase9335_Activity_2026062'!C265</f>
        <v>Amazon.com*BE6028G91 Amzn.com/bill WA        03/04</v>
      </c>
      <c r="D265" s="5">
        <f>'2026_Chase9335_Activity_2026062'!D265</f>
        <v>-30.22</v>
      </c>
      <c r="E265" t="str">
        <f>'2026_Chase9335_Activity_2026062'!E265</f>
        <v>DEBIT_CARD</v>
      </c>
      <c r="F265" s="5">
        <f>'2026_Chase9335_Activity_2026062'!F265</f>
        <v>61349.73</v>
      </c>
      <c r="G265" t="str">
        <f>'2026_Chase9335_Activity_2026062'!G265</f>
        <v>Amazon</v>
      </c>
      <c r="H265" s="4">
        <f t="shared" si="4"/>
        <v>46082</v>
      </c>
      <c r="I265" t="str">
        <f>IF($G265="","Uncategorized — Review",IFERROR(_xlfn.XLOOKUP($G265,Mapping!$A:$A,Mapping!$B:$B),"Uncategorized — Review"))</f>
        <v>Amazon</v>
      </c>
      <c r="J265" t="str">
        <f>IF($G265="","Uncategorized — Review",IFERROR(_xlfn.XLOOKUP($G265,Mapping!$A:$A,Mapping!$C:$C),"Uncategorized — Review"))</f>
        <v>Personal — Owner</v>
      </c>
    </row>
    <row r="266" spans="1:10" x14ac:dyDescent="0.25">
      <c r="A266" t="str">
        <f>'2026_Chase9335_Activity_2026062'!A266</f>
        <v>DEBIT</v>
      </c>
      <c r="B266" s="1">
        <f>'2026_Chase9335_Activity_2026062'!B266</f>
        <v>46084</v>
      </c>
      <c r="C266" t="str">
        <f>'2026_Chase9335_Activity_2026062'!C266</f>
        <v>Online Transfer to CHK ...1168 transaction#: 28293264811 03/03</v>
      </c>
      <c r="D266" s="5">
        <f>'2026_Chase9335_Activity_2026062'!D266</f>
        <v>-20000</v>
      </c>
      <c r="E266" t="str">
        <f>'2026_Chase9335_Activity_2026062'!E266</f>
        <v>ACCT_XFER</v>
      </c>
      <c r="F266" s="5">
        <f>'2026_Chase9335_Activity_2026062'!F266</f>
        <v>61379.95</v>
      </c>
      <c r="G266" t="str">
        <f>'2026_Chase9335_Activity_2026062'!G266</f>
        <v>Transfer to DWG Capital Group</v>
      </c>
      <c r="H266" s="4">
        <f t="shared" si="4"/>
        <v>46082</v>
      </c>
      <c r="I266" t="str">
        <f>IF($G266="","Uncategorized — Review",IFERROR(_xlfn.XLOOKUP($G266,Mapping!$A:$A,Mapping!$B:$B),"Uncategorized — Review"))</f>
        <v>Transfer to DWG Capital Group</v>
      </c>
      <c r="J266" t="str">
        <f>IF($G266="","Uncategorized — Review",IFERROR(_xlfn.XLOOKUP($G266,Mapping!$A:$A,Mapping!$C:$C),"Uncategorized — Review"))</f>
        <v>Intercompany &amp; Savings Transfers</v>
      </c>
    </row>
    <row r="267" spans="1:10" x14ac:dyDescent="0.25">
      <c r="A267" t="str">
        <f>'2026_Chase9335_Activity_2026062'!A267</f>
        <v>DEBIT</v>
      </c>
      <c r="B267" s="1">
        <f>'2026_Chase9335_Activity_2026062'!B267</f>
        <v>46084</v>
      </c>
      <c r="C267" t="str">
        <f>'2026_Chase9335_Activity_2026062'!C267</f>
        <v>Amazon.com*B92OD12T0 Amzn.com/bill WA        03/03</v>
      </c>
      <c r="D267" s="5">
        <f>'2026_Chase9335_Activity_2026062'!D267</f>
        <v>-25.18</v>
      </c>
      <c r="E267" t="str">
        <f>'2026_Chase9335_Activity_2026062'!E267</f>
        <v>DEBIT_CARD</v>
      </c>
      <c r="F267" s="5">
        <f>'2026_Chase9335_Activity_2026062'!F267</f>
        <v>81379.95</v>
      </c>
      <c r="G267" t="str">
        <f>'2026_Chase9335_Activity_2026062'!G267</f>
        <v>Amazon</v>
      </c>
      <c r="H267" s="4">
        <f t="shared" si="4"/>
        <v>46082</v>
      </c>
      <c r="I267" t="str">
        <f>IF($G267="","Uncategorized — Review",IFERROR(_xlfn.XLOOKUP($G267,Mapping!$A:$A,Mapping!$B:$B),"Uncategorized — Review"))</f>
        <v>Amazon</v>
      </c>
      <c r="J267" t="str">
        <f>IF($G267="","Uncategorized — Review",IFERROR(_xlfn.XLOOKUP($G267,Mapping!$A:$A,Mapping!$C:$C),"Uncategorized — Review"))</f>
        <v>Personal — Owner</v>
      </c>
    </row>
    <row r="268" spans="1:10" x14ac:dyDescent="0.25">
      <c r="A268" t="str">
        <f>'2026_Chase9335_Activity_2026062'!A268</f>
        <v>DEBIT</v>
      </c>
      <c r="B268" s="1">
        <f>'2026_Chase9335_Activity_2026062'!B268</f>
        <v>46083</v>
      </c>
      <c r="C268" t="str">
        <f>'2026_Chase9335_Activity_2026062'!C268</f>
        <v>Online Transfer to CHK ...9769 transaction#: 28281789059 03/02</v>
      </c>
      <c r="D268" s="5">
        <f>'2026_Chase9335_Activity_2026062'!D268</f>
        <v>-13000</v>
      </c>
      <c r="E268" t="str">
        <f>'2026_Chase9335_Activity_2026062'!E268</f>
        <v>ACCT_XFER</v>
      </c>
      <c r="F268" s="5">
        <f>'2026_Chase9335_Activity_2026062'!F268</f>
        <v>81405.13</v>
      </c>
      <c r="G268" t="str">
        <f>'2026_Chase9335_Activity_2026062'!G268</f>
        <v>Transfer to JAL Southbend</v>
      </c>
      <c r="H268" s="4">
        <f t="shared" si="4"/>
        <v>46082</v>
      </c>
      <c r="I268" t="str">
        <f>IF($G268="","Uncategorized — Review",IFERROR(_xlfn.XLOOKUP($G268,Mapping!$A:$A,Mapping!$B:$B),"Uncategorized — Review"))</f>
        <v>Transfer to JAL Southbend</v>
      </c>
      <c r="J268" t="str">
        <f>IF($G268="","Uncategorized — Review",IFERROR(_xlfn.XLOOKUP($G268,Mapping!$A:$A,Mapping!$C:$C),"Uncategorized — Review"))</f>
        <v>Intercompany &amp; Savings Transfers</v>
      </c>
    </row>
    <row r="269" spans="1:10" x14ac:dyDescent="0.25">
      <c r="A269" t="str">
        <f>'2026_Chase9335_Activity_2026062'!A269</f>
        <v>DEBIT</v>
      </c>
      <c r="B269" s="1">
        <f>'2026_Chase9335_Activity_2026062'!B269</f>
        <v>46083</v>
      </c>
      <c r="C269" t="str">
        <f>'2026_Chase9335_Activity_2026062'!C269</f>
        <v>Experian* Credit Repor 479-3436237 CA        03/01</v>
      </c>
      <c r="D269" s="5">
        <f>'2026_Chase9335_Activity_2026062'!D269</f>
        <v>-27.05</v>
      </c>
      <c r="E269" t="str">
        <f>'2026_Chase9335_Activity_2026062'!E269</f>
        <v>DEBIT_CARD</v>
      </c>
      <c r="F269" s="5">
        <f>'2026_Chase9335_Activity_2026062'!F269</f>
        <v>94405.13</v>
      </c>
      <c r="G269" t="str">
        <f>'2026_Chase9335_Activity_2026062'!G269</f>
        <v>Personal - Subscriptions</v>
      </c>
      <c r="H269" s="4">
        <f t="shared" si="4"/>
        <v>46082</v>
      </c>
      <c r="I269" t="str">
        <f>IF($G269="","Uncategorized — Review",IFERROR(_xlfn.XLOOKUP($G269,Mapping!$A:$A,Mapping!$B:$B),"Uncategorized — Review"))</f>
        <v>Personal - Subscriptions</v>
      </c>
      <c r="J269" t="str">
        <f>IF($G269="","Uncategorized — Review",IFERROR(_xlfn.XLOOKUP($G269,Mapping!$A:$A,Mapping!$C:$C),"Uncategorized — Review"))</f>
        <v>Personal — Owner</v>
      </c>
    </row>
    <row r="270" spans="1:10" x14ac:dyDescent="0.25">
      <c r="A270" t="str">
        <f>'2026_Chase9335_Activity_2026062'!A270</f>
        <v>DEBIT</v>
      </c>
      <c r="B270" s="1">
        <f>'2026_Chase9335_Activity_2026062'!B270</f>
        <v>46083</v>
      </c>
      <c r="C270" t="str">
        <f>'2026_Chase9335_Activity_2026062'!C270</f>
        <v>CITY OF SANTA MONICA SANTA MONICA CA         02/28</v>
      </c>
      <c r="D270" s="5">
        <f>'2026_Chase9335_Activity_2026062'!D270</f>
        <v>-0.75</v>
      </c>
      <c r="E270" t="str">
        <f>'2026_Chase9335_Activity_2026062'!E270</f>
        <v>DEBIT_CARD</v>
      </c>
      <c r="F270" s="5">
        <f>'2026_Chase9335_Activity_2026062'!F270</f>
        <v>94432.18</v>
      </c>
      <c r="G270" t="str">
        <f>'2026_Chase9335_Activity_2026062'!G270</f>
        <v>Personal - Car</v>
      </c>
      <c r="H270" s="4">
        <f t="shared" si="4"/>
        <v>46082</v>
      </c>
      <c r="I270" t="str">
        <f>IF($G270="","Uncategorized — Review",IFERROR(_xlfn.XLOOKUP($G270,Mapping!$A:$A,Mapping!$B:$B),"Uncategorized — Review"))</f>
        <v>Personal - Car &amp; Auto</v>
      </c>
      <c r="J270" t="str">
        <f>IF($G270="","Uncategorized — Review",IFERROR(_xlfn.XLOOKUP($G270,Mapping!$A:$A,Mapping!$C:$C),"Uncategorized — Review"))</f>
        <v>Personal — Owner</v>
      </c>
    </row>
    <row r="271" spans="1:10" x14ac:dyDescent="0.25">
      <c r="A271" t="str">
        <f>'2026_Chase9335_Activity_2026062'!A271</f>
        <v>DEBIT</v>
      </c>
      <c r="B271" s="1">
        <f>'2026_Chase9335_Activity_2026062'!B271</f>
        <v>46083</v>
      </c>
      <c r="C271" t="str">
        <f>'2026_Chase9335_Activity_2026062'!C271</f>
        <v>APPLE.COM/BILL 866-712-7753 CA               02/28</v>
      </c>
      <c r="D271" s="5">
        <f>'2026_Chase9335_Activity_2026062'!D271</f>
        <v>-51.45</v>
      </c>
      <c r="E271" t="str">
        <f>'2026_Chase9335_Activity_2026062'!E271</f>
        <v>DEBIT_CARD</v>
      </c>
      <c r="F271" s="5">
        <f>'2026_Chase9335_Activity_2026062'!F271</f>
        <v>94432.93</v>
      </c>
      <c r="G271" t="str">
        <f>'2026_Chase9335_Activity_2026062'!G271</f>
        <v>Personal - Subscriptions</v>
      </c>
      <c r="H271" s="4">
        <f t="shared" si="4"/>
        <v>46082</v>
      </c>
      <c r="I271" t="str">
        <f>IF($G271="","Uncategorized — Review",IFERROR(_xlfn.XLOOKUP($G271,Mapping!$A:$A,Mapping!$B:$B),"Uncategorized — Review"))</f>
        <v>Personal - Subscriptions</v>
      </c>
      <c r="J271" t="str">
        <f>IF($G271="","Uncategorized — Review",IFERROR(_xlfn.XLOOKUP($G271,Mapping!$A:$A,Mapping!$C:$C),"Uncategorized — Review"))</f>
        <v>Personal — Owner</v>
      </c>
    </row>
    <row r="272" spans="1:10" x14ac:dyDescent="0.25">
      <c r="A272" t="str">
        <f>'2026_Chase9335_Activity_2026062'!A272</f>
        <v>DEBIT</v>
      </c>
      <c r="B272" s="1">
        <f>'2026_Chase9335_Activity_2026062'!B272</f>
        <v>46083</v>
      </c>
      <c r="C272" t="str">
        <f>'2026_Chase9335_Activity_2026062'!C272</f>
        <v>Amazon.com*B94K59XX0 Amzn.com/bill WA        03/01</v>
      </c>
      <c r="D272" s="5">
        <f>'2026_Chase9335_Activity_2026062'!D272</f>
        <v>-64.31</v>
      </c>
      <c r="E272" t="str">
        <f>'2026_Chase9335_Activity_2026062'!E272</f>
        <v>DEBIT_CARD</v>
      </c>
      <c r="F272" s="5">
        <f>'2026_Chase9335_Activity_2026062'!F272</f>
        <v>94484.38</v>
      </c>
      <c r="G272" t="str">
        <f>'2026_Chase9335_Activity_2026062'!G272</f>
        <v>Amazon</v>
      </c>
      <c r="H272" s="4">
        <f t="shared" si="4"/>
        <v>46082</v>
      </c>
      <c r="I272" t="str">
        <f>IF($G272="","Uncategorized — Review",IFERROR(_xlfn.XLOOKUP($G272,Mapping!$A:$A,Mapping!$B:$B),"Uncategorized — Review"))</f>
        <v>Amazon</v>
      </c>
      <c r="J272" t="str">
        <f>IF($G272="","Uncategorized — Review",IFERROR(_xlfn.XLOOKUP($G272,Mapping!$A:$A,Mapping!$C:$C),"Uncategorized — Review"))</f>
        <v>Personal — Owner</v>
      </c>
    </row>
    <row r="273" spans="1:10" x14ac:dyDescent="0.25">
      <c r="A273" t="str">
        <f>'2026_Chase9335_Activity_2026062'!A273</f>
        <v>DEBIT</v>
      </c>
      <c r="B273" s="1">
        <f>'2026_Chase9335_Activity_2026062'!B273</f>
        <v>46083</v>
      </c>
      <c r="C273" t="str">
        <f>'2026_Chase9335_Activity_2026062'!C273</f>
        <v>Amazon.com*B90808SS1 Amzn.com/bill WA        02/28</v>
      </c>
      <c r="D273" s="5">
        <f>'2026_Chase9335_Activity_2026062'!D273</f>
        <v>-111.42</v>
      </c>
      <c r="E273" t="str">
        <f>'2026_Chase9335_Activity_2026062'!E273</f>
        <v>DEBIT_CARD</v>
      </c>
      <c r="F273" s="5">
        <f>'2026_Chase9335_Activity_2026062'!F273</f>
        <v>94548.69</v>
      </c>
      <c r="G273" t="str">
        <f>'2026_Chase9335_Activity_2026062'!G273</f>
        <v>Amazon</v>
      </c>
      <c r="H273" s="4">
        <f t="shared" si="4"/>
        <v>46082</v>
      </c>
      <c r="I273" t="str">
        <f>IF($G273="","Uncategorized — Review",IFERROR(_xlfn.XLOOKUP($G273,Mapping!$A:$A,Mapping!$B:$B),"Uncategorized — Review"))</f>
        <v>Amazon</v>
      </c>
      <c r="J273" t="str">
        <f>IF($G273="","Uncategorized — Review",IFERROR(_xlfn.XLOOKUP($G273,Mapping!$A:$A,Mapping!$C:$C),"Uncategorized — Review"))</f>
        <v>Personal — Owner</v>
      </c>
    </row>
    <row r="274" spans="1:10" x14ac:dyDescent="0.25">
      <c r="A274" t="str">
        <f>'2026_Chase9335_Activity_2026062'!A274</f>
        <v>DEBIT</v>
      </c>
      <c r="B274" s="1">
        <f>'2026_Chase9335_Activity_2026062'!B274</f>
        <v>46080</v>
      </c>
      <c r="C274" t="str">
        <f>'2026_Chase9335_Activity_2026062'!C274</f>
        <v>Online Transfer to CHK ...1927 transaction#: 28232263169 02/27</v>
      </c>
      <c r="D274" s="5">
        <f>'2026_Chase9335_Activity_2026062'!D274</f>
        <v>-100</v>
      </c>
      <c r="E274" t="str">
        <f>'2026_Chase9335_Activity_2026062'!E274</f>
        <v>ACCT_XFER</v>
      </c>
      <c r="F274" s="5">
        <f>'2026_Chase9335_Activity_2026062'!F274</f>
        <v>94660.11</v>
      </c>
      <c r="G274" t="str">
        <f>'2026_Chase9335_Activity_2026062'!G274</f>
        <v>Transfer to Judd Sol Prop</v>
      </c>
      <c r="H274" s="4">
        <f t="shared" si="4"/>
        <v>46054</v>
      </c>
      <c r="I274" t="str">
        <f>IF($G274="","Uncategorized — Review",IFERROR(_xlfn.XLOOKUP($G274,Mapping!$A:$A,Mapping!$B:$B),"Uncategorized — Review"))</f>
        <v>Transfer to Judd Sol Prop</v>
      </c>
      <c r="J274" t="str">
        <f>IF($G274="","Uncategorized — Review",IFERROR(_xlfn.XLOOKUP($G274,Mapping!$A:$A,Mapping!$C:$C),"Uncategorized — Review"))</f>
        <v>Intercompany &amp; Savings Transfers</v>
      </c>
    </row>
    <row r="275" spans="1:10" x14ac:dyDescent="0.25">
      <c r="A275" t="str">
        <f>'2026_Chase9335_Activity_2026062'!A275</f>
        <v>DEBIT</v>
      </c>
      <c r="B275" s="1">
        <f>'2026_Chase9335_Activity_2026062'!B275</f>
        <v>46080</v>
      </c>
      <c r="C275" t="str">
        <f>'2026_Chase9335_Activity_2026062'!C275</f>
        <v>LinkedIn JOB P82408803 855-6535653 CA        02/27</v>
      </c>
      <c r="D275" s="5">
        <f>'2026_Chase9335_Activity_2026062'!D275</f>
        <v>-560.30999999999995</v>
      </c>
      <c r="E275" t="str">
        <f>'2026_Chase9335_Activity_2026062'!E275</f>
        <v>DEBIT_CARD</v>
      </c>
      <c r="F275" s="5">
        <f>'2026_Chase9335_Activity_2026062'!F275</f>
        <v>94760.11</v>
      </c>
      <c r="G275" t="str">
        <f>'2026_Chase9335_Activity_2026062'!G275</f>
        <v>DWG HR</v>
      </c>
      <c r="H275" s="4">
        <f t="shared" si="4"/>
        <v>46054</v>
      </c>
      <c r="I275" t="str">
        <f>IF($G275="","Uncategorized — Review",IFERROR(_xlfn.XLOOKUP($G275,Mapping!$A:$A,Mapping!$B:$B),"Uncategorized — Review"))</f>
        <v>DWG HR</v>
      </c>
      <c r="J275" t="str">
        <f>IF($G275="","Uncategorized — Review",IFERROR(_xlfn.XLOOKUP($G275,Mapping!$A:$A,Mapping!$C:$C),"Uncategorized — Review"))</f>
        <v>Payroll &amp; Contractors</v>
      </c>
    </row>
    <row r="276" spans="1:10" x14ac:dyDescent="0.25">
      <c r="A276" t="str">
        <f>'2026_Chase9335_Activity_2026062'!A276</f>
        <v>DEBIT</v>
      </c>
      <c r="B276" s="1">
        <f>'2026_Chase9335_Activity_2026062'!B276</f>
        <v>46080</v>
      </c>
      <c r="C276" t="str">
        <f>'2026_Chase9335_Activity_2026062'!C276</f>
        <v>AMAZON MKTPL*BE8HI2V Amzn.com/bill WA        02/27</v>
      </c>
      <c r="D276" s="5">
        <f>'2026_Chase9335_Activity_2026062'!D276</f>
        <v>-26.33</v>
      </c>
      <c r="E276" t="str">
        <f>'2026_Chase9335_Activity_2026062'!E276</f>
        <v>DEBIT_CARD</v>
      </c>
      <c r="F276" s="5">
        <f>'2026_Chase9335_Activity_2026062'!F276</f>
        <v>95320.42</v>
      </c>
      <c r="G276" t="str">
        <f>'2026_Chase9335_Activity_2026062'!G276</f>
        <v>Amazon</v>
      </c>
      <c r="H276" s="4">
        <f t="shared" si="4"/>
        <v>46054</v>
      </c>
      <c r="I276" t="str">
        <f>IF($G276="","Uncategorized — Review",IFERROR(_xlfn.XLOOKUP($G276,Mapping!$A:$A,Mapping!$B:$B),"Uncategorized — Review"))</f>
        <v>Amazon</v>
      </c>
      <c r="J276" t="str">
        <f>IF($G276="","Uncategorized — Review",IFERROR(_xlfn.XLOOKUP($G276,Mapping!$A:$A,Mapping!$C:$C),"Uncategorized — Review"))</f>
        <v>Personal — Owner</v>
      </c>
    </row>
    <row r="277" spans="1:10" x14ac:dyDescent="0.25">
      <c r="A277" t="str">
        <f>'2026_Chase9335_Activity_2026062'!A277</f>
        <v>DEBIT</v>
      </c>
      <c r="B277" s="1">
        <f>'2026_Chase9335_Activity_2026062'!B277</f>
        <v>46079</v>
      </c>
      <c r="C277" t="str">
        <f>'2026_Chase9335_Activity_2026062'!C277</f>
        <v>ORIG CO NAME:AMERICAN EXPRESS       ORIG ID:2005032111 DESC DATE:260226 CO ENTRY DESCR:ACH PMT   SEC:CCD    TRACE#:021000029827822 EED:260226   IND ID:W0812                        IND NAME:JOHN DUNNING                                                                                                 ER AM TRN: 0579827822TC</v>
      </c>
      <c r="D277" s="5">
        <f>'2026_Chase9335_Activity_2026062'!D277</f>
        <v>-40222.68</v>
      </c>
      <c r="E277" t="str">
        <f>'2026_Chase9335_Activity_2026062'!E277</f>
        <v>ACH_DEBIT</v>
      </c>
      <c r="F277" s="5">
        <f>'2026_Chase9335_Activity_2026062'!F277</f>
        <v>95346.75</v>
      </c>
      <c r="G277" t="str">
        <f>'2026_Chase9335_Activity_2026062'!G277</f>
        <v>American Express Credit Card PMT</v>
      </c>
      <c r="H277" s="4">
        <f t="shared" si="4"/>
        <v>46054</v>
      </c>
      <c r="I277" t="str">
        <f>IF($G277="","Uncategorized — Review",IFERROR(_xlfn.XLOOKUP($G277,Mapping!$A:$A,Mapping!$B:$B),"Uncategorized — Review"))</f>
        <v>American Express Credit Card PMT</v>
      </c>
      <c r="J277" t="str">
        <f>IF($G277="","Uncategorized — Review",IFERROR(_xlfn.XLOOKUP($G277,Mapping!$A:$A,Mapping!$C:$C),"Uncategorized — Review"))</f>
        <v>Credit Card &amp; Loan Payments</v>
      </c>
    </row>
    <row r="278" spans="1:10" x14ac:dyDescent="0.25">
      <c r="A278" t="str">
        <f>'2026_Chase9335_Activity_2026062'!A278</f>
        <v>DEBIT</v>
      </c>
      <c r="B278" s="1">
        <f>'2026_Chase9335_Activity_2026062'!B278</f>
        <v>46079</v>
      </c>
      <c r="C278" t="str">
        <f>'2026_Chase9335_Activity_2026062'!C278</f>
        <v>Amazon Tips*SX8YA9PI Amzn.com/bill WA        02/25</v>
      </c>
      <c r="D278" s="5">
        <f>'2026_Chase9335_Activity_2026062'!D278</f>
        <v>-5</v>
      </c>
      <c r="E278" t="str">
        <f>'2026_Chase9335_Activity_2026062'!E278</f>
        <v>DEBIT_CARD</v>
      </c>
      <c r="F278" s="5">
        <f>'2026_Chase9335_Activity_2026062'!F278</f>
        <v>135569.43</v>
      </c>
      <c r="G278" t="str">
        <f>'2026_Chase9335_Activity_2026062'!G278</f>
        <v>Amazon</v>
      </c>
      <c r="H278" s="4">
        <f t="shared" si="4"/>
        <v>46054</v>
      </c>
      <c r="I278" t="str">
        <f>IF($G278="","Uncategorized — Review",IFERROR(_xlfn.XLOOKUP($G278,Mapping!$A:$A,Mapping!$B:$B),"Uncategorized — Review"))</f>
        <v>Amazon</v>
      </c>
      <c r="J278" t="str">
        <f>IF($G278="","Uncategorized — Review",IFERROR(_xlfn.XLOOKUP($G278,Mapping!$A:$A,Mapping!$C:$C),"Uncategorized — Review"))</f>
        <v>Personal — Owner</v>
      </c>
    </row>
    <row r="279" spans="1:10" x14ac:dyDescent="0.25">
      <c r="A279" t="str">
        <f>'2026_Chase9335_Activity_2026062'!A279</f>
        <v>DEBIT</v>
      </c>
      <c r="B279" s="1">
        <f>'2026_Chase9335_Activity_2026062'!B279</f>
        <v>46078</v>
      </c>
      <c r="C279" t="str">
        <f>'2026_Chase9335_Activity_2026062'!C279</f>
        <v>Online Transfer to CHK ...7899 transaction#: 28201884880 02/25</v>
      </c>
      <c r="D279" s="5">
        <f>'2026_Chase9335_Activity_2026062'!D279</f>
        <v>-20000</v>
      </c>
      <c r="E279" t="str">
        <f>'2026_Chase9335_Activity_2026062'!E279</f>
        <v>ACCT_XFER</v>
      </c>
      <c r="F279" s="5">
        <f>'2026_Chase9335_Activity_2026062'!F279</f>
        <v>135574.43</v>
      </c>
      <c r="G279" t="str">
        <f>'2026_Chase9335_Activity_2026062'!G279</f>
        <v>Transfer to TX Personal Joint</v>
      </c>
      <c r="H279" s="4">
        <f t="shared" si="4"/>
        <v>46054</v>
      </c>
      <c r="I279" t="str">
        <f>IF($G279="","Uncategorized — Review",IFERROR(_xlfn.XLOOKUP($G279,Mapping!$A:$A,Mapping!$B:$B),"Uncategorized — Review"))</f>
        <v>Transfer to TX Personal Joint</v>
      </c>
      <c r="J279" t="str">
        <f>IF($G279="","Uncategorized — Review",IFERROR(_xlfn.XLOOKUP($G279,Mapping!$A:$A,Mapping!$C:$C),"Uncategorized — Review"))</f>
        <v>Owner / Family Distributions</v>
      </c>
    </row>
    <row r="280" spans="1:10" x14ac:dyDescent="0.25">
      <c r="A280" t="str">
        <f>'2026_Chase9335_Activity_2026062'!A280</f>
        <v>DEBIT</v>
      </c>
      <c r="B280" s="1">
        <f>'2026_Chase9335_Activity_2026062'!B280</f>
        <v>46078</v>
      </c>
      <c r="C280" t="str">
        <f>'2026_Chase9335_Activity_2026062'!C280</f>
        <v>Online Transfer to CHK ...1168 transaction#: 28201888543 02/25</v>
      </c>
      <c r="D280" s="5">
        <f>'2026_Chase9335_Activity_2026062'!D280</f>
        <v>-30000</v>
      </c>
      <c r="E280" t="str">
        <f>'2026_Chase9335_Activity_2026062'!E280</f>
        <v>ACCT_XFER</v>
      </c>
      <c r="F280" s="5">
        <f>'2026_Chase9335_Activity_2026062'!F280</f>
        <v>155574.43</v>
      </c>
      <c r="G280" t="str">
        <f>'2026_Chase9335_Activity_2026062'!G280</f>
        <v>Transfer to DWG Capital Group</v>
      </c>
      <c r="H280" s="4">
        <f t="shared" si="4"/>
        <v>46054</v>
      </c>
      <c r="I280" t="str">
        <f>IF($G280="","Uncategorized — Review",IFERROR(_xlfn.XLOOKUP($G280,Mapping!$A:$A,Mapping!$B:$B),"Uncategorized — Review"))</f>
        <v>Transfer to DWG Capital Group</v>
      </c>
      <c r="J280" t="str">
        <f>IF($G280="","Uncategorized — Review",IFERROR(_xlfn.XLOOKUP($G280,Mapping!$A:$A,Mapping!$C:$C),"Uncategorized — Review"))</f>
        <v>Intercompany &amp; Savings Transfers</v>
      </c>
    </row>
    <row r="281" spans="1:10" x14ac:dyDescent="0.25">
      <c r="A281" t="str">
        <f>'2026_Chase9335_Activity_2026062'!A281</f>
        <v>DEBIT</v>
      </c>
      <c r="B281" s="1">
        <f>'2026_Chase9335_Activity_2026062'!B281</f>
        <v>46078</v>
      </c>
      <c r="C281" t="str">
        <f>'2026_Chase9335_Activity_2026062'!C281</f>
        <v>Online Transfer to CHK ...1117 transaction#: 28201880160 02/25</v>
      </c>
      <c r="D281" s="5">
        <f>'2026_Chase9335_Activity_2026062'!D281</f>
        <v>-10000</v>
      </c>
      <c r="E281" t="str">
        <f>'2026_Chase9335_Activity_2026062'!E281</f>
        <v>ACCT_XFER</v>
      </c>
      <c r="F281" s="5">
        <f>'2026_Chase9335_Activity_2026062'!F281</f>
        <v>185574.43</v>
      </c>
      <c r="G281" t="str">
        <f>'2026_Chase9335_Activity_2026062'!G281</f>
        <v>Transfer to Angela Dunning</v>
      </c>
      <c r="H281" s="4">
        <f t="shared" si="4"/>
        <v>46054</v>
      </c>
      <c r="I281" t="str">
        <f>IF($G281="","Uncategorized — Review",IFERROR(_xlfn.XLOOKUP($G281,Mapping!$A:$A,Mapping!$B:$B),"Uncategorized — Review"))</f>
        <v>Transfer to Angela Dunning</v>
      </c>
      <c r="J281" t="str">
        <f>IF($G281="","Uncategorized — Review",IFERROR(_xlfn.XLOOKUP($G281,Mapping!$A:$A,Mapping!$C:$C),"Uncategorized — Review"))</f>
        <v>Owner / Family Distributions</v>
      </c>
    </row>
    <row r="282" spans="1:10" x14ac:dyDescent="0.25">
      <c r="A282" t="str">
        <f>'2026_Chase9335_Activity_2026062'!A282</f>
        <v>DEBIT</v>
      </c>
      <c r="B282" s="1">
        <f>'2026_Chase9335_Activity_2026062'!B282</f>
        <v>46078</v>
      </c>
      <c r="C282" t="str">
        <f>'2026_Chase9335_Activity_2026062'!C282</f>
        <v>Amazon.com*B94R63N51 Amzn.com/bill WA        02/24</v>
      </c>
      <c r="D282" s="5">
        <f>'2026_Chase9335_Activity_2026062'!D282</f>
        <v>-39.9</v>
      </c>
      <c r="E282" t="str">
        <f>'2026_Chase9335_Activity_2026062'!E282</f>
        <v>DEBIT_CARD</v>
      </c>
      <c r="F282" s="5">
        <f>'2026_Chase9335_Activity_2026062'!F282</f>
        <v>195574.43</v>
      </c>
      <c r="G282" t="str">
        <f>'2026_Chase9335_Activity_2026062'!G282</f>
        <v>Amazon</v>
      </c>
      <c r="H282" s="4">
        <f t="shared" si="4"/>
        <v>46054</v>
      </c>
      <c r="I282" t="str">
        <f>IF($G282="","Uncategorized — Review",IFERROR(_xlfn.XLOOKUP($G282,Mapping!$A:$A,Mapping!$B:$B),"Uncategorized — Review"))</f>
        <v>Amazon</v>
      </c>
      <c r="J282" t="str">
        <f>IF($G282="","Uncategorized — Review",IFERROR(_xlfn.XLOOKUP($G282,Mapping!$A:$A,Mapping!$C:$C),"Uncategorized — Review"))</f>
        <v>Personal — Owner</v>
      </c>
    </row>
    <row r="283" spans="1:10" x14ac:dyDescent="0.25">
      <c r="A283" t="str">
        <f>'2026_Chase9335_Activity_2026062'!A283</f>
        <v>DEBIT</v>
      </c>
      <c r="B283" s="1">
        <f>'2026_Chase9335_Activity_2026062'!B283</f>
        <v>46077</v>
      </c>
      <c r="C283" t="str">
        <f>'2026_Chase9335_Activity_2026062'!C283</f>
        <v>ORIG CO NAME:AMERICAN EXPRESS       ORIG ID:2005032111 DESC DATE:260224 CO ENTRY DESCR:ACH PMT   SEC:CCD    TRACE#:021000020920560 EED:260224   IND ID:W8898                        IND NAME:JOHN DUNNING                                                                                                 ER AM TRN: 0550920560TC</v>
      </c>
      <c r="D283" s="5">
        <f>'2026_Chase9335_Activity_2026062'!D283</f>
        <v>-2012.65</v>
      </c>
      <c r="E283" t="str">
        <f>'2026_Chase9335_Activity_2026062'!E283</f>
        <v>ACH_DEBIT</v>
      </c>
      <c r="F283" s="5">
        <f>'2026_Chase9335_Activity_2026062'!F283</f>
        <v>195614.33</v>
      </c>
      <c r="G283" t="str">
        <f>'2026_Chase9335_Activity_2026062'!G283</f>
        <v>American Express Credit Card PMT</v>
      </c>
      <c r="H283" s="4">
        <f t="shared" si="4"/>
        <v>46054</v>
      </c>
      <c r="I283" t="str">
        <f>IF($G283="","Uncategorized — Review",IFERROR(_xlfn.XLOOKUP($G283,Mapping!$A:$A,Mapping!$B:$B),"Uncategorized — Review"))</f>
        <v>American Express Credit Card PMT</v>
      </c>
      <c r="J283" t="str">
        <f>IF($G283="","Uncategorized — Review",IFERROR(_xlfn.XLOOKUP($G283,Mapping!$A:$A,Mapping!$C:$C),"Uncategorized — Review"))</f>
        <v>Credit Card &amp; Loan Payments</v>
      </c>
    </row>
    <row r="284" spans="1:10" x14ac:dyDescent="0.25">
      <c r="A284" t="str">
        <f>'2026_Chase9335_Activity_2026062'!A284</f>
        <v>DEBIT</v>
      </c>
      <c r="B284" s="1">
        <f>'2026_Chase9335_Activity_2026062'!B284</f>
        <v>46077</v>
      </c>
      <c r="C284" t="str">
        <f>'2026_Chase9335_Activity_2026062'!C284</f>
        <v>ORIG CO NAME:AMERICAN EXPRESS       ORIG ID:2005032111 DESC DATE:260224 CO ENTRY DESCR:ACH PMT   SEC:CCD    TRACE#:021000020921240 EED:260224   IND ID:W7754                        IND NAME:JOHN DUNNING                                                                                                 ER AM TRN: 0550921240TC</v>
      </c>
      <c r="D284" s="5">
        <f>'2026_Chase9335_Activity_2026062'!D284</f>
        <v>-3103.1</v>
      </c>
      <c r="E284" t="str">
        <f>'2026_Chase9335_Activity_2026062'!E284</f>
        <v>ACH_DEBIT</v>
      </c>
      <c r="F284" s="5">
        <f>'2026_Chase9335_Activity_2026062'!F284</f>
        <v>197626.98</v>
      </c>
      <c r="G284" t="str">
        <f>'2026_Chase9335_Activity_2026062'!G284</f>
        <v>American Express Credit Card PMT</v>
      </c>
      <c r="H284" s="4">
        <f t="shared" si="4"/>
        <v>46054</v>
      </c>
      <c r="I284" t="str">
        <f>IF($G284="","Uncategorized — Review",IFERROR(_xlfn.XLOOKUP($G284,Mapping!$A:$A,Mapping!$B:$B),"Uncategorized — Review"))</f>
        <v>American Express Credit Card PMT</v>
      </c>
      <c r="J284" t="str">
        <f>IF($G284="","Uncategorized — Review",IFERROR(_xlfn.XLOOKUP($G284,Mapping!$A:$A,Mapping!$C:$C),"Uncategorized — Review"))</f>
        <v>Credit Card &amp; Loan Payments</v>
      </c>
    </row>
    <row r="285" spans="1:10" x14ac:dyDescent="0.25">
      <c r="A285" t="str">
        <f>'2026_Chase9335_Activity_2026062'!A285</f>
        <v>DEBIT</v>
      </c>
      <c r="B285" s="1">
        <f>'2026_Chase9335_Activity_2026062'!B285</f>
        <v>46077</v>
      </c>
      <c r="C285" t="str">
        <f>'2026_Chase9335_Activity_2026062'!C285</f>
        <v>ORIG CO NAME:AMERICAN EXPRESS       ORIG ID:2005032111 DESC DATE:260224 CO ENTRY DESCR:ACH PMT   SEC:CCD    TRACE#:021000020920988 EED:260224   IND ID:W4566                        IND NAME:JOHN DUNNING                                                                                                 ER AM TRN: 0550920988TC</v>
      </c>
      <c r="D285" s="5">
        <f>'2026_Chase9335_Activity_2026062'!D285</f>
        <v>-13688.13</v>
      </c>
      <c r="E285" t="str">
        <f>'2026_Chase9335_Activity_2026062'!E285</f>
        <v>ACH_DEBIT</v>
      </c>
      <c r="F285" s="5">
        <f>'2026_Chase9335_Activity_2026062'!F285</f>
        <v>200730.08</v>
      </c>
      <c r="G285" t="str">
        <f>'2026_Chase9335_Activity_2026062'!G285</f>
        <v>American Express Credit Card PMT</v>
      </c>
      <c r="H285" s="4">
        <f t="shared" si="4"/>
        <v>46054</v>
      </c>
      <c r="I285" t="str">
        <f>IF($G285="","Uncategorized — Review",IFERROR(_xlfn.XLOOKUP($G285,Mapping!$A:$A,Mapping!$B:$B),"Uncategorized — Review"))</f>
        <v>American Express Credit Card PMT</v>
      </c>
      <c r="J285" t="str">
        <f>IF($G285="","Uncategorized — Review",IFERROR(_xlfn.XLOOKUP($G285,Mapping!$A:$A,Mapping!$C:$C),"Uncategorized — Review"))</f>
        <v>Credit Card &amp; Loan Payments</v>
      </c>
    </row>
    <row r="286" spans="1:10" x14ac:dyDescent="0.25">
      <c r="A286" t="str">
        <f>'2026_Chase9335_Activity_2026062'!A286</f>
        <v>DEBIT</v>
      </c>
      <c r="B286" s="1">
        <f>'2026_Chase9335_Activity_2026062'!B286</f>
        <v>46076</v>
      </c>
      <c r="C286" t="str">
        <f>'2026_Chase9335_Activity_2026062'!C286</f>
        <v>Amazon.com*B90UC52Q2 Amzn.com/bill WA        02/22</v>
      </c>
      <c r="D286" s="5">
        <f>'2026_Chase9335_Activity_2026062'!D286</f>
        <v>-61.33</v>
      </c>
      <c r="E286" t="str">
        <f>'2026_Chase9335_Activity_2026062'!E286</f>
        <v>DEBIT_CARD</v>
      </c>
      <c r="F286" s="5">
        <f>'2026_Chase9335_Activity_2026062'!F286</f>
        <v>214418.21</v>
      </c>
      <c r="G286" t="str">
        <f>'2026_Chase9335_Activity_2026062'!G286</f>
        <v>Amazon</v>
      </c>
      <c r="H286" s="4">
        <f t="shared" si="4"/>
        <v>46054</v>
      </c>
      <c r="I286" t="str">
        <f>IF($G286="","Uncategorized — Review",IFERROR(_xlfn.XLOOKUP($G286,Mapping!$A:$A,Mapping!$B:$B),"Uncategorized — Review"))</f>
        <v>Amazon</v>
      </c>
      <c r="J286" t="str">
        <f>IF($G286="","Uncategorized — Review",IFERROR(_xlfn.XLOOKUP($G286,Mapping!$A:$A,Mapping!$C:$C),"Uncategorized — Review"))</f>
        <v>Personal — Owner</v>
      </c>
    </row>
    <row r="287" spans="1:10" x14ac:dyDescent="0.25">
      <c r="A287" t="str">
        <f>'2026_Chase9335_Activity_2026062'!A287</f>
        <v>DEBIT</v>
      </c>
      <c r="B287" s="1">
        <f>'2026_Chase9335_Activity_2026062'!B287</f>
        <v>46076</v>
      </c>
      <c r="C287" t="str">
        <f>'2026_Chase9335_Activity_2026062'!C287</f>
        <v>AMAZON MKTPL*B99Y832 Amzn.com/bill WA        02/22</v>
      </c>
      <c r="D287" s="5">
        <f>'2026_Chase9335_Activity_2026062'!D287</f>
        <v>-24.13</v>
      </c>
      <c r="E287" t="str">
        <f>'2026_Chase9335_Activity_2026062'!E287</f>
        <v>DEBIT_CARD</v>
      </c>
      <c r="F287" s="5">
        <f>'2026_Chase9335_Activity_2026062'!F287</f>
        <v>214479.54</v>
      </c>
      <c r="G287" t="str">
        <f>'2026_Chase9335_Activity_2026062'!G287</f>
        <v>Amazon</v>
      </c>
      <c r="H287" s="4">
        <f t="shared" si="4"/>
        <v>46054</v>
      </c>
      <c r="I287" t="str">
        <f>IF($G287="","Uncategorized — Review",IFERROR(_xlfn.XLOOKUP($G287,Mapping!$A:$A,Mapping!$B:$B),"Uncategorized — Review"))</f>
        <v>Amazon</v>
      </c>
      <c r="J287" t="str">
        <f>IF($G287="","Uncategorized — Review",IFERROR(_xlfn.XLOOKUP($G287,Mapping!$A:$A,Mapping!$C:$C),"Uncategorized — Review"))</f>
        <v>Personal — Owner</v>
      </c>
    </row>
    <row r="288" spans="1:10" x14ac:dyDescent="0.25">
      <c r="A288" t="str">
        <f>'2026_Chase9335_Activity_2026062'!A288</f>
        <v>DEBIT</v>
      </c>
      <c r="B288" s="1">
        <f>'2026_Chase9335_Activity_2026062'!B288</f>
        <v>46076</v>
      </c>
      <c r="C288" t="str">
        <f>'2026_Chase9335_Activity_2026062'!C288</f>
        <v>Prime Video *IU2BG8OM 888-802-3080 WA        02/22</v>
      </c>
      <c r="D288" s="5">
        <f>'2026_Chase9335_Activity_2026062'!D288</f>
        <v>-8.5399999999999991</v>
      </c>
      <c r="E288" t="str">
        <f>'2026_Chase9335_Activity_2026062'!E288</f>
        <v>DEBIT_CARD</v>
      </c>
      <c r="F288" s="5">
        <f>'2026_Chase9335_Activity_2026062'!F288</f>
        <v>214503.67</v>
      </c>
      <c r="G288" t="str">
        <f>'2026_Chase9335_Activity_2026062'!G288</f>
        <v>Personal - Subscriptions</v>
      </c>
      <c r="H288" s="4">
        <f t="shared" si="4"/>
        <v>46054</v>
      </c>
      <c r="I288" t="str">
        <f>IF($G288="","Uncategorized — Review",IFERROR(_xlfn.XLOOKUP($G288,Mapping!$A:$A,Mapping!$B:$B),"Uncategorized — Review"))</f>
        <v>Personal - Subscriptions</v>
      </c>
      <c r="J288" t="str">
        <f>IF($G288="","Uncategorized — Review",IFERROR(_xlfn.XLOOKUP($G288,Mapping!$A:$A,Mapping!$C:$C),"Uncategorized — Review"))</f>
        <v>Personal — Owner</v>
      </c>
    </row>
    <row r="289" spans="1:10" x14ac:dyDescent="0.25">
      <c r="A289" t="str">
        <f>'2026_Chase9335_Activity_2026062'!A289</f>
        <v>DEBIT</v>
      </c>
      <c r="B289" s="1">
        <f>'2026_Chase9335_Activity_2026062'!B289</f>
        <v>46076</v>
      </c>
      <c r="C289" t="str">
        <f>'2026_Chase9335_Activity_2026062'!C289</f>
        <v>Prime Video *F25Q00CR 888-802-3080 WA        02/21</v>
      </c>
      <c r="D289" s="5">
        <f>'2026_Chase9335_Activity_2026062'!D289</f>
        <v>-2.12</v>
      </c>
      <c r="E289" t="str">
        <f>'2026_Chase9335_Activity_2026062'!E289</f>
        <v>DEBIT_CARD</v>
      </c>
      <c r="F289" s="5">
        <f>'2026_Chase9335_Activity_2026062'!F289</f>
        <v>214512.21</v>
      </c>
      <c r="G289" t="str">
        <f>'2026_Chase9335_Activity_2026062'!G289</f>
        <v>Personal - Subscriptions</v>
      </c>
      <c r="H289" s="4">
        <f t="shared" si="4"/>
        <v>46054</v>
      </c>
      <c r="I289" t="str">
        <f>IF($G289="","Uncategorized — Review",IFERROR(_xlfn.XLOOKUP($G289,Mapping!$A:$A,Mapping!$B:$B),"Uncategorized — Review"))</f>
        <v>Personal - Subscriptions</v>
      </c>
      <c r="J289" t="str">
        <f>IF($G289="","Uncategorized — Review",IFERROR(_xlfn.XLOOKUP($G289,Mapping!$A:$A,Mapping!$C:$C),"Uncategorized — Review"))</f>
        <v>Personal — Owner</v>
      </c>
    </row>
    <row r="290" spans="1:10" x14ac:dyDescent="0.25">
      <c r="A290" t="str">
        <f>'2026_Chase9335_Activity_2026062'!A290</f>
        <v>DEBIT</v>
      </c>
      <c r="B290" s="1">
        <f>'2026_Chase9335_Activity_2026062'!B290</f>
        <v>46076</v>
      </c>
      <c r="C290" t="str">
        <f>'2026_Chase9335_Activity_2026062'!C290</f>
        <v>Prime Video *3W2UJ15T 888-802-3080 WA        02/21</v>
      </c>
      <c r="D290" s="5">
        <f>'2026_Chase9335_Activity_2026062'!D290</f>
        <v>-21.34</v>
      </c>
      <c r="E290" t="str">
        <f>'2026_Chase9335_Activity_2026062'!E290</f>
        <v>DEBIT_CARD</v>
      </c>
      <c r="F290" s="5">
        <f>'2026_Chase9335_Activity_2026062'!F290</f>
        <v>214514.33</v>
      </c>
      <c r="G290" t="str">
        <f>'2026_Chase9335_Activity_2026062'!G290</f>
        <v>Personal - Subscriptions</v>
      </c>
      <c r="H290" s="4">
        <f t="shared" si="4"/>
        <v>46054</v>
      </c>
      <c r="I290" t="str">
        <f>IF($G290="","Uncategorized — Review",IFERROR(_xlfn.XLOOKUP($G290,Mapping!$A:$A,Mapping!$B:$B),"Uncategorized — Review"))</f>
        <v>Personal - Subscriptions</v>
      </c>
      <c r="J290" t="str">
        <f>IF($G290="","Uncategorized — Review",IFERROR(_xlfn.XLOOKUP($G290,Mapping!$A:$A,Mapping!$C:$C),"Uncategorized — Review"))</f>
        <v>Personal — Owner</v>
      </c>
    </row>
    <row r="291" spans="1:10" x14ac:dyDescent="0.25">
      <c r="A291" t="str">
        <f>'2026_Chase9335_Activity_2026062'!A291</f>
        <v>DEBIT</v>
      </c>
      <c r="B291" s="1">
        <f>'2026_Chase9335_Activity_2026062'!B291</f>
        <v>46076</v>
      </c>
      <c r="C291" t="str">
        <f>'2026_Chase9335_Activity_2026062'!C291</f>
        <v>APPLE.COM/BILL 866-712-7753 CA               02/22</v>
      </c>
      <c r="D291" s="5">
        <f>'2026_Chase9335_Activity_2026062'!D291</f>
        <v>-30.89</v>
      </c>
      <c r="E291" t="str">
        <f>'2026_Chase9335_Activity_2026062'!E291</f>
        <v>DEBIT_CARD</v>
      </c>
      <c r="F291" s="5">
        <f>'2026_Chase9335_Activity_2026062'!F291</f>
        <v>214535.67</v>
      </c>
      <c r="G291" t="str">
        <f>'2026_Chase9335_Activity_2026062'!G291</f>
        <v>Personal - Subscriptions</v>
      </c>
      <c r="H291" s="4">
        <f t="shared" si="4"/>
        <v>46054</v>
      </c>
      <c r="I291" t="str">
        <f>IF($G291="","Uncategorized — Review",IFERROR(_xlfn.XLOOKUP($G291,Mapping!$A:$A,Mapping!$B:$B),"Uncategorized — Review"))</f>
        <v>Personal - Subscriptions</v>
      </c>
      <c r="J291" t="str">
        <f>IF($G291="","Uncategorized — Review",IFERROR(_xlfn.XLOOKUP($G291,Mapping!$A:$A,Mapping!$C:$C),"Uncategorized — Review"))</f>
        <v>Personal — Owner</v>
      </c>
    </row>
    <row r="292" spans="1:10" x14ac:dyDescent="0.25">
      <c r="A292" t="str">
        <f>'2026_Chase9335_Activity_2026062'!A292</f>
        <v>DEBIT</v>
      </c>
      <c r="B292" s="1">
        <f>'2026_Chase9335_Activity_2026062'!B292</f>
        <v>46076</v>
      </c>
      <c r="C292" t="str">
        <f>'2026_Chase9335_Activity_2026062'!C292</f>
        <v>AMAZON MKTPL*AF4JI4V Amzn.com/bill WA        02/22</v>
      </c>
      <c r="D292" s="5">
        <f>'2026_Chase9335_Activity_2026062'!D292</f>
        <v>-38.4</v>
      </c>
      <c r="E292" t="str">
        <f>'2026_Chase9335_Activity_2026062'!E292</f>
        <v>DEBIT_CARD</v>
      </c>
      <c r="F292" s="5">
        <f>'2026_Chase9335_Activity_2026062'!F292</f>
        <v>214566.56</v>
      </c>
      <c r="G292" t="str">
        <f>'2026_Chase9335_Activity_2026062'!G292</f>
        <v>Amazon</v>
      </c>
      <c r="H292" s="4">
        <f t="shared" si="4"/>
        <v>46054</v>
      </c>
      <c r="I292" t="str">
        <f>IF($G292="","Uncategorized — Review",IFERROR(_xlfn.XLOOKUP($G292,Mapping!$A:$A,Mapping!$B:$B),"Uncategorized — Review"))</f>
        <v>Amazon</v>
      </c>
      <c r="J292" t="str">
        <f>IF($G292="","Uncategorized — Review",IFERROR(_xlfn.XLOOKUP($G292,Mapping!$A:$A,Mapping!$C:$C),"Uncategorized — Review"))</f>
        <v>Personal — Owner</v>
      </c>
    </row>
    <row r="293" spans="1:10" x14ac:dyDescent="0.25">
      <c r="A293" t="str">
        <f>'2026_Chase9335_Activity_2026062'!A293</f>
        <v>DEBIT</v>
      </c>
      <c r="B293" s="1">
        <f>'2026_Chase9335_Activity_2026062'!B293</f>
        <v>46076</v>
      </c>
      <c r="C293" t="str">
        <f>'2026_Chase9335_Activity_2026062'!C293</f>
        <v>AMAZON MKTPL*U18642B Amzn.com/bill WA        02/22</v>
      </c>
      <c r="D293" s="5">
        <f>'2026_Chase9335_Activity_2026062'!D293</f>
        <v>-104.24</v>
      </c>
      <c r="E293" t="str">
        <f>'2026_Chase9335_Activity_2026062'!E293</f>
        <v>DEBIT_CARD</v>
      </c>
      <c r="F293" s="5">
        <f>'2026_Chase9335_Activity_2026062'!F293</f>
        <v>214604.96</v>
      </c>
      <c r="G293" t="str">
        <f>'2026_Chase9335_Activity_2026062'!G293</f>
        <v>Amazon</v>
      </c>
      <c r="H293" s="4">
        <f t="shared" si="4"/>
        <v>46054</v>
      </c>
      <c r="I293" t="str">
        <f>IF($G293="","Uncategorized — Review",IFERROR(_xlfn.XLOOKUP($G293,Mapping!$A:$A,Mapping!$B:$B),"Uncategorized — Review"))</f>
        <v>Amazon</v>
      </c>
      <c r="J293" t="str">
        <f>IF($G293="","Uncategorized — Review",IFERROR(_xlfn.XLOOKUP($G293,Mapping!$A:$A,Mapping!$C:$C),"Uncategorized — Review"))</f>
        <v>Personal — Owner</v>
      </c>
    </row>
    <row r="294" spans="1:10" x14ac:dyDescent="0.25">
      <c r="A294" t="str">
        <f>'2026_Chase9335_Activity_2026062'!A294</f>
        <v>DEBIT</v>
      </c>
      <c r="B294" s="1">
        <f>'2026_Chase9335_Activity_2026062'!B294</f>
        <v>46076</v>
      </c>
      <c r="C294" t="str">
        <f>'2026_Chase9335_Activity_2026062'!C294</f>
        <v>Netflix.com netflix.com CA                   02/21</v>
      </c>
      <c r="D294" s="5">
        <f>'2026_Chase9335_Activity_2026062'!D294</f>
        <v>-24.99</v>
      </c>
      <c r="E294" t="str">
        <f>'2026_Chase9335_Activity_2026062'!E294</f>
        <v>DEBIT_CARD</v>
      </c>
      <c r="F294" s="5">
        <f>'2026_Chase9335_Activity_2026062'!F294</f>
        <v>214709.2</v>
      </c>
      <c r="G294" t="str">
        <f>'2026_Chase9335_Activity_2026062'!G294</f>
        <v>Personal - Subscriptions</v>
      </c>
      <c r="H294" s="4">
        <f t="shared" si="4"/>
        <v>46054</v>
      </c>
      <c r="I294" t="str">
        <f>IF($G294="","Uncategorized — Review",IFERROR(_xlfn.XLOOKUP($G294,Mapping!$A:$A,Mapping!$B:$B),"Uncategorized — Review"))</f>
        <v>Personal - Subscriptions</v>
      </c>
      <c r="J294" t="str">
        <f>IF($G294="","Uncategorized — Review",IFERROR(_xlfn.XLOOKUP($G294,Mapping!$A:$A,Mapping!$C:$C),"Uncategorized — Review"))</f>
        <v>Personal — Owner</v>
      </c>
    </row>
    <row r="295" spans="1:10" x14ac:dyDescent="0.25">
      <c r="A295" t="str">
        <f>'2026_Chase9335_Activity_2026062'!A295</f>
        <v>DEBIT</v>
      </c>
      <c r="B295" s="1">
        <f>'2026_Chase9335_Activity_2026062'!B295</f>
        <v>46076</v>
      </c>
      <c r="C295" t="str">
        <f>'2026_Chase9335_Activity_2026062'!C295</f>
        <v>AA WIFI 1-877-350-0038 Fort Worth TX         02/20</v>
      </c>
      <c r="D295" s="5">
        <f>'2026_Chase9335_Activity_2026062'!D295</f>
        <v>-12</v>
      </c>
      <c r="E295" t="str">
        <f>'2026_Chase9335_Activity_2026062'!E295</f>
        <v>DEBIT_CARD</v>
      </c>
      <c r="F295" s="5">
        <f>'2026_Chase9335_Activity_2026062'!F295</f>
        <v>214734.19</v>
      </c>
      <c r="G295" t="str">
        <f>'2026_Chase9335_Activity_2026062'!G295</f>
        <v>Personal - Travel</v>
      </c>
      <c r="H295" s="4">
        <f t="shared" si="4"/>
        <v>46054</v>
      </c>
      <c r="I295" t="str">
        <f>IF($G295="","Uncategorized — Review",IFERROR(_xlfn.XLOOKUP($G295,Mapping!$A:$A,Mapping!$B:$B),"Uncategorized — Review"))</f>
        <v>Personal - Travel</v>
      </c>
      <c r="J295" t="str">
        <f>IF($G295="","Uncategorized — Review",IFERROR(_xlfn.XLOOKUP($G295,Mapping!$A:$A,Mapping!$C:$C),"Uncategorized — Review"))</f>
        <v>Personal — Owner</v>
      </c>
    </row>
    <row r="296" spans="1:10" x14ac:dyDescent="0.25">
      <c r="A296" t="str">
        <f>'2026_Chase9335_Activity_2026062'!A296</f>
        <v>CREDIT</v>
      </c>
      <c r="B296" s="1">
        <f>'2026_Chase9335_Activity_2026062'!B296</f>
        <v>46076</v>
      </c>
      <c r="C296" t="str">
        <f>'2026_Chase9335_Activity_2026062'!C296</f>
        <v>ORIG CO NAME:T and T Machine        ORIG ID:945440567  DESC DATE:       CO ENTRY DESCR:PAYMENT   SEC:PPD    TRACE#:273976367045821 EED:260223   IND ID:                             IND NAME:John Dunning TRN: 0547045821TC</v>
      </c>
      <c r="D296" s="5">
        <f>'2026_Chase9335_Activity_2026062'!D296</f>
        <v>367.52</v>
      </c>
      <c r="E296" t="str">
        <f>'2026_Chase9335_Activity_2026062'!E296</f>
        <v>ACH_CREDIT</v>
      </c>
      <c r="F296" s="5">
        <f>'2026_Chase9335_Activity_2026062'!F296</f>
        <v>214746.19</v>
      </c>
      <c r="G296" t="str">
        <f>'2026_Chase9335_Activity_2026062'!G296</f>
        <v>Deal Specific: T&amp;T Machine</v>
      </c>
      <c r="H296" s="4">
        <f t="shared" si="4"/>
        <v>46054</v>
      </c>
      <c r="I296" t="str">
        <f>IF($G296="","Uncategorized — Review",IFERROR(_xlfn.XLOOKUP($G296,Mapping!$A:$A,Mapping!$B:$B),"Uncategorized — Review"))</f>
        <v>Deal Specific: T&amp;T Machine</v>
      </c>
      <c r="J296" t="str">
        <f>IF($G296="","Uncategorized — Review",IFERROR(_xlfn.XLOOKUP($G296,Mapping!$A:$A,Mapping!$C:$C),"Uncategorized — Review"))</f>
        <v>Deal-Specific</v>
      </c>
    </row>
    <row r="297" spans="1:10" x14ac:dyDescent="0.25">
      <c r="A297" t="str">
        <f>'2026_Chase9335_Activity_2026062'!A297</f>
        <v>DEBIT</v>
      </c>
      <c r="B297" s="1">
        <f>'2026_Chase9335_Activity_2026062'!B297</f>
        <v>46073</v>
      </c>
      <c r="C297" t="str">
        <f>'2026_Chase9335_Activity_2026062'!C297</f>
        <v>ORIG CO NAME:THE BRANDON LAW        ORIG ID:8263863381 DESC DATE:       CO ENTRY DESCR:J2804 OOFFSEC:CCD    TRACE#:111000022792526 EED:260220   IND ID:CZ10000NZUJ4C                IND NAME:POSEIDON ASSET GROUP L     TRN*1*CZ10000NZUJ4C\RMR*IK*THE BRAN DON LAW FIRM PLL\ TRN: 0512792526TC</v>
      </c>
      <c r="D297" s="5">
        <f>'2026_Chase9335_Activity_2026062'!D297</f>
        <v>-10000</v>
      </c>
      <c r="E297" t="str">
        <f>'2026_Chase9335_Activity_2026062'!E297</f>
        <v>ACH_DEBIT</v>
      </c>
      <c r="F297" s="5">
        <f>'2026_Chase9335_Activity_2026062'!F297</f>
        <v>214378.67</v>
      </c>
      <c r="G297" t="str">
        <f>'2026_Chase9335_Activity_2026062'!G297</f>
        <v>Wire to Jon Brandon</v>
      </c>
      <c r="H297" s="4">
        <f t="shared" si="4"/>
        <v>46054</v>
      </c>
      <c r="I297" t="str">
        <f>IF($G297="","Uncategorized — Review",IFERROR(_xlfn.XLOOKUP($G297,Mapping!$A:$A,Mapping!$B:$B),"Uncategorized — Review"))</f>
        <v>Wire to Jon Brandon</v>
      </c>
      <c r="J297" t="str">
        <f>IF($G297="","Uncategorized — Review",IFERROR(_xlfn.XLOOKUP($G297,Mapping!$A:$A,Mapping!$C:$C),"Uncategorized — Review"))</f>
        <v>Wire Transfers — Outgoing</v>
      </c>
    </row>
    <row r="298" spans="1:10" x14ac:dyDescent="0.25">
      <c r="A298" t="str">
        <f>'2026_Chase9335_Activity_2026062'!A298</f>
        <v>DEBIT</v>
      </c>
      <c r="B298" s="1">
        <f>'2026_Chase9335_Activity_2026062'!B298</f>
        <v>46073</v>
      </c>
      <c r="C298" t="str">
        <f>'2026_Chase9335_Activity_2026062'!C298</f>
        <v>Online Transfer to CHK ...1117 transaction#: 28137686870 02/20</v>
      </c>
      <c r="D298" s="5">
        <f>'2026_Chase9335_Activity_2026062'!D298</f>
        <v>-20000</v>
      </c>
      <c r="E298" t="str">
        <f>'2026_Chase9335_Activity_2026062'!E298</f>
        <v>ACCT_XFER</v>
      </c>
      <c r="F298" s="5">
        <f>'2026_Chase9335_Activity_2026062'!F298</f>
        <v>224378.67</v>
      </c>
      <c r="G298" t="str">
        <f>'2026_Chase9335_Activity_2026062'!G298</f>
        <v>Transfer to Angela Dunning</v>
      </c>
      <c r="H298" s="4">
        <f t="shared" si="4"/>
        <v>46054</v>
      </c>
      <c r="I298" t="str">
        <f>IF($G298="","Uncategorized — Review",IFERROR(_xlfn.XLOOKUP($G298,Mapping!$A:$A,Mapping!$B:$B),"Uncategorized — Review"))</f>
        <v>Transfer to Angela Dunning</v>
      </c>
      <c r="J298" t="str">
        <f>IF($G298="","Uncategorized — Review",IFERROR(_xlfn.XLOOKUP($G298,Mapping!$A:$A,Mapping!$C:$C),"Uncategorized — Review"))</f>
        <v>Owner / Family Distributions</v>
      </c>
    </row>
    <row r="299" spans="1:10" x14ac:dyDescent="0.25">
      <c r="A299" t="str">
        <f>'2026_Chase9335_Activity_2026062'!A299</f>
        <v>DEBIT</v>
      </c>
      <c r="B299" s="1">
        <f>'2026_Chase9335_Activity_2026062'!B299</f>
        <v>46073</v>
      </c>
      <c r="C299" t="str">
        <f>'2026_Chase9335_Activity_2026062'!C299</f>
        <v>Amazon.com*B92EG3G42 Amzn.com/bill WA        02/20</v>
      </c>
      <c r="D299" s="5">
        <f>'2026_Chase9335_Activity_2026062'!D299</f>
        <v>-42</v>
      </c>
      <c r="E299" t="str">
        <f>'2026_Chase9335_Activity_2026062'!E299</f>
        <v>DEBIT_CARD</v>
      </c>
      <c r="F299" s="5">
        <f>'2026_Chase9335_Activity_2026062'!F299</f>
        <v>244378.67</v>
      </c>
      <c r="G299" t="str">
        <f>'2026_Chase9335_Activity_2026062'!G299</f>
        <v>Amazon</v>
      </c>
      <c r="H299" s="4">
        <f t="shared" si="4"/>
        <v>46054</v>
      </c>
      <c r="I299" t="str">
        <f>IF($G299="","Uncategorized — Review",IFERROR(_xlfn.XLOOKUP($G299,Mapping!$A:$A,Mapping!$B:$B),"Uncategorized — Review"))</f>
        <v>Amazon</v>
      </c>
      <c r="J299" t="str">
        <f>IF($G299="","Uncategorized — Review",IFERROR(_xlfn.XLOOKUP($G299,Mapping!$A:$A,Mapping!$C:$C),"Uncategorized — Review"))</f>
        <v>Personal — Owner</v>
      </c>
    </row>
    <row r="300" spans="1:10" x14ac:dyDescent="0.25">
      <c r="A300" t="str">
        <f>'2026_Chase9335_Activity_2026062'!A300</f>
        <v>DEBIT</v>
      </c>
      <c r="B300" s="1">
        <f>'2026_Chase9335_Activity_2026062'!B300</f>
        <v>46072</v>
      </c>
      <c r="C300" t="str">
        <f>'2026_Chase9335_Activity_2026062'!C300</f>
        <v>Online Transfer to CHK ...1168 transaction#: 28131453248 02/19</v>
      </c>
      <c r="D300" s="5">
        <f>'2026_Chase9335_Activity_2026062'!D300</f>
        <v>-10000</v>
      </c>
      <c r="E300" t="str">
        <f>'2026_Chase9335_Activity_2026062'!E300</f>
        <v>ACCT_XFER</v>
      </c>
      <c r="F300" s="5">
        <f>'2026_Chase9335_Activity_2026062'!F300</f>
        <v>244420.67</v>
      </c>
      <c r="G300" t="str">
        <f>'2026_Chase9335_Activity_2026062'!G300</f>
        <v>Transfer to DWG Capital Group</v>
      </c>
      <c r="H300" s="4">
        <f t="shared" si="4"/>
        <v>46054</v>
      </c>
      <c r="I300" t="str">
        <f>IF($G300="","Uncategorized — Review",IFERROR(_xlfn.XLOOKUP($G300,Mapping!$A:$A,Mapping!$B:$B),"Uncategorized — Review"))</f>
        <v>Transfer to DWG Capital Group</v>
      </c>
      <c r="J300" t="str">
        <f>IF($G300="","Uncategorized — Review",IFERROR(_xlfn.XLOOKUP($G300,Mapping!$A:$A,Mapping!$C:$C),"Uncategorized — Review"))</f>
        <v>Intercompany &amp; Savings Transfers</v>
      </c>
    </row>
    <row r="301" spans="1:10" x14ac:dyDescent="0.25">
      <c r="A301" t="str">
        <f>'2026_Chase9335_Activity_2026062'!A301</f>
        <v>DEBIT</v>
      </c>
      <c r="B301" s="1">
        <f>'2026_Chase9335_Activity_2026062'!B301</f>
        <v>46072</v>
      </c>
      <c r="C301" t="str">
        <f>'2026_Chase9335_Activity_2026062'!C301</f>
        <v>Online Transfer to CHK ...7899 transaction#: 28131459271 02/19</v>
      </c>
      <c r="D301" s="5">
        <f>'2026_Chase9335_Activity_2026062'!D301</f>
        <v>-20000</v>
      </c>
      <c r="E301" t="str">
        <f>'2026_Chase9335_Activity_2026062'!E301</f>
        <v>ACCT_XFER</v>
      </c>
      <c r="F301" s="5">
        <f>'2026_Chase9335_Activity_2026062'!F301</f>
        <v>254420.67</v>
      </c>
      <c r="G301" t="str">
        <f>'2026_Chase9335_Activity_2026062'!G301</f>
        <v>Transfer to TX Personal Joint</v>
      </c>
      <c r="H301" s="4">
        <f t="shared" si="4"/>
        <v>46054</v>
      </c>
      <c r="I301" t="str">
        <f>IF($G301="","Uncategorized — Review",IFERROR(_xlfn.XLOOKUP($G301,Mapping!$A:$A,Mapping!$B:$B),"Uncategorized — Review"))</f>
        <v>Transfer to TX Personal Joint</v>
      </c>
      <c r="J301" t="str">
        <f>IF($G301="","Uncategorized — Review",IFERROR(_xlfn.XLOOKUP($G301,Mapping!$A:$A,Mapping!$C:$C),"Uncategorized — Review"))</f>
        <v>Owner / Family Distributions</v>
      </c>
    </row>
    <row r="302" spans="1:10" x14ac:dyDescent="0.25">
      <c r="A302" t="str">
        <f>'2026_Chase9335_Activity_2026062'!A302</f>
        <v>DEBIT</v>
      </c>
      <c r="B302" s="1">
        <f>'2026_Chase9335_Activity_2026062'!B302</f>
        <v>46072</v>
      </c>
      <c r="C302" t="str">
        <f>'2026_Chase9335_Activity_2026062'!C302</f>
        <v>Zelle payment to Michael Paytonjian JPM99c690glm</v>
      </c>
      <c r="D302" s="5">
        <f>'2026_Chase9335_Activity_2026062'!D302</f>
        <v>-25</v>
      </c>
      <c r="E302" t="str">
        <f>'2026_Chase9335_Activity_2026062'!E302</f>
        <v>CHASE_TO_PARTNERFI</v>
      </c>
      <c r="F302" s="5">
        <f>'2026_Chase9335_Activity_2026062'!F302</f>
        <v>274420.67</v>
      </c>
      <c r="G302" t="str">
        <f>'2026_Chase9335_Activity_2026062'!G302</f>
        <v>Office/Miscellaneous Reimbursement - Mike P.</v>
      </c>
      <c r="H302" s="4">
        <f t="shared" si="4"/>
        <v>46054</v>
      </c>
      <c r="I302" t="str">
        <f>IF($G302="","Uncategorized — Review",IFERROR(_xlfn.XLOOKUP($G302,Mapping!$A:$A,Mapping!$B:$B),"Uncategorized — Review"))</f>
        <v>Office/Miscellaneous Reimbursement - Mike P.</v>
      </c>
      <c r="J302" t="str">
        <f>IF($G302="","Uncategorized — Review",IFERROR(_xlfn.XLOOKUP($G302,Mapping!$A:$A,Mapping!$C:$C),"Uncategorized — Review"))</f>
        <v>Payroll &amp; Contractors</v>
      </c>
    </row>
    <row r="303" spans="1:10" x14ac:dyDescent="0.25">
      <c r="A303" t="str">
        <f>'2026_Chase9335_Activity_2026062'!A303</f>
        <v>DEBIT</v>
      </c>
      <c r="B303" s="1">
        <f>'2026_Chase9335_Activity_2026062'!B303</f>
        <v>46072</v>
      </c>
      <c r="C303" t="str">
        <f>'2026_Chase9335_Activity_2026062'!C303</f>
        <v>Amazon Tips*B900H8EO Amzn.com/bill WA        02/19</v>
      </c>
      <c r="D303" s="5">
        <f>'2026_Chase9335_Activity_2026062'!D303</f>
        <v>-5</v>
      </c>
      <c r="E303" t="str">
        <f>'2026_Chase9335_Activity_2026062'!E303</f>
        <v>DEBIT_CARD</v>
      </c>
      <c r="F303" s="5">
        <f>'2026_Chase9335_Activity_2026062'!F303</f>
        <v>274445.67</v>
      </c>
      <c r="G303" t="str">
        <f>'2026_Chase9335_Activity_2026062'!G303</f>
        <v>Amazon</v>
      </c>
      <c r="H303" s="4">
        <f t="shared" si="4"/>
        <v>46054</v>
      </c>
      <c r="I303" t="str">
        <f>IF($G303="","Uncategorized — Review",IFERROR(_xlfn.XLOOKUP($G303,Mapping!$A:$A,Mapping!$B:$B),"Uncategorized — Review"))</f>
        <v>Amazon</v>
      </c>
      <c r="J303" t="str">
        <f>IF($G303="","Uncategorized — Review",IFERROR(_xlfn.XLOOKUP($G303,Mapping!$A:$A,Mapping!$C:$C),"Uncategorized — Review"))</f>
        <v>Personal — Owner</v>
      </c>
    </row>
    <row r="304" spans="1:10" x14ac:dyDescent="0.25">
      <c r="A304" t="str">
        <f>'2026_Chase9335_Activity_2026062'!A304</f>
        <v>DEBIT</v>
      </c>
      <c r="B304" s="1">
        <f>'2026_Chase9335_Activity_2026062'!B304</f>
        <v>46072</v>
      </c>
      <c r="C304" t="str">
        <f>'2026_Chase9335_Activity_2026062'!C304</f>
        <v>Online Transfer to CHK ...7753 transaction#: 28126995851 02/19</v>
      </c>
      <c r="D304" s="5">
        <f>'2026_Chase9335_Activity_2026062'!D304</f>
        <v>-15000</v>
      </c>
      <c r="E304" t="str">
        <f>'2026_Chase9335_Activity_2026062'!E304</f>
        <v>ACCT_XFER</v>
      </c>
      <c r="F304" s="5">
        <f>'2026_Chase9335_Activity_2026062'!F304</f>
        <v>274450.67</v>
      </c>
      <c r="G304" t="str">
        <f>'2026_Chase9335_Activity_2026062'!G304</f>
        <v>Transfer to DWG Capital Group_Costar</v>
      </c>
      <c r="H304" s="4">
        <f t="shared" si="4"/>
        <v>46054</v>
      </c>
      <c r="I304" t="str">
        <f>IF($G304="","Uncategorized — Review",IFERROR(_xlfn.XLOOKUP($G304,Mapping!$A:$A,Mapping!$B:$B),"Uncategorized — Review"))</f>
        <v>Transfer to DWG Capital Group_Costar</v>
      </c>
      <c r="J304" t="str">
        <f>IF($G304="","Uncategorized — Review",IFERROR(_xlfn.XLOOKUP($G304,Mapping!$A:$A,Mapping!$C:$C),"Uncategorized — Review"))</f>
        <v>Intercompany &amp; Savings Transfers</v>
      </c>
    </row>
    <row r="305" spans="1:10" x14ac:dyDescent="0.25">
      <c r="A305" t="str">
        <f>'2026_Chase9335_Activity_2026062'!A305</f>
        <v>DEBIT</v>
      </c>
      <c r="B305" s="1">
        <f>'2026_Chase9335_Activity_2026062'!B305</f>
        <v>46072</v>
      </c>
      <c r="C305" t="str">
        <f>'2026_Chase9335_Activity_2026062'!C305</f>
        <v>ANGEL WWW.ANGEL.COM UT                       02/19</v>
      </c>
      <c r="D305" s="5">
        <f>'2026_Chase9335_Activity_2026062'!D305</f>
        <v>-20</v>
      </c>
      <c r="E305" t="str">
        <f>'2026_Chase9335_Activity_2026062'!E305</f>
        <v>DEBIT_CARD</v>
      </c>
      <c r="F305" s="5">
        <f>'2026_Chase9335_Activity_2026062'!F305</f>
        <v>289450.67</v>
      </c>
      <c r="G305" t="str">
        <f>'2026_Chase9335_Activity_2026062'!G305</f>
        <v>Personal - Subscriptions</v>
      </c>
      <c r="H305" s="4">
        <f t="shared" si="4"/>
        <v>46054</v>
      </c>
      <c r="I305" t="str">
        <f>IF($G305="","Uncategorized — Review",IFERROR(_xlfn.XLOOKUP($G305,Mapping!$A:$A,Mapping!$B:$B),"Uncategorized — Review"))</f>
        <v>Personal - Subscriptions</v>
      </c>
      <c r="J305" t="str">
        <f>IF($G305="","Uncategorized — Review",IFERROR(_xlfn.XLOOKUP($G305,Mapping!$A:$A,Mapping!$C:$C),"Uncategorized — Review"))</f>
        <v>Personal — Owner</v>
      </c>
    </row>
    <row r="306" spans="1:10" x14ac:dyDescent="0.25">
      <c r="A306" t="str">
        <f>'2026_Chase9335_Activity_2026062'!A306</f>
        <v>DEBIT</v>
      </c>
      <c r="B306" s="1">
        <f>'2026_Chase9335_Activity_2026062'!B306</f>
        <v>46072</v>
      </c>
      <c r="C306" t="str">
        <f>'2026_Chase9335_Activity_2026062'!C306</f>
        <v>Prime Video *958170DT 888-802-3080 WA        02/19</v>
      </c>
      <c r="D306" s="5">
        <f>'2026_Chase9335_Activity_2026062'!D306</f>
        <v>-4.26</v>
      </c>
      <c r="E306" t="str">
        <f>'2026_Chase9335_Activity_2026062'!E306</f>
        <v>DEBIT_CARD</v>
      </c>
      <c r="F306" s="5">
        <f>'2026_Chase9335_Activity_2026062'!F306</f>
        <v>289470.67</v>
      </c>
      <c r="G306" t="str">
        <f>'2026_Chase9335_Activity_2026062'!G306</f>
        <v>Personal - Subscriptions</v>
      </c>
      <c r="H306" s="4">
        <f t="shared" si="4"/>
        <v>46054</v>
      </c>
      <c r="I306" t="str">
        <f>IF($G306="","Uncategorized — Review",IFERROR(_xlfn.XLOOKUP($G306,Mapping!$A:$A,Mapping!$B:$B),"Uncategorized — Review"))</f>
        <v>Personal - Subscriptions</v>
      </c>
      <c r="J306" t="str">
        <f>IF($G306="","Uncategorized — Review",IFERROR(_xlfn.XLOOKUP($G306,Mapping!$A:$A,Mapping!$C:$C),"Uncategorized — Review"))</f>
        <v>Personal — Owner</v>
      </c>
    </row>
    <row r="307" spans="1:10" x14ac:dyDescent="0.25">
      <c r="A307" t="str">
        <f>'2026_Chase9335_Activity_2026062'!A307</f>
        <v>DEBIT</v>
      </c>
      <c r="B307" s="1">
        <f>'2026_Chase9335_Activity_2026062'!B307</f>
        <v>46072</v>
      </c>
      <c r="C307" t="str">
        <f>'2026_Chase9335_Activity_2026062'!C307</f>
        <v>Amazon.com*M82QO1KL3 Amzn.com/bill WA        02/19</v>
      </c>
      <c r="D307" s="5">
        <f>'2026_Chase9335_Activity_2026062'!D307</f>
        <v>-13.16</v>
      </c>
      <c r="E307" t="str">
        <f>'2026_Chase9335_Activity_2026062'!E307</f>
        <v>DEBIT_CARD</v>
      </c>
      <c r="F307" s="5">
        <f>'2026_Chase9335_Activity_2026062'!F307</f>
        <v>289474.93</v>
      </c>
      <c r="G307" t="str">
        <f>'2026_Chase9335_Activity_2026062'!G307</f>
        <v>Amazon</v>
      </c>
      <c r="H307" s="4">
        <f t="shared" si="4"/>
        <v>46054</v>
      </c>
      <c r="I307" t="str">
        <f>IF($G307="","Uncategorized — Review",IFERROR(_xlfn.XLOOKUP($G307,Mapping!$A:$A,Mapping!$B:$B),"Uncategorized — Review"))</f>
        <v>Amazon</v>
      </c>
      <c r="J307" t="str">
        <f>IF($G307="","Uncategorized — Review",IFERROR(_xlfn.XLOOKUP($G307,Mapping!$A:$A,Mapping!$C:$C),"Uncategorized — Review"))</f>
        <v>Personal — Owner</v>
      </c>
    </row>
    <row r="308" spans="1:10" x14ac:dyDescent="0.25">
      <c r="A308" t="str">
        <f>'2026_Chase9335_Activity_2026062'!A308</f>
        <v>DEBIT</v>
      </c>
      <c r="B308" s="1">
        <f>'2026_Chase9335_Activity_2026062'!B308</f>
        <v>46072</v>
      </c>
      <c r="C308" t="str">
        <f>'2026_Chase9335_Activity_2026062'!C308</f>
        <v>Amazon.com*B90JJ23J2 Amzn.com/bill WA        02/18</v>
      </c>
      <c r="D308" s="5">
        <f>'2026_Chase9335_Activity_2026062'!D308</f>
        <v>-29.62</v>
      </c>
      <c r="E308" t="str">
        <f>'2026_Chase9335_Activity_2026062'!E308</f>
        <v>DEBIT_CARD</v>
      </c>
      <c r="F308" s="5">
        <f>'2026_Chase9335_Activity_2026062'!F308</f>
        <v>289488.09000000003</v>
      </c>
      <c r="G308" t="str">
        <f>'2026_Chase9335_Activity_2026062'!G308</f>
        <v>Amazon</v>
      </c>
      <c r="H308" s="4">
        <f t="shared" si="4"/>
        <v>46054</v>
      </c>
      <c r="I308" t="str">
        <f>IF($G308="","Uncategorized — Review",IFERROR(_xlfn.XLOOKUP($G308,Mapping!$A:$A,Mapping!$B:$B),"Uncategorized — Review"))</f>
        <v>Amazon</v>
      </c>
      <c r="J308" t="str">
        <f>IF($G308="","Uncategorized — Review",IFERROR(_xlfn.XLOOKUP($G308,Mapping!$A:$A,Mapping!$C:$C),"Uncategorized — Review"))</f>
        <v>Personal — Owner</v>
      </c>
    </row>
    <row r="309" spans="1:10" x14ac:dyDescent="0.25">
      <c r="A309" t="str">
        <f>'2026_Chase9335_Activity_2026062'!A309</f>
        <v>CREDIT</v>
      </c>
      <c r="B309" s="1">
        <f>'2026_Chase9335_Activity_2026062'!B309</f>
        <v>46072</v>
      </c>
      <c r="C309" t="str">
        <f>'2026_Chase9335_Activity_2026062'!C309</f>
        <v>BOOK TRANSFER CREDIT B/O: SCOTT D BRECHNER PHOENIX AZ 85076-1102 US TRN: 3674476049ES</v>
      </c>
      <c r="D309" s="5">
        <f>'2026_Chase9335_Activity_2026062'!D309</f>
        <v>168266</v>
      </c>
      <c r="E309" t="str">
        <f>'2026_Chase9335_Activity_2026062'!E309</f>
        <v>WIRE_INCOMING</v>
      </c>
      <c r="F309" s="5">
        <f>'2026_Chase9335_Activity_2026062'!F309</f>
        <v>289517.71000000002</v>
      </c>
      <c r="G309" t="str">
        <f>'2026_Chase9335_Activity_2026062'!G309</f>
        <v>Incoming Commission: Rembrandt</v>
      </c>
      <c r="H309" s="4">
        <f t="shared" si="4"/>
        <v>46054</v>
      </c>
      <c r="I309" t="str">
        <f>IF($G309="","Uncategorized — Review",IFERROR(_xlfn.XLOOKUP($G309,Mapping!$A:$A,Mapping!$B:$B),"Uncategorized — Review"))</f>
        <v>Incoming Commission: Rembrandt</v>
      </c>
      <c r="J309" t="str">
        <f>IF($G309="","Uncategorized — Review",IFERROR(_xlfn.XLOOKUP($G309,Mapping!$A:$A,Mapping!$C:$C),"Uncategorized — Review"))</f>
        <v>Commissions — Incoming</v>
      </c>
    </row>
    <row r="310" spans="1:10" x14ac:dyDescent="0.25">
      <c r="A310" t="str">
        <f>'2026_Chase9335_Activity_2026062'!A310</f>
        <v>DEBIT</v>
      </c>
      <c r="B310" s="1">
        <f>'2026_Chase9335_Activity_2026062'!B310</f>
        <v>46071</v>
      </c>
      <c r="C310" t="str">
        <f>'2026_Chase9335_Activity_2026062'!C310</f>
        <v>Prime Video *B96TH045 888-802-3080 WA        02/18</v>
      </c>
      <c r="D310" s="5">
        <f>'2026_Chase9335_Activity_2026062'!D310</f>
        <v>-4.26</v>
      </c>
      <c r="E310" t="str">
        <f>'2026_Chase9335_Activity_2026062'!E310</f>
        <v>DEBIT_CARD</v>
      </c>
      <c r="F310" s="5">
        <f>'2026_Chase9335_Activity_2026062'!F310</f>
        <v>121251.71</v>
      </c>
      <c r="G310" t="str">
        <f>'2026_Chase9335_Activity_2026062'!G310</f>
        <v>Personal - Subscriptions</v>
      </c>
      <c r="H310" s="4">
        <f t="shared" si="4"/>
        <v>46054</v>
      </c>
      <c r="I310" t="str">
        <f>IF($G310="","Uncategorized — Review",IFERROR(_xlfn.XLOOKUP($G310,Mapping!$A:$A,Mapping!$B:$B),"Uncategorized — Review"))</f>
        <v>Personal - Subscriptions</v>
      </c>
      <c r="J310" t="str">
        <f>IF($G310="","Uncategorized — Review",IFERROR(_xlfn.XLOOKUP($G310,Mapping!$A:$A,Mapping!$C:$C),"Uncategorized — Review"))</f>
        <v>Personal — Owner</v>
      </c>
    </row>
    <row r="311" spans="1:10" x14ac:dyDescent="0.25">
      <c r="A311" t="str">
        <f>'2026_Chase9335_Activity_2026062'!A311</f>
        <v>DEBIT</v>
      </c>
      <c r="B311" s="1">
        <f>'2026_Chase9335_Activity_2026062'!B311</f>
        <v>46071</v>
      </c>
      <c r="C311" t="str">
        <f>'2026_Chase9335_Activity_2026062'!C311</f>
        <v>Amazon.com*0178F0M63 Amzn.com/bill WA        02/18</v>
      </c>
      <c r="D311" s="5">
        <f>'2026_Chase9335_Activity_2026062'!D311</f>
        <v>-9.24</v>
      </c>
      <c r="E311" t="str">
        <f>'2026_Chase9335_Activity_2026062'!E311</f>
        <v>DEBIT_CARD</v>
      </c>
      <c r="F311" s="5">
        <f>'2026_Chase9335_Activity_2026062'!F311</f>
        <v>121255.97</v>
      </c>
      <c r="G311" t="str">
        <f>'2026_Chase9335_Activity_2026062'!G311</f>
        <v>Amazon</v>
      </c>
      <c r="H311" s="4">
        <f t="shared" si="4"/>
        <v>46054</v>
      </c>
      <c r="I311" t="str">
        <f>IF($G311="","Uncategorized — Review",IFERROR(_xlfn.XLOOKUP($G311,Mapping!$A:$A,Mapping!$B:$B),"Uncategorized — Review"))</f>
        <v>Amazon</v>
      </c>
      <c r="J311" t="str">
        <f>IF($G311="","Uncategorized — Review",IFERROR(_xlfn.XLOOKUP($G311,Mapping!$A:$A,Mapping!$C:$C),"Uncategorized — Review"))</f>
        <v>Personal — Owner</v>
      </c>
    </row>
    <row r="312" spans="1:10" x14ac:dyDescent="0.25">
      <c r="A312" t="str">
        <f>'2026_Chase9335_Activity_2026062'!A312</f>
        <v>DEBIT</v>
      </c>
      <c r="B312" s="1">
        <f>'2026_Chase9335_Activity_2026062'!B312</f>
        <v>46071</v>
      </c>
      <c r="C312" t="str">
        <f>'2026_Chase9335_Activity_2026062'!C312</f>
        <v>Amazon.com*B93EN64X2 Amzn.com/bill WA        02/18</v>
      </c>
      <c r="D312" s="5">
        <f>'2026_Chase9335_Activity_2026062'!D312</f>
        <v>-31.88</v>
      </c>
      <c r="E312" t="str">
        <f>'2026_Chase9335_Activity_2026062'!E312</f>
        <v>DEBIT_CARD</v>
      </c>
      <c r="F312" s="5">
        <f>'2026_Chase9335_Activity_2026062'!F312</f>
        <v>121265.21</v>
      </c>
      <c r="G312" t="str">
        <f>'2026_Chase9335_Activity_2026062'!G312</f>
        <v>Amazon</v>
      </c>
      <c r="H312" s="4">
        <f t="shared" si="4"/>
        <v>46054</v>
      </c>
      <c r="I312" t="str">
        <f>IF($G312="","Uncategorized — Review",IFERROR(_xlfn.XLOOKUP($G312,Mapping!$A:$A,Mapping!$B:$B),"Uncategorized — Review"))</f>
        <v>Amazon</v>
      </c>
      <c r="J312" t="str">
        <f>IF($G312="","Uncategorized — Review",IFERROR(_xlfn.XLOOKUP($G312,Mapping!$A:$A,Mapping!$C:$C),"Uncategorized — Review"))</f>
        <v>Personal — Owner</v>
      </c>
    </row>
    <row r="313" spans="1:10" x14ac:dyDescent="0.25">
      <c r="A313" t="str">
        <f>'2026_Chase9335_Activity_2026062'!A313</f>
        <v>DEBIT</v>
      </c>
      <c r="B313" s="1">
        <f>'2026_Chase9335_Activity_2026062'!B313</f>
        <v>46071</v>
      </c>
      <c r="C313" t="str">
        <f>'2026_Chase9335_Activity_2026062'!C313</f>
        <v>Amazon.com*B913D3Z12 Amzn.com/bill WA        02/18</v>
      </c>
      <c r="D313" s="5">
        <f>'2026_Chase9335_Activity_2026062'!D313</f>
        <v>-54.16</v>
      </c>
      <c r="E313" t="str">
        <f>'2026_Chase9335_Activity_2026062'!E313</f>
        <v>DEBIT_CARD</v>
      </c>
      <c r="F313" s="5">
        <f>'2026_Chase9335_Activity_2026062'!F313</f>
        <v>121297.09</v>
      </c>
      <c r="G313" t="str">
        <f>'2026_Chase9335_Activity_2026062'!G313</f>
        <v>Amazon</v>
      </c>
      <c r="H313" s="4">
        <f t="shared" si="4"/>
        <v>46054</v>
      </c>
      <c r="I313" t="str">
        <f>IF($G313="","Uncategorized — Review",IFERROR(_xlfn.XLOOKUP($G313,Mapping!$A:$A,Mapping!$B:$B),"Uncategorized — Review"))</f>
        <v>Amazon</v>
      </c>
      <c r="J313" t="str">
        <f>IF($G313="","Uncategorized — Review",IFERROR(_xlfn.XLOOKUP($G313,Mapping!$A:$A,Mapping!$C:$C),"Uncategorized — Review"))</f>
        <v>Personal — Owner</v>
      </c>
    </row>
    <row r="314" spans="1:10" x14ac:dyDescent="0.25">
      <c r="A314" t="str">
        <f>'2026_Chase9335_Activity_2026062'!A314</f>
        <v>DEBIT</v>
      </c>
      <c r="B314" s="1">
        <f>'2026_Chase9335_Activity_2026062'!B314</f>
        <v>46071</v>
      </c>
      <c r="C314" t="str">
        <f>'2026_Chase9335_Activity_2026062'!C314</f>
        <v>Amazon Tips*CX9S94YL Amzn.com/bill WA        02/17</v>
      </c>
      <c r="D314" s="5">
        <f>'2026_Chase9335_Activity_2026062'!D314</f>
        <v>-5</v>
      </c>
      <c r="E314" t="str">
        <f>'2026_Chase9335_Activity_2026062'!E314</f>
        <v>DEBIT_CARD</v>
      </c>
      <c r="F314" s="5">
        <f>'2026_Chase9335_Activity_2026062'!F314</f>
        <v>121351.25</v>
      </c>
      <c r="G314" t="str">
        <f>'2026_Chase9335_Activity_2026062'!G314</f>
        <v>Amazon</v>
      </c>
      <c r="H314" s="4">
        <f t="shared" si="4"/>
        <v>46054</v>
      </c>
      <c r="I314" t="str">
        <f>IF($G314="","Uncategorized — Review",IFERROR(_xlfn.XLOOKUP($G314,Mapping!$A:$A,Mapping!$B:$B),"Uncategorized — Review"))</f>
        <v>Amazon</v>
      </c>
      <c r="J314" t="str">
        <f>IF($G314="","Uncategorized — Review",IFERROR(_xlfn.XLOOKUP($G314,Mapping!$A:$A,Mapping!$C:$C),"Uncategorized — Review"))</f>
        <v>Personal — Owner</v>
      </c>
    </row>
    <row r="315" spans="1:10" x14ac:dyDescent="0.25">
      <c r="A315" t="str">
        <f>'2026_Chase9335_Activity_2026062'!A315</f>
        <v>DEBIT</v>
      </c>
      <c r="B315" s="1">
        <f>'2026_Chase9335_Activity_2026062'!B315</f>
        <v>46070</v>
      </c>
      <c r="C315" t="str">
        <f>'2026_Chase9335_Activity_2026062'!C315</f>
        <v>WITHDRAWAL 02/17</v>
      </c>
      <c r="D315" s="5">
        <f>'2026_Chase9335_Activity_2026062'!D315</f>
        <v>-1000</v>
      </c>
      <c r="E315" t="str">
        <f>'2026_Chase9335_Activity_2026062'!E315</f>
        <v>MISC_DEBIT</v>
      </c>
      <c r="F315" s="5">
        <f>'2026_Chase9335_Activity_2026062'!F315</f>
        <v>121356.25</v>
      </c>
      <c r="G315" t="str">
        <f>'2026_Chase9335_Activity_2026062'!G315</f>
        <v>ATM/Cash</v>
      </c>
      <c r="H315" s="4">
        <f t="shared" si="4"/>
        <v>46054</v>
      </c>
      <c r="I315" t="str">
        <f>IF($G315="","Uncategorized — Review",IFERROR(_xlfn.XLOOKUP($G315,Mapping!$A:$A,Mapping!$B:$B),"Uncategorized — Review"))</f>
        <v>ATM/Cash</v>
      </c>
      <c r="J315" t="str">
        <f>IF($G315="","Uncategorized — Review",IFERROR(_xlfn.XLOOKUP($G315,Mapping!$A:$A,Mapping!$C:$C),"Uncategorized — Review"))</f>
        <v>Personal — Owner</v>
      </c>
    </row>
    <row r="316" spans="1:10" x14ac:dyDescent="0.25">
      <c r="A316" t="str">
        <f>'2026_Chase9335_Activity_2026062'!A316</f>
        <v>DEBIT</v>
      </c>
      <c r="B316" s="1">
        <f>'2026_Chase9335_Activity_2026062'!B316</f>
        <v>46070</v>
      </c>
      <c r="C316" t="str">
        <f>'2026_Chase9335_Activity_2026062'!C316</f>
        <v>TST* THE BUTCHER'S DAUG VENICE CA            02/17</v>
      </c>
      <c r="D316" s="5">
        <f>'2026_Chase9335_Activity_2026062'!D316</f>
        <v>-81.39</v>
      </c>
      <c r="E316" t="str">
        <f>'2026_Chase9335_Activity_2026062'!E316</f>
        <v>DEBIT_CARD</v>
      </c>
      <c r="F316" s="5">
        <f>'2026_Chase9335_Activity_2026062'!F316</f>
        <v>122356.25</v>
      </c>
      <c r="G316" t="str">
        <f>'2026_Chase9335_Activity_2026062'!G316</f>
        <v>Personal - Food &amp; Dining</v>
      </c>
      <c r="H316" s="4">
        <f t="shared" si="4"/>
        <v>46054</v>
      </c>
      <c r="I316" t="str">
        <f>IF($G316="","Uncategorized — Review",IFERROR(_xlfn.XLOOKUP($G316,Mapping!$A:$A,Mapping!$B:$B),"Uncategorized — Review"))</f>
        <v>Personal - Food &amp; Dining</v>
      </c>
      <c r="J316" t="str">
        <f>IF($G316="","Uncategorized — Review",IFERROR(_xlfn.XLOOKUP($G316,Mapping!$A:$A,Mapping!$C:$C),"Uncategorized — Review"))</f>
        <v>Personal — Owner</v>
      </c>
    </row>
    <row r="317" spans="1:10" x14ac:dyDescent="0.25">
      <c r="A317" t="str">
        <f>'2026_Chase9335_Activity_2026062'!A317</f>
        <v>DEBIT</v>
      </c>
      <c r="B317" s="1">
        <f>'2026_Chase9335_Activity_2026062'!B317</f>
        <v>46070</v>
      </c>
      <c r="C317" t="str">
        <f>'2026_Chase9335_Activity_2026062'!C317</f>
        <v>Amazon.com*B11JW99L2 Amzn.com/bill WA        02/16</v>
      </c>
      <c r="D317" s="5">
        <f>'2026_Chase9335_Activity_2026062'!D317</f>
        <v>-47.32</v>
      </c>
      <c r="E317" t="str">
        <f>'2026_Chase9335_Activity_2026062'!E317</f>
        <v>DEBIT_CARD</v>
      </c>
      <c r="F317" s="5">
        <f>'2026_Chase9335_Activity_2026062'!F317</f>
        <v>122437.64</v>
      </c>
      <c r="G317" t="str">
        <f>'2026_Chase9335_Activity_2026062'!G317</f>
        <v>Amazon</v>
      </c>
      <c r="H317" s="4">
        <f t="shared" si="4"/>
        <v>46054</v>
      </c>
      <c r="I317" t="str">
        <f>IF($G317="","Uncategorized — Review",IFERROR(_xlfn.XLOOKUP($G317,Mapping!$A:$A,Mapping!$B:$B),"Uncategorized — Review"))</f>
        <v>Amazon</v>
      </c>
      <c r="J317" t="str">
        <f>IF($G317="","Uncategorized — Review",IFERROR(_xlfn.XLOOKUP($G317,Mapping!$A:$A,Mapping!$C:$C),"Uncategorized — Review"))</f>
        <v>Personal — Owner</v>
      </c>
    </row>
    <row r="318" spans="1:10" x14ac:dyDescent="0.25">
      <c r="A318" t="str">
        <f>'2026_Chase9335_Activity_2026062'!A318</f>
        <v>DEBIT</v>
      </c>
      <c r="B318" s="1">
        <f>'2026_Chase9335_Activity_2026062'!B318</f>
        <v>46070</v>
      </c>
      <c r="C318" t="str">
        <f>'2026_Chase9335_Activity_2026062'!C318</f>
        <v>ROBBINS RESEARCH INT WWW.TONYROBBI CA        02/16</v>
      </c>
      <c r="D318" s="5">
        <f>'2026_Chase9335_Activity_2026062'!D318</f>
        <v>-39</v>
      </c>
      <c r="E318" t="str">
        <f>'2026_Chase9335_Activity_2026062'!E318</f>
        <v>DEBIT_CARD</v>
      </c>
      <c r="F318" s="5">
        <f>'2026_Chase9335_Activity_2026062'!F318</f>
        <v>122484.96</v>
      </c>
      <c r="G318" t="str">
        <f>'2026_Chase9335_Activity_2026062'!G318</f>
        <v>Personal - Subscriptions</v>
      </c>
      <c r="H318" s="4">
        <f t="shared" si="4"/>
        <v>46054</v>
      </c>
      <c r="I318" t="str">
        <f>IF($G318="","Uncategorized — Review",IFERROR(_xlfn.XLOOKUP($G318,Mapping!$A:$A,Mapping!$B:$B),"Uncategorized — Review"))</f>
        <v>Personal - Subscriptions</v>
      </c>
      <c r="J318" t="str">
        <f>IF($G318="","Uncategorized — Review",IFERROR(_xlfn.XLOOKUP($G318,Mapping!$A:$A,Mapping!$C:$C),"Uncategorized — Review"))</f>
        <v>Personal — Owner</v>
      </c>
    </row>
    <row r="319" spans="1:10" x14ac:dyDescent="0.25">
      <c r="A319" t="str">
        <f>'2026_Chase9335_Activity_2026062'!A319</f>
        <v>DEBIT</v>
      </c>
      <c r="B319" s="1">
        <f>'2026_Chase9335_Activity_2026062'!B319</f>
        <v>46070</v>
      </c>
      <c r="C319" t="str">
        <f>'2026_Chase9335_Activity_2026062'!C319</f>
        <v>APPLE.COM/BILL 866-712-7753 CA               02/15</v>
      </c>
      <c r="D319" s="5">
        <f>'2026_Chase9335_Activity_2026062'!D319</f>
        <v>-30.89</v>
      </c>
      <c r="E319" t="str">
        <f>'2026_Chase9335_Activity_2026062'!E319</f>
        <v>DEBIT_CARD</v>
      </c>
      <c r="F319" s="5">
        <f>'2026_Chase9335_Activity_2026062'!F319</f>
        <v>122523.96</v>
      </c>
      <c r="G319" t="str">
        <f>'2026_Chase9335_Activity_2026062'!G319</f>
        <v>Personal - Subscriptions</v>
      </c>
      <c r="H319" s="4">
        <f t="shared" si="4"/>
        <v>46054</v>
      </c>
      <c r="I319" t="str">
        <f>IF($G319="","Uncategorized — Review",IFERROR(_xlfn.XLOOKUP($G319,Mapping!$A:$A,Mapping!$B:$B),"Uncategorized — Review"))</f>
        <v>Personal - Subscriptions</v>
      </c>
      <c r="J319" t="str">
        <f>IF($G319="","Uncategorized — Review",IFERROR(_xlfn.XLOOKUP($G319,Mapping!$A:$A,Mapping!$C:$C),"Uncategorized — Review"))</f>
        <v>Personal — Owner</v>
      </c>
    </row>
    <row r="320" spans="1:10" x14ac:dyDescent="0.25">
      <c r="A320" t="str">
        <f>'2026_Chase9335_Activity_2026062'!A320</f>
        <v>DEBIT</v>
      </c>
      <c r="B320" s="1">
        <f>'2026_Chase9335_Activity_2026062'!B320</f>
        <v>46070</v>
      </c>
      <c r="C320" t="str">
        <f>'2026_Chase9335_Activity_2026062'!C320</f>
        <v>APPLE CASH SENT MONE 1INFINITELOOP CA        02/14</v>
      </c>
      <c r="D320" s="5">
        <f>'2026_Chase9335_Activity_2026062'!D320</f>
        <v>-40</v>
      </c>
      <c r="E320" t="str">
        <f>'2026_Chase9335_Activity_2026062'!E320</f>
        <v>DEBIT_CARD</v>
      </c>
      <c r="F320" s="5">
        <f>'2026_Chase9335_Activity_2026062'!F320</f>
        <v>122554.85</v>
      </c>
      <c r="G320" t="str">
        <f>'2026_Chase9335_Activity_2026062'!G320</f>
        <v>Apple Payment</v>
      </c>
      <c r="H320" s="4">
        <f t="shared" si="4"/>
        <v>46054</v>
      </c>
      <c r="I320" t="str">
        <f>IF($G320="","Uncategorized — Review",IFERROR(_xlfn.XLOOKUP($G320,Mapping!$A:$A,Mapping!$B:$B),"Uncategorized — Review"))</f>
        <v>Apple Payment</v>
      </c>
      <c r="J320" t="str">
        <f>IF($G320="","Uncategorized — Review",IFERROR(_xlfn.XLOOKUP($G320,Mapping!$A:$A,Mapping!$C:$C),"Uncategorized — Review"))</f>
        <v>P2P Payments (Zelle/Venmo/PayPal)</v>
      </c>
    </row>
    <row r="321" spans="1:10" x14ac:dyDescent="0.25">
      <c r="A321" t="str">
        <f>'2026_Chase9335_Activity_2026062'!A321</f>
        <v>DEBIT</v>
      </c>
      <c r="B321" s="1">
        <f>'2026_Chase9335_Activity_2026062'!B321</f>
        <v>46070</v>
      </c>
      <c r="C321" t="str">
        <f>'2026_Chase9335_Activity_2026062'!C321</f>
        <v>Amazon Tips*TX6DJ2DI Amzn.com/bill WA        02/13</v>
      </c>
      <c r="D321" s="5">
        <f>'2026_Chase9335_Activity_2026062'!D321</f>
        <v>-5</v>
      </c>
      <c r="E321" t="str">
        <f>'2026_Chase9335_Activity_2026062'!E321</f>
        <v>DEBIT_CARD</v>
      </c>
      <c r="F321" s="5">
        <f>'2026_Chase9335_Activity_2026062'!F321</f>
        <v>122594.85</v>
      </c>
      <c r="G321" t="str">
        <f>'2026_Chase9335_Activity_2026062'!G321</f>
        <v>Amazon</v>
      </c>
      <c r="H321" s="4">
        <f t="shared" si="4"/>
        <v>46054</v>
      </c>
      <c r="I321" t="str">
        <f>IF($G321="","Uncategorized — Review",IFERROR(_xlfn.XLOOKUP($G321,Mapping!$A:$A,Mapping!$B:$B),"Uncategorized — Review"))</f>
        <v>Amazon</v>
      </c>
      <c r="J321" t="str">
        <f>IF($G321="","Uncategorized — Review",IFERROR(_xlfn.XLOOKUP($G321,Mapping!$A:$A,Mapping!$C:$C),"Uncategorized — Review"))</f>
        <v>Personal — Owner</v>
      </c>
    </row>
    <row r="322" spans="1:10" x14ac:dyDescent="0.25">
      <c r="A322" t="str">
        <f>'2026_Chase9335_Activity_2026062'!A322</f>
        <v>DEBIT</v>
      </c>
      <c r="B322" s="1">
        <f>'2026_Chase9335_Activity_2026062'!B322</f>
        <v>46070</v>
      </c>
      <c r="C322" t="str">
        <f>'2026_Chase9335_Activity_2026062'!C322</f>
        <v>Amazon.com Amzn.com/bill WA                  02/16</v>
      </c>
      <c r="D322" s="5">
        <f>'2026_Chase9335_Activity_2026062'!D322</f>
        <v>23.67</v>
      </c>
      <c r="E322" t="str">
        <f>'2026_Chase9335_Activity_2026062'!E322</f>
        <v>DEBIT_CARD</v>
      </c>
      <c r="F322" s="5">
        <f>'2026_Chase9335_Activity_2026062'!F322</f>
        <v>122599.85</v>
      </c>
      <c r="G322" t="str">
        <f>'2026_Chase9335_Activity_2026062'!G322</f>
        <v>Amazon</v>
      </c>
      <c r="H322" s="4">
        <f t="shared" si="4"/>
        <v>46054</v>
      </c>
      <c r="I322" t="str">
        <f>IF($G322="","Uncategorized — Review",IFERROR(_xlfn.XLOOKUP($G322,Mapping!$A:$A,Mapping!$B:$B),"Uncategorized — Review"))</f>
        <v>Amazon</v>
      </c>
      <c r="J322" t="str">
        <f>IF($G322="","Uncategorized — Review",IFERROR(_xlfn.XLOOKUP($G322,Mapping!$A:$A,Mapping!$C:$C),"Uncategorized — Review"))</f>
        <v>Personal — Owner</v>
      </c>
    </row>
    <row r="323" spans="1:10" x14ac:dyDescent="0.25">
      <c r="A323" t="str">
        <f>'2026_Chase9335_Activity_2026062'!A323</f>
        <v>DEBIT</v>
      </c>
      <c r="B323" s="1">
        <f>'2026_Chase9335_Activity_2026062'!B323</f>
        <v>46066</v>
      </c>
      <c r="C323" t="str">
        <f>'2026_Chase9335_Activity_2026062'!C323</f>
        <v>Prime Video *X28D60E2 888-802-3080 WA        02/13</v>
      </c>
      <c r="D323" s="5">
        <f>'2026_Chase9335_Activity_2026062'!D323</f>
        <v>-8.5399999999999991</v>
      </c>
      <c r="E323" t="str">
        <f>'2026_Chase9335_Activity_2026062'!E323</f>
        <v>DEBIT_CARD</v>
      </c>
      <c r="F323" s="5">
        <f>'2026_Chase9335_Activity_2026062'!F323</f>
        <v>122576.18</v>
      </c>
      <c r="G323" t="str">
        <f>'2026_Chase9335_Activity_2026062'!G323</f>
        <v>Personal - Subscriptions</v>
      </c>
      <c r="H323" s="4">
        <f t="shared" ref="H323:H386" si="5">IF($B323="","",DATE(YEAR($B323),MONTH($B323),1))</f>
        <v>46054</v>
      </c>
      <c r="I323" t="str">
        <f>IF($G323="","Uncategorized — Review",IFERROR(_xlfn.XLOOKUP($G323,Mapping!$A:$A,Mapping!$B:$B),"Uncategorized — Review"))</f>
        <v>Personal - Subscriptions</v>
      </c>
      <c r="J323" t="str">
        <f>IF($G323="","Uncategorized — Review",IFERROR(_xlfn.XLOOKUP($G323,Mapping!$A:$A,Mapping!$C:$C),"Uncategorized — Review"))</f>
        <v>Personal — Owner</v>
      </c>
    </row>
    <row r="324" spans="1:10" x14ac:dyDescent="0.25">
      <c r="A324" t="str">
        <f>'2026_Chase9335_Activity_2026062'!A324</f>
        <v>DEBIT</v>
      </c>
      <c r="B324" s="1">
        <f>'2026_Chase9335_Activity_2026062'!B324</f>
        <v>46066</v>
      </c>
      <c r="C324" t="str">
        <f>'2026_Chase9335_Activity_2026062'!C324</f>
        <v>Prime Video *NR8TF4Q8 888-802-3080 WA        02/13</v>
      </c>
      <c r="D324" s="5">
        <f>'2026_Chase9335_Activity_2026062'!D324</f>
        <v>-2.12</v>
      </c>
      <c r="E324" t="str">
        <f>'2026_Chase9335_Activity_2026062'!E324</f>
        <v>DEBIT_CARD</v>
      </c>
      <c r="F324" s="5">
        <f>'2026_Chase9335_Activity_2026062'!F324</f>
        <v>122584.72</v>
      </c>
      <c r="G324" t="str">
        <f>'2026_Chase9335_Activity_2026062'!G324</f>
        <v>Personal - Subscriptions</v>
      </c>
      <c r="H324" s="4">
        <f t="shared" si="5"/>
        <v>46054</v>
      </c>
      <c r="I324" t="str">
        <f>IF($G324="","Uncategorized — Review",IFERROR(_xlfn.XLOOKUP($G324,Mapping!$A:$A,Mapping!$B:$B),"Uncategorized — Review"))</f>
        <v>Personal - Subscriptions</v>
      </c>
      <c r="J324" t="str">
        <f>IF($G324="","Uncategorized — Review",IFERROR(_xlfn.XLOOKUP($G324,Mapping!$A:$A,Mapping!$C:$C),"Uncategorized — Review"))</f>
        <v>Personal — Owner</v>
      </c>
    </row>
    <row r="325" spans="1:10" x14ac:dyDescent="0.25">
      <c r="A325" t="str">
        <f>'2026_Chase9335_Activity_2026062'!A325</f>
        <v>DEBIT</v>
      </c>
      <c r="B325" s="1">
        <f>'2026_Chase9335_Activity_2026062'!B325</f>
        <v>46066</v>
      </c>
      <c r="C325" t="str">
        <f>'2026_Chase9335_Activity_2026062'!C325</f>
        <v>Amazon.com*BI0QR5MD3 Amzn.com/bill WA        02/13</v>
      </c>
      <c r="D325" s="5">
        <f>'2026_Chase9335_Activity_2026062'!D325</f>
        <v>-25.18</v>
      </c>
      <c r="E325" t="str">
        <f>'2026_Chase9335_Activity_2026062'!E325</f>
        <v>DEBIT_CARD</v>
      </c>
      <c r="F325" s="5">
        <f>'2026_Chase9335_Activity_2026062'!F325</f>
        <v>122586.84</v>
      </c>
      <c r="G325" t="str">
        <f>'2026_Chase9335_Activity_2026062'!G325</f>
        <v>Amazon</v>
      </c>
      <c r="H325" s="4">
        <f t="shared" si="5"/>
        <v>46054</v>
      </c>
      <c r="I325" t="str">
        <f>IF($G325="","Uncategorized — Review",IFERROR(_xlfn.XLOOKUP($G325,Mapping!$A:$A,Mapping!$B:$B),"Uncategorized — Review"))</f>
        <v>Amazon</v>
      </c>
      <c r="J325" t="str">
        <f>IF($G325="","Uncategorized — Review",IFERROR(_xlfn.XLOOKUP($G325,Mapping!$A:$A,Mapping!$C:$C),"Uncategorized — Review"))</f>
        <v>Personal — Owner</v>
      </c>
    </row>
    <row r="326" spans="1:10" x14ac:dyDescent="0.25">
      <c r="A326" t="str">
        <f>'2026_Chase9335_Activity_2026062'!A326</f>
        <v>DEBIT</v>
      </c>
      <c r="B326" s="1">
        <f>'2026_Chase9335_Activity_2026062'!B326</f>
        <v>46066</v>
      </c>
      <c r="C326" t="str">
        <f>'2026_Chase9335_Activity_2026062'!C326</f>
        <v>Amazon.com*ST7JP96B3 Amzn.com/bill WA        02/12</v>
      </c>
      <c r="D326" s="5">
        <f>'2026_Chase9335_Activity_2026062'!D326</f>
        <v>-47.32</v>
      </c>
      <c r="E326" t="str">
        <f>'2026_Chase9335_Activity_2026062'!E326</f>
        <v>DEBIT_CARD</v>
      </c>
      <c r="F326" s="5">
        <f>'2026_Chase9335_Activity_2026062'!F326</f>
        <v>122612.02</v>
      </c>
      <c r="G326" t="str">
        <f>'2026_Chase9335_Activity_2026062'!G326</f>
        <v>Amazon</v>
      </c>
      <c r="H326" s="4">
        <f t="shared" si="5"/>
        <v>46054</v>
      </c>
      <c r="I326" t="str">
        <f>IF($G326="","Uncategorized — Review",IFERROR(_xlfn.XLOOKUP($G326,Mapping!$A:$A,Mapping!$B:$B),"Uncategorized — Review"))</f>
        <v>Amazon</v>
      </c>
      <c r="J326" t="str">
        <f>IF($G326="","Uncategorized — Review",IFERROR(_xlfn.XLOOKUP($G326,Mapping!$A:$A,Mapping!$C:$C),"Uncategorized — Review"))</f>
        <v>Personal — Owner</v>
      </c>
    </row>
    <row r="327" spans="1:10" x14ac:dyDescent="0.25">
      <c r="A327" t="str">
        <f>'2026_Chase9335_Activity_2026062'!A327</f>
        <v>DEBIT</v>
      </c>
      <c r="B327" s="1">
        <f>'2026_Chase9335_Activity_2026062'!B327</f>
        <v>46066</v>
      </c>
      <c r="C327" t="str">
        <f>'2026_Chase9335_Activity_2026062'!C327</f>
        <v>APPLE CASH SENT MONE 1INFINITELOOP CA        02/12</v>
      </c>
      <c r="D327" s="5">
        <f>'2026_Chase9335_Activity_2026062'!D327</f>
        <v>-60</v>
      </c>
      <c r="E327" t="str">
        <f>'2026_Chase9335_Activity_2026062'!E327</f>
        <v>DEBIT_CARD</v>
      </c>
      <c r="F327" s="5">
        <f>'2026_Chase9335_Activity_2026062'!F327</f>
        <v>122659.34</v>
      </c>
      <c r="G327" t="str">
        <f>'2026_Chase9335_Activity_2026062'!G327</f>
        <v>Apple Payment</v>
      </c>
      <c r="H327" s="4">
        <f t="shared" si="5"/>
        <v>46054</v>
      </c>
      <c r="I327" t="str">
        <f>IF($G327="","Uncategorized — Review",IFERROR(_xlfn.XLOOKUP($G327,Mapping!$A:$A,Mapping!$B:$B),"Uncategorized — Review"))</f>
        <v>Apple Payment</v>
      </c>
      <c r="J327" t="str">
        <f>IF($G327="","Uncategorized — Review",IFERROR(_xlfn.XLOOKUP($G327,Mapping!$A:$A,Mapping!$C:$C),"Uncategorized — Review"))</f>
        <v>P2P Payments (Zelle/Venmo/PayPal)</v>
      </c>
    </row>
    <row r="328" spans="1:10" x14ac:dyDescent="0.25">
      <c r="A328" t="str">
        <f>'2026_Chase9335_Activity_2026062'!A328</f>
        <v>DEBIT</v>
      </c>
      <c r="B328" s="1">
        <f>'2026_Chase9335_Activity_2026062'!B328</f>
        <v>46065</v>
      </c>
      <c r="C328" t="str">
        <f>'2026_Chase9335_Activity_2026062'!C328</f>
        <v>BLOOMBERG* 37033964 BLOOMBERG.COM NY         02/12</v>
      </c>
      <c r="D328" s="5">
        <f>'2026_Chase9335_Activity_2026062'!D328</f>
        <v>-34.99</v>
      </c>
      <c r="E328" t="str">
        <f>'2026_Chase9335_Activity_2026062'!E328</f>
        <v>DEBIT_CARD</v>
      </c>
      <c r="F328" s="5">
        <f>'2026_Chase9335_Activity_2026062'!F328</f>
        <v>122719.34</v>
      </c>
      <c r="G328" t="str">
        <f>'2026_Chase9335_Activity_2026062'!G328</f>
        <v>Personal - Subscriptions</v>
      </c>
      <c r="H328" s="4">
        <f t="shared" si="5"/>
        <v>46054</v>
      </c>
      <c r="I328" t="str">
        <f>IF($G328="","Uncategorized — Review",IFERROR(_xlfn.XLOOKUP($G328,Mapping!$A:$A,Mapping!$B:$B),"Uncategorized — Review"))</f>
        <v>Personal - Subscriptions</v>
      </c>
      <c r="J328" t="str">
        <f>IF($G328="","Uncategorized — Review",IFERROR(_xlfn.XLOOKUP($G328,Mapping!$A:$A,Mapping!$C:$C),"Uncategorized — Review"))</f>
        <v>Personal — Owner</v>
      </c>
    </row>
    <row r="329" spans="1:10" x14ac:dyDescent="0.25">
      <c r="A329" t="str">
        <f>'2026_Chase9335_Activity_2026062'!A329</f>
        <v>DEBIT</v>
      </c>
      <c r="B329" s="1">
        <f>'2026_Chase9335_Activity_2026062'!B329</f>
        <v>46064</v>
      </c>
      <c r="C329" t="str">
        <f>'2026_Chase9335_Activity_2026062'!C329</f>
        <v>Amazon Tips*WR5K49YN Amzn.com/bill WA        02/11</v>
      </c>
      <c r="D329" s="5">
        <f>'2026_Chase9335_Activity_2026062'!D329</f>
        <v>-5</v>
      </c>
      <c r="E329" t="str">
        <f>'2026_Chase9335_Activity_2026062'!E329</f>
        <v>DEBIT_CARD</v>
      </c>
      <c r="F329" s="5">
        <f>'2026_Chase9335_Activity_2026062'!F329</f>
        <v>122754.33</v>
      </c>
      <c r="G329" t="str">
        <f>'2026_Chase9335_Activity_2026062'!G329</f>
        <v>Amazon</v>
      </c>
      <c r="H329" s="4">
        <f t="shared" si="5"/>
        <v>46054</v>
      </c>
      <c r="I329" t="str">
        <f>IF($G329="","Uncategorized — Review",IFERROR(_xlfn.XLOOKUP($G329,Mapping!$A:$A,Mapping!$B:$B),"Uncategorized — Review"))</f>
        <v>Amazon</v>
      </c>
      <c r="J329" t="str">
        <f>IF($G329="","Uncategorized — Review",IFERROR(_xlfn.XLOOKUP($G329,Mapping!$A:$A,Mapping!$C:$C),"Uncategorized — Review"))</f>
        <v>Personal — Owner</v>
      </c>
    </row>
    <row r="330" spans="1:10" x14ac:dyDescent="0.25">
      <c r="A330" t="str">
        <f>'2026_Chase9335_Activity_2026062'!A330</f>
        <v>DEBIT</v>
      </c>
      <c r="B330" s="1">
        <f>'2026_Chase9335_Activity_2026062'!B330</f>
        <v>46063</v>
      </c>
      <c r="C330" t="str">
        <f>'2026_Chase9335_Activity_2026062'!C330</f>
        <v>Prime Video *7R2154EX 888-802-3080 WA        02/10</v>
      </c>
      <c r="D330" s="5">
        <f>'2026_Chase9335_Activity_2026062'!D330</f>
        <v>-4.29</v>
      </c>
      <c r="E330" t="str">
        <f>'2026_Chase9335_Activity_2026062'!E330</f>
        <v>DEBIT_CARD</v>
      </c>
      <c r="F330" s="5">
        <f>'2026_Chase9335_Activity_2026062'!F330</f>
        <v>122759.33</v>
      </c>
      <c r="G330" t="str">
        <f>'2026_Chase9335_Activity_2026062'!G330</f>
        <v>Personal - Subscriptions</v>
      </c>
      <c r="H330" s="4">
        <f t="shared" si="5"/>
        <v>46054</v>
      </c>
      <c r="I330" t="str">
        <f>IF($G330="","Uncategorized — Review",IFERROR(_xlfn.XLOOKUP($G330,Mapping!$A:$A,Mapping!$B:$B),"Uncategorized — Review"))</f>
        <v>Personal - Subscriptions</v>
      </c>
      <c r="J330" t="str">
        <f>IF($G330="","Uncategorized — Review",IFERROR(_xlfn.XLOOKUP($G330,Mapping!$A:$A,Mapping!$C:$C),"Uncategorized — Review"))</f>
        <v>Personal — Owner</v>
      </c>
    </row>
    <row r="331" spans="1:10" x14ac:dyDescent="0.25">
      <c r="A331" t="str">
        <f>'2026_Chase9335_Activity_2026062'!A331</f>
        <v>DEBIT</v>
      </c>
      <c r="B331" s="1">
        <f>'2026_Chase9335_Activity_2026062'!B331</f>
        <v>46063</v>
      </c>
      <c r="C331" t="str">
        <f>'2026_Chase9335_Activity_2026062'!C331</f>
        <v>Prime Video *QK3D797H 888-802-3080 WA        02/10</v>
      </c>
      <c r="D331" s="5">
        <f>'2026_Chase9335_Activity_2026062'!D331</f>
        <v>-2.12</v>
      </c>
      <c r="E331" t="str">
        <f>'2026_Chase9335_Activity_2026062'!E331</f>
        <v>DEBIT_CARD</v>
      </c>
      <c r="F331" s="5">
        <f>'2026_Chase9335_Activity_2026062'!F331</f>
        <v>122763.62</v>
      </c>
      <c r="G331" t="str">
        <f>'2026_Chase9335_Activity_2026062'!G331</f>
        <v>Personal - Subscriptions</v>
      </c>
      <c r="H331" s="4">
        <f t="shared" si="5"/>
        <v>46054</v>
      </c>
      <c r="I331" t="str">
        <f>IF($G331="","Uncategorized — Review",IFERROR(_xlfn.XLOOKUP($G331,Mapping!$A:$A,Mapping!$B:$B),"Uncategorized — Review"))</f>
        <v>Personal - Subscriptions</v>
      </c>
      <c r="J331" t="str">
        <f>IF($G331="","Uncategorized — Review",IFERROR(_xlfn.XLOOKUP($G331,Mapping!$A:$A,Mapping!$C:$C),"Uncategorized — Review"))</f>
        <v>Personal — Owner</v>
      </c>
    </row>
    <row r="332" spans="1:10" x14ac:dyDescent="0.25">
      <c r="A332" t="str">
        <f>'2026_Chase9335_Activity_2026062'!A332</f>
        <v>DEBIT</v>
      </c>
      <c r="B332" s="1">
        <f>'2026_Chase9335_Activity_2026062'!B332</f>
        <v>46063</v>
      </c>
      <c r="C332" t="str">
        <f>'2026_Chase9335_Activity_2026062'!C332</f>
        <v>Prime Video *IP6E262S 888-802-3080 WA        02/10</v>
      </c>
      <c r="D332" s="5">
        <f>'2026_Chase9335_Activity_2026062'!D332</f>
        <v>-2.12</v>
      </c>
      <c r="E332" t="str">
        <f>'2026_Chase9335_Activity_2026062'!E332</f>
        <v>DEBIT_CARD</v>
      </c>
      <c r="F332" s="5">
        <f>'2026_Chase9335_Activity_2026062'!F332</f>
        <v>122765.74</v>
      </c>
      <c r="G332" t="str">
        <f>'2026_Chase9335_Activity_2026062'!G332</f>
        <v>Personal - Subscriptions</v>
      </c>
      <c r="H332" s="4">
        <f t="shared" si="5"/>
        <v>46054</v>
      </c>
      <c r="I332" t="str">
        <f>IF($G332="","Uncategorized — Review",IFERROR(_xlfn.XLOOKUP($G332,Mapping!$A:$A,Mapping!$B:$B),"Uncategorized — Review"))</f>
        <v>Personal - Subscriptions</v>
      </c>
      <c r="J332" t="str">
        <f>IF($G332="","Uncategorized — Review",IFERROR(_xlfn.XLOOKUP($G332,Mapping!$A:$A,Mapping!$C:$C),"Uncategorized — Review"))</f>
        <v>Personal — Owner</v>
      </c>
    </row>
    <row r="333" spans="1:10" x14ac:dyDescent="0.25">
      <c r="A333" t="str">
        <f>'2026_Chase9335_Activity_2026062'!A333</f>
        <v>DEBIT</v>
      </c>
      <c r="B333" s="1">
        <f>'2026_Chase9335_Activity_2026062'!B333</f>
        <v>46063</v>
      </c>
      <c r="C333" t="str">
        <f>'2026_Chase9335_Activity_2026062'!C333</f>
        <v>Prime Video *4Y4889OY 888-802-3080 WA        02/10</v>
      </c>
      <c r="D333" s="5">
        <f>'2026_Chase9335_Activity_2026062'!D333</f>
        <v>-2.12</v>
      </c>
      <c r="E333" t="str">
        <f>'2026_Chase9335_Activity_2026062'!E333</f>
        <v>DEBIT_CARD</v>
      </c>
      <c r="F333" s="5">
        <f>'2026_Chase9335_Activity_2026062'!F333</f>
        <v>122767.86</v>
      </c>
      <c r="G333" t="str">
        <f>'2026_Chase9335_Activity_2026062'!G333</f>
        <v>Personal - Subscriptions</v>
      </c>
      <c r="H333" s="4">
        <f t="shared" si="5"/>
        <v>46054</v>
      </c>
      <c r="I333" t="str">
        <f>IF($G333="","Uncategorized — Review",IFERROR(_xlfn.XLOOKUP($G333,Mapping!$A:$A,Mapping!$B:$B),"Uncategorized — Review"))</f>
        <v>Personal - Subscriptions</v>
      </c>
      <c r="J333" t="str">
        <f>IF($G333="","Uncategorized — Review",IFERROR(_xlfn.XLOOKUP($G333,Mapping!$A:$A,Mapping!$C:$C),"Uncategorized — Review"))</f>
        <v>Personal — Owner</v>
      </c>
    </row>
    <row r="334" spans="1:10" x14ac:dyDescent="0.25">
      <c r="A334" t="str">
        <f>'2026_Chase9335_Activity_2026062'!A334</f>
        <v>DEBIT</v>
      </c>
      <c r="B334" s="1">
        <f>'2026_Chase9335_Activity_2026062'!B334</f>
        <v>46063</v>
      </c>
      <c r="C334" t="str">
        <f>'2026_Chase9335_Activity_2026062'!C334</f>
        <v>AMAZON MKTPL*GV8H14K Amzn.com/bill WA        02/10</v>
      </c>
      <c r="D334" s="5">
        <f>'2026_Chase9335_Activity_2026062'!D334</f>
        <v>-21.39</v>
      </c>
      <c r="E334" t="str">
        <f>'2026_Chase9335_Activity_2026062'!E334</f>
        <v>DEBIT_CARD</v>
      </c>
      <c r="F334" s="5">
        <f>'2026_Chase9335_Activity_2026062'!F334</f>
        <v>122769.98</v>
      </c>
      <c r="G334" t="str">
        <f>'2026_Chase9335_Activity_2026062'!G334</f>
        <v>Amazon</v>
      </c>
      <c r="H334" s="4">
        <f t="shared" si="5"/>
        <v>46054</v>
      </c>
      <c r="I334" t="str">
        <f>IF($G334="","Uncategorized — Review",IFERROR(_xlfn.XLOOKUP($G334,Mapping!$A:$A,Mapping!$B:$B),"Uncategorized — Review"))</f>
        <v>Amazon</v>
      </c>
      <c r="J334" t="str">
        <f>IF($G334="","Uncategorized — Review",IFERROR(_xlfn.XLOOKUP($G334,Mapping!$A:$A,Mapping!$C:$C),"Uncategorized — Review"))</f>
        <v>Personal — Owner</v>
      </c>
    </row>
    <row r="335" spans="1:10" x14ac:dyDescent="0.25">
      <c r="A335" t="str">
        <f>'2026_Chase9335_Activity_2026062'!A335</f>
        <v>DEBIT</v>
      </c>
      <c r="B335" s="1">
        <f>'2026_Chase9335_Activity_2026062'!B335</f>
        <v>46063</v>
      </c>
      <c r="C335" t="str">
        <f>'2026_Chase9335_Activity_2026062'!C335</f>
        <v>Amazon.com*RU59R2FK3 Amzn.com/bill WA        02/10</v>
      </c>
      <c r="D335" s="5">
        <f>'2026_Chase9335_Activity_2026062'!D335</f>
        <v>-47.32</v>
      </c>
      <c r="E335" t="str">
        <f>'2026_Chase9335_Activity_2026062'!E335</f>
        <v>DEBIT_CARD</v>
      </c>
      <c r="F335" s="5">
        <f>'2026_Chase9335_Activity_2026062'!F335</f>
        <v>122791.37</v>
      </c>
      <c r="G335" t="str">
        <f>'2026_Chase9335_Activity_2026062'!G335</f>
        <v>Amazon</v>
      </c>
      <c r="H335" s="4">
        <f t="shared" si="5"/>
        <v>46054</v>
      </c>
      <c r="I335" t="str">
        <f>IF($G335="","Uncategorized — Review",IFERROR(_xlfn.XLOOKUP($G335,Mapping!$A:$A,Mapping!$B:$B),"Uncategorized — Review"))</f>
        <v>Amazon</v>
      </c>
      <c r="J335" t="str">
        <f>IF($G335="","Uncategorized — Review",IFERROR(_xlfn.XLOOKUP($G335,Mapping!$A:$A,Mapping!$C:$C),"Uncategorized — Review"))</f>
        <v>Personal — Owner</v>
      </c>
    </row>
    <row r="336" spans="1:10" x14ac:dyDescent="0.25">
      <c r="A336" t="str">
        <f>'2026_Chase9335_Activity_2026062'!A336</f>
        <v>DEBIT</v>
      </c>
      <c r="B336" s="1">
        <f>'2026_Chase9335_Activity_2026062'!B336</f>
        <v>46063</v>
      </c>
      <c r="C336" t="str">
        <f>'2026_Chase9335_Activity_2026062'!C336</f>
        <v>TST*AMERICAN BEAUTY STE Venice CA            02/09</v>
      </c>
      <c r="D336" s="5">
        <f>'2026_Chase9335_Activity_2026062'!D336</f>
        <v>-59.4</v>
      </c>
      <c r="E336" t="str">
        <f>'2026_Chase9335_Activity_2026062'!E336</f>
        <v>DEBIT_CARD</v>
      </c>
      <c r="F336" s="5">
        <f>'2026_Chase9335_Activity_2026062'!F336</f>
        <v>122838.69</v>
      </c>
      <c r="G336" t="str">
        <f>'2026_Chase9335_Activity_2026062'!G336</f>
        <v>Personal - Food &amp; Dining</v>
      </c>
      <c r="H336" s="4">
        <f t="shared" si="5"/>
        <v>46054</v>
      </c>
      <c r="I336" t="str">
        <f>IF($G336="","Uncategorized — Review",IFERROR(_xlfn.XLOOKUP($G336,Mapping!$A:$A,Mapping!$B:$B),"Uncategorized — Review"))</f>
        <v>Personal - Food &amp; Dining</v>
      </c>
      <c r="J336" t="str">
        <f>IF($G336="","Uncategorized — Review",IFERROR(_xlfn.XLOOKUP($G336,Mapping!$A:$A,Mapping!$C:$C),"Uncategorized — Review"))</f>
        <v>Personal — Owner</v>
      </c>
    </row>
    <row r="337" spans="1:10" x14ac:dyDescent="0.25">
      <c r="A337" t="str">
        <f>'2026_Chase9335_Activity_2026062'!A337</f>
        <v>DEBIT</v>
      </c>
      <c r="B337" s="1">
        <f>'2026_Chase9335_Activity_2026062'!B337</f>
        <v>46063</v>
      </c>
      <c r="C337" t="str">
        <f>'2026_Chase9335_Activity_2026062'!C337</f>
        <v>Amazon.com*QC7JM3SV3 Amzn.com/bill WA        02/10</v>
      </c>
      <c r="D337" s="5">
        <f>'2026_Chase9335_Activity_2026062'!D337</f>
        <v>-57.94</v>
      </c>
      <c r="E337" t="str">
        <f>'2026_Chase9335_Activity_2026062'!E337</f>
        <v>DEBIT_CARD</v>
      </c>
      <c r="F337" s="5">
        <f>'2026_Chase9335_Activity_2026062'!F337</f>
        <v>122898.09</v>
      </c>
      <c r="G337" t="str">
        <f>'2026_Chase9335_Activity_2026062'!G337</f>
        <v>Amazon</v>
      </c>
      <c r="H337" s="4">
        <f t="shared" si="5"/>
        <v>46054</v>
      </c>
      <c r="I337" t="str">
        <f>IF($G337="","Uncategorized — Review",IFERROR(_xlfn.XLOOKUP($G337,Mapping!$A:$A,Mapping!$B:$B),"Uncategorized — Review"))</f>
        <v>Amazon</v>
      </c>
      <c r="J337" t="str">
        <f>IF($G337="","Uncategorized — Review",IFERROR(_xlfn.XLOOKUP($G337,Mapping!$A:$A,Mapping!$C:$C),"Uncategorized — Review"))</f>
        <v>Personal — Owner</v>
      </c>
    </row>
    <row r="338" spans="1:10" x14ac:dyDescent="0.25">
      <c r="A338" t="str">
        <f>'2026_Chase9335_Activity_2026062'!A338</f>
        <v>CREDIT</v>
      </c>
      <c r="B338" s="1">
        <f>'2026_Chase9335_Activity_2026062'!B338</f>
        <v>46063</v>
      </c>
      <c r="C338" t="str">
        <f>'2026_Chase9335_Activity_2026062'!C338</f>
        <v>ORIG CO NAME:Rabourn Road Ind       ORIG ID:945440567  DESC DATE:       CO ENTRY DESCR:PAYMENT   SEC:PPD    TRACE#:273976369604141 EED:260210   IND ID:                             IND NAME:John Dunning TRN: 0419604141TC</v>
      </c>
      <c r="D338" s="5">
        <f>'2026_Chase9335_Activity_2026062'!D338</f>
        <v>233.33</v>
      </c>
      <c r="E338" t="str">
        <f>'2026_Chase9335_Activity_2026062'!E338</f>
        <v>ACH_CREDIT</v>
      </c>
      <c r="F338" s="5">
        <f>'2026_Chase9335_Activity_2026062'!F338</f>
        <v>122956.03</v>
      </c>
      <c r="G338" t="str">
        <f>'2026_Chase9335_Activity_2026062'!G338</f>
        <v>Deal Specific: Rabourn Road</v>
      </c>
      <c r="H338" s="4">
        <f t="shared" si="5"/>
        <v>46054</v>
      </c>
      <c r="I338" t="str">
        <f>IF($G338="","Uncategorized — Review",IFERROR(_xlfn.XLOOKUP($G338,Mapping!$A:$A,Mapping!$B:$B),"Uncategorized — Review"))</f>
        <v>Deal Specific: Rabourn Road</v>
      </c>
      <c r="J338" t="str">
        <f>IF($G338="","Uncategorized — Review",IFERROR(_xlfn.XLOOKUP($G338,Mapping!$A:$A,Mapping!$C:$C),"Uncategorized — Review"))</f>
        <v>Deal-Specific</v>
      </c>
    </row>
    <row r="339" spans="1:10" x14ac:dyDescent="0.25">
      <c r="A339" t="str">
        <f>'2026_Chase9335_Activity_2026062'!A339</f>
        <v>CREDIT</v>
      </c>
      <c r="B339" s="1">
        <f>'2026_Chase9335_Activity_2026062'!B339</f>
        <v>46063</v>
      </c>
      <c r="C339" t="str">
        <f>'2026_Chase9335_Activity_2026062'!C339</f>
        <v>ORIG CO NAME:MRM Industrial P       ORIG ID:945440567  DESC DATE:       CO ENTRY DESCR:PAYMENT   SEC:PPD    TRACE#:273976369603863 EED:260210   IND ID:                             IND NAME:John Dunning TRN: 0419603863TC</v>
      </c>
      <c r="D339" s="5">
        <f>'2026_Chase9335_Activity_2026062'!D339</f>
        <v>241.87</v>
      </c>
      <c r="E339" t="str">
        <f>'2026_Chase9335_Activity_2026062'!E339</f>
        <v>ACH_CREDIT</v>
      </c>
      <c r="F339" s="5">
        <f>'2026_Chase9335_Activity_2026062'!F339</f>
        <v>122722.7</v>
      </c>
      <c r="G339" t="str">
        <f>'2026_Chase9335_Activity_2026062'!G339</f>
        <v>Deal Specific: MRM</v>
      </c>
      <c r="H339" s="4">
        <f t="shared" si="5"/>
        <v>46054</v>
      </c>
      <c r="I339" t="str">
        <f>IF($G339="","Uncategorized — Review",IFERROR(_xlfn.XLOOKUP($G339,Mapping!$A:$A,Mapping!$B:$B),"Uncategorized — Review"))</f>
        <v>Deal Specific: MRM</v>
      </c>
      <c r="J339" t="str">
        <f>IF($G339="","Uncategorized — Review",IFERROR(_xlfn.XLOOKUP($G339,Mapping!$A:$A,Mapping!$C:$C),"Uncategorized — Review"))</f>
        <v>Deal-Specific</v>
      </c>
    </row>
    <row r="340" spans="1:10" x14ac:dyDescent="0.25">
      <c r="A340" t="str">
        <f>'2026_Chase9335_Activity_2026062'!A340</f>
        <v>CREDIT</v>
      </c>
      <c r="B340" s="1">
        <f>'2026_Chase9335_Activity_2026062'!B340</f>
        <v>46063</v>
      </c>
      <c r="C340" t="str">
        <f>'2026_Chase9335_Activity_2026062'!C340</f>
        <v>ORIG CO NAME:Austin Iron Hold       ORIG ID:945440567  DESC DATE:       CO ENTRY DESCR:PAYMENT   SEC:PPD    TRACE#:273976369603891 EED:260210   IND ID:                             IND NAME:John Dunning TRN: 0419603891TC</v>
      </c>
      <c r="D340" s="5">
        <f>'2026_Chase9335_Activity_2026062'!D340</f>
        <v>350</v>
      </c>
      <c r="E340" t="str">
        <f>'2026_Chase9335_Activity_2026062'!E340</f>
        <v>ACH_CREDIT</v>
      </c>
      <c r="F340" s="5">
        <f>'2026_Chase9335_Activity_2026062'!F340</f>
        <v>122480.83</v>
      </c>
      <c r="G340" t="str">
        <f>'2026_Chase9335_Activity_2026062'!G340</f>
        <v>Deal Specific: Austin Iron</v>
      </c>
      <c r="H340" s="4">
        <f t="shared" si="5"/>
        <v>46054</v>
      </c>
      <c r="I340" t="str">
        <f>IF($G340="","Uncategorized — Review",IFERROR(_xlfn.XLOOKUP($G340,Mapping!$A:$A,Mapping!$B:$B),"Uncategorized — Review"))</f>
        <v>Deal Specific: Austin Iron</v>
      </c>
      <c r="J340" t="str">
        <f>IF($G340="","Uncategorized — Review",IFERROR(_xlfn.XLOOKUP($G340,Mapping!$A:$A,Mapping!$C:$C),"Uncategorized — Review"))</f>
        <v>Deal-Specific</v>
      </c>
    </row>
    <row r="341" spans="1:10" x14ac:dyDescent="0.25">
      <c r="A341" t="str">
        <f>'2026_Chase9335_Activity_2026062'!A341</f>
        <v>CREDIT</v>
      </c>
      <c r="B341" s="1">
        <f>'2026_Chase9335_Activity_2026062'!B341</f>
        <v>46063</v>
      </c>
      <c r="C341" t="str">
        <f>'2026_Chase9335_Activity_2026062'!C341</f>
        <v>ORIG CO NAME:Merit-Lancaster        ORIG ID:945440567  DESC DATE:       CO ENTRY DESCR:PAYMENT   SEC:PPD    TRACE#:273976369603779 EED:260210   IND ID:                             IND NAME:John Dunning TRN: 0419603779TC</v>
      </c>
      <c r="D341" s="5">
        <f>'2026_Chase9335_Activity_2026062'!D341</f>
        <v>476.41</v>
      </c>
      <c r="E341" t="str">
        <f>'2026_Chase9335_Activity_2026062'!E341</f>
        <v>ACH_CREDIT</v>
      </c>
      <c r="F341" s="5">
        <f>'2026_Chase9335_Activity_2026062'!F341</f>
        <v>122130.83</v>
      </c>
      <c r="G341" t="str">
        <f>'2026_Chase9335_Activity_2026062'!G341</f>
        <v>Deal Specific: Merit-Lancaster</v>
      </c>
      <c r="H341" s="4">
        <f t="shared" si="5"/>
        <v>46054</v>
      </c>
      <c r="I341" t="str">
        <f>IF($G341="","Uncategorized — Review",IFERROR(_xlfn.XLOOKUP($G341,Mapping!$A:$A,Mapping!$B:$B),"Uncategorized — Review"))</f>
        <v>Deal Specific: Merit-Lancaster</v>
      </c>
      <c r="J341" t="str">
        <f>IF($G341="","Uncategorized — Review",IFERROR(_xlfn.XLOOKUP($G341,Mapping!$A:$A,Mapping!$C:$C),"Uncategorized — Review"))</f>
        <v>Deal-Specific</v>
      </c>
    </row>
    <row r="342" spans="1:10" x14ac:dyDescent="0.25">
      <c r="A342" t="str">
        <f>'2026_Chase9335_Activity_2026062'!A342</f>
        <v>DEBIT</v>
      </c>
      <c r="B342" s="1">
        <f>'2026_Chase9335_Activity_2026062'!B342</f>
        <v>46062</v>
      </c>
      <c r="C342" t="str">
        <f>'2026_Chase9335_Activity_2026062'!C342</f>
        <v>ORIG CO NAME:TRB INSURANCE AG       ORIG ID:8263863381 DESC DATE:       CO ENTRY DESCR:J2792 OOFFSEC:PPD    TRACE#:111000022845799 EED:260209   IND ID:                             IND NAME:JOHN DUNNING TRN: 0402845799TC</v>
      </c>
      <c r="D342" s="5">
        <f>'2026_Chase9335_Activity_2026062'!D342</f>
        <v>-16287.51</v>
      </c>
      <c r="E342" t="str">
        <f>'2026_Chase9335_Activity_2026062'!E342</f>
        <v>ACH_DEBIT</v>
      </c>
      <c r="F342" s="5">
        <f>'2026_Chase9335_Activity_2026062'!F342</f>
        <v>121654.42</v>
      </c>
      <c r="G342" t="str">
        <f>'2026_Chase9335_Activity_2026062'!G342</f>
        <v>Personal - House</v>
      </c>
      <c r="H342" s="4">
        <f t="shared" si="5"/>
        <v>46054</v>
      </c>
      <c r="I342" t="str">
        <f>IF($G342="","Uncategorized — Review",IFERROR(_xlfn.XLOOKUP($G342,Mapping!$A:$A,Mapping!$B:$B),"Uncategorized — Review"))</f>
        <v>Personal - House</v>
      </c>
      <c r="J342" t="str">
        <f>IF($G342="","Uncategorized — Review",IFERROR(_xlfn.XLOOKUP($G342,Mapping!$A:$A,Mapping!$C:$C),"Uncategorized — Review"))</f>
        <v>Personal — Owner</v>
      </c>
    </row>
    <row r="343" spans="1:10" x14ac:dyDescent="0.25">
      <c r="A343" t="str">
        <f>'2026_Chase9335_Activity_2026062'!A343</f>
        <v>DEBIT</v>
      </c>
      <c r="B343" s="1">
        <f>'2026_Chase9335_Activity_2026062'!B343</f>
        <v>46062</v>
      </c>
      <c r="C343" t="str">
        <f>'2026_Chase9335_Activity_2026062'!C343</f>
        <v>Peacock EB119 Premium 212-6640138 NY         02/09</v>
      </c>
      <c r="D343" s="5">
        <f>'2026_Chase9335_Activity_2026062'!D343</f>
        <v>-11.73</v>
      </c>
      <c r="E343" t="str">
        <f>'2026_Chase9335_Activity_2026062'!E343</f>
        <v>DEBIT_CARD</v>
      </c>
      <c r="F343" s="5">
        <f>'2026_Chase9335_Activity_2026062'!F343</f>
        <v>137941.93</v>
      </c>
      <c r="G343" t="str">
        <f>'2026_Chase9335_Activity_2026062'!G343</f>
        <v>Personal - Subscriptions</v>
      </c>
      <c r="H343" s="4">
        <f t="shared" si="5"/>
        <v>46054</v>
      </c>
      <c r="I343" t="str">
        <f>IF($G343="","Uncategorized — Review",IFERROR(_xlfn.XLOOKUP($G343,Mapping!$A:$A,Mapping!$B:$B),"Uncategorized — Review"))</f>
        <v>Personal - Subscriptions</v>
      </c>
      <c r="J343" t="str">
        <f>IF($G343="","Uncategorized — Review",IFERROR(_xlfn.XLOOKUP($G343,Mapping!$A:$A,Mapping!$C:$C),"Uncategorized — Review"))</f>
        <v>Personal — Owner</v>
      </c>
    </row>
    <row r="344" spans="1:10" x14ac:dyDescent="0.25">
      <c r="A344" t="str">
        <f>'2026_Chase9335_Activity_2026062'!A344</f>
        <v>DEBIT</v>
      </c>
      <c r="B344" s="1">
        <f>'2026_Chase9335_Activity_2026062'!B344</f>
        <v>46062</v>
      </c>
      <c r="C344" t="str">
        <f>'2026_Chase9335_Activity_2026062'!C344</f>
        <v>UBER *ONE MEMBERSHIP SAN FRANCISCO CA081739  02/08</v>
      </c>
      <c r="D344" s="5">
        <f>'2026_Chase9335_Activity_2026062'!D344</f>
        <v>-9.99</v>
      </c>
      <c r="E344" t="str">
        <f>'2026_Chase9335_Activity_2026062'!E344</f>
        <v>DEBIT_CARD</v>
      </c>
      <c r="F344" s="5">
        <f>'2026_Chase9335_Activity_2026062'!F344</f>
        <v>137953.66</v>
      </c>
      <c r="G344" t="str">
        <f>'2026_Chase9335_Activity_2026062'!G344</f>
        <v>Personal - Subscriptions</v>
      </c>
      <c r="H344" s="4">
        <f t="shared" si="5"/>
        <v>46054</v>
      </c>
      <c r="I344" t="str">
        <f>IF($G344="","Uncategorized — Review",IFERROR(_xlfn.XLOOKUP($G344,Mapping!$A:$A,Mapping!$B:$B),"Uncategorized — Review"))</f>
        <v>Personal - Subscriptions</v>
      </c>
      <c r="J344" t="str">
        <f>IF($G344="","Uncategorized — Review",IFERROR(_xlfn.XLOOKUP($G344,Mapping!$A:$A,Mapping!$C:$C),"Uncategorized — Review"))</f>
        <v>Personal — Owner</v>
      </c>
    </row>
    <row r="345" spans="1:10" x14ac:dyDescent="0.25">
      <c r="A345" t="str">
        <f>'2026_Chase9335_Activity_2026062'!A345</f>
        <v>DEBIT</v>
      </c>
      <c r="B345" s="1">
        <f>'2026_Chase9335_Activity_2026062'!B345</f>
        <v>46062</v>
      </c>
      <c r="C345" t="str">
        <f>'2026_Chase9335_Activity_2026062'!C345</f>
        <v>Peacock X4382 Peacock 212-6640138 NY         02/08</v>
      </c>
      <c r="D345" s="5">
        <f>'2026_Chase9335_Activity_2026062'!D345</f>
        <v>-8.5299999999999994</v>
      </c>
      <c r="E345" t="str">
        <f>'2026_Chase9335_Activity_2026062'!E345</f>
        <v>DEBIT_CARD</v>
      </c>
      <c r="F345" s="5">
        <f>'2026_Chase9335_Activity_2026062'!F345</f>
        <v>137963.65</v>
      </c>
      <c r="G345" t="str">
        <f>'2026_Chase9335_Activity_2026062'!G345</f>
        <v>Personal - Subscriptions</v>
      </c>
      <c r="H345" s="4">
        <f t="shared" si="5"/>
        <v>46054</v>
      </c>
      <c r="I345" t="str">
        <f>IF($G345="","Uncategorized — Review",IFERROR(_xlfn.XLOOKUP($G345,Mapping!$A:$A,Mapping!$B:$B),"Uncategorized — Review"))</f>
        <v>Personal - Subscriptions</v>
      </c>
      <c r="J345" t="str">
        <f>IF($G345="","Uncategorized — Review",IFERROR(_xlfn.XLOOKUP($G345,Mapping!$A:$A,Mapping!$C:$C),"Uncategorized — Review"))</f>
        <v>Personal — Owner</v>
      </c>
    </row>
    <row r="346" spans="1:10" x14ac:dyDescent="0.25">
      <c r="A346" t="str">
        <f>'2026_Chase9335_Activity_2026062'!A346</f>
        <v>DEBIT</v>
      </c>
      <c r="B346" s="1">
        <f>'2026_Chase9335_Activity_2026062'!B346</f>
        <v>46062</v>
      </c>
      <c r="C346" t="str">
        <f>'2026_Chase9335_Activity_2026062'!C346</f>
        <v>Prime Video *K46AZ6DS 888-802-3080 WA        02/07</v>
      </c>
      <c r="D346" s="5">
        <f>'2026_Chase9335_Activity_2026062'!D346</f>
        <v>-3.19</v>
      </c>
      <c r="E346" t="str">
        <f>'2026_Chase9335_Activity_2026062'!E346</f>
        <v>DEBIT_CARD</v>
      </c>
      <c r="F346" s="5">
        <f>'2026_Chase9335_Activity_2026062'!F346</f>
        <v>137972.18</v>
      </c>
      <c r="G346" t="str">
        <f>'2026_Chase9335_Activity_2026062'!G346</f>
        <v>Personal - Subscriptions</v>
      </c>
      <c r="H346" s="4">
        <f t="shared" si="5"/>
        <v>46054</v>
      </c>
      <c r="I346" t="str">
        <f>IF($G346="","Uncategorized — Review",IFERROR(_xlfn.XLOOKUP($G346,Mapping!$A:$A,Mapping!$B:$B),"Uncategorized — Review"))</f>
        <v>Personal - Subscriptions</v>
      </c>
      <c r="J346" t="str">
        <f>IF($G346="","Uncategorized — Review",IFERROR(_xlfn.XLOOKUP($G346,Mapping!$A:$A,Mapping!$C:$C),"Uncategorized — Review"))</f>
        <v>Personal — Owner</v>
      </c>
    </row>
    <row r="347" spans="1:10" x14ac:dyDescent="0.25">
      <c r="A347" t="str">
        <f>'2026_Chase9335_Activity_2026062'!A347</f>
        <v>DEBIT</v>
      </c>
      <c r="B347" s="1">
        <f>'2026_Chase9335_Activity_2026062'!B347</f>
        <v>46062</v>
      </c>
      <c r="C347" t="str">
        <f>'2026_Chase9335_Activity_2026062'!C347</f>
        <v>APPLE.COM/BILL 866-712-7753 CA               02/07</v>
      </c>
      <c r="D347" s="5">
        <f>'2026_Chase9335_Activity_2026062'!D347</f>
        <v>-30.89</v>
      </c>
      <c r="E347" t="str">
        <f>'2026_Chase9335_Activity_2026062'!E347</f>
        <v>DEBIT_CARD</v>
      </c>
      <c r="F347" s="5">
        <f>'2026_Chase9335_Activity_2026062'!F347</f>
        <v>137975.37</v>
      </c>
      <c r="G347" t="str">
        <f>'2026_Chase9335_Activity_2026062'!G347</f>
        <v>Personal - Subscriptions</v>
      </c>
      <c r="H347" s="4">
        <f t="shared" si="5"/>
        <v>46054</v>
      </c>
      <c r="I347" t="str">
        <f>IF($G347="","Uncategorized — Review",IFERROR(_xlfn.XLOOKUP($G347,Mapping!$A:$A,Mapping!$B:$B),"Uncategorized — Review"))</f>
        <v>Personal - Subscriptions</v>
      </c>
      <c r="J347" t="str">
        <f>IF($G347="","Uncategorized — Review",IFERROR(_xlfn.XLOOKUP($G347,Mapping!$A:$A,Mapping!$C:$C),"Uncategorized — Review"))</f>
        <v>Personal — Owner</v>
      </c>
    </row>
    <row r="348" spans="1:10" x14ac:dyDescent="0.25">
      <c r="A348" t="str">
        <f>'2026_Chase9335_Activity_2026062'!A348</f>
        <v>DEBIT</v>
      </c>
      <c r="B348" s="1">
        <f>'2026_Chase9335_Activity_2026062'!B348</f>
        <v>46062</v>
      </c>
      <c r="C348" t="str">
        <f>'2026_Chase9335_Activity_2026062'!C348</f>
        <v>AA WIFI 1-888-649-6711 Fort Worth TX         02/07</v>
      </c>
      <c r="D348" s="5">
        <f>'2026_Chase9335_Activity_2026062'!D348</f>
        <v>-12</v>
      </c>
      <c r="E348" t="str">
        <f>'2026_Chase9335_Activity_2026062'!E348</f>
        <v>DEBIT_CARD</v>
      </c>
      <c r="F348" s="5">
        <f>'2026_Chase9335_Activity_2026062'!F348</f>
        <v>138006.26</v>
      </c>
      <c r="G348" t="str">
        <f>'2026_Chase9335_Activity_2026062'!G348</f>
        <v>Personal - Travel</v>
      </c>
      <c r="H348" s="4">
        <f t="shared" si="5"/>
        <v>46054</v>
      </c>
      <c r="I348" t="str">
        <f>IF($G348="","Uncategorized — Review",IFERROR(_xlfn.XLOOKUP($G348,Mapping!$A:$A,Mapping!$B:$B),"Uncategorized — Review"))</f>
        <v>Personal - Travel</v>
      </c>
      <c r="J348" t="str">
        <f>IF($G348="","Uncategorized — Review",IFERROR(_xlfn.XLOOKUP($G348,Mapping!$A:$A,Mapping!$C:$C),"Uncategorized — Review"))</f>
        <v>Personal — Owner</v>
      </c>
    </row>
    <row r="349" spans="1:10" x14ac:dyDescent="0.25">
      <c r="A349" t="str">
        <f>'2026_Chase9335_Activity_2026062'!A349</f>
        <v>DEBIT</v>
      </c>
      <c r="B349" s="1">
        <f>'2026_Chase9335_Activity_2026062'!B349</f>
        <v>46062</v>
      </c>
      <c r="C349" t="str">
        <f>'2026_Chase9335_Activity_2026062'!C349</f>
        <v>INSTACART INSTACART.COM CA                   02/07</v>
      </c>
      <c r="D349" s="5">
        <f>'2026_Chase9335_Activity_2026062'!D349</f>
        <v>-41.07</v>
      </c>
      <c r="E349" t="str">
        <f>'2026_Chase9335_Activity_2026062'!E349</f>
        <v>DEBIT_CARD</v>
      </c>
      <c r="F349" s="5">
        <f>'2026_Chase9335_Activity_2026062'!F349</f>
        <v>138018.26</v>
      </c>
      <c r="G349" t="str">
        <f>'2026_Chase9335_Activity_2026062'!G349</f>
        <v>Personal - Food &amp; Dining</v>
      </c>
      <c r="H349" s="4">
        <f t="shared" si="5"/>
        <v>46054</v>
      </c>
      <c r="I349" t="str">
        <f>IF($G349="","Uncategorized — Review",IFERROR(_xlfn.XLOOKUP($G349,Mapping!$A:$A,Mapping!$B:$B),"Uncategorized — Review"))</f>
        <v>Personal - Food &amp; Dining</v>
      </c>
      <c r="J349" t="str">
        <f>IF($G349="","Uncategorized — Review",IFERROR(_xlfn.XLOOKUP($G349,Mapping!$A:$A,Mapping!$C:$C),"Uncategorized — Review"))</f>
        <v>Personal — Owner</v>
      </c>
    </row>
    <row r="350" spans="1:10" x14ac:dyDescent="0.25">
      <c r="A350" t="str">
        <f>'2026_Chase9335_Activity_2026062'!A350</f>
        <v>DEBIT</v>
      </c>
      <c r="B350" s="1">
        <f>'2026_Chase9335_Activity_2026062'!B350</f>
        <v>46062</v>
      </c>
      <c r="C350" t="str">
        <f>'2026_Chase9335_Activity_2026062'!C350</f>
        <v>Peacock X4382 Peacock 212-6640138 NY         02/09</v>
      </c>
      <c r="D350" s="5">
        <f>'2026_Chase9335_Activity_2026062'!D350</f>
        <v>8.5299999999999994</v>
      </c>
      <c r="E350" t="str">
        <f>'2026_Chase9335_Activity_2026062'!E350</f>
        <v>DEBIT_CARD</v>
      </c>
      <c r="F350" s="5">
        <f>'2026_Chase9335_Activity_2026062'!F350</f>
        <v>138059.32999999999</v>
      </c>
      <c r="G350" t="str">
        <f>'2026_Chase9335_Activity_2026062'!G350</f>
        <v>Personal - Subscriptions</v>
      </c>
      <c r="H350" s="4">
        <f t="shared" si="5"/>
        <v>46054</v>
      </c>
      <c r="I350" t="str">
        <f>IF($G350="","Uncategorized — Review",IFERROR(_xlfn.XLOOKUP($G350,Mapping!$A:$A,Mapping!$B:$B),"Uncategorized — Review"))</f>
        <v>Personal - Subscriptions</v>
      </c>
      <c r="J350" t="str">
        <f>IF($G350="","Uncategorized — Review",IFERROR(_xlfn.XLOOKUP($G350,Mapping!$A:$A,Mapping!$C:$C),"Uncategorized — Review"))</f>
        <v>Personal — Owner</v>
      </c>
    </row>
    <row r="351" spans="1:10" x14ac:dyDescent="0.25">
      <c r="A351" t="str">
        <f>'2026_Chase9335_Activity_2026062'!A351</f>
        <v>DEBIT</v>
      </c>
      <c r="B351" s="1">
        <f>'2026_Chase9335_Activity_2026062'!B351</f>
        <v>46059</v>
      </c>
      <c r="C351" t="str">
        <f>'2026_Chase9335_Activity_2026062'!C351</f>
        <v>Online Transfer to CHK ...1168 transaction#: 27978462862 02/06</v>
      </c>
      <c r="D351" s="5">
        <f>'2026_Chase9335_Activity_2026062'!D351</f>
        <v>-20000</v>
      </c>
      <c r="E351" t="str">
        <f>'2026_Chase9335_Activity_2026062'!E351</f>
        <v>ACCT_XFER</v>
      </c>
      <c r="F351" s="5">
        <f>'2026_Chase9335_Activity_2026062'!F351</f>
        <v>138050.79999999999</v>
      </c>
      <c r="G351" t="str">
        <f>'2026_Chase9335_Activity_2026062'!G351</f>
        <v>Transfer to DWG Capital Group</v>
      </c>
      <c r="H351" s="4">
        <f t="shared" si="5"/>
        <v>46054</v>
      </c>
      <c r="I351" t="str">
        <f>IF($G351="","Uncategorized — Review",IFERROR(_xlfn.XLOOKUP($G351,Mapping!$A:$A,Mapping!$B:$B),"Uncategorized — Review"))</f>
        <v>Transfer to DWG Capital Group</v>
      </c>
      <c r="J351" t="str">
        <f>IF($G351="","Uncategorized — Review",IFERROR(_xlfn.XLOOKUP($G351,Mapping!$A:$A,Mapping!$C:$C),"Uncategorized — Review"))</f>
        <v>Intercompany &amp; Savings Transfers</v>
      </c>
    </row>
    <row r="352" spans="1:10" x14ac:dyDescent="0.25">
      <c r="A352" t="str">
        <f>'2026_Chase9335_Activity_2026062'!A352</f>
        <v>DEBIT</v>
      </c>
      <c r="B352" s="1">
        <f>'2026_Chase9335_Activity_2026062'!B352</f>
        <v>46059</v>
      </c>
      <c r="C352" t="str">
        <f>'2026_Chase9335_Activity_2026062'!C352</f>
        <v>APPLE COM BILL CUPERTINO CA          325179  02/06</v>
      </c>
      <c r="D352" s="5">
        <f>'2026_Chase9335_Activity_2026062'!D352</f>
        <v>-9.99</v>
      </c>
      <c r="E352" t="str">
        <f>'2026_Chase9335_Activity_2026062'!E352</f>
        <v>DEBIT_CARD</v>
      </c>
      <c r="F352" s="5">
        <f>'2026_Chase9335_Activity_2026062'!F352</f>
        <v>158050.79999999999</v>
      </c>
      <c r="G352" t="str">
        <f>'2026_Chase9335_Activity_2026062'!G352</f>
        <v>Personal - Subscriptions</v>
      </c>
      <c r="H352" s="4">
        <f t="shared" si="5"/>
        <v>46054</v>
      </c>
      <c r="I352" t="str">
        <f>IF($G352="","Uncategorized — Review",IFERROR(_xlfn.XLOOKUP($G352,Mapping!$A:$A,Mapping!$B:$B),"Uncategorized — Review"))</f>
        <v>Personal - Subscriptions</v>
      </c>
      <c r="J352" t="str">
        <f>IF($G352="","Uncategorized — Review",IFERROR(_xlfn.XLOOKUP($G352,Mapping!$A:$A,Mapping!$C:$C),"Uncategorized — Review"))</f>
        <v>Personal — Owner</v>
      </c>
    </row>
    <row r="353" spans="1:10" x14ac:dyDescent="0.25">
      <c r="A353" t="str">
        <f>'2026_Chase9335_Activity_2026062'!A353</f>
        <v>DEBIT</v>
      </c>
      <c r="B353" s="1">
        <f>'2026_Chase9335_Activity_2026062'!B353</f>
        <v>46059</v>
      </c>
      <c r="C353" t="str">
        <f>'2026_Chase9335_Activity_2026062'!C353</f>
        <v>Zelle payment to Michael Paytonjian JPM99c4pk0wr</v>
      </c>
      <c r="D353" s="5">
        <f>'2026_Chase9335_Activity_2026062'!D353</f>
        <v>-35</v>
      </c>
      <c r="E353" t="str">
        <f>'2026_Chase9335_Activity_2026062'!E353</f>
        <v>CHASE_TO_PARTNERFI</v>
      </c>
      <c r="F353" s="5">
        <f>'2026_Chase9335_Activity_2026062'!F353</f>
        <v>158060.79</v>
      </c>
      <c r="G353" t="str">
        <f>'2026_Chase9335_Activity_2026062'!G353</f>
        <v>Office/Miscellaneous Reimbursement - Mike P.</v>
      </c>
      <c r="H353" s="4">
        <f t="shared" si="5"/>
        <v>46054</v>
      </c>
      <c r="I353" t="str">
        <f>IF($G353="","Uncategorized — Review",IFERROR(_xlfn.XLOOKUP($G353,Mapping!$A:$A,Mapping!$B:$B),"Uncategorized — Review"))</f>
        <v>Office/Miscellaneous Reimbursement - Mike P.</v>
      </c>
      <c r="J353" t="str">
        <f>IF($G353="","Uncategorized — Review",IFERROR(_xlfn.XLOOKUP($G353,Mapping!$A:$A,Mapping!$C:$C),"Uncategorized — Review"))</f>
        <v>Payroll &amp; Contractors</v>
      </c>
    </row>
    <row r="354" spans="1:10" x14ac:dyDescent="0.25">
      <c r="A354" t="str">
        <f>'2026_Chase9335_Activity_2026062'!A354</f>
        <v>DEBIT</v>
      </c>
      <c r="B354" s="1">
        <f>'2026_Chase9335_Activity_2026062'!B354</f>
        <v>46059</v>
      </c>
      <c r="C354" t="str">
        <f>'2026_Chase9335_Activity_2026062'!C354</f>
        <v>Amazon Tips*1K8VS7VX Amzn.com/bill WA        02/05</v>
      </c>
      <c r="D354" s="5">
        <f>'2026_Chase9335_Activity_2026062'!D354</f>
        <v>-5</v>
      </c>
      <c r="E354" t="str">
        <f>'2026_Chase9335_Activity_2026062'!E354</f>
        <v>DEBIT_CARD</v>
      </c>
      <c r="F354" s="5">
        <f>'2026_Chase9335_Activity_2026062'!F354</f>
        <v>158095.79</v>
      </c>
      <c r="G354" t="str">
        <f>'2026_Chase9335_Activity_2026062'!G354</f>
        <v>Amazon</v>
      </c>
      <c r="H354" s="4">
        <f t="shared" si="5"/>
        <v>46054</v>
      </c>
      <c r="I354" t="str">
        <f>IF($G354="","Uncategorized — Review",IFERROR(_xlfn.XLOOKUP($G354,Mapping!$A:$A,Mapping!$B:$B),"Uncategorized — Review"))</f>
        <v>Amazon</v>
      </c>
      <c r="J354" t="str">
        <f>IF($G354="","Uncategorized — Review",IFERROR(_xlfn.XLOOKUP($G354,Mapping!$A:$A,Mapping!$C:$C),"Uncategorized — Review"))</f>
        <v>Personal — Owner</v>
      </c>
    </row>
    <row r="355" spans="1:10" x14ac:dyDescent="0.25">
      <c r="A355" t="str">
        <f>'2026_Chase9335_Activity_2026062'!A355</f>
        <v>DEBIT</v>
      </c>
      <c r="B355" s="1">
        <f>'2026_Chase9335_Activity_2026062'!B355</f>
        <v>46059</v>
      </c>
      <c r="C355" t="str">
        <f>'2026_Chase9335_Activity_2026062'!C355</f>
        <v>Amazon Tips*Y61P07VN Amzn.com/bill WA        02/05</v>
      </c>
      <c r="D355" s="5">
        <f>'2026_Chase9335_Activity_2026062'!D355</f>
        <v>-5</v>
      </c>
      <c r="E355" t="str">
        <f>'2026_Chase9335_Activity_2026062'!E355</f>
        <v>DEBIT_CARD</v>
      </c>
      <c r="F355" s="5">
        <f>'2026_Chase9335_Activity_2026062'!F355</f>
        <v>158100.79</v>
      </c>
      <c r="G355" t="str">
        <f>'2026_Chase9335_Activity_2026062'!G355</f>
        <v>Amazon</v>
      </c>
      <c r="H355" s="4">
        <f t="shared" si="5"/>
        <v>46054</v>
      </c>
      <c r="I355" t="str">
        <f>IF($G355="","Uncategorized — Review",IFERROR(_xlfn.XLOOKUP($G355,Mapping!$A:$A,Mapping!$B:$B),"Uncategorized — Review"))</f>
        <v>Amazon</v>
      </c>
      <c r="J355" t="str">
        <f>IF($G355="","Uncategorized — Review",IFERROR(_xlfn.XLOOKUP($G355,Mapping!$A:$A,Mapping!$C:$C),"Uncategorized — Review"))</f>
        <v>Personal — Owner</v>
      </c>
    </row>
    <row r="356" spans="1:10" x14ac:dyDescent="0.25">
      <c r="A356" t="str">
        <f>'2026_Chase9335_Activity_2026062'!A356</f>
        <v>DEBIT</v>
      </c>
      <c r="B356" s="1">
        <f>'2026_Chase9335_Activity_2026062'!B356</f>
        <v>46059</v>
      </c>
      <c r="C356" t="str">
        <f>'2026_Chase9335_Activity_2026062'!C356</f>
        <v>Amazon.com*L45EZ6EH3 Amzn.com/bill WA        02/05</v>
      </c>
      <c r="D356" s="5">
        <f>'2026_Chase9335_Activity_2026062'!D356</f>
        <v>-15.03</v>
      </c>
      <c r="E356" t="str">
        <f>'2026_Chase9335_Activity_2026062'!E356</f>
        <v>DEBIT_CARD</v>
      </c>
      <c r="F356" s="5">
        <f>'2026_Chase9335_Activity_2026062'!F356</f>
        <v>158105.79</v>
      </c>
      <c r="G356" t="str">
        <f>'2026_Chase9335_Activity_2026062'!G356</f>
        <v>Amazon</v>
      </c>
      <c r="H356" s="4">
        <f t="shared" si="5"/>
        <v>46054</v>
      </c>
      <c r="I356" t="str">
        <f>IF($G356="","Uncategorized — Review",IFERROR(_xlfn.XLOOKUP($G356,Mapping!$A:$A,Mapping!$B:$B),"Uncategorized — Review"))</f>
        <v>Amazon</v>
      </c>
      <c r="J356" t="str">
        <f>IF($G356="","Uncategorized — Review",IFERROR(_xlfn.XLOOKUP($G356,Mapping!$A:$A,Mapping!$C:$C),"Uncategorized — Review"))</f>
        <v>Personal — Owner</v>
      </c>
    </row>
    <row r="357" spans="1:10" x14ac:dyDescent="0.25">
      <c r="A357" t="str">
        <f>'2026_Chase9335_Activity_2026062'!A357</f>
        <v>DEBIT</v>
      </c>
      <c r="B357" s="1">
        <f>'2026_Chase9335_Activity_2026062'!B357</f>
        <v>46058</v>
      </c>
      <c r="C357" t="str">
        <f>'2026_Chase9335_Activity_2026062'!C357</f>
        <v>Zelle payment to Michael Paytonjian JPM99c4k99js</v>
      </c>
      <c r="D357" s="5">
        <f>'2026_Chase9335_Activity_2026062'!D357</f>
        <v>-35</v>
      </c>
      <c r="E357" t="str">
        <f>'2026_Chase9335_Activity_2026062'!E357</f>
        <v>CHASE_TO_PARTNERFI</v>
      </c>
      <c r="F357" s="5">
        <f>'2026_Chase9335_Activity_2026062'!F357</f>
        <v>158120.82</v>
      </c>
      <c r="G357" t="str">
        <f>'2026_Chase9335_Activity_2026062'!G357</f>
        <v>Office/Miscellaneous Reimbursement - Mike P.</v>
      </c>
      <c r="H357" s="4">
        <f t="shared" si="5"/>
        <v>46054</v>
      </c>
      <c r="I357" t="str">
        <f>IF($G357="","Uncategorized — Review",IFERROR(_xlfn.XLOOKUP($G357,Mapping!$A:$A,Mapping!$B:$B),"Uncategorized — Review"))</f>
        <v>Office/Miscellaneous Reimbursement - Mike P.</v>
      </c>
      <c r="J357" t="str">
        <f>IF($G357="","Uncategorized — Review",IFERROR(_xlfn.XLOOKUP($G357,Mapping!$A:$A,Mapping!$C:$C),"Uncategorized — Review"))</f>
        <v>Payroll &amp; Contractors</v>
      </c>
    </row>
    <row r="358" spans="1:10" x14ac:dyDescent="0.25">
      <c r="A358" t="str">
        <f>'2026_Chase9335_Activity_2026062'!A358</f>
        <v>DEBIT</v>
      </c>
      <c r="B358" s="1">
        <f>'2026_Chase9335_Activity_2026062'!B358</f>
        <v>46058</v>
      </c>
      <c r="C358" t="str">
        <f>'2026_Chase9335_Activity_2026062'!C358</f>
        <v>Amazon.com*W30BA4K93 Amzn.com/bill WA        02/04</v>
      </c>
      <c r="D358" s="5">
        <f>'2026_Chase9335_Activity_2026062'!D358</f>
        <v>-52.81</v>
      </c>
      <c r="E358" t="str">
        <f>'2026_Chase9335_Activity_2026062'!E358</f>
        <v>DEBIT_CARD</v>
      </c>
      <c r="F358" s="5">
        <f>'2026_Chase9335_Activity_2026062'!F358</f>
        <v>158155.82</v>
      </c>
      <c r="G358" t="str">
        <f>'2026_Chase9335_Activity_2026062'!G358</f>
        <v>Amazon</v>
      </c>
      <c r="H358" s="4">
        <f t="shared" si="5"/>
        <v>46054</v>
      </c>
      <c r="I358" t="str">
        <f>IF($G358="","Uncategorized — Review",IFERROR(_xlfn.XLOOKUP($G358,Mapping!$A:$A,Mapping!$B:$B),"Uncategorized — Review"))</f>
        <v>Amazon</v>
      </c>
      <c r="J358" t="str">
        <f>IF($G358="","Uncategorized — Review",IFERROR(_xlfn.XLOOKUP($G358,Mapping!$A:$A,Mapping!$C:$C),"Uncategorized — Review"))</f>
        <v>Personal — Owner</v>
      </c>
    </row>
    <row r="359" spans="1:10" x14ac:dyDescent="0.25">
      <c r="A359" t="str">
        <f>'2026_Chase9335_Activity_2026062'!A359</f>
        <v>DEBIT</v>
      </c>
      <c r="B359" s="1">
        <f>'2026_Chase9335_Activity_2026062'!B359</f>
        <v>46058</v>
      </c>
      <c r="C359" t="str">
        <f>'2026_Chase9335_Activity_2026062'!C359</f>
        <v>Prime Video *1Y6NB28R 888-802-3080 WA        02/04</v>
      </c>
      <c r="D359" s="5">
        <f>'2026_Chase9335_Activity_2026062'!D359</f>
        <v>-4.26</v>
      </c>
      <c r="E359" t="str">
        <f>'2026_Chase9335_Activity_2026062'!E359</f>
        <v>DEBIT_CARD</v>
      </c>
      <c r="F359" s="5">
        <f>'2026_Chase9335_Activity_2026062'!F359</f>
        <v>158208.63</v>
      </c>
      <c r="G359" t="str">
        <f>'2026_Chase9335_Activity_2026062'!G359</f>
        <v>Personal - Subscriptions</v>
      </c>
      <c r="H359" s="4">
        <f t="shared" si="5"/>
        <v>46054</v>
      </c>
      <c r="I359" t="str">
        <f>IF($G359="","Uncategorized — Review",IFERROR(_xlfn.XLOOKUP($G359,Mapping!$A:$A,Mapping!$B:$B),"Uncategorized — Review"))</f>
        <v>Personal - Subscriptions</v>
      </c>
      <c r="J359" t="str">
        <f>IF($G359="","Uncategorized — Review",IFERROR(_xlfn.XLOOKUP($G359,Mapping!$A:$A,Mapping!$C:$C),"Uncategorized — Review"))</f>
        <v>Personal — Owner</v>
      </c>
    </row>
    <row r="360" spans="1:10" x14ac:dyDescent="0.25">
      <c r="A360" t="str">
        <f>'2026_Chase9335_Activity_2026062'!A360</f>
        <v>DEBIT</v>
      </c>
      <c r="B360" s="1">
        <f>'2026_Chase9335_Activity_2026062'!B360</f>
        <v>46058</v>
      </c>
      <c r="C360" t="str">
        <f>'2026_Chase9335_Activity_2026062'!C360</f>
        <v>AA WIFI 1-888-649-6711 Fort Worth TX         02/04</v>
      </c>
      <c r="D360" s="5">
        <f>'2026_Chase9335_Activity_2026062'!D360</f>
        <v>-20</v>
      </c>
      <c r="E360" t="str">
        <f>'2026_Chase9335_Activity_2026062'!E360</f>
        <v>DEBIT_CARD</v>
      </c>
      <c r="F360" s="5">
        <f>'2026_Chase9335_Activity_2026062'!F360</f>
        <v>158212.89000000001</v>
      </c>
      <c r="G360" t="str">
        <f>'2026_Chase9335_Activity_2026062'!G360</f>
        <v>Personal - Travel</v>
      </c>
      <c r="H360" s="4">
        <f t="shared" si="5"/>
        <v>46054</v>
      </c>
      <c r="I360" t="str">
        <f>IF($G360="","Uncategorized — Review",IFERROR(_xlfn.XLOOKUP($G360,Mapping!$A:$A,Mapping!$B:$B),"Uncategorized — Review"))</f>
        <v>Personal - Travel</v>
      </c>
      <c r="J360" t="str">
        <f>IF($G360="","Uncategorized — Review",IFERROR(_xlfn.XLOOKUP($G360,Mapping!$A:$A,Mapping!$C:$C),"Uncategorized — Review"))</f>
        <v>Personal — Owner</v>
      </c>
    </row>
    <row r="361" spans="1:10" x14ac:dyDescent="0.25">
      <c r="A361" t="str">
        <f>'2026_Chase9335_Activity_2026062'!A361</f>
        <v>DEBIT</v>
      </c>
      <c r="B361" s="1">
        <f>'2026_Chase9335_Activity_2026062'!B361</f>
        <v>46058</v>
      </c>
      <c r="C361" t="str">
        <f>'2026_Chase9335_Activity_2026062'!C361</f>
        <v>Amazon Retai*580IK5G Amzn.com/bill WA        02/04</v>
      </c>
      <c r="D361" s="5">
        <f>'2026_Chase9335_Activity_2026062'!D361</f>
        <v>-24.55</v>
      </c>
      <c r="E361" t="str">
        <f>'2026_Chase9335_Activity_2026062'!E361</f>
        <v>DEBIT_CARD</v>
      </c>
      <c r="F361" s="5">
        <f>'2026_Chase9335_Activity_2026062'!F361</f>
        <v>158232.89000000001</v>
      </c>
      <c r="G361" t="str">
        <f>'2026_Chase9335_Activity_2026062'!G361</f>
        <v>Amazon</v>
      </c>
      <c r="H361" s="4">
        <f t="shared" si="5"/>
        <v>46054</v>
      </c>
      <c r="I361" t="str">
        <f>IF($G361="","Uncategorized — Review",IFERROR(_xlfn.XLOOKUP($G361,Mapping!$A:$A,Mapping!$B:$B),"Uncategorized — Review"))</f>
        <v>Amazon</v>
      </c>
      <c r="J361" t="str">
        <f>IF($G361="","Uncategorized — Review",IFERROR(_xlfn.XLOOKUP($G361,Mapping!$A:$A,Mapping!$C:$C),"Uncategorized — Review"))</f>
        <v>Personal — Owner</v>
      </c>
    </row>
    <row r="362" spans="1:10" x14ac:dyDescent="0.25">
      <c r="A362" t="str">
        <f>'2026_Chase9335_Activity_2026062'!A362</f>
        <v>DEBIT</v>
      </c>
      <c r="B362" s="1">
        <f>'2026_Chase9335_Activity_2026062'!B362</f>
        <v>46058</v>
      </c>
      <c r="C362" t="str">
        <f>'2026_Chase9335_Activity_2026062'!C362</f>
        <v>Amazon Retail Partne Amzn.com/bill WA        02/04</v>
      </c>
      <c r="D362" s="5">
        <f>'2026_Chase9335_Activity_2026062'!D362</f>
        <v>24.55</v>
      </c>
      <c r="E362" t="str">
        <f>'2026_Chase9335_Activity_2026062'!E362</f>
        <v>DEBIT_CARD</v>
      </c>
      <c r="F362" s="5">
        <f>'2026_Chase9335_Activity_2026062'!F362</f>
        <v>158257.44</v>
      </c>
      <c r="G362" t="str">
        <f>'2026_Chase9335_Activity_2026062'!G362</f>
        <v>Amazon</v>
      </c>
      <c r="H362" s="4">
        <f t="shared" si="5"/>
        <v>46054</v>
      </c>
      <c r="I362" t="str">
        <f>IF($G362="","Uncategorized — Review",IFERROR(_xlfn.XLOOKUP($G362,Mapping!$A:$A,Mapping!$B:$B),"Uncategorized — Review"))</f>
        <v>Amazon</v>
      </c>
      <c r="J362" t="str">
        <f>IF($G362="","Uncategorized — Review",IFERROR(_xlfn.XLOOKUP($G362,Mapping!$A:$A,Mapping!$C:$C),"Uncategorized — Review"))</f>
        <v>Personal — Owner</v>
      </c>
    </row>
    <row r="363" spans="1:10" x14ac:dyDescent="0.25">
      <c r="A363" t="str">
        <f>'2026_Chase9335_Activity_2026062'!A363</f>
        <v>DEBIT</v>
      </c>
      <c r="B363" s="1">
        <f>'2026_Chase9335_Activity_2026062'!B363</f>
        <v>46057</v>
      </c>
      <c r="C363" t="str">
        <f>'2026_Chase9335_Activity_2026062'!C363</f>
        <v>ONLINE DOMESTIC WIRE FEE</v>
      </c>
      <c r="D363" s="5">
        <f>'2026_Chase9335_Activity_2026062'!D363</f>
        <v>-25</v>
      </c>
      <c r="E363" t="str">
        <f>'2026_Chase9335_Activity_2026062'!E363</f>
        <v>FEE_TRANSACTION</v>
      </c>
      <c r="F363" s="5">
        <f>'2026_Chase9335_Activity_2026062'!F363</f>
        <v>158232.89000000001</v>
      </c>
      <c r="G363" t="str">
        <f>'2026_Chase9335_Activity_2026062'!G363</f>
        <v>Wire Fee</v>
      </c>
      <c r="H363" s="4">
        <f t="shared" si="5"/>
        <v>46054</v>
      </c>
      <c r="I363" t="str">
        <f>IF($G363="","Uncategorized — Review",IFERROR(_xlfn.XLOOKUP($G363,Mapping!$A:$A,Mapping!$B:$B),"Uncategorized — Review"))</f>
        <v>Wire Fee</v>
      </c>
      <c r="J363" t="str">
        <f>IF($G363="","Uncategorized — Review",IFERROR(_xlfn.XLOOKUP($G363,Mapping!$A:$A,Mapping!$C:$C),"Uncategorized — Review"))</f>
        <v>DWG Operating</v>
      </c>
    </row>
    <row r="364" spans="1:10" x14ac:dyDescent="0.25">
      <c r="A364" t="str">
        <f>'2026_Chase9335_Activity_2026062'!A364</f>
        <v>DEBIT</v>
      </c>
      <c r="B364" s="1">
        <f>'2026_Chase9335_Activity_2026062'!B364</f>
        <v>46057</v>
      </c>
      <c r="C364" t="str">
        <f>'2026_Chase9335_Activity_2026062'!C364</f>
        <v>ONLINE DOMESTIC WIRE TRANSFER VIA: BK COMRCE SD/122235821 A/C: RTB ASSOCIATES INVESTIGATIONS MINNEAPOLIS MN 55402 US IMAD: 0204MMQFMP2N020286 TRN: 3376136035ES 02/04</v>
      </c>
      <c r="D364" s="5">
        <f>'2026_Chase9335_Activity_2026062'!D364</f>
        <v>-10000</v>
      </c>
      <c r="E364" t="str">
        <f>'2026_Chase9335_Activity_2026062'!E364</f>
        <v>WIRE_OUTGOING</v>
      </c>
      <c r="F364" s="5">
        <f>'2026_Chase9335_Activity_2026062'!F364</f>
        <v>158257.89000000001</v>
      </c>
      <c r="G364" t="str">
        <f>'2026_Chase9335_Activity_2026062'!G364</f>
        <v>Wire to Ryan Bodmer</v>
      </c>
      <c r="H364" s="4">
        <f t="shared" si="5"/>
        <v>46054</v>
      </c>
      <c r="I364" t="str">
        <f>IF($G364="","Uncategorized — Review",IFERROR(_xlfn.XLOOKUP($G364,Mapping!$A:$A,Mapping!$B:$B),"Uncategorized — Review"))</f>
        <v>Wire to Ryan Bodmer</v>
      </c>
      <c r="J364" t="str">
        <f>IF($G364="","Uncategorized — Review",IFERROR(_xlfn.XLOOKUP($G364,Mapping!$A:$A,Mapping!$C:$C),"Uncategorized — Review"))</f>
        <v>Wire Transfers — Outgoing</v>
      </c>
    </row>
    <row r="365" spans="1:10" x14ac:dyDescent="0.25">
      <c r="A365" t="str">
        <f>'2026_Chase9335_Activity_2026062'!A365</f>
        <v>DEBIT</v>
      </c>
      <c r="B365" s="1">
        <f>'2026_Chase9335_Activity_2026062'!B365</f>
        <v>46056</v>
      </c>
      <c r="C365" t="str">
        <f>'2026_Chase9335_Activity_2026062'!C365</f>
        <v>DOMESTIC INCOMING WIRE FEE</v>
      </c>
      <c r="D365" s="5">
        <f>'2026_Chase9335_Activity_2026062'!D365</f>
        <v>-15</v>
      </c>
      <c r="E365" t="str">
        <f>'2026_Chase9335_Activity_2026062'!E365</f>
        <v>FEE_TRANSACTION</v>
      </c>
      <c r="F365" s="5">
        <f>'2026_Chase9335_Activity_2026062'!F365</f>
        <v>168257.89</v>
      </c>
      <c r="G365" t="str">
        <f>'2026_Chase9335_Activity_2026062'!G365</f>
        <v>Wire Fee</v>
      </c>
      <c r="H365" s="4">
        <f t="shared" si="5"/>
        <v>46054</v>
      </c>
      <c r="I365" t="str">
        <f>IF($G365="","Uncategorized — Review",IFERROR(_xlfn.XLOOKUP($G365,Mapping!$A:$A,Mapping!$B:$B),"Uncategorized — Review"))</f>
        <v>Wire Fee</v>
      </c>
      <c r="J365" t="str">
        <f>IF($G365="","Uncategorized — Review",IFERROR(_xlfn.XLOOKUP($G365,Mapping!$A:$A,Mapping!$C:$C),"Uncategorized — Review"))</f>
        <v>DWG Operating</v>
      </c>
    </row>
    <row r="366" spans="1:10" x14ac:dyDescent="0.25">
      <c r="A366" t="str">
        <f>'2026_Chase9335_Activity_2026062'!A366</f>
        <v>DEBIT</v>
      </c>
      <c r="B366" s="1">
        <f>'2026_Chase9335_Activity_2026062'!B366</f>
        <v>46056</v>
      </c>
      <c r="C366" t="str">
        <f>'2026_Chase9335_Activity_2026062'!C366</f>
        <v>ONLINE DOMESTIC WIRE FEE</v>
      </c>
      <c r="D366" s="5">
        <f>'2026_Chase9335_Activity_2026062'!D366</f>
        <v>-25</v>
      </c>
      <c r="E366" t="str">
        <f>'2026_Chase9335_Activity_2026062'!E366</f>
        <v>FEE_TRANSACTION</v>
      </c>
      <c r="F366" s="5">
        <f>'2026_Chase9335_Activity_2026062'!F366</f>
        <v>168272.89</v>
      </c>
      <c r="G366" t="str">
        <f>'2026_Chase9335_Activity_2026062'!G366</f>
        <v>Wire Fee</v>
      </c>
      <c r="H366" s="4">
        <f t="shared" si="5"/>
        <v>46054</v>
      </c>
      <c r="I366" t="str">
        <f>IF($G366="","Uncategorized — Review",IFERROR(_xlfn.XLOOKUP($G366,Mapping!$A:$A,Mapping!$B:$B),"Uncategorized — Review"))</f>
        <v>Wire Fee</v>
      </c>
      <c r="J366" t="str">
        <f>IF($G366="","Uncategorized — Review",IFERROR(_xlfn.XLOOKUP($G366,Mapping!$A:$A,Mapping!$C:$C),"Uncategorized — Review"))</f>
        <v>DWG Operating</v>
      </c>
    </row>
    <row r="367" spans="1:10" x14ac:dyDescent="0.25">
      <c r="A367" t="str">
        <f>'2026_Chase9335_Activity_2026062'!A367</f>
        <v>DEBIT</v>
      </c>
      <c r="B367" s="1">
        <f>'2026_Chase9335_Activity_2026062'!B367</f>
        <v>46056</v>
      </c>
      <c r="C367" t="str">
        <f>'2026_Chase9335_Activity_2026062'!C367</f>
        <v>ONLINE DOMESTIC WIRE FEE</v>
      </c>
      <c r="D367" s="5">
        <f>'2026_Chase9335_Activity_2026062'!D367</f>
        <v>-25</v>
      </c>
      <c r="E367" t="str">
        <f>'2026_Chase9335_Activity_2026062'!E367</f>
        <v>FEE_TRANSACTION</v>
      </c>
      <c r="F367" s="5">
        <f>'2026_Chase9335_Activity_2026062'!F367</f>
        <v>168297.89</v>
      </c>
      <c r="G367" t="str">
        <f>'2026_Chase9335_Activity_2026062'!G367</f>
        <v>Wire Fee</v>
      </c>
      <c r="H367" s="4">
        <f t="shared" si="5"/>
        <v>46054</v>
      </c>
      <c r="I367" t="str">
        <f>IF($G367="","Uncategorized — Review",IFERROR(_xlfn.XLOOKUP($G367,Mapping!$A:$A,Mapping!$B:$B),"Uncategorized — Review"))</f>
        <v>Wire Fee</v>
      </c>
      <c r="J367" t="str">
        <f>IF($G367="","Uncategorized — Review",IFERROR(_xlfn.XLOOKUP($G367,Mapping!$A:$A,Mapping!$C:$C),"Uncategorized — Review"))</f>
        <v>DWG Operating</v>
      </c>
    </row>
    <row r="368" spans="1:10" x14ac:dyDescent="0.25">
      <c r="A368" t="str">
        <f>'2026_Chase9335_Activity_2026062'!A368</f>
        <v>DEBIT</v>
      </c>
      <c r="B368" s="1">
        <f>'2026_Chase9335_Activity_2026062'!B368</f>
        <v>46056</v>
      </c>
      <c r="C368" t="str">
        <f>'2026_Chase9335_Activity_2026062'!C368</f>
        <v>ONLINE DOMESTIC WIRE TRANSFER A/C: GI CAPITAL GROUP RICHMOND CA 94804-5637 US TRN: 3764556034ES 02/03</v>
      </c>
      <c r="D368" s="5">
        <f>'2026_Chase9335_Activity_2026062'!D368</f>
        <v>-56670.85</v>
      </c>
      <c r="E368" t="str">
        <f>'2026_Chase9335_Activity_2026062'!E368</f>
        <v>WIRE_OUTGOING</v>
      </c>
      <c r="F368" s="5">
        <f>'2026_Chase9335_Activity_2026062'!F368</f>
        <v>168322.89</v>
      </c>
      <c r="G368" t="str">
        <f>'2026_Chase9335_Activity_2026062'!G368</f>
        <v>Wire to Gi Capital Group (+ Moab Funds)</v>
      </c>
      <c r="H368" s="4">
        <f t="shared" si="5"/>
        <v>46054</v>
      </c>
      <c r="I368" t="str">
        <f>IF($G368="","Uncategorized — Review",IFERROR(_xlfn.XLOOKUP($G368,Mapping!$A:$A,Mapping!$B:$B),"Uncategorized — Review"))</f>
        <v>Wire to Gi Capital Group (+ Moab Funds)</v>
      </c>
      <c r="J368" t="str">
        <f>IF($G368="","Uncategorized — Review",IFERROR(_xlfn.XLOOKUP($G368,Mapping!$A:$A,Mapping!$C:$C),"Uncategorized — Review"))</f>
        <v>Wire Transfers — Outgoing</v>
      </c>
    </row>
    <row r="369" spans="1:10" x14ac:dyDescent="0.25">
      <c r="A369" t="str">
        <f>'2026_Chase9335_Activity_2026062'!A369</f>
        <v>DEBIT</v>
      </c>
      <c r="B369" s="1">
        <f>'2026_Chase9335_Activity_2026062'!B369</f>
        <v>46056</v>
      </c>
      <c r="C369" t="str">
        <f>'2026_Chase9335_Activity_2026062'!C369</f>
        <v>ONLINE DOMESTIC WIRE TRANSFER A/C: ADMEER ADVISORY, LLC DANA POINT CA 92629-3313 US REF: CANDY BARS TRN: 3497016034ES 02/03</v>
      </c>
      <c r="D369" s="5">
        <f>'2026_Chase9335_Activity_2026062'!D369</f>
        <v>-5000</v>
      </c>
      <c r="E369" t="str">
        <f>'2026_Chase9335_Activity_2026062'!E369</f>
        <v>WIRE_OUTGOING</v>
      </c>
      <c r="F369" s="5">
        <f>'2026_Chase9335_Activity_2026062'!F369</f>
        <v>224993.74</v>
      </c>
      <c r="G369" t="str">
        <f>'2026_Chase9335_Activity_2026062'!G369</f>
        <v>MAG - Admeer Advisory Transfer</v>
      </c>
      <c r="H369" s="4">
        <f t="shared" si="5"/>
        <v>46054</v>
      </c>
      <c r="I369" t="str">
        <f>IF($G369="","Uncategorized — Review",IFERROR(_xlfn.XLOOKUP($G369,Mapping!$A:$A,Mapping!$B:$B),"Uncategorized — Review"))</f>
        <v>MAG - Admeer Advisory Transfer</v>
      </c>
      <c r="J369" t="str">
        <f>IF($G369="","Uncategorized — Review",IFERROR(_xlfn.XLOOKUP($G369,Mapping!$A:$A,Mapping!$C:$C),"Uncategorized — Review"))</f>
        <v>MAG Pass-Through</v>
      </c>
    </row>
    <row r="370" spans="1:10" x14ac:dyDescent="0.25">
      <c r="A370" t="str">
        <f>'2026_Chase9335_Activity_2026062'!A370</f>
        <v>CREDIT</v>
      </c>
      <c r="B370" s="1">
        <f>'2026_Chase9335_Activity_2026062'!B370</f>
        <v>46056</v>
      </c>
      <c r="C370" t="str">
        <f>'2026_Chase9335_Activity_2026062'!C370</f>
        <v>ORIG CO NAME:MITCHELL ASSET G       ORIG ID:9024218048 DESC DATE:260203 CO ENTRY DESCR:ACH Pmt   SEC:CCD    TRACE#:021000026983316 EED:260203   IND ID:11205797586                  IND NAME:                           Reimbursement - Marketing Expense TRN: 0346983316TC</v>
      </c>
      <c r="D370" s="5">
        <f>'2026_Chase9335_Activity_2026062'!D370</f>
        <v>5000</v>
      </c>
      <c r="E370" t="str">
        <f>'2026_Chase9335_Activity_2026062'!E370</f>
        <v>ACH_CREDIT</v>
      </c>
      <c r="F370" s="5">
        <f>'2026_Chase9335_Activity_2026062'!F370</f>
        <v>229993.74</v>
      </c>
      <c r="G370" t="str">
        <f>'2026_Chase9335_Activity_2026062'!G370</f>
        <v>MAG - Admeer Advisory Reimbursement</v>
      </c>
      <c r="H370" s="4">
        <f t="shared" si="5"/>
        <v>46054</v>
      </c>
      <c r="I370" t="str">
        <f>IF($G370="","Uncategorized — Review",IFERROR(_xlfn.XLOOKUP($G370,Mapping!$A:$A,Mapping!$B:$B),"Uncategorized — Review"))</f>
        <v>MAG - Admeer Advisory Reimbursement</v>
      </c>
      <c r="J370" t="str">
        <f>IF($G370="","Uncategorized — Review",IFERROR(_xlfn.XLOOKUP($G370,Mapping!$A:$A,Mapping!$C:$C),"Uncategorized — Review"))</f>
        <v>MAG Pass-Through</v>
      </c>
    </row>
    <row r="371" spans="1:10" x14ac:dyDescent="0.25">
      <c r="A371" t="str">
        <f>'2026_Chase9335_Activity_2026062'!A371</f>
        <v>CREDIT</v>
      </c>
      <c r="B371" s="1">
        <f>'2026_Chase9335_Activity_2026062'!B371</f>
        <v>46056</v>
      </c>
      <c r="C371" t="str">
        <f>'2026_Chase9335_Activity_2026062'!C371</f>
        <v>Online Transfer from CHK ...1168 transaction#: 27936308043</v>
      </c>
      <c r="D371" s="5">
        <f>'2026_Chase9335_Activity_2026062'!D371</f>
        <v>8556.41</v>
      </c>
      <c r="E371" t="str">
        <f>'2026_Chase9335_Activity_2026062'!E371</f>
        <v>ACCT_XFER</v>
      </c>
      <c r="F371" s="5">
        <f>'2026_Chase9335_Activity_2026062'!F371</f>
        <v>224993.74</v>
      </c>
      <c r="G371" t="str">
        <f>'2026_Chase9335_Activity_2026062'!G371</f>
        <v>Transfer From DWG Capital Group</v>
      </c>
      <c r="H371" s="4">
        <f t="shared" si="5"/>
        <v>46054</v>
      </c>
      <c r="I371" t="str">
        <f>IF($G371="","Uncategorized — Review",IFERROR(_xlfn.XLOOKUP($G371,Mapping!$A:$A,Mapping!$B:$B),"Uncategorized — Review"))</f>
        <v>Transfer From DWG Capital Group</v>
      </c>
      <c r="J371" t="str">
        <f>IF($G371="","Uncategorized — Review",IFERROR(_xlfn.XLOOKUP($G371,Mapping!$A:$A,Mapping!$C:$C),"Uncategorized — Review"))</f>
        <v>Intercompany &amp; Savings Transfers</v>
      </c>
    </row>
    <row r="372" spans="1:10" x14ac:dyDescent="0.25">
      <c r="A372" t="str">
        <f>'2026_Chase9335_Activity_2026062'!A372</f>
        <v>CREDIT</v>
      </c>
      <c r="B372" s="1">
        <f>'2026_Chase9335_Activity_2026062'!B372</f>
        <v>46056</v>
      </c>
      <c r="C372" t="str">
        <f>'2026_Chase9335_Activity_2026062'!C372</f>
        <v>FEDWIRE CREDIT VIA: ZIONS BANCORPORATION N.A./124000054 B/O: GRIFFITHS &amp; TURNER GT TITLE SERVICEUSA 84107 REF: CHASE NYC/CTR/BNF=POSEIDON ASSET GROUP, LLC LOS ANGELES CA 90066-3638 US/AC-000000007200 RFB=NOTPROVIDED OBI=/URI/OVERAGE OF BUYERS WIRE2331 MES A RD #4, MOABGT TITLE FILE#SL6 2787M GT TITLE DQ 8 IMAD: 0203L4B74B3C001903 TRN: 0931881034FF</v>
      </c>
      <c r="D372" s="5">
        <f>'2026_Chase9335_Activity_2026062'!D372</f>
        <v>58370.85</v>
      </c>
      <c r="E372" t="str">
        <f>'2026_Chase9335_Activity_2026062'!E372</f>
        <v>WIRE_INCOMING</v>
      </c>
      <c r="F372" s="5">
        <f>'2026_Chase9335_Activity_2026062'!F372</f>
        <v>216437.33</v>
      </c>
      <c r="G372" t="str">
        <f>'2026_Chase9335_Activity_2026062'!G372</f>
        <v>Incoming wire from Moab (Leftover Funds)</v>
      </c>
      <c r="H372" s="4">
        <f t="shared" si="5"/>
        <v>46054</v>
      </c>
      <c r="I372" t="str">
        <f>IF($G372="","Uncategorized — Review",IFERROR(_xlfn.XLOOKUP($G372,Mapping!$A:$A,Mapping!$B:$B),"Uncategorized — Review"))</f>
        <v>Incoming wire from Moab (Leftover Funds)</v>
      </c>
      <c r="J372" t="str">
        <f>IF($G372="","Uncategorized — Review",IFERROR(_xlfn.XLOOKUP($G372,Mapping!$A:$A,Mapping!$C:$C),"Uncategorized — Review"))</f>
        <v>Wire Transfers — Incoming</v>
      </c>
    </row>
    <row r="373" spans="1:10" x14ac:dyDescent="0.25">
      <c r="A373" t="str">
        <f>'2026_Chase9335_Activity_2026062'!A373</f>
        <v>DEBIT</v>
      </c>
      <c r="B373" s="1">
        <f>'2026_Chase9335_Activity_2026062'!B373</f>
        <v>46055</v>
      </c>
      <c r="C373" t="str">
        <f>'2026_Chase9335_Activity_2026062'!C373</f>
        <v>Online Transfer to CHK ...1168 transaction#: 27927945998 02/02</v>
      </c>
      <c r="D373" s="5">
        <f>'2026_Chase9335_Activity_2026062'!D373</f>
        <v>-8556.41</v>
      </c>
      <c r="E373" t="str">
        <f>'2026_Chase9335_Activity_2026062'!E373</f>
        <v>ACCT_XFER</v>
      </c>
      <c r="F373" s="5">
        <f>'2026_Chase9335_Activity_2026062'!F373</f>
        <v>158066.48000000001</v>
      </c>
      <c r="G373" t="str">
        <f>'2026_Chase9335_Activity_2026062'!G373</f>
        <v>Transfer to DWG Capital Group</v>
      </c>
      <c r="H373" s="4">
        <f t="shared" si="5"/>
        <v>46054</v>
      </c>
      <c r="I373" t="str">
        <f>IF($G373="","Uncategorized — Review",IFERROR(_xlfn.XLOOKUP($G373,Mapping!$A:$A,Mapping!$B:$B),"Uncategorized — Review"))</f>
        <v>Transfer to DWG Capital Group</v>
      </c>
      <c r="J373" t="str">
        <f>IF($G373="","Uncategorized — Review",IFERROR(_xlfn.XLOOKUP($G373,Mapping!$A:$A,Mapping!$C:$C),"Uncategorized — Review"))</f>
        <v>Intercompany &amp; Savings Transfers</v>
      </c>
    </row>
    <row r="374" spans="1:10" x14ac:dyDescent="0.25">
      <c r="A374" t="str">
        <f>'2026_Chase9335_Activity_2026062'!A374</f>
        <v>DEBIT</v>
      </c>
      <c r="B374" s="1">
        <f>'2026_Chase9335_Activity_2026062'!B374</f>
        <v>46055</v>
      </c>
      <c r="C374" t="str">
        <f>'2026_Chase9335_Activity_2026062'!C374</f>
        <v>Experian* Credit Repor 479-3436237 CA        02/01</v>
      </c>
      <c r="D374" s="5">
        <f>'2026_Chase9335_Activity_2026062'!D374</f>
        <v>-27.05</v>
      </c>
      <c r="E374" t="str">
        <f>'2026_Chase9335_Activity_2026062'!E374</f>
        <v>DEBIT_CARD</v>
      </c>
      <c r="F374" s="5">
        <f>'2026_Chase9335_Activity_2026062'!F374</f>
        <v>166622.89000000001</v>
      </c>
      <c r="G374" t="str">
        <f>'2026_Chase9335_Activity_2026062'!G374</f>
        <v>Personal - Subscriptions</v>
      </c>
      <c r="H374" s="4">
        <f t="shared" si="5"/>
        <v>46054</v>
      </c>
      <c r="I374" t="str">
        <f>IF($G374="","Uncategorized — Review",IFERROR(_xlfn.XLOOKUP($G374,Mapping!$A:$A,Mapping!$B:$B),"Uncategorized — Review"))</f>
        <v>Personal - Subscriptions</v>
      </c>
      <c r="J374" t="str">
        <f>IF($G374="","Uncategorized — Review",IFERROR(_xlfn.XLOOKUP($G374,Mapping!$A:$A,Mapping!$C:$C),"Uncategorized — Review"))</f>
        <v>Personal — Owner</v>
      </c>
    </row>
    <row r="375" spans="1:10" x14ac:dyDescent="0.25">
      <c r="A375" t="str">
        <f>'2026_Chase9335_Activity_2026062'!A375</f>
        <v>DEBIT</v>
      </c>
      <c r="B375" s="1">
        <f>'2026_Chase9335_Activity_2026062'!B375</f>
        <v>46055</v>
      </c>
      <c r="C375" t="str">
        <f>'2026_Chase9335_Activity_2026062'!C375</f>
        <v>Amazon Tips*IJ4TA3RD Amzn.com/bill WA        01/31</v>
      </c>
      <c r="D375" s="5">
        <f>'2026_Chase9335_Activity_2026062'!D375</f>
        <v>-5</v>
      </c>
      <c r="E375" t="str">
        <f>'2026_Chase9335_Activity_2026062'!E375</f>
        <v>DEBIT_CARD</v>
      </c>
      <c r="F375" s="5">
        <f>'2026_Chase9335_Activity_2026062'!F375</f>
        <v>166649.94</v>
      </c>
      <c r="G375" t="str">
        <f>'2026_Chase9335_Activity_2026062'!G375</f>
        <v>Amazon</v>
      </c>
      <c r="H375" s="4">
        <f t="shared" si="5"/>
        <v>46054</v>
      </c>
      <c r="I375" t="str">
        <f>IF($G375="","Uncategorized — Review",IFERROR(_xlfn.XLOOKUP($G375,Mapping!$A:$A,Mapping!$B:$B),"Uncategorized — Review"))</f>
        <v>Amazon</v>
      </c>
      <c r="J375" t="str">
        <f>IF($G375="","Uncategorized — Review",IFERROR(_xlfn.XLOOKUP($G375,Mapping!$A:$A,Mapping!$C:$C),"Uncategorized — Review"))</f>
        <v>Personal — Owner</v>
      </c>
    </row>
    <row r="376" spans="1:10" x14ac:dyDescent="0.25">
      <c r="A376" t="str">
        <f>'2026_Chase9335_Activity_2026062'!A376</f>
        <v>DEBIT</v>
      </c>
      <c r="B376" s="1">
        <f>'2026_Chase9335_Activity_2026062'!B376</f>
        <v>46055</v>
      </c>
      <c r="C376" t="str">
        <f>'2026_Chase9335_Activity_2026062'!C376</f>
        <v>Amazon Tips*QF4O19EK Amzn.com/bill WA        01/30</v>
      </c>
      <c r="D376" s="5">
        <f>'2026_Chase9335_Activity_2026062'!D376</f>
        <v>-5</v>
      </c>
      <c r="E376" t="str">
        <f>'2026_Chase9335_Activity_2026062'!E376</f>
        <v>DEBIT_CARD</v>
      </c>
      <c r="F376" s="5">
        <f>'2026_Chase9335_Activity_2026062'!F376</f>
        <v>166654.94</v>
      </c>
      <c r="G376" t="str">
        <f>'2026_Chase9335_Activity_2026062'!G376</f>
        <v>Amazon</v>
      </c>
      <c r="H376" s="4">
        <f t="shared" si="5"/>
        <v>46054</v>
      </c>
      <c r="I376" t="str">
        <f>IF($G376="","Uncategorized — Review",IFERROR(_xlfn.XLOOKUP($G376,Mapping!$A:$A,Mapping!$B:$B),"Uncategorized — Review"))</f>
        <v>Amazon</v>
      </c>
      <c r="J376" t="str">
        <f>IF($G376="","Uncategorized — Review",IFERROR(_xlfn.XLOOKUP($G376,Mapping!$A:$A,Mapping!$C:$C),"Uncategorized — Review"))</f>
        <v>Personal — Owner</v>
      </c>
    </row>
    <row r="377" spans="1:10" x14ac:dyDescent="0.25">
      <c r="A377" t="str">
        <f>'2026_Chase9335_Activity_2026062'!A377</f>
        <v>DEBIT</v>
      </c>
      <c r="B377" s="1">
        <f>'2026_Chase9335_Activity_2026062'!B377</f>
        <v>46055</v>
      </c>
      <c r="C377" t="str">
        <f>'2026_Chase9335_Activity_2026062'!C377</f>
        <v>SWA*EXCS_BAG526430991 800-435-9792 TX        01/29</v>
      </c>
      <c r="D377" s="5">
        <f>'2026_Chase9335_Activity_2026062'!D377</f>
        <v>-35</v>
      </c>
      <c r="E377" t="str">
        <f>'2026_Chase9335_Activity_2026062'!E377</f>
        <v>DEBIT_CARD</v>
      </c>
      <c r="F377" s="5">
        <f>'2026_Chase9335_Activity_2026062'!F377</f>
        <v>166659.94</v>
      </c>
      <c r="G377" t="str">
        <f>'2026_Chase9335_Activity_2026062'!G377</f>
        <v>Personal - Travel</v>
      </c>
      <c r="H377" s="4">
        <f t="shared" si="5"/>
        <v>46054</v>
      </c>
      <c r="I377" t="str">
        <f>IF($G377="","Uncategorized — Review",IFERROR(_xlfn.XLOOKUP($G377,Mapping!$A:$A,Mapping!$B:$B),"Uncategorized — Review"))</f>
        <v>Personal - Travel</v>
      </c>
      <c r="J377" t="str">
        <f>IF($G377="","Uncategorized — Review",IFERROR(_xlfn.XLOOKUP($G377,Mapping!$A:$A,Mapping!$C:$C),"Uncategorized — Review"))</f>
        <v>Personal — Owner</v>
      </c>
    </row>
    <row r="378" spans="1:10" x14ac:dyDescent="0.25">
      <c r="A378" t="str">
        <f>'2026_Chase9335_Activity_2026062'!A378</f>
        <v>DEBIT</v>
      </c>
      <c r="B378" s="1">
        <f>'2026_Chase9335_Activity_2026062'!B378</f>
        <v>46055</v>
      </c>
      <c r="C378" t="str">
        <f>'2026_Chase9335_Activity_2026062'!C378</f>
        <v>SWA*EXCS_BAG526430991 800-435-9792 TX        01/29</v>
      </c>
      <c r="D378" s="5">
        <f>'2026_Chase9335_Activity_2026062'!D378</f>
        <v>-45</v>
      </c>
      <c r="E378" t="str">
        <f>'2026_Chase9335_Activity_2026062'!E378</f>
        <v>DEBIT_CARD</v>
      </c>
      <c r="F378" s="5">
        <f>'2026_Chase9335_Activity_2026062'!F378</f>
        <v>166694.94</v>
      </c>
      <c r="G378" t="str">
        <f>'2026_Chase9335_Activity_2026062'!G378</f>
        <v>Personal - Travel</v>
      </c>
      <c r="H378" s="4">
        <f t="shared" si="5"/>
        <v>46054</v>
      </c>
      <c r="I378" t="str">
        <f>IF($G378="","Uncategorized — Review",IFERROR(_xlfn.XLOOKUP($G378,Mapping!$A:$A,Mapping!$B:$B),"Uncategorized — Review"))</f>
        <v>Personal - Travel</v>
      </c>
      <c r="J378" t="str">
        <f>IF($G378="","Uncategorized — Review",IFERROR(_xlfn.XLOOKUP($G378,Mapping!$A:$A,Mapping!$C:$C),"Uncategorized — Review"))</f>
        <v>Personal — Owner</v>
      </c>
    </row>
    <row r="379" spans="1:10" x14ac:dyDescent="0.25">
      <c r="A379" t="str">
        <f>'2026_Chase9335_Activity_2026062'!A379</f>
        <v>CREDIT</v>
      </c>
      <c r="B379" s="1">
        <f>'2026_Chase9335_Activity_2026062'!B379</f>
        <v>46055</v>
      </c>
      <c r="C379" t="str">
        <f>'2026_Chase9335_Activity_2026062'!C379</f>
        <v>Online Transfer from CHK ...5153 transaction#: 27927914475</v>
      </c>
      <c r="D379" s="5">
        <f>'2026_Chase9335_Activity_2026062'!D379</f>
        <v>50000</v>
      </c>
      <c r="E379" t="str">
        <f>'2026_Chase9335_Activity_2026062'!E379</f>
        <v>ACCT_XFER</v>
      </c>
      <c r="F379" s="5">
        <f>'2026_Chase9335_Activity_2026062'!F379</f>
        <v>166739.94</v>
      </c>
      <c r="G379" t="str">
        <f>'2026_Chase9335_Activity_2026062'!G379</f>
        <v>Transfer From Stryten</v>
      </c>
      <c r="H379" s="4">
        <f t="shared" si="5"/>
        <v>46054</v>
      </c>
      <c r="I379" t="str">
        <f>IF($G379="","Uncategorized — Review",IFERROR(_xlfn.XLOOKUP($G379,Mapping!$A:$A,Mapping!$B:$B),"Uncategorized — Review"))</f>
        <v>Transfer From Stryten</v>
      </c>
      <c r="J379" t="str">
        <f>IF($G379="","Uncategorized — Review",IFERROR(_xlfn.XLOOKUP($G379,Mapping!$A:$A,Mapping!$C:$C),"Uncategorized — Review"))</f>
        <v>Intercompany &amp; Savings Transfers</v>
      </c>
    </row>
    <row r="380" spans="1:10" x14ac:dyDescent="0.25">
      <c r="A380" t="str">
        <f>'2026_Chase9335_Activity_2026062'!A380</f>
        <v>CREDIT</v>
      </c>
      <c r="B380" s="1">
        <f>'2026_Chase9335_Activity_2026062'!B380</f>
        <v>46055</v>
      </c>
      <c r="C380" t="str">
        <f>'2026_Chase9335_Activity_2026062'!C380</f>
        <v>BOOK TRANSFER CREDIT B/O: JOSEPH WHITNER MIAMI FL 33133-3184 US TRN: 4141146033ES</v>
      </c>
      <c r="D380" s="5">
        <f>'2026_Chase9335_Activity_2026062'!D380</f>
        <v>20000</v>
      </c>
      <c r="E380" t="str">
        <f>'2026_Chase9335_Activity_2026062'!E380</f>
        <v>WIRE_INCOMING</v>
      </c>
      <c r="F380" s="5">
        <f>'2026_Chase9335_Activity_2026062'!F380</f>
        <v>116739.94</v>
      </c>
      <c r="G380" t="str">
        <f>'2026_Chase9335_Activity_2026062'!G380</f>
        <v>Incoming wire from JC Whitner</v>
      </c>
      <c r="H380" s="4">
        <f t="shared" si="5"/>
        <v>46054</v>
      </c>
      <c r="I380" t="str">
        <f>IF($G380="","Uncategorized — Review",IFERROR(_xlfn.XLOOKUP($G380,Mapping!$A:$A,Mapping!$B:$B),"Uncategorized — Review"))</f>
        <v>Incoming wire from JC Whitner</v>
      </c>
      <c r="J380" t="str">
        <f>IF($G380="","Uncategorized — Review",IFERROR(_xlfn.XLOOKUP($G380,Mapping!$A:$A,Mapping!$C:$C),"Uncategorized — Review"))</f>
        <v>Wire Transfers — Incoming</v>
      </c>
    </row>
    <row r="381" spans="1:10" x14ac:dyDescent="0.25">
      <c r="A381" t="str">
        <f>'2026_Chase9335_Activity_2026062'!A381</f>
        <v>DEBIT</v>
      </c>
      <c r="B381" s="1">
        <f>'2026_Chase9335_Activity_2026062'!B381</f>
        <v>46052</v>
      </c>
      <c r="C381" t="str">
        <f>'2026_Chase9335_Activity_2026062'!C381</f>
        <v>Prime Video *UH8DB6AD 888-802-3080 WA        01/30</v>
      </c>
      <c r="D381" s="5">
        <f>'2026_Chase9335_Activity_2026062'!D381</f>
        <v>-4.26</v>
      </c>
      <c r="E381" t="str">
        <f>'2026_Chase9335_Activity_2026062'!E381</f>
        <v>DEBIT_CARD</v>
      </c>
      <c r="F381" s="5">
        <f>'2026_Chase9335_Activity_2026062'!F381</f>
        <v>96739.94</v>
      </c>
      <c r="G381" t="str">
        <f>'2026_Chase9335_Activity_2026062'!G381</f>
        <v>Personal - Subscriptions</v>
      </c>
      <c r="H381" s="4">
        <f t="shared" si="5"/>
        <v>46023</v>
      </c>
      <c r="I381" t="str">
        <f>IF($G381="","Uncategorized — Review",IFERROR(_xlfn.XLOOKUP($G381,Mapping!$A:$A,Mapping!$B:$B),"Uncategorized — Review"))</f>
        <v>Personal - Subscriptions</v>
      </c>
      <c r="J381" t="str">
        <f>IF($G381="","Uncategorized — Review",IFERROR(_xlfn.XLOOKUP($G381,Mapping!$A:$A,Mapping!$C:$C),"Uncategorized — Review"))</f>
        <v>Personal — Owner</v>
      </c>
    </row>
    <row r="382" spans="1:10" x14ac:dyDescent="0.25">
      <c r="A382" t="str">
        <f>'2026_Chase9335_Activity_2026062'!A382</f>
        <v>DEBIT</v>
      </c>
      <c r="B382" s="1">
        <f>'2026_Chase9335_Activity_2026062'!B382</f>
        <v>46052</v>
      </c>
      <c r="C382" t="str">
        <f>'2026_Chase9335_Activity_2026062'!C382</f>
        <v>Amazon.com*SB3EX9NH3 Amzn.com/bill WA        01/30</v>
      </c>
      <c r="D382" s="5">
        <f>'2026_Chase9335_Activity_2026062'!D382</f>
        <v>-47.32</v>
      </c>
      <c r="E382" t="str">
        <f>'2026_Chase9335_Activity_2026062'!E382</f>
        <v>DEBIT_CARD</v>
      </c>
      <c r="F382" s="5">
        <f>'2026_Chase9335_Activity_2026062'!F382</f>
        <v>96744.2</v>
      </c>
      <c r="G382" t="str">
        <f>'2026_Chase9335_Activity_2026062'!G382</f>
        <v>Amazon</v>
      </c>
      <c r="H382" s="4">
        <f t="shared" si="5"/>
        <v>46023</v>
      </c>
      <c r="I382" t="str">
        <f>IF($G382="","Uncategorized — Review",IFERROR(_xlfn.XLOOKUP($G382,Mapping!$A:$A,Mapping!$B:$B),"Uncategorized — Review"))</f>
        <v>Amazon</v>
      </c>
      <c r="J382" t="str">
        <f>IF($G382="","Uncategorized — Review",IFERROR(_xlfn.XLOOKUP($G382,Mapping!$A:$A,Mapping!$C:$C),"Uncategorized — Review"))</f>
        <v>Personal — Owner</v>
      </c>
    </row>
    <row r="383" spans="1:10" x14ac:dyDescent="0.25">
      <c r="A383" t="str">
        <f>'2026_Chase9335_Activity_2026062'!A383</f>
        <v>DEBIT</v>
      </c>
      <c r="B383" s="1">
        <f>'2026_Chase9335_Activity_2026062'!B383</f>
        <v>46052</v>
      </c>
      <c r="C383" t="str">
        <f>'2026_Chase9335_Activity_2026062'!C383</f>
        <v>VIASATSWAIRLINES Carlsbad CA                 01/29</v>
      </c>
      <c r="D383" s="5">
        <f>'2026_Chase9335_Activity_2026062'!D383</f>
        <v>-8</v>
      </c>
      <c r="E383" t="str">
        <f>'2026_Chase9335_Activity_2026062'!E383</f>
        <v>DEBIT_CARD</v>
      </c>
      <c r="F383" s="5">
        <f>'2026_Chase9335_Activity_2026062'!F383</f>
        <v>96791.52</v>
      </c>
      <c r="G383" t="str">
        <f>'2026_Chase9335_Activity_2026062'!G383</f>
        <v>Personal - Travel</v>
      </c>
      <c r="H383" s="4">
        <f t="shared" si="5"/>
        <v>46023</v>
      </c>
      <c r="I383" t="str">
        <f>IF($G383="","Uncategorized — Review",IFERROR(_xlfn.XLOOKUP($G383,Mapping!$A:$A,Mapping!$B:$B),"Uncategorized — Review"))</f>
        <v>Personal - Travel</v>
      </c>
      <c r="J383" t="str">
        <f>IF($G383="","Uncategorized — Review",IFERROR(_xlfn.XLOOKUP($G383,Mapping!$A:$A,Mapping!$C:$C),"Uncategorized — Review"))</f>
        <v>Personal — Owner</v>
      </c>
    </row>
    <row r="384" spans="1:10" x14ac:dyDescent="0.25">
      <c r="A384" t="str">
        <f>'2026_Chase9335_Activity_2026062'!A384</f>
        <v>DEBIT</v>
      </c>
      <c r="B384" s="1">
        <f>'2026_Chase9335_Activity_2026062'!B384</f>
        <v>46052</v>
      </c>
      <c r="C384" t="str">
        <f>'2026_Chase9335_Activity_2026062'!C384</f>
        <v>CAFFE AL TEATRO 702-7702540 NV               01/28</v>
      </c>
      <c r="D384" s="5">
        <f>'2026_Chase9335_Activity_2026062'!D384</f>
        <v>-6.93</v>
      </c>
      <c r="E384" t="str">
        <f>'2026_Chase9335_Activity_2026062'!E384</f>
        <v>DEBIT_CARD</v>
      </c>
      <c r="F384" s="5">
        <f>'2026_Chase9335_Activity_2026062'!F384</f>
        <v>96799.52</v>
      </c>
      <c r="G384" t="str">
        <f>'2026_Chase9335_Activity_2026062'!G384</f>
        <v>Personal - Food &amp; Dining</v>
      </c>
      <c r="H384" s="4">
        <f t="shared" si="5"/>
        <v>46023</v>
      </c>
      <c r="I384" t="str">
        <f>IF($G384="","Uncategorized — Review",IFERROR(_xlfn.XLOOKUP($G384,Mapping!$A:$A,Mapping!$B:$B),"Uncategorized — Review"))</f>
        <v>Personal - Food &amp; Dining</v>
      </c>
      <c r="J384" t="str">
        <f>IF($G384="","Uncategorized — Review",IFERROR(_xlfn.XLOOKUP($G384,Mapping!$A:$A,Mapping!$C:$C),"Uncategorized — Review"))</f>
        <v>Personal — Owner</v>
      </c>
    </row>
    <row r="385" spans="1:10" x14ac:dyDescent="0.25">
      <c r="A385" t="str">
        <f>'2026_Chase9335_Activity_2026062'!A385</f>
        <v>DEBIT</v>
      </c>
      <c r="B385" s="1">
        <f>'2026_Chase9335_Activity_2026062'!B385</f>
        <v>46052</v>
      </c>
      <c r="C385" t="str">
        <f>'2026_Chase9335_Activity_2026062'!C385</f>
        <v>Amazon Retail Partne Amzn.com/bill WA        01/29</v>
      </c>
      <c r="D385" s="5">
        <f>'2026_Chase9335_Activity_2026062'!D385</f>
        <v>42.33</v>
      </c>
      <c r="E385" t="str">
        <f>'2026_Chase9335_Activity_2026062'!E385</f>
        <v>DEBIT_CARD</v>
      </c>
      <c r="F385" s="5">
        <f>'2026_Chase9335_Activity_2026062'!F385</f>
        <v>96806.45</v>
      </c>
      <c r="G385" t="str">
        <f>'2026_Chase9335_Activity_2026062'!G385</f>
        <v>Amazon</v>
      </c>
      <c r="H385" s="4">
        <f t="shared" si="5"/>
        <v>46023</v>
      </c>
      <c r="I385" t="str">
        <f>IF($G385="","Uncategorized — Review",IFERROR(_xlfn.XLOOKUP($G385,Mapping!$A:$A,Mapping!$B:$B),"Uncategorized — Review"))</f>
        <v>Amazon</v>
      </c>
      <c r="J385" t="str">
        <f>IF($G385="","Uncategorized — Review",IFERROR(_xlfn.XLOOKUP($G385,Mapping!$A:$A,Mapping!$C:$C),"Uncategorized — Review"))</f>
        <v>Personal — Owner</v>
      </c>
    </row>
    <row r="386" spans="1:10" x14ac:dyDescent="0.25">
      <c r="A386" t="str">
        <f>'2026_Chase9335_Activity_2026062'!A386</f>
        <v>DEBIT</v>
      </c>
      <c r="B386" s="1">
        <f>'2026_Chase9335_Activity_2026062'!B386</f>
        <v>46051</v>
      </c>
      <c r="C386" t="str">
        <f>'2026_Chase9335_Activity_2026062'!C386</f>
        <v>Online Transfer to CHK ...3922 transaction#: 27864886441 01/29</v>
      </c>
      <c r="D386" s="5">
        <f>'2026_Chase9335_Activity_2026062'!D386</f>
        <v>-41000</v>
      </c>
      <c r="E386" t="str">
        <f>'2026_Chase9335_Activity_2026062'!E386</f>
        <v>ACCT_XFER</v>
      </c>
      <c r="F386" s="5">
        <f>'2026_Chase9335_Activity_2026062'!F386</f>
        <v>96764.12</v>
      </c>
      <c r="G386" t="str">
        <f>'2026_Chase9335_Activity_2026062'!G386</f>
        <v>Transfer to DWG Capital Partners</v>
      </c>
      <c r="H386" s="4">
        <f t="shared" si="5"/>
        <v>46023</v>
      </c>
      <c r="I386" t="str">
        <f>IF($G386="","Uncategorized — Review",IFERROR(_xlfn.XLOOKUP($G386,Mapping!$A:$A,Mapping!$B:$B),"Uncategorized — Review"))</f>
        <v>Transfer to DWG Capital Partners</v>
      </c>
      <c r="J386" t="str">
        <f>IF($G386="","Uncategorized — Review",IFERROR(_xlfn.XLOOKUP($G386,Mapping!$A:$A,Mapping!$C:$C),"Uncategorized — Review"))</f>
        <v>Intercompany &amp; Savings Transfers</v>
      </c>
    </row>
    <row r="387" spans="1:10" x14ac:dyDescent="0.25">
      <c r="A387" t="str">
        <f>'2026_Chase9335_Activity_2026062'!A387</f>
        <v>DEBIT</v>
      </c>
      <c r="B387" s="1">
        <f>'2026_Chase9335_Activity_2026062'!B387</f>
        <v>46051</v>
      </c>
      <c r="C387" t="str">
        <f>'2026_Chase9335_Activity_2026062'!C387</f>
        <v>ZTRIP TAXI 181-65123039 MO                   01/29</v>
      </c>
      <c r="D387" s="5">
        <f>'2026_Chase9335_Activity_2026062'!D387</f>
        <v>-35.700000000000003</v>
      </c>
      <c r="E387" t="str">
        <f>'2026_Chase9335_Activity_2026062'!E387</f>
        <v>DEBIT_CARD</v>
      </c>
      <c r="F387" s="5">
        <f>'2026_Chase9335_Activity_2026062'!F387</f>
        <v>137764.12</v>
      </c>
      <c r="G387" t="str">
        <f>'2026_Chase9335_Activity_2026062'!G387</f>
        <v>Personal - Travel</v>
      </c>
      <c r="H387" s="4">
        <f t="shared" ref="H387:H450" si="6">IF($B387="","",DATE(YEAR($B387),MONTH($B387),1))</f>
        <v>46023</v>
      </c>
      <c r="I387" t="str">
        <f>IF($G387="","Uncategorized — Review",IFERROR(_xlfn.XLOOKUP($G387,Mapping!$A:$A,Mapping!$B:$B),"Uncategorized — Review"))</f>
        <v>Personal - Travel</v>
      </c>
      <c r="J387" t="str">
        <f>IF($G387="","Uncategorized — Review",IFERROR(_xlfn.XLOOKUP($G387,Mapping!$A:$A,Mapping!$C:$C),"Uncategorized — Review"))</f>
        <v>Personal — Owner</v>
      </c>
    </row>
    <row r="388" spans="1:10" x14ac:dyDescent="0.25">
      <c r="A388" t="str">
        <f>'2026_Chase9335_Activity_2026062'!A388</f>
        <v>DEBIT</v>
      </c>
      <c r="B388" s="1">
        <f>'2026_Chase9335_Activity_2026062'!B388</f>
        <v>46051</v>
      </c>
      <c r="C388" t="str">
        <f>'2026_Chase9335_Activity_2026062'!C388</f>
        <v>Amazon Retai*OE3U72A Amzn.com/bill WA        01/29</v>
      </c>
      <c r="D388" s="5">
        <f>'2026_Chase9335_Activity_2026062'!D388</f>
        <v>-42.33</v>
      </c>
      <c r="E388" t="str">
        <f>'2026_Chase9335_Activity_2026062'!E388</f>
        <v>DEBIT_CARD</v>
      </c>
      <c r="F388" s="5">
        <f>'2026_Chase9335_Activity_2026062'!F388</f>
        <v>137799.82</v>
      </c>
      <c r="G388" t="str">
        <f>'2026_Chase9335_Activity_2026062'!G388</f>
        <v>Amazon</v>
      </c>
      <c r="H388" s="4">
        <f t="shared" si="6"/>
        <v>46023</v>
      </c>
      <c r="I388" t="str">
        <f>IF($G388="","Uncategorized — Review",IFERROR(_xlfn.XLOOKUP($G388,Mapping!$A:$A,Mapping!$B:$B),"Uncategorized — Review"))</f>
        <v>Amazon</v>
      </c>
      <c r="J388" t="str">
        <f>IF($G388="","Uncategorized — Review",IFERROR(_xlfn.XLOOKUP($G388,Mapping!$A:$A,Mapping!$C:$C),"Uncategorized — Review"))</f>
        <v>Personal — Owner</v>
      </c>
    </row>
    <row r="389" spans="1:10" x14ac:dyDescent="0.25">
      <c r="A389" t="str">
        <f>'2026_Chase9335_Activity_2026062'!A389</f>
        <v>DEBIT</v>
      </c>
      <c r="B389" s="1">
        <f>'2026_Chase9335_Activity_2026062'!B389</f>
        <v>46051</v>
      </c>
      <c r="C389" t="str">
        <f>'2026_Chase9335_Activity_2026062'!C389</f>
        <v>Online Transfer to CHK ...3922 transaction#: 27863196629 01/29</v>
      </c>
      <c r="D389" s="5">
        <f>'2026_Chase9335_Activity_2026062'!D389</f>
        <v>-5000</v>
      </c>
      <c r="E389" t="str">
        <f>'2026_Chase9335_Activity_2026062'!E389</f>
        <v>ACCT_XFER</v>
      </c>
      <c r="F389" s="5">
        <f>'2026_Chase9335_Activity_2026062'!F389</f>
        <v>137842.15</v>
      </c>
      <c r="G389" t="str">
        <f>'2026_Chase9335_Activity_2026062'!G389</f>
        <v>Transfer to DWG Capital Partners</v>
      </c>
      <c r="H389" s="4">
        <f t="shared" si="6"/>
        <v>46023</v>
      </c>
      <c r="I389" t="str">
        <f>IF($G389="","Uncategorized — Review",IFERROR(_xlfn.XLOOKUP($G389,Mapping!$A:$A,Mapping!$B:$B),"Uncategorized — Review"))</f>
        <v>Transfer to DWG Capital Partners</v>
      </c>
      <c r="J389" t="str">
        <f>IF($G389="","Uncategorized — Review",IFERROR(_xlfn.XLOOKUP($G389,Mapping!$A:$A,Mapping!$C:$C),"Uncategorized — Review"))</f>
        <v>Intercompany &amp; Savings Transfers</v>
      </c>
    </row>
    <row r="390" spans="1:10" x14ac:dyDescent="0.25">
      <c r="A390" t="str">
        <f>'2026_Chase9335_Activity_2026062'!A390</f>
        <v>DEBIT</v>
      </c>
      <c r="B390" s="1">
        <f>'2026_Chase9335_Activity_2026062'!B390</f>
        <v>46051</v>
      </c>
      <c r="C390" t="str">
        <f>'2026_Chase9335_Activity_2026062'!C390</f>
        <v>APPLE COM BILL CUPERTINO CA          079658  01/29</v>
      </c>
      <c r="D390" s="5">
        <f>'2026_Chase9335_Activity_2026062'!D390</f>
        <v>-51.45</v>
      </c>
      <c r="E390" t="str">
        <f>'2026_Chase9335_Activity_2026062'!E390</f>
        <v>DEBIT_CARD</v>
      </c>
      <c r="F390" s="5">
        <f>'2026_Chase9335_Activity_2026062'!F390</f>
        <v>142842.15</v>
      </c>
      <c r="G390" t="str">
        <f>'2026_Chase9335_Activity_2026062'!G390</f>
        <v>Personal - Subscriptions</v>
      </c>
      <c r="H390" s="4">
        <f t="shared" si="6"/>
        <v>46023</v>
      </c>
      <c r="I390" t="str">
        <f>IF($G390="","Uncategorized — Review",IFERROR(_xlfn.XLOOKUP($G390,Mapping!$A:$A,Mapping!$B:$B),"Uncategorized — Review"))</f>
        <v>Personal - Subscriptions</v>
      </c>
      <c r="J390" t="str">
        <f>IF($G390="","Uncategorized — Review",IFERROR(_xlfn.XLOOKUP($G390,Mapping!$A:$A,Mapping!$C:$C),"Uncategorized — Review"))</f>
        <v>Personal — Owner</v>
      </c>
    </row>
    <row r="391" spans="1:10" x14ac:dyDescent="0.25">
      <c r="A391" t="str">
        <f>'2026_Chase9335_Activity_2026062'!A391</f>
        <v>DEBIT</v>
      </c>
      <c r="B391" s="1">
        <f>'2026_Chase9335_Activity_2026062'!B391</f>
        <v>46050</v>
      </c>
      <c r="C391" t="str">
        <f>'2026_Chase9335_Activity_2026062'!C391</f>
        <v>NON-CHASE ATM FEE-WITH</v>
      </c>
      <c r="D391" s="5">
        <f>'2026_Chase9335_Activity_2026062'!D391</f>
        <v>-3</v>
      </c>
      <c r="E391" t="str">
        <f>'2026_Chase9335_Activity_2026062'!E391</f>
        <v>FEE_TRANSACTION</v>
      </c>
      <c r="F391" s="5">
        <f>'2026_Chase9335_Activity_2026062'!F391</f>
        <v>142893.6</v>
      </c>
      <c r="G391" t="str">
        <f>'2026_Chase9335_Activity_2026062'!G391</f>
        <v>Bank Fees</v>
      </c>
      <c r="H391" s="4">
        <f t="shared" si="6"/>
        <v>46023</v>
      </c>
      <c r="I391" t="str">
        <f>IF($G391="","Uncategorized — Review",IFERROR(_xlfn.XLOOKUP($G391,Mapping!$A:$A,Mapping!$B:$B),"Uncategorized — Review"))</f>
        <v>Bank Fees</v>
      </c>
      <c r="J391" t="str">
        <f>IF($G391="","Uncategorized — Review",IFERROR(_xlfn.XLOOKUP($G391,Mapping!$A:$A,Mapping!$C:$C),"Uncategorized — Review"))</f>
        <v>DWG Operating</v>
      </c>
    </row>
    <row r="392" spans="1:10" x14ac:dyDescent="0.25">
      <c r="A392" t="str">
        <f>'2026_Chase9335_Activity_2026062'!A392</f>
        <v>DEBIT</v>
      </c>
      <c r="B392" s="1">
        <f>'2026_Chase9335_Activity_2026062'!B392</f>
        <v>46050</v>
      </c>
      <c r="C392" t="str">
        <f>'2026_Chase9335_Activity_2026062'!C392</f>
        <v>NON-CHASE ATM WITHDRAW               000559  01/273600 LAS</v>
      </c>
      <c r="D392" s="5">
        <f>'2026_Chase9335_Activity_2026062'!D392</f>
        <v>-311.99</v>
      </c>
      <c r="E392" t="str">
        <f>'2026_Chase9335_Activity_2026062'!E392</f>
        <v>ATM</v>
      </c>
      <c r="F392" s="5">
        <f>'2026_Chase9335_Activity_2026062'!F392</f>
        <v>142896.6</v>
      </c>
      <c r="G392" t="str">
        <f>'2026_Chase9335_Activity_2026062'!G392</f>
        <v>ATM/Cash</v>
      </c>
      <c r="H392" s="4">
        <f t="shared" si="6"/>
        <v>46023</v>
      </c>
      <c r="I392" t="str">
        <f>IF($G392="","Uncategorized — Review",IFERROR(_xlfn.XLOOKUP($G392,Mapping!$A:$A,Mapping!$B:$B),"Uncategorized — Review"))</f>
        <v>ATM/Cash</v>
      </c>
      <c r="J392" t="str">
        <f>IF($G392="","Uncategorized — Review",IFERROR(_xlfn.XLOOKUP($G392,Mapping!$A:$A,Mapping!$C:$C),"Uncategorized — Review"))</f>
        <v>Personal — Owner</v>
      </c>
    </row>
    <row r="393" spans="1:10" x14ac:dyDescent="0.25">
      <c r="A393" t="str">
        <f>'2026_Chase9335_Activity_2026062'!A393</f>
        <v>DEBIT</v>
      </c>
      <c r="B393" s="1">
        <f>'2026_Chase9335_Activity_2026062'!B393</f>
        <v>46050</v>
      </c>
      <c r="C393" t="str">
        <f>'2026_Chase9335_Activity_2026062'!C393</f>
        <v>Prime Video *B03SL40E 888-802-3080 WA        01/28</v>
      </c>
      <c r="D393" s="5">
        <f>'2026_Chase9335_Activity_2026062'!D393</f>
        <v>-3.19</v>
      </c>
      <c r="E393" t="str">
        <f>'2026_Chase9335_Activity_2026062'!E393</f>
        <v>DEBIT_CARD</v>
      </c>
      <c r="F393" s="5">
        <f>'2026_Chase9335_Activity_2026062'!F393</f>
        <v>143208.59</v>
      </c>
      <c r="G393" t="str">
        <f>'2026_Chase9335_Activity_2026062'!G393</f>
        <v>Personal - Subscriptions</v>
      </c>
      <c r="H393" s="4">
        <f t="shared" si="6"/>
        <v>46023</v>
      </c>
      <c r="I393" t="str">
        <f>IF($G393="","Uncategorized — Review",IFERROR(_xlfn.XLOOKUP($G393,Mapping!$A:$A,Mapping!$B:$B),"Uncategorized — Review"))</f>
        <v>Personal - Subscriptions</v>
      </c>
      <c r="J393" t="str">
        <f>IF($G393="","Uncategorized — Review",IFERROR(_xlfn.XLOOKUP($G393,Mapping!$A:$A,Mapping!$C:$C),"Uncategorized — Review"))</f>
        <v>Personal — Owner</v>
      </c>
    </row>
    <row r="394" spans="1:10" x14ac:dyDescent="0.25">
      <c r="A394" t="str">
        <f>'2026_Chase9335_Activity_2026062'!A394</f>
        <v>DEBIT</v>
      </c>
      <c r="B394" s="1">
        <f>'2026_Chase9335_Activity_2026062'!B394</f>
        <v>46049</v>
      </c>
      <c r="C394" t="str">
        <f>'2026_Chase9335_Activity_2026062'!C394</f>
        <v>ORIG CO NAME:AMERICAN EXPRESS       ORIG ID:2005032111 DESC DATE:260127 CO ENTRY DESCR:ACH PMT   SEC:CCD    TRACE#:021000025706522 EED:260127   IND ID:W7458                        IND NAME:JOHN DUNNING                                                                                                 ER AM TRN: 0275706522TC</v>
      </c>
      <c r="D394" s="5">
        <f>'2026_Chase9335_Activity_2026062'!D394</f>
        <v>-321.79000000000002</v>
      </c>
      <c r="E394" t="str">
        <f>'2026_Chase9335_Activity_2026062'!E394</f>
        <v>ACH_DEBIT</v>
      </c>
      <c r="F394" s="5">
        <f>'2026_Chase9335_Activity_2026062'!F394</f>
        <v>143211.78</v>
      </c>
      <c r="G394" t="str">
        <f>'2026_Chase9335_Activity_2026062'!G394</f>
        <v>American Express Credit Card PMT</v>
      </c>
      <c r="H394" s="4">
        <f t="shared" si="6"/>
        <v>46023</v>
      </c>
      <c r="I394" t="str">
        <f>IF($G394="","Uncategorized — Review",IFERROR(_xlfn.XLOOKUP($G394,Mapping!$A:$A,Mapping!$B:$B),"Uncategorized — Review"))</f>
        <v>American Express Credit Card PMT</v>
      </c>
      <c r="J394" t="str">
        <f>IF($G394="","Uncategorized — Review",IFERROR(_xlfn.XLOOKUP($G394,Mapping!$A:$A,Mapping!$C:$C),"Uncategorized — Review"))</f>
        <v>Credit Card &amp; Loan Payments</v>
      </c>
    </row>
    <row r="395" spans="1:10" x14ac:dyDescent="0.25">
      <c r="A395" t="str">
        <f>'2026_Chase9335_Activity_2026062'!A395</f>
        <v>DEBIT</v>
      </c>
      <c r="B395" s="1">
        <f>'2026_Chase9335_Activity_2026062'!B395</f>
        <v>46049</v>
      </c>
      <c r="C395" t="str">
        <f>'2026_Chase9335_Activity_2026062'!C395</f>
        <v>ORIG CO NAME:AMERICAN EXPRESS       ORIG ID:2005032111 DESC DATE:260127 CO ENTRY DESCR:ACH PMT   SEC:CCD    TRACE#:021000025706469 EED:260127   IND ID:W9370                        IND NAME:JOHN DUNNING                                                                                                 ER AM TRN: 0275706469TC</v>
      </c>
      <c r="D395" s="5">
        <f>'2026_Chase9335_Activity_2026062'!D395</f>
        <v>-13892.09</v>
      </c>
      <c r="E395" t="str">
        <f>'2026_Chase9335_Activity_2026062'!E395</f>
        <v>ACH_DEBIT</v>
      </c>
      <c r="F395" s="5">
        <f>'2026_Chase9335_Activity_2026062'!F395</f>
        <v>143533.57</v>
      </c>
      <c r="G395" t="str">
        <f>'2026_Chase9335_Activity_2026062'!G395</f>
        <v>American Express Credit Card PMT</v>
      </c>
      <c r="H395" s="4">
        <f t="shared" si="6"/>
        <v>46023</v>
      </c>
      <c r="I395" t="str">
        <f>IF($G395="","Uncategorized — Review",IFERROR(_xlfn.XLOOKUP($G395,Mapping!$A:$A,Mapping!$B:$B),"Uncategorized — Review"))</f>
        <v>American Express Credit Card PMT</v>
      </c>
      <c r="J395" t="str">
        <f>IF($G395="","Uncategorized — Review",IFERROR(_xlfn.XLOOKUP($G395,Mapping!$A:$A,Mapping!$C:$C),"Uncategorized — Review"))</f>
        <v>Credit Card &amp; Loan Payments</v>
      </c>
    </row>
    <row r="396" spans="1:10" x14ac:dyDescent="0.25">
      <c r="A396" t="str">
        <f>'2026_Chase9335_Activity_2026062'!A396</f>
        <v>DEBIT</v>
      </c>
      <c r="B396" s="1">
        <f>'2026_Chase9335_Activity_2026062'!B396</f>
        <v>46049</v>
      </c>
      <c r="C396" t="str">
        <f>'2026_Chase9335_Activity_2026062'!C396</f>
        <v>Online Transfer to CHK ...1168 transaction#: 27845061443 01/27</v>
      </c>
      <c r="D396" s="5">
        <f>'2026_Chase9335_Activity_2026062'!D396</f>
        <v>-30000</v>
      </c>
      <c r="E396" t="str">
        <f>'2026_Chase9335_Activity_2026062'!E396</f>
        <v>ACCT_XFER</v>
      </c>
      <c r="F396" s="5">
        <f>'2026_Chase9335_Activity_2026062'!F396</f>
        <v>157425.66</v>
      </c>
      <c r="G396" t="str">
        <f>'2026_Chase9335_Activity_2026062'!G396</f>
        <v>Transfer to DWG Capital Group</v>
      </c>
      <c r="H396" s="4">
        <f t="shared" si="6"/>
        <v>46023</v>
      </c>
      <c r="I396" t="str">
        <f>IF($G396="","Uncategorized — Review",IFERROR(_xlfn.XLOOKUP($G396,Mapping!$A:$A,Mapping!$B:$B),"Uncategorized — Review"))</f>
        <v>Transfer to DWG Capital Group</v>
      </c>
      <c r="J396" t="str">
        <f>IF($G396="","Uncategorized — Review",IFERROR(_xlfn.XLOOKUP($G396,Mapping!$A:$A,Mapping!$C:$C),"Uncategorized — Review"))</f>
        <v>Intercompany &amp; Savings Transfers</v>
      </c>
    </row>
    <row r="397" spans="1:10" x14ac:dyDescent="0.25">
      <c r="A397" t="str">
        <f>'2026_Chase9335_Activity_2026062'!A397</f>
        <v>DEBIT</v>
      </c>
      <c r="B397" s="1">
        <f>'2026_Chase9335_Activity_2026062'!B397</f>
        <v>46049</v>
      </c>
      <c r="C397" t="str">
        <f>'2026_Chase9335_Activity_2026062'!C397</f>
        <v>Prime Video *Z46XH89G 888-802-3080 WA        01/26</v>
      </c>
      <c r="D397" s="5">
        <f>'2026_Chase9335_Activity_2026062'!D397</f>
        <v>-3.19</v>
      </c>
      <c r="E397" t="str">
        <f>'2026_Chase9335_Activity_2026062'!E397</f>
        <v>DEBIT_CARD</v>
      </c>
      <c r="F397" s="5">
        <f>'2026_Chase9335_Activity_2026062'!F397</f>
        <v>187425.66</v>
      </c>
      <c r="G397" t="str">
        <f>'2026_Chase9335_Activity_2026062'!G397</f>
        <v>Personal - Subscriptions</v>
      </c>
      <c r="H397" s="4">
        <f t="shared" si="6"/>
        <v>46023</v>
      </c>
      <c r="I397" t="str">
        <f>IF($G397="","Uncategorized — Review",IFERROR(_xlfn.XLOOKUP($G397,Mapping!$A:$A,Mapping!$B:$B),"Uncategorized — Review"))</f>
        <v>Personal - Subscriptions</v>
      </c>
      <c r="J397" t="str">
        <f>IF($G397="","Uncategorized — Review",IFERROR(_xlfn.XLOOKUP($G397,Mapping!$A:$A,Mapping!$C:$C),"Uncategorized — Review"))</f>
        <v>Personal — Owner</v>
      </c>
    </row>
    <row r="398" spans="1:10" x14ac:dyDescent="0.25">
      <c r="A398" t="str">
        <f>'2026_Chase9335_Activity_2026062'!A398</f>
        <v>DEBIT</v>
      </c>
      <c r="B398" s="1">
        <f>'2026_Chase9335_Activity_2026062'!B398</f>
        <v>46049</v>
      </c>
      <c r="C398" t="str">
        <f>'2026_Chase9335_Activity_2026062'!C398</f>
        <v>APPLE CASH SENT MONE 1INFINITELOOP CA        01/26</v>
      </c>
      <c r="D398" s="5">
        <f>'2026_Chase9335_Activity_2026062'!D398</f>
        <v>-370</v>
      </c>
      <c r="E398" t="str">
        <f>'2026_Chase9335_Activity_2026062'!E398</f>
        <v>DEBIT_CARD</v>
      </c>
      <c r="F398" s="5">
        <f>'2026_Chase9335_Activity_2026062'!F398</f>
        <v>187428.85</v>
      </c>
      <c r="G398" t="str">
        <f>'2026_Chase9335_Activity_2026062'!G398</f>
        <v>Apple Cash</v>
      </c>
      <c r="H398" s="4">
        <f t="shared" si="6"/>
        <v>46023</v>
      </c>
      <c r="I398" t="str">
        <f>IF($G398="","Uncategorized — Review",IFERROR(_xlfn.XLOOKUP($G398,Mapping!$A:$A,Mapping!$B:$B),"Uncategorized — Review"))</f>
        <v>Apple Cash</v>
      </c>
      <c r="J398" t="str">
        <f>IF($G398="","Uncategorized — Review",IFERROR(_xlfn.XLOOKUP($G398,Mapping!$A:$A,Mapping!$C:$C),"Uncategorized — Review"))</f>
        <v>P2P Payments (Zelle/Venmo/PayPal)</v>
      </c>
    </row>
    <row r="399" spans="1:10" x14ac:dyDescent="0.25">
      <c r="A399" t="str">
        <f>'2026_Chase9335_Activity_2026062'!A399</f>
        <v>DEBIT</v>
      </c>
      <c r="B399" s="1">
        <f>'2026_Chase9335_Activity_2026062'!B399</f>
        <v>46048</v>
      </c>
      <c r="C399" t="str">
        <f>'2026_Chase9335_Activity_2026062'!C399</f>
        <v>NON-CHASE ATM FEE-WITH</v>
      </c>
      <c r="D399" s="5">
        <f>'2026_Chase9335_Activity_2026062'!D399</f>
        <v>-3</v>
      </c>
      <c r="E399" t="str">
        <f>'2026_Chase9335_Activity_2026062'!E399</f>
        <v>FEE_TRANSACTION</v>
      </c>
      <c r="F399" s="5">
        <f>'2026_Chase9335_Activity_2026062'!F399</f>
        <v>187798.85</v>
      </c>
      <c r="G399" t="str">
        <f>'2026_Chase9335_Activity_2026062'!G399</f>
        <v>Bank Fees</v>
      </c>
      <c r="H399" s="4">
        <f t="shared" si="6"/>
        <v>46023</v>
      </c>
      <c r="I399" t="str">
        <f>IF($G399="","Uncategorized — Review",IFERROR(_xlfn.XLOOKUP($G399,Mapping!$A:$A,Mapping!$B:$B),"Uncategorized — Review"))</f>
        <v>Bank Fees</v>
      </c>
      <c r="J399" t="str">
        <f>IF($G399="","Uncategorized — Review",IFERROR(_xlfn.XLOOKUP($G399,Mapping!$A:$A,Mapping!$C:$C),"Uncategorized — Review"))</f>
        <v>DWG Operating</v>
      </c>
    </row>
    <row r="400" spans="1:10" x14ac:dyDescent="0.25">
      <c r="A400" t="str">
        <f>'2026_Chase9335_Activity_2026062'!A400</f>
        <v>DEBIT</v>
      </c>
      <c r="B400" s="1">
        <f>'2026_Chase9335_Activity_2026062'!B400</f>
        <v>46048</v>
      </c>
      <c r="C400" t="str">
        <f>'2026_Chase9335_Activity_2026062'!C400</f>
        <v>NON-CHASE ATM WITHDRAW               004799  01/263131 LAS</v>
      </c>
      <c r="D400" s="5">
        <f>'2026_Chase9335_Activity_2026062'!D400</f>
        <v>-411.99</v>
      </c>
      <c r="E400" t="str">
        <f>'2026_Chase9335_Activity_2026062'!E400</f>
        <v>ATM</v>
      </c>
      <c r="F400" s="5">
        <f>'2026_Chase9335_Activity_2026062'!F400</f>
        <v>187801.85</v>
      </c>
      <c r="G400" t="str">
        <f>'2026_Chase9335_Activity_2026062'!G400</f>
        <v>ATM/Cash</v>
      </c>
      <c r="H400" s="4">
        <f t="shared" si="6"/>
        <v>46023</v>
      </c>
      <c r="I400" t="str">
        <f>IF($G400="","Uncategorized — Review",IFERROR(_xlfn.XLOOKUP($G400,Mapping!$A:$A,Mapping!$B:$B),"Uncategorized — Review"))</f>
        <v>ATM/Cash</v>
      </c>
      <c r="J400" t="str">
        <f>IF($G400="","Uncategorized — Review",IFERROR(_xlfn.XLOOKUP($G400,Mapping!$A:$A,Mapping!$C:$C),"Uncategorized — Review"))</f>
        <v>Personal — Owner</v>
      </c>
    </row>
    <row r="401" spans="1:10" x14ac:dyDescent="0.25">
      <c r="A401" t="str">
        <f>'2026_Chase9335_Activity_2026062'!A401</f>
        <v>DEBIT</v>
      </c>
      <c r="B401" s="1">
        <f>'2026_Chase9335_Activity_2026062'!B401</f>
        <v>46048</v>
      </c>
      <c r="C401" t="str">
        <f>'2026_Chase9335_Activity_2026062'!C401</f>
        <v>ORIG CO NAME:AMERICAN EXPRESS       ORIG ID:2005032111 DESC DATE:260126 CO ENTRY DESCR:ACH PMT   SEC:CCD    TRACE#:021000022147626 EED:260126   IND ID:W4212                        IND NAME:JOHN DUNNING                                                                                                 ER AM TRN: 0262147626TC</v>
      </c>
      <c r="D401" s="5">
        <f>'2026_Chase9335_Activity_2026062'!D401</f>
        <v>-92.37</v>
      </c>
      <c r="E401" t="str">
        <f>'2026_Chase9335_Activity_2026062'!E401</f>
        <v>ACH_DEBIT</v>
      </c>
      <c r="F401" s="5">
        <f>'2026_Chase9335_Activity_2026062'!F401</f>
        <v>188213.84</v>
      </c>
      <c r="G401" t="str">
        <f>'2026_Chase9335_Activity_2026062'!G401</f>
        <v>American Express Credit Card PMT</v>
      </c>
      <c r="H401" s="4">
        <f t="shared" si="6"/>
        <v>46023</v>
      </c>
      <c r="I401" t="str">
        <f>IF($G401="","Uncategorized — Review",IFERROR(_xlfn.XLOOKUP($G401,Mapping!$A:$A,Mapping!$B:$B),"Uncategorized — Review"))</f>
        <v>American Express Credit Card PMT</v>
      </c>
      <c r="J401" t="str">
        <f>IF($G401="","Uncategorized — Review",IFERROR(_xlfn.XLOOKUP($G401,Mapping!$A:$A,Mapping!$C:$C),"Uncategorized — Review"))</f>
        <v>Credit Card &amp; Loan Payments</v>
      </c>
    </row>
    <row r="402" spans="1:10" x14ac:dyDescent="0.25">
      <c r="A402" t="str">
        <f>'2026_Chase9335_Activity_2026062'!A402</f>
        <v>DEBIT</v>
      </c>
      <c r="B402" s="1">
        <f>'2026_Chase9335_Activity_2026062'!B402</f>
        <v>46048</v>
      </c>
      <c r="C402" t="str">
        <f>'2026_Chase9335_Activity_2026062'!C402</f>
        <v>Amazon.com*D70JT20J3 Amzn.com/bill WA        01/26</v>
      </c>
      <c r="D402" s="5">
        <f>'2026_Chase9335_Activity_2026062'!D402</f>
        <v>-35.950000000000003</v>
      </c>
      <c r="E402" t="str">
        <f>'2026_Chase9335_Activity_2026062'!E402</f>
        <v>DEBIT_CARD</v>
      </c>
      <c r="F402" s="5">
        <f>'2026_Chase9335_Activity_2026062'!F402</f>
        <v>188306.21</v>
      </c>
      <c r="G402" t="str">
        <f>'2026_Chase9335_Activity_2026062'!G402</f>
        <v>Amazon</v>
      </c>
      <c r="H402" s="4">
        <f t="shared" si="6"/>
        <v>46023</v>
      </c>
      <c r="I402" t="str">
        <f>IF($G402="","Uncategorized — Review",IFERROR(_xlfn.XLOOKUP($G402,Mapping!$A:$A,Mapping!$B:$B),"Uncategorized — Review"))</f>
        <v>Amazon</v>
      </c>
      <c r="J402" t="str">
        <f>IF($G402="","Uncategorized — Review",IFERROR(_xlfn.XLOOKUP($G402,Mapping!$A:$A,Mapping!$C:$C),"Uncategorized — Review"))</f>
        <v>Personal — Owner</v>
      </c>
    </row>
    <row r="403" spans="1:10" x14ac:dyDescent="0.25">
      <c r="A403" t="str">
        <f>'2026_Chase9335_Activity_2026062'!A403</f>
        <v>DEBIT</v>
      </c>
      <c r="B403" s="1">
        <f>'2026_Chase9335_Activity_2026062'!B403</f>
        <v>46048</v>
      </c>
      <c r="C403" t="str">
        <f>'2026_Chase9335_Activity_2026062'!C403</f>
        <v>Prime Video *X47432OV 888-802-3080 WA        01/25</v>
      </c>
      <c r="D403" s="5">
        <f>'2026_Chase9335_Activity_2026062'!D403</f>
        <v>-5.33</v>
      </c>
      <c r="E403" t="str">
        <f>'2026_Chase9335_Activity_2026062'!E403</f>
        <v>DEBIT_CARD</v>
      </c>
      <c r="F403" s="5">
        <f>'2026_Chase9335_Activity_2026062'!F403</f>
        <v>188342.16</v>
      </c>
      <c r="G403" t="str">
        <f>'2026_Chase9335_Activity_2026062'!G403</f>
        <v>Personal - Subscriptions</v>
      </c>
      <c r="H403" s="4">
        <f t="shared" si="6"/>
        <v>46023</v>
      </c>
      <c r="I403" t="str">
        <f>IF($G403="","Uncategorized — Review",IFERROR(_xlfn.XLOOKUP($G403,Mapping!$A:$A,Mapping!$B:$B),"Uncategorized — Review"))</f>
        <v>Personal - Subscriptions</v>
      </c>
      <c r="J403" t="str">
        <f>IF($G403="","Uncategorized — Review",IFERROR(_xlfn.XLOOKUP($G403,Mapping!$A:$A,Mapping!$C:$C),"Uncategorized — Review"))</f>
        <v>Personal — Owner</v>
      </c>
    </row>
    <row r="404" spans="1:10" x14ac:dyDescent="0.25">
      <c r="A404" t="str">
        <f>'2026_Chase9335_Activity_2026062'!A404</f>
        <v>DEBIT</v>
      </c>
      <c r="B404" s="1">
        <f>'2026_Chase9335_Activity_2026062'!B404</f>
        <v>46048</v>
      </c>
      <c r="C404" t="str">
        <f>'2026_Chase9335_Activity_2026062'!C404</f>
        <v>APPLE.COM/BILL 866-712-7753 CA               01/25</v>
      </c>
      <c r="D404" s="5">
        <f>'2026_Chase9335_Activity_2026062'!D404</f>
        <v>-30.89</v>
      </c>
      <c r="E404" t="str">
        <f>'2026_Chase9335_Activity_2026062'!E404</f>
        <v>DEBIT_CARD</v>
      </c>
      <c r="F404" s="5">
        <f>'2026_Chase9335_Activity_2026062'!F404</f>
        <v>188347.49</v>
      </c>
      <c r="G404" t="str">
        <f>'2026_Chase9335_Activity_2026062'!G404</f>
        <v>Personal - Subscriptions</v>
      </c>
      <c r="H404" s="4">
        <f t="shared" si="6"/>
        <v>46023</v>
      </c>
      <c r="I404" t="str">
        <f>IF($G404="","Uncategorized — Review",IFERROR(_xlfn.XLOOKUP($G404,Mapping!$A:$A,Mapping!$B:$B),"Uncategorized — Review"))</f>
        <v>Personal - Subscriptions</v>
      </c>
      <c r="J404" t="str">
        <f>IF($G404="","Uncategorized — Review",IFERROR(_xlfn.XLOOKUP($G404,Mapping!$A:$A,Mapping!$C:$C),"Uncategorized — Review"))</f>
        <v>Personal — Owner</v>
      </c>
    </row>
    <row r="405" spans="1:10" x14ac:dyDescent="0.25">
      <c r="A405" t="str">
        <f>'2026_Chase9335_Activity_2026062'!A405</f>
        <v>DEBIT</v>
      </c>
      <c r="B405" s="1">
        <f>'2026_Chase9335_Activity_2026062'!B405</f>
        <v>46048</v>
      </c>
      <c r="C405" t="str">
        <f>'2026_Chase9335_Activity_2026062'!C405</f>
        <v>Amazon Tips*DG19F29B Amzn.com/bill WA        01/24</v>
      </c>
      <c r="D405" s="5">
        <f>'2026_Chase9335_Activity_2026062'!D405</f>
        <v>-5</v>
      </c>
      <c r="E405" t="str">
        <f>'2026_Chase9335_Activity_2026062'!E405</f>
        <v>DEBIT_CARD</v>
      </c>
      <c r="F405" s="5">
        <f>'2026_Chase9335_Activity_2026062'!F405</f>
        <v>188378.38</v>
      </c>
      <c r="G405" t="str">
        <f>'2026_Chase9335_Activity_2026062'!G405</f>
        <v>Amazon</v>
      </c>
      <c r="H405" s="4">
        <f t="shared" si="6"/>
        <v>46023</v>
      </c>
      <c r="I405" t="str">
        <f>IF($G405="","Uncategorized — Review",IFERROR(_xlfn.XLOOKUP($G405,Mapping!$A:$A,Mapping!$B:$B),"Uncategorized — Review"))</f>
        <v>Amazon</v>
      </c>
      <c r="J405" t="str">
        <f>IF($G405="","Uncategorized — Review",IFERROR(_xlfn.XLOOKUP($G405,Mapping!$A:$A,Mapping!$C:$C),"Uncategorized — Review"))</f>
        <v>Personal — Owner</v>
      </c>
    </row>
    <row r="406" spans="1:10" x14ac:dyDescent="0.25">
      <c r="A406" t="str">
        <f>'2026_Chase9335_Activity_2026062'!A406</f>
        <v>DEBIT</v>
      </c>
      <c r="B406" s="1">
        <f>'2026_Chase9335_Activity_2026062'!B406</f>
        <v>46048</v>
      </c>
      <c r="C406" t="str">
        <f>'2026_Chase9335_Activity_2026062'!C406</f>
        <v>Amazon Retai*217FU6V Amzn.com/bill WA        01/23</v>
      </c>
      <c r="D406" s="5">
        <f>'2026_Chase9335_Activity_2026062'!D406</f>
        <v>-43.02</v>
      </c>
      <c r="E406" t="str">
        <f>'2026_Chase9335_Activity_2026062'!E406</f>
        <v>DEBIT_CARD</v>
      </c>
      <c r="F406" s="5">
        <f>'2026_Chase9335_Activity_2026062'!F406</f>
        <v>188383.38</v>
      </c>
      <c r="G406" t="str">
        <f>'2026_Chase9335_Activity_2026062'!G406</f>
        <v>Amazon</v>
      </c>
      <c r="H406" s="4">
        <f t="shared" si="6"/>
        <v>46023</v>
      </c>
      <c r="I406" t="str">
        <f>IF($G406="","Uncategorized — Review",IFERROR(_xlfn.XLOOKUP($G406,Mapping!$A:$A,Mapping!$B:$B),"Uncategorized — Review"))</f>
        <v>Amazon</v>
      </c>
      <c r="J406" t="str">
        <f>IF($G406="","Uncategorized — Review",IFERROR(_xlfn.XLOOKUP($G406,Mapping!$A:$A,Mapping!$C:$C),"Uncategorized — Review"))</f>
        <v>Personal — Owner</v>
      </c>
    </row>
    <row r="407" spans="1:10" x14ac:dyDescent="0.25">
      <c r="A407" t="str">
        <f>'2026_Chase9335_Activity_2026062'!A407</f>
        <v>DEBIT</v>
      </c>
      <c r="B407" s="1">
        <f>'2026_Chase9335_Activity_2026062'!B407</f>
        <v>46045</v>
      </c>
      <c r="C407" t="str">
        <f>'2026_Chase9335_Activity_2026062'!C407</f>
        <v>Amazon.com*2Y7QQ0WL3 Amzn.com/bill WA        01/23</v>
      </c>
      <c r="D407" s="5">
        <f>'2026_Chase9335_Activity_2026062'!D407</f>
        <v>-31.88</v>
      </c>
      <c r="E407" t="str">
        <f>'2026_Chase9335_Activity_2026062'!E407</f>
        <v>DEBIT_CARD</v>
      </c>
      <c r="F407" s="5">
        <f>'2026_Chase9335_Activity_2026062'!F407</f>
        <v>188426.4</v>
      </c>
      <c r="G407" t="str">
        <f>'2026_Chase9335_Activity_2026062'!G407</f>
        <v>Amazon</v>
      </c>
      <c r="H407" s="4">
        <f t="shared" si="6"/>
        <v>46023</v>
      </c>
      <c r="I407" t="str">
        <f>IF($G407="","Uncategorized — Review",IFERROR(_xlfn.XLOOKUP($G407,Mapping!$A:$A,Mapping!$B:$B),"Uncategorized — Review"))</f>
        <v>Amazon</v>
      </c>
      <c r="J407" t="str">
        <f>IF($G407="","Uncategorized — Review",IFERROR(_xlfn.XLOOKUP($G407,Mapping!$A:$A,Mapping!$C:$C),"Uncategorized — Review"))</f>
        <v>Personal — Owner</v>
      </c>
    </row>
    <row r="408" spans="1:10" x14ac:dyDescent="0.25">
      <c r="A408" t="str">
        <f>'2026_Chase9335_Activity_2026062'!A408</f>
        <v>DEBIT</v>
      </c>
      <c r="B408" s="1">
        <f>'2026_Chase9335_Activity_2026062'!B408</f>
        <v>46044</v>
      </c>
      <c r="C408" t="str">
        <f>'2026_Chase9335_Activity_2026062'!C408</f>
        <v>Zelle payment to Chase Hall 27789049787</v>
      </c>
      <c r="D408" s="5">
        <f>'2026_Chase9335_Activity_2026062'!D408</f>
        <v>-325</v>
      </c>
      <c r="E408" t="str">
        <f>'2026_Chase9335_Activity_2026062'!E408</f>
        <v>QUICKPAY_DEBIT</v>
      </c>
      <c r="F408" s="5">
        <f>'2026_Chase9335_Activity_2026062'!F408</f>
        <v>188458.28</v>
      </c>
      <c r="G408" t="str">
        <f>'2026_Chase9335_Activity_2026062'!G408</f>
        <v>Zelle - Chase Hall</v>
      </c>
      <c r="H408" s="4">
        <f t="shared" si="6"/>
        <v>46023</v>
      </c>
      <c r="I408" t="str">
        <f>IF($G408="","Uncategorized — Review",IFERROR(_xlfn.XLOOKUP($G408,Mapping!$A:$A,Mapping!$B:$B),"Uncategorized — Review"))</f>
        <v>Zelle - Chase Hall</v>
      </c>
      <c r="J408" t="str">
        <f>IF($G408="","Uncategorized — Review",IFERROR(_xlfn.XLOOKUP($G408,Mapping!$A:$A,Mapping!$C:$C),"Uncategorized — Review"))</f>
        <v>P2P Payments (Zelle/Venmo/PayPal)</v>
      </c>
    </row>
    <row r="409" spans="1:10" x14ac:dyDescent="0.25">
      <c r="A409" t="str">
        <f>'2026_Chase9335_Activity_2026062'!A409</f>
        <v>DEBIT</v>
      </c>
      <c r="B409" s="1">
        <f>'2026_Chase9335_Activity_2026062'!B409</f>
        <v>46044</v>
      </c>
      <c r="C409" t="str">
        <f>'2026_Chase9335_Activity_2026062'!C409</f>
        <v>Amazon.com*IV2SJ0EW3 Amzn.com/bill WA        01/22</v>
      </c>
      <c r="D409" s="5">
        <f>'2026_Chase9335_Activity_2026062'!D409</f>
        <v>-224.93</v>
      </c>
      <c r="E409" t="str">
        <f>'2026_Chase9335_Activity_2026062'!E409</f>
        <v>DEBIT_CARD</v>
      </c>
      <c r="F409" s="5">
        <f>'2026_Chase9335_Activity_2026062'!F409</f>
        <v>188783.28</v>
      </c>
      <c r="G409" t="str">
        <f>'2026_Chase9335_Activity_2026062'!G409</f>
        <v>Amazon</v>
      </c>
      <c r="H409" s="4">
        <f t="shared" si="6"/>
        <v>46023</v>
      </c>
      <c r="I409" t="str">
        <f>IF($G409="","Uncategorized — Review",IFERROR(_xlfn.XLOOKUP($G409,Mapping!$A:$A,Mapping!$B:$B),"Uncategorized — Review"))</f>
        <v>Amazon</v>
      </c>
      <c r="J409" t="str">
        <f>IF($G409="","Uncategorized — Review",IFERROR(_xlfn.XLOOKUP($G409,Mapping!$A:$A,Mapping!$C:$C),"Uncategorized — Review"))</f>
        <v>Personal — Owner</v>
      </c>
    </row>
    <row r="410" spans="1:10" x14ac:dyDescent="0.25">
      <c r="A410" t="str">
        <f>'2026_Chase9335_Activity_2026062'!A410</f>
        <v>DEBIT</v>
      </c>
      <c r="B410" s="1">
        <f>'2026_Chase9335_Activity_2026062'!B410</f>
        <v>46044</v>
      </c>
      <c r="C410" t="str">
        <f>'2026_Chase9335_Activity_2026062'!C410</f>
        <v>Netflix.com netflix.com CA                   01/21</v>
      </c>
      <c r="D410" s="5">
        <f>'2026_Chase9335_Activity_2026062'!D410</f>
        <v>-24.99</v>
      </c>
      <c r="E410" t="str">
        <f>'2026_Chase9335_Activity_2026062'!E410</f>
        <v>DEBIT_CARD</v>
      </c>
      <c r="F410" s="5">
        <f>'2026_Chase9335_Activity_2026062'!F410</f>
        <v>189008.21</v>
      </c>
      <c r="G410" t="str">
        <f>'2026_Chase9335_Activity_2026062'!G410</f>
        <v>Personal - Subscriptions</v>
      </c>
      <c r="H410" s="4">
        <f t="shared" si="6"/>
        <v>46023</v>
      </c>
      <c r="I410" t="str">
        <f>IF($G410="","Uncategorized — Review",IFERROR(_xlfn.XLOOKUP($G410,Mapping!$A:$A,Mapping!$B:$B),"Uncategorized — Review"))</f>
        <v>Personal - Subscriptions</v>
      </c>
      <c r="J410" t="str">
        <f>IF($G410="","Uncategorized — Review",IFERROR(_xlfn.XLOOKUP($G410,Mapping!$A:$A,Mapping!$C:$C),"Uncategorized — Review"))</f>
        <v>Personal — Owner</v>
      </c>
    </row>
    <row r="411" spans="1:10" x14ac:dyDescent="0.25">
      <c r="A411" t="str">
        <f>'2026_Chase9335_Activity_2026062'!A411</f>
        <v>DEBIT</v>
      </c>
      <c r="B411" s="1">
        <f>'2026_Chase9335_Activity_2026062'!B411</f>
        <v>46043</v>
      </c>
      <c r="C411" t="str">
        <f>'2026_Chase9335_Activity_2026062'!C411</f>
        <v>Zelle payment to Michael Paytonjian JPM99c2swdss</v>
      </c>
      <c r="D411" s="5">
        <f>'2026_Chase9335_Activity_2026062'!D411</f>
        <v>-20</v>
      </c>
      <c r="E411" t="str">
        <f>'2026_Chase9335_Activity_2026062'!E411</f>
        <v>CHASE_TO_PARTNERFI</v>
      </c>
      <c r="F411" s="5">
        <f>'2026_Chase9335_Activity_2026062'!F411</f>
        <v>189033.2</v>
      </c>
      <c r="G411" t="str">
        <f>'2026_Chase9335_Activity_2026062'!G411</f>
        <v>Office/Miscellaneous Reimbursement - Mike P.</v>
      </c>
      <c r="H411" s="4">
        <f t="shared" si="6"/>
        <v>46023</v>
      </c>
      <c r="I411" t="str">
        <f>IF($G411="","Uncategorized — Review",IFERROR(_xlfn.XLOOKUP($G411,Mapping!$A:$A,Mapping!$B:$B),"Uncategorized — Review"))</f>
        <v>Office/Miscellaneous Reimbursement - Mike P.</v>
      </c>
      <c r="J411" t="str">
        <f>IF($G411="","Uncategorized — Review",IFERROR(_xlfn.XLOOKUP($G411,Mapping!$A:$A,Mapping!$C:$C),"Uncategorized — Review"))</f>
        <v>Payroll &amp; Contractors</v>
      </c>
    </row>
    <row r="412" spans="1:10" x14ac:dyDescent="0.25">
      <c r="A412" t="str">
        <f>'2026_Chase9335_Activity_2026062'!A412</f>
        <v>DEBIT</v>
      </c>
      <c r="B412" s="1">
        <f>'2026_Chase9335_Activity_2026062'!B412</f>
        <v>46043</v>
      </c>
      <c r="C412" t="str">
        <f>'2026_Chase9335_Activity_2026062'!C412</f>
        <v>Online ACH Payment 11204142159 To CalCPAGroup (_#####3767)</v>
      </c>
      <c r="D412" s="5">
        <f>'2026_Chase9335_Activity_2026062'!D412</f>
        <v>-501.25</v>
      </c>
      <c r="E412" t="str">
        <f>'2026_Chase9335_Activity_2026062'!E412</f>
        <v>ACH_PAYMENT</v>
      </c>
      <c r="F412" s="5">
        <f>'2026_Chase9335_Activity_2026062'!F412</f>
        <v>189053.2</v>
      </c>
      <c r="G412" t="str">
        <f>'2026_Chase9335_Activity_2026062'!G412</f>
        <v>ACH payment to CALCPA group</v>
      </c>
      <c r="H412" s="4">
        <f t="shared" si="6"/>
        <v>46023</v>
      </c>
      <c r="I412" t="str">
        <f>IF($G412="","Uncategorized — Review",IFERROR(_xlfn.XLOOKUP($G412,Mapping!$A:$A,Mapping!$B:$B),"Uncategorized — Review"))</f>
        <v>ACH payment to CALCPA group</v>
      </c>
      <c r="J412" t="str">
        <f>IF($G412="","Uncategorized — Review",IFERROR(_xlfn.XLOOKUP($G412,Mapping!$A:$A,Mapping!$C:$C),"Uncategorized — Review"))</f>
        <v>DWG Operating</v>
      </c>
    </row>
    <row r="413" spans="1:10" x14ac:dyDescent="0.25">
      <c r="A413" t="str">
        <f>'2026_Chase9335_Activity_2026062'!A413</f>
        <v>DEBIT</v>
      </c>
      <c r="B413" s="1">
        <f>'2026_Chase9335_Activity_2026062'!B413</f>
        <v>46043</v>
      </c>
      <c r="C413" t="str">
        <f>'2026_Chase9335_Activity_2026062'!C413</f>
        <v>Online Transfer to CHK ...1168 transaction#: 27771975106 01/21</v>
      </c>
      <c r="D413" s="5">
        <f>'2026_Chase9335_Activity_2026062'!D413</f>
        <v>-20000</v>
      </c>
      <c r="E413" t="str">
        <f>'2026_Chase9335_Activity_2026062'!E413</f>
        <v>ACCT_XFER</v>
      </c>
      <c r="F413" s="5">
        <f>'2026_Chase9335_Activity_2026062'!F413</f>
        <v>189554.45</v>
      </c>
      <c r="G413" t="str">
        <f>'2026_Chase9335_Activity_2026062'!G413</f>
        <v>Transfer to DWG Capital Group</v>
      </c>
      <c r="H413" s="4">
        <f t="shared" si="6"/>
        <v>46023</v>
      </c>
      <c r="I413" t="str">
        <f>IF($G413="","Uncategorized — Review",IFERROR(_xlfn.XLOOKUP($G413,Mapping!$A:$A,Mapping!$B:$B),"Uncategorized — Review"))</f>
        <v>Transfer to DWG Capital Group</v>
      </c>
      <c r="J413" t="str">
        <f>IF($G413="","Uncategorized — Review",IFERROR(_xlfn.XLOOKUP($G413,Mapping!$A:$A,Mapping!$C:$C),"Uncategorized — Review"))</f>
        <v>Intercompany &amp; Savings Transfers</v>
      </c>
    </row>
    <row r="414" spans="1:10" x14ac:dyDescent="0.25">
      <c r="A414" t="str">
        <f>'2026_Chase9335_Activity_2026062'!A414</f>
        <v>DEBIT</v>
      </c>
      <c r="B414" s="1">
        <f>'2026_Chase9335_Activity_2026062'!B414</f>
        <v>46043</v>
      </c>
      <c r="C414" t="str">
        <f>'2026_Chase9335_Activity_2026062'!C414</f>
        <v>Amazon Tips*JB8WA5G6 Amzn.com/bill WA        01/20</v>
      </c>
      <c r="D414" s="5">
        <f>'2026_Chase9335_Activity_2026062'!D414</f>
        <v>-5</v>
      </c>
      <c r="E414" t="str">
        <f>'2026_Chase9335_Activity_2026062'!E414</f>
        <v>DEBIT_CARD</v>
      </c>
      <c r="F414" s="5">
        <f>'2026_Chase9335_Activity_2026062'!F414</f>
        <v>209554.45</v>
      </c>
      <c r="G414" t="str">
        <f>'2026_Chase9335_Activity_2026062'!G414</f>
        <v>Amazon</v>
      </c>
      <c r="H414" s="4">
        <f t="shared" si="6"/>
        <v>46023</v>
      </c>
      <c r="I414" t="str">
        <f>IF($G414="","Uncategorized — Review",IFERROR(_xlfn.XLOOKUP($G414,Mapping!$A:$A,Mapping!$B:$B),"Uncategorized — Review"))</f>
        <v>Amazon</v>
      </c>
      <c r="J414" t="str">
        <f>IF($G414="","Uncategorized — Review",IFERROR(_xlfn.XLOOKUP($G414,Mapping!$A:$A,Mapping!$C:$C),"Uncategorized — Review"))</f>
        <v>Personal — Owner</v>
      </c>
    </row>
    <row r="415" spans="1:10" x14ac:dyDescent="0.25">
      <c r="A415" t="str">
        <f>'2026_Chase9335_Activity_2026062'!A415</f>
        <v>DEBIT</v>
      </c>
      <c r="B415" s="1">
        <f>'2026_Chase9335_Activity_2026062'!B415</f>
        <v>46042</v>
      </c>
      <c r="C415" t="str">
        <f>'2026_Chase9335_Activity_2026062'!C415</f>
        <v>Online Transfer to CHK ...1927 transaction#: 27770842807 01/20</v>
      </c>
      <c r="D415" s="5">
        <f>'2026_Chase9335_Activity_2026062'!D415</f>
        <v>-100</v>
      </c>
      <c r="E415" t="str">
        <f>'2026_Chase9335_Activity_2026062'!E415</f>
        <v>ACCT_XFER</v>
      </c>
      <c r="F415" s="5">
        <f>'2026_Chase9335_Activity_2026062'!F415</f>
        <v>209559.45</v>
      </c>
      <c r="G415" t="str">
        <f>'2026_Chase9335_Activity_2026062'!G415</f>
        <v>Transfer to Judd Sol Prop</v>
      </c>
      <c r="H415" s="4">
        <f t="shared" si="6"/>
        <v>46023</v>
      </c>
      <c r="I415" t="str">
        <f>IF($G415="","Uncategorized — Review",IFERROR(_xlfn.XLOOKUP($G415,Mapping!$A:$A,Mapping!$B:$B),"Uncategorized — Review"))</f>
        <v>Transfer to Judd Sol Prop</v>
      </c>
      <c r="J415" t="str">
        <f>IF($G415="","Uncategorized — Review",IFERROR(_xlfn.XLOOKUP($G415,Mapping!$A:$A,Mapping!$C:$C),"Uncategorized — Review"))</f>
        <v>Intercompany &amp; Savings Transfers</v>
      </c>
    </row>
    <row r="416" spans="1:10" x14ac:dyDescent="0.25">
      <c r="A416" t="str">
        <f>'2026_Chase9335_Activity_2026062'!A416</f>
        <v>DEBIT</v>
      </c>
      <c r="B416" s="1">
        <f>'2026_Chase9335_Activity_2026062'!B416</f>
        <v>46042</v>
      </c>
      <c r="C416" t="str">
        <f>'2026_Chase9335_Activity_2026062'!C416</f>
        <v>Zelle payment to Michael Paytonjian JPM99c2mzr6i</v>
      </c>
      <c r="D416" s="5">
        <f>'2026_Chase9335_Activity_2026062'!D416</f>
        <v>-100</v>
      </c>
      <c r="E416" t="str">
        <f>'2026_Chase9335_Activity_2026062'!E416</f>
        <v>CHASE_TO_PARTNERFI</v>
      </c>
      <c r="F416" s="5">
        <f>'2026_Chase9335_Activity_2026062'!F416</f>
        <v>209659.45</v>
      </c>
      <c r="G416" t="str">
        <f>'2026_Chase9335_Activity_2026062'!G416</f>
        <v>Office/Miscellaneous Reimbursement - Mike P.</v>
      </c>
      <c r="H416" s="4">
        <f t="shared" si="6"/>
        <v>46023</v>
      </c>
      <c r="I416" t="str">
        <f>IF($G416="","Uncategorized — Review",IFERROR(_xlfn.XLOOKUP($G416,Mapping!$A:$A,Mapping!$B:$B),"Uncategorized — Review"))</f>
        <v>Office/Miscellaneous Reimbursement - Mike P.</v>
      </c>
      <c r="J416" t="str">
        <f>IF($G416="","Uncategorized — Review",IFERROR(_xlfn.XLOOKUP($G416,Mapping!$A:$A,Mapping!$C:$C),"Uncategorized — Review"))</f>
        <v>Payroll &amp; Contractors</v>
      </c>
    </row>
    <row r="417" spans="1:10" x14ac:dyDescent="0.25">
      <c r="A417" t="str">
        <f>'2026_Chase9335_Activity_2026062'!A417</f>
        <v>DEBIT</v>
      </c>
      <c r="B417" s="1">
        <f>'2026_Chase9335_Activity_2026062'!B417</f>
        <v>46042</v>
      </c>
      <c r="C417" t="str">
        <f>'2026_Chase9335_Activity_2026062'!C417</f>
        <v>Amazon Retai*CC8Q85P Amzn.com/bill WA        01/19</v>
      </c>
      <c r="D417" s="5">
        <f>'2026_Chase9335_Activity_2026062'!D417</f>
        <v>-43.02</v>
      </c>
      <c r="E417" t="str">
        <f>'2026_Chase9335_Activity_2026062'!E417</f>
        <v>DEBIT_CARD</v>
      </c>
      <c r="F417" s="5">
        <f>'2026_Chase9335_Activity_2026062'!F417</f>
        <v>209759.45</v>
      </c>
      <c r="G417" t="str">
        <f>'2026_Chase9335_Activity_2026062'!G417</f>
        <v>Amazon</v>
      </c>
      <c r="H417" s="4">
        <f t="shared" si="6"/>
        <v>46023</v>
      </c>
      <c r="I417" t="str">
        <f>IF($G417="","Uncategorized — Review",IFERROR(_xlfn.XLOOKUP($G417,Mapping!$A:$A,Mapping!$B:$B),"Uncategorized — Review"))</f>
        <v>Amazon</v>
      </c>
      <c r="J417" t="str">
        <f>IF($G417="","Uncategorized — Review",IFERROR(_xlfn.XLOOKUP($G417,Mapping!$A:$A,Mapping!$C:$C),"Uncategorized — Review"))</f>
        <v>Personal — Owner</v>
      </c>
    </row>
    <row r="418" spans="1:10" x14ac:dyDescent="0.25">
      <c r="A418" t="str">
        <f>'2026_Chase9335_Activity_2026062'!A418</f>
        <v>DEBIT</v>
      </c>
      <c r="B418" s="1">
        <f>'2026_Chase9335_Activity_2026062'!B418</f>
        <v>46042</v>
      </c>
      <c r="C418" t="str">
        <f>'2026_Chase9335_Activity_2026062'!C418</f>
        <v>ANGEL WWW.ANGEL.COM UT                       01/19</v>
      </c>
      <c r="D418" s="5">
        <f>'2026_Chase9335_Activity_2026062'!D418</f>
        <v>-20</v>
      </c>
      <c r="E418" t="str">
        <f>'2026_Chase9335_Activity_2026062'!E418</f>
        <v>DEBIT_CARD</v>
      </c>
      <c r="F418" s="5">
        <f>'2026_Chase9335_Activity_2026062'!F418</f>
        <v>209802.47</v>
      </c>
      <c r="G418" t="str">
        <f>'2026_Chase9335_Activity_2026062'!G418</f>
        <v>Personal - Subscriptions</v>
      </c>
      <c r="H418" s="4">
        <f t="shared" si="6"/>
        <v>46023</v>
      </c>
      <c r="I418" t="str">
        <f>IF($G418="","Uncategorized — Review",IFERROR(_xlfn.XLOOKUP($G418,Mapping!$A:$A,Mapping!$B:$B),"Uncategorized — Review"))</f>
        <v>Personal - Subscriptions</v>
      </c>
      <c r="J418" t="str">
        <f>IF($G418="","Uncategorized — Review",IFERROR(_xlfn.XLOOKUP($G418,Mapping!$A:$A,Mapping!$C:$C),"Uncategorized — Review"))</f>
        <v>Personal — Owner</v>
      </c>
    </row>
    <row r="419" spans="1:10" x14ac:dyDescent="0.25">
      <c r="A419" t="str">
        <f>'2026_Chase9335_Activity_2026062'!A419</f>
        <v>DEBIT</v>
      </c>
      <c r="B419" s="1">
        <f>'2026_Chase9335_Activity_2026062'!B419</f>
        <v>46042</v>
      </c>
      <c r="C419" t="str">
        <f>'2026_Chase9335_Activity_2026062'!C419</f>
        <v>Amazon.com*0X3840C33 Amzn.com/bill WA        01/19</v>
      </c>
      <c r="D419" s="5">
        <f>'2026_Chase9335_Activity_2026062'!D419</f>
        <v>-9.2100000000000009</v>
      </c>
      <c r="E419" t="str">
        <f>'2026_Chase9335_Activity_2026062'!E419</f>
        <v>DEBIT_CARD</v>
      </c>
      <c r="F419" s="5">
        <f>'2026_Chase9335_Activity_2026062'!F419</f>
        <v>209822.47</v>
      </c>
      <c r="G419" t="str">
        <f>'2026_Chase9335_Activity_2026062'!G419</f>
        <v>Amazon</v>
      </c>
      <c r="H419" s="4">
        <f t="shared" si="6"/>
        <v>46023</v>
      </c>
      <c r="I419" t="str">
        <f>IF($G419="","Uncategorized — Review",IFERROR(_xlfn.XLOOKUP($G419,Mapping!$A:$A,Mapping!$B:$B),"Uncategorized — Review"))</f>
        <v>Amazon</v>
      </c>
      <c r="J419" t="str">
        <f>IF($G419="","Uncategorized — Review",IFERROR(_xlfn.XLOOKUP($G419,Mapping!$A:$A,Mapping!$C:$C),"Uncategorized — Review"))</f>
        <v>Personal — Owner</v>
      </c>
    </row>
    <row r="420" spans="1:10" x14ac:dyDescent="0.25">
      <c r="A420" t="str">
        <f>'2026_Chase9335_Activity_2026062'!A420</f>
        <v>DEBIT</v>
      </c>
      <c r="B420" s="1">
        <f>'2026_Chase9335_Activity_2026062'!B420</f>
        <v>46042</v>
      </c>
      <c r="C420" t="str">
        <f>'2026_Chase9335_Activity_2026062'!C420</f>
        <v>Amazon.com*1K8LK1CX3 Amzn.com/bill WA        01/18</v>
      </c>
      <c r="D420" s="5">
        <f>'2026_Chase9335_Activity_2026062'!D420</f>
        <v>-31.88</v>
      </c>
      <c r="E420" t="str">
        <f>'2026_Chase9335_Activity_2026062'!E420</f>
        <v>DEBIT_CARD</v>
      </c>
      <c r="F420" s="5">
        <f>'2026_Chase9335_Activity_2026062'!F420</f>
        <v>209831.67999999999</v>
      </c>
      <c r="G420" t="str">
        <f>'2026_Chase9335_Activity_2026062'!G420</f>
        <v>Amazon</v>
      </c>
      <c r="H420" s="4">
        <f t="shared" si="6"/>
        <v>46023</v>
      </c>
      <c r="I420" t="str">
        <f>IF($G420="","Uncategorized — Review",IFERROR(_xlfn.XLOOKUP($G420,Mapping!$A:$A,Mapping!$B:$B),"Uncategorized — Review"))</f>
        <v>Amazon</v>
      </c>
      <c r="J420" t="str">
        <f>IF($G420="","Uncategorized — Review",IFERROR(_xlfn.XLOOKUP($G420,Mapping!$A:$A,Mapping!$C:$C),"Uncategorized — Review"))</f>
        <v>Personal — Owner</v>
      </c>
    </row>
    <row r="421" spans="1:10" x14ac:dyDescent="0.25">
      <c r="A421" t="str">
        <f>'2026_Chase9335_Activity_2026062'!A421</f>
        <v>DEBIT</v>
      </c>
      <c r="B421" s="1">
        <f>'2026_Chase9335_Activity_2026062'!B421</f>
        <v>46042</v>
      </c>
      <c r="C421" t="str">
        <f>'2026_Chase9335_Activity_2026062'!C421</f>
        <v>Prime Video *JD2AT525 888-802-3080 WA        01/18</v>
      </c>
      <c r="D421" s="5">
        <f>'2026_Chase9335_Activity_2026062'!D421</f>
        <v>-8.5299999999999994</v>
      </c>
      <c r="E421" t="str">
        <f>'2026_Chase9335_Activity_2026062'!E421</f>
        <v>DEBIT_CARD</v>
      </c>
      <c r="F421" s="5">
        <f>'2026_Chase9335_Activity_2026062'!F421</f>
        <v>209863.56</v>
      </c>
      <c r="G421" t="str">
        <f>'2026_Chase9335_Activity_2026062'!G421</f>
        <v>Personal - Subscriptions</v>
      </c>
      <c r="H421" s="4">
        <f t="shared" si="6"/>
        <v>46023</v>
      </c>
      <c r="I421" t="str">
        <f>IF($G421="","Uncategorized — Review",IFERROR(_xlfn.XLOOKUP($G421,Mapping!$A:$A,Mapping!$B:$B),"Uncategorized — Review"))</f>
        <v>Personal - Subscriptions</v>
      </c>
      <c r="J421" t="str">
        <f>IF($G421="","Uncategorized — Review",IFERROR(_xlfn.XLOOKUP($G421,Mapping!$A:$A,Mapping!$C:$C),"Uncategorized — Review"))</f>
        <v>Personal — Owner</v>
      </c>
    </row>
    <row r="422" spans="1:10" x14ac:dyDescent="0.25">
      <c r="A422" t="str">
        <f>'2026_Chase9335_Activity_2026062'!A422</f>
        <v>DEBIT</v>
      </c>
      <c r="B422" s="1">
        <f>'2026_Chase9335_Activity_2026062'!B422</f>
        <v>46042</v>
      </c>
      <c r="C422" t="str">
        <f>'2026_Chase9335_Activity_2026062'!C422</f>
        <v>APPLE.COM/BILL 866-712-7753 CA               01/18</v>
      </c>
      <c r="D422" s="5">
        <f>'2026_Chase9335_Activity_2026062'!D422</f>
        <v>-30.89</v>
      </c>
      <c r="E422" t="str">
        <f>'2026_Chase9335_Activity_2026062'!E422</f>
        <v>DEBIT_CARD</v>
      </c>
      <c r="F422" s="5">
        <f>'2026_Chase9335_Activity_2026062'!F422</f>
        <v>209872.09</v>
      </c>
      <c r="G422" t="str">
        <f>'2026_Chase9335_Activity_2026062'!G422</f>
        <v>Personal - Subscriptions</v>
      </c>
      <c r="H422" s="4">
        <f t="shared" si="6"/>
        <v>46023</v>
      </c>
      <c r="I422" t="str">
        <f>IF($G422="","Uncategorized — Review",IFERROR(_xlfn.XLOOKUP($G422,Mapping!$A:$A,Mapping!$B:$B),"Uncategorized — Review"))</f>
        <v>Personal - Subscriptions</v>
      </c>
      <c r="J422" t="str">
        <f>IF($G422="","Uncategorized — Review",IFERROR(_xlfn.XLOOKUP($G422,Mapping!$A:$A,Mapping!$C:$C),"Uncategorized — Review"))</f>
        <v>Personal — Owner</v>
      </c>
    </row>
    <row r="423" spans="1:10" x14ac:dyDescent="0.25">
      <c r="A423" t="str">
        <f>'2026_Chase9335_Activity_2026062'!A423</f>
        <v>DEBIT</v>
      </c>
      <c r="B423" s="1">
        <f>'2026_Chase9335_Activity_2026062'!B423</f>
        <v>46042</v>
      </c>
      <c r="C423" t="str">
        <f>'2026_Chase9335_Activity_2026062'!C423</f>
        <v>ROBBINS RESEARCH INT WWW.TONYROBBI CA        01/17</v>
      </c>
      <c r="D423" s="5">
        <f>'2026_Chase9335_Activity_2026062'!D423</f>
        <v>-153</v>
      </c>
      <c r="E423" t="str">
        <f>'2026_Chase9335_Activity_2026062'!E423</f>
        <v>DEBIT_CARD</v>
      </c>
      <c r="F423" s="5">
        <f>'2026_Chase9335_Activity_2026062'!F423</f>
        <v>209902.98</v>
      </c>
      <c r="G423" t="str">
        <f>'2026_Chase9335_Activity_2026062'!G423</f>
        <v>Personal - Subscriptions</v>
      </c>
      <c r="H423" s="4">
        <f t="shared" si="6"/>
        <v>46023</v>
      </c>
      <c r="I423" t="str">
        <f>IF($G423="","Uncategorized — Review",IFERROR(_xlfn.XLOOKUP($G423,Mapping!$A:$A,Mapping!$B:$B),"Uncategorized — Review"))</f>
        <v>Personal - Subscriptions</v>
      </c>
      <c r="J423" t="str">
        <f>IF($G423="","Uncategorized — Review",IFERROR(_xlfn.XLOOKUP($G423,Mapping!$A:$A,Mapping!$C:$C),"Uncategorized — Review"))</f>
        <v>Personal — Owner</v>
      </c>
    </row>
    <row r="424" spans="1:10" x14ac:dyDescent="0.25">
      <c r="A424" t="str">
        <f>'2026_Chase9335_Activity_2026062'!A424</f>
        <v>CREDIT</v>
      </c>
      <c r="B424" s="1">
        <f>'2026_Chase9335_Activity_2026062'!B424</f>
        <v>46038</v>
      </c>
      <c r="C424" t="str">
        <f>'2026_Chase9335_Activity_2026062'!C424</f>
        <v>ORIG CO NAME:T and T Machine        ORIG ID:945440567  DESC DATE:       CO ENTRY DESCR:PAYMENT   SEC:PPD    TRACE#:273976360066131 EED:260116   IND ID:                             IND NAME:John Dunning TRN: 0160066131TC</v>
      </c>
      <c r="D424" s="5">
        <f>'2026_Chase9335_Activity_2026062'!D424</f>
        <v>356.38</v>
      </c>
      <c r="E424" t="str">
        <f>'2026_Chase9335_Activity_2026062'!E424</f>
        <v>ACH_CREDIT</v>
      </c>
      <c r="F424" s="5">
        <f>'2026_Chase9335_Activity_2026062'!F424</f>
        <v>210055.98</v>
      </c>
      <c r="G424" t="str">
        <f>'2026_Chase9335_Activity_2026062'!G424</f>
        <v>Deal Specific: T&amp;T Machine</v>
      </c>
      <c r="H424" s="4">
        <f t="shared" si="6"/>
        <v>46023</v>
      </c>
      <c r="I424" t="str">
        <f>IF($G424="","Uncategorized — Review",IFERROR(_xlfn.XLOOKUP($G424,Mapping!$A:$A,Mapping!$B:$B),"Uncategorized — Review"))</f>
        <v>Deal Specific: T&amp;T Machine</v>
      </c>
      <c r="J424" t="str">
        <f>IF($G424="","Uncategorized — Review",IFERROR(_xlfn.XLOOKUP($G424,Mapping!$A:$A,Mapping!$C:$C),"Uncategorized — Review"))</f>
        <v>Deal-Specific</v>
      </c>
    </row>
    <row r="425" spans="1:10" x14ac:dyDescent="0.25">
      <c r="A425" t="str">
        <f>'2026_Chase9335_Activity_2026062'!A425</f>
        <v>CREDIT</v>
      </c>
      <c r="B425" s="1">
        <f>'2026_Chase9335_Activity_2026062'!B425</f>
        <v>46037</v>
      </c>
      <c r="C425" t="str">
        <f>'2026_Chase9335_Activity_2026062'!C425</f>
        <v>ORIG CO NAME:Rabourn Road Ind       ORIG ID:945440567  DESC DATE:       CO ENTRY DESCR:PAYMENT   SEC:PPD    TRACE#:273976364175433 EED:260115   IND ID:                             IND NAME:John Dunning TRN: 0154175433TC</v>
      </c>
      <c r="D425" s="5">
        <f>'2026_Chase9335_Activity_2026062'!D425</f>
        <v>233.33</v>
      </c>
      <c r="E425" t="str">
        <f>'2026_Chase9335_Activity_2026062'!E425</f>
        <v>ACH_CREDIT</v>
      </c>
      <c r="F425" s="5">
        <f>'2026_Chase9335_Activity_2026062'!F425</f>
        <v>209699.6</v>
      </c>
      <c r="G425" t="str">
        <f>'2026_Chase9335_Activity_2026062'!G425</f>
        <v>Deal Specific: Rabourn Road</v>
      </c>
      <c r="H425" s="4">
        <f t="shared" si="6"/>
        <v>46023</v>
      </c>
      <c r="I425" t="str">
        <f>IF($G425="","Uncategorized — Review",IFERROR(_xlfn.XLOOKUP($G425,Mapping!$A:$A,Mapping!$B:$B),"Uncategorized — Review"))</f>
        <v>Deal Specific: Rabourn Road</v>
      </c>
      <c r="J425" t="str">
        <f>IF($G425="","Uncategorized — Review",IFERROR(_xlfn.XLOOKUP($G425,Mapping!$A:$A,Mapping!$C:$C),"Uncategorized — Review"))</f>
        <v>Deal-Specific</v>
      </c>
    </row>
    <row r="426" spans="1:10" x14ac:dyDescent="0.25">
      <c r="A426" t="str">
        <f>'2026_Chase9335_Activity_2026062'!A426</f>
        <v>CREDIT</v>
      </c>
      <c r="B426" s="1">
        <f>'2026_Chase9335_Activity_2026062'!B426</f>
        <v>46037</v>
      </c>
      <c r="C426" t="str">
        <f>'2026_Chase9335_Activity_2026062'!C426</f>
        <v>ORIG CO NAME:Merit-Lancaster        ORIG ID:945440567  DESC DATE:       CO ENTRY DESCR:PAYMENT   SEC:PPD    TRACE#:273976364175483 EED:260115   IND ID:                             IND NAME:John Dunning TRN: 0154175483TC</v>
      </c>
      <c r="D426" s="5">
        <f>'2026_Chase9335_Activity_2026062'!D426</f>
        <v>476.41</v>
      </c>
      <c r="E426" t="str">
        <f>'2026_Chase9335_Activity_2026062'!E426</f>
        <v>ACH_CREDIT</v>
      </c>
      <c r="F426" s="5">
        <f>'2026_Chase9335_Activity_2026062'!F426</f>
        <v>209466.27</v>
      </c>
      <c r="G426" t="str">
        <f>'2026_Chase9335_Activity_2026062'!G426</f>
        <v>Deal Specific: Merit-Lancaster</v>
      </c>
      <c r="H426" s="4">
        <f t="shared" si="6"/>
        <v>46023</v>
      </c>
      <c r="I426" t="str">
        <f>IF($G426="","Uncategorized — Review",IFERROR(_xlfn.XLOOKUP($G426,Mapping!$A:$A,Mapping!$B:$B),"Uncategorized — Review"))</f>
        <v>Deal Specific: Merit-Lancaster</v>
      </c>
      <c r="J426" t="str">
        <f>IF($G426="","Uncategorized — Review",IFERROR(_xlfn.XLOOKUP($G426,Mapping!$A:$A,Mapping!$C:$C),"Uncategorized — Review"))</f>
        <v>Deal-Specific</v>
      </c>
    </row>
    <row r="427" spans="1:10" x14ac:dyDescent="0.25">
      <c r="A427" t="str">
        <f>'2026_Chase9335_Activity_2026062'!A427</f>
        <v>DEBIT</v>
      </c>
      <c r="B427" s="1">
        <f>'2026_Chase9335_Activity_2026062'!B427</f>
        <v>46036</v>
      </c>
      <c r="C427" t="str">
        <f>'2026_Chase9335_Activity_2026062'!C427</f>
        <v>AMAZON MKTPL*QF1FH48 Amzn.com/bill WA        01/13</v>
      </c>
      <c r="D427" s="5">
        <f>'2026_Chase9335_Activity_2026062'!D427</f>
        <v>-54.05</v>
      </c>
      <c r="E427" t="str">
        <f>'2026_Chase9335_Activity_2026062'!E427</f>
        <v>DEBIT_CARD</v>
      </c>
      <c r="F427" s="5">
        <f>'2026_Chase9335_Activity_2026062'!F427</f>
        <v>208989.86</v>
      </c>
      <c r="G427" t="str">
        <f>'2026_Chase9335_Activity_2026062'!G427</f>
        <v>Amazon</v>
      </c>
      <c r="H427" s="4">
        <f t="shared" si="6"/>
        <v>46023</v>
      </c>
      <c r="I427" t="str">
        <f>IF($G427="","Uncategorized — Review",IFERROR(_xlfn.XLOOKUP($G427,Mapping!$A:$A,Mapping!$B:$B),"Uncategorized — Review"))</f>
        <v>Amazon</v>
      </c>
      <c r="J427" t="str">
        <f>IF($G427="","Uncategorized — Review",IFERROR(_xlfn.XLOOKUP($G427,Mapping!$A:$A,Mapping!$C:$C),"Uncategorized — Review"))</f>
        <v>Personal — Owner</v>
      </c>
    </row>
    <row r="428" spans="1:10" x14ac:dyDescent="0.25">
      <c r="A428" t="str">
        <f>'2026_Chase9335_Activity_2026062'!A428</f>
        <v>CREDIT</v>
      </c>
      <c r="B428" s="1">
        <f>'2026_Chase9335_Activity_2026062'!B428</f>
        <v>46036</v>
      </c>
      <c r="C428" t="str">
        <f>'2026_Chase9335_Activity_2026062'!C428</f>
        <v>ORIG CO NAME:MRM Industrial P       ORIG ID:945440567  DESC DATE:       CO ENTRY DESCR:PAYMENT   SEC:PPD    TRACE#:273976368464874 EED:260114   IND ID:                             IND NAME:John Dunning TRN: 0148464874TC</v>
      </c>
      <c r="D428" s="5">
        <f>'2026_Chase9335_Activity_2026062'!D428</f>
        <v>241.87</v>
      </c>
      <c r="E428" t="str">
        <f>'2026_Chase9335_Activity_2026062'!E428</f>
        <v>ACH_CREDIT</v>
      </c>
      <c r="F428" s="5">
        <f>'2026_Chase9335_Activity_2026062'!F428</f>
        <v>209043.91</v>
      </c>
      <c r="G428" t="str">
        <f>'2026_Chase9335_Activity_2026062'!G428</f>
        <v>Deal Specific: MRM</v>
      </c>
      <c r="H428" s="4">
        <f t="shared" si="6"/>
        <v>46023</v>
      </c>
      <c r="I428" t="str">
        <f>IF($G428="","Uncategorized — Review",IFERROR(_xlfn.XLOOKUP($G428,Mapping!$A:$A,Mapping!$B:$B),"Uncategorized — Review"))</f>
        <v>Deal Specific: MRM</v>
      </c>
      <c r="J428" t="str">
        <f>IF($G428="","Uncategorized — Review",IFERROR(_xlfn.XLOOKUP($G428,Mapping!$A:$A,Mapping!$C:$C),"Uncategorized — Review"))</f>
        <v>Deal-Specific</v>
      </c>
    </row>
    <row r="429" spans="1:10" x14ac:dyDescent="0.25">
      <c r="A429" t="str">
        <f>'2026_Chase9335_Activity_2026062'!A429</f>
        <v>CREDIT</v>
      </c>
      <c r="B429" s="1">
        <f>'2026_Chase9335_Activity_2026062'!B429</f>
        <v>46036</v>
      </c>
      <c r="C429" t="str">
        <f>'2026_Chase9335_Activity_2026062'!C429</f>
        <v>ORIG CO NAME:Austin Iron Hold       ORIG ID:945440567  DESC DATE:       CO ENTRY DESCR:PAYMENT   SEC:PPD    TRACE#:273976368464853 EED:260114   IND ID:                             IND NAME:John Dunning TRN: 0148464853TC</v>
      </c>
      <c r="D429" s="5">
        <f>'2026_Chase9335_Activity_2026062'!D429</f>
        <v>350</v>
      </c>
      <c r="E429" t="str">
        <f>'2026_Chase9335_Activity_2026062'!E429</f>
        <v>ACH_CREDIT</v>
      </c>
      <c r="F429" s="5">
        <f>'2026_Chase9335_Activity_2026062'!F429</f>
        <v>208802.04</v>
      </c>
      <c r="G429" t="str">
        <f>'2026_Chase9335_Activity_2026062'!G429</f>
        <v>Deal Specific: Austin Iron</v>
      </c>
      <c r="H429" s="4">
        <f t="shared" si="6"/>
        <v>46023</v>
      </c>
      <c r="I429" t="str">
        <f>IF($G429="","Uncategorized — Review",IFERROR(_xlfn.XLOOKUP($G429,Mapping!$A:$A,Mapping!$B:$B),"Uncategorized — Review"))</f>
        <v>Deal Specific: Austin Iron</v>
      </c>
      <c r="J429" t="str">
        <f>IF($G429="","Uncategorized — Review",IFERROR(_xlfn.XLOOKUP($G429,Mapping!$A:$A,Mapping!$C:$C),"Uncategorized — Review"))</f>
        <v>Deal-Specific</v>
      </c>
    </row>
    <row r="430" spans="1:10" x14ac:dyDescent="0.25">
      <c r="A430" t="str">
        <f>'2026_Chase9335_Activity_2026062'!A430</f>
        <v>DEBIT</v>
      </c>
      <c r="B430" s="1">
        <f>'2026_Chase9335_Activity_2026062'!B430</f>
        <v>46035</v>
      </c>
      <c r="C430" t="str">
        <f>'2026_Chase9335_Activity_2026062'!C430</f>
        <v>Online Transfer to CHK ...1168 transaction#: 27686013256 01/13</v>
      </c>
      <c r="D430" s="5">
        <f>'2026_Chase9335_Activity_2026062'!D430</f>
        <v>-20000</v>
      </c>
      <c r="E430" t="str">
        <f>'2026_Chase9335_Activity_2026062'!E430</f>
        <v>ACCT_XFER</v>
      </c>
      <c r="F430" s="5">
        <f>'2026_Chase9335_Activity_2026062'!F430</f>
        <v>208452.04</v>
      </c>
      <c r="G430" t="str">
        <f>'2026_Chase9335_Activity_2026062'!G430</f>
        <v>Transfer to DWG Capital Group</v>
      </c>
      <c r="H430" s="4">
        <f t="shared" si="6"/>
        <v>46023</v>
      </c>
      <c r="I430" t="str">
        <f>IF($G430="","Uncategorized — Review",IFERROR(_xlfn.XLOOKUP($G430,Mapping!$A:$A,Mapping!$B:$B),"Uncategorized — Review"))</f>
        <v>Transfer to DWG Capital Group</v>
      </c>
      <c r="J430" t="str">
        <f>IF($G430="","Uncategorized — Review",IFERROR(_xlfn.XLOOKUP($G430,Mapping!$A:$A,Mapping!$C:$C),"Uncategorized — Review"))</f>
        <v>Intercompany &amp; Savings Transfers</v>
      </c>
    </row>
    <row r="431" spans="1:10" x14ac:dyDescent="0.25">
      <c r="A431" t="str">
        <f>'2026_Chase9335_Activity_2026062'!A431</f>
        <v>CREDIT</v>
      </c>
      <c r="B431" s="1">
        <f>'2026_Chase9335_Activity_2026062'!B431</f>
        <v>46035</v>
      </c>
      <c r="C431" t="str">
        <f>'2026_Chase9335_Activity_2026062'!C431</f>
        <v>Online Transfer from CHK ...9082 transaction#: 27689024575</v>
      </c>
      <c r="D431" s="5">
        <f>'2026_Chase9335_Activity_2026062'!D431</f>
        <v>2000</v>
      </c>
      <c r="E431" t="str">
        <f>'2026_Chase9335_Activity_2026062'!E431</f>
        <v>ACCT_XFER</v>
      </c>
      <c r="F431" s="5">
        <f>'2026_Chase9335_Activity_2026062'!F431</f>
        <v>228452.04</v>
      </c>
      <c r="G431" t="str">
        <f>'2026_Chase9335_Activity_2026062'!G431</f>
        <v>Transfer From Poseidon</v>
      </c>
      <c r="H431" s="4">
        <f t="shared" si="6"/>
        <v>46023</v>
      </c>
      <c r="I431" t="str">
        <f>IF($G431="","Uncategorized — Review",IFERROR(_xlfn.XLOOKUP($G431,Mapping!$A:$A,Mapping!$B:$B),"Uncategorized — Review"))</f>
        <v>Transfer From Poseidon</v>
      </c>
      <c r="J431" t="str">
        <f>IF($G431="","Uncategorized — Review",IFERROR(_xlfn.XLOOKUP($G431,Mapping!$A:$A,Mapping!$C:$C),"Uncategorized — Review"))</f>
        <v>Intercompany &amp; Savings Transfers</v>
      </c>
    </row>
    <row r="432" spans="1:10" x14ac:dyDescent="0.25">
      <c r="A432" t="str">
        <f>'2026_Chase9335_Activity_2026062'!A432</f>
        <v>DEBIT</v>
      </c>
      <c r="B432" s="1">
        <f>'2026_Chase9335_Activity_2026062'!B432</f>
        <v>46034</v>
      </c>
      <c r="C432" t="str">
        <f>'2026_Chase9335_Activity_2026062'!C432</f>
        <v>Zelle payment to Michael Paytonjian JPM99c1t31zt</v>
      </c>
      <c r="D432" s="5">
        <f>'2026_Chase9335_Activity_2026062'!D432</f>
        <v>-1000</v>
      </c>
      <c r="E432" t="str">
        <f>'2026_Chase9335_Activity_2026062'!E432</f>
        <v>CHASE_TO_PARTNERFI</v>
      </c>
      <c r="F432" s="5">
        <f>'2026_Chase9335_Activity_2026062'!F432</f>
        <v>226452.04</v>
      </c>
      <c r="G432" t="str">
        <f>'2026_Chase9335_Activity_2026062'!G432</f>
        <v>Office/Miscellaneous Reimbursement - Mike P.</v>
      </c>
      <c r="H432" s="4">
        <f t="shared" si="6"/>
        <v>46023</v>
      </c>
      <c r="I432" t="str">
        <f>IF($G432="","Uncategorized — Review",IFERROR(_xlfn.XLOOKUP($G432,Mapping!$A:$A,Mapping!$B:$B),"Uncategorized — Review"))</f>
        <v>Office/Miscellaneous Reimbursement - Mike P.</v>
      </c>
      <c r="J432" t="str">
        <f>IF($G432="","Uncategorized — Review",IFERROR(_xlfn.XLOOKUP($G432,Mapping!$A:$A,Mapping!$C:$C),"Uncategorized — Review"))</f>
        <v>Payroll &amp; Contractors</v>
      </c>
    </row>
    <row r="433" spans="1:10" x14ac:dyDescent="0.25">
      <c r="A433" t="str">
        <f>'2026_Chase9335_Activity_2026062'!A433</f>
        <v>DEBIT</v>
      </c>
      <c r="B433" s="1">
        <f>'2026_Chase9335_Activity_2026062'!B433</f>
        <v>46034</v>
      </c>
      <c r="C433" t="str">
        <f>'2026_Chase9335_Activity_2026062'!C433</f>
        <v>BLOOMBERG* 37033964 BLOOMBERG.COM NY         01/12</v>
      </c>
      <c r="D433" s="5">
        <f>'2026_Chase9335_Activity_2026062'!D433</f>
        <v>-34.99</v>
      </c>
      <c r="E433" t="str">
        <f>'2026_Chase9335_Activity_2026062'!E433</f>
        <v>DEBIT_CARD</v>
      </c>
      <c r="F433" s="5">
        <f>'2026_Chase9335_Activity_2026062'!F433</f>
        <v>227452.04</v>
      </c>
      <c r="G433" t="str">
        <f>'2026_Chase9335_Activity_2026062'!G433</f>
        <v>Personal - Subscriptions</v>
      </c>
      <c r="H433" s="4">
        <f t="shared" si="6"/>
        <v>46023</v>
      </c>
      <c r="I433" t="str">
        <f>IF($G433="","Uncategorized — Review",IFERROR(_xlfn.XLOOKUP($G433,Mapping!$A:$A,Mapping!$B:$B),"Uncategorized — Review"))</f>
        <v>Personal - Subscriptions</v>
      </c>
      <c r="J433" t="str">
        <f>IF($G433="","Uncategorized — Review",IFERROR(_xlfn.XLOOKUP($G433,Mapping!$A:$A,Mapping!$C:$C),"Uncategorized — Review"))</f>
        <v>Personal — Owner</v>
      </c>
    </row>
    <row r="434" spans="1:10" x14ac:dyDescent="0.25">
      <c r="A434" t="str">
        <f>'2026_Chase9335_Activity_2026062'!A434</f>
        <v>DEBIT</v>
      </c>
      <c r="B434" s="1">
        <f>'2026_Chase9335_Activity_2026062'!B434</f>
        <v>46034</v>
      </c>
      <c r="C434" t="str">
        <f>'2026_Chase9335_Activity_2026062'!C434</f>
        <v>Prime Video *A98DL1Q8 888-802-3080 WA        01/11</v>
      </c>
      <c r="D434" s="5">
        <f>'2026_Chase9335_Activity_2026062'!D434</f>
        <v>-4.05</v>
      </c>
      <c r="E434" t="str">
        <f>'2026_Chase9335_Activity_2026062'!E434</f>
        <v>DEBIT_CARD</v>
      </c>
      <c r="F434" s="5">
        <f>'2026_Chase9335_Activity_2026062'!F434</f>
        <v>227487.03</v>
      </c>
      <c r="G434" t="str">
        <f>'2026_Chase9335_Activity_2026062'!G434</f>
        <v>Personal - Subscriptions</v>
      </c>
      <c r="H434" s="4">
        <f t="shared" si="6"/>
        <v>46023</v>
      </c>
      <c r="I434" t="str">
        <f>IF($G434="","Uncategorized — Review",IFERROR(_xlfn.XLOOKUP($G434,Mapping!$A:$A,Mapping!$B:$B),"Uncategorized — Review"))</f>
        <v>Personal - Subscriptions</v>
      </c>
      <c r="J434" t="str">
        <f>IF($G434="","Uncategorized — Review",IFERROR(_xlfn.XLOOKUP($G434,Mapping!$A:$A,Mapping!$C:$C),"Uncategorized — Review"))</f>
        <v>Personal — Owner</v>
      </c>
    </row>
    <row r="435" spans="1:10" x14ac:dyDescent="0.25">
      <c r="A435" t="str">
        <f>'2026_Chase9335_Activity_2026062'!A435</f>
        <v>DEBIT</v>
      </c>
      <c r="B435" s="1">
        <f>'2026_Chase9335_Activity_2026062'!B435</f>
        <v>46034</v>
      </c>
      <c r="C435" t="str">
        <f>'2026_Chase9335_Activity_2026062'!C435</f>
        <v>APPLE COM BILL CUPERTINO CA          146359  01/10</v>
      </c>
      <c r="D435" s="5">
        <f>'2026_Chase9335_Activity_2026062'!D435</f>
        <v>-30.89</v>
      </c>
      <c r="E435" t="str">
        <f>'2026_Chase9335_Activity_2026062'!E435</f>
        <v>DEBIT_CARD</v>
      </c>
      <c r="F435" s="5">
        <f>'2026_Chase9335_Activity_2026062'!F435</f>
        <v>227491.08</v>
      </c>
      <c r="G435" t="str">
        <f>'2026_Chase9335_Activity_2026062'!G435</f>
        <v>Personal - Subscriptions</v>
      </c>
      <c r="H435" s="4">
        <f t="shared" si="6"/>
        <v>46023</v>
      </c>
      <c r="I435" t="str">
        <f>IF($G435="","Uncategorized — Review",IFERROR(_xlfn.XLOOKUP($G435,Mapping!$A:$A,Mapping!$B:$B),"Uncategorized — Review"))</f>
        <v>Personal - Subscriptions</v>
      </c>
      <c r="J435" t="str">
        <f>IF($G435="","Uncategorized — Review",IFERROR(_xlfn.XLOOKUP($G435,Mapping!$A:$A,Mapping!$C:$C),"Uncategorized — Review"))</f>
        <v>Personal — Owner</v>
      </c>
    </row>
    <row r="436" spans="1:10" x14ac:dyDescent="0.25">
      <c r="A436" t="str">
        <f>'2026_Chase9335_Activity_2026062'!A436</f>
        <v>DEBIT</v>
      </c>
      <c r="B436" s="1">
        <f>'2026_Chase9335_Activity_2026062'!B436</f>
        <v>46031</v>
      </c>
      <c r="C436" t="str">
        <f>'2026_Chase9335_Activity_2026062'!C436</f>
        <v>Amazon.com*6X3NF7XX3 Amzn.com/bill WA        01/09</v>
      </c>
      <c r="D436" s="5">
        <f>'2026_Chase9335_Activity_2026062'!D436</f>
        <v>-31.88</v>
      </c>
      <c r="E436" t="str">
        <f>'2026_Chase9335_Activity_2026062'!E436</f>
        <v>DEBIT_CARD</v>
      </c>
      <c r="F436" s="5">
        <f>'2026_Chase9335_Activity_2026062'!F436</f>
        <v>227521.97</v>
      </c>
      <c r="G436" t="str">
        <f>'2026_Chase9335_Activity_2026062'!G436</f>
        <v>Amazon</v>
      </c>
      <c r="H436" s="4">
        <f t="shared" si="6"/>
        <v>46023</v>
      </c>
      <c r="I436" t="str">
        <f>IF($G436="","Uncategorized — Review",IFERROR(_xlfn.XLOOKUP($G436,Mapping!$A:$A,Mapping!$B:$B),"Uncategorized — Review"))</f>
        <v>Amazon</v>
      </c>
      <c r="J436" t="str">
        <f>IF($G436="","Uncategorized — Review",IFERROR(_xlfn.XLOOKUP($G436,Mapping!$A:$A,Mapping!$C:$C),"Uncategorized — Review"))</f>
        <v>Personal — Owner</v>
      </c>
    </row>
    <row r="437" spans="1:10" x14ac:dyDescent="0.25">
      <c r="A437" t="str">
        <f>'2026_Chase9335_Activity_2026062'!A437</f>
        <v>DEBIT</v>
      </c>
      <c r="B437" s="1">
        <f>'2026_Chase9335_Activity_2026062'!B437</f>
        <v>46031</v>
      </c>
      <c r="C437" t="str">
        <f>'2026_Chase9335_Activity_2026062'!C437</f>
        <v>LADOT METER PARKING LOS ANGELES CA           01/08</v>
      </c>
      <c r="D437" s="5">
        <f>'2026_Chase9335_Activity_2026062'!D437</f>
        <v>-2</v>
      </c>
      <c r="E437" t="str">
        <f>'2026_Chase9335_Activity_2026062'!E437</f>
        <v>DEBIT_CARD</v>
      </c>
      <c r="F437" s="5">
        <f>'2026_Chase9335_Activity_2026062'!F437</f>
        <v>227553.85</v>
      </c>
      <c r="G437" t="str">
        <f>'2026_Chase9335_Activity_2026062'!G437</f>
        <v>Personal - Car</v>
      </c>
      <c r="H437" s="4">
        <f t="shared" si="6"/>
        <v>46023</v>
      </c>
      <c r="I437" t="str">
        <f>IF($G437="","Uncategorized — Review",IFERROR(_xlfn.XLOOKUP($G437,Mapping!$A:$A,Mapping!$B:$B),"Uncategorized — Review"))</f>
        <v>Personal - Car &amp; Auto</v>
      </c>
      <c r="J437" t="str">
        <f>IF($G437="","Uncategorized — Review",IFERROR(_xlfn.XLOOKUP($G437,Mapping!$A:$A,Mapping!$C:$C),"Uncategorized — Review"))</f>
        <v>Personal — Owner</v>
      </c>
    </row>
    <row r="438" spans="1:10" x14ac:dyDescent="0.25">
      <c r="A438" t="str">
        <f>'2026_Chase9335_Activity_2026062'!A438</f>
        <v>DEBIT</v>
      </c>
      <c r="B438" s="1">
        <f>'2026_Chase9335_Activity_2026062'!B438</f>
        <v>46030</v>
      </c>
      <c r="C438" t="str">
        <f>'2026_Chase9335_Activity_2026062'!C438</f>
        <v>Zelle payment to Scott Brech 27629512010</v>
      </c>
      <c r="D438" s="5">
        <f>'2026_Chase9335_Activity_2026062'!D438</f>
        <v>-700</v>
      </c>
      <c r="E438" t="str">
        <f>'2026_Chase9335_Activity_2026062'!E438</f>
        <v>QUICKPAY_DEBIT</v>
      </c>
      <c r="F438" s="5">
        <f>'2026_Chase9335_Activity_2026062'!F438</f>
        <v>227555.85</v>
      </c>
      <c r="G438" t="str">
        <f>'2026_Chase9335_Activity_2026062'!G438</f>
        <v>Zelle - Scott Brech</v>
      </c>
      <c r="H438" s="4">
        <f t="shared" si="6"/>
        <v>46023</v>
      </c>
      <c r="I438" t="str">
        <f>IF($G438="","Uncategorized — Review",IFERROR(_xlfn.XLOOKUP($G438,Mapping!$A:$A,Mapping!$B:$B),"Uncategorized — Review"))</f>
        <v>Zelle - Scott Brech</v>
      </c>
      <c r="J438" t="str">
        <f>IF($G438="","Uncategorized — Review",IFERROR(_xlfn.XLOOKUP($G438,Mapping!$A:$A,Mapping!$C:$C),"Uncategorized — Review"))</f>
        <v>P2P Payments (Zelle/Venmo/PayPal)</v>
      </c>
    </row>
    <row r="439" spans="1:10" x14ac:dyDescent="0.25">
      <c r="A439" t="str">
        <f>'2026_Chase9335_Activity_2026062'!A439</f>
        <v>DEBIT</v>
      </c>
      <c r="B439" s="1">
        <f>'2026_Chase9335_Activity_2026062'!B439</f>
        <v>46030</v>
      </c>
      <c r="C439" t="str">
        <f>'2026_Chase9335_Activity_2026062'!C439</f>
        <v>EREWHON VENICE VENICE CA             699645  01/08</v>
      </c>
      <c r="D439" s="5">
        <f>'2026_Chase9335_Activity_2026062'!D439</f>
        <v>-79.790000000000006</v>
      </c>
      <c r="E439" t="str">
        <f>'2026_Chase9335_Activity_2026062'!E439</f>
        <v>DEBIT_CARD</v>
      </c>
      <c r="F439" s="5">
        <f>'2026_Chase9335_Activity_2026062'!F439</f>
        <v>228255.85</v>
      </c>
      <c r="G439" t="str">
        <f>'2026_Chase9335_Activity_2026062'!G439</f>
        <v>Personal - Food &amp; Dining</v>
      </c>
      <c r="H439" s="4">
        <f t="shared" si="6"/>
        <v>46023</v>
      </c>
      <c r="I439" t="str">
        <f>IF($G439="","Uncategorized — Review",IFERROR(_xlfn.XLOOKUP($G439,Mapping!$A:$A,Mapping!$B:$B),"Uncategorized — Review"))</f>
        <v>Personal - Food &amp; Dining</v>
      </c>
      <c r="J439" t="str">
        <f>IF($G439="","Uncategorized — Review",IFERROR(_xlfn.XLOOKUP($G439,Mapping!$A:$A,Mapping!$C:$C),"Uncategorized — Review"))</f>
        <v>Personal — Owner</v>
      </c>
    </row>
    <row r="440" spans="1:10" x14ac:dyDescent="0.25">
      <c r="A440" t="str">
        <f>'2026_Chase9335_Activity_2026062'!A440</f>
        <v>DEBIT</v>
      </c>
      <c r="B440" s="1">
        <f>'2026_Chase9335_Activity_2026062'!B440</f>
        <v>46030</v>
      </c>
      <c r="C440" t="str">
        <f>'2026_Chase9335_Activity_2026062'!C440</f>
        <v>UBER *ONE MEMBERSHIP SAN FRANCISCO CA021175  01/08</v>
      </c>
      <c r="D440" s="5">
        <f>'2026_Chase9335_Activity_2026062'!D440</f>
        <v>-9.99</v>
      </c>
      <c r="E440" t="str">
        <f>'2026_Chase9335_Activity_2026062'!E440</f>
        <v>DEBIT_CARD</v>
      </c>
      <c r="F440" s="5">
        <f>'2026_Chase9335_Activity_2026062'!F440</f>
        <v>228335.64</v>
      </c>
      <c r="G440" t="str">
        <f>'2026_Chase9335_Activity_2026062'!G440</f>
        <v>Personal - Subscriptions</v>
      </c>
      <c r="H440" s="4">
        <f t="shared" si="6"/>
        <v>46023</v>
      </c>
      <c r="I440" t="str">
        <f>IF($G440="","Uncategorized — Review",IFERROR(_xlfn.XLOOKUP($G440,Mapping!$A:$A,Mapping!$B:$B),"Uncategorized — Review"))</f>
        <v>Personal - Subscriptions</v>
      </c>
      <c r="J440" t="str">
        <f>IF($G440="","Uncategorized — Review",IFERROR(_xlfn.XLOOKUP($G440,Mapping!$A:$A,Mapping!$C:$C),"Uncategorized — Review"))</f>
        <v>Personal — Owner</v>
      </c>
    </row>
    <row r="441" spans="1:10" x14ac:dyDescent="0.25">
      <c r="A441" t="str">
        <f>'2026_Chase9335_Activity_2026062'!A441</f>
        <v>DEBIT</v>
      </c>
      <c r="B441" s="1">
        <f>'2026_Chase9335_Activity_2026062'!B441</f>
        <v>46030</v>
      </c>
      <c r="C441" t="str">
        <f>'2026_Chase9335_Activity_2026062'!C441</f>
        <v>Online Transfer to CHK ...9905 transaction#: 27628345128 01/08</v>
      </c>
      <c r="D441" s="5">
        <f>'2026_Chase9335_Activity_2026062'!D441</f>
        <v>-35000</v>
      </c>
      <c r="E441" t="str">
        <f>'2026_Chase9335_Activity_2026062'!E441</f>
        <v>ACCT_XFER</v>
      </c>
      <c r="F441" s="5">
        <f>'2026_Chase9335_Activity_2026062'!F441</f>
        <v>228345.63</v>
      </c>
      <c r="G441" t="str">
        <f>'2026_Chase9335_Activity_2026062'!G441</f>
        <v>Transfer to Edgebuilders</v>
      </c>
      <c r="H441" s="4">
        <f t="shared" si="6"/>
        <v>46023</v>
      </c>
      <c r="I441" t="str">
        <f>IF($G441="","Uncategorized — Review",IFERROR(_xlfn.XLOOKUP($G441,Mapping!$A:$A,Mapping!$B:$B),"Uncategorized — Review"))</f>
        <v>Transfer to Edgebuilders</v>
      </c>
      <c r="J441" t="str">
        <f>IF($G441="","Uncategorized — Review",IFERROR(_xlfn.XLOOKUP($G441,Mapping!$A:$A,Mapping!$C:$C),"Uncategorized — Review"))</f>
        <v>Intercompany &amp; Savings Transfers</v>
      </c>
    </row>
    <row r="442" spans="1:10" x14ac:dyDescent="0.25">
      <c r="A442" t="str">
        <f>'2026_Chase9335_Activity_2026062'!A442</f>
        <v>DEBIT</v>
      </c>
      <c r="B442" s="1">
        <f>'2026_Chase9335_Activity_2026062'!B442</f>
        <v>46030</v>
      </c>
      <c r="C442" t="str">
        <f>'2026_Chase9335_Activity_2026062'!C442</f>
        <v>LIME*RIDE LI.ME CA                           01/08</v>
      </c>
      <c r="D442" s="5">
        <f>'2026_Chase9335_Activity_2026062'!D442</f>
        <v>-13.74</v>
      </c>
      <c r="E442" t="str">
        <f>'2026_Chase9335_Activity_2026062'!E442</f>
        <v>DEBIT_CARD</v>
      </c>
      <c r="F442" s="5">
        <f>'2026_Chase9335_Activity_2026062'!F442</f>
        <v>263345.63</v>
      </c>
      <c r="G442" t="str">
        <f>'2026_Chase9335_Activity_2026062'!G442</f>
        <v>Personal - Car</v>
      </c>
      <c r="H442" s="4">
        <f t="shared" si="6"/>
        <v>46023</v>
      </c>
      <c r="I442" t="str">
        <f>IF($G442="","Uncategorized — Review",IFERROR(_xlfn.XLOOKUP($G442,Mapping!$A:$A,Mapping!$B:$B),"Uncategorized — Review"))</f>
        <v>Personal - Car &amp; Auto</v>
      </c>
      <c r="J442" t="str">
        <f>IF($G442="","Uncategorized — Review",IFERROR(_xlfn.XLOOKUP($G442,Mapping!$A:$A,Mapping!$C:$C),"Uncategorized — Review"))</f>
        <v>Personal — Owner</v>
      </c>
    </row>
    <row r="443" spans="1:10" x14ac:dyDescent="0.25">
      <c r="A443" t="str">
        <f>'2026_Chase9335_Activity_2026062'!A443</f>
        <v>DEBIT</v>
      </c>
      <c r="B443" s="1">
        <f>'2026_Chase9335_Activity_2026062'!B443</f>
        <v>46029</v>
      </c>
      <c r="C443" t="str">
        <f>'2026_Chase9335_Activity_2026062'!C443</f>
        <v>DOMESTIC INCOMING WIRE FEE</v>
      </c>
      <c r="D443" s="5">
        <f>'2026_Chase9335_Activity_2026062'!D443</f>
        <v>-15</v>
      </c>
      <c r="E443" t="str">
        <f>'2026_Chase9335_Activity_2026062'!E443</f>
        <v>FEE_TRANSACTION</v>
      </c>
      <c r="F443" s="5">
        <f>'2026_Chase9335_Activity_2026062'!F443</f>
        <v>263359.37</v>
      </c>
      <c r="G443" t="str">
        <f>'2026_Chase9335_Activity_2026062'!G443</f>
        <v>Wire Fee</v>
      </c>
      <c r="H443" s="4">
        <f t="shared" si="6"/>
        <v>46023</v>
      </c>
      <c r="I443" t="str">
        <f>IF($G443="","Uncategorized — Review",IFERROR(_xlfn.XLOOKUP($G443,Mapping!$A:$A,Mapping!$B:$B),"Uncategorized — Review"))</f>
        <v>Wire Fee</v>
      </c>
      <c r="J443" t="str">
        <f>IF($G443="","Uncategorized — Review",IFERROR(_xlfn.XLOOKUP($G443,Mapping!$A:$A,Mapping!$C:$C),"Uncategorized — Review"))</f>
        <v>DWG Operating</v>
      </c>
    </row>
    <row r="444" spans="1:10" x14ac:dyDescent="0.25">
      <c r="A444" t="str">
        <f>'2026_Chase9335_Activity_2026062'!A444</f>
        <v>DEBIT</v>
      </c>
      <c r="B444" s="1">
        <f>'2026_Chase9335_Activity_2026062'!B444</f>
        <v>46029</v>
      </c>
      <c r="C444" t="str">
        <f>'2026_Chase9335_Activity_2026062'!C444</f>
        <v>ONLINE DOMESTIC WIRE FEE</v>
      </c>
      <c r="D444" s="5">
        <f>'2026_Chase9335_Activity_2026062'!D444</f>
        <v>-25</v>
      </c>
      <c r="E444" t="str">
        <f>'2026_Chase9335_Activity_2026062'!E444</f>
        <v>FEE_TRANSACTION</v>
      </c>
      <c r="F444" s="5">
        <f>'2026_Chase9335_Activity_2026062'!F444</f>
        <v>263374.37</v>
      </c>
      <c r="G444" t="str">
        <f>'2026_Chase9335_Activity_2026062'!G444</f>
        <v>Wire Fee</v>
      </c>
      <c r="H444" s="4">
        <f t="shared" si="6"/>
        <v>46023</v>
      </c>
      <c r="I444" t="str">
        <f>IF($G444="","Uncategorized — Review",IFERROR(_xlfn.XLOOKUP($G444,Mapping!$A:$A,Mapping!$B:$B),"Uncategorized — Review"))</f>
        <v>Wire Fee</v>
      </c>
      <c r="J444" t="str">
        <f>IF($G444="","Uncategorized — Review",IFERROR(_xlfn.XLOOKUP($G444,Mapping!$A:$A,Mapping!$C:$C),"Uncategorized — Review"))</f>
        <v>DWG Operating</v>
      </c>
    </row>
    <row r="445" spans="1:10" x14ac:dyDescent="0.25">
      <c r="A445" t="str">
        <f>'2026_Chase9335_Activity_2026062'!A445</f>
        <v>DEBIT</v>
      </c>
      <c r="B445" s="1">
        <f>'2026_Chase9335_Activity_2026062'!B445</f>
        <v>46029</v>
      </c>
      <c r="C445" t="str">
        <f>'2026_Chase9335_Activity_2026062'!C445</f>
        <v>ONLINE DOMESTIC WIRE FEE</v>
      </c>
      <c r="D445" s="5">
        <f>'2026_Chase9335_Activity_2026062'!D445</f>
        <v>-25</v>
      </c>
      <c r="E445" t="str">
        <f>'2026_Chase9335_Activity_2026062'!E445</f>
        <v>FEE_TRANSACTION</v>
      </c>
      <c r="F445" s="5">
        <f>'2026_Chase9335_Activity_2026062'!F445</f>
        <v>263399.37</v>
      </c>
      <c r="G445" t="str">
        <f>'2026_Chase9335_Activity_2026062'!G445</f>
        <v>Wire Fee</v>
      </c>
      <c r="H445" s="4">
        <f t="shared" si="6"/>
        <v>46023</v>
      </c>
      <c r="I445" t="str">
        <f>IF($G445="","Uncategorized — Review",IFERROR(_xlfn.XLOOKUP($G445,Mapping!$A:$A,Mapping!$B:$B),"Uncategorized — Review"))</f>
        <v>Wire Fee</v>
      </c>
      <c r="J445" t="str">
        <f>IF($G445="","Uncategorized — Review",IFERROR(_xlfn.XLOOKUP($G445,Mapping!$A:$A,Mapping!$C:$C),"Uncategorized — Review"))</f>
        <v>DWG Operating</v>
      </c>
    </row>
    <row r="446" spans="1:10" x14ac:dyDescent="0.25">
      <c r="A446" t="str">
        <f>'2026_Chase9335_Activity_2026062'!A446</f>
        <v>DEBIT</v>
      </c>
      <c r="B446" s="1">
        <f>'2026_Chase9335_Activity_2026062'!B446</f>
        <v>46029</v>
      </c>
      <c r="C446" t="str">
        <f>'2026_Chase9335_Activity_2026062'!C446</f>
        <v>ONLINE DOMESTIC WIRE TRANSFER A/C: JOSEPH WHITNER MIAMI FL 33133-3184 US REF:/ACC/309234364 JC WHITNER 2369 OVERBROOK ST MIAMI FL 33133 US TRN: 3566066007ES 01/07</v>
      </c>
      <c r="D446" s="5">
        <f>'2026_Chase9335_Activity_2026062'!D446</f>
        <v>-10000</v>
      </c>
      <c r="E446" t="str">
        <f>'2026_Chase9335_Activity_2026062'!E446</f>
        <v>WIRE_OUTGOING</v>
      </c>
      <c r="F446" s="5">
        <f>'2026_Chase9335_Activity_2026062'!F446</f>
        <v>263424.37</v>
      </c>
      <c r="G446" t="str">
        <f>'2026_Chase9335_Activity_2026062'!G446</f>
        <v>Bridge Coverage (JC Whitner)</v>
      </c>
      <c r="H446" s="4">
        <f t="shared" si="6"/>
        <v>46023</v>
      </c>
      <c r="I446" t="str">
        <f>IF($G446="","Uncategorized — Review",IFERROR(_xlfn.XLOOKUP($G446,Mapping!$A:$A,Mapping!$B:$B),"Uncategorized — Review"))</f>
        <v>Bridge Coverage (JC Whitner)</v>
      </c>
      <c r="J446" t="str">
        <f>IF($G446="","Uncategorized — Review",IFERROR(_xlfn.XLOOKUP($G446,Mapping!$A:$A,Mapping!$C:$C),"Uncategorized — Review"))</f>
        <v>Deal-Specific</v>
      </c>
    </row>
    <row r="447" spans="1:10" x14ac:dyDescent="0.25">
      <c r="A447" t="str">
        <f>'2026_Chase9335_Activity_2026062'!A447</f>
        <v>DEBIT</v>
      </c>
      <c r="B447" s="1">
        <f>'2026_Chase9335_Activity_2026062'!B447</f>
        <v>46029</v>
      </c>
      <c r="C447" t="str">
        <f>'2026_Chase9335_Activity_2026062'!C447</f>
        <v>ONLINE DOMESTIC WIRE TRANSFER VIA: WELLS FARGO NA/121000248 A/C: KEVIN WONG HAWTHORNE CA 90250 US REF: STEVE LOAN/TIME/20:11 IMAD: 0107MMQFMP2L026839 TRN: 3539546007ES 01/07</v>
      </c>
      <c r="D447" s="5">
        <f>'2026_Chase9335_Activity_2026062'!D447</f>
        <v>-6000</v>
      </c>
      <c r="E447" t="str">
        <f>'2026_Chase9335_Activity_2026062'!E447</f>
        <v>WIRE_OUTGOING</v>
      </c>
      <c r="F447" s="5">
        <f>'2026_Chase9335_Activity_2026062'!F447</f>
        <v>273424.37</v>
      </c>
      <c r="G447" t="str">
        <f>'2026_Chase9335_Activity_2026062'!G447</f>
        <v>Kevin Wong Commission (Steve Klar)</v>
      </c>
      <c r="H447" s="4">
        <f t="shared" si="6"/>
        <v>46023</v>
      </c>
      <c r="I447" t="str">
        <f>IF($G447="","Uncategorized — Review",IFERROR(_xlfn.XLOOKUP($G447,Mapping!$A:$A,Mapping!$B:$B),"Uncategorized — Review"))</f>
        <v>Kevin Wong Commission (Steve Klar)</v>
      </c>
      <c r="J447" t="str">
        <f>IF($G447="","Uncategorized — Review",IFERROR(_xlfn.XLOOKUP($G447,Mapping!$A:$A,Mapping!$C:$C),"Uncategorized — Review"))</f>
        <v>Commissions — Outgoing</v>
      </c>
    </row>
    <row r="448" spans="1:10" x14ac:dyDescent="0.25">
      <c r="A448" t="str">
        <f>'2026_Chase9335_Activity_2026062'!A448</f>
        <v>DEBIT</v>
      </c>
      <c r="B448" s="1">
        <f>'2026_Chase9335_Activity_2026062'!B448</f>
        <v>46029</v>
      </c>
      <c r="C448" t="str">
        <f>'2026_Chase9335_Activity_2026062'!C448</f>
        <v>Prime Video *SJ71Y0W4 888-802-3080 WA        01/07</v>
      </c>
      <c r="D448" s="5">
        <f>'2026_Chase9335_Activity_2026062'!D448</f>
        <v>-3.19</v>
      </c>
      <c r="E448" t="str">
        <f>'2026_Chase9335_Activity_2026062'!E448</f>
        <v>DEBIT_CARD</v>
      </c>
      <c r="F448" s="5">
        <f>'2026_Chase9335_Activity_2026062'!F448</f>
        <v>279424.37</v>
      </c>
      <c r="G448" t="str">
        <f>'2026_Chase9335_Activity_2026062'!G448</f>
        <v>Personal - Subscriptions</v>
      </c>
      <c r="H448" s="4">
        <f t="shared" si="6"/>
        <v>46023</v>
      </c>
      <c r="I448" t="str">
        <f>IF($G448="","Uncategorized — Review",IFERROR(_xlfn.XLOOKUP($G448,Mapping!$A:$A,Mapping!$B:$B),"Uncategorized — Review"))</f>
        <v>Personal - Subscriptions</v>
      </c>
      <c r="J448" t="str">
        <f>IF($G448="","Uncategorized — Review",IFERROR(_xlfn.XLOOKUP($G448,Mapping!$A:$A,Mapping!$C:$C),"Uncategorized — Review"))</f>
        <v>Personal — Owner</v>
      </c>
    </row>
    <row r="449" spans="1:10" x14ac:dyDescent="0.25">
      <c r="A449" t="str">
        <f>'2026_Chase9335_Activity_2026062'!A449</f>
        <v>DEBIT</v>
      </c>
      <c r="B449" s="1">
        <f>'2026_Chase9335_Activity_2026062'!B449</f>
        <v>46029</v>
      </c>
      <c r="C449" t="str">
        <f>'2026_Chase9335_Activity_2026062'!C449</f>
        <v>Prime Video *2S9LY78G 888-802-3080 WA        01/07</v>
      </c>
      <c r="D449" s="5">
        <f>'2026_Chase9335_Activity_2026062'!D449</f>
        <v>-3.19</v>
      </c>
      <c r="E449" t="str">
        <f>'2026_Chase9335_Activity_2026062'!E449</f>
        <v>DEBIT_CARD</v>
      </c>
      <c r="F449" s="5">
        <f>'2026_Chase9335_Activity_2026062'!F449</f>
        <v>279427.56</v>
      </c>
      <c r="G449" t="str">
        <f>'2026_Chase9335_Activity_2026062'!G449</f>
        <v>Personal - Subscriptions</v>
      </c>
      <c r="H449" s="4">
        <f t="shared" si="6"/>
        <v>46023</v>
      </c>
      <c r="I449" t="str">
        <f>IF($G449="","Uncategorized — Review",IFERROR(_xlfn.XLOOKUP($G449,Mapping!$A:$A,Mapping!$B:$B),"Uncategorized — Review"))</f>
        <v>Personal - Subscriptions</v>
      </c>
      <c r="J449" t="str">
        <f>IF($G449="","Uncategorized — Review",IFERROR(_xlfn.XLOOKUP($G449,Mapping!$A:$A,Mapping!$C:$C),"Uncategorized — Review"))</f>
        <v>Personal — Owner</v>
      </c>
    </row>
    <row r="450" spans="1:10" x14ac:dyDescent="0.25">
      <c r="A450" t="str">
        <f>'2026_Chase9335_Activity_2026062'!A450</f>
        <v>DEBIT</v>
      </c>
      <c r="B450" s="1">
        <f>'2026_Chase9335_Activity_2026062'!B450</f>
        <v>46029</v>
      </c>
      <c r="C450" t="str">
        <f>'2026_Chase9335_Activity_2026062'!C450</f>
        <v>Prime Video *WA2N41GV 888-802-3080 WA        01/07</v>
      </c>
      <c r="D450" s="5">
        <f>'2026_Chase9335_Activity_2026062'!D450</f>
        <v>-3.19</v>
      </c>
      <c r="E450" t="str">
        <f>'2026_Chase9335_Activity_2026062'!E450</f>
        <v>DEBIT_CARD</v>
      </c>
      <c r="F450" s="5">
        <f>'2026_Chase9335_Activity_2026062'!F450</f>
        <v>279430.75</v>
      </c>
      <c r="G450" t="str">
        <f>'2026_Chase9335_Activity_2026062'!G450</f>
        <v>Personal - Subscriptions</v>
      </c>
      <c r="H450" s="4">
        <f t="shared" si="6"/>
        <v>46023</v>
      </c>
      <c r="I450" t="str">
        <f>IF($G450="","Uncategorized — Review",IFERROR(_xlfn.XLOOKUP($G450,Mapping!$A:$A,Mapping!$B:$B),"Uncategorized — Review"))</f>
        <v>Personal - Subscriptions</v>
      </c>
      <c r="J450" t="str">
        <f>IF($G450="","Uncategorized — Review",IFERROR(_xlfn.XLOOKUP($G450,Mapping!$A:$A,Mapping!$C:$C),"Uncategorized — Review"))</f>
        <v>Personal — Owner</v>
      </c>
    </row>
    <row r="451" spans="1:10" x14ac:dyDescent="0.25">
      <c r="A451" t="str">
        <f>'2026_Chase9335_Activity_2026062'!A451</f>
        <v>DEBIT</v>
      </c>
      <c r="B451" s="1">
        <f>'2026_Chase9335_Activity_2026062'!B451</f>
        <v>46029</v>
      </c>
      <c r="C451" t="str">
        <f>'2026_Chase9335_Activity_2026062'!C451</f>
        <v>Prime Video *CN5WP3T5 888-802-3080 WA        01/07</v>
      </c>
      <c r="D451" s="5">
        <f>'2026_Chase9335_Activity_2026062'!D451</f>
        <v>-3.19</v>
      </c>
      <c r="E451" t="str">
        <f>'2026_Chase9335_Activity_2026062'!E451</f>
        <v>DEBIT_CARD</v>
      </c>
      <c r="F451" s="5">
        <f>'2026_Chase9335_Activity_2026062'!F451</f>
        <v>279433.94</v>
      </c>
      <c r="G451" t="str">
        <f>'2026_Chase9335_Activity_2026062'!G451</f>
        <v>Personal - Subscriptions</v>
      </c>
      <c r="H451" s="4">
        <f t="shared" ref="H451:H467" si="7">IF($B451="","",DATE(YEAR($B451),MONTH($B451),1))</f>
        <v>46023</v>
      </c>
      <c r="I451" t="str">
        <f>IF($G451="","Uncategorized — Review",IFERROR(_xlfn.XLOOKUP($G451,Mapping!$A:$A,Mapping!$B:$B),"Uncategorized — Review"))</f>
        <v>Personal - Subscriptions</v>
      </c>
      <c r="J451" t="str">
        <f>IF($G451="","Uncategorized — Review",IFERROR(_xlfn.XLOOKUP($G451,Mapping!$A:$A,Mapping!$C:$C),"Uncategorized — Review"))</f>
        <v>Personal — Owner</v>
      </c>
    </row>
    <row r="452" spans="1:10" x14ac:dyDescent="0.25">
      <c r="A452" t="str">
        <f>'2026_Chase9335_Activity_2026062'!A452</f>
        <v>CREDIT</v>
      </c>
      <c r="B452" s="1">
        <f>'2026_Chase9335_Activity_2026062'!B452</f>
        <v>46029</v>
      </c>
      <c r="C452" t="str">
        <f>'2026_Chase9335_Activity_2026062'!C452</f>
        <v>FEDWIRE CREDIT VIA: PACIFIC ALLIANCE BANK/122244511 B/O: STEVEN HOWARD KLAR LOS ANGELES CA 90016 REF: CHASE NYC/CTR/BNF=POSEIDON ASSET GROUP, LLC LOS ANGELES CA 90066-3638 US/AC-000000007200 RFB=2331 LUCERNE KLA OBI=/PURP/FAMILY/HOUSEHOLD/PER SONAL BBI=/BNF/CHASE BANK 270 PARK AVE 43RD F L NEW YORK NY 100 IMAD: 0107GMQFMP01018890 TRN: 0796091007FF</v>
      </c>
      <c r="D452" s="5">
        <f>'2026_Chase9335_Activity_2026062'!D452</f>
        <v>16000</v>
      </c>
      <c r="E452" t="str">
        <f>'2026_Chase9335_Activity_2026062'!E452</f>
        <v>WIRE_INCOMING</v>
      </c>
      <c r="F452" s="5">
        <f>'2026_Chase9335_Activity_2026062'!F452</f>
        <v>279437.13</v>
      </c>
      <c r="G452" t="str">
        <f>'2026_Chase9335_Activity_2026062'!G452</f>
        <v>Incoming wire from Steve Klar</v>
      </c>
      <c r="H452" s="4">
        <f t="shared" si="7"/>
        <v>46023</v>
      </c>
      <c r="I452" t="str">
        <f>IF($G452="","Uncategorized — Review",IFERROR(_xlfn.XLOOKUP($G452,Mapping!$A:$A,Mapping!$B:$B),"Uncategorized — Review"))</f>
        <v>Incoming wire from Steve Klar</v>
      </c>
      <c r="J452" t="str">
        <f>IF($G452="","Uncategorized — Review",IFERROR(_xlfn.XLOOKUP($G452,Mapping!$A:$A,Mapping!$C:$C),"Uncategorized — Review"))</f>
        <v>Wire Transfers — Incoming</v>
      </c>
    </row>
    <row r="453" spans="1:10" x14ac:dyDescent="0.25">
      <c r="A453" t="str">
        <f>'2026_Chase9335_Activity_2026062'!A453</f>
        <v>DEBIT</v>
      </c>
      <c r="B453" s="1">
        <f>'2026_Chase9335_Activity_2026062'!B453</f>
        <v>46028</v>
      </c>
      <c r="C453" t="str">
        <f>'2026_Chase9335_Activity_2026062'!C453</f>
        <v>APPLE COM BILL CUPERTINO CA          036845  01/06</v>
      </c>
      <c r="D453" s="5">
        <f>'2026_Chase9335_Activity_2026062'!D453</f>
        <v>-9.99</v>
      </c>
      <c r="E453" t="str">
        <f>'2026_Chase9335_Activity_2026062'!E453</f>
        <v>DEBIT_CARD</v>
      </c>
      <c r="F453" s="5">
        <f>'2026_Chase9335_Activity_2026062'!F453</f>
        <v>263437.13</v>
      </c>
      <c r="G453" t="str">
        <f>'2026_Chase9335_Activity_2026062'!G453</f>
        <v>Personal - Subscriptions</v>
      </c>
      <c r="H453" s="4">
        <f t="shared" si="7"/>
        <v>46023</v>
      </c>
      <c r="I453" t="str">
        <f>IF($G453="","Uncategorized — Review",IFERROR(_xlfn.XLOOKUP($G453,Mapping!$A:$A,Mapping!$B:$B),"Uncategorized — Review"))</f>
        <v>Personal - Subscriptions</v>
      </c>
      <c r="J453" t="str">
        <f>IF($G453="","Uncategorized — Review",IFERROR(_xlfn.XLOOKUP($G453,Mapping!$A:$A,Mapping!$C:$C),"Uncategorized — Review"))</f>
        <v>Personal — Owner</v>
      </c>
    </row>
    <row r="454" spans="1:10" x14ac:dyDescent="0.25">
      <c r="A454" t="str">
        <f>'2026_Chase9335_Activity_2026062'!A454</f>
        <v>DEBIT</v>
      </c>
      <c r="B454" s="1">
        <f>'2026_Chase9335_Activity_2026062'!B454</f>
        <v>46028</v>
      </c>
      <c r="C454" t="str">
        <f>'2026_Chase9335_Activity_2026062'!C454</f>
        <v>Prime Video *QX6IP4BT 888-802-3080 WA        01/06</v>
      </c>
      <c r="D454" s="5">
        <f>'2026_Chase9335_Activity_2026062'!D454</f>
        <v>-3.19</v>
      </c>
      <c r="E454" t="str">
        <f>'2026_Chase9335_Activity_2026062'!E454</f>
        <v>DEBIT_CARD</v>
      </c>
      <c r="F454" s="5">
        <f>'2026_Chase9335_Activity_2026062'!F454</f>
        <v>263447.12</v>
      </c>
      <c r="G454" t="str">
        <f>'2026_Chase9335_Activity_2026062'!G454</f>
        <v>Personal - Subscriptions</v>
      </c>
      <c r="H454" s="4">
        <f t="shared" si="7"/>
        <v>46023</v>
      </c>
      <c r="I454" t="str">
        <f>IF($G454="","Uncategorized — Review",IFERROR(_xlfn.XLOOKUP($G454,Mapping!$A:$A,Mapping!$B:$B),"Uncategorized — Review"))</f>
        <v>Personal - Subscriptions</v>
      </c>
      <c r="J454" t="str">
        <f>IF($G454="","Uncategorized — Review",IFERROR(_xlfn.XLOOKUP($G454,Mapping!$A:$A,Mapping!$C:$C),"Uncategorized — Review"))</f>
        <v>Personal — Owner</v>
      </c>
    </row>
    <row r="455" spans="1:10" x14ac:dyDescent="0.25">
      <c r="A455" t="str">
        <f>'2026_Chase9335_Activity_2026062'!A455</f>
        <v>DEBIT</v>
      </c>
      <c r="B455" s="1">
        <f>'2026_Chase9335_Activity_2026062'!B455</f>
        <v>46028</v>
      </c>
      <c r="C455" t="str">
        <f>'2026_Chase9335_Activity_2026062'!C455</f>
        <v>Prime Video *2J57V3JR 888-802-3080 WA        01/06</v>
      </c>
      <c r="D455" s="5">
        <f>'2026_Chase9335_Activity_2026062'!D455</f>
        <v>-3.19</v>
      </c>
      <c r="E455" t="str">
        <f>'2026_Chase9335_Activity_2026062'!E455</f>
        <v>DEBIT_CARD</v>
      </c>
      <c r="F455" s="5">
        <f>'2026_Chase9335_Activity_2026062'!F455</f>
        <v>263450.31</v>
      </c>
      <c r="G455" t="str">
        <f>'2026_Chase9335_Activity_2026062'!G455</f>
        <v>Personal - Subscriptions</v>
      </c>
      <c r="H455" s="4">
        <f t="shared" si="7"/>
        <v>46023</v>
      </c>
      <c r="I455" t="str">
        <f>IF($G455="","Uncategorized — Review",IFERROR(_xlfn.XLOOKUP($G455,Mapping!$A:$A,Mapping!$B:$B),"Uncategorized — Review"))</f>
        <v>Personal - Subscriptions</v>
      </c>
      <c r="J455" t="str">
        <f>IF($G455="","Uncategorized — Review",IFERROR(_xlfn.XLOOKUP($G455,Mapping!$A:$A,Mapping!$C:$C),"Uncategorized — Review"))</f>
        <v>Personal — Owner</v>
      </c>
    </row>
    <row r="456" spans="1:10" x14ac:dyDescent="0.25">
      <c r="A456" t="str">
        <f>'2026_Chase9335_Activity_2026062'!A456</f>
        <v>DEBIT</v>
      </c>
      <c r="B456" s="1">
        <f>'2026_Chase9335_Activity_2026062'!B456</f>
        <v>46028</v>
      </c>
      <c r="C456" t="str">
        <f>'2026_Chase9335_Activity_2026062'!C456</f>
        <v>Prime Video *N81IP4N8 888-802-3080 WA        01/06</v>
      </c>
      <c r="D456" s="5">
        <f>'2026_Chase9335_Activity_2026062'!D456</f>
        <v>-3.19</v>
      </c>
      <c r="E456" t="str">
        <f>'2026_Chase9335_Activity_2026062'!E456</f>
        <v>DEBIT_CARD</v>
      </c>
      <c r="F456" s="5">
        <f>'2026_Chase9335_Activity_2026062'!F456</f>
        <v>263453.5</v>
      </c>
      <c r="G456" t="str">
        <f>'2026_Chase9335_Activity_2026062'!G456</f>
        <v>Personal - Subscriptions</v>
      </c>
      <c r="H456" s="4">
        <f t="shared" si="7"/>
        <v>46023</v>
      </c>
      <c r="I456" t="str">
        <f>IF($G456="","Uncategorized — Review",IFERROR(_xlfn.XLOOKUP($G456,Mapping!$A:$A,Mapping!$B:$B),"Uncategorized — Review"))</f>
        <v>Personal - Subscriptions</v>
      </c>
      <c r="J456" t="str">
        <f>IF($G456="","Uncategorized — Review",IFERROR(_xlfn.XLOOKUP($G456,Mapping!$A:$A,Mapping!$C:$C),"Uncategorized — Review"))</f>
        <v>Personal — Owner</v>
      </c>
    </row>
    <row r="457" spans="1:10" x14ac:dyDescent="0.25">
      <c r="A457" t="str">
        <f>'2026_Chase9335_Activity_2026062'!A457</f>
        <v>DEBIT</v>
      </c>
      <c r="B457" s="1">
        <f>'2026_Chase9335_Activity_2026062'!B457</f>
        <v>46028</v>
      </c>
      <c r="C457" t="str">
        <f>'2026_Chase9335_Activity_2026062'!C457</f>
        <v>Prime Video *U99PJ08Y 888-802-3080 WA        01/06</v>
      </c>
      <c r="D457" s="5">
        <f>'2026_Chase9335_Activity_2026062'!D457</f>
        <v>-3.19</v>
      </c>
      <c r="E457" t="str">
        <f>'2026_Chase9335_Activity_2026062'!E457</f>
        <v>DEBIT_CARD</v>
      </c>
      <c r="F457" s="5">
        <f>'2026_Chase9335_Activity_2026062'!F457</f>
        <v>263456.69</v>
      </c>
      <c r="G457" t="str">
        <f>'2026_Chase9335_Activity_2026062'!G457</f>
        <v>Personal - Subscriptions</v>
      </c>
      <c r="H457" s="4">
        <f t="shared" si="7"/>
        <v>46023</v>
      </c>
      <c r="I457" t="str">
        <f>IF($G457="","Uncategorized — Review",IFERROR(_xlfn.XLOOKUP($G457,Mapping!$A:$A,Mapping!$B:$B),"Uncategorized — Review"))</f>
        <v>Personal - Subscriptions</v>
      </c>
      <c r="J457" t="str">
        <f>IF($G457="","Uncategorized — Review",IFERROR(_xlfn.XLOOKUP($G457,Mapping!$A:$A,Mapping!$C:$C),"Uncategorized — Review"))</f>
        <v>Personal — Owner</v>
      </c>
    </row>
    <row r="458" spans="1:10" x14ac:dyDescent="0.25">
      <c r="A458" t="str">
        <f>'2026_Chase9335_Activity_2026062'!A458</f>
        <v>DEBIT</v>
      </c>
      <c r="B458" s="1">
        <f>'2026_Chase9335_Activity_2026062'!B458</f>
        <v>46027</v>
      </c>
      <c r="C458" t="str">
        <f>'2026_Chase9335_Activity_2026062'!C458</f>
        <v>AA WIFI 1-888-649-6711 Fort Worth TX         01/05</v>
      </c>
      <c r="D458" s="5">
        <f>'2026_Chase9335_Activity_2026062'!D458</f>
        <v>-12</v>
      </c>
      <c r="E458" t="str">
        <f>'2026_Chase9335_Activity_2026062'!E458</f>
        <v>DEBIT_CARD</v>
      </c>
      <c r="F458" s="5">
        <f>'2026_Chase9335_Activity_2026062'!F458</f>
        <v>263459.88</v>
      </c>
      <c r="G458" t="str">
        <f>'2026_Chase9335_Activity_2026062'!G458</f>
        <v>Personal - Travel</v>
      </c>
      <c r="H458" s="4">
        <f t="shared" si="7"/>
        <v>46023</v>
      </c>
      <c r="I458" t="str">
        <f>IF($G458="","Uncategorized — Review",IFERROR(_xlfn.XLOOKUP($G458,Mapping!$A:$A,Mapping!$B:$B),"Uncategorized — Review"))</f>
        <v>Personal - Travel</v>
      </c>
      <c r="J458" t="str">
        <f>IF($G458="","Uncategorized — Review",IFERROR(_xlfn.XLOOKUP($G458,Mapping!$A:$A,Mapping!$C:$C),"Uncategorized — Review"))</f>
        <v>Personal — Owner</v>
      </c>
    </row>
    <row r="459" spans="1:10" x14ac:dyDescent="0.25">
      <c r="A459" t="str">
        <f>'2026_Chase9335_Activity_2026062'!A459</f>
        <v>DEBIT</v>
      </c>
      <c r="B459" s="1">
        <f>'2026_Chase9335_Activity_2026062'!B459</f>
        <v>46027</v>
      </c>
      <c r="C459" t="str">
        <f>'2026_Chase9335_Activity_2026062'!C459</f>
        <v>Amazon Tips*IO61C0HZ Amzn.com/bill WA        01/03</v>
      </c>
      <c r="D459" s="5">
        <f>'2026_Chase9335_Activity_2026062'!D459</f>
        <v>-5</v>
      </c>
      <c r="E459" t="str">
        <f>'2026_Chase9335_Activity_2026062'!E459</f>
        <v>DEBIT_CARD</v>
      </c>
      <c r="F459" s="5">
        <f>'2026_Chase9335_Activity_2026062'!F459</f>
        <v>263471.88</v>
      </c>
      <c r="G459" t="str">
        <f>'2026_Chase9335_Activity_2026062'!G459</f>
        <v>Amazon</v>
      </c>
      <c r="H459" s="4">
        <f t="shared" si="7"/>
        <v>46023</v>
      </c>
      <c r="I459" t="str">
        <f>IF($G459="","Uncategorized — Review",IFERROR(_xlfn.XLOOKUP($G459,Mapping!$A:$A,Mapping!$B:$B),"Uncategorized — Review"))</f>
        <v>Amazon</v>
      </c>
      <c r="J459" t="str">
        <f>IF($G459="","Uncategorized — Review",IFERROR(_xlfn.XLOOKUP($G459,Mapping!$A:$A,Mapping!$C:$C),"Uncategorized — Review"))</f>
        <v>Personal — Owner</v>
      </c>
    </row>
    <row r="460" spans="1:10" x14ac:dyDescent="0.25">
      <c r="A460" t="str">
        <f>'2026_Chase9335_Activity_2026062'!A460</f>
        <v>DEBIT</v>
      </c>
      <c r="B460" s="1">
        <f>'2026_Chase9335_Activity_2026062'!B460</f>
        <v>46027</v>
      </c>
      <c r="C460" t="str">
        <f>'2026_Chase9335_Activity_2026062'!C460</f>
        <v>AMAZON MKTPL*W21G791 Amzn.com/bill WA        01/03</v>
      </c>
      <c r="D460" s="5">
        <f>'2026_Chase9335_Activity_2026062'!D460</f>
        <v>-12.06</v>
      </c>
      <c r="E460" t="str">
        <f>'2026_Chase9335_Activity_2026062'!E460</f>
        <v>DEBIT_CARD</v>
      </c>
      <c r="F460" s="5">
        <f>'2026_Chase9335_Activity_2026062'!F460</f>
        <v>263476.88</v>
      </c>
      <c r="G460" t="str">
        <f>'2026_Chase9335_Activity_2026062'!G460</f>
        <v>Amazon</v>
      </c>
      <c r="H460" s="4">
        <f t="shared" si="7"/>
        <v>46023</v>
      </c>
      <c r="I460" t="str">
        <f>IF($G460="","Uncategorized — Review",IFERROR(_xlfn.XLOOKUP($G460,Mapping!$A:$A,Mapping!$B:$B),"Uncategorized — Review"))</f>
        <v>Amazon</v>
      </c>
      <c r="J460" t="str">
        <f>IF($G460="","Uncategorized — Review",IFERROR(_xlfn.XLOOKUP($G460,Mapping!$A:$A,Mapping!$C:$C),"Uncategorized — Review"))</f>
        <v>Personal — Owner</v>
      </c>
    </row>
    <row r="461" spans="1:10" x14ac:dyDescent="0.25">
      <c r="A461" t="str">
        <f>'2026_Chase9335_Activity_2026062'!A461</f>
        <v>DEBIT</v>
      </c>
      <c r="B461" s="1">
        <f>'2026_Chase9335_Activity_2026062'!B461</f>
        <v>46027</v>
      </c>
      <c r="C461" t="str">
        <f>'2026_Chase9335_Activity_2026062'!C461</f>
        <v>Amazon.com*A40R24G63 Amzn.com/bill WA        01/03</v>
      </c>
      <c r="D461" s="5">
        <f>'2026_Chase9335_Activity_2026062'!D461</f>
        <v>-8.6199999999999992</v>
      </c>
      <c r="E461" t="str">
        <f>'2026_Chase9335_Activity_2026062'!E461</f>
        <v>DEBIT_CARD</v>
      </c>
      <c r="F461" s="5">
        <f>'2026_Chase9335_Activity_2026062'!F461</f>
        <v>263488.94</v>
      </c>
      <c r="G461" t="str">
        <f>'2026_Chase9335_Activity_2026062'!G461</f>
        <v>Amazon</v>
      </c>
      <c r="H461" s="4">
        <f t="shared" si="7"/>
        <v>46023</v>
      </c>
      <c r="I461" t="str">
        <f>IF($G461="","Uncategorized — Review",IFERROR(_xlfn.XLOOKUP($G461,Mapping!$A:$A,Mapping!$B:$B),"Uncategorized — Review"))</f>
        <v>Amazon</v>
      </c>
      <c r="J461" t="str">
        <f>IF($G461="","Uncategorized — Review",IFERROR(_xlfn.XLOOKUP($G461,Mapping!$A:$A,Mapping!$C:$C),"Uncategorized — Review"))</f>
        <v>Personal — Owner</v>
      </c>
    </row>
    <row r="462" spans="1:10" x14ac:dyDescent="0.25">
      <c r="A462" t="str">
        <f>'2026_Chase9335_Activity_2026062'!A462</f>
        <v>DEBIT</v>
      </c>
      <c r="B462" s="1">
        <f>'2026_Chase9335_Activity_2026062'!B462</f>
        <v>46027</v>
      </c>
      <c r="C462" t="str">
        <f>'2026_Chase9335_Activity_2026062'!C462</f>
        <v>Amazon Retai*CK5A731 Amzn.com/bill WA        01/02</v>
      </c>
      <c r="D462" s="5">
        <f>'2026_Chase9335_Activity_2026062'!D462</f>
        <v>-43.02</v>
      </c>
      <c r="E462" t="str">
        <f>'2026_Chase9335_Activity_2026062'!E462</f>
        <v>DEBIT_CARD</v>
      </c>
      <c r="F462" s="5">
        <f>'2026_Chase9335_Activity_2026062'!F462</f>
        <v>263497.56</v>
      </c>
      <c r="G462" t="str">
        <f>'2026_Chase9335_Activity_2026062'!G462</f>
        <v>Amazon</v>
      </c>
      <c r="H462" s="4">
        <f t="shared" si="7"/>
        <v>46023</v>
      </c>
      <c r="I462" t="str">
        <f>IF($G462="","Uncategorized — Review",IFERROR(_xlfn.XLOOKUP($G462,Mapping!$A:$A,Mapping!$B:$B),"Uncategorized — Review"))</f>
        <v>Amazon</v>
      </c>
      <c r="J462" t="str">
        <f>IF($G462="","Uncategorized — Review",IFERROR(_xlfn.XLOOKUP($G462,Mapping!$A:$A,Mapping!$C:$C),"Uncategorized — Review"))</f>
        <v>Personal — Owner</v>
      </c>
    </row>
    <row r="463" spans="1:10" x14ac:dyDescent="0.25">
      <c r="A463" t="str">
        <f>'2026_Chase9335_Activity_2026062'!A463</f>
        <v>DEBIT</v>
      </c>
      <c r="B463" s="1">
        <f>'2026_Chase9335_Activity_2026062'!B463</f>
        <v>46024</v>
      </c>
      <c r="C463" t="str">
        <f>'2026_Chase9335_Activity_2026062'!C463</f>
        <v>Amazon.com*QQ50Q2HC3 Amzn.com/bill WA        01/02</v>
      </c>
      <c r="D463" s="5">
        <f>'2026_Chase9335_Activity_2026062'!D463</f>
        <v>-31.88</v>
      </c>
      <c r="E463" t="str">
        <f>'2026_Chase9335_Activity_2026062'!E463</f>
        <v>DEBIT_CARD</v>
      </c>
      <c r="F463" s="5">
        <f>'2026_Chase9335_Activity_2026062'!F463</f>
        <v>263540.58</v>
      </c>
      <c r="G463" t="str">
        <f>'2026_Chase9335_Activity_2026062'!G463</f>
        <v>Amazon</v>
      </c>
      <c r="H463" s="4">
        <f t="shared" si="7"/>
        <v>46023</v>
      </c>
      <c r="I463" t="str">
        <f>IF($G463="","Uncategorized — Review",IFERROR(_xlfn.XLOOKUP($G463,Mapping!$A:$A,Mapping!$B:$B),"Uncategorized — Review"))</f>
        <v>Amazon</v>
      </c>
      <c r="J463" t="str">
        <f>IF($G463="","Uncategorized — Review",IFERROR(_xlfn.XLOOKUP($G463,Mapping!$A:$A,Mapping!$C:$C),"Uncategorized — Review"))</f>
        <v>Personal — Owner</v>
      </c>
    </row>
    <row r="464" spans="1:10" x14ac:dyDescent="0.25">
      <c r="A464" t="str">
        <f>'2026_Chase9335_Activity_2026062'!A464</f>
        <v>DEBIT</v>
      </c>
      <c r="B464" s="1">
        <f>'2026_Chase9335_Activity_2026062'!B464</f>
        <v>46024</v>
      </c>
      <c r="C464" t="str">
        <f>'2026_Chase9335_Activity_2026062'!C464</f>
        <v>Prime Video *GI9E19VK 888-802-3080 WA        01/02</v>
      </c>
      <c r="D464" s="5">
        <f>'2026_Chase9335_Activity_2026062'!D464</f>
        <v>-6.39</v>
      </c>
      <c r="E464" t="str">
        <f>'2026_Chase9335_Activity_2026062'!E464</f>
        <v>DEBIT_CARD</v>
      </c>
      <c r="F464" s="5">
        <f>'2026_Chase9335_Activity_2026062'!F464</f>
        <v>263572.46000000002</v>
      </c>
      <c r="G464" t="str">
        <f>'2026_Chase9335_Activity_2026062'!G464</f>
        <v>Personal - Subscriptions</v>
      </c>
      <c r="H464" s="4">
        <f t="shared" si="7"/>
        <v>46023</v>
      </c>
      <c r="I464" t="str">
        <f>IF($G464="","Uncategorized — Review",IFERROR(_xlfn.XLOOKUP($G464,Mapping!$A:$A,Mapping!$B:$B),"Uncategorized — Review"))</f>
        <v>Personal - Subscriptions</v>
      </c>
      <c r="J464" t="str">
        <f>IF($G464="","Uncategorized — Review",IFERROR(_xlfn.XLOOKUP($G464,Mapping!$A:$A,Mapping!$C:$C),"Uncategorized — Review"))</f>
        <v>Personal — Owner</v>
      </c>
    </row>
    <row r="465" spans="1:10" x14ac:dyDescent="0.25">
      <c r="A465" t="str">
        <f>'2026_Chase9335_Activity_2026062'!A465</f>
        <v>DEBIT</v>
      </c>
      <c r="B465" s="1">
        <f>'2026_Chase9335_Activity_2026062'!B465</f>
        <v>46024</v>
      </c>
      <c r="C465" t="str">
        <f>'2026_Chase9335_Activity_2026062'!C465</f>
        <v>Prime Video *UY9BA4XN 888-802-3080 WA        01/01</v>
      </c>
      <c r="D465" s="5">
        <f>'2026_Chase9335_Activity_2026062'!D465</f>
        <v>-4.05</v>
      </c>
      <c r="E465" t="str">
        <f>'2026_Chase9335_Activity_2026062'!E465</f>
        <v>DEBIT_CARD</v>
      </c>
      <c r="F465" s="5">
        <f>'2026_Chase9335_Activity_2026062'!F465</f>
        <v>263578.84999999998</v>
      </c>
      <c r="G465" t="str">
        <f>'2026_Chase9335_Activity_2026062'!G465</f>
        <v>Personal - Subscriptions</v>
      </c>
      <c r="H465" s="4">
        <f t="shared" si="7"/>
        <v>46023</v>
      </c>
      <c r="I465" t="str">
        <f>IF($G465="","Uncategorized — Review",IFERROR(_xlfn.XLOOKUP($G465,Mapping!$A:$A,Mapping!$B:$B),"Uncategorized — Review"))</f>
        <v>Personal - Subscriptions</v>
      </c>
      <c r="J465" t="str">
        <f>IF($G465="","Uncategorized — Review",IFERROR(_xlfn.XLOOKUP($G465,Mapping!$A:$A,Mapping!$C:$C),"Uncategorized — Review"))</f>
        <v>Personal — Owner</v>
      </c>
    </row>
    <row r="466" spans="1:10" x14ac:dyDescent="0.25">
      <c r="A466" t="str">
        <f>'2026_Chase9335_Activity_2026062'!A466</f>
        <v>DEBIT</v>
      </c>
      <c r="B466" s="1">
        <f>'2026_Chase9335_Activity_2026062'!B466</f>
        <v>46024</v>
      </c>
      <c r="C466" t="str">
        <f>'2026_Chase9335_Activity_2026062'!C466</f>
        <v>VENICE LIQUOR LOS ANGELES CA                 01/01</v>
      </c>
      <c r="D466" s="5">
        <f>'2026_Chase9335_Activity_2026062'!D466</f>
        <v>-4.5</v>
      </c>
      <c r="E466" t="str">
        <f>'2026_Chase9335_Activity_2026062'!E466</f>
        <v>DEBIT_CARD</v>
      </c>
      <c r="F466" s="5">
        <f>'2026_Chase9335_Activity_2026062'!F466</f>
        <v>263582.90000000002</v>
      </c>
      <c r="G466" t="str">
        <f>'2026_Chase9335_Activity_2026062'!G466</f>
        <v>Personal - Food &amp; Dining</v>
      </c>
      <c r="H466" s="4">
        <f t="shared" si="7"/>
        <v>46023</v>
      </c>
      <c r="I466" t="str">
        <f>IF($G466="","Uncategorized — Review",IFERROR(_xlfn.XLOOKUP($G466,Mapping!$A:$A,Mapping!$B:$B),"Uncategorized — Review"))</f>
        <v>Personal - Food &amp; Dining</v>
      </c>
      <c r="J466" t="str">
        <f>IF($G466="","Uncategorized — Review",IFERROR(_xlfn.XLOOKUP($G466,Mapping!$A:$A,Mapping!$C:$C),"Uncategorized — Review"))</f>
        <v>Personal — Owner</v>
      </c>
    </row>
    <row r="467" spans="1:10" x14ac:dyDescent="0.25">
      <c r="A467" t="str">
        <f>'2026_Chase9335_Activity_2026062'!A467</f>
        <v>DEBIT</v>
      </c>
      <c r="B467" s="1">
        <f>'2026_Chase9335_Activity_2026062'!B467</f>
        <v>46024</v>
      </c>
      <c r="C467" t="str">
        <f>'2026_Chase9335_Activity_2026062'!C467</f>
        <v>Experian* Credit Repor 479-3436237 CA        01/01</v>
      </c>
      <c r="D467" s="5">
        <f>'2026_Chase9335_Activity_2026062'!D467</f>
        <v>-27.05</v>
      </c>
      <c r="E467" t="str">
        <f>'2026_Chase9335_Activity_2026062'!E467</f>
        <v>DEBIT_CARD</v>
      </c>
      <c r="F467" s="5">
        <f>'2026_Chase9335_Activity_2026062'!F467</f>
        <v>263587.40000000002</v>
      </c>
      <c r="G467" t="str">
        <f>'2026_Chase9335_Activity_2026062'!G467</f>
        <v>Personal - Subscriptions</v>
      </c>
      <c r="H467" s="4">
        <f t="shared" si="7"/>
        <v>46023</v>
      </c>
      <c r="I467" t="str">
        <f>IF($G467="","Uncategorized — Review",IFERROR(_xlfn.XLOOKUP($G467,Mapping!$A:$A,Mapping!$B:$B),"Uncategorized — Review"))</f>
        <v>Personal - Subscriptions</v>
      </c>
      <c r="J467" t="str">
        <f>IF($G467="","Uncategorized — Review",IFERROR(_xlfn.XLOOKUP($G467,Mapping!$A:$A,Mapping!$C:$C),"Uncategorized — Review"))</f>
        <v>Personal — Owner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38F7-76CB-4C39-9711-6B371094F830}">
  <dimension ref="A1:C58"/>
  <sheetViews>
    <sheetView topLeftCell="A4" workbookViewId="0"/>
  </sheetViews>
  <sheetFormatPr defaultRowHeight="15" x14ac:dyDescent="0.25"/>
  <cols>
    <col min="1" max="2" width="43" bestFit="1" customWidth="1"/>
    <col min="3" max="3" width="33.5703125" bestFit="1" customWidth="1"/>
  </cols>
  <sheetData>
    <row r="1" spans="1:3" x14ac:dyDescent="0.25">
      <c r="A1" s="2" t="s">
        <v>531</v>
      </c>
      <c r="B1" s="2" t="s">
        <v>532</v>
      </c>
      <c r="C1" s="2" t="s">
        <v>533</v>
      </c>
    </row>
    <row r="2" spans="1:3" x14ac:dyDescent="0.25">
      <c r="A2" t="s">
        <v>512</v>
      </c>
      <c r="B2" t="s">
        <v>512</v>
      </c>
      <c r="C2" t="s">
        <v>534</v>
      </c>
    </row>
    <row r="3" spans="1:3" x14ac:dyDescent="0.25">
      <c r="A3" t="s">
        <v>488</v>
      </c>
      <c r="B3" t="s">
        <v>488</v>
      </c>
      <c r="C3" t="s">
        <v>535</v>
      </c>
    </row>
    <row r="4" spans="1:3" x14ac:dyDescent="0.25">
      <c r="A4" t="s">
        <v>498</v>
      </c>
      <c r="B4" t="s">
        <v>498</v>
      </c>
      <c r="C4" t="s">
        <v>535</v>
      </c>
    </row>
    <row r="5" spans="1:3" x14ac:dyDescent="0.25">
      <c r="A5" t="s">
        <v>475</v>
      </c>
      <c r="B5" t="s">
        <v>475</v>
      </c>
      <c r="C5" t="s">
        <v>536</v>
      </c>
    </row>
    <row r="6" spans="1:3" x14ac:dyDescent="0.25">
      <c r="A6" t="s">
        <v>525</v>
      </c>
      <c r="B6" t="s">
        <v>525</v>
      </c>
      <c r="C6" t="s">
        <v>537</v>
      </c>
    </row>
    <row r="7" spans="1:3" x14ac:dyDescent="0.25">
      <c r="A7" t="s">
        <v>496</v>
      </c>
      <c r="B7" t="s">
        <v>496</v>
      </c>
      <c r="C7" t="s">
        <v>534</v>
      </c>
    </row>
    <row r="8" spans="1:3" x14ac:dyDescent="0.25">
      <c r="A8" t="s">
        <v>509</v>
      </c>
      <c r="B8" t="s">
        <v>509</v>
      </c>
      <c r="C8" t="s">
        <v>538</v>
      </c>
    </row>
    <row r="9" spans="1:3" x14ac:dyDescent="0.25">
      <c r="A9" t="s">
        <v>490</v>
      </c>
      <c r="B9" t="s">
        <v>490</v>
      </c>
      <c r="C9" t="s">
        <v>539</v>
      </c>
    </row>
    <row r="10" spans="1:3" x14ac:dyDescent="0.25">
      <c r="A10" t="s">
        <v>501</v>
      </c>
      <c r="B10" t="s">
        <v>501</v>
      </c>
      <c r="C10" t="s">
        <v>538</v>
      </c>
    </row>
    <row r="11" spans="1:3" x14ac:dyDescent="0.25">
      <c r="A11" t="s">
        <v>515</v>
      </c>
      <c r="B11" t="s">
        <v>515</v>
      </c>
      <c r="C11" t="s">
        <v>538</v>
      </c>
    </row>
    <row r="12" spans="1:3" x14ac:dyDescent="0.25">
      <c r="A12" t="s">
        <v>502</v>
      </c>
      <c r="B12" t="s">
        <v>502</v>
      </c>
      <c r="C12" t="s">
        <v>538</v>
      </c>
    </row>
    <row r="13" spans="1:3" x14ac:dyDescent="0.25">
      <c r="A13" t="s">
        <v>503</v>
      </c>
      <c r="B13" t="s">
        <v>503</v>
      </c>
      <c r="C13" t="s">
        <v>538</v>
      </c>
    </row>
    <row r="14" spans="1:3" x14ac:dyDescent="0.25">
      <c r="A14" t="s">
        <v>516</v>
      </c>
      <c r="B14" t="s">
        <v>516</v>
      </c>
      <c r="C14" t="s">
        <v>538</v>
      </c>
    </row>
    <row r="15" spans="1:3" x14ac:dyDescent="0.25">
      <c r="A15" t="s">
        <v>505</v>
      </c>
      <c r="B15" t="s">
        <v>505</v>
      </c>
      <c r="C15" t="s">
        <v>534</v>
      </c>
    </row>
    <row r="16" spans="1:3" x14ac:dyDescent="0.25">
      <c r="A16" t="s">
        <v>524</v>
      </c>
      <c r="B16" t="s">
        <v>524</v>
      </c>
      <c r="C16" t="s">
        <v>540</v>
      </c>
    </row>
    <row r="17" spans="1:3" x14ac:dyDescent="0.25">
      <c r="A17" t="s">
        <v>519</v>
      </c>
      <c r="B17" t="s">
        <v>519</v>
      </c>
      <c r="C17" t="s">
        <v>540</v>
      </c>
    </row>
    <row r="18" spans="1:3" x14ac:dyDescent="0.25">
      <c r="A18" t="s">
        <v>514</v>
      </c>
      <c r="B18" t="s">
        <v>514</v>
      </c>
      <c r="C18" t="s">
        <v>541</v>
      </c>
    </row>
    <row r="19" spans="1:3" x14ac:dyDescent="0.25">
      <c r="A19" t="s">
        <v>530</v>
      </c>
      <c r="B19" t="s">
        <v>530</v>
      </c>
      <c r="C19" t="s">
        <v>541</v>
      </c>
    </row>
    <row r="20" spans="1:3" x14ac:dyDescent="0.25">
      <c r="A20" t="s">
        <v>507</v>
      </c>
      <c r="B20" t="s">
        <v>507</v>
      </c>
      <c r="C20" t="s">
        <v>541</v>
      </c>
    </row>
    <row r="21" spans="1:3" x14ac:dyDescent="0.25">
      <c r="A21" t="s">
        <v>520</v>
      </c>
      <c r="B21" t="s">
        <v>520</v>
      </c>
      <c r="C21" t="s">
        <v>542</v>
      </c>
    </row>
    <row r="22" spans="1:3" x14ac:dyDescent="0.25">
      <c r="A22" t="s">
        <v>508</v>
      </c>
      <c r="B22" t="s">
        <v>508</v>
      </c>
      <c r="C22" t="s">
        <v>542</v>
      </c>
    </row>
    <row r="23" spans="1:3" x14ac:dyDescent="0.25">
      <c r="A23" t="s">
        <v>521</v>
      </c>
      <c r="B23" t="s">
        <v>521</v>
      </c>
      <c r="C23" t="s">
        <v>534</v>
      </c>
    </row>
    <row r="24" spans="1:3" x14ac:dyDescent="0.25">
      <c r="A24" t="s">
        <v>528</v>
      </c>
      <c r="B24" t="s">
        <v>528</v>
      </c>
      <c r="C24" t="s">
        <v>543</v>
      </c>
    </row>
    <row r="25" spans="1:3" x14ac:dyDescent="0.25">
      <c r="A25" t="s">
        <v>486</v>
      </c>
      <c r="B25" t="s">
        <v>486</v>
      </c>
      <c r="C25" t="s">
        <v>543</v>
      </c>
    </row>
    <row r="26" spans="1:3" x14ac:dyDescent="0.25">
      <c r="A26" t="s">
        <v>518</v>
      </c>
      <c r="B26" t="s">
        <v>518</v>
      </c>
      <c r="C26" t="s">
        <v>543</v>
      </c>
    </row>
    <row r="27" spans="1:3" x14ac:dyDescent="0.25">
      <c r="A27" t="s">
        <v>484</v>
      </c>
      <c r="B27" t="s">
        <v>484</v>
      </c>
      <c r="C27" t="s">
        <v>542</v>
      </c>
    </row>
    <row r="28" spans="1:3" x14ac:dyDescent="0.25">
      <c r="A28" t="s">
        <v>481</v>
      </c>
      <c r="B28" t="s">
        <v>481</v>
      </c>
      <c r="C28" t="s">
        <v>539</v>
      </c>
    </row>
    <row r="29" spans="1:3" x14ac:dyDescent="0.25">
      <c r="A29" t="s">
        <v>499</v>
      </c>
      <c r="B29" t="s">
        <v>544</v>
      </c>
      <c r="C29" t="s">
        <v>535</v>
      </c>
    </row>
    <row r="30" spans="1:3" x14ac:dyDescent="0.25">
      <c r="A30" t="s">
        <v>500</v>
      </c>
      <c r="B30" t="s">
        <v>500</v>
      </c>
      <c r="C30" t="s">
        <v>535</v>
      </c>
    </row>
    <row r="31" spans="1:3" x14ac:dyDescent="0.25">
      <c r="A31" t="s">
        <v>477</v>
      </c>
      <c r="B31" t="s">
        <v>477</v>
      </c>
      <c r="C31" t="s">
        <v>535</v>
      </c>
    </row>
    <row r="32" spans="1:3" x14ac:dyDescent="0.25">
      <c r="A32" t="s">
        <v>491</v>
      </c>
      <c r="B32" t="s">
        <v>491</v>
      </c>
      <c r="C32" t="s">
        <v>535</v>
      </c>
    </row>
    <row r="33" spans="1:3" x14ac:dyDescent="0.25">
      <c r="A33" t="s">
        <v>526</v>
      </c>
      <c r="B33" t="s">
        <v>526</v>
      </c>
      <c r="C33" t="s">
        <v>535</v>
      </c>
    </row>
    <row r="34" spans="1:3" x14ac:dyDescent="0.25">
      <c r="A34" t="s">
        <v>476</v>
      </c>
      <c r="B34" t="s">
        <v>476</v>
      </c>
      <c r="C34" t="s">
        <v>535</v>
      </c>
    </row>
    <row r="35" spans="1:3" x14ac:dyDescent="0.25">
      <c r="A35" t="s">
        <v>506</v>
      </c>
      <c r="B35" t="s">
        <v>506</v>
      </c>
      <c r="C35" t="s">
        <v>535</v>
      </c>
    </row>
    <row r="36" spans="1:3" x14ac:dyDescent="0.25">
      <c r="A36" t="s">
        <v>517</v>
      </c>
      <c r="B36" t="s">
        <v>517</v>
      </c>
      <c r="C36" t="s">
        <v>535</v>
      </c>
    </row>
    <row r="37" spans="1:3" x14ac:dyDescent="0.25">
      <c r="A37" t="s">
        <v>513</v>
      </c>
      <c r="B37" t="s">
        <v>513</v>
      </c>
      <c r="C37" t="s">
        <v>545</v>
      </c>
    </row>
    <row r="38" spans="1:3" x14ac:dyDescent="0.25">
      <c r="A38" t="s">
        <v>495</v>
      </c>
      <c r="B38" t="s">
        <v>495</v>
      </c>
      <c r="C38" t="s">
        <v>546</v>
      </c>
    </row>
    <row r="39" spans="1:3" x14ac:dyDescent="0.25">
      <c r="A39" t="s">
        <v>497</v>
      </c>
      <c r="B39" t="s">
        <v>497</v>
      </c>
      <c r="C39" t="s">
        <v>546</v>
      </c>
    </row>
    <row r="40" spans="1:3" x14ac:dyDescent="0.25">
      <c r="A40" t="s">
        <v>485</v>
      </c>
      <c r="B40" t="s">
        <v>485</v>
      </c>
      <c r="C40" t="s">
        <v>546</v>
      </c>
    </row>
    <row r="41" spans="1:3" x14ac:dyDescent="0.25">
      <c r="A41" t="s">
        <v>489</v>
      </c>
      <c r="B41" t="s">
        <v>489</v>
      </c>
      <c r="C41" t="s">
        <v>546</v>
      </c>
    </row>
    <row r="42" spans="1:3" x14ac:dyDescent="0.25">
      <c r="A42" t="s">
        <v>478</v>
      </c>
      <c r="B42" t="s">
        <v>478</v>
      </c>
      <c r="C42" t="s">
        <v>547</v>
      </c>
    </row>
    <row r="43" spans="1:3" x14ac:dyDescent="0.25">
      <c r="A43" t="s">
        <v>504</v>
      </c>
      <c r="B43" t="s">
        <v>504</v>
      </c>
      <c r="C43" t="s">
        <v>546</v>
      </c>
    </row>
    <row r="44" spans="1:3" x14ac:dyDescent="0.25">
      <c r="A44" t="s">
        <v>479</v>
      </c>
      <c r="B44" t="s">
        <v>479</v>
      </c>
      <c r="C44" t="s">
        <v>546</v>
      </c>
    </row>
    <row r="45" spans="1:3" x14ac:dyDescent="0.25">
      <c r="A45" t="s">
        <v>494</v>
      </c>
      <c r="B45" t="s">
        <v>494</v>
      </c>
      <c r="C45" t="s">
        <v>546</v>
      </c>
    </row>
    <row r="46" spans="1:3" x14ac:dyDescent="0.25">
      <c r="A46" t="s">
        <v>482</v>
      </c>
      <c r="B46" t="s">
        <v>482</v>
      </c>
      <c r="C46" t="s">
        <v>546</v>
      </c>
    </row>
    <row r="47" spans="1:3" x14ac:dyDescent="0.25">
      <c r="A47" t="s">
        <v>487</v>
      </c>
      <c r="B47" t="s">
        <v>487</v>
      </c>
      <c r="C47" t="s">
        <v>546</v>
      </c>
    </row>
    <row r="48" spans="1:3" x14ac:dyDescent="0.25">
      <c r="A48" t="s">
        <v>522</v>
      </c>
      <c r="B48" t="s">
        <v>522</v>
      </c>
      <c r="C48" t="s">
        <v>546</v>
      </c>
    </row>
    <row r="49" spans="1:3" x14ac:dyDescent="0.25">
      <c r="A49" t="s">
        <v>492</v>
      </c>
      <c r="B49" t="s">
        <v>492</v>
      </c>
      <c r="C49" t="s">
        <v>546</v>
      </c>
    </row>
    <row r="50" spans="1:3" x14ac:dyDescent="0.25">
      <c r="A50" t="s">
        <v>493</v>
      </c>
      <c r="B50" t="s">
        <v>493</v>
      </c>
      <c r="C50" t="s">
        <v>547</v>
      </c>
    </row>
    <row r="51" spans="1:3" x14ac:dyDescent="0.25">
      <c r="A51" t="s">
        <v>483</v>
      </c>
      <c r="B51" t="s">
        <v>483</v>
      </c>
      <c r="C51" t="s">
        <v>534</v>
      </c>
    </row>
    <row r="52" spans="1:3" x14ac:dyDescent="0.25">
      <c r="A52" t="s">
        <v>529</v>
      </c>
      <c r="B52" t="s">
        <v>529</v>
      </c>
      <c r="C52" t="s">
        <v>548</v>
      </c>
    </row>
    <row r="53" spans="1:3" x14ac:dyDescent="0.25">
      <c r="A53" t="s">
        <v>523</v>
      </c>
      <c r="B53" t="s">
        <v>523</v>
      </c>
      <c r="C53" t="s">
        <v>548</v>
      </c>
    </row>
    <row r="54" spans="1:3" x14ac:dyDescent="0.25">
      <c r="A54" t="s">
        <v>527</v>
      </c>
      <c r="B54" t="s">
        <v>527</v>
      </c>
      <c r="C54" t="s">
        <v>548</v>
      </c>
    </row>
    <row r="55" spans="1:3" x14ac:dyDescent="0.25">
      <c r="A55" t="s">
        <v>510</v>
      </c>
      <c r="B55" t="s">
        <v>510</v>
      </c>
      <c r="C55" t="s">
        <v>537</v>
      </c>
    </row>
    <row r="56" spans="1:3" x14ac:dyDescent="0.25">
      <c r="A56" t="s">
        <v>480</v>
      </c>
      <c r="B56" t="s">
        <v>480</v>
      </c>
      <c r="C56" t="s">
        <v>537</v>
      </c>
    </row>
    <row r="57" spans="1:3" x14ac:dyDescent="0.25">
      <c r="A57" t="s">
        <v>511</v>
      </c>
      <c r="B57" t="s">
        <v>511</v>
      </c>
      <c r="C57" t="s">
        <v>537</v>
      </c>
    </row>
    <row r="58" spans="1:3" x14ac:dyDescent="0.25">
      <c r="A58" t="s">
        <v>603</v>
      </c>
      <c r="B58" t="s">
        <v>603</v>
      </c>
      <c r="C58" t="s">
        <v>537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F970-73BA-4E62-A32A-6A3730C754B2}">
  <dimension ref="A1:G467"/>
  <sheetViews>
    <sheetView topLeftCell="B354" workbookViewId="0">
      <selection activeCell="G388" sqref="G388"/>
    </sheetView>
  </sheetViews>
  <sheetFormatPr defaultRowHeight="15" x14ac:dyDescent="0.25"/>
  <cols>
    <col min="1" max="1" width="10" customWidth="1"/>
    <col min="2" max="2" width="16.42578125" customWidth="1"/>
    <col min="3" max="3" width="67" customWidth="1"/>
    <col min="4" max="4" width="13.28515625" customWidth="1"/>
    <col min="5" max="5" width="7.5703125" customWidth="1"/>
    <col min="6" max="6" width="13.7109375" customWidth="1"/>
    <col min="7" max="7" width="4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474</v>
      </c>
    </row>
    <row r="2" spans="1:7" x14ac:dyDescent="0.25">
      <c r="A2" t="s">
        <v>6</v>
      </c>
      <c r="B2" s="1">
        <v>46195</v>
      </c>
      <c r="C2" t="s">
        <v>7</v>
      </c>
      <c r="D2">
        <v>-35.04</v>
      </c>
      <c r="E2" t="s">
        <v>8</v>
      </c>
      <c r="F2">
        <v>41709.269999999997</v>
      </c>
      <c r="G2" t="s">
        <v>475</v>
      </c>
    </row>
    <row r="3" spans="1:7" x14ac:dyDescent="0.25">
      <c r="A3" t="s">
        <v>6</v>
      </c>
      <c r="B3" s="1">
        <v>46195</v>
      </c>
      <c r="C3" t="s">
        <v>9</v>
      </c>
      <c r="D3">
        <v>-50.83</v>
      </c>
      <c r="E3" t="s">
        <v>10</v>
      </c>
      <c r="F3">
        <v>41744.31</v>
      </c>
      <c r="G3" t="s">
        <v>499</v>
      </c>
    </row>
    <row r="4" spans="1:7" x14ac:dyDescent="0.25">
      <c r="A4" t="s">
        <v>6</v>
      </c>
      <c r="B4" s="1">
        <v>46195</v>
      </c>
      <c r="C4" t="s">
        <v>11</v>
      </c>
      <c r="D4">
        <v>-124.58</v>
      </c>
      <c r="E4" t="s">
        <v>10</v>
      </c>
      <c r="F4">
        <v>41795.14</v>
      </c>
      <c r="G4" t="s">
        <v>499</v>
      </c>
    </row>
    <row r="5" spans="1:7" x14ac:dyDescent="0.25">
      <c r="A5" t="s">
        <v>6</v>
      </c>
      <c r="B5" s="1">
        <v>46195</v>
      </c>
      <c r="C5" t="s">
        <v>12</v>
      </c>
      <c r="D5">
        <v>-26.99</v>
      </c>
      <c r="E5" t="s">
        <v>10</v>
      </c>
      <c r="F5">
        <v>41919.72</v>
      </c>
      <c r="G5" t="s">
        <v>476</v>
      </c>
    </row>
    <row r="6" spans="1:7" x14ac:dyDescent="0.25">
      <c r="A6" t="s">
        <v>6</v>
      </c>
      <c r="B6" s="1">
        <v>46195</v>
      </c>
      <c r="C6" t="s">
        <v>13</v>
      </c>
      <c r="D6">
        <v>-30.89</v>
      </c>
      <c r="E6" t="s">
        <v>10</v>
      </c>
      <c r="F6">
        <v>41946.71</v>
      </c>
      <c r="G6" t="s">
        <v>476</v>
      </c>
    </row>
    <row r="7" spans="1:7" x14ac:dyDescent="0.25">
      <c r="A7" t="s">
        <v>6</v>
      </c>
      <c r="B7" s="1">
        <v>46191</v>
      </c>
      <c r="C7" t="s">
        <v>14</v>
      </c>
      <c r="D7">
        <v>-5000</v>
      </c>
      <c r="E7" t="s">
        <v>8</v>
      </c>
      <c r="F7">
        <v>41977.599999999999</v>
      </c>
      <c r="G7" t="s">
        <v>475</v>
      </c>
    </row>
    <row r="8" spans="1:7" x14ac:dyDescent="0.25">
      <c r="A8" t="s">
        <v>6</v>
      </c>
      <c r="B8" s="1">
        <v>46188</v>
      </c>
      <c r="C8" t="s">
        <v>15</v>
      </c>
      <c r="D8">
        <v>-30.89</v>
      </c>
      <c r="E8" t="s">
        <v>10</v>
      </c>
      <c r="F8">
        <v>46977.599999999999</v>
      </c>
      <c r="G8" t="s">
        <v>476</v>
      </c>
    </row>
    <row r="9" spans="1:7" x14ac:dyDescent="0.25">
      <c r="A9" t="s">
        <v>6</v>
      </c>
      <c r="B9" s="1">
        <v>46188</v>
      </c>
      <c r="C9" t="s">
        <v>16</v>
      </c>
      <c r="D9">
        <v>-32.31</v>
      </c>
      <c r="E9" t="s">
        <v>10</v>
      </c>
      <c r="F9">
        <v>47008.49</v>
      </c>
      <c r="G9" t="s">
        <v>500</v>
      </c>
    </row>
    <row r="10" spans="1:7" x14ac:dyDescent="0.25">
      <c r="A10" t="s">
        <v>6</v>
      </c>
      <c r="B10" s="1">
        <v>46185</v>
      </c>
      <c r="C10" t="s">
        <v>17</v>
      </c>
      <c r="D10">
        <v>-39.99</v>
      </c>
      <c r="E10" t="s">
        <v>10</v>
      </c>
      <c r="F10">
        <v>47040.800000000003</v>
      </c>
      <c r="G10" t="s">
        <v>476</v>
      </c>
    </row>
    <row r="11" spans="1:7" x14ac:dyDescent="0.25">
      <c r="A11" t="s">
        <v>6</v>
      </c>
      <c r="B11" s="1">
        <v>46183</v>
      </c>
      <c r="C11" t="s">
        <v>18</v>
      </c>
      <c r="D11">
        <v>-4103.05</v>
      </c>
      <c r="E11" t="s">
        <v>8</v>
      </c>
      <c r="F11">
        <v>47080.79</v>
      </c>
      <c r="G11" t="s">
        <v>475</v>
      </c>
    </row>
    <row r="12" spans="1:7" x14ac:dyDescent="0.25">
      <c r="A12" t="s">
        <v>6</v>
      </c>
      <c r="B12" s="1">
        <v>46183</v>
      </c>
      <c r="C12" t="s">
        <v>19</v>
      </c>
      <c r="D12">
        <v>-6806.31</v>
      </c>
      <c r="E12" t="s">
        <v>8</v>
      </c>
      <c r="F12">
        <v>51183.839999999997</v>
      </c>
      <c r="G12" t="s">
        <v>475</v>
      </c>
    </row>
    <row r="13" spans="1:7" x14ac:dyDescent="0.25">
      <c r="A13" t="s">
        <v>20</v>
      </c>
      <c r="B13" s="1">
        <v>46183</v>
      </c>
      <c r="C13" t="s">
        <v>21</v>
      </c>
      <c r="D13">
        <v>350</v>
      </c>
      <c r="E13" t="s">
        <v>22</v>
      </c>
      <c r="F13">
        <v>57990.15</v>
      </c>
      <c r="G13" t="s">
        <v>501</v>
      </c>
    </row>
    <row r="14" spans="1:7" x14ac:dyDescent="0.25">
      <c r="A14" t="s">
        <v>20</v>
      </c>
      <c r="B14" s="1">
        <v>46183</v>
      </c>
      <c r="C14" t="s">
        <v>23</v>
      </c>
      <c r="D14">
        <v>491.29</v>
      </c>
      <c r="E14" t="s">
        <v>22</v>
      </c>
      <c r="F14">
        <v>57640.15</v>
      </c>
      <c r="G14" t="s">
        <v>502</v>
      </c>
    </row>
    <row r="15" spans="1:7" x14ac:dyDescent="0.25">
      <c r="A15" t="s">
        <v>20</v>
      </c>
      <c r="B15" s="1">
        <v>46182</v>
      </c>
      <c r="C15" t="s">
        <v>24</v>
      </c>
      <c r="D15">
        <v>233.33</v>
      </c>
      <c r="E15" t="s">
        <v>22</v>
      </c>
      <c r="F15">
        <v>57148.86</v>
      </c>
      <c r="G15" t="s">
        <v>503</v>
      </c>
    </row>
    <row r="16" spans="1:7" x14ac:dyDescent="0.25">
      <c r="A16" t="s">
        <v>6</v>
      </c>
      <c r="B16" s="1">
        <v>46181</v>
      </c>
      <c r="C16" t="s">
        <v>25</v>
      </c>
      <c r="D16">
        <v>-130.66999999999999</v>
      </c>
      <c r="E16" t="s">
        <v>10</v>
      </c>
      <c r="F16">
        <v>56915.53</v>
      </c>
      <c r="G16" t="s">
        <v>499</v>
      </c>
    </row>
    <row r="17" spans="1:7" x14ac:dyDescent="0.25">
      <c r="A17" t="s">
        <v>6</v>
      </c>
      <c r="B17" s="1">
        <v>46181</v>
      </c>
      <c r="C17" t="s">
        <v>26</v>
      </c>
      <c r="D17">
        <v>-65.650000000000006</v>
      </c>
      <c r="E17" t="s">
        <v>10</v>
      </c>
      <c r="F17">
        <v>57046.2</v>
      </c>
      <c r="G17" t="s">
        <v>477</v>
      </c>
    </row>
    <row r="18" spans="1:7" x14ac:dyDescent="0.25">
      <c r="A18" t="s">
        <v>6</v>
      </c>
      <c r="B18" s="1">
        <v>46181</v>
      </c>
      <c r="C18" t="s">
        <v>27</v>
      </c>
      <c r="D18">
        <v>-30.89</v>
      </c>
      <c r="E18" t="s">
        <v>10</v>
      </c>
      <c r="F18">
        <v>57111.85</v>
      </c>
      <c r="G18" t="s">
        <v>476</v>
      </c>
    </row>
    <row r="19" spans="1:7" x14ac:dyDescent="0.25">
      <c r="A19" t="s">
        <v>6</v>
      </c>
      <c r="B19" s="1">
        <v>46181</v>
      </c>
      <c r="C19" t="s">
        <v>28</v>
      </c>
      <c r="D19">
        <v>-9.99</v>
      </c>
      <c r="E19" t="s">
        <v>10</v>
      </c>
      <c r="F19">
        <v>57142.74</v>
      </c>
      <c r="G19" t="s">
        <v>476</v>
      </c>
    </row>
    <row r="20" spans="1:7" x14ac:dyDescent="0.25">
      <c r="A20" t="s">
        <v>6</v>
      </c>
      <c r="B20" s="1">
        <v>46177</v>
      </c>
      <c r="C20" t="s">
        <v>29</v>
      </c>
      <c r="D20">
        <v>-1000</v>
      </c>
      <c r="E20" t="s">
        <v>30</v>
      </c>
      <c r="F20">
        <v>57152.73</v>
      </c>
      <c r="G20" t="s">
        <v>478</v>
      </c>
    </row>
    <row r="21" spans="1:7" x14ac:dyDescent="0.25">
      <c r="A21" t="s">
        <v>6</v>
      </c>
      <c r="B21" s="1">
        <v>46176</v>
      </c>
      <c r="C21" t="s">
        <v>31</v>
      </c>
      <c r="D21">
        <v>-48.13</v>
      </c>
      <c r="E21" t="s">
        <v>10</v>
      </c>
      <c r="F21">
        <v>58152.73</v>
      </c>
      <c r="G21" t="s">
        <v>499</v>
      </c>
    </row>
    <row r="22" spans="1:7" x14ac:dyDescent="0.25">
      <c r="A22" t="s">
        <v>6</v>
      </c>
      <c r="B22" s="1">
        <v>46175</v>
      </c>
      <c r="C22" t="s">
        <v>32</v>
      </c>
      <c r="D22">
        <v>-30000</v>
      </c>
      <c r="E22" t="s">
        <v>30</v>
      </c>
      <c r="F22">
        <v>58200.86</v>
      </c>
      <c r="G22" t="s">
        <v>479</v>
      </c>
    </row>
    <row r="23" spans="1:7" x14ac:dyDescent="0.25">
      <c r="A23" t="s">
        <v>6</v>
      </c>
      <c r="B23" s="1">
        <v>46175</v>
      </c>
      <c r="C23" t="s">
        <v>33</v>
      </c>
      <c r="D23">
        <v>-2500</v>
      </c>
      <c r="E23" t="s">
        <v>34</v>
      </c>
      <c r="F23">
        <v>88200.86</v>
      </c>
      <c r="G23" t="s">
        <v>480</v>
      </c>
    </row>
    <row r="24" spans="1:7" x14ac:dyDescent="0.25">
      <c r="A24" t="s">
        <v>6</v>
      </c>
      <c r="B24" s="1">
        <v>46174</v>
      </c>
      <c r="C24" t="s">
        <v>35</v>
      </c>
      <c r="D24">
        <v>-48.19</v>
      </c>
      <c r="E24" t="s">
        <v>10</v>
      </c>
      <c r="F24">
        <v>90700.86</v>
      </c>
      <c r="G24" t="s">
        <v>477</v>
      </c>
    </row>
    <row r="25" spans="1:7" x14ac:dyDescent="0.25">
      <c r="A25" t="s">
        <v>6</v>
      </c>
      <c r="B25" s="1">
        <v>46174</v>
      </c>
      <c r="C25" t="s">
        <v>36</v>
      </c>
      <c r="D25">
        <v>-27.05</v>
      </c>
      <c r="E25" t="s">
        <v>10</v>
      </c>
      <c r="F25">
        <v>90749.05</v>
      </c>
      <c r="G25" t="s">
        <v>476</v>
      </c>
    </row>
    <row r="26" spans="1:7" x14ac:dyDescent="0.25">
      <c r="A26" t="s">
        <v>6</v>
      </c>
      <c r="B26" s="1">
        <v>46174</v>
      </c>
      <c r="C26" t="s">
        <v>37</v>
      </c>
      <c r="D26">
        <v>-85.75</v>
      </c>
      <c r="E26" t="s">
        <v>10</v>
      </c>
      <c r="F26">
        <v>90776.1</v>
      </c>
      <c r="G26" t="s">
        <v>499</v>
      </c>
    </row>
    <row r="27" spans="1:7" x14ac:dyDescent="0.25">
      <c r="A27" t="s">
        <v>6</v>
      </c>
      <c r="B27" s="1">
        <v>46174</v>
      </c>
      <c r="C27" t="s">
        <v>38</v>
      </c>
      <c r="D27">
        <v>-53.61</v>
      </c>
      <c r="E27" t="s">
        <v>10</v>
      </c>
      <c r="F27">
        <v>90861.85</v>
      </c>
      <c r="G27" t="s">
        <v>476</v>
      </c>
    </row>
    <row r="28" spans="1:7" x14ac:dyDescent="0.25">
      <c r="A28" t="s">
        <v>6</v>
      </c>
      <c r="B28" s="1">
        <v>46170</v>
      </c>
      <c r="C28" t="s">
        <v>39</v>
      </c>
      <c r="D28">
        <v>-2500</v>
      </c>
      <c r="E28" t="s">
        <v>8</v>
      </c>
      <c r="F28">
        <v>90915.46</v>
      </c>
      <c r="G28" t="s">
        <v>475</v>
      </c>
    </row>
    <row r="29" spans="1:7" x14ac:dyDescent="0.25">
      <c r="A29" t="s">
        <v>6</v>
      </c>
      <c r="B29" s="1">
        <v>46169</v>
      </c>
      <c r="C29" t="s">
        <v>40</v>
      </c>
      <c r="D29">
        <v>-40.96</v>
      </c>
      <c r="E29" t="s">
        <v>8</v>
      </c>
      <c r="F29">
        <v>93415.46</v>
      </c>
      <c r="G29" t="s">
        <v>475</v>
      </c>
    </row>
    <row r="30" spans="1:7" x14ac:dyDescent="0.25">
      <c r="A30" t="s">
        <v>6</v>
      </c>
      <c r="B30" s="1">
        <v>46169</v>
      </c>
      <c r="C30" t="s">
        <v>41</v>
      </c>
      <c r="D30">
        <v>-2961.02</v>
      </c>
      <c r="E30" t="s">
        <v>8</v>
      </c>
      <c r="F30">
        <v>93456.42</v>
      </c>
      <c r="G30" t="s">
        <v>475</v>
      </c>
    </row>
    <row r="31" spans="1:7" x14ac:dyDescent="0.25">
      <c r="A31" t="s">
        <v>6</v>
      </c>
      <c r="B31" s="1">
        <v>46169</v>
      </c>
      <c r="C31" t="s">
        <v>42</v>
      </c>
      <c r="D31">
        <v>-10125</v>
      </c>
      <c r="E31" t="s">
        <v>8</v>
      </c>
      <c r="F31">
        <v>96417.44</v>
      </c>
      <c r="G31" t="s">
        <v>475</v>
      </c>
    </row>
    <row r="32" spans="1:7" x14ac:dyDescent="0.25">
      <c r="A32" t="s">
        <v>6</v>
      </c>
      <c r="B32" s="1">
        <v>46169</v>
      </c>
      <c r="C32" t="s">
        <v>43</v>
      </c>
      <c r="D32">
        <v>-27231.89</v>
      </c>
      <c r="E32" t="s">
        <v>8</v>
      </c>
      <c r="F32">
        <v>106542.44</v>
      </c>
      <c r="G32" t="s">
        <v>475</v>
      </c>
    </row>
    <row r="33" spans="1:7" x14ac:dyDescent="0.25">
      <c r="A33" t="s">
        <v>6</v>
      </c>
      <c r="B33" s="1">
        <v>46169</v>
      </c>
      <c r="C33" t="s">
        <v>44</v>
      </c>
      <c r="D33">
        <v>-38.4</v>
      </c>
      <c r="E33" t="s">
        <v>10</v>
      </c>
      <c r="F33">
        <v>133774.32999999999</v>
      </c>
      <c r="G33" t="s">
        <v>476</v>
      </c>
    </row>
    <row r="34" spans="1:7" x14ac:dyDescent="0.25">
      <c r="A34" t="s">
        <v>6</v>
      </c>
      <c r="B34" s="1">
        <v>46169</v>
      </c>
      <c r="C34" t="s">
        <v>45</v>
      </c>
      <c r="D34">
        <v>-5.33</v>
      </c>
      <c r="E34" t="s">
        <v>10</v>
      </c>
      <c r="F34">
        <v>133812.73000000001</v>
      </c>
      <c r="G34" t="s">
        <v>476</v>
      </c>
    </row>
    <row r="35" spans="1:7" x14ac:dyDescent="0.25">
      <c r="A35" t="s">
        <v>6</v>
      </c>
      <c r="B35" s="1">
        <v>46169</v>
      </c>
      <c r="C35" t="s">
        <v>46</v>
      </c>
      <c r="D35">
        <v>4.51</v>
      </c>
      <c r="E35" t="s">
        <v>10</v>
      </c>
      <c r="F35">
        <v>133818.06</v>
      </c>
      <c r="G35" t="s">
        <v>476</v>
      </c>
    </row>
    <row r="36" spans="1:7" x14ac:dyDescent="0.25">
      <c r="A36" t="s">
        <v>6</v>
      </c>
      <c r="B36" s="1">
        <v>46168</v>
      </c>
      <c r="C36" t="s">
        <v>47</v>
      </c>
      <c r="D36">
        <v>-105.78</v>
      </c>
      <c r="E36" t="s">
        <v>10</v>
      </c>
      <c r="F36">
        <v>133813.54999999999</v>
      </c>
      <c r="G36" t="s">
        <v>499</v>
      </c>
    </row>
    <row r="37" spans="1:7" x14ac:dyDescent="0.25">
      <c r="A37" t="s">
        <v>6</v>
      </c>
      <c r="B37" s="1">
        <v>46168</v>
      </c>
      <c r="C37" t="s">
        <v>48</v>
      </c>
      <c r="D37">
        <v>-30.89</v>
      </c>
      <c r="E37" t="s">
        <v>10</v>
      </c>
      <c r="F37">
        <v>133919.32999999999</v>
      </c>
      <c r="G37" t="s">
        <v>476</v>
      </c>
    </row>
    <row r="38" spans="1:7" x14ac:dyDescent="0.25">
      <c r="A38" t="s">
        <v>6</v>
      </c>
      <c r="B38" s="1">
        <v>46168</v>
      </c>
      <c r="C38" t="s">
        <v>49</v>
      </c>
      <c r="D38">
        <v>-2</v>
      </c>
      <c r="E38" t="s">
        <v>10</v>
      </c>
      <c r="F38">
        <v>133950.22</v>
      </c>
      <c r="G38" t="s">
        <v>499</v>
      </c>
    </row>
    <row r="39" spans="1:7" x14ac:dyDescent="0.25">
      <c r="A39" t="s">
        <v>6</v>
      </c>
      <c r="B39" s="1">
        <v>46164</v>
      </c>
      <c r="C39" t="s">
        <v>50</v>
      </c>
      <c r="D39">
        <v>-75.540000000000006</v>
      </c>
      <c r="E39" t="s">
        <v>10</v>
      </c>
      <c r="F39">
        <v>133952.22</v>
      </c>
      <c r="G39" t="s">
        <v>499</v>
      </c>
    </row>
    <row r="40" spans="1:7" x14ac:dyDescent="0.25">
      <c r="A40" t="s">
        <v>6</v>
      </c>
      <c r="B40" s="1">
        <v>46164</v>
      </c>
      <c r="C40" t="s">
        <v>51</v>
      </c>
      <c r="D40">
        <v>-21.34</v>
      </c>
      <c r="E40" t="s">
        <v>10</v>
      </c>
      <c r="F40">
        <v>134027.76</v>
      </c>
      <c r="G40" t="s">
        <v>476</v>
      </c>
    </row>
    <row r="41" spans="1:7" x14ac:dyDescent="0.25">
      <c r="A41" t="s">
        <v>6</v>
      </c>
      <c r="B41" s="1">
        <v>46164</v>
      </c>
      <c r="C41" t="s">
        <v>52</v>
      </c>
      <c r="D41">
        <v>-10.66</v>
      </c>
      <c r="E41" t="s">
        <v>10</v>
      </c>
      <c r="F41">
        <v>134049.1</v>
      </c>
      <c r="G41" t="s">
        <v>476</v>
      </c>
    </row>
    <row r="42" spans="1:7" x14ac:dyDescent="0.25">
      <c r="A42" t="s">
        <v>6</v>
      </c>
      <c r="B42" s="1">
        <v>46163</v>
      </c>
      <c r="C42" t="s">
        <v>53</v>
      </c>
      <c r="D42">
        <v>-26.99</v>
      </c>
      <c r="E42" t="s">
        <v>10</v>
      </c>
      <c r="F42">
        <v>134059.76</v>
      </c>
      <c r="G42" t="s">
        <v>476</v>
      </c>
    </row>
    <row r="43" spans="1:7" x14ac:dyDescent="0.25">
      <c r="A43" t="s">
        <v>6</v>
      </c>
      <c r="B43" s="1">
        <v>46163</v>
      </c>
      <c r="C43" t="s">
        <v>54</v>
      </c>
      <c r="D43">
        <v>-43.12</v>
      </c>
      <c r="E43" t="s">
        <v>10</v>
      </c>
      <c r="F43">
        <v>134086.75</v>
      </c>
      <c r="G43" t="s">
        <v>499</v>
      </c>
    </row>
    <row r="44" spans="1:7" x14ac:dyDescent="0.25">
      <c r="A44" t="s">
        <v>6</v>
      </c>
      <c r="B44" s="1">
        <v>46163</v>
      </c>
      <c r="C44" t="s">
        <v>55</v>
      </c>
      <c r="D44">
        <v>-23.75</v>
      </c>
      <c r="E44" t="s">
        <v>10</v>
      </c>
      <c r="F44">
        <v>134129.87</v>
      </c>
      <c r="G44" t="s">
        <v>499</v>
      </c>
    </row>
    <row r="45" spans="1:7" x14ac:dyDescent="0.25">
      <c r="A45" t="s">
        <v>6</v>
      </c>
      <c r="B45" s="1">
        <v>46163</v>
      </c>
      <c r="C45" t="s">
        <v>56</v>
      </c>
      <c r="D45">
        <v>-50.78</v>
      </c>
      <c r="E45" t="s">
        <v>10</v>
      </c>
      <c r="F45">
        <v>134153.62</v>
      </c>
      <c r="G45" t="s">
        <v>499</v>
      </c>
    </row>
    <row r="46" spans="1:7" x14ac:dyDescent="0.25">
      <c r="A46" t="s">
        <v>6</v>
      </c>
      <c r="B46" s="1">
        <v>46163</v>
      </c>
      <c r="C46" t="s">
        <v>57</v>
      </c>
      <c r="D46">
        <v>-21.34</v>
      </c>
      <c r="E46" t="s">
        <v>10</v>
      </c>
      <c r="F46">
        <v>134204.4</v>
      </c>
      <c r="G46" t="s">
        <v>476</v>
      </c>
    </row>
    <row r="47" spans="1:7" x14ac:dyDescent="0.25">
      <c r="A47" t="s">
        <v>6</v>
      </c>
      <c r="B47" s="1">
        <v>46162</v>
      </c>
      <c r="C47" t="s">
        <v>58</v>
      </c>
      <c r="D47">
        <v>-38.31</v>
      </c>
      <c r="E47" t="s">
        <v>10</v>
      </c>
      <c r="F47">
        <v>134225.74</v>
      </c>
      <c r="G47" t="s">
        <v>498</v>
      </c>
    </row>
    <row r="48" spans="1:7" x14ac:dyDescent="0.25">
      <c r="A48" t="s">
        <v>6</v>
      </c>
      <c r="B48" s="1">
        <v>46161</v>
      </c>
      <c r="C48" t="s">
        <v>59</v>
      </c>
      <c r="D48">
        <v>-23.77</v>
      </c>
      <c r="E48" t="s">
        <v>10</v>
      </c>
      <c r="F48">
        <v>134264.04999999999</v>
      </c>
      <c r="G48" t="s">
        <v>499</v>
      </c>
    </row>
    <row r="49" spans="1:7" x14ac:dyDescent="0.25">
      <c r="A49" t="s">
        <v>6</v>
      </c>
      <c r="B49" s="1">
        <v>46161</v>
      </c>
      <c r="C49" t="s">
        <v>60</v>
      </c>
      <c r="D49">
        <v>-30.79</v>
      </c>
      <c r="E49" t="s">
        <v>10</v>
      </c>
      <c r="F49">
        <v>134287.82</v>
      </c>
      <c r="G49" t="s">
        <v>498</v>
      </c>
    </row>
    <row r="50" spans="1:7" x14ac:dyDescent="0.25">
      <c r="A50" t="s">
        <v>6</v>
      </c>
      <c r="B50" s="1">
        <v>46160</v>
      </c>
      <c r="C50" t="s">
        <v>61</v>
      </c>
      <c r="D50">
        <v>-19.84</v>
      </c>
      <c r="E50" t="s">
        <v>10</v>
      </c>
      <c r="F50">
        <v>134318.60999999999</v>
      </c>
      <c r="G50" t="s">
        <v>498</v>
      </c>
    </row>
    <row r="51" spans="1:7" x14ac:dyDescent="0.25">
      <c r="A51" t="s">
        <v>6</v>
      </c>
      <c r="B51" s="1">
        <v>46160</v>
      </c>
      <c r="C51" t="s">
        <v>62</v>
      </c>
      <c r="D51">
        <v>-25</v>
      </c>
      <c r="E51" t="s">
        <v>63</v>
      </c>
      <c r="F51">
        <v>134338.45000000001</v>
      </c>
      <c r="G51" t="s">
        <v>481</v>
      </c>
    </row>
    <row r="52" spans="1:7" x14ac:dyDescent="0.25">
      <c r="A52" t="s">
        <v>6</v>
      </c>
      <c r="B52" s="1">
        <v>46160</v>
      </c>
      <c r="C52" t="s">
        <v>64</v>
      </c>
      <c r="D52">
        <v>-42</v>
      </c>
      <c r="E52" t="s">
        <v>10</v>
      </c>
      <c r="F52">
        <v>134363.45000000001</v>
      </c>
      <c r="G52" t="s">
        <v>498</v>
      </c>
    </row>
    <row r="53" spans="1:7" x14ac:dyDescent="0.25">
      <c r="A53" t="s">
        <v>6</v>
      </c>
      <c r="B53" s="1">
        <v>46160</v>
      </c>
      <c r="C53" t="s">
        <v>65</v>
      </c>
      <c r="D53">
        <v>-21.34</v>
      </c>
      <c r="E53" t="s">
        <v>10</v>
      </c>
      <c r="F53">
        <v>134405.45000000001</v>
      </c>
      <c r="G53" t="s">
        <v>476</v>
      </c>
    </row>
    <row r="54" spans="1:7" x14ac:dyDescent="0.25">
      <c r="A54" t="s">
        <v>6</v>
      </c>
      <c r="B54" s="1">
        <v>46160</v>
      </c>
      <c r="C54" t="s">
        <v>66</v>
      </c>
      <c r="D54">
        <v>-30.89</v>
      </c>
      <c r="E54" t="s">
        <v>10</v>
      </c>
      <c r="F54">
        <v>134426.79</v>
      </c>
      <c r="G54" t="s">
        <v>476</v>
      </c>
    </row>
    <row r="55" spans="1:7" x14ac:dyDescent="0.25">
      <c r="A55" t="s">
        <v>6</v>
      </c>
      <c r="B55" s="1">
        <v>46157</v>
      </c>
      <c r="C55" t="s">
        <v>67</v>
      </c>
      <c r="D55">
        <v>-20000</v>
      </c>
      <c r="E55" t="s">
        <v>30</v>
      </c>
      <c r="F55">
        <v>134457.68</v>
      </c>
      <c r="G55" t="s">
        <v>482</v>
      </c>
    </row>
    <row r="56" spans="1:7" x14ac:dyDescent="0.25">
      <c r="A56" t="s">
        <v>6</v>
      </c>
      <c r="B56" s="1">
        <v>46157</v>
      </c>
      <c r="C56" t="s">
        <v>68</v>
      </c>
      <c r="D56">
        <v>-20000</v>
      </c>
      <c r="E56" t="s">
        <v>30</v>
      </c>
      <c r="F56">
        <v>154457.68</v>
      </c>
      <c r="G56" t="s">
        <v>504</v>
      </c>
    </row>
    <row r="57" spans="1:7" x14ac:dyDescent="0.25">
      <c r="A57" t="s">
        <v>6</v>
      </c>
      <c r="B57" s="1">
        <v>46157</v>
      </c>
      <c r="C57" t="s">
        <v>69</v>
      </c>
      <c r="D57">
        <v>-184.38</v>
      </c>
      <c r="E57" t="s">
        <v>10</v>
      </c>
      <c r="F57">
        <v>174457.68</v>
      </c>
      <c r="G57" t="s">
        <v>498</v>
      </c>
    </row>
    <row r="58" spans="1:7" x14ac:dyDescent="0.25">
      <c r="A58" t="s">
        <v>6</v>
      </c>
      <c r="B58" s="1">
        <v>46156</v>
      </c>
      <c r="C58" t="s">
        <v>70</v>
      </c>
      <c r="D58">
        <v>-26.99</v>
      </c>
      <c r="E58" t="s">
        <v>10</v>
      </c>
      <c r="F58">
        <v>174642.06</v>
      </c>
      <c r="G58" t="s">
        <v>498</v>
      </c>
    </row>
    <row r="59" spans="1:7" x14ac:dyDescent="0.25">
      <c r="A59" t="s">
        <v>6</v>
      </c>
      <c r="B59" s="1">
        <v>46156</v>
      </c>
      <c r="C59" t="s">
        <v>71</v>
      </c>
      <c r="D59">
        <v>-27.5</v>
      </c>
      <c r="E59" t="s">
        <v>10</v>
      </c>
      <c r="F59">
        <v>174669.05</v>
      </c>
      <c r="G59" t="s">
        <v>498</v>
      </c>
    </row>
    <row r="60" spans="1:7" x14ac:dyDescent="0.25">
      <c r="A60" t="s">
        <v>6</v>
      </c>
      <c r="B60" s="1">
        <v>46156</v>
      </c>
      <c r="C60" t="s">
        <v>72</v>
      </c>
      <c r="D60">
        <v>184.38</v>
      </c>
      <c r="E60" t="s">
        <v>10</v>
      </c>
      <c r="F60">
        <v>174696.55</v>
      </c>
      <c r="G60" t="s">
        <v>498</v>
      </c>
    </row>
    <row r="61" spans="1:7" x14ac:dyDescent="0.25">
      <c r="A61" t="s">
        <v>6</v>
      </c>
      <c r="B61" s="1">
        <v>46155</v>
      </c>
      <c r="C61" t="s">
        <v>73</v>
      </c>
      <c r="D61">
        <v>-116.51</v>
      </c>
      <c r="E61" t="s">
        <v>8</v>
      </c>
      <c r="F61">
        <v>174512.17</v>
      </c>
      <c r="G61" t="s">
        <v>475</v>
      </c>
    </row>
    <row r="62" spans="1:7" x14ac:dyDescent="0.25">
      <c r="A62" t="s">
        <v>6</v>
      </c>
      <c r="B62" s="1">
        <v>46155</v>
      </c>
      <c r="C62" t="s">
        <v>74</v>
      </c>
      <c r="D62">
        <v>-14494.94</v>
      </c>
      <c r="E62" t="s">
        <v>8</v>
      </c>
      <c r="F62">
        <v>174628.68</v>
      </c>
      <c r="G62" t="s">
        <v>475</v>
      </c>
    </row>
    <row r="63" spans="1:7" x14ac:dyDescent="0.25">
      <c r="A63" t="s">
        <v>6</v>
      </c>
      <c r="B63" s="1">
        <v>46155</v>
      </c>
      <c r="C63" t="s">
        <v>75</v>
      </c>
      <c r="D63">
        <v>-15821.6</v>
      </c>
      <c r="E63" t="s">
        <v>8</v>
      </c>
      <c r="F63">
        <v>189123.62</v>
      </c>
      <c r="G63" t="s">
        <v>475</v>
      </c>
    </row>
    <row r="64" spans="1:7" x14ac:dyDescent="0.25">
      <c r="A64" t="s">
        <v>6</v>
      </c>
      <c r="B64" s="1">
        <v>46155</v>
      </c>
      <c r="C64" t="s">
        <v>76</v>
      </c>
      <c r="D64">
        <v>-15.96</v>
      </c>
      <c r="E64" t="s">
        <v>10</v>
      </c>
      <c r="F64">
        <v>204945.22</v>
      </c>
      <c r="G64" t="s">
        <v>498</v>
      </c>
    </row>
    <row r="65" spans="1:7" x14ac:dyDescent="0.25">
      <c r="A65" t="s">
        <v>6</v>
      </c>
      <c r="B65" s="1">
        <v>46155</v>
      </c>
      <c r="C65" t="s">
        <v>77</v>
      </c>
      <c r="D65">
        <v>-9.3699999999999992</v>
      </c>
      <c r="E65" t="s">
        <v>10</v>
      </c>
      <c r="F65">
        <v>204961.18</v>
      </c>
      <c r="G65" t="s">
        <v>498</v>
      </c>
    </row>
    <row r="66" spans="1:7" x14ac:dyDescent="0.25">
      <c r="A66" t="s">
        <v>6</v>
      </c>
      <c r="B66" s="1">
        <v>46154</v>
      </c>
      <c r="C66" t="s">
        <v>78</v>
      </c>
      <c r="D66">
        <v>-39.99</v>
      </c>
      <c r="E66" t="s">
        <v>10</v>
      </c>
      <c r="F66">
        <v>204970.55</v>
      </c>
      <c r="G66" t="s">
        <v>476</v>
      </c>
    </row>
    <row r="67" spans="1:7" x14ac:dyDescent="0.25">
      <c r="A67" t="s">
        <v>6</v>
      </c>
      <c r="B67" s="1">
        <v>46154</v>
      </c>
      <c r="C67" t="s">
        <v>79</v>
      </c>
      <c r="D67">
        <v>-37.47</v>
      </c>
      <c r="E67" t="s">
        <v>10</v>
      </c>
      <c r="F67">
        <v>205010.54</v>
      </c>
      <c r="G67" t="s">
        <v>498</v>
      </c>
    </row>
    <row r="68" spans="1:7" x14ac:dyDescent="0.25">
      <c r="A68" t="s">
        <v>6</v>
      </c>
      <c r="B68" s="1">
        <v>46153</v>
      </c>
      <c r="C68" t="s">
        <v>80</v>
      </c>
      <c r="D68">
        <v>-103.36</v>
      </c>
      <c r="E68" t="s">
        <v>8</v>
      </c>
      <c r="F68">
        <v>205048.01</v>
      </c>
      <c r="G68" t="s">
        <v>475</v>
      </c>
    </row>
    <row r="69" spans="1:7" x14ac:dyDescent="0.25">
      <c r="A69" t="s">
        <v>6</v>
      </c>
      <c r="B69" s="1">
        <v>46153</v>
      </c>
      <c r="C69" t="s">
        <v>81</v>
      </c>
      <c r="D69">
        <v>-140</v>
      </c>
      <c r="E69" t="s">
        <v>63</v>
      </c>
      <c r="F69">
        <v>205151.37</v>
      </c>
      <c r="G69" t="s">
        <v>481</v>
      </c>
    </row>
    <row r="70" spans="1:7" x14ac:dyDescent="0.25">
      <c r="A70" t="s">
        <v>6</v>
      </c>
      <c r="B70" s="1">
        <v>46153</v>
      </c>
      <c r="C70" t="s">
        <v>82</v>
      </c>
      <c r="D70">
        <v>-19.84</v>
      </c>
      <c r="E70" t="s">
        <v>10</v>
      </c>
      <c r="F70">
        <v>205291.37</v>
      </c>
      <c r="G70" t="s">
        <v>498</v>
      </c>
    </row>
    <row r="71" spans="1:7" x14ac:dyDescent="0.25">
      <c r="A71" t="s">
        <v>6</v>
      </c>
      <c r="B71" s="1">
        <v>46153</v>
      </c>
      <c r="C71" t="s">
        <v>83</v>
      </c>
      <c r="D71">
        <v>-79.19</v>
      </c>
      <c r="E71" t="s">
        <v>10</v>
      </c>
      <c r="F71">
        <v>205311.21</v>
      </c>
      <c r="G71" t="s">
        <v>498</v>
      </c>
    </row>
    <row r="72" spans="1:7" x14ac:dyDescent="0.25">
      <c r="A72" t="s">
        <v>6</v>
      </c>
      <c r="B72" s="1">
        <v>46153</v>
      </c>
      <c r="C72" t="s">
        <v>84</v>
      </c>
      <c r="D72">
        <v>-30.89</v>
      </c>
      <c r="E72" t="s">
        <v>10</v>
      </c>
      <c r="F72">
        <v>205390.4</v>
      </c>
      <c r="G72" t="s">
        <v>476</v>
      </c>
    </row>
    <row r="73" spans="1:7" x14ac:dyDescent="0.25">
      <c r="A73" t="s">
        <v>6</v>
      </c>
      <c r="B73" s="1">
        <v>46153</v>
      </c>
      <c r="C73" t="s">
        <v>85</v>
      </c>
      <c r="D73">
        <v>-179.76</v>
      </c>
      <c r="E73" t="s">
        <v>10</v>
      </c>
      <c r="F73">
        <v>205421.29</v>
      </c>
      <c r="G73" t="s">
        <v>477</v>
      </c>
    </row>
    <row r="74" spans="1:7" x14ac:dyDescent="0.25">
      <c r="A74" t="s">
        <v>6</v>
      </c>
      <c r="B74" s="1">
        <v>46153</v>
      </c>
      <c r="C74" t="s">
        <v>86</v>
      </c>
      <c r="D74">
        <v>-374.93</v>
      </c>
      <c r="E74" t="s">
        <v>10</v>
      </c>
      <c r="F74">
        <v>205601.05</v>
      </c>
      <c r="G74" t="s">
        <v>477</v>
      </c>
    </row>
    <row r="75" spans="1:7" x14ac:dyDescent="0.25">
      <c r="A75" t="s">
        <v>20</v>
      </c>
      <c r="B75" s="1">
        <v>46153</v>
      </c>
      <c r="C75" t="s">
        <v>87</v>
      </c>
      <c r="D75">
        <v>233.33</v>
      </c>
      <c r="E75" t="s">
        <v>22</v>
      </c>
      <c r="F75">
        <v>205975.98</v>
      </c>
      <c r="G75" t="s">
        <v>503</v>
      </c>
    </row>
    <row r="76" spans="1:7" x14ac:dyDescent="0.25">
      <c r="A76" t="s">
        <v>20</v>
      </c>
      <c r="B76" s="1">
        <v>46153</v>
      </c>
      <c r="C76" t="s">
        <v>88</v>
      </c>
      <c r="D76">
        <v>350</v>
      </c>
      <c r="E76" t="s">
        <v>22</v>
      </c>
      <c r="F76">
        <v>205742.65</v>
      </c>
      <c r="G76" t="s">
        <v>501</v>
      </c>
    </row>
    <row r="77" spans="1:7" x14ac:dyDescent="0.25">
      <c r="A77" t="s">
        <v>20</v>
      </c>
      <c r="B77" s="1">
        <v>46153</v>
      </c>
      <c r="C77" t="s">
        <v>89</v>
      </c>
      <c r="D77">
        <v>491.29</v>
      </c>
      <c r="E77" t="s">
        <v>22</v>
      </c>
      <c r="F77">
        <v>205392.65</v>
      </c>
      <c r="G77" t="s">
        <v>502</v>
      </c>
    </row>
    <row r="78" spans="1:7" x14ac:dyDescent="0.25">
      <c r="A78" t="s">
        <v>6</v>
      </c>
      <c r="B78" s="1">
        <v>46150</v>
      </c>
      <c r="C78" t="s">
        <v>90</v>
      </c>
      <c r="D78">
        <v>-9.74</v>
      </c>
      <c r="E78" t="s">
        <v>10</v>
      </c>
      <c r="F78">
        <v>204901.36</v>
      </c>
      <c r="G78" t="s">
        <v>499</v>
      </c>
    </row>
    <row r="79" spans="1:7" x14ac:dyDescent="0.25">
      <c r="A79" t="s">
        <v>6</v>
      </c>
      <c r="B79" s="1">
        <v>46150</v>
      </c>
      <c r="C79" t="s">
        <v>91</v>
      </c>
      <c r="D79">
        <v>-54.28</v>
      </c>
      <c r="E79" t="s">
        <v>10</v>
      </c>
      <c r="F79">
        <v>204911.1</v>
      </c>
      <c r="G79" t="s">
        <v>477</v>
      </c>
    </row>
    <row r="80" spans="1:7" x14ac:dyDescent="0.25">
      <c r="A80" t="s">
        <v>6</v>
      </c>
      <c r="B80" s="1">
        <v>46150</v>
      </c>
      <c r="C80" t="s">
        <v>92</v>
      </c>
      <c r="D80">
        <v>-9.99</v>
      </c>
      <c r="E80" t="s">
        <v>10</v>
      </c>
      <c r="F80">
        <v>204965.38</v>
      </c>
      <c r="G80" t="s">
        <v>476</v>
      </c>
    </row>
    <row r="81" spans="1:7" x14ac:dyDescent="0.25">
      <c r="A81" t="s">
        <v>6</v>
      </c>
      <c r="B81" s="1">
        <v>46149</v>
      </c>
      <c r="C81" t="s">
        <v>93</v>
      </c>
      <c r="D81">
        <v>-9.99</v>
      </c>
      <c r="E81" t="s">
        <v>10</v>
      </c>
      <c r="F81">
        <v>204975.37</v>
      </c>
      <c r="G81" t="s">
        <v>476</v>
      </c>
    </row>
    <row r="82" spans="1:7" x14ac:dyDescent="0.25">
      <c r="A82" t="s">
        <v>6</v>
      </c>
      <c r="B82" s="1">
        <v>46148</v>
      </c>
      <c r="C82" t="s">
        <v>94</v>
      </c>
      <c r="D82">
        <v>-30.33</v>
      </c>
      <c r="E82" t="s">
        <v>10</v>
      </c>
      <c r="F82">
        <v>204985.36</v>
      </c>
      <c r="G82" t="s">
        <v>499</v>
      </c>
    </row>
    <row r="83" spans="1:7" x14ac:dyDescent="0.25">
      <c r="A83" t="s">
        <v>6</v>
      </c>
      <c r="B83" s="1">
        <v>46148</v>
      </c>
      <c r="C83" t="s">
        <v>95</v>
      </c>
      <c r="D83">
        <v>-6.38</v>
      </c>
      <c r="E83" t="s">
        <v>10</v>
      </c>
      <c r="F83">
        <v>205015.69</v>
      </c>
      <c r="G83" t="s">
        <v>505</v>
      </c>
    </row>
    <row r="84" spans="1:7" x14ac:dyDescent="0.25">
      <c r="A84" t="s">
        <v>6</v>
      </c>
      <c r="B84" s="1">
        <v>46148</v>
      </c>
      <c r="C84" t="s">
        <v>96</v>
      </c>
      <c r="D84">
        <v>-9.75</v>
      </c>
      <c r="E84" t="s">
        <v>10</v>
      </c>
      <c r="F84">
        <v>205022.07</v>
      </c>
      <c r="G84" t="s">
        <v>477</v>
      </c>
    </row>
    <row r="85" spans="1:7" x14ac:dyDescent="0.25">
      <c r="A85" t="s">
        <v>6</v>
      </c>
      <c r="B85" s="1">
        <v>46148</v>
      </c>
      <c r="C85" t="s">
        <v>97</v>
      </c>
      <c r="D85">
        <v>-7</v>
      </c>
      <c r="E85" t="s">
        <v>10</v>
      </c>
      <c r="F85">
        <v>205031.82</v>
      </c>
      <c r="G85" t="s">
        <v>477</v>
      </c>
    </row>
    <row r="86" spans="1:7" x14ac:dyDescent="0.25">
      <c r="A86" t="s">
        <v>6</v>
      </c>
      <c r="B86" s="1">
        <v>46148</v>
      </c>
      <c r="C86" t="s">
        <v>98</v>
      </c>
      <c r="D86">
        <v>-6</v>
      </c>
      <c r="E86" t="s">
        <v>10</v>
      </c>
      <c r="F86">
        <v>205038.82</v>
      </c>
      <c r="G86" t="s">
        <v>499</v>
      </c>
    </row>
    <row r="87" spans="1:7" x14ac:dyDescent="0.25">
      <c r="A87" t="s">
        <v>6</v>
      </c>
      <c r="B87" s="1">
        <v>46147</v>
      </c>
      <c r="C87" t="s">
        <v>99</v>
      </c>
      <c r="D87">
        <v>-8.31</v>
      </c>
      <c r="E87" t="s">
        <v>10</v>
      </c>
      <c r="F87">
        <v>205044.82</v>
      </c>
      <c r="G87" t="s">
        <v>505</v>
      </c>
    </row>
    <row r="88" spans="1:7" x14ac:dyDescent="0.25">
      <c r="A88" t="s">
        <v>6</v>
      </c>
      <c r="B88" s="1">
        <v>46147</v>
      </c>
      <c r="C88" t="s">
        <v>100</v>
      </c>
      <c r="D88">
        <v>-6.39</v>
      </c>
      <c r="E88" t="s">
        <v>10</v>
      </c>
      <c r="F88">
        <v>205053.13</v>
      </c>
      <c r="G88" t="s">
        <v>476</v>
      </c>
    </row>
    <row r="89" spans="1:7" x14ac:dyDescent="0.25">
      <c r="A89" t="s">
        <v>6</v>
      </c>
      <c r="B89" s="1">
        <v>46147</v>
      </c>
      <c r="C89" t="s">
        <v>101</v>
      </c>
      <c r="D89">
        <v>-9.24</v>
      </c>
      <c r="E89" t="s">
        <v>10</v>
      </c>
      <c r="F89">
        <v>205059.52</v>
      </c>
      <c r="G89" t="s">
        <v>498</v>
      </c>
    </row>
    <row r="90" spans="1:7" x14ac:dyDescent="0.25">
      <c r="A90" t="s">
        <v>6</v>
      </c>
      <c r="B90" s="1">
        <v>46147</v>
      </c>
      <c r="C90" t="s">
        <v>102</v>
      </c>
      <c r="D90">
        <v>-37.35</v>
      </c>
      <c r="E90" t="s">
        <v>10</v>
      </c>
      <c r="F90">
        <v>205068.76</v>
      </c>
      <c r="G90" t="s">
        <v>498</v>
      </c>
    </row>
    <row r="91" spans="1:7" x14ac:dyDescent="0.25">
      <c r="A91" t="s">
        <v>6</v>
      </c>
      <c r="B91" s="1">
        <v>46146</v>
      </c>
      <c r="C91" t="s">
        <v>103</v>
      </c>
      <c r="D91">
        <v>-35</v>
      </c>
      <c r="E91" t="s">
        <v>8</v>
      </c>
      <c r="F91">
        <v>205106.11</v>
      </c>
      <c r="G91" t="s">
        <v>521</v>
      </c>
    </row>
    <row r="92" spans="1:7" x14ac:dyDescent="0.25">
      <c r="A92" t="s">
        <v>6</v>
      </c>
      <c r="B92" s="1">
        <v>46146</v>
      </c>
      <c r="C92" t="s">
        <v>104</v>
      </c>
      <c r="D92">
        <v>-35</v>
      </c>
      <c r="E92" t="s">
        <v>8</v>
      </c>
      <c r="F92">
        <v>205141.11</v>
      </c>
      <c r="G92" t="s">
        <v>521</v>
      </c>
    </row>
    <row r="93" spans="1:7" x14ac:dyDescent="0.25">
      <c r="A93" t="s">
        <v>6</v>
      </c>
      <c r="B93" s="1">
        <v>46146</v>
      </c>
      <c r="C93" t="s">
        <v>105</v>
      </c>
      <c r="D93">
        <v>-127.16</v>
      </c>
      <c r="E93" t="s">
        <v>10</v>
      </c>
      <c r="F93">
        <v>205176.11</v>
      </c>
      <c r="G93" t="s">
        <v>477</v>
      </c>
    </row>
    <row r="94" spans="1:7" x14ac:dyDescent="0.25">
      <c r="A94" t="s">
        <v>6</v>
      </c>
      <c r="B94" s="1">
        <v>46146</v>
      </c>
      <c r="C94" t="s">
        <v>106</v>
      </c>
      <c r="D94">
        <v>-132.36000000000001</v>
      </c>
      <c r="E94" t="s">
        <v>10</v>
      </c>
      <c r="F94">
        <v>205303.27</v>
      </c>
      <c r="G94" t="s">
        <v>498</v>
      </c>
    </row>
    <row r="95" spans="1:7" x14ac:dyDescent="0.25">
      <c r="A95" t="s">
        <v>6</v>
      </c>
      <c r="B95" s="1">
        <v>46146</v>
      </c>
      <c r="C95" t="s">
        <v>107</v>
      </c>
      <c r="D95">
        <v>-3.25</v>
      </c>
      <c r="E95" t="s">
        <v>10</v>
      </c>
      <c r="F95">
        <v>205435.63</v>
      </c>
      <c r="G95" t="s">
        <v>499</v>
      </c>
    </row>
    <row r="96" spans="1:7" x14ac:dyDescent="0.25">
      <c r="A96" t="s">
        <v>6</v>
      </c>
      <c r="B96" s="1">
        <v>46143</v>
      </c>
      <c r="C96" t="s">
        <v>108</v>
      </c>
      <c r="D96">
        <v>-55.88</v>
      </c>
      <c r="E96" t="s">
        <v>10</v>
      </c>
      <c r="F96">
        <v>205438.88</v>
      </c>
      <c r="G96" t="s">
        <v>499</v>
      </c>
    </row>
    <row r="97" spans="1:7" x14ac:dyDescent="0.25">
      <c r="A97" t="s">
        <v>6</v>
      </c>
      <c r="B97" s="1">
        <v>46143</v>
      </c>
      <c r="C97" t="s">
        <v>109</v>
      </c>
      <c r="D97">
        <v>-27.05</v>
      </c>
      <c r="E97" t="s">
        <v>10</v>
      </c>
      <c r="F97">
        <v>205494.76</v>
      </c>
      <c r="G97" t="s">
        <v>476</v>
      </c>
    </row>
    <row r="98" spans="1:7" x14ac:dyDescent="0.25">
      <c r="A98" t="s">
        <v>6</v>
      </c>
      <c r="B98" s="1">
        <v>46143</v>
      </c>
      <c r="C98" t="s">
        <v>110</v>
      </c>
      <c r="D98">
        <v>-21.34</v>
      </c>
      <c r="E98" t="s">
        <v>10</v>
      </c>
      <c r="F98">
        <v>205521.81</v>
      </c>
      <c r="G98" t="s">
        <v>476</v>
      </c>
    </row>
    <row r="99" spans="1:7" x14ac:dyDescent="0.25">
      <c r="A99" t="s">
        <v>6</v>
      </c>
      <c r="B99" s="1">
        <v>46143</v>
      </c>
      <c r="C99" t="s">
        <v>111</v>
      </c>
      <c r="D99">
        <v>-4.26</v>
      </c>
      <c r="E99" t="s">
        <v>10</v>
      </c>
      <c r="F99">
        <v>205543.15</v>
      </c>
      <c r="G99" t="s">
        <v>476</v>
      </c>
    </row>
    <row r="100" spans="1:7" x14ac:dyDescent="0.25">
      <c r="A100" t="s">
        <v>6</v>
      </c>
      <c r="B100" s="1">
        <v>46142</v>
      </c>
      <c r="C100" t="s">
        <v>112</v>
      </c>
      <c r="D100">
        <v>-10000</v>
      </c>
      <c r="E100" t="s">
        <v>30</v>
      </c>
      <c r="F100">
        <v>205547.41</v>
      </c>
      <c r="G100" t="s">
        <v>482</v>
      </c>
    </row>
    <row r="101" spans="1:7" x14ac:dyDescent="0.25">
      <c r="A101" t="s">
        <v>6</v>
      </c>
      <c r="B101" s="1">
        <v>46142</v>
      </c>
      <c r="C101" t="s">
        <v>113</v>
      </c>
      <c r="D101">
        <v>-184.38</v>
      </c>
      <c r="E101" t="s">
        <v>10</v>
      </c>
      <c r="F101">
        <v>215547.41</v>
      </c>
      <c r="G101" t="s">
        <v>498</v>
      </c>
    </row>
    <row r="102" spans="1:7" x14ac:dyDescent="0.25">
      <c r="A102" t="s">
        <v>6</v>
      </c>
      <c r="B102" s="1">
        <v>46142</v>
      </c>
      <c r="C102" t="s">
        <v>114</v>
      </c>
      <c r="D102">
        <v>-241.44</v>
      </c>
      <c r="E102" t="s">
        <v>10</v>
      </c>
      <c r="F102">
        <v>215731.79</v>
      </c>
      <c r="G102" t="s">
        <v>498</v>
      </c>
    </row>
    <row r="103" spans="1:7" x14ac:dyDescent="0.25">
      <c r="A103" t="s">
        <v>6</v>
      </c>
      <c r="B103" s="1">
        <v>46141</v>
      </c>
      <c r="C103" t="s">
        <v>115</v>
      </c>
      <c r="D103">
        <v>-10000</v>
      </c>
      <c r="E103" t="s">
        <v>30</v>
      </c>
      <c r="F103">
        <v>215973.23</v>
      </c>
      <c r="G103" t="s">
        <v>479</v>
      </c>
    </row>
    <row r="104" spans="1:7" x14ac:dyDescent="0.25">
      <c r="A104" t="s">
        <v>6</v>
      </c>
      <c r="B104" s="1">
        <v>46141</v>
      </c>
      <c r="C104" t="s">
        <v>116</v>
      </c>
      <c r="D104">
        <v>-30000</v>
      </c>
      <c r="E104" t="s">
        <v>30</v>
      </c>
      <c r="F104">
        <v>225973.23</v>
      </c>
      <c r="G104" t="s">
        <v>479</v>
      </c>
    </row>
    <row r="105" spans="1:7" x14ac:dyDescent="0.25">
      <c r="A105" t="s">
        <v>6</v>
      </c>
      <c r="B105" s="1">
        <v>46141</v>
      </c>
      <c r="C105" t="s">
        <v>117</v>
      </c>
      <c r="D105">
        <v>-51.45</v>
      </c>
      <c r="E105" t="s">
        <v>10</v>
      </c>
      <c r="F105">
        <v>255973.23</v>
      </c>
      <c r="G105" t="s">
        <v>476</v>
      </c>
    </row>
    <row r="106" spans="1:7" x14ac:dyDescent="0.25">
      <c r="A106" t="s">
        <v>6</v>
      </c>
      <c r="B106" s="1">
        <v>46140</v>
      </c>
      <c r="C106" t="s">
        <v>118</v>
      </c>
      <c r="D106">
        <v>-5000</v>
      </c>
      <c r="E106" t="s">
        <v>63</v>
      </c>
      <c r="F106">
        <v>256024.68</v>
      </c>
      <c r="G106" t="s">
        <v>481</v>
      </c>
    </row>
    <row r="107" spans="1:7" x14ac:dyDescent="0.25">
      <c r="A107" t="s">
        <v>6</v>
      </c>
      <c r="B107" s="1">
        <v>46140</v>
      </c>
      <c r="C107" t="s">
        <v>119</v>
      </c>
      <c r="D107">
        <v>-42</v>
      </c>
      <c r="E107" t="s">
        <v>10</v>
      </c>
      <c r="F107">
        <v>261024.68</v>
      </c>
      <c r="G107" t="s">
        <v>498</v>
      </c>
    </row>
    <row r="108" spans="1:7" x14ac:dyDescent="0.25">
      <c r="A108" t="s">
        <v>6</v>
      </c>
      <c r="B108" s="1">
        <v>46140</v>
      </c>
      <c r="C108" t="s">
        <v>120</v>
      </c>
      <c r="D108">
        <v>-9.24</v>
      </c>
      <c r="E108" t="s">
        <v>10</v>
      </c>
      <c r="F108">
        <v>261066.68</v>
      </c>
      <c r="G108" t="s">
        <v>498</v>
      </c>
    </row>
    <row r="109" spans="1:7" x14ac:dyDescent="0.25">
      <c r="A109" t="s">
        <v>6</v>
      </c>
      <c r="B109" s="1">
        <v>46140</v>
      </c>
      <c r="C109" t="s">
        <v>121</v>
      </c>
      <c r="D109">
        <v>-31.88</v>
      </c>
      <c r="E109" t="s">
        <v>10</v>
      </c>
      <c r="F109">
        <v>261075.92</v>
      </c>
      <c r="G109" t="s">
        <v>498</v>
      </c>
    </row>
    <row r="110" spans="1:7" x14ac:dyDescent="0.25">
      <c r="A110" t="s">
        <v>6</v>
      </c>
      <c r="B110" s="1">
        <v>46139</v>
      </c>
      <c r="C110" t="s">
        <v>122</v>
      </c>
      <c r="D110">
        <v>-25</v>
      </c>
      <c r="E110" t="s">
        <v>123</v>
      </c>
      <c r="F110">
        <v>261107.8</v>
      </c>
      <c r="G110" t="s">
        <v>483</v>
      </c>
    </row>
    <row r="111" spans="1:7" x14ac:dyDescent="0.25">
      <c r="A111" t="s">
        <v>6</v>
      </c>
      <c r="B111" s="1">
        <v>46139</v>
      </c>
      <c r="C111" t="s">
        <v>124</v>
      </c>
      <c r="D111">
        <v>-429.22</v>
      </c>
      <c r="E111" t="s">
        <v>8</v>
      </c>
      <c r="F111">
        <v>261132.79999999999</v>
      </c>
      <c r="G111" t="s">
        <v>475</v>
      </c>
    </row>
    <row r="112" spans="1:7" x14ac:dyDescent="0.25">
      <c r="A112" t="s">
        <v>6</v>
      </c>
      <c r="B112" s="1">
        <v>46139</v>
      </c>
      <c r="C112" t="s">
        <v>125</v>
      </c>
      <c r="D112">
        <v>-2586.23</v>
      </c>
      <c r="E112" t="s">
        <v>8</v>
      </c>
      <c r="F112">
        <v>261562.02</v>
      </c>
      <c r="G112" t="s">
        <v>475</v>
      </c>
    </row>
    <row r="113" spans="1:7" x14ac:dyDescent="0.25">
      <c r="A113" t="s">
        <v>6</v>
      </c>
      <c r="B113" s="1">
        <v>46139</v>
      </c>
      <c r="C113" t="s">
        <v>126</v>
      </c>
      <c r="D113">
        <v>-11412.36</v>
      </c>
      <c r="E113" t="s">
        <v>8</v>
      </c>
      <c r="F113">
        <v>264148.25</v>
      </c>
      <c r="G113" t="s">
        <v>475</v>
      </c>
    </row>
    <row r="114" spans="1:7" x14ac:dyDescent="0.25">
      <c r="A114" t="s">
        <v>6</v>
      </c>
      <c r="B114" s="1">
        <v>46139</v>
      </c>
      <c r="C114" t="s">
        <v>127</v>
      </c>
      <c r="D114">
        <v>-1500</v>
      </c>
      <c r="E114" t="s">
        <v>63</v>
      </c>
      <c r="F114">
        <v>275560.61</v>
      </c>
      <c r="G114" t="s">
        <v>484</v>
      </c>
    </row>
    <row r="115" spans="1:7" x14ac:dyDescent="0.25">
      <c r="A115" t="s">
        <v>6</v>
      </c>
      <c r="B115" s="1">
        <v>46139</v>
      </c>
      <c r="C115" t="s">
        <v>128</v>
      </c>
      <c r="D115">
        <v>-16087.5</v>
      </c>
      <c r="E115" t="s">
        <v>129</v>
      </c>
      <c r="F115">
        <v>277060.61</v>
      </c>
      <c r="G115" t="s">
        <v>520</v>
      </c>
    </row>
    <row r="116" spans="1:7" x14ac:dyDescent="0.25">
      <c r="A116" t="s">
        <v>6</v>
      </c>
      <c r="B116" s="1">
        <v>46139</v>
      </c>
      <c r="C116" t="s">
        <v>130</v>
      </c>
      <c r="D116">
        <v>-21.28</v>
      </c>
      <c r="E116" t="s">
        <v>10</v>
      </c>
      <c r="F116">
        <v>293148.11</v>
      </c>
      <c r="G116" t="s">
        <v>477</v>
      </c>
    </row>
    <row r="117" spans="1:7" x14ac:dyDescent="0.25">
      <c r="A117" t="s">
        <v>6</v>
      </c>
      <c r="B117" s="1">
        <v>46139</v>
      </c>
      <c r="C117" t="s">
        <v>131</v>
      </c>
      <c r="D117">
        <v>-24.74</v>
      </c>
      <c r="E117" t="s">
        <v>10</v>
      </c>
      <c r="F117">
        <v>293169.39</v>
      </c>
      <c r="G117" t="s">
        <v>477</v>
      </c>
    </row>
    <row r="118" spans="1:7" x14ac:dyDescent="0.25">
      <c r="A118" t="s">
        <v>6</v>
      </c>
      <c r="B118" s="1">
        <v>46139</v>
      </c>
      <c r="C118" t="s">
        <v>132</v>
      </c>
      <c r="D118">
        <v>-30.89</v>
      </c>
      <c r="E118" t="s">
        <v>10</v>
      </c>
      <c r="F118">
        <v>293194.13</v>
      </c>
      <c r="G118" t="s">
        <v>476</v>
      </c>
    </row>
    <row r="119" spans="1:7" x14ac:dyDescent="0.25">
      <c r="A119" t="s">
        <v>6</v>
      </c>
      <c r="B119" s="1">
        <v>46136</v>
      </c>
      <c r="C119" t="s">
        <v>133</v>
      </c>
      <c r="D119">
        <v>-29.05</v>
      </c>
      <c r="E119" t="s">
        <v>10</v>
      </c>
      <c r="F119">
        <v>293225.02</v>
      </c>
      <c r="G119" t="s">
        <v>498</v>
      </c>
    </row>
    <row r="120" spans="1:7" x14ac:dyDescent="0.25">
      <c r="A120" t="s">
        <v>6</v>
      </c>
      <c r="B120" s="1">
        <v>46136</v>
      </c>
      <c r="C120" t="s">
        <v>134</v>
      </c>
      <c r="D120">
        <v>-16.28</v>
      </c>
      <c r="E120" t="s">
        <v>10</v>
      </c>
      <c r="F120">
        <v>293254.07</v>
      </c>
      <c r="G120" t="s">
        <v>498</v>
      </c>
    </row>
    <row r="121" spans="1:7" x14ac:dyDescent="0.25">
      <c r="A121" t="s">
        <v>20</v>
      </c>
      <c r="B121" s="1">
        <v>46136</v>
      </c>
      <c r="C121" t="s">
        <v>135</v>
      </c>
      <c r="D121">
        <v>11450</v>
      </c>
      <c r="E121" t="s">
        <v>30</v>
      </c>
      <c r="F121">
        <v>293270.34999999998</v>
      </c>
      <c r="G121" t="s">
        <v>485</v>
      </c>
    </row>
    <row r="122" spans="1:7" x14ac:dyDescent="0.25">
      <c r="A122" t="s">
        <v>6</v>
      </c>
      <c r="B122" s="1">
        <v>46135</v>
      </c>
      <c r="C122" t="s">
        <v>136</v>
      </c>
      <c r="D122">
        <v>-15</v>
      </c>
      <c r="E122" t="s">
        <v>123</v>
      </c>
      <c r="F122">
        <v>281820.34999999998</v>
      </c>
      <c r="G122" t="s">
        <v>483</v>
      </c>
    </row>
    <row r="123" spans="1:7" x14ac:dyDescent="0.25">
      <c r="A123" t="s">
        <v>6</v>
      </c>
      <c r="B123" s="1">
        <v>46135</v>
      </c>
      <c r="C123" t="s">
        <v>136</v>
      </c>
      <c r="D123">
        <v>-15</v>
      </c>
      <c r="E123" t="s">
        <v>123</v>
      </c>
      <c r="F123">
        <v>281835.34999999998</v>
      </c>
      <c r="G123" t="s">
        <v>483</v>
      </c>
    </row>
    <row r="124" spans="1:7" x14ac:dyDescent="0.25">
      <c r="A124" t="s">
        <v>6</v>
      </c>
      <c r="B124" s="1">
        <v>46135</v>
      </c>
      <c r="C124" t="s">
        <v>136</v>
      </c>
      <c r="D124">
        <v>-15</v>
      </c>
      <c r="E124" t="s">
        <v>123</v>
      </c>
      <c r="F124">
        <v>281850.34999999998</v>
      </c>
      <c r="G124" t="s">
        <v>483</v>
      </c>
    </row>
    <row r="125" spans="1:7" x14ac:dyDescent="0.25">
      <c r="A125" t="s">
        <v>6</v>
      </c>
      <c r="B125" s="1">
        <v>46135</v>
      </c>
      <c r="C125" t="s">
        <v>137</v>
      </c>
      <c r="D125">
        <v>-15000</v>
      </c>
      <c r="E125" t="s">
        <v>30</v>
      </c>
      <c r="F125">
        <v>281865.34999999998</v>
      </c>
      <c r="G125" t="s">
        <v>479</v>
      </c>
    </row>
    <row r="126" spans="1:7" x14ac:dyDescent="0.25">
      <c r="A126" t="s">
        <v>6</v>
      </c>
      <c r="B126" s="1">
        <v>46135</v>
      </c>
      <c r="C126" t="s">
        <v>138</v>
      </c>
      <c r="D126">
        <v>-87.42</v>
      </c>
      <c r="E126" t="s">
        <v>10</v>
      </c>
      <c r="F126">
        <v>296865.34999999998</v>
      </c>
      <c r="G126" t="s">
        <v>499</v>
      </c>
    </row>
    <row r="127" spans="1:7" x14ac:dyDescent="0.25">
      <c r="A127" t="s">
        <v>20</v>
      </c>
      <c r="B127" s="1">
        <v>46135</v>
      </c>
      <c r="C127" t="s">
        <v>139</v>
      </c>
      <c r="D127">
        <v>23139.439999999999</v>
      </c>
      <c r="E127" t="s">
        <v>140</v>
      </c>
      <c r="F127">
        <v>296952.77</v>
      </c>
      <c r="G127" t="s">
        <v>519</v>
      </c>
    </row>
    <row r="128" spans="1:7" x14ac:dyDescent="0.25">
      <c r="A128" t="s">
        <v>20</v>
      </c>
      <c r="B128" s="1">
        <v>46135</v>
      </c>
      <c r="C128" t="s">
        <v>141</v>
      </c>
      <c r="D128">
        <v>48750</v>
      </c>
      <c r="E128" t="s">
        <v>140</v>
      </c>
      <c r="F128">
        <v>273813.33</v>
      </c>
      <c r="G128" t="s">
        <v>519</v>
      </c>
    </row>
    <row r="129" spans="1:7" x14ac:dyDescent="0.25">
      <c r="A129" t="s">
        <v>20</v>
      </c>
      <c r="B129" s="1">
        <v>46135</v>
      </c>
      <c r="C129" t="s">
        <v>142</v>
      </c>
      <c r="D129">
        <v>195000</v>
      </c>
      <c r="E129" t="s">
        <v>140</v>
      </c>
      <c r="F129">
        <v>225063.33</v>
      </c>
      <c r="G129" t="s">
        <v>519</v>
      </c>
    </row>
    <row r="130" spans="1:7" x14ac:dyDescent="0.25">
      <c r="A130" t="s">
        <v>6</v>
      </c>
      <c r="B130" s="1">
        <v>46134</v>
      </c>
      <c r="C130" t="s">
        <v>143</v>
      </c>
      <c r="D130">
        <v>-46.7</v>
      </c>
      <c r="E130" t="s">
        <v>10</v>
      </c>
      <c r="F130">
        <v>30063.33</v>
      </c>
      <c r="G130" t="s">
        <v>477</v>
      </c>
    </row>
    <row r="131" spans="1:7" x14ac:dyDescent="0.25">
      <c r="A131" t="s">
        <v>6</v>
      </c>
      <c r="B131" s="1">
        <v>46134</v>
      </c>
      <c r="C131" t="s">
        <v>144</v>
      </c>
      <c r="D131">
        <v>-32</v>
      </c>
      <c r="E131" t="s">
        <v>10</v>
      </c>
      <c r="F131">
        <v>30110.03</v>
      </c>
      <c r="G131" t="s">
        <v>477</v>
      </c>
    </row>
    <row r="132" spans="1:7" x14ac:dyDescent="0.25">
      <c r="A132" t="s">
        <v>6</v>
      </c>
      <c r="B132" s="1">
        <v>46134</v>
      </c>
      <c r="C132" t="s">
        <v>145</v>
      </c>
      <c r="D132">
        <v>-42</v>
      </c>
      <c r="E132" t="s">
        <v>10</v>
      </c>
      <c r="F132">
        <v>30142.03</v>
      </c>
      <c r="G132" t="s">
        <v>498</v>
      </c>
    </row>
    <row r="133" spans="1:7" x14ac:dyDescent="0.25">
      <c r="A133" t="s">
        <v>6</v>
      </c>
      <c r="B133" s="1">
        <v>46133</v>
      </c>
      <c r="C133" t="s">
        <v>146</v>
      </c>
      <c r="D133">
        <v>-24.99</v>
      </c>
      <c r="E133" t="s">
        <v>10</v>
      </c>
      <c r="F133">
        <v>30184.03</v>
      </c>
      <c r="G133" t="s">
        <v>476</v>
      </c>
    </row>
    <row r="134" spans="1:7" x14ac:dyDescent="0.25">
      <c r="A134" t="s">
        <v>6</v>
      </c>
      <c r="B134" s="1">
        <v>46133</v>
      </c>
      <c r="C134" t="s">
        <v>147</v>
      </c>
      <c r="D134">
        <v>-65.849999999999994</v>
      </c>
      <c r="E134" t="s">
        <v>10</v>
      </c>
      <c r="F134">
        <v>30209.02</v>
      </c>
      <c r="G134" t="s">
        <v>498</v>
      </c>
    </row>
    <row r="135" spans="1:7" x14ac:dyDescent="0.25">
      <c r="A135" t="s">
        <v>6</v>
      </c>
      <c r="B135" s="1">
        <v>46132</v>
      </c>
      <c r="C135" t="s">
        <v>122</v>
      </c>
      <c r="D135">
        <v>-25</v>
      </c>
      <c r="E135" t="s">
        <v>123</v>
      </c>
      <c r="F135">
        <v>30274.87</v>
      </c>
      <c r="G135" t="s">
        <v>483</v>
      </c>
    </row>
    <row r="136" spans="1:7" x14ac:dyDescent="0.25">
      <c r="A136" t="s">
        <v>6</v>
      </c>
      <c r="B136" s="1">
        <v>46132</v>
      </c>
      <c r="C136" t="s">
        <v>148</v>
      </c>
      <c r="D136">
        <v>-5000</v>
      </c>
      <c r="E136" t="s">
        <v>129</v>
      </c>
      <c r="F136">
        <v>30299.87</v>
      </c>
      <c r="G136" t="s">
        <v>486</v>
      </c>
    </row>
    <row r="137" spans="1:7" x14ac:dyDescent="0.25">
      <c r="A137" t="s">
        <v>6</v>
      </c>
      <c r="B137" s="1">
        <v>46132</v>
      </c>
      <c r="C137" t="s">
        <v>149</v>
      </c>
      <c r="D137">
        <v>-30.89</v>
      </c>
      <c r="E137" t="s">
        <v>10</v>
      </c>
      <c r="F137">
        <v>35299.870000000003</v>
      </c>
      <c r="G137" t="s">
        <v>476</v>
      </c>
    </row>
    <row r="138" spans="1:7" x14ac:dyDescent="0.25">
      <c r="A138" t="s">
        <v>6</v>
      </c>
      <c r="B138" s="1">
        <v>46132</v>
      </c>
      <c r="C138" t="s">
        <v>150</v>
      </c>
      <c r="D138">
        <v>-13.13</v>
      </c>
      <c r="E138" t="s">
        <v>10</v>
      </c>
      <c r="F138">
        <v>35330.76</v>
      </c>
      <c r="G138" t="s">
        <v>499</v>
      </c>
    </row>
    <row r="139" spans="1:7" x14ac:dyDescent="0.25">
      <c r="A139" t="s">
        <v>6</v>
      </c>
      <c r="B139" s="1">
        <v>46132</v>
      </c>
      <c r="C139" t="s">
        <v>151</v>
      </c>
      <c r="D139">
        <v>-10.66</v>
      </c>
      <c r="E139" t="s">
        <v>10</v>
      </c>
      <c r="F139">
        <v>35343.89</v>
      </c>
      <c r="G139" t="s">
        <v>476</v>
      </c>
    </row>
    <row r="140" spans="1:7" x14ac:dyDescent="0.25">
      <c r="A140" t="s">
        <v>6</v>
      </c>
      <c r="B140" s="1">
        <v>46132</v>
      </c>
      <c r="C140" t="s">
        <v>152</v>
      </c>
      <c r="D140">
        <v>-26.74</v>
      </c>
      <c r="E140" t="s">
        <v>10</v>
      </c>
      <c r="F140">
        <v>35354.550000000003</v>
      </c>
      <c r="G140" t="s">
        <v>498</v>
      </c>
    </row>
    <row r="141" spans="1:7" x14ac:dyDescent="0.25">
      <c r="A141" t="s">
        <v>6</v>
      </c>
      <c r="B141" s="1">
        <v>46132</v>
      </c>
      <c r="C141" t="s">
        <v>153</v>
      </c>
      <c r="D141">
        <v>-24.63</v>
      </c>
      <c r="E141" t="s">
        <v>10</v>
      </c>
      <c r="F141">
        <v>35381.29</v>
      </c>
      <c r="G141" t="s">
        <v>498</v>
      </c>
    </row>
    <row r="142" spans="1:7" x14ac:dyDescent="0.25">
      <c r="A142" t="s">
        <v>6</v>
      </c>
      <c r="B142" s="1">
        <v>46129</v>
      </c>
      <c r="C142" t="s">
        <v>154</v>
      </c>
      <c r="D142">
        <v>-13.13</v>
      </c>
      <c r="E142" t="s">
        <v>10</v>
      </c>
      <c r="F142">
        <v>35405.919999999998</v>
      </c>
      <c r="G142" t="s">
        <v>477</v>
      </c>
    </row>
    <row r="143" spans="1:7" x14ac:dyDescent="0.25">
      <c r="A143" t="s">
        <v>6</v>
      </c>
      <c r="B143" s="1">
        <v>46129</v>
      </c>
      <c r="C143" t="s">
        <v>155</v>
      </c>
      <c r="D143">
        <v>-98.71</v>
      </c>
      <c r="E143" t="s">
        <v>10</v>
      </c>
      <c r="F143">
        <v>35419.050000000003</v>
      </c>
      <c r="G143" t="s">
        <v>499</v>
      </c>
    </row>
    <row r="144" spans="1:7" x14ac:dyDescent="0.25">
      <c r="A144" t="s">
        <v>6</v>
      </c>
      <c r="B144" s="1">
        <v>46129</v>
      </c>
      <c r="C144" t="s">
        <v>156</v>
      </c>
      <c r="D144">
        <v>-8.57</v>
      </c>
      <c r="E144" t="s">
        <v>10</v>
      </c>
      <c r="F144">
        <v>35517.760000000002</v>
      </c>
      <c r="G144" t="s">
        <v>476</v>
      </c>
    </row>
    <row r="145" spans="1:7" x14ac:dyDescent="0.25">
      <c r="A145" t="s">
        <v>6</v>
      </c>
      <c r="B145" s="1">
        <v>46129</v>
      </c>
      <c r="C145" t="s">
        <v>157</v>
      </c>
      <c r="D145">
        <v>-3.19</v>
      </c>
      <c r="E145" t="s">
        <v>10</v>
      </c>
      <c r="F145">
        <v>35526.33</v>
      </c>
      <c r="G145" t="s">
        <v>476</v>
      </c>
    </row>
    <row r="146" spans="1:7" x14ac:dyDescent="0.25">
      <c r="A146" t="s">
        <v>6</v>
      </c>
      <c r="B146" s="1">
        <v>46128</v>
      </c>
      <c r="C146" t="s">
        <v>158</v>
      </c>
      <c r="D146">
        <v>-95</v>
      </c>
      <c r="E146" t="s">
        <v>63</v>
      </c>
      <c r="F146">
        <v>35529.519999999997</v>
      </c>
      <c r="G146" t="s">
        <v>481</v>
      </c>
    </row>
    <row r="147" spans="1:7" x14ac:dyDescent="0.25">
      <c r="A147" t="s">
        <v>6</v>
      </c>
      <c r="B147" s="1">
        <v>46128</v>
      </c>
      <c r="C147" t="s">
        <v>159</v>
      </c>
      <c r="D147">
        <v>-44.99</v>
      </c>
      <c r="E147" t="s">
        <v>10</v>
      </c>
      <c r="F147">
        <v>35624.519999999997</v>
      </c>
      <c r="G147" t="s">
        <v>498</v>
      </c>
    </row>
    <row r="148" spans="1:7" x14ac:dyDescent="0.25">
      <c r="A148" t="s">
        <v>6</v>
      </c>
      <c r="B148" s="1">
        <v>46127</v>
      </c>
      <c r="C148" t="s">
        <v>160</v>
      </c>
      <c r="D148">
        <v>-3.19</v>
      </c>
      <c r="E148" t="s">
        <v>10</v>
      </c>
      <c r="F148">
        <v>35669.51</v>
      </c>
      <c r="G148" t="s">
        <v>476</v>
      </c>
    </row>
    <row r="149" spans="1:7" x14ac:dyDescent="0.25">
      <c r="A149" t="s">
        <v>6</v>
      </c>
      <c r="B149" s="1">
        <v>46127</v>
      </c>
      <c r="C149" t="s">
        <v>161</v>
      </c>
      <c r="D149">
        <v>-3.19</v>
      </c>
      <c r="E149" t="s">
        <v>10</v>
      </c>
      <c r="F149">
        <v>35672.699999999997</v>
      </c>
      <c r="G149" t="s">
        <v>476</v>
      </c>
    </row>
    <row r="150" spans="1:7" x14ac:dyDescent="0.25">
      <c r="A150" t="s">
        <v>6</v>
      </c>
      <c r="B150" s="1">
        <v>46127</v>
      </c>
      <c r="C150" t="s">
        <v>162</v>
      </c>
      <c r="D150">
        <v>-24.12</v>
      </c>
      <c r="E150" t="s">
        <v>10</v>
      </c>
      <c r="F150">
        <v>35675.89</v>
      </c>
      <c r="G150" t="s">
        <v>498</v>
      </c>
    </row>
    <row r="151" spans="1:7" x14ac:dyDescent="0.25">
      <c r="A151" t="s">
        <v>6</v>
      </c>
      <c r="B151" s="1">
        <v>46127</v>
      </c>
      <c r="C151" t="s">
        <v>163</v>
      </c>
      <c r="D151">
        <v>-14.03</v>
      </c>
      <c r="E151" t="s">
        <v>10</v>
      </c>
      <c r="F151">
        <v>35700.01</v>
      </c>
      <c r="G151" t="s">
        <v>498</v>
      </c>
    </row>
    <row r="152" spans="1:7" x14ac:dyDescent="0.25">
      <c r="A152" t="s">
        <v>6</v>
      </c>
      <c r="B152" s="1">
        <v>46126</v>
      </c>
      <c r="C152" t="s">
        <v>164</v>
      </c>
      <c r="D152">
        <v>-31.92</v>
      </c>
      <c r="E152" t="s">
        <v>10</v>
      </c>
      <c r="F152">
        <v>35714.04</v>
      </c>
      <c r="G152" t="s">
        <v>498</v>
      </c>
    </row>
    <row r="153" spans="1:7" x14ac:dyDescent="0.25">
      <c r="A153" t="s">
        <v>6</v>
      </c>
      <c r="B153" s="1">
        <v>46126</v>
      </c>
      <c r="C153" t="s">
        <v>165</v>
      </c>
      <c r="D153">
        <v>-31.88</v>
      </c>
      <c r="E153" t="s">
        <v>10</v>
      </c>
      <c r="F153">
        <v>35745.96</v>
      </c>
      <c r="G153" t="s">
        <v>498</v>
      </c>
    </row>
    <row r="154" spans="1:7" x14ac:dyDescent="0.25">
      <c r="A154" t="s">
        <v>6</v>
      </c>
      <c r="B154" s="1">
        <v>46126</v>
      </c>
      <c r="C154" t="s">
        <v>166</v>
      </c>
      <c r="D154">
        <v>-18.48</v>
      </c>
      <c r="E154" t="s">
        <v>10</v>
      </c>
      <c r="F154">
        <v>35777.839999999997</v>
      </c>
      <c r="G154" t="s">
        <v>498</v>
      </c>
    </row>
    <row r="155" spans="1:7" x14ac:dyDescent="0.25">
      <c r="A155" t="s">
        <v>6</v>
      </c>
      <c r="B155" s="1">
        <v>46125</v>
      </c>
      <c r="C155" t="s">
        <v>167</v>
      </c>
      <c r="D155">
        <v>-7.0000000000000007E-2</v>
      </c>
      <c r="E155" t="s">
        <v>123</v>
      </c>
      <c r="F155">
        <v>35796.32</v>
      </c>
      <c r="G155" t="s">
        <v>517</v>
      </c>
    </row>
    <row r="156" spans="1:7" x14ac:dyDescent="0.25">
      <c r="A156" t="s">
        <v>6</v>
      </c>
      <c r="B156" s="1">
        <v>46125</v>
      </c>
      <c r="C156" t="s">
        <v>168</v>
      </c>
      <c r="D156">
        <v>-0.15</v>
      </c>
      <c r="E156" t="s">
        <v>123</v>
      </c>
      <c r="F156">
        <v>35796.39</v>
      </c>
      <c r="G156" t="s">
        <v>517</v>
      </c>
    </row>
    <row r="157" spans="1:7" x14ac:dyDescent="0.25">
      <c r="A157" t="s">
        <v>6</v>
      </c>
      <c r="B157" s="1">
        <v>46125</v>
      </c>
      <c r="C157" t="s">
        <v>169</v>
      </c>
      <c r="D157">
        <v>-0.17</v>
      </c>
      <c r="E157" t="s">
        <v>123</v>
      </c>
      <c r="F157">
        <v>35796.54</v>
      </c>
      <c r="G157" t="s">
        <v>517</v>
      </c>
    </row>
    <row r="158" spans="1:7" x14ac:dyDescent="0.25">
      <c r="A158" t="s">
        <v>6</v>
      </c>
      <c r="B158" s="1">
        <v>46125</v>
      </c>
      <c r="C158" t="s">
        <v>170</v>
      </c>
      <c r="D158">
        <v>-1.75</v>
      </c>
      <c r="E158" t="s">
        <v>123</v>
      </c>
      <c r="F158">
        <v>35796.71</v>
      </c>
      <c r="G158" t="s">
        <v>517</v>
      </c>
    </row>
    <row r="159" spans="1:7" x14ac:dyDescent="0.25">
      <c r="A159" t="s">
        <v>6</v>
      </c>
      <c r="B159" s="1">
        <v>46125</v>
      </c>
      <c r="C159" t="s">
        <v>171</v>
      </c>
      <c r="D159">
        <v>-1241.53</v>
      </c>
      <c r="E159" t="s">
        <v>8</v>
      </c>
      <c r="F159">
        <v>35798.46</v>
      </c>
      <c r="G159" t="s">
        <v>475</v>
      </c>
    </row>
    <row r="160" spans="1:7" x14ac:dyDescent="0.25">
      <c r="A160" t="s">
        <v>6</v>
      </c>
      <c r="B160" s="1">
        <v>46125</v>
      </c>
      <c r="C160" t="s">
        <v>172</v>
      </c>
      <c r="D160">
        <v>-1295</v>
      </c>
      <c r="E160" t="s">
        <v>8</v>
      </c>
      <c r="F160">
        <v>37039.99</v>
      </c>
      <c r="G160" t="s">
        <v>475</v>
      </c>
    </row>
    <row r="161" spans="1:7" x14ac:dyDescent="0.25">
      <c r="A161" t="s">
        <v>6</v>
      </c>
      <c r="B161" s="1">
        <v>46125</v>
      </c>
      <c r="C161" t="s">
        <v>173</v>
      </c>
      <c r="D161">
        <v>-80.11</v>
      </c>
      <c r="E161" t="s">
        <v>10</v>
      </c>
      <c r="F161">
        <v>38334.99</v>
      </c>
      <c r="G161" t="s">
        <v>477</v>
      </c>
    </row>
    <row r="162" spans="1:7" x14ac:dyDescent="0.25">
      <c r="A162" t="s">
        <v>6</v>
      </c>
      <c r="B162" s="1">
        <v>46125</v>
      </c>
      <c r="C162" t="s">
        <v>174</v>
      </c>
      <c r="D162">
        <v>-5.81</v>
      </c>
      <c r="E162" t="s">
        <v>10</v>
      </c>
      <c r="F162">
        <v>38415.1</v>
      </c>
      <c r="G162" t="s">
        <v>517</v>
      </c>
    </row>
    <row r="163" spans="1:7" x14ac:dyDescent="0.25">
      <c r="A163" t="s">
        <v>6</v>
      </c>
      <c r="B163" s="1">
        <v>46125</v>
      </c>
      <c r="C163" t="s">
        <v>175</v>
      </c>
      <c r="D163">
        <v>-3.19</v>
      </c>
      <c r="E163" t="s">
        <v>10</v>
      </c>
      <c r="F163">
        <v>38420.910000000003</v>
      </c>
      <c r="G163" t="s">
        <v>476</v>
      </c>
    </row>
    <row r="164" spans="1:7" x14ac:dyDescent="0.25">
      <c r="A164" t="s">
        <v>6</v>
      </c>
      <c r="B164" s="1">
        <v>46125</v>
      </c>
      <c r="C164" t="s">
        <v>176</v>
      </c>
      <c r="D164">
        <v>-39.99</v>
      </c>
      <c r="E164" t="s">
        <v>10</v>
      </c>
      <c r="F164">
        <v>38424.1</v>
      </c>
      <c r="G164" t="s">
        <v>476</v>
      </c>
    </row>
    <row r="165" spans="1:7" x14ac:dyDescent="0.25">
      <c r="A165" t="s">
        <v>6</v>
      </c>
      <c r="B165" s="1">
        <v>46125</v>
      </c>
      <c r="C165" t="s">
        <v>177</v>
      </c>
      <c r="D165">
        <v>-131.72999999999999</v>
      </c>
      <c r="E165" t="s">
        <v>10</v>
      </c>
      <c r="F165">
        <v>38464.089999999997</v>
      </c>
      <c r="G165" t="s">
        <v>517</v>
      </c>
    </row>
    <row r="166" spans="1:7" x14ac:dyDescent="0.25">
      <c r="A166" t="s">
        <v>6</v>
      </c>
      <c r="B166" s="1">
        <v>46125</v>
      </c>
      <c r="C166" t="s">
        <v>178</v>
      </c>
      <c r="D166">
        <v>-5.28</v>
      </c>
      <c r="E166" t="s">
        <v>10</v>
      </c>
      <c r="F166">
        <v>38595.82</v>
      </c>
      <c r="G166" t="s">
        <v>517</v>
      </c>
    </row>
    <row r="167" spans="1:7" x14ac:dyDescent="0.25">
      <c r="A167" t="s">
        <v>6</v>
      </c>
      <c r="B167" s="1">
        <v>46125</v>
      </c>
      <c r="C167" t="s">
        <v>179</v>
      </c>
      <c r="D167">
        <v>-58.58</v>
      </c>
      <c r="E167" t="s">
        <v>10</v>
      </c>
      <c r="F167">
        <v>38601.1</v>
      </c>
      <c r="G167" t="s">
        <v>517</v>
      </c>
    </row>
    <row r="168" spans="1:7" x14ac:dyDescent="0.25">
      <c r="A168" t="s">
        <v>6</v>
      </c>
      <c r="B168" s="1">
        <v>46125</v>
      </c>
      <c r="C168" t="s">
        <v>180</v>
      </c>
      <c r="D168">
        <v>-4.26</v>
      </c>
      <c r="E168" t="s">
        <v>10</v>
      </c>
      <c r="F168">
        <v>38659.68</v>
      </c>
      <c r="G168" t="s">
        <v>476</v>
      </c>
    </row>
    <row r="169" spans="1:7" x14ac:dyDescent="0.25">
      <c r="A169" t="s">
        <v>6</v>
      </c>
      <c r="B169" s="1">
        <v>46125</v>
      </c>
      <c r="C169" t="s">
        <v>181</v>
      </c>
      <c r="D169">
        <v>-2.34</v>
      </c>
      <c r="E169" t="s">
        <v>10</v>
      </c>
      <c r="F169">
        <v>38663.94</v>
      </c>
      <c r="G169" t="s">
        <v>517</v>
      </c>
    </row>
    <row r="170" spans="1:7" x14ac:dyDescent="0.25">
      <c r="A170" t="s">
        <v>6</v>
      </c>
      <c r="B170" s="1">
        <v>46122</v>
      </c>
      <c r="C170" t="s">
        <v>182</v>
      </c>
      <c r="D170">
        <v>-0.35</v>
      </c>
      <c r="E170" t="s">
        <v>123</v>
      </c>
      <c r="F170">
        <v>38666.28</v>
      </c>
      <c r="G170" t="s">
        <v>517</v>
      </c>
    </row>
    <row r="171" spans="1:7" x14ac:dyDescent="0.25">
      <c r="A171" t="s">
        <v>6</v>
      </c>
      <c r="B171" s="1">
        <v>46122</v>
      </c>
      <c r="C171" t="s">
        <v>183</v>
      </c>
      <c r="D171">
        <v>-2.84</v>
      </c>
      <c r="E171" t="s">
        <v>123</v>
      </c>
      <c r="F171">
        <v>38666.629999999997</v>
      </c>
      <c r="G171" t="s">
        <v>517</v>
      </c>
    </row>
    <row r="172" spans="1:7" x14ac:dyDescent="0.25">
      <c r="A172" t="s">
        <v>6</v>
      </c>
      <c r="B172" s="1">
        <v>46122</v>
      </c>
      <c r="C172" t="s">
        <v>184</v>
      </c>
      <c r="D172">
        <v>-19.2</v>
      </c>
      <c r="E172" t="s">
        <v>10</v>
      </c>
      <c r="F172">
        <v>38669.47</v>
      </c>
      <c r="G172" t="s">
        <v>476</v>
      </c>
    </row>
    <row r="173" spans="1:7" x14ac:dyDescent="0.25">
      <c r="A173" t="s">
        <v>6</v>
      </c>
      <c r="B173" s="1">
        <v>46122</v>
      </c>
      <c r="C173" t="s">
        <v>185</v>
      </c>
      <c r="D173">
        <v>-4.26</v>
      </c>
      <c r="E173" t="s">
        <v>10</v>
      </c>
      <c r="F173">
        <v>38688.67</v>
      </c>
      <c r="G173" t="s">
        <v>476</v>
      </c>
    </row>
    <row r="174" spans="1:7" x14ac:dyDescent="0.25">
      <c r="A174" t="s">
        <v>6</v>
      </c>
      <c r="B174" s="1">
        <v>46122</v>
      </c>
      <c r="C174" t="s">
        <v>186</v>
      </c>
      <c r="D174">
        <v>-94.96</v>
      </c>
      <c r="E174" t="s">
        <v>10</v>
      </c>
      <c r="F174">
        <v>38692.93</v>
      </c>
      <c r="G174" t="s">
        <v>517</v>
      </c>
    </row>
    <row r="175" spans="1:7" x14ac:dyDescent="0.25">
      <c r="A175" t="s">
        <v>6</v>
      </c>
      <c r="B175" s="1">
        <v>46122</v>
      </c>
      <c r="C175" t="s">
        <v>187</v>
      </c>
      <c r="D175">
        <v>-11.72</v>
      </c>
      <c r="E175" t="s">
        <v>10</v>
      </c>
      <c r="F175">
        <v>38787.89</v>
      </c>
      <c r="G175" t="s">
        <v>517</v>
      </c>
    </row>
    <row r="176" spans="1:7" x14ac:dyDescent="0.25">
      <c r="A176" t="s">
        <v>6</v>
      </c>
      <c r="B176" s="1">
        <v>46121</v>
      </c>
      <c r="C176" t="s">
        <v>188</v>
      </c>
      <c r="D176">
        <v>-86.75</v>
      </c>
      <c r="E176" t="s">
        <v>10</v>
      </c>
      <c r="F176">
        <v>38799.61</v>
      </c>
      <c r="G176" t="s">
        <v>499</v>
      </c>
    </row>
    <row r="177" spans="1:7" x14ac:dyDescent="0.25">
      <c r="A177" t="s">
        <v>6</v>
      </c>
      <c r="B177" s="1">
        <v>46121</v>
      </c>
      <c r="C177" t="s">
        <v>189</v>
      </c>
      <c r="D177">
        <v>-41.29</v>
      </c>
      <c r="E177" t="s">
        <v>10</v>
      </c>
      <c r="F177">
        <v>38886.36</v>
      </c>
      <c r="G177" t="s">
        <v>499</v>
      </c>
    </row>
    <row r="178" spans="1:7" x14ac:dyDescent="0.25">
      <c r="A178" t="s">
        <v>20</v>
      </c>
      <c r="B178" s="1">
        <v>46121</v>
      </c>
      <c r="C178" t="s">
        <v>190</v>
      </c>
      <c r="D178">
        <v>233.33</v>
      </c>
      <c r="E178" t="s">
        <v>22</v>
      </c>
      <c r="F178">
        <v>38927.65</v>
      </c>
      <c r="G178" t="s">
        <v>503</v>
      </c>
    </row>
    <row r="179" spans="1:7" x14ac:dyDescent="0.25">
      <c r="A179" t="s">
        <v>20</v>
      </c>
      <c r="B179" s="1">
        <v>46121</v>
      </c>
      <c r="C179" t="s">
        <v>191</v>
      </c>
      <c r="D179">
        <v>350</v>
      </c>
      <c r="E179" t="s">
        <v>22</v>
      </c>
      <c r="F179">
        <v>38694.32</v>
      </c>
      <c r="G179" t="s">
        <v>501</v>
      </c>
    </row>
    <row r="180" spans="1:7" x14ac:dyDescent="0.25">
      <c r="A180" t="s">
        <v>20</v>
      </c>
      <c r="B180" s="1">
        <v>46121</v>
      </c>
      <c r="C180" t="s">
        <v>192</v>
      </c>
      <c r="D180">
        <v>491.29</v>
      </c>
      <c r="E180" t="s">
        <v>22</v>
      </c>
      <c r="F180">
        <v>38344.32</v>
      </c>
      <c r="G180" t="s">
        <v>502</v>
      </c>
    </row>
    <row r="181" spans="1:7" x14ac:dyDescent="0.25">
      <c r="A181" t="s">
        <v>6</v>
      </c>
      <c r="B181" s="1">
        <v>46120</v>
      </c>
      <c r="C181" t="s">
        <v>193</v>
      </c>
      <c r="D181">
        <v>-1.89</v>
      </c>
      <c r="E181" t="s">
        <v>123</v>
      </c>
      <c r="F181">
        <v>37853.03</v>
      </c>
      <c r="G181" t="s">
        <v>517</v>
      </c>
    </row>
    <row r="182" spans="1:7" x14ac:dyDescent="0.25">
      <c r="A182" t="s">
        <v>6</v>
      </c>
      <c r="B182" s="1">
        <v>46120</v>
      </c>
      <c r="C182" t="s">
        <v>194</v>
      </c>
      <c r="D182">
        <v>-172.09</v>
      </c>
      <c r="E182" t="s">
        <v>8</v>
      </c>
      <c r="F182">
        <v>37854.92</v>
      </c>
      <c r="G182" t="s">
        <v>475</v>
      </c>
    </row>
    <row r="183" spans="1:7" x14ac:dyDescent="0.25">
      <c r="A183" t="s">
        <v>6</v>
      </c>
      <c r="B183" s="1">
        <v>46120</v>
      </c>
      <c r="C183" t="s">
        <v>195</v>
      </c>
      <c r="D183">
        <v>-9.99</v>
      </c>
      <c r="E183" t="s">
        <v>10</v>
      </c>
      <c r="F183">
        <v>38027.01</v>
      </c>
      <c r="G183" t="s">
        <v>499</v>
      </c>
    </row>
    <row r="184" spans="1:7" x14ac:dyDescent="0.25">
      <c r="A184" t="s">
        <v>6</v>
      </c>
      <c r="B184" s="1">
        <v>46120</v>
      </c>
      <c r="C184" t="s">
        <v>196</v>
      </c>
      <c r="D184">
        <v>-20000</v>
      </c>
      <c r="E184" t="s">
        <v>30</v>
      </c>
      <c r="F184">
        <v>38037</v>
      </c>
      <c r="G184" t="s">
        <v>479</v>
      </c>
    </row>
    <row r="185" spans="1:7" x14ac:dyDescent="0.25">
      <c r="A185" t="s">
        <v>6</v>
      </c>
      <c r="B185" s="1">
        <v>46120</v>
      </c>
      <c r="C185" t="s">
        <v>197</v>
      </c>
      <c r="D185">
        <v>-63.05</v>
      </c>
      <c r="E185" t="s">
        <v>10</v>
      </c>
      <c r="F185">
        <v>58037</v>
      </c>
      <c r="G185" t="s">
        <v>517</v>
      </c>
    </row>
    <row r="186" spans="1:7" x14ac:dyDescent="0.25">
      <c r="A186" t="s">
        <v>6</v>
      </c>
      <c r="B186" s="1">
        <v>46119</v>
      </c>
      <c r="C186" t="s">
        <v>198</v>
      </c>
      <c r="D186">
        <v>-1.38</v>
      </c>
      <c r="E186" t="s">
        <v>123</v>
      </c>
      <c r="F186">
        <v>58100.05</v>
      </c>
      <c r="G186" t="s">
        <v>517</v>
      </c>
    </row>
    <row r="187" spans="1:7" x14ac:dyDescent="0.25">
      <c r="A187" t="s">
        <v>6</v>
      </c>
      <c r="B187" s="1">
        <v>46119</v>
      </c>
      <c r="C187" t="s">
        <v>199</v>
      </c>
      <c r="D187">
        <v>-46.2</v>
      </c>
      <c r="E187" t="s">
        <v>10</v>
      </c>
      <c r="F187">
        <v>58101.43</v>
      </c>
      <c r="G187" t="s">
        <v>517</v>
      </c>
    </row>
    <row r="188" spans="1:7" x14ac:dyDescent="0.25">
      <c r="A188" t="s">
        <v>6</v>
      </c>
      <c r="B188" s="1">
        <v>46119</v>
      </c>
      <c r="C188" t="s">
        <v>200</v>
      </c>
      <c r="D188">
        <v>-9.99</v>
      </c>
      <c r="E188" t="s">
        <v>10</v>
      </c>
      <c r="F188">
        <v>58147.63</v>
      </c>
      <c r="G188" t="s">
        <v>476</v>
      </c>
    </row>
    <row r="189" spans="1:7" x14ac:dyDescent="0.25">
      <c r="A189" t="s">
        <v>6</v>
      </c>
      <c r="B189" s="1">
        <v>46118</v>
      </c>
      <c r="C189" t="s">
        <v>201</v>
      </c>
      <c r="D189">
        <v>-44.5</v>
      </c>
      <c r="E189" t="s">
        <v>10</v>
      </c>
      <c r="F189">
        <v>58157.62</v>
      </c>
      <c r="G189" t="s">
        <v>499</v>
      </c>
    </row>
    <row r="190" spans="1:7" x14ac:dyDescent="0.25">
      <c r="A190" t="s">
        <v>6</v>
      </c>
      <c r="B190" s="1">
        <v>46118</v>
      </c>
      <c r="C190" t="s">
        <v>202</v>
      </c>
      <c r="D190">
        <v>-4.26</v>
      </c>
      <c r="E190" t="s">
        <v>10</v>
      </c>
      <c r="F190">
        <v>58202.12</v>
      </c>
      <c r="G190" t="s">
        <v>476</v>
      </c>
    </row>
    <row r="191" spans="1:7" x14ac:dyDescent="0.25">
      <c r="A191" t="s">
        <v>6</v>
      </c>
      <c r="B191" s="1">
        <v>46115</v>
      </c>
      <c r="C191" t="s">
        <v>203</v>
      </c>
      <c r="D191">
        <v>-200</v>
      </c>
      <c r="E191" t="s">
        <v>30</v>
      </c>
      <c r="F191">
        <v>58206.38</v>
      </c>
      <c r="G191" t="s">
        <v>487</v>
      </c>
    </row>
    <row r="192" spans="1:7" x14ac:dyDescent="0.25">
      <c r="A192" t="s">
        <v>6</v>
      </c>
      <c r="B192" s="1">
        <v>46113</v>
      </c>
      <c r="C192" t="s">
        <v>204</v>
      </c>
      <c r="D192">
        <v>-27.05</v>
      </c>
      <c r="E192" t="s">
        <v>10</v>
      </c>
      <c r="F192">
        <v>58406.38</v>
      </c>
      <c r="G192" t="s">
        <v>476</v>
      </c>
    </row>
    <row r="193" spans="1:7" x14ac:dyDescent="0.25">
      <c r="A193" t="s">
        <v>6</v>
      </c>
      <c r="B193" s="1">
        <v>46113</v>
      </c>
      <c r="C193" t="s">
        <v>205</v>
      </c>
      <c r="D193">
        <v>-51.45</v>
      </c>
      <c r="E193" t="s">
        <v>10</v>
      </c>
      <c r="F193">
        <v>58433.43</v>
      </c>
      <c r="G193" t="s">
        <v>476</v>
      </c>
    </row>
    <row r="194" spans="1:7" x14ac:dyDescent="0.25">
      <c r="A194" t="s">
        <v>6</v>
      </c>
      <c r="B194" s="1">
        <v>46113</v>
      </c>
      <c r="C194" t="s">
        <v>206</v>
      </c>
      <c r="D194">
        <v>-8.6199999999999992</v>
      </c>
      <c r="E194" t="s">
        <v>10</v>
      </c>
      <c r="F194">
        <v>58484.88</v>
      </c>
      <c r="G194" t="s">
        <v>498</v>
      </c>
    </row>
    <row r="195" spans="1:7" x14ac:dyDescent="0.25">
      <c r="A195" t="s">
        <v>20</v>
      </c>
      <c r="B195" s="1">
        <v>46113</v>
      </c>
      <c r="C195" t="s">
        <v>207</v>
      </c>
      <c r="D195">
        <v>15000</v>
      </c>
      <c r="E195" t="s">
        <v>22</v>
      </c>
      <c r="F195">
        <v>58493.5</v>
      </c>
      <c r="G195" t="s">
        <v>518</v>
      </c>
    </row>
    <row r="196" spans="1:7" x14ac:dyDescent="0.25">
      <c r="A196" t="s">
        <v>6</v>
      </c>
      <c r="B196" s="1">
        <v>46112</v>
      </c>
      <c r="C196" t="s">
        <v>208</v>
      </c>
      <c r="D196">
        <v>-44.65</v>
      </c>
      <c r="E196" t="s">
        <v>10</v>
      </c>
      <c r="F196">
        <v>43493.5</v>
      </c>
      <c r="G196" t="s">
        <v>499</v>
      </c>
    </row>
    <row r="197" spans="1:7" x14ac:dyDescent="0.25">
      <c r="A197" t="s">
        <v>6</v>
      </c>
      <c r="B197" s="1">
        <v>46111</v>
      </c>
      <c r="C197" t="s">
        <v>209</v>
      </c>
      <c r="D197">
        <v>-1237.3699999999999</v>
      </c>
      <c r="E197" t="s">
        <v>8</v>
      </c>
      <c r="F197">
        <v>43538.15</v>
      </c>
      <c r="G197" t="s">
        <v>475</v>
      </c>
    </row>
    <row r="198" spans="1:7" x14ac:dyDescent="0.25">
      <c r="A198" t="s">
        <v>6</v>
      </c>
      <c r="B198" s="1">
        <v>46111</v>
      </c>
      <c r="C198" t="s">
        <v>210</v>
      </c>
      <c r="D198">
        <v>-1775.69</v>
      </c>
      <c r="E198" t="s">
        <v>8</v>
      </c>
      <c r="F198">
        <v>44775.519999999997</v>
      </c>
      <c r="G198" t="s">
        <v>475</v>
      </c>
    </row>
    <row r="199" spans="1:7" x14ac:dyDescent="0.25">
      <c r="A199" t="s">
        <v>6</v>
      </c>
      <c r="B199" s="1">
        <v>46111</v>
      </c>
      <c r="C199" t="s">
        <v>211</v>
      </c>
      <c r="D199">
        <v>-14941.94</v>
      </c>
      <c r="E199" t="s">
        <v>8</v>
      </c>
      <c r="F199">
        <v>46551.21</v>
      </c>
      <c r="G199" t="s">
        <v>475</v>
      </c>
    </row>
    <row r="200" spans="1:7" x14ac:dyDescent="0.25">
      <c r="A200" t="s">
        <v>6</v>
      </c>
      <c r="B200" s="1">
        <v>46111</v>
      </c>
      <c r="C200" t="s">
        <v>212</v>
      </c>
      <c r="D200">
        <v>-19.53</v>
      </c>
      <c r="E200" t="s">
        <v>10</v>
      </c>
      <c r="F200">
        <v>61493.15</v>
      </c>
      <c r="G200" t="s">
        <v>499</v>
      </c>
    </row>
    <row r="201" spans="1:7" x14ac:dyDescent="0.25">
      <c r="A201" t="s">
        <v>6</v>
      </c>
      <c r="B201" s="1">
        <v>46111</v>
      </c>
      <c r="C201" t="s">
        <v>213</v>
      </c>
      <c r="D201">
        <v>-30.89</v>
      </c>
      <c r="E201" t="s">
        <v>10</v>
      </c>
      <c r="F201">
        <v>61512.68</v>
      </c>
      <c r="G201" t="s">
        <v>476</v>
      </c>
    </row>
    <row r="202" spans="1:7" x14ac:dyDescent="0.25">
      <c r="A202" t="s">
        <v>6</v>
      </c>
      <c r="B202" s="1">
        <v>46111</v>
      </c>
      <c r="C202" t="s">
        <v>214</v>
      </c>
      <c r="D202">
        <v>-12000</v>
      </c>
      <c r="E202" t="s">
        <v>215</v>
      </c>
      <c r="F202">
        <v>61543.57</v>
      </c>
      <c r="G202" t="s">
        <v>488</v>
      </c>
    </row>
    <row r="203" spans="1:7" x14ac:dyDescent="0.25">
      <c r="A203" t="s">
        <v>6</v>
      </c>
      <c r="B203" s="1">
        <v>46111</v>
      </c>
      <c r="C203" t="s">
        <v>216</v>
      </c>
      <c r="D203">
        <v>-5000</v>
      </c>
      <c r="E203" t="s">
        <v>30</v>
      </c>
      <c r="F203">
        <v>73543.570000000007</v>
      </c>
      <c r="G203" t="s">
        <v>479</v>
      </c>
    </row>
    <row r="204" spans="1:7" x14ac:dyDescent="0.25">
      <c r="A204" t="s">
        <v>6</v>
      </c>
      <c r="B204" s="1">
        <v>46111</v>
      </c>
      <c r="C204" t="s">
        <v>217</v>
      </c>
      <c r="D204">
        <v>-5000</v>
      </c>
      <c r="E204" t="s">
        <v>30</v>
      </c>
      <c r="F204">
        <v>78543.570000000007</v>
      </c>
      <c r="G204" t="s">
        <v>479</v>
      </c>
    </row>
    <row r="205" spans="1:7" x14ac:dyDescent="0.25">
      <c r="A205" t="s">
        <v>6</v>
      </c>
      <c r="B205" s="1">
        <v>46111</v>
      </c>
      <c r="C205" t="s">
        <v>218</v>
      </c>
      <c r="D205">
        <v>-5000</v>
      </c>
      <c r="E205" t="s">
        <v>30</v>
      </c>
      <c r="F205">
        <v>83543.570000000007</v>
      </c>
      <c r="G205" t="s">
        <v>479</v>
      </c>
    </row>
    <row r="206" spans="1:7" x14ac:dyDescent="0.25">
      <c r="A206" t="s">
        <v>20</v>
      </c>
      <c r="B206" s="1">
        <v>46111</v>
      </c>
      <c r="C206" t="s">
        <v>219</v>
      </c>
      <c r="D206">
        <v>50000</v>
      </c>
      <c r="E206" t="s">
        <v>30</v>
      </c>
      <c r="F206">
        <v>88543.57</v>
      </c>
      <c r="G206" t="s">
        <v>489</v>
      </c>
    </row>
    <row r="207" spans="1:7" x14ac:dyDescent="0.25">
      <c r="A207" t="s">
        <v>6</v>
      </c>
      <c r="B207" s="1">
        <v>46108</v>
      </c>
      <c r="C207" t="s">
        <v>220</v>
      </c>
      <c r="D207">
        <v>-10.66</v>
      </c>
      <c r="E207" t="s">
        <v>10</v>
      </c>
      <c r="F207">
        <v>38543.57</v>
      </c>
      <c r="G207" t="s">
        <v>476</v>
      </c>
    </row>
    <row r="208" spans="1:7" x14ac:dyDescent="0.25">
      <c r="A208" t="s">
        <v>6</v>
      </c>
      <c r="B208" s="1">
        <v>46108</v>
      </c>
      <c r="C208" t="s">
        <v>221</v>
      </c>
      <c r="D208">
        <v>-54.76</v>
      </c>
      <c r="E208" t="s">
        <v>10</v>
      </c>
      <c r="F208">
        <v>38554.230000000003</v>
      </c>
      <c r="G208" t="s">
        <v>498</v>
      </c>
    </row>
    <row r="209" spans="1:7" x14ac:dyDescent="0.25">
      <c r="A209" t="s">
        <v>6</v>
      </c>
      <c r="B209" s="1">
        <v>46108</v>
      </c>
      <c r="C209" t="s">
        <v>222</v>
      </c>
      <c r="D209">
        <v>-111.83</v>
      </c>
      <c r="E209" t="s">
        <v>10</v>
      </c>
      <c r="F209">
        <v>38608.99</v>
      </c>
      <c r="G209" t="s">
        <v>498</v>
      </c>
    </row>
    <row r="210" spans="1:7" x14ac:dyDescent="0.25">
      <c r="A210" t="s">
        <v>6</v>
      </c>
      <c r="B210" s="1">
        <v>46108</v>
      </c>
      <c r="C210" t="s">
        <v>223</v>
      </c>
      <c r="D210">
        <v>-15.43</v>
      </c>
      <c r="E210" t="s">
        <v>10</v>
      </c>
      <c r="F210">
        <v>38720.82</v>
      </c>
      <c r="G210" t="s">
        <v>498</v>
      </c>
    </row>
    <row r="211" spans="1:7" x14ac:dyDescent="0.25">
      <c r="A211" t="s">
        <v>6</v>
      </c>
      <c r="B211" s="1">
        <v>46107</v>
      </c>
      <c r="C211" t="s">
        <v>224</v>
      </c>
      <c r="D211">
        <v>-1000</v>
      </c>
      <c r="E211" t="s">
        <v>30</v>
      </c>
      <c r="F211">
        <v>38736.25</v>
      </c>
      <c r="G211" t="s">
        <v>482</v>
      </c>
    </row>
    <row r="212" spans="1:7" x14ac:dyDescent="0.25">
      <c r="A212" t="s">
        <v>6</v>
      </c>
      <c r="B212" s="1">
        <v>46106</v>
      </c>
      <c r="C212" t="s">
        <v>225</v>
      </c>
      <c r="D212">
        <v>-39.5</v>
      </c>
      <c r="E212" t="s">
        <v>10</v>
      </c>
      <c r="F212">
        <v>39736.25</v>
      </c>
      <c r="G212" t="s">
        <v>498</v>
      </c>
    </row>
    <row r="213" spans="1:7" x14ac:dyDescent="0.25">
      <c r="A213" t="s">
        <v>6</v>
      </c>
      <c r="B213" s="1">
        <v>46105</v>
      </c>
      <c r="C213" t="s">
        <v>226</v>
      </c>
      <c r="D213">
        <v>-13.14</v>
      </c>
      <c r="E213" t="s">
        <v>10</v>
      </c>
      <c r="F213">
        <v>39775.75</v>
      </c>
      <c r="G213" t="s">
        <v>498</v>
      </c>
    </row>
    <row r="214" spans="1:7" x14ac:dyDescent="0.25">
      <c r="A214" t="s">
        <v>6</v>
      </c>
      <c r="B214" s="1">
        <v>46104</v>
      </c>
      <c r="C214" t="s">
        <v>227</v>
      </c>
      <c r="D214">
        <v>-54.99</v>
      </c>
      <c r="E214" t="s">
        <v>10</v>
      </c>
      <c r="F214">
        <v>39788.89</v>
      </c>
      <c r="G214" t="s">
        <v>499</v>
      </c>
    </row>
    <row r="215" spans="1:7" x14ac:dyDescent="0.25">
      <c r="A215" t="s">
        <v>6</v>
      </c>
      <c r="B215" s="1">
        <v>46104</v>
      </c>
      <c r="C215" t="s">
        <v>228</v>
      </c>
      <c r="D215">
        <v>-4.26</v>
      </c>
      <c r="E215" t="s">
        <v>10</v>
      </c>
      <c r="F215">
        <v>39843.879999999997</v>
      </c>
      <c r="G215" t="s">
        <v>476</v>
      </c>
    </row>
    <row r="216" spans="1:7" x14ac:dyDescent="0.25">
      <c r="A216" t="s">
        <v>6</v>
      </c>
      <c r="B216" s="1">
        <v>46104</v>
      </c>
      <c r="C216" t="s">
        <v>229</v>
      </c>
      <c r="D216">
        <v>-20000</v>
      </c>
      <c r="E216" t="s">
        <v>30</v>
      </c>
      <c r="F216">
        <v>39848.14</v>
      </c>
      <c r="G216" t="s">
        <v>479</v>
      </c>
    </row>
    <row r="217" spans="1:7" x14ac:dyDescent="0.25">
      <c r="A217" t="s">
        <v>6</v>
      </c>
      <c r="B217" s="1">
        <v>46104</v>
      </c>
      <c r="C217" t="s">
        <v>230</v>
      </c>
      <c r="D217">
        <v>-30.89</v>
      </c>
      <c r="E217" t="s">
        <v>10</v>
      </c>
      <c r="F217">
        <v>59848.14</v>
      </c>
      <c r="G217" t="s">
        <v>476</v>
      </c>
    </row>
    <row r="218" spans="1:7" x14ac:dyDescent="0.25">
      <c r="A218" t="s">
        <v>6</v>
      </c>
      <c r="B218" s="1">
        <v>46104</v>
      </c>
      <c r="C218" t="s">
        <v>231</v>
      </c>
      <c r="D218">
        <v>-14.19</v>
      </c>
      <c r="E218" t="s">
        <v>10</v>
      </c>
      <c r="F218">
        <v>59879.03</v>
      </c>
      <c r="G218" t="s">
        <v>498</v>
      </c>
    </row>
    <row r="219" spans="1:7" x14ac:dyDescent="0.25">
      <c r="A219" t="s">
        <v>6</v>
      </c>
      <c r="B219" s="1">
        <v>46104</v>
      </c>
      <c r="C219" t="s">
        <v>232</v>
      </c>
      <c r="D219">
        <v>-24.99</v>
      </c>
      <c r="E219" t="s">
        <v>10</v>
      </c>
      <c r="F219">
        <v>59893.22</v>
      </c>
      <c r="G219" t="s">
        <v>476</v>
      </c>
    </row>
    <row r="220" spans="1:7" x14ac:dyDescent="0.25">
      <c r="A220" t="s">
        <v>6</v>
      </c>
      <c r="B220" s="1">
        <v>46101</v>
      </c>
      <c r="C220" t="s">
        <v>233</v>
      </c>
      <c r="D220">
        <v>-78.569999999999993</v>
      </c>
      <c r="E220" t="s">
        <v>10</v>
      </c>
      <c r="F220">
        <v>59918.21</v>
      </c>
      <c r="G220" t="s">
        <v>499</v>
      </c>
    </row>
    <row r="221" spans="1:7" x14ac:dyDescent="0.25">
      <c r="A221" t="s">
        <v>6</v>
      </c>
      <c r="B221" s="1">
        <v>46101</v>
      </c>
      <c r="C221" t="s">
        <v>234</v>
      </c>
      <c r="D221">
        <v>-62</v>
      </c>
      <c r="E221" t="s">
        <v>63</v>
      </c>
      <c r="F221">
        <v>59996.78</v>
      </c>
      <c r="G221" t="s">
        <v>481</v>
      </c>
    </row>
    <row r="222" spans="1:7" x14ac:dyDescent="0.25">
      <c r="A222" t="s">
        <v>6</v>
      </c>
      <c r="B222" s="1">
        <v>46101</v>
      </c>
      <c r="C222" t="s">
        <v>235</v>
      </c>
      <c r="D222">
        <v>-50.36</v>
      </c>
      <c r="E222" t="s">
        <v>10</v>
      </c>
      <c r="F222">
        <v>60058.78</v>
      </c>
      <c r="G222" t="s">
        <v>498</v>
      </c>
    </row>
    <row r="223" spans="1:7" x14ac:dyDescent="0.25">
      <c r="A223" t="s">
        <v>6</v>
      </c>
      <c r="B223" s="1">
        <v>46100</v>
      </c>
      <c r="C223" t="s">
        <v>236</v>
      </c>
      <c r="D223">
        <v>-20</v>
      </c>
      <c r="E223" t="s">
        <v>10</v>
      </c>
      <c r="F223">
        <v>60109.14</v>
      </c>
      <c r="G223" t="s">
        <v>476</v>
      </c>
    </row>
    <row r="224" spans="1:7" x14ac:dyDescent="0.25">
      <c r="A224" t="s">
        <v>6</v>
      </c>
      <c r="B224" s="1">
        <v>46100</v>
      </c>
      <c r="C224" t="s">
        <v>237</v>
      </c>
      <c r="D224">
        <v>-28.86</v>
      </c>
      <c r="E224" t="s">
        <v>10</v>
      </c>
      <c r="F224">
        <v>60129.14</v>
      </c>
      <c r="G224" t="s">
        <v>498</v>
      </c>
    </row>
    <row r="225" spans="1:7" x14ac:dyDescent="0.25">
      <c r="A225" t="s">
        <v>6</v>
      </c>
      <c r="B225" s="1">
        <v>46099</v>
      </c>
      <c r="C225" t="s">
        <v>238</v>
      </c>
      <c r="D225">
        <v>-10.66</v>
      </c>
      <c r="E225" t="s">
        <v>10</v>
      </c>
      <c r="F225">
        <v>60158</v>
      </c>
      <c r="G225" t="s">
        <v>476</v>
      </c>
    </row>
    <row r="226" spans="1:7" x14ac:dyDescent="0.25">
      <c r="A226" t="s">
        <v>6</v>
      </c>
      <c r="B226" s="1">
        <v>46099</v>
      </c>
      <c r="C226" t="s">
        <v>239</v>
      </c>
      <c r="D226">
        <v>-21.94</v>
      </c>
      <c r="E226" t="s">
        <v>10</v>
      </c>
      <c r="F226">
        <v>60168.66</v>
      </c>
      <c r="G226" t="s">
        <v>498</v>
      </c>
    </row>
    <row r="227" spans="1:7" x14ac:dyDescent="0.25">
      <c r="A227" t="s">
        <v>6</v>
      </c>
      <c r="B227" s="1">
        <v>46099</v>
      </c>
      <c r="C227" t="s">
        <v>240</v>
      </c>
      <c r="D227">
        <v>-70.22</v>
      </c>
      <c r="E227" t="s">
        <v>10</v>
      </c>
      <c r="F227">
        <v>60190.6</v>
      </c>
      <c r="G227" t="s">
        <v>498</v>
      </c>
    </row>
    <row r="228" spans="1:7" x14ac:dyDescent="0.25">
      <c r="A228" t="s">
        <v>6</v>
      </c>
      <c r="B228" s="1">
        <v>46099</v>
      </c>
      <c r="C228" t="s">
        <v>241</v>
      </c>
      <c r="D228">
        <v>-98.96</v>
      </c>
      <c r="E228" t="s">
        <v>10</v>
      </c>
      <c r="F228">
        <v>60260.82</v>
      </c>
      <c r="G228" t="s">
        <v>498</v>
      </c>
    </row>
    <row r="229" spans="1:7" x14ac:dyDescent="0.25">
      <c r="A229" t="s">
        <v>6</v>
      </c>
      <c r="B229" s="1">
        <v>46098</v>
      </c>
      <c r="C229" t="s">
        <v>242</v>
      </c>
      <c r="D229">
        <v>-3.63</v>
      </c>
      <c r="E229" t="s">
        <v>10</v>
      </c>
      <c r="F229">
        <v>60359.78</v>
      </c>
      <c r="G229" t="s">
        <v>499</v>
      </c>
    </row>
    <row r="230" spans="1:7" x14ac:dyDescent="0.25">
      <c r="A230" t="s">
        <v>6</v>
      </c>
      <c r="B230" s="1">
        <v>46098</v>
      </c>
      <c r="C230" t="s">
        <v>243</v>
      </c>
      <c r="D230">
        <v>-61.54</v>
      </c>
      <c r="E230" t="s">
        <v>10</v>
      </c>
      <c r="F230">
        <v>60363.41</v>
      </c>
      <c r="G230" t="s">
        <v>499</v>
      </c>
    </row>
    <row r="231" spans="1:7" x14ac:dyDescent="0.25">
      <c r="A231" t="s">
        <v>6</v>
      </c>
      <c r="B231" s="1">
        <v>46098</v>
      </c>
      <c r="C231" t="s">
        <v>244</v>
      </c>
      <c r="D231">
        <v>-39</v>
      </c>
      <c r="E231" t="s">
        <v>10</v>
      </c>
      <c r="F231">
        <v>60424.95</v>
      </c>
      <c r="G231" t="s">
        <v>476</v>
      </c>
    </row>
    <row r="232" spans="1:7" x14ac:dyDescent="0.25">
      <c r="A232" t="s">
        <v>6</v>
      </c>
      <c r="B232" s="1">
        <v>46098</v>
      </c>
      <c r="C232" t="s">
        <v>245</v>
      </c>
      <c r="D232">
        <v>-15.43</v>
      </c>
      <c r="E232" t="s">
        <v>10</v>
      </c>
      <c r="F232">
        <v>60463.95</v>
      </c>
      <c r="G232" t="s">
        <v>498</v>
      </c>
    </row>
    <row r="233" spans="1:7" x14ac:dyDescent="0.25">
      <c r="A233" t="s">
        <v>6</v>
      </c>
      <c r="B233" s="1">
        <v>46097</v>
      </c>
      <c r="C233" t="s">
        <v>246</v>
      </c>
      <c r="D233">
        <v>-55</v>
      </c>
      <c r="E233" t="s">
        <v>63</v>
      </c>
      <c r="F233">
        <v>60479.38</v>
      </c>
      <c r="G233" t="s">
        <v>481</v>
      </c>
    </row>
    <row r="234" spans="1:7" x14ac:dyDescent="0.25">
      <c r="A234" t="s">
        <v>6</v>
      </c>
      <c r="B234" s="1">
        <v>46097</v>
      </c>
      <c r="C234" t="s">
        <v>247</v>
      </c>
      <c r="D234">
        <v>-61.93</v>
      </c>
      <c r="E234" t="s">
        <v>10</v>
      </c>
      <c r="F234">
        <v>60534.38</v>
      </c>
      <c r="G234" t="s">
        <v>498</v>
      </c>
    </row>
    <row r="235" spans="1:7" x14ac:dyDescent="0.25">
      <c r="A235" t="s">
        <v>6</v>
      </c>
      <c r="B235" s="1">
        <v>46097</v>
      </c>
      <c r="C235" t="s">
        <v>248</v>
      </c>
      <c r="D235">
        <v>-4.26</v>
      </c>
      <c r="E235" t="s">
        <v>10</v>
      </c>
      <c r="F235">
        <v>60596.31</v>
      </c>
      <c r="G235" t="s">
        <v>476</v>
      </c>
    </row>
    <row r="236" spans="1:7" x14ac:dyDescent="0.25">
      <c r="A236" t="s">
        <v>6</v>
      </c>
      <c r="B236" s="1">
        <v>46097</v>
      </c>
      <c r="C236" t="s">
        <v>249</v>
      </c>
      <c r="D236">
        <v>-30.89</v>
      </c>
      <c r="E236" t="s">
        <v>10</v>
      </c>
      <c r="F236">
        <v>60600.57</v>
      </c>
      <c r="G236" t="s">
        <v>476</v>
      </c>
    </row>
    <row r="237" spans="1:7" x14ac:dyDescent="0.25">
      <c r="A237" t="s">
        <v>6</v>
      </c>
      <c r="B237" s="1">
        <v>46094</v>
      </c>
      <c r="C237" t="s">
        <v>250</v>
      </c>
      <c r="D237">
        <v>-14.89</v>
      </c>
      <c r="E237" t="s">
        <v>10</v>
      </c>
      <c r="F237">
        <v>60631.46</v>
      </c>
      <c r="G237" t="s">
        <v>499</v>
      </c>
    </row>
    <row r="238" spans="1:7" x14ac:dyDescent="0.25">
      <c r="A238" t="s">
        <v>6</v>
      </c>
      <c r="B238" s="1">
        <v>46094</v>
      </c>
      <c r="C238" t="s">
        <v>251</v>
      </c>
      <c r="D238">
        <v>-84.92</v>
      </c>
      <c r="E238" t="s">
        <v>10</v>
      </c>
      <c r="F238">
        <v>60646.35</v>
      </c>
      <c r="G238" t="s">
        <v>499</v>
      </c>
    </row>
    <row r="239" spans="1:7" x14ac:dyDescent="0.25">
      <c r="A239" t="s">
        <v>6</v>
      </c>
      <c r="B239" s="1">
        <v>46094</v>
      </c>
      <c r="C239" t="s">
        <v>252</v>
      </c>
      <c r="D239">
        <v>-45</v>
      </c>
      <c r="E239" t="s">
        <v>63</v>
      </c>
      <c r="F239">
        <v>60731.27</v>
      </c>
      <c r="G239" t="s">
        <v>481</v>
      </c>
    </row>
    <row r="240" spans="1:7" x14ac:dyDescent="0.25">
      <c r="A240" t="s">
        <v>6</v>
      </c>
      <c r="B240" s="1">
        <v>46093</v>
      </c>
      <c r="C240" t="s">
        <v>253</v>
      </c>
      <c r="D240">
        <v>-34.99</v>
      </c>
      <c r="E240" t="s">
        <v>10</v>
      </c>
      <c r="F240">
        <v>60776.27</v>
      </c>
      <c r="G240" t="s">
        <v>476</v>
      </c>
    </row>
    <row r="241" spans="1:7" x14ac:dyDescent="0.25">
      <c r="A241" t="s">
        <v>6</v>
      </c>
      <c r="B241" s="1">
        <v>46092</v>
      </c>
      <c r="C241" t="s">
        <v>254</v>
      </c>
      <c r="D241">
        <v>-118.68</v>
      </c>
      <c r="E241" t="s">
        <v>10</v>
      </c>
      <c r="F241">
        <v>60811.26</v>
      </c>
      <c r="G241" t="s">
        <v>498</v>
      </c>
    </row>
    <row r="242" spans="1:7" x14ac:dyDescent="0.25">
      <c r="A242" t="s">
        <v>20</v>
      </c>
      <c r="B242" s="1">
        <v>46092</v>
      </c>
      <c r="C242" t="s">
        <v>255</v>
      </c>
      <c r="D242">
        <v>241.87</v>
      </c>
      <c r="E242" t="s">
        <v>22</v>
      </c>
      <c r="F242">
        <v>60929.94</v>
      </c>
      <c r="G242" t="s">
        <v>515</v>
      </c>
    </row>
    <row r="243" spans="1:7" x14ac:dyDescent="0.25">
      <c r="A243" t="s">
        <v>20</v>
      </c>
      <c r="B243" s="1">
        <v>46092</v>
      </c>
      <c r="C243" t="s">
        <v>256</v>
      </c>
      <c r="D243">
        <v>350</v>
      </c>
      <c r="E243" t="s">
        <v>22</v>
      </c>
      <c r="F243">
        <v>60688.07</v>
      </c>
      <c r="G243" t="s">
        <v>501</v>
      </c>
    </row>
    <row r="244" spans="1:7" x14ac:dyDescent="0.25">
      <c r="A244" t="s">
        <v>20</v>
      </c>
      <c r="B244" s="1">
        <v>46092</v>
      </c>
      <c r="C244" t="s">
        <v>257</v>
      </c>
      <c r="D244">
        <v>367.52</v>
      </c>
      <c r="E244" t="s">
        <v>22</v>
      </c>
      <c r="F244">
        <v>60338.07</v>
      </c>
      <c r="G244" t="s">
        <v>516</v>
      </c>
    </row>
    <row r="245" spans="1:7" x14ac:dyDescent="0.25">
      <c r="A245" t="s">
        <v>20</v>
      </c>
      <c r="B245" s="1">
        <v>46092</v>
      </c>
      <c r="C245" t="s">
        <v>258</v>
      </c>
      <c r="D245">
        <v>491.29</v>
      </c>
      <c r="E245" t="s">
        <v>22</v>
      </c>
      <c r="F245">
        <v>59970.55</v>
      </c>
      <c r="G245" t="s">
        <v>502</v>
      </c>
    </row>
    <row r="246" spans="1:7" x14ac:dyDescent="0.25">
      <c r="A246" t="s">
        <v>6</v>
      </c>
      <c r="B246" s="1">
        <v>46091</v>
      </c>
      <c r="C246" t="s">
        <v>259</v>
      </c>
      <c r="D246">
        <v>-15.98</v>
      </c>
      <c r="E246" t="s">
        <v>10</v>
      </c>
      <c r="F246">
        <v>59479.26</v>
      </c>
      <c r="G246" t="s">
        <v>498</v>
      </c>
    </row>
    <row r="247" spans="1:7" x14ac:dyDescent="0.25">
      <c r="A247" t="s">
        <v>6</v>
      </c>
      <c r="B247" s="1">
        <v>46091</v>
      </c>
      <c r="C247" t="s">
        <v>260</v>
      </c>
      <c r="D247">
        <v>-15.43</v>
      </c>
      <c r="E247" t="s">
        <v>10</v>
      </c>
      <c r="F247">
        <v>59495.24</v>
      </c>
      <c r="G247" t="s">
        <v>498</v>
      </c>
    </row>
    <row r="248" spans="1:7" x14ac:dyDescent="0.25">
      <c r="A248" t="s">
        <v>6</v>
      </c>
      <c r="B248" s="1">
        <v>46090</v>
      </c>
      <c r="C248" t="s">
        <v>261</v>
      </c>
      <c r="D248">
        <v>-37.35</v>
      </c>
      <c r="E248" t="s">
        <v>10</v>
      </c>
      <c r="F248">
        <v>59510.67</v>
      </c>
      <c r="G248" t="s">
        <v>498</v>
      </c>
    </row>
    <row r="249" spans="1:7" x14ac:dyDescent="0.25">
      <c r="A249" t="s">
        <v>6</v>
      </c>
      <c r="B249" s="1">
        <v>46090</v>
      </c>
      <c r="C249" t="s">
        <v>262</v>
      </c>
      <c r="D249">
        <v>-126.77</v>
      </c>
      <c r="E249" t="s">
        <v>10</v>
      </c>
      <c r="F249">
        <v>59548.02</v>
      </c>
      <c r="G249" t="s">
        <v>490</v>
      </c>
    </row>
    <row r="250" spans="1:7" x14ac:dyDescent="0.25">
      <c r="A250" t="s">
        <v>6</v>
      </c>
      <c r="B250" s="1">
        <v>46090</v>
      </c>
      <c r="C250" t="s">
        <v>263</v>
      </c>
      <c r="D250">
        <v>-11.73</v>
      </c>
      <c r="E250" t="s">
        <v>10</v>
      </c>
      <c r="F250">
        <v>59674.79</v>
      </c>
      <c r="G250" t="s">
        <v>476</v>
      </c>
    </row>
    <row r="251" spans="1:7" x14ac:dyDescent="0.25">
      <c r="A251" t="s">
        <v>6</v>
      </c>
      <c r="B251" s="1">
        <v>46090</v>
      </c>
      <c r="C251" t="s">
        <v>264</v>
      </c>
      <c r="D251">
        <v>-8.5399999999999991</v>
      </c>
      <c r="E251" t="s">
        <v>10</v>
      </c>
      <c r="F251">
        <v>59686.52</v>
      </c>
      <c r="G251" t="s">
        <v>476</v>
      </c>
    </row>
    <row r="252" spans="1:7" x14ac:dyDescent="0.25">
      <c r="A252" t="s">
        <v>6</v>
      </c>
      <c r="B252" s="1">
        <v>46090</v>
      </c>
      <c r="C252" t="s">
        <v>265</v>
      </c>
      <c r="D252">
        <v>-2.12</v>
      </c>
      <c r="E252" t="s">
        <v>10</v>
      </c>
      <c r="F252">
        <v>59695.06</v>
      </c>
      <c r="G252" t="s">
        <v>476</v>
      </c>
    </row>
    <row r="253" spans="1:7" x14ac:dyDescent="0.25">
      <c r="A253" t="s">
        <v>6</v>
      </c>
      <c r="B253" s="1">
        <v>46090</v>
      </c>
      <c r="C253" t="s">
        <v>266</v>
      </c>
      <c r="D253">
        <v>-9.99</v>
      </c>
      <c r="E253" t="s">
        <v>10</v>
      </c>
      <c r="F253">
        <v>59697.18</v>
      </c>
      <c r="G253" t="s">
        <v>476</v>
      </c>
    </row>
    <row r="254" spans="1:7" x14ac:dyDescent="0.25">
      <c r="A254" t="s">
        <v>6</v>
      </c>
      <c r="B254" s="1">
        <v>46090</v>
      </c>
      <c r="C254" t="s">
        <v>267</v>
      </c>
      <c r="D254">
        <v>-30.89</v>
      </c>
      <c r="E254" t="s">
        <v>10</v>
      </c>
      <c r="F254">
        <v>59707.17</v>
      </c>
      <c r="G254" t="s">
        <v>476</v>
      </c>
    </row>
    <row r="255" spans="1:7" x14ac:dyDescent="0.25">
      <c r="A255" t="s">
        <v>6</v>
      </c>
      <c r="B255" s="1">
        <v>46090</v>
      </c>
      <c r="C255" t="s">
        <v>268</v>
      </c>
      <c r="D255">
        <v>-9.99</v>
      </c>
      <c r="E255" t="s">
        <v>10</v>
      </c>
      <c r="F255">
        <v>59738.06</v>
      </c>
      <c r="G255" t="s">
        <v>476</v>
      </c>
    </row>
    <row r="256" spans="1:7" x14ac:dyDescent="0.25">
      <c r="A256" t="s">
        <v>20</v>
      </c>
      <c r="B256" s="1">
        <v>46090</v>
      </c>
      <c r="C256" t="s">
        <v>269</v>
      </c>
      <c r="D256">
        <v>233.33</v>
      </c>
      <c r="E256" t="s">
        <v>22</v>
      </c>
      <c r="F256">
        <v>59748.05</v>
      </c>
      <c r="G256" t="s">
        <v>503</v>
      </c>
    </row>
    <row r="257" spans="1:7" x14ac:dyDescent="0.25">
      <c r="A257" t="s">
        <v>6</v>
      </c>
      <c r="B257" s="1">
        <v>46086</v>
      </c>
      <c r="C257" t="s">
        <v>270</v>
      </c>
      <c r="D257">
        <v>-1050</v>
      </c>
      <c r="E257" t="s">
        <v>10</v>
      </c>
      <c r="F257">
        <v>59514.720000000001</v>
      </c>
      <c r="G257" t="s">
        <v>491</v>
      </c>
    </row>
    <row r="258" spans="1:7" x14ac:dyDescent="0.25">
      <c r="A258" t="s">
        <v>6</v>
      </c>
      <c r="B258" s="1">
        <v>46086</v>
      </c>
      <c r="C258" t="s">
        <v>271</v>
      </c>
      <c r="D258">
        <v>-10.66</v>
      </c>
      <c r="E258" t="s">
        <v>10</v>
      </c>
      <c r="F258">
        <v>60564.72</v>
      </c>
      <c r="G258" t="s">
        <v>476</v>
      </c>
    </row>
    <row r="259" spans="1:7" x14ac:dyDescent="0.25">
      <c r="A259" t="s">
        <v>6</v>
      </c>
      <c r="B259" s="1">
        <v>46086</v>
      </c>
      <c r="C259" t="s">
        <v>272</v>
      </c>
      <c r="D259">
        <v>-15.43</v>
      </c>
      <c r="E259" t="s">
        <v>10</v>
      </c>
      <c r="F259">
        <v>60575.38</v>
      </c>
      <c r="G259" t="s">
        <v>498</v>
      </c>
    </row>
    <row r="260" spans="1:7" x14ac:dyDescent="0.25">
      <c r="A260" t="s">
        <v>6</v>
      </c>
      <c r="B260" s="1">
        <v>46086</v>
      </c>
      <c r="C260" t="s">
        <v>273</v>
      </c>
      <c r="D260">
        <v>-42</v>
      </c>
      <c r="E260" t="s">
        <v>10</v>
      </c>
      <c r="F260">
        <v>60590.81</v>
      </c>
      <c r="G260" t="s">
        <v>498</v>
      </c>
    </row>
    <row r="261" spans="1:7" x14ac:dyDescent="0.25">
      <c r="A261" t="s">
        <v>6</v>
      </c>
      <c r="B261" s="1">
        <v>46086</v>
      </c>
      <c r="C261" t="s">
        <v>274</v>
      </c>
      <c r="D261">
        <v>-16.440000000000001</v>
      </c>
      <c r="E261" t="s">
        <v>10</v>
      </c>
      <c r="F261">
        <v>60632.81</v>
      </c>
      <c r="G261" t="s">
        <v>498</v>
      </c>
    </row>
    <row r="262" spans="1:7" x14ac:dyDescent="0.25">
      <c r="A262" t="s">
        <v>6</v>
      </c>
      <c r="B262" s="1">
        <v>46085</v>
      </c>
      <c r="C262" t="s">
        <v>275</v>
      </c>
      <c r="D262">
        <v>-684.37</v>
      </c>
      <c r="E262" t="s">
        <v>10</v>
      </c>
      <c r="F262">
        <v>60649.25</v>
      </c>
      <c r="G262" t="s">
        <v>490</v>
      </c>
    </row>
    <row r="263" spans="1:7" x14ac:dyDescent="0.25">
      <c r="A263" t="s">
        <v>6</v>
      </c>
      <c r="B263" s="1">
        <v>46085</v>
      </c>
      <c r="C263" t="s">
        <v>276</v>
      </c>
      <c r="D263">
        <v>-10.66</v>
      </c>
      <c r="E263" t="s">
        <v>10</v>
      </c>
      <c r="F263">
        <v>61333.62</v>
      </c>
      <c r="G263" t="s">
        <v>476</v>
      </c>
    </row>
    <row r="264" spans="1:7" x14ac:dyDescent="0.25">
      <c r="A264" t="s">
        <v>6</v>
      </c>
      <c r="B264" s="1">
        <v>46085</v>
      </c>
      <c r="C264" t="s">
        <v>277</v>
      </c>
      <c r="D264">
        <v>-5.45</v>
      </c>
      <c r="E264" t="s">
        <v>10</v>
      </c>
      <c r="F264">
        <v>61344.28</v>
      </c>
      <c r="G264" t="s">
        <v>498</v>
      </c>
    </row>
    <row r="265" spans="1:7" x14ac:dyDescent="0.25">
      <c r="A265" t="s">
        <v>6</v>
      </c>
      <c r="B265" s="1">
        <v>46085</v>
      </c>
      <c r="C265" t="s">
        <v>278</v>
      </c>
      <c r="D265">
        <v>-30.22</v>
      </c>
      <c r="E265" t="s">
        <v>10</v>
      </c>
      <c r="F265">
        <v>61349.73</v>
      </c>
      <c r="G265" t="s">
        <v>498</v>
      </c>
    </row>
    <row r="266" spans="1:7" x14ac:dyDescent="0.25">
      <c r="A266" t="s">
        <v>6</v>
      </c>
      <c r="B266" s="1">
        <v>46084</v>
      </c>
      <c r="C266" t="s">
        <v>279</v>
      </c>
      <c r="D266">
        <v>-20000</v>
      </c>
      <c r="E266" t="s">
        <v>30</v>
      </c>
      <c r="F266">
        <v>61379.95</v>
      </c>
      <c r="G266" t="s">
        <v>479</v>
      </c>
    </row>
    <row r="267" spans="1:7" x14ac:dyDescent="0.25">
      <c r="A267" t="s">
        <v>6</v>
      </c>
      <c r="B267" s="1">
        <v>46084</v>
      </c>
      <c r="C267" t="s">
        <v>280</v>
      </c>
      <c r="D267">
        <v>-25.18</v>
      </c>
      <c r="E267" t="s">
        <v>10</v>
      </c>
      <c r="F267">
        <v>81379.95</v>
      </c>
      <c r="G267" t="s">
        <v>498</v>
      </c>
    </row>
    <row r="268" spans="1:7" x14ac:dyDescent="0.25">
      <c r="A268" t="s">
        <v>6</v>
      </c>
      <c r="B268" s="1">
        <v>46083</v>
      </c>
      <c r="C268" t="s">
        <v>281</v>
      </c>
      <c r="D268">
        <v>-13000</v>
      </c>
      <c r="E268" t="s">
        <v>30</v>
      </c>
      <c r="F268">
        <v>81405.13</v>
      </c>
      <c r="G268" t="s">
        <v>522</v>
      </c>
    </row>
    <row r="269" spans="1:7" x14ac:dyDescent="0.25">
      <c r="A269" t="s">
        <v>6</v>
      </c>
      <c r="B269" s="1">
        <v>46083</v>
      </c>
      <c r="C269" t="s">
        <v>282</v>
      </c>
      <c r="D269">
        <v>-27.05</v>
      </c>
      <c r="E269" t="s">
        <v>10</v>
      </c>
      <c r="F269">
        <v>94405.13</v>
      </c>
      <c r="G269" t="s">
        <v>476</v>
      </c>
    </row>
    <row r="270" spans="1:7" x14ac:dyDescent="0.25">
      <c r="A270" t="s">
        <v>6</v>
      </c>
      <c r="B270" s="1">
        <v>46083</v>
      </c>
      <c r="C270" t="s">
        <v>283</v>
      </c>
      <c r="D270">
        <v>-0.75</v>
      </c>
      <c r="E270" t="s">
        <v>10</v>
      </c>
      <c r="F270">
        <v>94432.18</v>
      </c>
      <c r="G270" t="s">
        <v>499</v>
      </c>
    </row>
    <row r="271" spans="1:7" x14ac:dyDescent="0.25">
      <c r="A271" t="s">
        <v>6</v>
      </c>
      <c r="B271" s="1">
        <v>46083</v>
      </c>
      <c r="C271" t="s">
        <v>284</v>
      </c>
      <c r="D271">
        <v>-51.45</v>
      </c>
      <c r="E271" t="s">
        <v>10</v>
      </c>
      <c r="F271">
        <v>94432.93</v>
      </c>
      <c r="G271" t="s">
        <v>476</v>
      </c>
    </row>
    <row r="272" spans="1:7" x14ac:dyDescent="0.25">
      <c r="A272" t="s">
        <v>6</v>
      </c>
      <c r="B272" s="1">
        <v>46083</v>
      </c>
      <c r="C272" t="s">
        <v>285</v>
      </c>
      <c r="D272">
        <v>-64.31</v>
      </c>
      <c r="E272" t="s">
        <v>10</v>
      </c>
      <c r="F272">
        <v>94484.38</v>
      </c>
      <c r="G272" t="s">
        <v>498</v>
      </c>
    </row>
    <row r="273" spans="1:7" x14ac:dyDescent="0.25">
      <c r="A273" t="s">
        <v>6</v>
      </c>
      <c r="B273" s="1">
        <v>46083</v>
      </c>
      <c r="C273" t="s">
        <v>286</v>
      </c>
      <c r="D273">
        <v>-111.42</v>
      </c>
      <c r="E273" t="s">
        <v>10</v>
      </c>
      <c r="F273">
        <v>94548.69</v>
      </c>
      <c r="G273" t="s">
        <v>498</v>
      </c>
    </row>
    <row r="274" spans="1:7" x14ac:dyDescent="0.25">
      <c r="A274" t="s">
        <v>6</v>
      </c>
      <c r="B274" s="1">
        <v>46080</v>
      </c>
      <c r="C274" t="s">
        <v>287</v>
      </c>
      <c r="D274">
        <v>-100</v>
      </c>
      <c r="E274" t="s">
        <v>30</v>
      </c>
      <c r="F274">
        <v>94660.11</v>
      </c>
      <c r="G274" t="s">
        <v>492</v>
      </c>
    </row>
    <row r="275" spans="1:7" x14ac:dyDescent="0.25">
      <c r="A275" t="s">
        <v>6</v>
      </c>
      <c r="B275" s="1">
        <v>46080</v>
      </c>
      <c r="C275" t="s">
        <v>288</v>
      </c>
      <c r="D275">
        <v>-560.30999999999995</v>
      </c>
      <c r="E275" t="s">
        <v>10</v>
      </c>
      <c r="F275">
        <v>94760.11</v>
      </c>
      <c r="G275" t="s">
        <v>490</v>
      </c>
    </row>
    <row r="276" spans="1:7" x14ac:dyDescent="0.25">
      <c r="A276" t="s">
        <v>6</v>
      </c>
      <c r="B276" s="1">
        <v>46080</v>
      </c>
      <c r="C276" t="s">
        <v>289</v>
      </c>
      <c r="D276">
        <v>-26.33</v>
      </c>
      <c r="E276" t="s">
        <v>10</v>
      </c>
      <c r="F276">
        <v>95320.42</v>
      </c>
      <c r="G276" t="s">
        <v>498</v>
      </c>
    </row>
    <row r="277" spans="1:7" x14ac:dyDescent="0.25">
      <c r="A277" t="s">
        <v>6</v>
      </c>
      <c r="B277" s="1">
        <v>46079</v>
      </c>
      <c r="C277" t="s">
        <v>290</v>
      </c>
      <c r="D277">
        <v>-40222.68</v>
      </c>
      <c r="E277" t="s">
        <v>8</v>
      </c>
      <c r="F277">
        <v>95346.75</v>
      </c>
      <c r="G277" t="s">
        <v>475</v>
      </c>
    </row>
    <row r="278" spans="1:7" x14ac:dyDescent="0.25">
      <c r="A278" t="s">
        <v>6</v>
      </c>
      <c r="B278" s="1">
        <v>46079</v>
      </c>
      <c r="C278" t="s">
        <v>291</v>
      </c>
      <c r="D278">
        <v>-5</v>
      </c>
      <c r="E278" t="s">
        <v>10</v>
      </c>
      <c r="F278">
        <v>135569.43</v>
      </c>
      <c r="G278" t="s">
        <v>498</v>
      </c>
    </row>
    <row r="279" spans="1:7" x14ac:dyDescent="0.25">
      <c r="A279" t="s">
        <v>6</v>
      </c>
      <c r="B279" s="1">
        <v>46078</v>
      </c>
      <c r="C279" t="s">
        <v>292</v>
      </c>
      <c r="D279">
        <v>-20000</v>
      </c>
      <c r="E279" t="s">
        <v>30</v>
      </c>
      <c r="F279">
        <v>135574.43</v>
      </c>
      <c r="G279" t="s">
        <v>493</v>
      </c>
    </row>
    <row r="280" spans="1:7" x14ac:dyDescent="0.25">
      <c r="A280" t="s">
        <v>6</v>
      </c>
      <c r="B280" s="1">
        <v>46078</v>
      </c>
      <c r="C280" t="s">
        <v>293</v>
      </c>
      <c r="D280">
        <v>-30000</v>
      </c>
      <c r="E280" t="s">
        <v>30</v>
      </c>
      <c r="F280">
        <v>155574.43</v>
      </c>
      <c r="G280" t="s">
        <v>479</v>
      </c>
    </row>
    <row r="281" spans="1:7" x14ac:dyDescent="0.25">
      <c r="A281" t="s">
        <v>6</v>
      </c>
      <c r="B281" s="1">
        <v>46078</v>
      </c>
      <c r="C281" t="s">
        <v>294</v>
      </c>
      <c r="D281">
        <v>-10000</v>
      </c>
      <c r="E281" t="s">
        <v>30</v>
      </c>
      <c r="F281">
        <v>185574.43</v>
      </c>
      <c r="G281" t="s">
        <v>478</v>
      </c>
    </row>
    <row r="282" spans="1:7" x14ac:dyDescent="0.25">
      <c r="A282" t="s">
        <v>6</v>
      </c>
      <c r="B282" s="1">
        <v>46078</v>
      </c>
      <c r="C282" t="s">
        <v>295</v>
      </c>
      <c r="D282">
        <v>-39.9</v>
      </c>
      <c r="E282" t="s">
        <v>10</v>
      </c>
      <c r="F282">
        <v>195574.43</v>
      </c>
      <c r="G282" t="s">
        <v>498</v>
      </c>
    </row>
    <row r="283" spans="1:7" x14ac:dyDescent="0.25">
      <c r="A283" t="s">
        <v>6</v>
      </c>
      <c r="B283" s="1">
        <v>46077</v>
      </c>
      <c r="C283" t="s">
        <v>296</v>
      </c>
      <c r="D283">
        <v>-2012.65</v>
      </c>
      <c r="E283" t="s">
        <v>8</v>
      </c>
      <c r="F283">
        <v>195614.33</v>
      </c>
      <c r="G283" t="s">
        <v>475</v>
      </c>
    </row>
    <row r="284" spans="1:7" x14ac:dyDescent="0.25">
      <c r="A284" t="s">
        <v>6</v>
      </c>
      <c r="B284" s="1">
        <v>46077</v>
      </c>
      <c r="C284" t="s">
        <v>297</v>
      </c>
      <c r="D284">
        <v>-3103.1</v>
      </c>
      <c r="E284" t="s">
        <v>8</v>
      </c>
      <c r="F284">
        <v>197626.98</v>
      </c>
      <c r="G284" t="s">
        <v>475</v>
      </c>
    </row>
    <row r="285" spans="1:7" x14ac:dyDescent="0.25">
      <c r="A285" t="s">
        <v>6</v>
      </c>
      <c r="B285" s="1">
        <v>46077</v>
      </c>
      <c r="C285" t="s">
        <v>298</v>
      </c>
      <c r="D285">
        <v>-13688.13</v>
      </c>
      <c r="E285" t="s">
        <v>8</v>
      </c>
      <c r="F285">
        <v>200730.08</v>
      </c>
      <c r="G285" t="s">
        <v>475</v>
      </c>
    </row>
    <row r="286" spans="1:7" x14ac:dyDescent="0.25">
      <c r="A286" t="s">
        <v>6</v>
      </c>
      <c r="B286" s="1">
        <v>46076</v>
      </c>
      <c r="C286" t="s">
        <v>299</v>
      </c>
      <c r="D286">
        <v>-61.33</v>
      </c>
      <c r="E286" t="s">
        <v>10</v>
      </c>
      <c r="F286">
        <v>214418.21</v>
      </c>
      <c r="G286" t="s">
        <v>498</v>
      </c>
    </row>
    <row r="287" spans="1:7" x14ac:dyDescent="0.25">
      <c r="A287" t="s">
        <v>6</v>
      </c>
      <c r="B287" s="1">
        <v>46076</v>
      </c>
      <c r="C287" t="s">
        <v>300</v>
      </c>
      <c r="D287">
        <v>-24.13</v>
      </c>
      <c r="E287" t="s">
        <v>10</v>
      </c>
      <c r="F287">
        <v>214479.54</v>
      </c>
      <c r="G287" t="s">
        <v>498</v>
      </c>
    </row>
    <row r="288" spans="1:7" x14ac:dyDescent="0.25">
      <c r="A288" t="s">
        <v>6</v>
      </c>
      <c r="B288" s="1">
        <v>46076</v>
      </c>
      <c r="C288" t="s">
        <v>301</v>
      </c>
      <c r="D288">
        <v>-8.5399999999999991</v>
      </c>
      <c r="E288" t="s">
        <v>10</v>
      </c>
      <c r="F288">
        <v>214503.67</v>
      </c>
      <c r="G288" t="s">
        <v>476</v>
      </c>
    </row>
    <row r="289" spans="1:7" x14ac:dyDescent="0.25">
      <c r="A289" t="s">
        <v>6</v>
      </c>
      <c r="B289" s="1">
        <v>46076</v>
      </c>
      <c r="C289" t="s">
        <v>302</v>
      </c>
      <c r="D289">
        <v>-2.12</v>
      </c>
      <c r="E289" t="s">
        <v>10</v>
      </c>
      <c r="F289">
        <v>214512.21</v>
      </c>
      <c r="G289" t="s">
        <v>476</v>
      </c>
    </row>
    <row r="290" spans="1:7" x14ac:dyDescent="0.25">
      <c r="A290" t="s">
        <v>6</v>
      </c>
      <c r="B290" s="1">
        <v>46076</v>
      </c>
      <c r="C290" t="s">
        <v>303</v>
      </c>
      <c r="D290">
        <v>-21.34</v>
      </c>
      <c r="E290" t="s">
        <v>10</v>
      </c>
      <c r="F290">
        <v>214514.33</v>
      </c>
      <c r="G290" t="s">
        <v>476</v>
      </c>
    </row>
    <row r="291" spans="1:7" x14ac:dyDescent="0.25">
      <c r="A291" t="s">
        <v>6</v>
      </c>
      <c r="B291" s="1">
        <v>46076</v>
      </c>
      <c r="C291" t="s">
        <v>304</v>
      </c>
      <c r="D291">
        <v>-30.89</v>
      </c>
      <c r="E291" t="s">
        <v>10</v>
      </c>
      <c r="F291">
        <v>214535.67</v>
      </c>
      <c r="G291" t="s">
        <v>476</v>
      </c>
    </row>
    <row r="292" spans="1:7" x14ac:dyDescent="0.25">
      <c r="A292" t="s">
        <v>6</v>
      </c>
      <c r="B292" s="1">
        <v>46076</v>
      </c>
      <c r="C292" t="s">
        <v>305</v>
      </c>
      <c r="D292">
        <v>-38.4</v>
      </c>
      <c r="E292" t="s">
        <v>10</v>
      </c>
      <c r="F292">
        <v>214566.56</v>
      </c>
      <c r="G292" t="s">
        <v>498</v>
      </c>
    </row>
    <row r="293" spans="1:7" x14ac:dyDescent="0.25">
      <c r="A293" t="s">
        <v>6</v>
      </c>
      <c r="B293" s="1">
        <v>46076</v>
      </c>
      <c r="C293" t="s">
        <v>306</v>
      </c>
      <c r="D293">
        <v>-104.24</v>
      </c>
      <c r="E293" t="s">
        <v>10</v>
      </c>
      <c r="F293">
        <v>214604.96</v>
      </c>
      <c r="G293" t="s">
        <v>498</v>
      </c>
    </row>
    <row r="294" spans="1:7" x14ac:dyDescent="0.25">
      <c r="A294" t="s">
        <v>6</v>
      </c>
      <c r="B294" s="1">
        <v>46076</v>
      </c>
      <c r="C294" t="s">
        <v>307</v>
      </c>
      <c r="D294">
        <v>-24.99</v>
      </c>
      <c r="E294" t="s">
        <v>10</v>
      </c>
      <c r="F294">
        <v>214709.2</v>
      </c>
      <c r="G294" t="s">
        <v>476</v>
      </c>
    </row>
    <row r="295" spans="1:7" x14ac:dyDescent="0.25">
      <c r="A295" t="s">
        <v>6</v>
      </c>
      <c r="B295" s="1">
        <v>46076</v>
      </c>
      <c r="C295" t="s">
        <v>308</v>
      </c>
      <c r="D295">
        <v>-12</v>
      </c>
      <c r="E295" t="s">
        <v>10</v>
      </c>
      <c r="F295">
        <v>214734.19</v>
      </c>
      <c r="G295" t="s">
        <v>506</v>
      </c>
    </row>
    <row r="296" spans="1:7" x14ac:dyDescent="0.25">
      <c r="A296" t="s">
        <v>20</v>
      </c>
      <c r="B296" s="1">
        <v>46076</v>
      </c>
      <c r="C296" t="s">
        <v>309</v>
      </c>
      <c r="D296">
        <v>367.52</v>
      </c>
      <c r="E296" t="s">
        <v>22</v>
      </c>
      <c r="F296">
        <v>214746.19</v>
      </c>
      <c r="G296" t="s">
        <v>516</v>
      </c>
    </row>
    <row r="297" spans="1:7" x14ac:dyDescent="0.25">
      <c r="A297" t="s">
        <v>6</v>
      </c>
      <c r="B297" s="1">
        <v>46073</v>
      </c>
      <c r="C297" t="s">
        <v>310</v>
      </c>
      <c r="D297">
        <v>-10000</v>
      </c>
      <c r="E297" t="s">
        <v>8</v>
      </c>
      <c r="F297">
        <v>214378.67</v>
      </c>
      <c r="G297" t="s">
        <v>523</v>
      </c>
    </row>
    <row r="298" spans="1:7" x14ac:dyDescent="0.25">
      <c r="A298" t="s">
        <v>6</v>
      </c>
      <c r="B298" s="1">
        <v>46073</v>
      </c>
      <c r="C298" t="s">
        <v>311</v>
      </c>
      <c r="D298">
        <v>-20000</v>
      </c>
      <c r="E298" t="s">
        <v>30</v>
      </c>
      <c r="F298">
        <v>224378.67</v>
      </c>
      <c r="G298" t="s">
        <v>478</v>
      </c>
    </row>
    <row r="299" spans="1:7" x14ac:dyDescent="0.25">
      <c r="A299" t="s">
        <v>6</v>
      </c>
      <c r="B299" s="1">
        <v>46073</v>
      </c>
      <c r="C299" t="s">
        <v>312</v>
      </c>
      <c r="D299">
        <v>-42</v>
      </c>
      <c r="E299" t="s">
        <v>10</v>
      </c>
      <c r="F299">
        <v>244378.67</v>
      </c>
      <c r="G299" t="s">
        <v>498</v>
      </c>
    </row>
    <row r="300" spans="1:7" x14ac:dyDescent="0.25">
      <c r="A300" t="s">
        <v>6</v>
      </c>
      <c r="B300" s="1">
        <v>46072</v>
      </c>
      <c r="C300" t="s">
        <v>313</v>
      </c>
      <c r="D300">
        <v>-10000</v>
      </c>
      <c r="E300" t="s">
        <v>30</v>
      </c>
      <c r="F300">
        <v>244420.67</v>
      </c>
      <c r="G300" t="s">
        <v>479</v>
      </c>
    </row>
    <row r="301" spans="1:7" x14ac:dyDescent="0.25">
      <c r="A301" t="s">
        <v>6</v>
      </c>
      <c r="B301" s="1">
        <v>46072</v>
      </c>
      <c r="C301" t="s">
        <v>314</v>
      </c>
      <c r="D301">
        <v>-20000</v>
      </c>
      <c r="E301" t="s">
        <v>30</v>
      </c>
      <c r="F301">
        <v>254420.67</v>
      </c>
      <c r="G301" t="s">
        <v>493</v>
      </c>
    </row>
    <row r="302" spans="1:7" x14ac:dyDescent="0.25">
      <c r="A302" t="s">
        <v>6</v>
      </c>
      <c r="B302" s="1">
        <v>46072</v>
      </c>
      <c r="C302" t="s">
        <v>315</v>
      </c>
      <c r="D302">
        <v>-25</v>
      </c>
      <c r="E302" t="s">
        <v>63</v>
      </c>
      <c r="F302">
        <v>274420.67</v>
      </c>
      <c r="G302" t="s">
        <v>481</v>
      </c>
    </row>
    <row r="303" spans="1:7" x14ac:dyDescent="0.25">
      <c r="A303" t="s">
        <v>6</v>
      </c>
      <c r="B303" s="1">
        <v>46072</v>
      </c>
      <c r="C303" t="s">
        <v>316</v>
      </c>
      <c r="D303">
        <v>-5</v>
      </c>
      <c r="E303" t="s">
        <v>10</v>
      </c>
      <c r="F303">
        <v>274445.67</v>
      </c>
      <c r="G303" t="s">
        <v>498</v>
      </c>
    </row>
    <row r="304" spans="1:7" x14ac:dyDescent="0.25">
      <c r="A304" t="s">
        <v>6</v>
      </c>
      <c r="B304" s="1">
        <v>46072</v>
      </c>
      <c r="C304" t="s">
        <v>317</v>
      </c>
      <c r="D304">
        <v>-15000</v>
      </c>
      <c r="E304" t="s">
        <v>30</v>
      </c>
      <c r="F304">
        <v>274450.67</v>
      </c>
      <c r="G304" t="s">
        <v>494</v>
      </c>
    </row>
    <row r="305" spans="1:7" x14ac:dyDescent="0.25">
      <c r="A305" t="s">
        <v>6</v>
      </c>
      <c r="B305" s="1">
        <v>46072</v>
      </c>
      <c r="C305" t="s">
        <v>318</v>
      </c>
      <c r="D305">
        <v>-20</v>
      </c>
      <c r="E305" t="s">
        <v>10</v>
      </c>
      <c r="F305">
        <v>289450.67</v>
      </c>
      <c r="G305" t="s">
        <v>476</v>
      </c>
    </row>
    <row r="306" spans="1:7" x14ac:dyDescent="0.25">
      <c r="A306" t="s">
        <v>6</v>
      </c>
      <c r="B306" s="1">
        <v>46072</v>
      </c>
      <c r="C306" t="s">
        <v>319</v>
      </c>
      <c r="D306">
        <v>-4.26</v>
      </c>
      <c r="E306" t="s">
        <v>10</v>
      </c>
      <c r="F306">
        <v>289470.67</v>
      </c>
      <c r="G306" t="s">
        <v>476</v>
      </c>
    </row>
    <row r="307" spans="1:7" x14ac:dyDescent="0.25">
      <c r="A307" t="s">
        <v>6</v>
      </c>
      <c r="B307" s="1">
        <v>46072</v>
      </c>
      <c r="C307" t="s">
        <v>320</v>
      </c>
      <c r="D307">
        <v>-13.16</v>
      </c>
      <c r="E307" t="s">
        <v>10</v>
      </c>
      <c r="F307">
        <v>289474.93</v>
      </c>
      <c r="G307" t="s">
        <v>498</v>
      </c>
    </row>
    <row r="308" spans="1:7" x14ac:dyDescent="0.25">
      <c r="A308" t="s">
        <v>6</v>
      </c>
      <c r="B308" s="1">
        <v>46072</v>
      </c>
      <c r="C308" t="s">
        <v>321</v>
      </c>
      <c r="D308">
        <v>-29.62</v>
      </c>
      <c r="E308" t="s">
        <v>10</v>
      </c>
      <c r="F308">
        <v>289488.09000000003</v>
      </c>
      <c r="G308" t="s">
        <v>498</v>
      </c>
    </row>
    <row r="309" spans="1:7" x14ac:dyDescent="0.25">
      <c r="A309" t="s">
        <v>20</v>
      </c>
      <c r="B309" s="1">
        <v>46072</v>
      </c>
      <c r="C309" t="s">
        <v>322</v>
      </c>
      <c r="D309">
        <v>168266</v>
      </c>
      <c r="E309" t="s">
        <v>140</v>
      </c>
      <c r="F309">
        <v>289517.71000000002</v>
      </c>
      <c r="G309" t="s">
        <v>524</v>
      </c>
    </row>
    <row r="310" spans="1:7" x14ac:dyDescent="0.25">
      <c r="A310" t="s">
        <v>6</v>
      </c>
      <c r="B310" s="1">
        <v>46071</v>
      </c>
      <c r="C310" t="s">
        <v>323</v>
      </c>
      <c r="D310">
        <v>-4.26</v>
      </c>
      <c r="E310" t="s">
        <v>10</v>
      </c>
      <c r="F310">
        <v>121251.71</v>
      </c>
      <c r="G310" t="s">
        <v>476</v>
      </c>
    </row>
    <row r="311" spans="1:7" x14ac:dyDescent="0.25">
      <c r="A311" t="s">
        <v>6</v>
      </c>
      <c r="B311" s="1">
        <v>46071</v>
      </c>
      <c r="C311" t="s">
        <v>324</v>
      </c>
      <c r="D311">
        <v>-9.24</v>
      </c>
      <c r="E311" t="s">
        <v>10</v>
      </c>
      <c r="F311">
        <v>121255.97</v>
      </c>
      <c r="G311" t="s">
        <v>498</v>
      </c>
    </row>
    <row r="312" spans="1:7" x14ac:dyDescent="0.25">
      <c r="A312" t="s">
        <v>6</v>
      </c>
      <c r="B312" s="1">
        <v>46071</v>
      </c>
      <c r="C312" t="s">
        <v>325</v>
      </c>
      <c r="D312">
        <v>-31.88</v>
      </c>
      <c r="E312" t="s">
        <v>10</v>
      </c>
      <c r="F312">
        <v>121265.21</v>
      </c>
      <c r="G312" t="s">
        <v>498</v>
      </c>
    </row>
    <row r="313" spans="1:7" x14ac:dyDescent="0.25">
      <c r="A313" t="s">
        <v>6</v>
      </c>
      <c r="B313" s="1">
        <v>46071</v>
      </c>
      <c r="C313" t="s">
        <v>326</v>
      </c>
      <c r="D313">
        <v>-54.16</v>
      </c>
      <c r="E313" t="s">
        <v>10</v>
      </c>
      <c r="F313">
        <v>121297.09</v>
      </c>
      <c r="G313" t="s">
        <v>498</v>
      </c>
    </row>
    <row r="314" spans="1:7" x14ac:dyDescent="0.25">
      <c r="A314" t="s">
        <v>6</v>
      </c>
      <c r="B314" s="1">
        <v>46071</v>
      </c>
      <c r="C314" t="s">
        <v>327</v>
      </c>
      <c r="D314">
        <v>-5</v>
      </c>
      <c r="E314" t="s">
        <v>10</v>
      </c>
      <c r="F314">
        <v>121351.25</v>
      </c>
      <c r="G314" t="s">
        <v>498</v>
      </c>
    </row>
    <row r="315" spans="1:7" x14ac:dyDescent="0.25">
      <c r="A315" t="s">
        <v>6</v>
      </c>
      <c r="B315" s="1">
        <v>46070</v>
      </c>
      <c r="C315" t="s">
        <v>328</v>
      </c>
      <c r="D315">
        <v>-1000</v>
      </c>
      <c r="E315" t="s">
        <v>215</v>
      </c>
      <c r="F315">
        <v>121356.25</v>
      </c>
      <c r="G315" t="s">
        <v>488</v>
      </c>
    </row>
    <row r="316" spans="1:7" x14ac:dyDescent="0.25">
      <c r="A316" t="s">
        <v>6</v>
      </c>
      <c r="B316" s="1">
        <v>46070</v>
      </c>
      <c r="C316" t="s">
        <v>329</v>
      </c>
      <c r="D316">
        <v>-81.39</v>
      </c>
      <c r="E316" t="s">
        <v>10</v>
      </c>
      <c r="F316">
        <v>122356.25</v>
      </c>
      <c r="G316" t="s">
        <v>477</v>
      </c>
    </row>
    <row r="317" spans="1:7" x14ac:dyDescent="0.25">
      <c r="A317" t="s">
        <v>6</v>
      </c>
      <c r="B317" s="1">
        <v>46070</v>
      </c>
      <c r="C317" t="s">
        <v>330</v>
      </c>
      <c r="D317">
        <v>-47.32</v>
      </c>
      <c r="E317" t="s">
        <v>10</v>
      </c>
      <c r="F317">
        <v>122437.64</v>
      </c>
      <c r="G317" t="s">
        <v>498</v>
      </c>
    </row>
    <row r="318" spans="1:7" x14ac:dyDescent="0.25">
      <c r="A318" t="s">
        <v>6</v>
      </c>
      <c r="B318" s="1">
        <v>46070</v>
      </c>
      <c r="C318" t="s">
        <v>331</v>
      </c>
      <c r="D318">
        <v>-39</v>
      </c>
      <c r="E318" t="s">
        <v>10</v>
      </c>
      <c r="F318">
        <v>122484.96</v>
      </c>
      <c r="G318" t="s">
        <v>476</v>
      </c>
    </row>
    <row r="319" spans="1:7" x14ac:dyDescent="0.25">
      <c r="A319" t="s">
        <v>6</v>
      </c>
      <c r="B319" s="1">
        <v>46070</v>
      </c>
      <c r="C319" t="s">
        <v>332</v>
      </c>
      <c r="D319">
        <v>-30.89</v>
      </c>
      <c r="E319" t="s">
        <v>10</v>
      </c>
      <c r="F319">
        <v>122523.96</v>
      </c>
      <c r="G319" t="s">
        <v>476</v>
      </c>
    </row>
    <row r="320" spans="1:7" x14ac:dyDescent="0.25">
      <c r="A320" t="s">
        <v>6</v>
      </c>
      <c r="B320" s="1">
        <v>46070</v>
      </c>
      <c r="C320" t="s">
        <v>333</v>
      </c>
      <c r="D320">
        <v>-40</v>
      </c>
      <c r="E320" t="s">
        <v>10</v>
      </c>
      <c r="F320">
        <v>122554.85</v>
      </c>
      <c r="G320" t="s">
        <v>525</v>
      </c>
    </row>
    <row r="321" spans="1:7" x14ac:dyDescent="0.25">
      <c r="A321" t="s">
        <v>6</v>
      </c>
      <c r="B321" s="1">
        <v>46070</v>
      </c>
      <c r="C321" t="s">
        <v>334</v>
      </c>
      <c r="D321">
        <v>-5</v>
      </c>
      <c r="E321" t="s">
        <v>10</v>
      </c>
      <c r="F321">
        <v>122594.85</v>
      </c>
      <c r="G321" t="s">
        <v>498</v>
      </c>
    </row>
    <row r="322" spans="1:7" x14ac:dyDescent="0.25">
      <c r="A322" t="s">
        <v>6</v>
      </c>
      <c r="B322" s="1">
        <v>46070</v>
      </c>
      <c r="C322" t="s">
        <v>335</v>
      </c>
      <c r="D322">
        <v>23.67</v>
      </c>
      <c r="E322" t="s">
        <v>10</v>
      </c>
      <c r="F322">
        <v>122599.85</v>
      </c>
      <c r="G322" t="s">
        <v>498</v>
      </c>
    </row>
    <row r="323" spans="1:7" x14ac:dyDescent="0.25">
      <c r="A323" t="s">
        <v>6</v>
      </c>
      <c r="B323" s="1">
        <v>46066</v>
      </c>
      <c r="C323" t="s">
        <v>336</v>
      </c>
      <c r="D323">
        <v>-8.5399999999999991</v>
      </c>
      <c r="E323" t="s">
        <v>10</v>
      </c>
      <c r="F323">
        <v>122576.18</v>
      </c>
      <c r="G323" t="s">
        <v>476</v>
      </c>
    </row>
    <row r="324" spans="1:7" x14ac:dyDescent="0.25">
      <c r="A324" t="s">
        <v>6</v>
      </c>
      <c r="B324" s="1">
        <v>46066</v>
      </c>
      <c r="C324" t="s">
        <v>337</v>
      </c>
      <c r="D324">
        <v>-2.12</v>
      </c>
      <c r="E324" t="s">
        <v>10</v>
      </c>
      <c r="F324">
        <v>122584.72</v>
      </c>
      <c r="G324" t="s">
        <v>476</v>
      </c>
    </row>
    <row r="325" spans="1:7" x14ac:dyDescent="0.25">
      <c r="A325" t="s">
        <v>6</v>
      </c>
      <c r="B325" s="1">
        <v>46066</v>
      </c>
      <c r="C325" t="s">
        <v>338</v>
      </c>
      <c r="D325">
        <v>-25.18</v>
      </c>
      <c r="E325" t="s">
        <v>10</v>
      </c>
      <c r="F325">
        <v>122586.84</v>
      </c>
      <c r="G325" t="s">
        <v>498</v>
      </c>
    </row>
    <row r="326" spans="1:7" x14ac:dyDescent="0.25">
      <c r="A326" t="s">
        <v>6</v>
      </c>
      <c r="B326" s="1">
        <v>46066</v>
      </c>
      <c r="C326" t="s">
        <v>339</v>
      </c>
      <c r="D326">
        <v>-47.32</v>
      </c>
      <c r="E326" t="s">
        <v>10</v>
      </c>
      <c r="F326">
        <v>122612.02</v>
      </c>
      <c r="G326" t="s">
        <v>498</v>
      </c>
    </row>
    <row r="327" spans="1:7" x14ac:dyDescent="0.25">
      <c r="A327" t="s">
        <v>6</v>
      </c>
      <c r="B327" s="1">
        <v>46066</v>
      </c>
      <c r="C327" t="s">
        <v>340</v>
      </c>
      <c r="D327">
        <v>-60</v>
      </c>
      <c r="E327" t="s">
        <v>10</v>
      </c>
      <c r="F327">
        <v>122659.34</v>
      </c>
      <c r="G327" t="s">
        <v>525</v>
      </c>
    </row>
    <row r="328" spans="1:7" x14ac:dyDescent="0.25">
      <c r="A328" t="s">
        <v>6</v>
      </c>
      <c r="B328" s="1">
        <v>46065</v>
      </c>
      <c r="C328" t="s">
        <v>341</v>
      </c>
      <c r="D328">
        <v>-34.99</v>
      </c>
      <c r="E328" t="s">
        <v>10</v>
      </c>
      <c r="F328">
        <v>122719.34</v>
      </c>
      <c r="G328" t="s">
        <v>476</v>
      </c>
    </row>
    <row r="329" spans="1:7" x14ac:dyDescent="0.25">
      <c r="A329" t="s">
        <v>6</v>
      </c>
      <c r="B329" s="1">
        <v>46064</v>
      </c>
      <c r="C329" t="s">
        <v>342</v>
      </c>
      <c r="D329">
        <v>-5</v>
      </c>
      <c r="E329" t="s">
        <v>10</v>
      </c>
      <c r="F329">
        <v>122754.33</v>
      </c>
      <c r="G329" t="s">
        <v>498</v>
      </c>
    </row>
    <row r="330" spans="1:7" x14ac:dyDescent="0.25">
      <c r="A330" t="s">
        <v>6</v>
      </c>
      <c r="B330" s="1">
        <v>46063</v>
      </c>
      <c r="C330" t="s">
        <v>343</v>
      </c>
      <c r="D330">
        <v>-4.29</v>
      </c>
      <c r="E330" t="s">
        <v>10</v>
      </c>
      <c r="F330">
        <v>122759.33</v>
      </c>
      <c r="G330" t="s">
        <v>476</v>
      </c>
    </row>
    <row r="331" spans="1:7" x14ac:dyDescent="0.25">
      <c r="A331" t="s">
        <v>6</v>
      </c>
      <c r="B331" s="1">
        <v>46063</v>
      </c>
      <c r="C331" t="s">
        <v>344</v>
      </c>
      <c r="D331">
        <v>-2.12</v>
      </c>
      <c r="E331" t="s">
        <v>10</v>
      </c>
      <c r="F331">
        <v>122763.62</v>
      </c>
      <c r="G331" t="s">
        <v>476</v>
      </c>
    </row>
    <row r="332" spans="1:7" x14ac:dyDescent="0.25">
      <c r="A332" t="s">
        <v>6</v>
      </c>
      <c r="B332" s="1">
        <v>46063</v>
      </c>
      <c r="C332" t="s">
        <v>345</v>
      </c>
      <c r="D332">
        <v>-2.12</v>
      </c>
      <c r="E332" t="s">
        <v>10</v>
      </c>
      <c r="F332">
        <v>122765.74</v>
      </c>
      <c r="G332" t="s">
        <v>476</v>
      </c>
    </row>
    <row r="333" spans="1:7" x14ac:dyDescent="0.25">
      <c r="A333" t="s">
        <v>6</v>
      </c>
      <c r="B333" s="1">
        <v>46063</v>
      </c>
      <c r="C333" t="s">
        <v>346</v>
      </c>
      <c r="D333">
        <v>-2.12</v>
      </c>
      <c r="E333" t="s">
        <v>10</v>
      </c>
      <c r="F333">
        <v>122767.86</v>
      </c>
      <c r="G333" t="s">
        <v>476</v>
      </c>
    </row>
    <row r="334" spans="1:7" x14ac:dyDescent="0.25">
      <c r="A334" t="s">
        <v>6</v>
      </c>
      <c r="B334" s="1">
        <v>46063</v>
      </c>
      <c r="C334" t="s">
        <v>347</v>
      </c>
      <c r="D334">
        <v>-21.39</v>
      </c>
      <c r="E334" t="s">
        <v>10</v>
      </c>
      <c r="F334">
        <v>122769.98</v>
      </c>
      <c r="G334" t="s">
        <v>498</v>
      </c>
    </row>
    <row r="335" spans="1:7" x14ac:dyDescent="0.25">
      <c r="A335" t="s">
        <v>6</v>
      </c>
      <c r="B335" s="1">
        <v>46063</v>
      </c>
      <c r="C335" t="s">
        <v>348</v>
      </c>
      <c r="D335">
        <v>-47.32</v>
      </c>
      <c r="E335" t="s">
        <v>10</v>
      </c>
      <c r="F335">
        <v>122791.37</v>
      </c>
      <c r="G335" t="s">
        <v>498</v>
      </c>
    </row>
    <row r="336" spans="1:7" x14ac:dyDescent="0.25">
      <c r="A336" t="s">
        <v>6</v>
      </c>
      <c r="B336" s="1">
        <v>46063</v>
      </c>
      <c r="C336" t="s">
        <v>349</v>
      </c>
      <c r="D336">
        <v>-59.4</v>
      </c>
      <c r="E336" t="s">
        <v>10</v>
      </c>
      <c r="F336">
        <v>122838.69</v>
      </c>
      <c r="G336" t="s">
        <v>477</v>
      </c>
    </row>
    <row r="337" spans="1:7" x14ac:dyDescent="0.25">
      <c r="A337" t="s">
        <v>6</v>
      </c>
      <c r="B337" s="1">
        <v>46063</v>
      </c>
      <c r="C337" t="s">
        <v>350</v>
      </c>
      <c r="D337">
        <v>-57.94</v>
      </c>
      <c r="E337" t="s">
        <v>10</v>
      </c>
      <c r="F337">
        <v>122898.09</v>
      </c>
      <c r="G337" t="s">
        <v>498</v>
      </c>
    </row>
    <row r="338" spans="1:7" x14ac:dyDescent="0.25">
      <c r="A338" t="s">
        <v>20</v>
      </c>
      <c r="B338" s="1">
        <v>46063</v>
      </c>
      <c r="C338" t="s">
        <v>351</v>
      </c>
      <c r="D338">
        <v>233.33</v>
      </c>
      <c r="E338" t="s">
        <v>22</v>
      </c>
      <c r="F338">
        <v>122956.03</v>
      </c>
      <c r="G338" t="s">
        <v>503</v>
      </c>
    </row>
    <row r="339" spans="1:7" x14ac:dyDescent="0.25">
      <c r="A339" t="s">
        <v>20</v>
      </c>
      <c r="B339" s="1">
        <v>46063</v>
      </c>
      <c r="C339" t="s">
        <v>352</v>
      </c>
      <c r="D339">
        <v>241.87</v>
      </c>
      <c r="E339" t="s">
        <v>22</v>
      </c>
      <c r="F339">
        <v>122722.7</v>
      </c>
      <c r="G339" t="s">
        <v>515</v>
      </c>
    </row>
    <row r="340" spans="1:7" x14ac:dyDescent="0.25">
      <c r="A340" t="s">
        <v>20</v>
      </c>
      <c r="B340" s="1">
        <v>46063</v>
      </c>
      <c r="C340" t="s">
        <v>353</v>
      </c>
      <c r="D340">
        <v>350</v>
      </c>
      <c r="E340" t="s">
        <v>22</v>
      </c>
      <c r="F340">
        <v>122480.83</v>
      </c>
      <c r="G340" t="s">
        <v>501</v>
      </c>
    </row>
    <row r="341" spans="1:7" x14ac:dyDescent="0.25">
      <c r="A341" t="s">
        <v>20</v>
      </c>
      <c r="B341" s="1">
        <v>46063</v>
      </c>
      <c r="C341" t="s">
        <v>354</v>
      </c>
      <c r="D341">
        <v>476.41</v>
      </c>
      <c r="E341" t="s">
        <v>22</v>
      </c>
      <c r="F341">
        <v>122130.83</v>
      </c>
      <c r="G341" t="s">
        <v>502</v>
      </c>
    </row>
    <row r="342" spans="1:7" x14ac:dyDescent="0.25">
      <c r="A342" t="s">
        <v>6</v>
      </c>
      <c r="B342" s="1">
        <v>46062</v>
      </c>
      <c r="C342" t="s">
        <v>355</v>
      </c>
      <c r="D342">
        <v>-16287.51</v>
      </c>
      <c r="E342" t="s">
        <v>8</v>
      </c>
      <c r="F342">
        <v>121654.42</v>
      </c>
      <c r="G342" t="s">
        <v>526</v>
      </c>
    </row>
    <row r="343" spans="1:7" x14ac:dyDescent="0.25">
      <c r="A343" t="s">
        <v>6</v>
      </c>
      <c r="B343" s="1">
        <v>46062</v>
      </c>
      <c r="C343" t="s">
        <v>356</v>
      </c>
      <c r="D343">
        <v>-11.73</v>
      </c>
      <c r="E343" t="s">
        <v>10</v>
      </c>
      <c r="F343">
        <v>137941.93</v>
      </c>
      <c r="G343" t="s">
        <v>476</v>
      </c>
    </row>
    <row r="344" spans="1:7" x14ac:dyDescent="0.25">
      <c r="A344" t="s">
        <v>6</v>
      </c>
      <c r="B344" s="1">
        <v>46062</v>
      </c>
      <c r="C344" t="s">
        <v>357</v>
      </c>
      <c r="D344">
        <v>-9.99</v>
      </c>
      <c r="E344" t="s">
        <v>10</v>
      </c>
      <c r="F344">
        <v>137953.66</v>
      </c>
      <c r="G344" t="s">
        <v>476</v>
      </c>
    </row>
    <row r="345" spans="1:7" x14ac:dyDescent="0.25">
      <c r="A345" t="s">
        <v>6</v>
      </c>
      <c r="B345" s="1">
        <v>46062</v>
      </c>
      <c r="C345" t="s">
        <v>358</v>
      </c>
      <c r="D345">
        <v>-8.5299999999999994</v>
      </c>
      <c r="E345" t="s">
        <v>10</v>
      </c>
      <c r="F345">
        <v>137963.65</v>
      </c>
      <c r="G345" t="s">
        <v>476</v>
      </c>
    </row>
    <row r="346" spans="1:7" x14ac:dyDescent="0.25">
      <c r="A346" t="s">
        <v>6</v>
      </c>
      <c r="B346" s="1">
        <v>46062</v>
      </c>
      <c r="C346" t="s">
        <v>359</v>
      </c>
      <c r="D346">
        <v>-3.19</v>
      </c>
      <c r="E346" t="s">
        <v>10</v>
      </c>
      <c r="F346">
        <v>137972.18</v>
      </c>
      <c r="G346" t="s">
        <v>476</v>
      </c>
    </row>
    <row r="347" spans="1:7" x14ac:dyDescent="0.25">
      <c r="A347" t="s">
        <v>6</v>
      </c>
      <c r="B347" s="1">
        <v>46062</v>
      </c>
      <c r="C347" t="s">
        <v>360</v>
      </c>
      <c r="D347">
        <v>-30.89</v>
      </c>
      <c r="E347" t="s">
        <v>10</v>
      </c>
      <c r="F347">
        <v>137975.37</v>
      </c>
      <c r="G347" t="s">
        <v>476</v>
      </c>
    </row>
    <row r="348" spans="1:7" x14ac:dyDescent="0.25">
      <c r="A348" t="s">
        <v>6</v>
      </c>
      <c r="B348" s="1">
        <v>46062</v>
      </c>
      <c r="C348" t="s">
        <v>361</v>
      </c>
      <c r="D348">
        <v>-12</v>
      </c>
      <c r="E348" t="s">
        <v>10</v>
      </c>
      <c r="F348">
        <v>138006.26</v>
      </c>
      <c r="G348" t="s">
        <v>506</v>
      </c>
    </row>
    <row r="349" spans="1:7" x14ac:dyDescent="0.25">
      <c r="A349" t="s">
        <v>6</v>
      </c>
      <c r="B349" s="1">
        <v>46062</v>
      </c>
      <c r="C349" t="s">
        <v>362</v>
      </c>
      <c r="D349">
        <v>-41.07</v>
      </c>
      <c r="E349" t="s">
        <v>10</v>
      </c>
      <c r="F349">
        <v>138018.26</v>
      </c>
      <c r="G349" t="s">
        <v>477</v>
      </c>
    </row>
    <row r="350" spans="1:7" x14ac:dyDescent="0.25">
      <c r="A350" t="s">
        <v>6</v>
      </c>
      <c r="B350" s="1">
        <v>46062</v>
      </c>
      <c r="C350" t="s">
        <v>363</v>
      </c>
      <c r="D350">
        <v>8.5299999999999994</v>
      </c>
      <c r="E350" t="s">
        <v>10</v>
      </c>
      <c r="F350">
        <v>138059.32999999999</v>
      </c>
      <c r="G350" t="s">
        <v>476</v>
      </c>
    </row>
    <row r="351" spans="1:7" x14ac:dyDescent="0.25">
      <c r="A351" t="s">
        <v>6</v>
      </c>
      <c r="B351" s="1">
        <v>46059</v>
      </c>
      <c r="C351" t="s">
        <v>364</v>
      </c>
      <c r="D351">
        <v>-20000</v>
      </c>
      <c r="E351" t="s">
        <v>30</v>
      </c>
      <c r="F351">
        <v>138050.79999999999</v>
      </c>
      <c r="G351" t="s">
        <v>479</v>
      </c>
    </row>
    <row r="352" spans="1:7" x14ac:dyDescent="0.25">
      <c r="A352" t="s">
        <v>6</v>
      </c>
      <c r="B352" s="1">
        <v>46059</v>
      </c>
      <c r="C352" t="s">
        <v>365</v>
      </c>
      <c r="D352">
        <v>-9.99</v>
      </c>
      <c r="E352" t="s">
        <v>10</v>
      </c>
      <c r="F352">
        <v>158050.79999999999</v>
      </c>
      <c r="G352" t="s">
        <v>476</v>
      </c>
    </row>
    <row r="353" spans="1:7" x14ac:dyDescent="0.25">
      <c r="A353" t="s">
        <v>6</v>
      </c>
      <c r="B353" s="1">
        <v>46059</v>
      </c>
      <c r="C353" t="s">
        <v>366</v>
      </c>
      <c r="D353">
        <v>-35</v>
      </c>
      <c r="E353" t="s">
        <v>63</v>
      </c>
      <c r="F353">
        <v>158060.79</v>
      </c>
      <c r="G353" t="s">
        <v>481</v>
      </c>
    </row>
    <row r="354" spans="1:7" x14ac:dyDescent="0.25">
      <c r="A354" t="s">
        <v>6</v>
      </c>
      <c r="B354" s="1">
        <v>46059</v>
      </c>
      <c r="C354" t="s">
        <v>367</v>
      </c>
      <c r="D354">
        <v>-5</v>
      </c>
      <c r="E354" t="s">
        <v>10</v>
      </c>
      <c r="F354">
        <v>158095.79</v>
      </c>
      <c r="G354" t="s">
        <v>498</v>
      </c>
    </row>
    <row r="355" spans="1:7" x14ac:dyDescent="0.25">
      <c r="A355" t="s">
        <v>6</v>
      </c>
      <c r="B355" s="1">
        <v>46059</v>
      </c>
      <c r="C355" t="s">
        <v>368</v>
      </c>
      <c r="D355">
        <v>-5</v>
      </c>
      <c r="E355" t="s">
        <v>10</v>
      </c>
      <c r="F355">
        <v>158100.79</v>
      </c>
      <c r="G355" t="s">
        <v>498</v>
      </c>
    </row>
    <row r="356" spans="1:7" x14ac:dyDescent="0.25">
      <c r="A356" t="s">
        <v>6</v>
      </c>
      <c r="B356" s="1">
        <v>46059</v>
      </c>
      <c r="C356" t="s">
        <v>369</v>
      </c>
      <c r="D356">
        <v>-15.03</v>
      </c>
      <c r="E356" t="s">
        <v>10</v>
      </c>
      <c r="F356">
        <v>158105.79</v>
      </c>
      <c r="G356" t="s">
        <v>498</v>
      </c>
    </row>
    <row r="357" spans="1:7" x14ac:dyDescent="0.25">
      <c r="A357" t="s">
        <v>6</v>
      </c>
      <c r="B357" s="1">
        <v>46058</v>
      </c>
      <c r="C357" t="s">
        <v>370</v>
      </c>
      <c r="D357">
        <v>-35</v>
      </c>
      <c r="E357" t="s">
        <v>63</v>
      </c>
      <c r="F357">
        <v>158120.82</v>
      </c>
      <c r="G357" t="s">
        <v>481</v>
      </c>
    </row>
    <row r="358" spans="1:7" x14ac:dyDescent="0.25">
      <c r="A358" t="s">
        <v>6</v>
      </c>
      <c r="B358" s="1">
        <v>46058</v>
      </c>
      <c r="C358" t="s">
        <v>371</v>
      </c>
      <c r="D358">
        <v>-52.81</v>
      </c>
      <c r="E358" t="s">
        <v>10</v>
      </c>
      <c r="F358">
        <v>158155.82</v>
      </c>
      <c r="G358" t="s">
        <v>498</v>
      </c>
    </row>
    <row r="359" spans="1:7" x14ac:dyDescent="0.25">
      <c r="A359" t="s">
        <v>6</v>
      </c>
      <c r="B359" s="1">
        <v>46058</v>
      </c>
      <c r="C359" t="s">
        <v>372</v>
      </c>
      <c r="D359">
        <v>-4.26</v>
      </c>
      <c r="E359" t="s">
        <v>10</v>
      </c>
      <c r="F359">
        <v>158208.63</v>
      </c>
      <c r="G359" t="s">
        <v>476</v>
      </c>
    </row>
    <row r="360" spans="1:7" x14ac:dyDescent="0.25">
      <c r="A360" t="s">
        <v>6</v>
      </c>
      <c r="B360" s="1">
        <v>46058</v>
      </c>
      <c r="C360" t="s">
        <v>373</v>
      </c>
      <c r="D360">
        <v>-20</v>
      </c>
      <c r="E360" t="s">
        <v>10</v>
      </c>
      <c r="F360">
        <v>158212.89000000001</v>
      </c>
      <c r="G360" t="s">
        <v>506</v>
      </c>
    </row>
    <row r="361" spans="1:7" x14ac:dyDescent="0.25">
      <c r="A361" t="s">
        <v>6</v>
      </c>
      <c r="B361" s="1">
        <v>46058</v>
      </c>
      <c r="C361" t="s">
        <v>374</v>
      </c>
      <c r="D361">
        <v>-24.55</v>
      </c>
      <c r="E361" t="s">
        <v>10</v>
      </c>
      <c r="F361">
        <v>158232.89000000001</v>
      </c>
      <c r="G361" t="s">
        <v>498</v>
      </c>
    </row>
    <row r="362" spans="1:7" x14ac:dyDescent="0.25">
      <c r="A362" t="s">
        <v>6</v>
      </c>
      <c r="B362" s="1">
        <v>46058</v>
      </c>
      <c r="C362" t="s">
        <v>375</v>
      </c>
      <c r="D362">
        <v>24.55</v>
      </c>
      <c r="E362" t="s">
        <v>10</v>
      </c>
      <c r="F362">
        <v>158257.44</v>
      </c>
      <c r="G362" t="s">
        <v>498</v>
      </c>
    </row>
    <row r="363" spans="1:7" x14ac:dyDescent="0.25">
      <c r="A363" t="s">
        <v>6</v>
      </c>
      <c r="B363" s="1">
        <v>46057</v>
      </c>
      <c r="C363" t="s">
        <v>122</v>
      </c>
      <c r="D363">
        <v>-25</v>
      </c>
      <c r="E363" t="s">
        <v>123</v>
      </c>
      <c r="F363">
        <v>158232.89000000001</v>
      </c>
      <c r="G363" t="s">
        <v>483</v>
      </c>
    </row>
    <row r="364" spans="1:7" x14ac:dyDescent="0.25">
      <c r="A364" t="s">
        <v>6</v>
      </c>
      <c r="B364" s="1">
        <v>46057</v>
      </c>
      <c r="C364" t="s">
        <v>376</v>
      </c>
      <c r="D364">
        <v>-10000</v>
      </c>
      <c r="E364" t="s">
        <v>129</v>
      </c>
      <c r="F364">
        <v>158257.89000000001</v>
      </c>
      <c r="G364" t="s">
        <v>527</v>
      </c>
    </row>
    <row r="365" spans="1:7" x14ac:dyDescent="0.25">
      <c r="A365" t="s">
        <v>6</v>
      </c>
      <c r="B365" s="1">
        <v>46056</v>
      </c>
      <c r="C365" t="s">
        <v>136</v>
      </c>
      <c r="D365">
        <v>-15</v>
      </c>
      <c r="E365" t="s">
        <v>123</v>
      </c>
      <c r="F365">
        <v>168257.89</v>
      </c>
      <c r="G365" t="s">
        <v>483</v>
      </c>
    </row>
    <row r="366" spans="1:7" x14ac:dyDescent="0.25">
      <c r="A366" t="s">
        <v>6</v>
      </c>
      <c r="B366" s="1">
        <v>46056</v>
      </c>
      <c r="C366" t="s">
        <v>122</v>
      </c>
      <c r="D366">
        <v>-25</v>
      </c>
      <c r="E366" t="s">
        <v>123</v>
      </c>
      <c r="F366">
        <v>168272.89</v>
      </c>
      <c r="G366" t="s">
        <v>483</v>
      </c>
    </row>
    <row r="367" spans="1:7" x14ac:dyDescent="0.25">
      <c r="A367" t="s">
        <v>6</v>
      </c>
      <c r="B367" s="1">
        <v>46056</v>
      </c>
      <c r="C367" t="s">
        <v>122</v>
      </c>
      <c r="D367">
        <v>-25</v>
      </c>
      <c r="E367" t="s">
        <v>123</v>
      </c>
      <c r="F367">
        <v>168297.89</v>
      </c>
      <c r="G367" t="s">
        <v>483</v>
      </c>
    </row>
    <row r="368" spans="1:7" x14ac:dyDescent="0.25">
      <c r="A368" t="s">
        <v>6</v>
      </c>
      <c r="B368" s="1">
        <v>46056</v>
      </c>
      <c r="C368" t="s">
        <v>377</v>
      </c>
      <c r="D368">
        <v>-56670.85</v>
      </c>
      <c r="E368" t="s">
        <v>129</v>
      </c>
      <c r="F368">
        <v>168322.89</v>
      </c>
      <c r="G368" t="s">
        <v>529</v>
      </c>
    </row>
    <row r="369" spans="1:7" x14ac:dyDescent="0.25">
      <c r="A369" t="s">
        <v>6</v>
      </c>
      <c r="B369" s="1">
        <v>46056</v>
      </c>
      <c r="C369" t="s">
        <v>378</v>
      </c>
      <c r="D369">
        <v>-5000</v>
      </c>
      <c r="E369" t="s">
        <v>129</v>
      </c>
      <c r="F369">
        <v>224993.74</v>
      </c>
      <c r="G369" t="s">
        <v>486</v>
      </c>
    </row>
    <row r="370" spans="1:7" x14ac:dyDescent="0.25">
      <c r="A370" t="s">
        <v>20</v>
      </c>
      <c r="B370" s="1">
        <v>46056</v>
      </c>
      <c r="C370" t="s">
        <v>379</v>
      </c>
      <c r="D370">
        <v>5000</v>
      </c>
      <c r="E370" t="s">
        <v>22</v>
      </c>
      <c r="F370">
        <v>229993.74</v>
      </c>
      <c r="G370" t="s">
        <v>528</v>
      </c>
    </row>
    <row r="371" spans="1:7" x14ac:dyDescent="0.25">
      <c r="A371" t="s">
        <v>20</v>
      </c>
      <c r="B371" s="1">
        <v>46056</v>
      </c>
      <c r="C371" t="s">
        <v>380</v>
      </c>
      <c r="D371">
        <v>8556.41</v>
      </c>
      <c r="E371" t="s">
        <v>30</v>
      </c>
      <c r="F371">
        <v>224993.74</v>
      </c>
      <c r="G371" t="s">
        <v>495</v>
      </c>
    </row>
    <row r="372" spans="1:7" x14ac:dyDescent="0.25">
      <c r="A372" t="s">
        <v>20</v>
      </c>
      <c r="B372" s="1">
        <v>46056</v>
      </c>
      <c r="C372" t="s">
        <v>381</v>
      </c>
      <c r="D372">
        <v>58370.85</v>
      </c>
      <c r="E372" t="s">
        <v>140</v>
      </c>
      <c r="F372">
        <v>216437.33</v>
      </c>
      <c r="G372" t="s">
        <v>530</v>
      </c>
    </row>
    <row r="373" spans="1:7" x14ac:dyDescent="0.25">
      <c r="A373" t="s">
        <v>6</v>
      </c>
      <c r="B373" s="1">
        <v>46055</v>
      </c>
      <c r="C373" t="s">
        <v>382</v>
      </c>
      <c r="D373">
        <v>-8556.41</v>
      </c>
      <c r="E373" t="s">
        <v>30</v>
      </c>
      <c r="F373">
        <v>158066.48000000001</v>
      </c>
      <c r="G373" t="s">
        <v>479</v>
      </c>
    </row>
    <row r="374" spans="1:7" x14ac:dyDescent="0.25">
      <c r="A374" t="s">
        <v>6</v>
      </c>
      <c r="B374" s="1">
        <v>46055</v>
      </c>
      <c r="C374" t="s">
        <v>383</v>
      </c>
      <c r="D374">
        <v>-27.05</v>
      </c>
      <c r="E374" t="s">
        <v>10</v>
      </c>
      <c r="F374">
        <v>166622.89000000001</v>
      </c>
      <c r="G374" t="s">
        <v>476</v>
      </c>
    </row>
    <row r="375" spans="1:7" x14ac:dyDescent="0.25">
      <c r="A375" t="s">
        <v>6</v>
      </c>
      <c r="B375" s="1">
        <v>46055</v>
      </c>
      <c r="C375" t="s">
        <v>384</v>
      </c>
      <c r="D375">
        <v>-5</v>
      </c>
      <c r="E375" t="s">
        <v>10</v>
      </c>
      <c r="F375">
        <v>166649.94</v>
      </c>
      <c r="G375" t="s">
        <v>498</v>
      </c>
    </row>
    <row r="376" spans="1:7" x14ac:dyDescent="0.25">
      <c r="A376" t="s">
        <v>6</v>
      </c>
      <c r="B376" s="1">
        <v>46055</v>
      </c>
      <c r="C376" t="s">
        <v>385</v>
      </c>
      <c r="D376">
        <v>-5</v>
      </c>
      <c r="E376" t="s">
        <v>10</v>
      </c>
      <c r="F376">
        <v>166654.94</v>
      </c>
      <c r="G376" t="s">
        <v>498</v>
      </c>
    </row>
    <row r="377" spans="1:7" x14ac:dyDescent="0.25">
      <c r="A377" t="s">
        <v>6</v>
      </c>
      <c r="B377" s="1">
        <v>46055</v>
      </c>
      <c r="C377" t="s">
        <v>386</v>
      </c>
      <c r="D377">
        <v>-35</v>
      </c>
      <c r="E377" t="s">
        <v>10</v>
      </c>
      <c r="F377">
        <v>166659.94</v>
      </c>
      <c r="G377" t="s">
        <v>506</v>
      </c>
    </row>
    <row r="378" spans="1:7" x14ac:dyDescent="0.25">
      <c r="A378" t="s">
        <v>6</v>
      </c>
      <c r="B378" s="1">
        <v>46055</v>
      </c>
      <c r="C378" t="s">
        <v>386</v>
      </c>
      <c r="D378">
        <v>-45</v>
      </c>
      <c r="E378" t="s">
        <v>10</v>
      </c>
      <c r="F378">
        <v>166694.94</v>
      </c>
      <c r="G378" t="s">
        <v>506</v>
      </c>
    </row>
    <row r="379" spans="1:7" x14ac:dyDescent="0.25">
      <c r="A379" t="s">
        <v>20</v>
      </c>
      <c r="B379" s="1">
        <v>46055</v>
      </c>
      <c r="C379" t="s">
        <v>387</v>
      </c>
      <c r="D379">
        <v>50000</v>
      </c>
      <c r="E379" t="s">
        <v>30</v>
      </c>
      <c r="F379">
        <v>166739.94</v>
      </c>
      <c r="G379" t="s">
        <v>489</v>
      </c>
    </row>
    <row r="380" spans="1:7" x14ac:dyDescent="0.25">
      <c r="A380" t="s">
        <v>20</v>
      </c>
      <c r="B380" s="1">
        <v>46055</v>
      </c>
      <c r="C380" t="s">
        <v>388</v>
      </c>
      <c r="D380">
        <v>20000</v>
      </c>
      <c r="E380" t="s">
        <v>140</v>
      </c>
      <c r="F380">
        <v>116739.94</v>
      </c>
      <c r="G380" t="s">
        <v>514</v>
      </c>
    </row>
    <row r="381" spans="1:7" x14ac:dyDescent="0.25">
      <c r="A381" t="s">
        <v>6</v>
      </c>
      <c r="B381" s="1">
        <v>46052</v>
      </c>
      <c r="C381" t="s">
        <v>389</v>
      </c>
      <c r="D381">
        <v>-4.26</v>
      </c>
      <c r="E381" t="s">
        <v>10</v>
      </c>
      <c r="F381">
        <v>96739.94</v>
      </c>
      <c r="G381" t="s">
        <v>476</v>
      </c>
    </row>
    <row r="382" spans="1:7" x14ac:dyDescent="0.25">
      <c r="A382" t="s">
        <v>6</v>
      </c>
      <c r="B382" s="1">
        <v>46052</v>
      </c>
      <c r="C382" t="s">
        <v>390</v>
      </c>
      <c r="D382">
        <v>-47.32</v>
      </c>
      <c r="E382" t="s">
        <v>10</v>
      </c>
      <c r="F382">
        <v>96744.2</v>
      </c>
      <c r="G382" t="s">
        <v>498</v>
      </c>
    </row>
    <row r="383" spans="1:7" x14ac:dyDescent="0.25">
      <c r="A383" t="s">
        <v>6</v>
      </c>
      <c r="B383" s="1">
        <v>46052</v>
      </c>
      <c r="C383" t="s">
        <v>391</v>
      </c>
      <c r="D383">
        <v>-8</v>
      </c>
      <c r="E383" t="s">
        <v>10</v>
      </c>
      <c r="F383">
        <v>96791.52</v>
      </c>
      <c r="G383" t="s">
        <v>506</v>
      </c>
    </row>
    <row r="384" spans="1:7" x14ac:dyDescent="0.25">
      <c r="A384" t="s">
        <v>6</v>
      </c>
      <c r="B384" s="1">
        <v>46052</v>
      </c>
      <c r="C384" t="s">
        <v>392</v>
      </c>
      <c r="D384">
        <v>-6.93</v>
      </c>
      <c r="E384" t="s">
        <v>10</v>
      </c>
      <c r="F384">
        <v>96799.52</v>
      </c>
      <c r="G384" t="s">
        <v>477</v>
      </c>
    </row>
    <row r="385" spans="1:7" x14ac:dyDescent="0.25">
      <c r="A385" t="s">
        <v>6</v>
      </c>
      <c r="B385" s="1">
        <v>46052</v>
      </c>
      <c r="C385" t="s">
        <v>393</v>
      </c>
      <c r="D385">
        <v>42.33</v>
      </c>
      <c r="E385" t="s">
        <v>10</v>
      </c>
      <c r="F385">
        <v>96806.45</v>
      </c>
      <c r="G385" t="s">
        <v>498</v>
      </c>
    </row>
    <row r="386" spans="1:7" x14ac:dyDescent="0.25">
      <c r="A386" t="s">
        <v>6</v>
      </c>
      <c r="B386" s="1">
        <v>46051</v>
      </c>
      <c r="C386" t="s">
        <v>394</v>
      </c>
      <c r="D386">
        <v>-41000</v>
      </c>
      <c r="E386" t="s">
        <v>30</v>
      </c>
      <c r="F386">
        <v>96764.12</v>
      </c>
      <c r="G386" t="s">
        <v>482</v>
      </c>
    </row>
    <row r="387" spans="1:7" x14ac:dyDescent="0.25">
      <c r="A387" t="s">
        <v>6</v>
      </c>
      <c r="B387" s="1">
        <v>46051</v>
      </c>
      <c r="C387" t="s">
        <v>395</v>
      </c>
      <c r="D387">
        <v>-35.700000000000003</v>
      </c>
      <c r="E387" t="s">
        <v>10</v>
      </c>
      <c r="F387">
        <v>137764.12</v>
      </c>
      <c r="G387" t="s">
        <v>506</v>
      </c>
    </row>
    <row r="388" spans="1:7" x14ac:dyDescent="0.25">
      <c r="A388" t="s">
        <v>6</v>
      </c>
      <c r="B388" s="1">
        <v>46051</v>
      </c>
      <c r="C388" t="s">
        <v>396</v>
      </c>
      <c r="D388">
        <v>-42.33</v>
      </c>
      <c r="E388" t="s">
        <v>10</v>
      </c>
      <c r="F388">
        <v>137799.82</v>
      </c>
      <c r="G388" t="s">
        <v>498</v>
      </c>
    </row>
    <row r="389" spans="1:7" x14ac:dyDescent="0.25">
      <c r="A389" t="s">
        <v>6</v>
      </c>
      <c r="B389" s="1">
        <v>46051</v>
      </c>
      <c r="C389" t="s">
        <v>397</v>
      </c>
      <c r="D389">
        <v>-5000</v>
      </c>
      <c r="E389" t="s">
        <v>30</v>
      </c>
      <c r="F389">
        <v>137842.15</v>
      </c>
      <c r="G389" t="s">
        <v>482</v>
      </c>
    </row>
    <row r="390" spans="1:7" x14ac:dyDescent="0.25">
      <c r="A390" t="s">
        <v>6</v>
      </c>
      <c r="B390" s="1">
        <v>46051</v>
      </c>
      <c r="C390" t="s">
        <v>398</v>
      </c>
      <c r="D390">
        <v>-51.45</v>
      </c>
      <c r="E390" t="s">
        <v>10</v>
      </c>
      <c r="F390">
        <v>142842.15</v>
      </c>
      <c r="G390" t="s">
        <v>476</v>
      </c>
    </row>
    <row r="391" spans="1:7" x14ac:dyDescent="0.25">
      <c r="A391" t="s">
        <v>6</v>
      </c>
      <c r="B391" s="1">
        <v>46050</v>
      </c>
      <c r="C391" t="s">
        <v>399</v>
      </c>
      <c r="D391">
        <v>-3</v>
      </c>
      <c r="E391" t="s">
        <v>123</v>
      </c>
      <c r="F391">
        <v>142893.6</v>
      </c>
      <c r="G391" t="s">
        <v>496</v>
      </c>
    </row>
    <row r="392" spans="1:7" x14ac:dyDescent="0.25">
      <c r="A392" t="s">
        <v>6</v>
      </c>
      <c r="B392" s="1">
        <v>46050</v>
      </c>
      <c r="C392" t="s">
        <v>400</v>
      </c>
      <c r="D392">
        <v>-311.99</v>
      </c>
      <c r="E392" t="s">
        <v>401</v>
      </c>
      <c r="F392">
        <v>142896.6</v>
      </c>
      <c r="G392" t="s">
        <v>488</v>
      </c>
    </row>
    <row r="393" spans="1:7" x14ac:dyDescent="0.25">
      <c r="A393" t="s">
        <v>6</v>
      </c>
      <c r="B393" s="1">
        <v>46050</v>
      </c>
      <c r="C393" t="s">
        <v>402</v>
      </c>
      <c r="D393">
        <v>-3.19</v>
      </c>
      <c r="E393" t="s">
        <v>10</v>
      </c>
      <c r="F393">
        <v>143208.59</v>
      </c>
      <c r="G393" t="s">
        <v>476</v>
      </c>
    </row>
    <row r="394" spans="1:7" x14ac:dyDescent="0.25">
      <c r="A394" t="s">
        <v>6</v>
      </c>
      <c r="B394" s="1">
        <v>46049</v>
      </c>
      <c r="C394" t="s">
        <v>403</v>
      </c>
      <c r="D394">
        <v>-321.79000000000002</v>
      </c>
      <c r="E394" t="s">
        <v>8</v>
      </c>
      <c r="F394">
        <v>143211.78</v>
      </c>
      <c r="G394" t="s">
        <v>475</v>
      </c>
    </row>
    <row r="395" spans="1:7" x14ac:dyDescent="0.25">
      <c r="A395" t="s">
        <v>6</v>
      </c>
      <c r="B395" s="1">
        <v>46049</v>
      </c>
      <c r="C395" t="s">
        <v>404</v>
      </c>
      <c r="D395">
        <v>-13892.09</v>
      </c>
      <c r="E395" t="s">
        <v>8</v>
      </c>
      <c r="F395">
        <v>143533.57</v>
      </c>
      <c r="G395" t="s">
        <v>475</v>
      </c>
    </row>
    <row r="396" spans="1:7" x14ac:dyDescent="0.25">
      <c r="A396" t="s">
        <v>6</v>
      </c>
      <c r="B396" s="1">
        <v>46049</v>
      </c>
      <c r="C396" t="s">
        <v>405</v>
      </c>
      <c r="D396">
        <v>-30000</v>
      </c>
      <c r="E396" t="s">
        <v>30</v>
      </c>
      <c r="F396">
        <v>157425.66</v>
      </c>
      <c r="G396" t="s">
        <v>479</v>
      </c>
    </row>
    <row r="397" spans="1:7" x14ac:dyDescent="0.25">
      <c r="A397" t="s">
        <v>6</v>
      </c>
      <c r="B397" s="1">
        <v>46049</v>
      </c>
      <c r="C397" t="s">
        <v>406</v>
      </c>
      <c r="D397">
        <v>-3.19</v>
      </c>
      <c r="E397" t="s">
        <v>10</v>
      </c>
      <c r="F397">
        <v>187425.66</v>
      </c>
      <c r="G397" t="s">
        <v>476</v>
      </c>
    </row>
    <row r="398" spans="1:7" x14ac:dyDescent="0.25">
      <c r="A398" t="s">
        <v>6</v>
      </c>
      <c r="B398" s="1">
        <v>46049</v>
      </c>
      <c r="C398" t="s">
        <v>407</v>
      </c>
      <c r="D398">
        <v>-370</v>
      </c>
      <c r="E398" t="s">
        <v>10</v>
      </c>
      <c r="F398">
        <v>187428.85</v>
      </c>
      <c r="G398" t="s">
        <v>603</v>
      </c>
    </row>
    <row r="399" spans="1:7" x14ac:dyDescent="0.25">
      <c r="A399" t="s">
        <v>6</v>
      </c>
      <c r="B399" s="1">
        <v>46048</v>
      </c>
      <c r="C399" t="s">
        <v>399</v>
      </c>
      <c r="D399">
        <v>-3</v>
      </c>
      <c r="E399" t="s">
        <v>123</v>
      </c>
      <c r="F399">
        <v>187798.85</v>
      </c>
      <c r="G399" t="s">
        <v>496</v>
      </c>
    </row>
    <row r="400" spans="1:7" x14ac:dyDescent="0.25">
      <c r="A400" t="s">
        <v>6</v>
      </c>
      <c r="B400" s="1">
        <v>46048</v>
      </c>
      <c r="C400" t="s">
        <v>408</v>
      </c>
      <c r="D400">
        <v>-411.99</v>
      </c>
      <c r="E400" t="s">
        <v>401</v>
      </c>
      <c r="F400">
        <v>187801.85</v>
      </c>
      <c r="G400" t="s">
        <v>488</v>
      </c>
    </row>
    <row r="401" spans="1:7" x14ac:dyDescent="0.25">
      <c r="A401" t="s">
        <v>6</v>
      </c>
      <c r="B401" s="1">
        <v>46048</v>
      </c>
      <c r="C401" t="s">
        <v>409</v>
      </c>
      <c r="D401">
        <v>-92.37</v>
      </c>
      <c r="E401" t="s">
        <v>8</v>
      </c>
      <c r="F401">
        <v>188213.84</v>
      </c>
      <c r="G401" t="s">
        <v>475</v>
      </c>
    </row>
    <row r="402" spans="1:7" x14ac:dyDescent="0.25">
      <c r="A402" t="s">
        <v>6</v>
      </c>
      <c r="B402" s="1">
        <v>46048</v>
      </c>
      <c r="C402" t="s">
        <v>410</v>
      </c>
      <c r="D402">
        <v>-35.950000000000003</v>
      </c>
      <c r="E402" t="s">
        <v>10</v>
      </c>
      <c r="F402">
        <v>188306.21</v>
      </c>
      <c r="G402" t="s">
        <v>498</v>
      </c>
    </row>
    <row r="403" spans="1:7" x14ac:dyDescent="0.25">
      <c r="A403" t="s">
        <v>6</v>
      </c>
      <c r="B403" s="1">
        <v>46048</v>
      </c>
      <c r="C403" t="s">
        <v>411</v>
      </c>
      <c r="D403">
        <v>-5.33</v>
      </c>
      <c r="E403" t="s">
        <v>10</v>
      </c>
      <c r="F403">
        <v>188342.16</v>
      </c>
      <c r="G403" t="s">
        <v>476</v>
      </c>
    </row>
    <row r="404" spans="1:7" x14ac:dyDescent="0.25">
      <c r="A404" t="s">
        <v>6</v>
      </c>
      <c r="B404" s="1">
        <v>46048</v>
      </c>
      <c r="C404" t="s">
        <v>412</v>
      </c>
      <c r="D404">
        <v>-30.89</v>
      </c>
      <c r="E404" t="s">
        <v>10</v>
      </c>
      <c r="F404">
        <v>188347.49</v>
      </c>
      <c r="G404" t="s">
        <v>476</v>
      </c>
    </row>
    <row r="405" spans="1:7" x14ac:dyDescent="0.25">
      <c r="A405" t="s">
        <v>6</v>
      </c>
      <c r="B405" s="1">
        <v>46048</v>
      </c>
      <c r="C405" t="s">
        <v>413</v>
      </c>
      <c r="D405">
        <v>-5</v>
      </c>
      <c r="E405" t="s">
        <v>10</v>
      </c>
      <c r="F405">
        <v>188378.38</v>
      </c>
      <c r="G405" t="s">
        <v>498</v>
      </c>
    </row>
    <row r="406" spans="1:7" x14ac:dyDescent="0.25">
      <c r="A406" t="s">
        <v>6</v>
      </c>
      <c r="B406" s="1">
        <v>46048</v>
      </c>
      <c r="C406" t="s">
        <v>414</v>
      </c>
      <c r="D406">
        <v>-43.02</v>
      </c>
      <c r="E406" t="s">
        <v>10</v>
      </c>
      <c r="F406">
        <v>188383.38</v>
      </c>
      <c r="G406" t="s">
        <v>498</v>
      </c>
    </row>
    <row r="407" spans="1:7" x14ac:dyDescent="0.25">
      <c r="A407" t="s">
        <v>6</v>
      </c>
      <c r="B407" s="1">
        <v>46045</v>
      </c>
      <c r="C407" t="s">
        <v>415</v>
      </c>
      <c r="D407">
        <v>-31.88</v>
      </c>
      <c r="E407" t="s">
        <v>10</v>
      </c>
      <c r="F407">
        <v>188426.4</v>
      </c>
      <c r="G407" t="s">
        <v>498</v>
      </c>
    </row>
    <row r="408" spans="1:7" x14ac:dyDescent="0.25">
      <c r="A408" t="s">
        <v>6</v>
      </c>
      <c r="B408" s="1">
        <v>46044</v>
      </c>
      <c r="C408" t="s">
        <v>416</v>
      </c>
      <c r="D408">
        <v>-325</v>
      </c>
      <c r="E408" t="s">
        <v>34</v>
      </c>
      <c r="F408">
        <v>188458.28</v>
      </c>
      <c r="G408" t="s">
        <v>510</v>
      </c>
    </row>
    <row r="409" spans="1:7" x14ac:dyDescent="0.25">
      <c r="A409" t="s">
        <v>6</v>
      </c>
      <c r="B409" s="1">
        <v>46044</v>
      </c>
      <c r="C409" t="s">
        <v>417</v>
      </c>
      <c r="D409">
        <v>-224.93</v>
      </c>
      <c r="E409" t="s">
        <v>10</v>
      </c>
      <c r="F409">
        <v>188783.28</v>
      </c>
      <c r="G409" t="s">
        <v>498</v>
      </c>
    </row>
    <row r="410" spans="1:7" x14ac:dyDescent="0.25">
      <c r="A410" t="s">
        <v>6</v>
      </c>
      <c r="B410" s="1">
        <v>46044</v>
      </c>
      <c r="C410" t="s">
        <v>418</v>
      </c>
      <c r="D410">
        <v>-24.99</v>
      </c>
      <c r="E410" t="s">
        <v>10</v>
      </c>
      <c r="F410">
        <v>189008.21</v>
      </c>
      <c r="G410" t="s">
        <v>476</v>
      </c>
    </row>
    <row r="411" spans="1:7" x14ac:dyDescent="0.25">
      <c r="A411" t="s">
        <v>6</v>
      </c>
      <c r="B411" s="1">
        <v>46043</v>
      </c>
      <c r="C411" t="s">
        <v>419</v>
      </c>
      <c r="D411">
        <v>-20</v>
      </c>
      <c r="E411" t="s">
        <v>63</v>
      </c>
      <c r="F411">
        <v>189033.2</v>
      </c>
      <c r="G411" t="s">
        <v>481</v>
      </c>
    </row>
    <row r="412" spans="1:7" x14ac:dyDescent="0.25">
      <c r="A412" t="s">
        <v>6</v>
      </c>
      <c r="B412" s="1">
        <v>46043</v>
      </c>
      <c r="C412" t="s">
        <v>420</v>
      </c>
      <c r="D412">
        <v>-501.25</v>
      </c>
      <c r="E412" t="s">
        <v>421</v>
      </c>
      <c r="F412">
        <v>189053.2</v>
      </c>
      <c r="G412" t="s">
        <v>512</v>
      </c>
    </row>
    <row r="413" spans="1:7" x14ac:dyDescent="0.25">
      <c r="A413" t="s">
        <v>6</v>
      </c>
      <c r="B413" s="1">
        <v>46043</v>
      </c>
      <c r="C413" t="s">
        <v>422</v>
      </c>
      <c r="D413">
        <v>-20000</v>
      </c>
      <c r="E413" t="s">
        <v>30</v>
      </c>
      <c r="F413">
        <v>189554.45</v>
      </c>
      <c r="G413" t="s">
        <v>479</v>
      </c>
    </row>
    <row r="414" spans="1:7" x14ac:dyDescent="0.25">
      <c r="A414" t="s">
        <v>6</v>
      </c>
      <c r="B414" s="1">
        <v>46043</v>
      </c>
      <c r="C414" t="s">
        <v>423</v>
      </c>
      <c r="D414">
        <v>-5</v>
      </c>
      <c r="E414" t="s">
        <v>10</v>
      </c>
      <c r="F414">
        <v>209554.45</v>
      </c>
      <c r="G414" t="s">
        <v>498</v>
      </c>
    </row>
    <row r="415" spans="1:7" x14ac:dyDescent="0.25">
      <c r="A415" t="s">
        <v>6</v>
      </c>
      <c r="B415" s="1">
        <v>46042</v>
      </c>
      <c r="C415" t="s">
        <v>424</v>
      </c>
      <c r="D415">
        <v>-100</v>
      </c>
      <c r="E415" t="s">
        <v>30</v>
      </c>
      <c r="F415">
        <v>209559.45</v>
      </c>
      <c r="G415" t="s">
        <v>492</v>
      </c>
    </row>
    <row r="416" spans="1:7" x14ac:dyDescent="0.25">
      <c r="A416" t="s">
        <v>6</v>
      </c>
      <c r="B416" s="1">
        <v>46042</v>
      </c>
      <c r="C416" t="s">
        <v>425</v>
      </c>
      <c r="D416">
        <v>-100</v>
      </c>
      <c r="E416" t="s">
        <v>63</v>
      </c>
      <c r="F416">
        <v>209659.45</v>
      </c>
      <c r="G416" t="s">
        <v>481</v>
      </c>
    </row>
    <row r="417" spans="1:7" x14ac:dyDescent="0.25">
      <c r="A417" t="s">
        <v>6</v>
      </c>
      <c r="B417" s="1">
        <v>46042</v>
      </c>
      <c r="C417" t="s">
        <v>426</v>
      </c>
      <c r="D417">
        <v>-43.02</v>
      </c>
      <c r="E417" t="s">
        <v>10</v>
      </c>
      <c r="F417">
        <v>209759.45</v>
      </c>
      <c r="G417" t="s">
        <v>498</v>
      </c>
    </row>
    <row r="418" spans="1:7" x14ac:dyDescent="0.25">
      <c r="A418" t="s">
        <v>6</v>
      </c>
      <c r="B418" s="1">
        <v>46042</v>
      </c>
      <c r="C418" t="s">
        <v>427</v>
      </c>
      <c r="D418">
        <v>-20</v>
      </c>
      <c r="E418" t="s">
        <v>10</v>
      </c>
      <c r="F418">
        <v>209802.47</v>
      </c>
      <c r="G418" t="s">
        <v>476</v>
      </c>
    </row>
    <row r="419" spans="1:7" x14ac:dyDescent="0.25">
      <c r="A419" t="s">
        <v>6</v>
      </c>
      <c r="B419" s="1">
        <v>46042</v>
      </c>
      <c r="C419" t="s">
        <v>428</v>
      </c>
      <c r="D419">
        <v>-9.2100000000000009</v>
      </c>
      <c r="E419" t="s">
        <v>10</v>
      </c>
      <c r="F419">
        <v>209822.47</v>
      </c>
      <c r="G419" t="s">
        <v>498</v>
      </c>
    </row>
    <row r="420" spans="1:7" x14ac:dyDescent="0.25">
      <c r="A420" t="s">
        <v>6</v>
      </c>
      <c r="B420" s="1">
        <v>46042</v>
      </c>
      <c r="C420" t="s">
        <v>429</v>
      </c>
      <c r="D420">
        <v>-31.88</v>
      </c>
      <c r="E420" t="s">
        <v>10</v>
      </c>
      <c r="F420">
        <v>209831.67999999999</v>
      </c>
      <c r="G420" t="s">
        <v>498</v>
      </c>
    </row>
    <row r="421" spans="1:7" x14ac:dyDescent="0.25">
      <c r="A421" t="s">
        <v>6</v>
      </c>
      <c r="B421" s="1">
        <v>46042</v>
      </c>
      <c r="C421" t="s">
        <v>430</v>
      </c>
      <c r="D421">
        <v>-8.5299999999999994</v>
      </c>
      <c r="E421" t="s">
        <v>10</v>
      </c>
      <c r="F421">
        <v>209863.56</v>
      </c>
      <c r="G421" t="s">
        <v>476</v>
      </c>
    </row>
    <row r="422" spans="1:7" x14ac:dyDescent="0.25">
      <c r="A422" t="s">
        <v>6</v>
      </c>
      <c r="B422" s="1">
        <v>46042</v>
      </c>
      <c r="C422" t="s">
        <v>431</v>
      </c>
      <c r="D422">
        <v>-30.89</v>
      </c>
      <c r="E422" t="s">
        <v>10</v>
      </c>
      <c r="F422">
        <v>209872.09</v>
      </c>
      <c r="G422" t="s">
        <v>476</v>
      </c>
    </row>
    <row r="423" spans="1:7" x14ac:dyDescent="0.25">
      <c r="A423" t="s">
        <v>6</v>
      </c>
      <c r="B423" s="1">
        <v>46042</v>
      </c>
      <c r="C423" t="s">
        <v>432</v>
      </c>
      <c r="D423">
        <v>-153</v>
      </c>
      <c r="E423" t="s">
        <v>10</v>
      </c>
      <c r="F423">
        <v>209902.98</v>
      </c>
      <c r="G423" t="s">
        <v>476</v>
      </c>
    </row>
    <row r="424" spans="1:7" x14ac:dyDescent="0.25">
      <c r="A424" t="s">
        <v>20</v>
      </c>
      <c r="B424" s="1">
        <v>46038</v>
      </c>
      <c r="C424" t="s">
        <v>433</v>
      </c>
      <c r="D424">
        <v>356.38</v>
      </c>
      <c r="E424" t="s">
        <v>22</v>
      </c>
      <c r="F424">
        <v>210055.98</v>
      </c>
      <c r="G424" t="s">
        <v>516</v>
      </c>
    </row>
    <row r="425" spans="1:7" x14ac:dyDescent="0.25">
      <c r="A425" t="s">
        <v>20</v>
      </c>
      <c r="B425" s="1">
        <v>46037</v>
      </c>
      <c r="C425" t="s">
        <v>434</v>
      </c>
      <c r="D425">
        <v>233.33</v>
      </c>
      <c r="E425" t="s">
        <v>22</v>
      </c>
      <c r="F425">
        <v>209699.6</v>
      </c>
      <c r="G425" t="s">
        <v>503</v>
      </c>
    </row>
    <row r="426" spans="1:7" x14ac:dyDescent="0.25">
      <c r="A426" t="s">
        <v>20</v>
      </c>
      <c r="B426" s="1">
        <v>46037</v>
      </c>
      <c r="C426" t="s">
        <v>435</v>
      </c>
      <c r="D426">
        <v>476.41</v>
      </c>
      <c r="E426" t="s">
        <v>22</v>
      </c>
      <c r="F426">
        <v>209466.27</v>
      </c>
      <c r="G426" t="s">
        <v>502</v>
      </c>
    </row>
    <row r="427" spans="1:7" x14ac:dyDescent="0.25">
      <c r="A427" t="s">
        <v>6</v>
      </c>
      <c r="B427" s="1">
        <v>46036</v>
      </c>
      <c r="C427" t="s">
        <v>436</v>
      </c>
      <c r="D427">
        <v>-54.05</v>
      </c>
      <c r="E427" t="s">
        <v>10</v>
      </c>
      <c r="F427">
        <v>208989.86</v>
      </c>
      <c r="G427" t="s">
        <v>498</v>
      </c>
    </row>
    <row r="428" spans="1:7" x14ac:dyDescent="0.25">
      <c r="A428" t="s">
        <v>20</v>
      </c>
      <c r="B428" s="1">
        <v>46036</v>
      </c>
      <c r="C428" t="s">
        <v>437</v>
      </c>
      <c r="D428">
        <v>241.87</v>
      </c>
      <c r="E428" t="s">
        <v>22</v>
      </c>
      <c r="F428">
        <v>209043.91</v>
      </c>
      <c r="G428" t="s">
        <v>515</v>
      </c>
    </row>
    <row r="429" spans="1:7" x14ac:dyDescent="0.25">
      <c r="A429" t="s">
        <v>20</v>
      </c>
      <c r="B429" s="1">
        <v>46036</v>
      </c>
      <c r="C429" t="s">
        <v>438</v>
      </c>
      <c r="D429">
        <v>350</v>
      </c>
      <c r="E429" t="s">
        <v>22</v>
      </c>
      <c r="F429">
        <v>208802.04</v>
      </c>
      <c r="G429" t="s">
        <v>501</v>
      </c>
    </row>
    <row r="430" spans="1:7" x14ac:dyDescent="0.25">
      <c r="A430" t="s">
        <v>6</v>
      </c>
      <c r="B430" s="1">
        <v>46035</v>
      </c>
      <c r="C430" t="s">
        <v>439</v>
      </c>
      <c r="D430">
        <v>-20000</v>
      </c>
      <c r="E430" t="s">
        <v>30</v>
      </c>
      <c r="F430">
        <v>208452.04</v>
      </c>
      <c r="G430" t="s">
        <v>479</v>
      </c>
    </row>
    <row r="431" spans="1:7" x14ac:dyDescent="0.25">
      <c r="A431" t="s">
        <v>20</v>
      </c>
      <c r="B431" s="1">
        <v>46035</v>
      </c>
      <c r="C431" t="s">
        <v>440</v>
      </c>
      <c r="D431">
        <v>2000</v>
      </c>
      <c r="E431" t="s">
        <v>30</v>
      </c>
      <c r="F431">
        <v>228452.04</v>
      </c>
      <c r="G431" t="s">
        <v>497</v>
      </c>
    </row>
    <row r="432" spans="1:7" x14ac:dyDescent="0.25">
      <c r="A432" t="s">
        <v>6</v>
      </c>
      <c r="B432" s="1">
        <v>46034</v>
      </c>
      <c r="C432" t="s">
        <v>441</v>
      </c>
      <c r="D432">
        <v>-1000</v>
      </c>
      <c r="E432" t="s">
        <v>63</v>
      </c>
      <c r="F432">
        <v>226452.04</v>
      </c>
      <c r="G432" t="s">
        <v>481</v>
      </c>
    </row>
    <row r="433" spans="1:7" x14ac:dyDescent="0.25">
      <c r="A433" t="s">
        <v>6</v>
      </c>
      <c r="B433" s="1">
        <v>46034</v>
      </c>
      <c r="C433" t="s">
        <v>442</v>
      </c>
      <c r="D433">
        <v>-34.99</v>
      </c>
      <c r="E433" t="s">
        <v>10</v>
      </c>
      <c r="F433">
        <v>227452.04</v>
      </c>
      <c r="G433" t="s">
        <v>476</v>
      </c>
    </row>
    <row r="434" spans="1:7" x14ac:dyDescent="0.25">
      <c r="A434" t="s">
        <v>6</v>
      </c>
      <c r="B434" s="1">
        <v>46034</v>
      </c>
      <c r="C434" t="s">
        <v>443</v>
      </c>
      <c r="D434">
        <v>-4.05</v>
      </c>
      <c r="E434" t="s">
        <v>10</v>
      </c>
      <c r="F434">
        <v>227487.03</v>
      </c>
      <c r="G434" t="s">
        <v>476</v>
      </c>
    </row>
    <row r="435" spans="1:7" x14ac:dyDescent="0.25">
      <c r="A435" t="s">
        <v>6</v>
      </c>
      <c r="B435" s="1">
        <v>46034</v>
      </c>
      <c r="C435" t="s">
        <v>444</v>
      </c>
      <c r="D435">
        <v>-30.89</v>
      </c>
      <c r="E435" t="s">
        <v>10</v>
      </c>
      <c r="F435">
        <v>227491.08</v>
      </c>
      <c r="G435" t="s">
        <v>476</v>
      </c>
    </row>
    <row r="436" spans="1:7" x14ac:dyDescent="0.25">
      <c r="A436" t="s">
        <v>6</v>
      </c>
      <c r="B436" s="1">
        <v>46031</v>
      </c>
      <c r="C436" t="s">
        <v>445</v>
      </c>
      <c r="D436">
        <v>-31.88</v>
      </c>
      <c r="E436" t="s">
        <v>10</v>
      </c>
      <c r="F436">
        <v>227521.97</v>
      </c>
      <c r="G436" t="s">
        <v>498</v>
      </c>
    </row>
    <row r="437" spans="1:7" x14ac:dyDescent="0.25">
      <c r="A437" t="s">
        <v>6</v>
      </c>
      <c r="B437" s="1">
        <v>46031</v>
      </c>
      <c r="C437" t="s">
        <v>446</v>
      </c>
      <c r="D437">
        <v>-2</v>
      </c>
      <c r="E437" t="s">
        <v>10</v>
      </c>
      <c r="F437">
        <v>227553.85</v>
      </c>
      <c r="G437" t="s">
        <v>499</v>
      </c>
    </row>
    <row r="438" spans="1:7" x14ac:dyDescent="0.25">
      <c r="A438" t="s">
        <v>6</v>
      </c>
      <c r="B438" s="1">
        <v>46030</v>
      </c>
      <c r="C438" t="s">
        <v>447</v>
      </c>
      <c r="D438">
        <v>-700</v>
      </c>
      <c r="E438" t="s">
        <v>34</v>
      </c>
      <c r="F438">
        <v>227555.85</v>
      </c>
      <c r="G438" t="s">
        <v>511</v>
      </c>
    </row>
    <row r="439" spans="1:7" x14ac:dyDescent="0.25">
      <c r="A439" t="s">
        <v>6</v>
      </c>
      <c r="B439" s="1">
        <v>46030</v>
      </c>
      <c r="C439" t="s">
        <v>448</v>
      </c>
      <c r="D439">
        <v>-79.790000000000006</v>
      </c>
      <c r="E439" t="s">
        <v>10</v>
      </c>
      <c r="F439">
        <v>228255.85</v>
      </c>
      <c r="G439" t="s">
        <v>477</v>
      </c>
    </row>
    <row r="440" spans="1:7" x14ac:dyDescent="0.25">
      <c r="A440" t="s">
        <v>6</v>
      </c>
      <c r="B440" s="1">
        <v>46030</v>
      </c>
      <c r="C440" t="s">
        <v>449</v>
      </c>
      <c r="D440">
        <v>-9.99</v>
      </c>
      <c r="E440" t="s">
        <v>10</v>
      </c>
      <c r="F440">
        <v>228335.64</v>
      </c>
      <c r="G440" t="s">
        <v>476</v>
      </c>
    </row>
    <row r="441" spans="1:7" x14ac:dyDescent="0.25">
      <c r="A441" t="s">
        <v>6</v>
      </c>
      <c r="B441" s="1">
        <v>46030</v>
      </c>
      <c r="C441" t="s">
        <v>450</v>
      </c>
      <c r="D441">
        <v>-35000</v>
      </c>
      <c r="E441" t="s">
        <v>30</v>
      </c>
      <c r="F441">
        <v>228345.63</v>
      </c>
      <c r="G441" t="s">
        <v>487</v>
      </c>
    </row>
    <row r="442" spans="1:7" x14ac:dyDescent="0.25">
      <c r="A442" t="s">
        <v>6</v>
      </c>
      <c r="B442" s="1">
        <v>46030</v>
      </c>
      <c r="C442" t="s">
        <v>451</v>
      </c>
      <c r="D442">
        <v>-13.74</v>
      </c>
      <c r="E442" t="s">
        <v>10</v>
      </c>
      <c r="F442">
        <v>263345.63</v>
      </c>
      <c r="G442" t="s">
        <v>499</v>
      </c>
    </row>
    <row r="443" spans="1:7" x14ac:dyDescent="0.25">
      <c r="A443" t="s">
        <v>6</v>
      </c>
      <c r="B443" s="1">
        <v>46029</v>
      </c>
      <c r="C443" t="s">
        <v>136</v>
      </c>
      <c r="D443">
        <v>-15</v>
      </c>
      <c r="E443" t="s">
        <v>123</v>
      </c>
      <c r="F443">
        <v>263359.37</v>
      </c>
      <c r="G443" t="s">
        <v>483</v>
      </c>
    </row>
    <row r="444" spans="1:7" x14ac:dyDescent="0.25">
      <c r="A444" t="s">
        <v>6</v>
      </c>
      <c r="B444" s="1">
        <v>46029</v>
      </c>
      <c r="C444" t="s">
        <v>122</v>
      </c>
      <c r="D444">
        <v>-25</v>
      </c>
      <c r="E444" t="s">
        <v>123</v>
      </c>
      <c r="F444">
        <v>263374.37</v>
      </c>
      <c r="G444" t="s">
        <v>483</v>
      </c>
    </row>
    <row r="445" spans="1:7" x14ac:dyDescent="0.25">
      <c r="A445" t="s">
        <v>6</v>
      </c>
      <c r="B445" s="1">
        <v>46029</v>
      </c>
      <c r="C445" t="s">
        <v>122</v>
      </c>
      <c r="D445">
        <v>-25</v>
      </c>
      <c r="E445" t="s">
        <v>123</v>
      </c>
      <c r="F445">
        <v>263399.37</v>
      </c>
      <c r="G445" t="s">
        <v>483</v>
      </c>
    </row>
    <row r="446" spans="1:7" x14ac:dyDescent="0.25">
      <c r="A446" t="s">
        <v>6</v>
      </c>
      <c r="B446" s="1">
        <v>46029</v>
      </c>
      <c r="C446" t="s">
        <v>452</v>
      </c>
      <c r="D446">
        <v>-10000</v>
      </c>
      <c r="E446" t="s">
        <v>129</v>
      </c>
      <c r="F446">
        <v>263424.37</v>
      </c>
      <c r="G446" t="s">
        <v>509</v>
      </c>
    </row>
    <row r="447" spans="1:7" x14ac:dyDescent="0.25">
      <c r="A447" t="s">
        <v>6</v>
      </c>
      <c r="B447" s="1">
        <v>46029</v>
      </c>
      <c r="C447" t="s">
        <v>453</v>
      </c>
      <c r="D447">
        <v>-6000</v>
      </c>
      <c r="E447" t="s">
        <v>129</v>
      </c>
      <c r="F447">
        <v>273424.37</v>
      </c>
      <c r="G447" t="s">
        <v>508</v>
      </c>
    </row>
    <row r="448" spans="1:7" x14ac:dyDescent="0.25">
      <c r="A448" t="s">
        <v>6</v>
      </c>
      <c r="B448" s="1">
        <v>46029</v>
      </c>
      <c r="C448" t="s">
        <v>454</v>
      </c>
      <c r="D448">
        <v>-3.19</v>
      </c>
      <c r="E448" t="s">
        <v>10</v>
      </c>
      <c r="F448">
        <v>279424.37</v>
      </c>
      <c r="G448" t="s">
        <v>476</v>
      </c>
    </row>
    <row r="449" spans="1:7" x14ac:dyDescent="0.25">
      <c r="A449" t="s">
        <v>6</v>
      </c>
      <c r="B449" s="1">
        <v>46029</v>
      </c>
      <c r="C449" t="s">
        <v>455</v>
      </c>
      <c r="D449">
        <v>-3.19</v>
      </c>
      <c r="E449" t="s">
        <v>10</v>
      </c>
      <c r="F449">
        <v>279427.56</v>
      </c>
      <c r="G449" t="s">
        <v>476</v>
      </c>
    </row>
    <row r="450" spans="1:7" x14ac:dyDescent="0.25">
      <c r="A450" t="s">
        <v>6</v>
      </c>
      <c r="B450" s="1">
        <v>46029</v>
      </c>
      <c r="C450" t="s">
        <v>456</v>
      </c>
      <c r="D450">
        <v>-3.19</v>
      </c>
      <c r="E450" t="s">
        <v>10</v>
      </c>
      <c r="F450">
        <v>279430.75</v>
      </c>
      <c r="G450" t="s">
        <v>476</v>
      </c>
    </row>
    <row r="451" spans="1:7" x14ac:dyDescent="0.25">
      <c r="A451" t="s">
        <v>6</v>
      </c>
      <c r="B451" s="1">
        <v>46029</v>
      </c>
      <c r="C451" t="s">
        <v>457</v>
      </c>
      <c r="D451">
        <v>-3.19</v>
      </c>
      <c r="E451" t="s">
        <v>10</v>
      </c>
      <c r="F451">
        <v>279433.94</v>
      </c>
      <c r="G451" t="s">
        <v>476</v>
      </c>
    </row>
    <row r="452" spans="1:7" x14ac:dyDescent="0.25">
      <c r="A452" t="s">
        <v>20</v>
      </c>
      <c r="B452" s="1">
        <v>46029</v>
      </c>
      <c r="C452" t="s">
        <v>458</v>
      </c>
      <c r="D452">
        <v>16000</v>
      </c>
      <c r="E452" t="s">
        <v>140</v>
      </c>
      <c r="F452">
        <v>279437.13</v>
      </c>
      <c r="G452" t="s">
        <v>507</v>
      </c>
    </row>
    <row r="453" spans="1:7" x14ac:dyDescent="0.25">
      <c r="A453" t="s">
        <v>6</v>
      </c>
      <c r="B453" s="1">
        <v>46028</v>
      </c>
      <c r="C453" t="s">
        <v>459</v>
      </c>
      <c r="D453">
        <v>-9.99</v>
      </c>
      <c r="E453" t="s">
        <v>10</v>
      </c>
      <c r="F453">
        <v>263437.13</v>
      </c>
      <c r="G453" t="s">
        <v>476</v>
      </c>
    </row>
    <row r="454" spans="1:7" x14ac:dyDescent="0.25">
      <c r="A454" t="s">
        <v>6</v>
      </c>
      <c r="B454" s="1">
        <v>46028</v>
      </c>
      <c r="C454" t="s">
        <v>460</v>
      </c>
      <c r="D454">
        <v>-3.19</v>
      </c>
      <c r="E454" t="s">
        <v>10</v>
      </c>
      <c r="F454">
        <v>263447.12</v>
      </c>
      <c r="G454" t="s">
        <v>476</v>
      </c>
    </row>
    <row r="455" spans="1:7" x14ac:dyDescent="0.25">
      <c r="A455" t="s">
        <v>6</v>
      </c>
      <c r="B455" s="1">
        <v>46028</v>
      </c>
      <c r="C455" t="s">
        <v>461</v>
      </c>
      <c r="D455">
        <v>-3.19</v>
      </c>
      <c r="E455" t="s">
        <v>10</v>
      </c>
      <c r="F455">
        <v>263450.31</v>
      </c>
      <c r="G455" t="s">
        <v>476</v>
      </c>
    </row>
    <row r="456" spans="1:7" x14ac:dyDescent="0.25">
      <c r="A456" t="s">
        <v>6</v>
      </c>
      <c r="B456" s="1">
        <v>46028</v>
      </c>
      <c r="C456" t="s">
        <v>462</v>
      </c>
      <c r="D456">
        <v>-3.19</v>
      </c>
      <c r="E456" t="s">
        <v>10</v>
      </c>
      <c r="F456">
        <v>263453.5</v>
      </c>
      <c r="G456" t="s">
        <v>476</v>
      </c>
    </row>
    <row r="457" spans="1:7" x14ac:dyDescent="0.25">
      <c r="A457" t="s">
        <v>6</v>
      </c>
      <c r="B457" s="1">
        <v>46028</v>
      </c>
      <c r="C457" t="s">
        <v>463</v>
      </c>
      <c r="D457">
        <v>-3.19</v>
      </c>
      <c r="E457" t="s">
        <v>10</v>
      </c>
      <c r="F457">
        <v>263456.69</v>
      </c>
      <c r="G457" t="s">
        <v>476</v>
      </c>
    </row>
    <row r="458" spans="1:7" x14ac:dyDescent="0.25">
      <c r="A458" t="s">
        <v>6</v>
      </c>
      <c r="B458" s="1">
        <v>46027</v>
      </c>
      <c r="C458" t="s">
        <v>464</v>
      </c>
      <c r="D458">
        <v>-12</v>
      </c>
      <c r="E458" t="s">
        <v>10</v>
      </c>
      <c r="F458">
        <v>263459.88</v>
      </c>
      <c r="G458" t="s">
        <v>506</v>
      </c>
    </row>
    <row r="459" spans="1:7" x14ac:dyDescent="0.25">
      <c r="A459" t="s">
        <v>6</v>
      </c>
      <c r="B459" s="1">
        <v>46027</v>
      </c>
      <c r="C459" t="s">
        <v>465</v>
      </c>
      <c r="D459">
        <v>-5</v>
      </c>
      <c r="E459" t="s">
        <v>10</v>
      </c>
      <c r="F459">
        <v>263471.88</v>
      </c>
      <c r="G459" t="s">
        <v>498</v>
      </c>
    </row>
    <row r="460" spans="1:7" x14ac:dyDescent="0.25">
      <c r="A460" t="s">
        <v>6</v>
      </c>
      <c r="B460" s="1">
        <v>46027</v>
      </c>
      <c r="C460" t="s">
        <v>466</v>
      </c>
      <c r="D460">
        <v>-12.06</v>
      </c>
      <c r="E460" t="s">
        <v>10</v>
      </c>
      <c r="F460">
        <v>263476.88</v>
      </c>
      <c r="G460" t="s">
        <v>498</v>
      </c>
    </row>
    <row r="461" spans="1:7" x14ac:dyDescent="0.25">
      <c r="A461" t="s">
        <v>6</v>
      </c>
      <c r="B461" s="1">
        <v>46027</v>
      </c>
      <c r="C461" t="s">
        <v>467</v>
      </c>
      <c r="D461">
        <v>-8.6199999999999992</v>
      </c>
      <c r="E461" t="s">
        <v>10</v>
      </c>
      <c r="F461">
        <v>263488.94</v>
      </c>
      <c r="G461" t="s">
        <v>498</v>
      </c>
    </row>
    <row r="462" spans="1:7" x14ac:dyDescent="0.25">
      <c r="A462" t="s">
        <v>6</v>
      </c>
      <c r="B462" s="1">
        <v>46027</v>
      </c>
      <c r="C462" t="s">
        <v>468</v>
      </c>
      <c r="D462">
        <v>-43.02</v>
      </c>
      <c r="E462" t="s">
        <v>10</v>
      </c>
      <c r="F462">
        <v>263497.56</v>
      </c>
      <c r="G462" t="s">
        <v>498</v>
      </c>
    </row>
    <row r="463" spans="1:7" x14ac:dyDescent="0.25">
      <c r="A463" t="s">
        <v>6</v>
      </c>
      <c r="B463" s="1">
        <v>46024</v>
      </c>
      <c r="C463" t="s">
        <v>469</v>
      </c>
      <c r="D463">
        <v>-31.88</v>
      </c>
      <c r="E463" t="s">
        <v>10</v>
      </c>
      <c r="F463">
        <v>263540.58</v>
      </c>
      <c r="G463" t="s">
        <v>498</v>
      </c>
    </row>
    <row r="464" spans="1:7" x14ac:dyDescent="0.25">
      <c r="A464" t="s">
        <v>6</v>
      </c>
      <c r="B464" s="1">
        <v>46024</v>
      </c>
      <c r="C464" t="s">
        <v>470</v>
      </c>
      <c r="D464">
        <v>-6.39</v>
      </c>
      <c r="E464" t="s">
        <v>10</v>
      </c>
      <c r="F464">
        <v>263572.46000000002</v>
      </c>
      <c r="G464" t="s">
        <v>476</v>
      </c>
    </row>
    <row r="465" spans="1:7" x14ac:dyDescent="0.25">
      <c r="A465" t="s">
        <v>6</v>
      </c>
      <c r="B465" s="1">
        <v>46024</v>
      </c>
      <c r="C465" t="s">
        <v>471</v>
      </c>
      <c r="D465">
        <v>-4.05</v>
      </c>
      <c r="E465" t="s">
        <v>10</v>
      </c>
      <c r="F465">
        <v>263578.84999999998</v>
      </c>
      <c r="G465" t="s">
        <v>476</v>
      </c>
    </row>
    <row r="466" spans="1:7" x14ac:dyDescent="0.25">
      <c r="A466" t="s">
        <v>6</v>
      </c>
      <c r="B466" s="1">
        <v>46024</v>
      </c>
      <c r="C466" t="s">
        <v>472</v>
      </c>
      <c r="D466">
        <v>-4.5</v>
      </c>
      <c r="E466" t="s">
        <v>10</v>
      </c>
      <c r="F466">
        <v>263582.90000000002</v>
      </c>
      <c r="G466" t="s">
        <v>477</v>
      </c>
    </row>
    <row r="467" spans="1:7" x14ac:dyDescent="0.25">
      <c r="A467" t="s">
        <v>6</v>
      </c>
      <c r="B467" s="1">
        <v>46024</v>
      </c>
      <c r="C467" t="s">
        <v>473</v>
      </c>
      <c r="D467">
        <v>-27.05</v>
      </c>
      <c r="E467" t="s">
        <v>10</v>
      </c>
      <c r="F467">
        <v>263587.40000000002</v>
      </c>
      <c r="G467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Category Summary</vt:lpstr>
      <vt:lpstr>Monthly Breakdown</vt:lpstr>
      <vt:lpstr>Monthly Detail</vt:lpstr>
      <vt:lpstr>Transfer In</vt:lpstr>
      <vt:lpstr>Transfer Out</vt:lpstr>
      <vt:lpstr>Commission</vt:lpstr>
      <vt:lpstr>Wire In</vt:lpstr>
      <vt:lpstr>Wire Out</vt:lpstr>
      <vt:lpstr>Transaction Overview</vt:lpstr>
      <vt:lpstr>Mapping</vt:lpstr>
      <vt:lpstr>2026_Chase9335_Activity_2026062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Judd Dunning</dc:creator>
  <cp:lastModifiedBy>Mike Paytonjian</cp:lastModifiedBy>
  <dcterms:created xsi:type="dcterms:W3CDTF">2026-07-07T00:19:32Z</dcterms:created>
  <dcterms:modified xsi:type="dcterms:W3CDTF">2026-07-09T06:09:43Z</dcterms:modified>
</cp:coreProperties>
</file>